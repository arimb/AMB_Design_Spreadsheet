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19.xml" ContentType="application/vnd.ms-excel.controlproperties+xml"/>
  <Override PartName="/xl/charts/chart1.xml" ContentType="application/vnd.openxmlformats-officedocument.drawingml.chart+xml"/>
  <Override PartName="/xl/drawings/drawing7.xml" ContentType="application/vnd.openxmlformats-officedocument.drawing+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harts/chart2.xml" ContentType="application/vnd.openxmlformats-officedocument.drawingml.chart+xml"/>
  <Override PartName="/xl/drawings/drawing11.xml" ContentType="application/vnd.openxmlformats-officedocument.drawing+xml"/>
  <Override PartName="/xl/ctrlProps/ctrlProp24.xml" ContentType="application/vnd.ms-excel.controlproperties+xml"/>
  <Override PartName="/xl/ctrlProps/ctrlProp25.xml" ContentType="application/vnd.ms-excel.controlproperties+xml"/>
  <Override PartName="/xl/charts/chart3.xml" ContentType="application/vnd.openxmlformats-officedocument.drawingml.chart+xml"/>
  <Override PartName="/xl/drawings/drawing12.xml" ContentType="application/vnd.openxmlformats-officedocument.drawing+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lockStructure="1"/>
  <bookViews>
    <workbookView xWindow="-105" yWindow="-105" windowWidth="23250" windowHeight="13170"/>
  </bookViews>
  <sheets>
    <sheet name="HOME" sheetId="15" r:id="rId1"/>
    <sheet name="±ÉÇÌÅÒÍ×Ñ¶ÅØÍÓ" sheetId="1" state="hidden" r:id="rId2"/>
    <sheet name="°ÉÅÈ·ÇÖÉÛ" sheetId="5" state="hidden" r:id="rId3"/>
    <sheet name="¨ÖÍÚÉØÖÅÍÒ" sheetId="7" state="hidden" r:id="rId4"/>
    <sheet name="¦ÉÅÑ¦ÉÒÈ" sheetId="8" state="hidden" r:id="rId5"/>
    <sheet name="´ÖÓÎÉÇØÍÐÉ" sheetId="19" state="hidden" r:id="rId6"/>
    <sheet name="§ÌÅÍÒ¦ÉÐØ" sheetId="10" state="hidden" r:id="rId7"/>
    <sheet name="«ÉÅÖ§ÐÉÅÖ" sheetId="11" state="hidden" r:id="rId8"/>
    <sheet name="¶ÅØÍÓ¨Í×Ø" sheetId="12" state="hidden" r:id="rId9"/>
    <sheet name="´ÒÉÙÑÅØÍÇ×" sheetId="13" state="hidden" r:id="rId10"/>
    <sheet name="´ÒÉÙ°ÍÒÏÅËÉ" sheetId="14" state="hidden" r:id="rId11"/>
    <sheet name="º´¨ÅØÅ" sheetId="18" state="hidden" r:id="rId12"/>
    <sheet name="ºÉÖ×Å´ÐÅÒÉØÅÖÝ" sheetId="17" state="hidden" r:id="rId13"/>
    <sheet name="Specs" sheetId="3" r:id="rId14"/>
  </sheets>
  <definedNames>
    <definedName name="ChainBelts">Specs!$J$5:$J$11</definedName>
    <definedName name="ChainBeltSpecs">Specs!$J$5:$N$11</definedName>
    <definedName name="Eval_Links_Teeth">EVALUATE(CHOOSE(MATCH('§ÌÅÍÒ¦ÉÐØ'!A1048572, {"Nearest","Up","Down"}, 0), "MROUND", "CEILING", "FLOOR") &amp; "(" &amp; 2/'§ÌÅÍÒ¦ÉÐØ'!XEY5*SQRT(('§ÌÅÍÒ¦ÉÐØ'!A1048571-'§ÌÅÍÒ¦ÉÐØ'!XEY8)^2-('§ÌÅÍÒ¦ÉÐØ'!XEY1048574/2-'§ÌÅÍÒ¦ÉÐØ'!XEY1/2)^2)+('§ÌÅÍÒ¦ÉÐØ'!XEY1048573-'§ÌÅÍÒ¦ÉÐØ'!XEY1048576)*ACOS(('§ÌÅÍÒ¦ÉÐØ'!XEY1-'§ÌÅÍÒ¦ÉÐØ'!XEY1048574)/(2*('§ÌÅÍÒ¦ÉÐØ'!A1048571-'§ÌÅÍÒ¦ÉÐØ'!XEY8)))/PI()+'§ÌÅÍÒ¦ÉÐØ'!XEY1048576 &amp; "," &amp; '§ÌÅÍÒ¦ÉÐØ'!A1048573 &amp; ")")</definedName>
    <definedName name="Materials">Specs!$Q$5:$Q$11</definedName>
    <definedName name="MaterialSpecs">Specs!$Q$5:$S$11</definedName>
    <definedName name="Motors">Specs!$B$5:$B$28</definedName>
    <definedName name="MotorSpecs">Specs!$B$5:$G$28</definedName>
    <definedName name="VP_180">º´¨ÅØÅ!$O$45:$V$46</definedName>
    <definedName name="VP_90">º´¨ÅØÅ!$O$50:$T$51</definedName>
    <definedName name="VP_Base">º´¨ÅØÅ!$O$3:$U$7</definedName>
    <definedName name="VP_DualMotor">º´¨ÅØÅ!$O$34:$V$41</definedName>
    <definedName name="VP_Encoder">º´¨ÅØÅ!$O$59:$T$60</definedName>
    <definedName name="VP_Load">º´¨ÅØÅ!$D$2:$L$1216</definedName>
    <definedName name="VP_Motor">º´¨ÅØÅ!$O$11:$U$20</definedName>
    <definedName name="VP_Ratchet">º´¨ÅØÅ!$O$55:$T$56</definedName>
    <definedName name="VP_Stage">º´¨ÅØÅ!$O$24:$U$30</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1" i="7" l="1"/>
  <c r="D27" i="17"/>
  <c r="D23" i="17"/>
  <c r="C27" i="17"/>
  <c r="C23" i="17"/>
  <c r="M6" i="17"/>
  <c r="J6" i="17"/>
  <c r="E7" i="17"/>
  <c r="D25" i="17" s="1"/>
  <c r="D21" i="17" l="1"/>
  <c r="M14" i="7"/>
  <c r="G13" i="7"/>
  <c r="M13" i="7"/>
  <c r="G14" i="7"/>
  <c r="AT119" i="19" l="1"/>
  <c r="AS119" i="19"/>
  <c r="AR119" i="19"/>
  <c r="AQ119" i="19"/>
  <c r="AP119" i="19"/>
  <c r="AO119" i="19"/>
  <c r="AN119" i="19"/>
  <c r="AM119" i="19"/>
  <c r="AL119" i="19"/>
  <c r="AK119" i="19"/>
  <c r="AJ119" i="19"/>
  <c r="AI119" i="19"/>
  <c r="AH119" i="19"/>
  <c r="AG119" i="19"/>
  <c r="AF119" i="19"/>
  <c r="AE119" i="19"/>
  <c r="AD119" i="19"/>
  <c r="AC119" i="19"/>
  <c r="AB119" i="19"/>
  <c r="AA119" i="19"/>
  <c r="Z119" i="19"/>
  <c r="Y119" i="19"/>
  <c r="X119" i="19"/>
  <c r="W119" i="19"/>
  <c r="V119" i="19"/>
  <c r="U119" i="19"/>
  <c r="T119" i="19"/>
  <c r="AT118" i="19"/>
  <c r="AS118" i="19"/>
  <c r="AR118" i="19"/>
  <c r="AQ118" i="19"/>
  <c r="AP118" i="19"/>
  <c r="AO118" i="19"/>
  <c r="AN118" i="19"/>
  <c r="AM118" i="19"/>
  <c r="AL118" i="19"/>
  <c r="AK118" i="19"/>
  <c r="AJ118" i="19"/>
  <c r="AI118" i="19"/>
  <c r="AH118" i="19"/>
  <c r="AG118" i="19"/>
  <c r="AF118" i="19"/>
  <c r="AE118" i="19"/>
  <c r="AD118" i="19"/>
  <c r="AC118" i="19"/>
  <c r="AB118" i="19"/>
  <c r="AA118" i="19"/>
  <c r="Z118" i="19"/>
  <c r="Y118" i="19"/>
  <c r="X118" i="19"/>
  <c r="W118" i="19"/>
  <c r="V118" i="19"/>
  <c r="U118" i="19"/>
  <c r="T118" i="19"/>
  <c r="AT117" i="19"/>
  <c r="AS117" i="19"/>
  <c r="AR117" i="19"/>
  <c r="AQ117" i="19"/>
  <c r="AP117" i="19"/>
  <c r="AO117" i="19"/>
  <c r="AN117" i="19"/>
  <c r="AM117" i="19"/>
  <c r="AL117" i="19"/>
  <c r="AK117" i="19"/>
  <c r="AJ117" i="19"/>
  <c r="AI117" i="19"/>
  <c r="AH117" i="19"/>
  <c r="AG117" i="19"/>
  <c r="AF117" i="19"/>
  <c r="AE117" i="19"/>
  <c r="AD117" i="19"/>
  <c r="AC117" i="19"/>
  <c r="AB117" i="19"/>
  <c r="AA117" i="19"/>
  <c r="Z117" i="19"/>
  <c r="Y117" i="19"/>
  <c r="X117" i="19"/>
  <c r="W117" i="19"/>
  <c r="V117" i="19"/>
  <c r="U117" i="19"/>
  <c r="T117" i="19"/>
  <c r="AT113" i="19"/>
  <c r="AS113" i="19"/>
  <c r="AR113" i="19"/>
  <c r="AQ113" i="19"/>
  <c r="AP113" i="19"/>
  <c r="AO113" i="19"/>
  <c r="AN113" i="19"/>
  <c r="AM113" i="19"/>
  <c r="AL113" i="19"/>
  <c r="AK113" i="19"/>
  <c r="AJ113" i="19"/>
  <c r="AI113" i="19"/>
  <c r="AI114" i="19" s="1"/>
  <c r="AI115" i="19" s="1"/>
  <c r="AH113" i="19"/>
  <c r="AG113" i="19"/>
  <c r="AF113" i="19"/>
  <c r="AE113" i="19"/>
  <c r="AD113" i="19"/>
  <c r="AC113" i="19"/>
  <c r="AB113" i="19"/>
  <c r="AA113" i="19"/>
  <c r="Z113" i="19"/>
  <c r="Y113" i="19"/>
  <c r="X113" i="19"/>
  <c r="W113" i="19"/>
  <c r="V113" i="19"/>
  <c r="U113" i="19"/>
  <c r="T113" i="19"/>
  <c r="AT112" i="19"/>
  <c r="AS112" i="19"/>
  <c r="AR112" i="19"/>
  <c r="AQ112" i="19"/>
  <c r="AQ114" i="19" s="1"/>
  <c r="AQ115" i="19" s="1"/>
  <c r="AP112" i="19"/>
  <c r="AO112" i="19"/>
  <c r="AO114" i="19" s="1"/>
  <c r="AO115" i="19" s="1"/>
  <c r="AN112" i="19"/>
  <c r="AM112" i="19"/>
  <c r="AL112" i="19"/>
  <c r="AK112" i="19"/>
  <c r="AJ112" i="19"/>
  <c r="AI112" i="19"/>
  <c r="AH112" i="19"/>
  <c r="AG112" i="19"/>
  <c r="AG114" i="19" s="1"/>
  <c r="AG115" i="19" s="1"/>
  <c r="AF112" i="19"/>
  <c r="AE112" i="19"/>
  <c r="AD112" i="19"/>
  <c r="AC112" i="19"/>
  <c r="AB112" i="19"/>
  <c r="AA112" i="19"/>
  <c r="Z112" i="19"/>
  <c r="Y112" i="19"/>
  <c r="Y114" i="19" s="1"/>
  <c r="Y115" i="19" s="1"/>
  <c r="X112" i="19"/>
  <c r="W112" i="19"/>
  <c r="V112" i="19"/>
  <c r="U112" i="19"/>
  <c r="T112" i="19"/>
  <c r="AT111" i="19"/>
  <c r="AS111" i="19"/>
  <c r="AR111" i="19"/>
  <c r="AR114" i="19" s="1"/>
  <c r="AR115" i="19" s="1"/>
  <c r="AQ111" i="19"/>
  <c r="AP111" i="19"/>
  <c r="AO111" i="19"/>
  <c r="AN111" i="19"/>
  <c r="AN114" i="19" s="1"/>
  <c r="AN115" i="19" s="1"/>
  <c r="AM111" i="19"/>
  <c r="AL111" i="19"/>
  <c r="AK111" i="19"/>
  <c r="AJ111" i="19"/>
  <c r="AJ114" i="19" s="1"/>
  <c r="AJ115" i="19" s="1"/>
  <c r="AI111" i="19"/>
  <c r="AH111" i="19"/>
  <c r="AG111" i="19"/>
  <c r="AF111" i="19"/>
  <c r="AF114" i="19" s="1"/>
  <c r="AF115" i="19" s="1"/>
  <c r="AE111" i="19"/>
  <c r="AD111" i="19"/>
  <c r="AC111" i="19"/>
  <c r="AB111" i="19"/>
  <c r="AB114" i="19" s="1"/>
  <c r="AB115" i="19" s="1"/>
  <c r="AA111" i="19"/>
  <c r="AA114" i="19" s="1"/>
  <c r="AA115" i="19" s="1"/>
  <c r="Z111" i="19"/>
  <c r="Y111" i="19"/>
  <c r="X111" i="19"/>
  <c r="X114" i="19" s="1"/>
  <c r="X115" i="19" s="1"/>
  <c r="W111" i="19"/>
  <c r="V111" i="19"/>
  <c r="U111" i="19"/>
  <c r="T111" i="19"/>
  <c r="T114" i="19" s="1"/>
  <c r="T115" i="19" s="1"/>
  <c r="G18" i="19"/>
  <c r="F17" i="19"/>
  <c r="C17" i="19"/>
  <c r="G16" i="19"/>
  <c r="F16" i="19"/>
  <c r="D16" i="19"/>
  <c r="D18" i="19" s="1"/>
  <c r="C16" i="19"/>
  <c r="F11" i="19"/>
  <c r="F10" i="19"/>
  <c r="C10" i="19"/>
  <c r="F9" i="19"/>
  <c r="C9" i="19"/>
  <c r="ET8" i="19"/>
  <c r="EO8" i="19"/>
  <c r="EO9" i="19" s="1"/>
  <c r="EK8" i="19"/>
  <c r="EJ8" i="19"/>
  <c r="EE8" i="19"/>
  <c r="EE9" i="19" s="1"/>
  <c r="DZ8" i="19"/>
  <c r="DZ9" i="19" s="1"/>
  <c r="DU8" i="19"/>
  <c r="DQ8" i="19"/>
  <c r="DP8" i="19"/>
  <c r="DK8" i="19"/>
  <c r="DK9" i="19" s="1"/>
  <c r="DF8" i="19"/>
  <c r="DA8" i="19"/>
  <c r="DA9" i="19" s="1"/>
  <c r="CW8" i="19"/>
  <c r="CV8" i="19"/>
  <c r="CQ8" i="19"/>
  <c r="CQ9" i="19" s="1"/>
  <c r="CL8" i="19"/>
  <c r="CL9" i="19" s="1"/>
  <c r="CG8" i="19"/>
  <c r="CC8" i="19"/>
  <c r="CB8" i="19"/>
  <c r="BW8" i="19"/>
  <c r="BW9" i="19" s="1"/>
  <c r="BR8" i="19"/>
  <c r="BM8" i="19"/>
  <c r="BM9" i="19" s="1"/>
  <c r="BI8" i="19"/>
  <c r="BH8" i="19"/>
  <c r="BC8" i="19"/>
  <c r="BC9" i="19" s="1"/>
  <c r="AX8" i="19"/>
  <c r="AX9" i="19" s="1"/>
  <c r="AS8" i="19"/>
  <c r="AO8" i="19"/>
  <c r="AN8" i="19"/>
  <c r="AI8" i="19"/>
  <c r="AI9" i="19" s="1"/>
  <c r="AD8" i="19"/>
  <c r="Y8" i="19"/>
  <c r="Y9" i="19" s="1"/>
  <c r="U8" i="19"/>
  <c r="T8" i="19"/>
  <c r="F8" i="19"/>
  <c r="C8" i="19"/>
  <c r="EV7" i="19"/>
  <c r="EU7" i="19"/>
  <c r="ET7" i="19"/>
  <c r="EQ7" i="19"/>
  <c r="EP7" i="19"/>
  <c r="EO7" i="19"/>
  <c r="EL7" i="19"/>
  <c r="EK7" i="19"/>
  <c r="EJ7" i="19"/>
  <c r="EG7" i="19"/>
  <c r="EF7" i="19"/>
  <c r="EI7" i="19" s="1"/>
  <c r="EE7" i="19"/>
  <c r="EB7" i="19"/>
  <c r="EA7" i="19"/>
  <c r="DZ7" i="19"/>
  <c r="DW7" i="19"/>
  <c r="DV7" i="19"/>
  <c r="DU7" i="19"/>
  <c r="DR7" i="19"/>
  <c r="DQ7" i="19"/>
  <c r="DP7" i="19"/>
  <c r="DM7" i="19"/>
  <c r="DL7" i="19"/>
  <c r="DK7" i="19"/>
  <c r="DH7" i="19"/>
  <c r="DG7" i="19"/>
  <c r="DF7" i="19"/>
  <c r="DC7" i="19"/>
  <c r="DB7" i="19"/>
  <c r="DA7" i="19"/>
  <c r="CX7" i="19"/>
  <c r="CW7" i="19"/>
  <c r="CV7" i="19"/>
  <c r="CS7" i="19"/>
  <c r="CR7" i="19"/>
  <c r="CU7" i="19" s="1"/>
  <c r="CQ7" i="19"/>
  <c r="CN7" i="19"/>
  <c r="CM7" i="19"/>
  <c r="CL7" i="19"/>
  <c r="CI7" i="19"/>
  <c r="CH7" i="19"/>
  <c r="CG7" i="19"/>
  <c r="CD7" i="19"/>
  <c r="CC7" i="19"/>
  <c r="CB7" i="19"/>
  <c r="BY7" i="19"/>
  <c r="BX7" i="19"/>
  <c r="BW7" i="19"/>
  <c r="BT7" i="19"/>
  <c r="BS7" i="19"/>
  <c r="BR7" i="19"/>
  <c r="BO7" i="19"/>
  <c r="BN7" i="19"/>
  <c r="BM7" i="19"/>
  <c r="BJ7" i="19"/>
  <c r="BI7" i="19"/>
  <c r="BH7" i="19"/>
  <c r="BE7" i="19"/>
  <c r="BD7" i="19"/>
  <c r="BG7" i="19" s="1"/>
  <c r="BC7" i="19"/>
  <c r="AZ7" i="19"/>
  <c r="AY7" i="19"/>
  <c r="AX7" i="19"/>
  <c r="AU7" i="19"/>
  <c r="AT7" i="19"/>
  <c r="AS7" i="19"/>
  <c r="AP7" i="19"/>
  <c r="AO7" i="19"/>
  <c r="AN7" i="19"/>
  <c r="AK7" i="19"/>
  <c r="AJ7" i="19"/>
  <c r="AI7" i="19"/>
  <c r="AF7" i="19"/>
  <c r="AE7" i="19"/>
  <c r="AD7" i="19"/>
  <c r="AA7" i="19"/>
  <c r="Z7" i="19"/>
  <c r="Y7" i="19"/>
  <c r="V7" i="19"/>
  <c r="U7" i="19"/>
  <c r="T7" i="19"/>
  <c r="F7" i="19"/>
  <c r="C7" i="19"/>
  <c r="T5" i="19"/>
  <c r="AD9" i="19" l="1"/>
  <c r="AF9" i="19" s="1"/>
  <c r="BR9" i="19"/>
  <c r="BS9" i="19" s="1"/>
  <c r="DF9" i="19"/>
  <c r="ET9" i="19"/>
  <c r="AH7" i="19"/>
  <c r="BV7" i="19"/>
  <c r="DJ7" i="19"/>
  <c r="EX7" i="19"/>
  <c r="T9" i="19"/>
  <c r="AE8" i="19"/>
  <c r="AS9" i="19"/>
  <c r="BH9" i="19"/>
  <c r="BS8" i="19"/>
  <c r="CG9" i="19"/>
  <c r="CH9" i="19" s="1"/>
  <c r="CV9" i="19"/>
  <c r="DG8" i="19"/>
  <c r="DU9" i="19"/>
  <c r="DV9" i="19" s="1"/>
  <c r="EJ9" i="19"/>
  <c r="EJ10" i="19" s="1"/>
  <c r="EU8" i="19"/>
  <c r="ED7" i="19"/>
  <c r="AR7" i="19"/>
  <c r="AQ7" i="19" s="1"/>
  <c r="AP8" i="19" s="1"/>
  <c r="CF7" i="19"/>
  <c r="CE7" i="19" s="1"/>
  <c r="DT7" i="19"/>
  <c r="DS7" i="19" s="1"/>
  <c r="DR8" i="19" s="1"/>
  <c r="EN7" i="19"/>
  <c r="EM7" i="19" s="1"/>
  <c r="EL8" i="19" s="1"/>
  <c r="AN9" i="19"/>
  <c r="AP9" i="19" s="1"/>
  <c r="AY8" i="19"/>
  <c r="CB9" i="19"/>
  <c r="CM8" i="19"/>
  <c r="DP9" i="19"/>
  <c r="DP10" i="19" s="1"/>
  <c r="EA8" i="19"/>
  <c r="U114" i="19"/>
  <c r="U115" i="19" s="1"/>
  <c r="AC114" i="19"/>
  <c r="AC115" i="19" s="1"/>
  <c r="AK114" i="19"/>
  <c r="AK115" i="19" s="1"/>
  <c r="AS114" i="19"/>
  <c r="AS115" i="19" s="1"/>
  <c r="W114" i="19"/>
  <c r="W115" i="19" s="1"/>
  <c r="AE114" i="19"/>
  <c r="AE115" i="19" s="1"/>
  <c r="AM114" i="19"/>
  <c r="AM115" i="19" s="1"/>
  <c r="AJ9" i="19"/>
  <c r="AI10" i="19"/>
  <c r="CL10" i="19"/>
  <c r="CM9" i="19"/>
  <c r="DL9" i="19"/>
  <c r="DK10" i="19"/>
  <c r="DM9" i="19"/>
  <c r="AN10" i="19"/>
  <c r="BN9" i="19"/>
  <c r="BM10" i="19"/>
  <c r="DQ9" i="19"/>
  <c r="EP9" i="19"/>
  <c r="EO10" i="19"/>
  <c r="CR9" i="19"/>
  <c r="CQ10" i="19"/>
  <c r="EU9" i="19"/>
  <c r="ET10" i="19"/>
  <c r="T10" i="19"/>
  <c r="U9" i="19"/>
  <c r="AT9" i="19"/>
  <c r="AS10" i="19"/>
  <c r="CV10" i="19"/>
  <c r="CW9" i="19"/>
  <c r="AY9" i="19"/>
  <c r="AX10" i="19"/>
  <c r="BX9" i="19"/>
  <c r="BW10" i="19"/>
  <c r="EB9" i="19"/>
  <c r="EA9" i="19"/>
  <c r="DZ10" i="19"/>
  <c r="EC7" i="19"/>
  <c r="EB8" i="19" s="1"/>
  <c r="BF7" i="19"/>
  <c r="BE9" i="19" s="1"/>
  <c r="CT7" i="19"/>
  <c r="CS9" i="19" s="1"/>
  <c r="EH7" i="19"/>
  <c r="EG9" i="19" s="1"/>
  <c r="Z9" i="19"/>
  <c r="Y10" i="19"/>
  <c r="CB10" i="19"/>
  <c r="CC9" i="19"/>
  <c r="DB9" i="19"/>
  <c r="DA10" i="19"/>
  <c r="AD10" i="19"/>
  <c r="BD9" i="19"/>
  <c r="BC10" i="19"/>
  <c r="DG9" i="19"/>
  <c r="DF10" i="19"/>
  <c r="EF9" i="19"/>
  <c r="EE10" i="19"/>
  <c r="AG7" i="19"/>
  <c r="AF8" i="19" s="1"/>
  <c r="DI7" i="19"/>
  <c r="DH9" i="19" s="1"/>
  <c r="DX7" i="19"/>
  <c r="EW7" i="19"/>
  <c r="EV9" i="19" s="1"/>
  <c r="BI9" i="19"/>
  <c r="BH10" i="19"/>
  <c r="EK9" i="19"/>
  <c r="DY7" i="19"/>
  <c r="Z8" i="19"/>
  <c r="AJ8" i="19"/>
  <c r="AT8" i="19"/>
  <c r="BD8" i="19"/>
  <c r="BN8" i="19"/>
  <c r="BX8" i="19"/>
  <c r="CH8" i="19"/>
  <c r="CR8" i="19"/>
  <c r="DB8" i="19"/>
  <c r="DL8" i="19"/>
  <c r="DV8" i="19"/>
  <c r="EF8" i="19"/>
  <c r="EP8" i="19"/>
  <c r="X7" i="19"/>
  <c r="CK7" i="19"/>
  <c r="CJ7" i="19" s="1"/>
  <c r="BE8" i="19"/>
  <c r="EG8" i="19"/>
  <c r="AW7" i="19"/>
  <c r="AV7" i="19" s="1"/>
  <c r="AC7" i="19"/>
  <c r="AB7" i="19" s="1"/>
  <c r="BQ7" i="19"/>
  <c r="DE7" i="19"/>
  <c r="DD7" i="19" s="1"/>
  <c r="ES7" i="19"/>
  <c r="ER7" i="19" s="1"/>
  <c r="EQ9" i="19" s="1"/>
  <c r="BB7" i="19"/>
  <c r="CP7" i="19"/>
  <c r="AS121" i="19"/>
  <c r="AK121" i="19"/>
  <c r="AK120" i="19" s="1"/>
  <c r="AC121" i="19"/>
  <c r="AC120" i="19" s="1"/>
  <c r="U121" i="19"/>
  <c r="U120" i="19" s="1"/>
  <c r="AE121" i="19"/>
  <c r="Y121" i="19"/>
  <c r="Y120" i="19" s="1"/>
  <c r="AO121" i="19"/>
  <c r="AM121" i="19"/>
  <c r="AG121" i="19"/>
  <c r="AG120" i="19" s="1"/>
  <c r="W121" i="19"/>
  <c r="W120" i="19" s="1"/>
  <c r="BL7" i="19"/>
  <c r="CZ7" i="19"/>
  <c r="AM7" i="19"/>
  <c r="AL7" i="19" s="1"/>
  <c r="CA7" i="19"/>
  <c r="BZ7" i="19" s="1"/>
  <c r="DO7" i="19"/>
  <c r="DN7" i="19" s="1"/>
  <c r="AE120" i="19"/>
  <c r="AM120" i="19"/>
  <c r="T121" i="19"/>
  <c r="AB121" i="19"/>
  <c r="AB120" i="19" s="1"/>
  <c r="AJ121" i="19"/>
  <c r="AJ120" i="19" s="1"/>
  <c r="AR121" i="19"/>
  <c r="AR120" i="19" s="1"/>
  <c r="AO120" i="19"/>
  <c r="V121" i="19"/>
  <c r="V120" i="19" s="1"/>
  <c r="AD121" i="19"/>
  <c r="AL121" i="19"/>
  <c r="AT121" i="19"/>
  <c r="AT120" i="19" s="1"/>
  <c r="X121" i="19"/>
  <c r="X120" i="19" s="1"/>
  <c r="AF121" i="19"/>
  <c r="AF120" i="19" s="1"/>
  <c r="AN121" i="19"/>
  <c r="AN120" i="19" s="1"/>
  <c r="V114" i="19"/>
  <c r="AD114" i="19"/>
  <c r="AD115" i="19" s="1"/>
  <c r="AL114" i="19"/>
  <c r="AL115" i="19" s="1"/>
  <c r="AT114" i="19"/>
  <c r="AT115" i="19" s="1"/>
  <c r="AS120" i="19"/>
  <c r="Z121" i="19"/>
  <c r="Z120" i="19" s="1"/>
  <c r="AH121" i="19"/>
  <c r="AH120" i="19" s="1"/>
  <c r="AP121" i="19"/>
  <c r="AP120" i="19" s="1"/>
  <c r="Z114" i="19"/>
  <c r="Z115" i="19" s="1"/>
  <c r="AH114" i="19"/>
  <c r="AH115" i="19" s="1"/>
  <c r="AP114" i="19"/>
  <c r="AP115" i="19" s="1"/>
  <c r="AD120" i="19"/>
  <c r="AL120" i="19"/>
  <c r="AA121" i="19"/>
  <c r="AA120" i="19" s="1"/>
  <c r="AI121" i="19"/>
  <c r="AI120" i="19" s="1"/>
  <c r="AQ121" i="19"/>
  <c r="AQ120" i="19" s="1"/>
  <c r="CD9" i="19" l="1"/>
  <c r="CD8" i="19"/>
  <c r="EL9" i="19"/>
  <c r="DH8" i="19"/>
  <c r="DR9" i="19"/>
  <c r="AO9" i="19"/>
  <c r="DM8" i="19"/>
  <c r="AK8" i="19"/>
  <c r="DW8" i="19"/>
  <c r="CG10" i="19"/>
  <c r="BU7" i="19"/>
  <c r="BT9" i="19" s="1"/>
  <c r="AE9" i="19"/>
  <c r="BY9" i="19"/>
  <c r="DU10" i="19"/>
  <c r="BR10" i="19"/>
  <c r="BR11" i="19" s="1"/>
  <c r="BY8" i="19"/>
  <c r="CS8" i="19"/>
  <c r="DW9" i="19"/>
  <c r="V115" i="19"/>
  <c r="D19" i="19" s="1"/>
  <c r="D17" i="19"/>
  <c r="BE10" i="19"/>
  <c r="BD10" i="19"/>
  <c r="BC11" i="19"/>
  <c r="ET11" i="19"/>
  <c r="EV10" i="19"/>
  <c r="EU10" i="19"/>
  <c r="BN10" i="19"/>
  <c r="BM11" i="19"/>
  <c r="DM10" i="19"/>
  <c r="DL10" i="19"/>
  <c r="DK11" i="19"/>
  <c r="EQ8" i="19"/>
  <c r="EV8" i="19"/>
  <c r="BY10" i="19"/>
  <c r="BX10" i="19"/>
  <c r="BW11" i="19"/>
  <c r="DW10" i="19"/>
  <c r="DV10" i="19"/>
  <c r="DU11" i="19"/>
  <c r="EQ10" i="19"/>
  <c r="EP10" i="19"/>
  <c r="EO11" i="19"/>
  <c r="CI10" i="19"/>
  <c r="CH10" i="19"/>
  <c r="CG11" i="19"/>
  <c r="CO7" i="19"/>
  <c r="CN9" i="19" s="1"/>
  <c r="EG10" i="19"/>
  <c r="EF10" i="19"/>
  <c r="EE11" i="19"/>
  <c r="AD11" i="19"/>
  <c r="AF10" i="19"/>
  <c r="AE10" i="19"/>
  <c r="CB11" i="19"/>
  <c r="CD10" i="19"/>
  <c r="CC10" i="19"/>
  <c r="AN11" i="19"/>
  <c r="AP10" i="19"/>
  <c r="AO10" i="19"/>
  <c r="BA7" i="19"/>
  <c r="AZ9" i="19" s="1"/>
  <c r="AU8" i="19"/>
  <c r="CI9" i="19"/>
  <c r="AA10" i="19"/>
  <c r="Z10" i="19"/>
  <c r="Y11" i="19"/>
  <c r="T11" i="19"/>
  <c r="U10" i="19"/>
  <c r="DF11" i="19"/>
  <c r="DH10" i="19"/>
  <c r="DG10" i="19"/>
  <c r="AA9" i="19"/>
  <c r="AX11" i="19"/>
  <c r="AY10" i="19"/>
  <c r="CV11" i="19"/>
  <c r="CW10" i="19"/>
  <c r="CS10" i="19"/>
  <c r="CR10" i="19"/>
  <c r="CQ11" i="19"/>
  <c r="DP11" i="19"/>
  <c r="DR10" i="19"/>
  <c r="DQ10" i="19"/>
  <c r="CL11" i="19"/>
  <c r="CM10" i="19"/>
  <c r="T120" i="19"/>
  <c r="G17" i="19" s="1"/>
  <c r="G19" i="19"/>
  <c r="DC8" i="19"/>
  <c r="AA8" i="19"/>
  <c r="BH11" i="19"/>
  <c r="BI10" i="19"/>
  <c r="DC9" i="19"/>
  <c r="AK9" i="19"/>
  <c r="DC10" i="19"/>
  <c r="DB10" i="19"/>
  <c r="DA11" i="19"/>
  <c r="DZ11" i="19"/>
  <c r="EB10" i="19"/>
  <c r="EA10" i="19"/>
  <c r="AU9" i="19"/>
  <c r="BP7" i="19"/>
  <c r="BO9" i="19" s="1"/>
  <c r="BT10" i="19"/>
  <c r="BS10" i="19"/>
  <c r="AK10" i="19"/>
  <c r="AJ10" i="19"/>
  <c r="AI11" i="19"/>
  <c r="CY7" i="19"/>
  <c r="CX9" i="19" s="1"/>
  <c r="BJ8" i="19"/>
  <c r="BK7" i="19"/>
  <c r="BJ10" i="19" s="1"/>
  <c r="CI8" i="19"/>
  <c r="W7" i="19"/>
  <c r="V9" i="19" s="1"/>
  <c r="EJ11" i="19"/>
  <c r="EL10" i="19"/>
  <c r="EK10" i="19"/>
  <c r="BJ9" i="19"/>
  <c r="AU10" i="19"/>
  <c r="AT10" i="19"/>
  <c r="AS11" i="19"/>
  <c r="CN8" i="19" l="1"/>
  <c r="BT8" i="19"/>
  <c r="V8" i="19"/>
  <c r="CN10" i="19"/>
  <c r="CG12" i="19"/>
  <c r="CI11" i="19"/>
  <c r="CH11" i="19"/>
  <c r="BC12" i="19"/>
  <c r="BE11" i="19"/>
  <c r="BD11" i="19"/>
  <c r="DR11" i="19"/>
  <c r="DQ11" i="19"/>
  <c r="DP12" i="19"/>
  <c r="AZ10" i="19"/>
  <c r="V10" i="19"/>
  <c r="AZ8" i="19"/>
  <c r="BW12" i="19"/>
  <c r="BY11" i="19"/>
  <c r="BX11" i="19"/>
  <c r="EB11" i="19"/>
  <c r="EA11" i="19"/>
  <c r="DZ12" i="19"/>
  <c r="CQ12" i="19"/>
  <c r="CS11" i="19"/>
  <c r="CR11" i="19"/>
  <c r="Y12" i="19"/>
  <c r="AA11" i="19"/>
  <c r="Z11" i="19"/>
  <c r="EE12" i="19"/>
  <c r="EG11" i="19"/>
  <c r="EF11" i="19"/>
  <c r="EO12" i="19"/>
  <c r="EQ11" i="19"/>
  <c r="EP11" i="19"/>
  <c r="CX11" i="19"/>
  <c r="CW11" i="19"/>
  <c r="CV12" i="19"/>
  <c r="CX8" i="19"/>
  <c r="AP11" i="19"/>
  <c r="AO11" i="19"/>
  <c r="AN12" i="19"/>
  <c r="BO10" i="19"/>
  <c r="CD11" i="19"/>
  <c r="CC11" i="19"/>
  <c r="CB12" i="19"/>
  <c r="EV11" i="19"/>
  <c r="EU11" i="19"/>
  <c r="ET12" i="19"/>
  <c r="DA12" i="19"/>
  <c r="DC11" i="19"/>
  <c r="DB11" i="19"/>
  <c r="V11" i="19"/>
  <c r="U11" i="19"/>
  <c r="T12" i="19"/>
  <c r="AF11" i="19"/>
  <c r="AE11" i="19"/>
  <c r="AD12" i="19"/>
  <c r="BM12" i="19"/>
  <c r="BO11" i="19"/>
  <c r="BN11" i="19"/>
  <c r="EL11" i="19"/>
  <c r="EK11" i="19"/>
  <c r="EJ12" i="19"/>
  <c r="AI12" i="19"/>
  <c r="AK11" i="19"/>
  <c r="AJ11" i="19"/>
  <c r="BO8" i="19"/>
  <c r="AS12" i="19"/>
  <c r="AU11" i="19"/>
  <c r="AT11" i="19"/>
  <c r="BJ11" i="19"/>
  <c r="BI11" i="19"/>
  <c r="BH12" i="19"/>
  <c r="DK12" i="19"/>
  <c r="DM11" i="19"/>
  <c r="DL11" i="19"/>
  <c r="BT11" i="19"/>
  <c r="BS11" i="19"/>
  <c r="BR12" i="19"/>
  <c r="AZ11" i="19"/>
  <c r="AY11" i="19"/>
  <c r="AX12" i="19"/>
  <c r="CN11" i="19"/>
  <c r="CM11" i="19"/>
  <c r="CL12" i="19"/>
  <c r="CX10" i="19"/>
  <c r="DH11" i="19"/>
  <c r="DG11" i="19"/>
  <c r="DF12" i="19"/>
  <c r="DU12" i="19"/>
  <c r="DW11" i="19"/>
  <c r="DV11" i="19"/>
  <c r="AN13" i="19" l="1"/>
  <c r="AP12" i="19"/>
  <c r="AO12" i="19"/>
  <c r="ET13" i="19"/>
  <c r="EV12" i="19"/>
  <c r="EU12" i="19"/>
  <c r="BR13" i="19"/>
  <c r="BT12" i="19"/>
  <c r="BS12" i="19"/>
  <c r="EJ13" i="19"/>
  <c r="EL12" i="19"/>
  <c r="EK12" i="19"/>
  <c r="EQ12" i="19"/>
  <c r="EP12" i="19"/>
  <c r="EO13" i="19"/>
  <c r="DF13" i="19"/>
  <c r="DH12" i="19"/>
  <c r="DG12" i="19"/>
  <c r="AD13" i="19"/>
  <c r="AF12" i="19"/>
  <c r="AE12" i="19"/>
  <c r="AK12" i="19"/>
  <c r="AJ12" i="19"/>
  <c r="AI13" i="19"/>
  <c r="T13" i="19"/>
  <c r="V12" i="19"/>
  <c r="U12" i="19"/>
  <c r="CS12" i="19"/>
  <c r="CR12" i="19"/>
  <c r="CQ13" i="19"/>
  <c r="BY12" i="19"/>
  <c r="BX12" i="19"/>
  <c r="BW13" i="19"/>
  <c r="DC12" i="19"/>
  <c r="DB12" i="19"/>
  <c r="DA13" i="19"/>
  <c r="CB13" i="19"/>
  <c r="CD12" i="19"/>
  <c r="CC12" i="19"/>
  <c r="BE12" i="19"/>
  <c r="BD12" i="19"/>
  <c r="BC13" i="19"/>
  <c r="AA12" i="19"/>
  <c r="Z12" i="19"/>
  <c r="Y13" i="19"/>
  <c r="CL13" i="19"/>
  <c r="CN12" i="19"/>
  <c r="CM12" i="19"/>
  <c r="AU12" i="19"/>
  <c r="AT12" i="19"/>
  <c r="AS13" i="19"/>
  <c r="CV13" i="19"/>
  <c r="CX12" i="19"/>
  <c r="CW12" i="19"/>
  <c r="EG12" i="19"/>
  <c r="EF12" i="19"/>
  <c r="EE13" i="19"/>
  <c r="DZ13" i="19"/>
  <c r="EB12" i="19"/>
  <c r="EA12" i="19"/>
  <c r="BH13" i="19"/>
  <c r="BJ12" i="19"/>
  <c r="BI12" i="19"/>
  <c r="DW12" i="19"/>
  <c r="DV12" i="19"/>
  <c r="DU13" i="19"/>
  <c r="AX13" i="19"/>
  <c r="AZ12" i="19"/>
  <c r="AY12" i="19"/>
  <c r="DM12" i="19"/>
  <c r="DL12" i="19"/>
  <c r="DK13" i="19"/>
  <c r="BO12" i="19"/>
  <c r="BN12" i="19"/>
  <c r="BM13" i="19"/>
  <c r="DP13" i="19"/>
  <c r="DR12" i="19"/>
  <c r="DQ12" i="19"/>
  <c r="CI12" i="19"/>
  <c r="CH12" i="19"/>
  <c r="CG13" i="19"/>
  <c r="BT13" i="19" l="1"/>
  <c r="BS13" i="19"/>
  <c r="BR14" i="19"/>
  <c r="DR13" i="19"/>
  <c r="DQ13" i="19"/>
  <c r="DP14" i="19"/>
  <c r="CX13" i="19"/>
  <c r="CW13" i="19"/>
  <c r="CV14" i="19"/>
  <c r="CD13" i="19"/>
  <c r="CC13" i="19"/>
  <c r="CB14" i="19"/>
  <c r="DA14" i="19"/>
  <c r="DC13" i="19"/>
  <c r="DB13" i="19"/>
  <c r="EV13" i="19"/>
  <c r="EU13" i="19"/>
  <c r="ET14" i="19"/>
  <c r="AS14" i="19"/>
  <c r="AU13" i="19"/>
  <c r="AT13" i="19"/>
  <c r="DU14" i="19"/>
  <c r="DW13" i="19"/>
  <c r="DV13" i="19"/>
  <c r="EB13" i="19"/>
  <c r="EA13" i="19"/>
  <c r="DZ14" i="19"/>
  <c r="BC14" i="19"/>
  <c r="BE13" i="19"/>
  <c r="BD13" i="19"/>
  <c r="AF13" i="19"/>
  <c r="AE13" i="19"/>
  <c r="AD14" i="19"/>
  <c r="CN13" i="19"/>
  <c r="CM13" i="19"/>
  <c r="CL14" i="19"/>
  <c r="BJ13" i="19"/>
  <c r="BI13" i="19"/>
  <c r="BH14" i="19"/>
  <c r="Y14" i="19"/>
  <c r="AA13" i="19"/>
  <c r="Z13" i="19"/>
  <c r="CQ14" i="19"/>
  <c r="CS13" i="19"/>
  <c r="CR13" i="19"/>
  <c r="EE14" i="19"/>
  <c r="EG13" i="19"/>
  <c r="EF13" i="19"/>
  <c r="EL13" i="19"/>
  <c r="EK13" i="19"/>
  <c r="EJ14" i="19"/>
  <c r="EO14" i="19"/>
  <c r="EQ13" i="19"/>
  <c r="EP13" i="19"/>
  <c r="BM14" i="19"/>
  <c r="BO13" i="19"/>
  <c r="BN13" i="19"/>
  <c r="AZ13" i="19"/>
  <c r="AY13" i="19"/>
  <c r="AX14" i="19"/>
  <c r="CG14" i="19"/>
  <c r="CI13" i="19"/>
  <c r="CH13" i="19"/>
  <c r="DK14" i="19"/>
  <c r="DM13" i="19"/>
  <c r="DL13" i="19"/>
  <c r="BW14" i="19"/>
  <c r="BY13" i="19"/>
  <c r="BX13" i="19"/>
  <c r="V13" i="19"/>
  <c r="U13" i="19"/>
  <c r="T14" i="19"/>
  <c r="AP13" i="19"/>
  <c r="AO13" i="19"/>
  <c r="AN14" i="19"/>
  <c r="AI14" i="19"/>
  <c r="AK13" i="19"/>
  <c r="AJ13" i="19"/>
  <c r="DH13" i="19"/>
  <c r="DG13" i="19"/>
  <c r="DF14" i="19"/>
  <c r="EF14" i="19" l="1"/>
  <c r="EE15" i="19"/>
  <c r="EG14" i="19"/>
  <c r="DV14" i="19"/>
  <c r="DU15" i="19"/>
  <c r="DW14" i="19"/>
  <c r="DP15" i="19"/>
  <c r="DR14" i="19"/>
  <c r="DQ14" i="19"/>
  <c r="DB14" i="19"/>
  <c r="DA15" i="19"/>
  <c r="DC14" i="19"/>
  <c r="CL15" i="19"/>
  <c r="CN14" i="19"/>
  <c r="CM14" i="19"/>
  <c r="BD14" i="19"/>
  <c r="BC15" i="19"/>
  <c r="BE14" i="19"/>
  <c r="CB15" i="19"/>
  <c r="CD14" i="19"/>
  <c r="CC14" i="19"/>
  <c r="T15" i="19"/>
  <c r="V14" i="19"/>
  <c r="U14" i="19"/>
  <c r="EP14" i="19"/>
  <c r="EO15" i="19"/>
  <c r="EQ14" i="19"/>
  <c r="AN15" i="19"/>
  <c r="AP14" i="19"/>
  <c r="AO14" i="19"/>
  <c r="BX14" i="19"/>
  <c r="BW15" i="19"/>
  <c r="BY14" i="19"/>
  <c r="EJ15" i="19"/>
  <c r="EL14" i="19"/>
  <c r="EK14" i="19"/>
  <c r="CR14" i="19"/>
  <c r="CQ15" i="19"/>
  <c r="CS14" i="19"/>
  <c r="DZ15" i="19"/>
  <c r="EB14" i="19"/>
  <c r="EA14" i="19"/>
  <c r="AT14" i="19"/>
  <c r="AS15" i="19"/>
  <c r="AU14" i="19"/>
  <c r="BR15" i="19"/>
  <c r="BT14" i="19"/>
  <c r="BS14" i="19"/>
  <c r="DL14" i="19"/>
  <c r="DK15" i="19"/>
  <c r="DM14" i="19"/>
  <c r="Z14" i="19"/>
  <c r="Y15" i="19"/>
  <c r="AA14" i="19"/>
  <c r="AJ14" i="19"/>
  <c r="AI15" i="19"/>
  <c r="AK14" i="19"/>
  <c r="AX15" i="19"/>
  <c r="AZ14" i="19"/>
  <c r="AY14" i="19"/>
  <c r="DF15" i="19"/>
  <c r="DH14" i="19"/>
  <c r="DG14" i="19"/>
  <c r="ET15" i="19"/>
  <c r="EV14" i="19"/>
  <c r="EU14" i="19"/>
  <c r="BN14" i="19"/>
  <c r="BM15" i="19"/>
  <c r="BO14" i="19"/>
  <c r="BH15" i="19"/>
  <c r="BJ14" i="19"/>
  <c r="BI14" i="19"/>
  <c r="CH14" i="19"/>
  <c r="CG15" i="19"/>
  <c r="CI14" i="19"/>
  <c r="AD15" i="19"/>
  <c r="AF14" i="19"/>
  <c r="AE14" i="19"/>
  <c r="CV15" i="19"/>
  <c r="CX14" i="19"/>
  <c r="CW14" i="19"/>
  <c r="ET16" i="19" l="1"/>
  <c r="EU15" i="19"/>
  <c r="EV15" i="19"/>
  <c r="BY15" i="19"/>
  <c r="BX15" i="19"/>
  <c r="BW16" i="19"/>
  <c r="DF16" i="19"/>
  <c r="DG15" i="19"/>
  <c r="DH15" i="19"/>
  <c r="CV16" i="19"/>
  <c r="CX15" i="19"/>
  <c r="CW15" i="19"/>
  <c r="AK15" i="19"/>
  <c r="AJ15" i="19"/>
  <c r="AI16" i="19"/>
  <c r="DZ16" i="19"/>
  <c r="EA15" i="19"/>
  <c r="EB15" i="19"/>
  <c r="BH16" i="19"/>
  <c r="BJ15" i="19"/>
  <c r="BI15" i="19"/>
  <c r="CS15" i="19"/>
  <c r="CR15" i="19"/>
  <c r="CQ16" i="19"/>
  <c r="AD16" i="19"/>
  <c r="AF15" i="19"/>
  <c r="AE15" i="19"/>
  <c r="BO15" i="19"/>
  <c r="BN15" i="19"/>
  <c r="BM16" i="19"/>
  <c r="AA15" i="19"/>
  <c r="Z15" i="19"/>
  <c r="Y16" i="19"/>
  <c r="DW15" i="19"/>
  <c r="DV15" i="19"/>
  <c r="DU16" i="19"/>
  <c r="AU15" i="19"/>
  <c r="AT15" i="19"/>
  <c r="AS16" i="19"/>
  <c r="CI15" i="19"/>
  <c r="CH15" i="19"/>
  <c r="CG16" i="19"/>
  <c r="CB16" i="19"/>
  <c r="CD15" i="19"/>
  <c r="CC15" i="19"/>
  <c r="DC15" i="19"/>
  <c r="DB15" i="19"/>
  <c r="DA16" i="19"/>
  <c r="CL16" i="19"/>
  <c r="CM15" i="19"/>
  <c r="CN15" i="19"/>
  <c r="AN16" i="19"/>
  <c r="AO15" i="19"/>
  <c r="AP15" i="19"/>
  <c r="AX16" i="19"/>
  <c r="AY15" i="19"/>
  <c r="AZ15" i="19"/>
  <c r="DM15" i="19"/>
  <c r="DL15" i="19"/>
  <c r="DK16" i="19"/>
  <c r="EJ16" i="19"/>
  <c r="EL15" i="19"/>
  <c r="EK15" i="19"/>
  <c r="EQ15" i="19"/>
  <c r="EP15" i="19"/>
  <c r="EO16" i="19"/>
  <c r="EG15" i="19"/>
  <c r="EF15" i="19"/>
  <c r="EE16" i="19"/>
  <c r="DP16" i="19"/>
  <c r="DR15" i="19"/>
  <c r="DQ15" i="19"/>
  <c r="BR16" i="19"/>
  <c r="BS15" i="19"/>
  <c r="BT15" i="19"/>
  <c r="T16" i="19"/>
  <c r="U15" i="19"/>
  <c r="V15" i="19"/>
  <c r="BE15" i="19"/>
  <c r="BD15" i="19"/>
  <c r="BC16" i="19"/>
  <c r="EA16" i="19" l="1"/>
  <c r="EB16" i="19"/>
  <c r="DZ17" i="19"/>
  <c r="BM17" i="19"/>
  <c r="BO16" i="19"/>
  <c r="BN16" i="19"/>
  <c r="BW17" i="19"/>
  <c r="BY16" i="19"/>
  <c r="BX16" i="19"/>
  <c r="AU16" i="19"/>
  <c r="AT16" i="19"/>
  <c r="AS17" i="19"/>
  <c r="DP17" i="19"/>
  <c r="DR16" i="19"/>
  <c r="DQ16" i="19"/>
  <c r="EE17" i="19"/>
  <c r="EG16" i="19"/>
  <c r="EF16" i="19"/>
  <c r="EJ17" i="19"/>
  <c r="EL16" i="19"/>
  <c r="EK16" i="19"/>
  <c r="CQ17" i="19"/>
  <c r="CS16" i="19"/>
  <c r="CR16" i="19"/>
  <c r="AX17" i="19"/>
  <c r="AY16" i="19"/>
  <c r="AZ16" i="19"/>
  <c r="AN17" i="19"/>
  <c r="AP16" i="19"/>
  <c r="AO16" i="19"/>
  <c r="DU17" i="19"/>
  <c r="DW16" i="19"/>
  <c r="DV16" i="19"/>
  <c r="AK16" i="19"/>
  <c r="AJ16" i="19"/>
  <c r="AI17" i="19"/>
  <c r="T17" i="19"/>
  <c r="V16" i="19"/>
  <c r="U16" i="19"/>
  <c r="CB17" i="19"/>
  <c r="CD16" i="19"/>
  <c r="CC16" i="19"/>
  <c r="BH17" i="19"/>
  <c r="BJ16" i="19"/>
  <c r="BI16" i="19"/>
  <c r="DA17" i="19"/>
  <c r="DC16" i="19"/>
  <c r="DB16" i="19"/>
  <c r="DF17" i="19"/>
  <c r="DG16" i="19"/>
  <c r="DH16" i="19"/>
  <c r="CV17" i="19"/>
  <c r="CX16" i="19"/>
  <c r="CW16" i="19"/>
  <c r="DK17" i="19"/>
  <c r="DM16" i="19"/>
  <c r="DL16" i="19"/>
  <c r="EO17" i="19"/>
  <c r="EQ16" i="19"/>
  <c r="EP16" i="19"/>
  <c r="CG17" i="19"/>
  <c r="CI16" i="19"/>
  <c r="CH16" i="19"/>
  <c r="BE16" i="19"/>
  <c r="BD16" i="19"/>
  <c r="BC17" i="19"/>
  <c r="BR17" i="19"/>
  <c r="BS16" i="19"/>
  <c r="BT16" i="19"/>
  <c r="CL17" i="19"/>
  <c r="CM16" i="19"/>
  <c r="CN16" i="19"/>
  <c r="AA16" i="19"/>
  <c r="Z16" i="19"/>
  <c r="Y17" i="19"/>
  <c r="AD17" i="19"/>
  <c r="AE16" i="19"/>
  <c r="AF16" i="19"/>
  <c r="ET17" i="19"/>
  <c r="EU16" i="19"/>
  <c r="EV16" i="19"/>
  <c r="DF18" i="19" l="1"/>
  <c r="DH17" i="19"/>
  <c r="DG17" i="19"/>
  <c r="DW17" i="19"/>
  <c r="DV17" i="19"/>
  <c r="DU18" i="19"/>
  <c r="BY17" i="19"/>
  <c r="BW18" i="19"/>
  <c r="BX17" i="19"/>
  <c r="CN17" i="19"/>
  <c r="CM17" i="19"/>
  <c r="CL18" i="19"/>
  <c r="DB17" i="19"/>
  <c r="DA18" i="19"/>
  <c r="DC17" i="19"/>
  <c r="CQ18" i="19"/>
  <c r="CS17" i="19"/>
  <c r="CR17" i="19"/>
  <c r="CD17" i="19"/>
  <c r="CC17" i="19"/>
  <c r="CB18" i="19"/>
  <c r="DM17" i="19"/>
  <c r="DL17" i="19"/>
  <c r="DK18" i="19"/>
  <c r="CI17" i="19"/>
  <c r="CH17" i="19"/>
  <c r="CG18" i="19"/>
  <c r="AD18" i="19"/>
  <c r="AE17" i="19"/>
  <c r="AF17" i="19"/>
  <c r="CX17" i="19"/>
  <c r="CW17" i="19"/>
  <c r="CV18" i="19"/>
  <c r="AI18" i="19"/>
  <c r="AK17" i="19"/>
  <c r="AJ17" i="19"/>
  <c r="AN18" i="19"/>
  <c r="AP17" i="19"/>
  <c r="AO17" i="19"/>
  <c r="AS18" i="19"/>
  <c r="AU17" i="19"/>
  <c r="AT17" i="19"/>
  <c r="BO17" i="19"/>
  <c r="BM18" i="19"/>
  <c r="BN17" i="19"/>
  <c r="EE18" i="19"/>
  <c r="EG17" i="19"/>
  <c r="EF17" i="19"/>
  <c r="BH18" i="19"/>
  <c r="BJ17" i="19"/>
  <c r="BI17" i="19"/>
  <c r="EK17" i="19"/>
  <c r="EJ18" i="19"/>
  <c r="EL17" i="19"/>
  <c r="DZ18" i="19"/>
  <c r="EB17" i="19"/>
  <c r="EA17" i="19"/>
  <c r="ET18" i="19"/>
  <c r="EU17" i="19"/>
  <c r="EV17" i="19"/>
  <c r="T18" i="19"/>
  <c r="V17" i="19"/>
  <c r="U17" i="19"/>
  <c r="DP18" i="19"/>
  <c r="DR17" i="19"/>
  <c r="DQ17" i="19"/>
  <c r="Y18" i="19"/>
  <c r="AA17" i="19"/>
  <c r="Z17" i="19"/>
  <c r="BS17" i="19"/>
  <c r="BR18" i="19"/>
  <c r="BT17" i="19"/>
  <c r="BE17" i="19"/>
  <c r="BC18" i="19"/>
  <c r="BD17" i="19"/>
  <c r="EO18" i="19"/>
  <c r="EQ17" i="19"/>
  <c r="EP17" i="19"/>
  <c r="AY17" i="19"/>
  <c r="AZ17" i="19"/>
  <c r="AX18" i="19"/>
  <c r="BR19" i="19" l="1"/>
  <c r="BS18" i="19"/>
  <c r="BT18" i="19"/>
  <c r="DZ19" i="19"/>
  <c r="EB18" i="19"/>
  <c r="EA18" i="19"/>
  <c r="EG18" i="19"/>
  <c r="EF18" i="19"/>
  <c r="EE19" i="19"/>
  <c r="DC18" i="19"/>
  <c r="DA19" i="19"/>
  <c r="DB18" i="19"/>
  <c r="DW18" i="19"/>
  <c r="DU19" i="19"/>
  <c r="DV18" i="19"/>
  <c r="DP19" i="19"/>
  <c r="DR18" i="19"/>
  <c r="DQ18" i="19"/>
  <c r="AU18" i="19"/>
  <c r="AT18" i="19"/>
  <c r="AS19" i="19"/>
  <c r="BO18" i="19"/>
  <c r="BM19" i="19"/>
  <c r="BN18" i="19"/>
  <c r="AD19" i="19"/>
  <c r="AF18" i="19"/>
  <c r="AE18" i="19"/>
  <c r="CL19" i="19"/>
  <c r="CN18" i="19"/>
  <c r="CM18" i="19"/>
  <c r="DM18" i="19"/>
  <c r="DK19" i="19"/>
  <c r="DL18" i="19"/>
  <c r="AA18" i="19"/>
  <c r="Y19" i="19"/>
  <c r="Z18" i="19"/>
  <c r="CI18" i="19"/>
  <c r="CG19" i="19"/>
  <c r="CH18" i="19"/>
  <c r="BY18" i="19"/>
  <c r="BW19" i="19"/>
  <c r="BX18" i="19"/>
  <c r="T19" i="19"/>
  <c r="V18" i="19"/>
  <c r="U18" i="19"/>
  <c r="AN19" i="19"/>
  <c r="AP18" i="19"/>
  <c r="AO18" i="19"/>
  <c r="EQ18" i="19"/>
  <c r="EO19" i="19"/>
  <c r="EP18" i="19"/>
  <c r="BE18" i="19"/>
  <c r="BD18" i="19"/>
  <c r="BC19" i="19"/>
  <c r="ET19" i="19"/>
  <c r="EV18" i="19"/>
  <c r="EU18" i="19"/>
  <c r="AK18" i="19"/>
  <c r="AJ18" i="19"/>
  <c r="AI19" i="19"/>
  <c r="CS18" i="19"/>
  <c r="CR18" i="19"/>
  <c r="CQ19" i="19"/>
  <c r="EJ19" i="19"/>
  <c r="EL18" i="19"/>
  <c r="EK18" i="19"/>
  <c r="CB19" i="19"/>
  <c r="CD18" i="19"/>
  <c r="CC18" i="19"/>
  <c r="AX19" i="19"/>
  <c r="AZ18" i="19"/>
  <c r="AY18" i="19"/>
  <c r="BH19" i="19"/>
  <c r="BI18" i="19"/>
  <c r="BJ18" i="19"/>
  <c r="CV19" i="19"/>
  <c r="CX18" i="19"/>
  <c r="CW18" i="19"/>
  <c r="DF19" i="19"/>
  <c r="DH18" i="19"/>
  <c r="DG18" i="19"/>
  <c r="EJ20" i="19" l="1"/>
  <c r="EL19" i="19"/>
  <c r="EK19" i="19"/>
  <c r="DK20" i="19"/>
  <c r="DL19" i="19"/>
  <c r="DM19" i="19"/>
  <c r="DQ19" i="19"/>
  <c r="DP20" i="19"/>
  <c r="DR19" i="19"/>
  <c r="AO19" i="19"/>
  <c r="AN20" i="19"/>
  <c r="AP19" i="19"/>
  <c r="DU20" i="19"/>
  <c r="DV19" i="19"/>
  <c r="DW19" i="19"/>
  <c r="AS20" i="19"/>
  <c r="AT19" i="19"/>
  <c r="AU19" i="19"/>
  <c r="BC20" i="19"/>
  <c r="BD19" i="19"/>
  <c r="BE19" i="19"/>
  <c r="AI20" i="19"/>
  <c r="AJ19" i="19"/>
  <c r="AK19" i="19"/>
  <c r="CL20" i="19"/>
  <c r="CN19" i="19"/>
  <c r="CM19" i="19"/>
  <c r="DZ20" i="19"/>
  <c r="EB19" i="19"/>
  <c r="EA19" i="19"/>
  <c r="DF20" i="19"/>
  <c r="DH19" i="19"/>
  <c r="DG19" i="19"/>
  <c r="BM20" i="19"/>
  <c r="BN19" i="19"/>
  <c r="BO19" i="19"/>
  <c r="CG20" i="19"/>
  <c r="CH19" i="19"/>
  <c r="CI19" i="19"/>
  <c r="CV20" i="19"/>
  <c r="CX19" i="19"/>
  <c r="CW19" i="19"/>
  <c r="CC19" i="19"/>
  <c r="CB20" i="19"/>
  <c r="CD19" i="19"/>
  <c r="T20" i="19"/>
  <c r="V19" i="19"/>
  <c r="U19" i="19"/>
  <c r="Y20" i="19"/>
  <c r="Z19" i="19"/>
  <c r="AA19" i="19"/>
  <c r="DA20" i="19"/>
  <c r="DB19" i="19"/>
  <c r="DC19" i="19"/>
  <c r="EO20" i="19"/>
  <c r="EP19" i="19"/>
  <c r="EQ19" i="19"/>
  <c r="CQ20" i="19"/>
  <c r="CR19" i="19"/>
  <c r="CS19" i="19"/>
  <c r="ET20" i="19"/>
  <c r="EV19" i="19"/>
  <c r="EU19" i="19"/>
  <c r="AX20" i="19"/>
  <c r="AZ19" i="19"/>
  <c r="AY19" i="19"/>
  <c r="BH20" i="19"/>
  <c r="BJ19" i="19"/>
  <c r="BI19" i="19"/>
  <c r="BW20" i="19"/>
  <c r="BX19" i="19"/>
  <c r="BY19" i="19"/>
  <c r="AD20" i="19"/>
  <c r="AF19" i="19"/>
  <c r="AE19" i="19"/>
  <c r="EE20" i="19"/>
  <c r="EF19" i="19"/>
  <c r="EG19" i="19"/>
  <c r="BR20" i="19"/>
  <c r="BT19" i="19"/>
  <c r="BS19" i="19"/>
  <c r="BW21" i="19" l="1"/>
  <c r="BY20" i="19"/>
  <c r="BX20" i="19"/>
  <c r="T21" i="19"/>
  <c r="U20" i="19"/>
  <c r="V20" i="19"/>
  <c r="AI21" i="19"/>
  <c r="AK20" i="19"/>
  <c r="AJ20" i="19"/>
  <c r="CV21" i="19"/>
  <c r="CW20" i="19"/>
  <c r="CX20" i="19"/>
  <c r="BR21" i="19"/>
  <c r="BS20" i="19"/>
  <c r="BT20" i="19"/>
  <c r="CG21" i="19"/>
  <c r="CI20" i="19"/>
  <c r="CH20" i="19"/>
  <c r="DU21" i="19"/>
  <c r="DW20" i="19"/>
  <c r="DV20" i="19"/>
  <c r="DF21" i="19"/>
  <c r="DG20" i="19"/>
  <c r="DH20" i="19"/>
  <c r="DA21" i="19"/>
  <c r="DB20" i="19"/>
  <c r="DC20" i="19"/>
  <c r="CB21" i="19"/>
  <c r="CC20" i="19"/>
  <c r="CD20" i="19"/>
  <c r="DZ21" i="19"/>
  <c r="EA20" i="19"/>
  <c r="EB20" i="19"/>
  <c r="DK21" i="19"/>
  <c r="DM20" i="19"/>
  <c r="DL20" i="19"/>
  <c r="AX21" i="19"/>
  <c r="AY20" i="19"/>
  <c r="AZ20" i="19"/>
  <c r="AS21" i="19"/>
  <c r="AU20" i="19"/>
  <c r="AT20" i="19"/>
  <c r="BH21" i="19"/>
  <c r="BI20" i="19"/>
  <c r="BJ20" i="19"/>
  <c r="BC21" i="19"/>
  <c r="BE20" i="19"/>
  <c r="BD20" i="19"/>
  <c r="AN21" i="19"/>
  <c r="AO20" i="19"/>
  <c r="AP20" i="19"/>
  <c r="ET21" i="19"/>
  <c r="EU20" i="19"/>
  <c r="EV20" i="19"/>
  <c r="EE21" i="19"/>
  <c r="EG20" i="19"/>
  <c r="EF20" i="19"/>
  <c r="CQ21" i="19"/>
  <c r="CS20" i="19"/>
  <c r="CR20" i="19"/>
  <c r="BM21" i="19"/>
  <c r="BN20" i="19"/>
  <c r="BO20" i="19"/>
  <c r="DP21" i="19"/>
  <c r="DQ20" i="19"/>
  <c r="DR20" i="19"/>
  <c r="EO21" i="19"/>
  <c r="EP20" i="19"/>
  <c r="EQ20" i="19"/>
  <c r="AD21" i="19"/>
  <c r="AE20" i="19"/>
  <c r="AF20" i="19"/>
  <c r="Z20" i="19"/>
  <c r="Y21" i="19"/>
  <c r="AA20" i="19"/>
  <c r="CL21" i="19"/>
  <c r="CM20" i="19"/>
  <c r="CN20" i="19"/>
  <c r="EJ21" i="19"/>
  <c r="EK20" i="19"/>
  <c r="EL20" i="19"/>
  <c r="BC22" i="19" l="1"/>
  <c r="BD21" i="19"/>
  <c r="BE21" i="19"/>
  <c r="DF22" i="19"/>
  <c r="DH21" i="19"/>
  <c r="DG21" i="19"/>
  <c r="BM22" i="19"/>
  <c r="BO21" i="19"/>
  <c r="BN21" i="19"/>
  <c r="AX22" i="19"/>
  <c r="AZ21" i="19"/>
  <c r="AY21" i="19"/>
  <c r="BR22" i="19"/>
  <c r="BT21" i="19"/>
  <c r="BS21" i="19"/>
  <c r="CL22" i="19"/>
  <c r="CM21" i="19"/>
  <c r="CN21" i="19"/>
  <c r="ET22" i="19"/>
  <c r="EV21" i="19"/>
  <c r="EU21" i="19"/>
  <c r="CB22" i="19"/>
  <c r="CC21" i="19"/>
  <c r="CD21" i="19"/>
  <c r="T22" i="19"/>
  <c r="V21" i="19"/>
  <c r="U21" i="19"/>
  <c r="DP22" i="19"/>
  <c r="DR21" i="19"/>
  <c r="DQ21" i="19"/>
  <c r="CG22" i="19"/>
  <c r="CH21" i="19"/>
  <c r="CI21" i="19"/>
  <c r="AI22" i="19"/>
  <c r="AJ21" i="19"/>
  <c r="AK21" i="19"/>
  <c r="EO22" i="19"/>
  <c r="EQ21" i="19"/>
  <c r="EP21" i="19"/>
  <c r="BH22" i="19"/>
  <c r="BJ21" i="19"/>
  <c r="BI21" i="19"/>
  <c r="DU22" i="19"/>
  <c r="DV21" i="19"/>
  <c r="DW21" i="19"/>
  <c r="AS22" i="19"/>
  <c r="AT21" i="19"/>
  <c r="AU21" i="19"/>
  <c r="DZ22" i="19"/>
  <c r="EA21" i="19"/>
  <c r="EB21" i="19"/>
  <c r="AD22" i="19"/>
  <c r="AF21" i="19"/>
  <c r="AE21" i="19"/>
  <c r="Y22" i="19"/>
  <c r="Z21" i="19"/>
  <c r="AA21" i="19"/>
  <c r="CQ22" i="19"/>
  <c r="CR21" i="19"/>
  <c r="CS21" i="19"/>
  <c r="DK22" i="19"/>
  <c r="DM21" i="19"/>
  <c r="DL21" i="19"/>
  <c r="CV22" i="19"/>
  <c r="CX21" i="19"/>
  <c r="CW21" i="19"/>
  <c r="EJ22" i="19"/>
  <c r="EL21" i="19"/>
  <c r="EK21" i="19"/>
  <c r="EE22" i="19"/>
  <c r="EF21" i="19"/>
  <c r="EG21" i="19"/>
  <c r="AN22" i="19"/>
  <c r="AP21" i="19"/>
  <c r="AO21" i="19"/>
  <c r="DA22" i="19"/>
  <c r="DC21" i="19"/>
  <c r="DB21" i="19"/>
  <c r="BW22" i="19"/>
  <c r="BY21" i="19"/>
  <c r="BX21" i="19"/>
  <c r="BW23" i="19" l="1"/>
  <c r="BX22" i="19"/>
  <c r="BY22" i="19"/>
  <c r="CG23" i="19"/>
  <c r="CI22" i="19"/>
  <c r="CH22" i="19"/>
  <c r="EE23" i="19"/>
  <c r="EG22" i="19"/>
  <c r="EF22" i="19"/>
  <c r="AS23" i="19"/>
  <c r="AU22" i="19"/>
  <c r="AT22" i="19"/>
  <c r="CB23" i="19"/>
  <c r="CC22" i="19"/>
  <c r="CD22" i="19"/>
  <c r="BH23" i="19"/>
  <c r="BJ22" i="19"/>
  <c r="BI22" i="19"/>
  <c r="BR23" i="19"/>
  <c r="BS22" i="19"/>
  <c r="BT22" i="19"/>
  <c r="BM23" i="19"/>
  <c r="BO22" i="19"/>
  <c r="BN22" i="19"/>
  <c r="AD23" i="19"/>
  <c r="AE22" i="19"/>
  <c r="AF22" i="19"/>
  <c r="DP23" i="19"/>
  <c r="DQ22" i="19"/>
  <c r="DR22" i="19"/>
  <c r="DF23" i="19"/>
  <c r="DG22" i="19"/>
  <c r="DH22" i="19"/>
  <c r="CV23" i="19"/>
  <c r="CX22" i="19"/>
  <c r="CW22" i="19"/>
  <c r="CL23" i="19"/>
  <c r="CN22" i="19"/>
  <c r="CM22" i="19"/>
  <c r="Y23" i="19"/>
  <c r="AA22" i="19"/>
  <c r="Z22" i="19"/>
  <c r="EO23" i="19"/>
  <c r="EQ22" i="19"/>
  <c r="EP22" i="19"/>
  <c r="DA23" i="19"/>
  <c r="DC22" i="19"/>
  <c r="DB22" i="19"/>
  <c r="EJ23" i="19"/>
  <c r="EL22" i="19"/>
  <c r="EK22" i="19"/>
  <c r="DU23" i="19"/>
  <c r="DW22" i="19"/>
  <c r="DV22" i="19"/>
  <c r="ET23" i="19"/>
  <c r="EU22" i="19"/>
  <c r="EV22" i="19"/>
  <c r="DK23" i="19"/>
  <c r="DL22" i="19"/>
  <c r="DM22" i="19"/>
  <c r="CQ23" i="19"/>
  <c r="CS22" i="19"/>
  <c r="CR22" i="19"/>
  <c r="AI23" i="19"/>
  <c r="AJ22" i="19"/>
  <c r="AK22" i="19"/>
  <c r="AX23" i="19"/>
  <c r="AZ22" i="19"/>
  <c r="AY22" i="19"/>
  <c r="AN23" i="19"/>
  <c r="AO22" i="19"/>
  <c r="AP22" i="19"/>
  <c r="DZ23" i="19"/>
  <c r="EB22" i="19"/>
  <c r="EA22" i="19"/>
  <c r="T23" i="19"/>
  <c r="V22" i="19"/>
  <c r="U22" i="19"/>
  <c r="BC23" i="19"/>
  <c r="BE22" i="19"/>
  <c r="BD22" i="19"/>
  <c r="DZ24" i="19" l="1"/>
  <c r="EB23" i="19"/>
  <c r="EA23" i="19"/>
  <c r="Y24" i="19"/>
  <c r="Z23" i="19"/>
  <c r="AA23" i="19"/>
  <c r="DF24" i="19"/>
  <c r="DH23" i="19"/>
  <c r="DG23" i="19"/>
  <c r="EE24" i="19"/>
  <c r="EG23" i="19"/>
  <c r="EF23" i="19"/>
  <c r="AN24" i="19"/>
  <c r="AP23" i="19"/>
  <c r="AO23" i="19"/>
  <c r="DA24" i="19"/>
  <c r="DB23" i="19"/>
  <c r="DC23" i="19"/>
  <c r="BM24" i="19"/>
  <c r="BN23" i="19"/>
  <c r="BO23" i="19"/>
  <c r="BH24" i="19"/>
  <c r="BI23" i="19"/>
  <c r="BJ23" i="19"/>
  <c r="CL24" i="19"/>
  <c r="CN23" i="19"/>
  <c r="CM23" i="19"/>
  <c r="CB24" i="19"/>
  <c r="CD23" i="19"/>
  <c r="CC23" i="19"/>
  <c r="BW24" i="19"/>
  <c r="BY23" i="19"/>
  <c r="BX23" i="19"/>
  <c r="AI24" i="19"/>
  <c r="AK23" i="19"/>
  <c r="AJ23" i="19"/>
  <c r="DU24" i="19"/>
  <c r="DW23" i="19"/>
  <c r="DV23" i="19"/>
  <c r="DP24" i="19"/>
  <c r="DR23" i="19"/>
  <c r="DQ23" i="19"/>
  <c r="CG24" i="19"/>
  <c r="CI23" i="19"/>
  <c r="CH23" i="19"/>
  <c r="EJ24" i="19"/>
  <c r="EK23" i="19"/>
  <c r="EL23" i="19"/>
  <c r="AD24" i="19"/>
  <c r="AF23" i="19"/>
  <c r="AE23" i="19"/>
  <c r="T24" i="19"/>
  <c r="U23" i="19"/>
  <c r="V23" i="19"/>
  <c r="AX24" i="19"/>
  <c r="AZ23" i="19"/>
  <c r="AY23" i="19"/>
  <c r="EO24" i="19"/>
  <c r="EP23" i="19"/>
  <c r="EQ23" i="19"/>
  <c r="BR24" i="19"/>
  <c r="BT23" i="19"/>
  <c r="BS23" i="19"/>
  <c r="BC24" i="19"/>
  <c r="BE23" i="19"/>
  <c r="BD23" i="19"/>
  <c r="ET24" i="19"/>
  <c r="EV23" i="19"/>
  <c r="EU23" i="19"/>
  <c r="CQ24" i="19"/>
  <c r="CS23" i="19"/>
  <c r="CR23" i="19"/>
  <c r="DK24" i="19"/>
  <c r="DM23" i="19"/>
  <c r="DL23" i="19"/>
  <c r="CV24" i="19"/>
  <c r="CW23" i="19"/>
  <c r="CX23" i="19"/>
  <c r="AS24" i="19"/>
  <c r="AU23" i="19"/>
  <c r="AT23" i="19"/>
  <c r="DP25" i="19" l="1"/>
  <c r="DR24" i="19"/>
  <c r="DQ24" i="19"/>
  <c r="DF25" i="19"/>
  <c r="DH24" i="19"/>
  <c r="DG24" i="19"/>
  <c r="CQ25" i="19"/>
  <c r="CS24" i="19"/>
  <c r="CR24" i="19"/>
  <c r="EJ25" i="19"/>
  <c r="EL24" i="19"/>
  <c r="EK24" i="19"/>
  <c r="BH25" i="19"/>
  <c r="BJ24" i="19"/>
  <c r="BI24" i="19"/>
  <c r="DU25" i="19"/>
  <c r="DV24" i="19"/>
  <c r="DW24" i="19"/>
  <c r="AN25" i="19"/>
  <c r="AP24" i="19"/>
  <c r="AO24" i="19"/>
  <c r="CV25" i="19"/>
  <c r="CX24" i="19"/>
  <c r="CW24" i="19"/>
  <c r="T25" i="19"/>
  <c r="V24" i="19"/>
  <c r="U24" i="19"/>
  <c r="CB25" i="19"/>
  <c r="CD24" i="19"/>
  <c r="CC24" i="19"/>
  <c r="Y25" i="19"/>
  <c r="AA24" i="19"/>
  <c r="Z24" i="19"/>
  <c r="BC25" i="19"/>
  <c r="BE24" i="19"/>
  <c r="BD24" i="19"/>
  <c r="DA25" i="19"/>
  <c r="DC24" i="19"/>
  <c r="DB24" i="19"/>
  <c r="AS25" i="19"/>
  <c r="AT24" i="19"/>
  <c r="AU24" i="19"/>
  <c r="AX25" i="19"/>
  <c r="AY24" i="19"/>
  <c r="AZ24" i="19"/>
  <c r="BW25" i="19"/>
  <c r="BY24" i="19"/>
  <c r="BX24" i="19"/>
  <c r="BR25" i="19"/>
  <c r="BT24" i="19"/>
  <c r="BS24" i="19"/>
  <c r="ET25" i="19"/>
  <c r="EV24" i="19"/>
  <c r="EU24" i="19"/>
  <c r="CG25" i="19"/>
  <c r="CH24" i="19"/>
  <c r="CI24" i="19"/>
  <c r="BM25" i="19"/>
  <c r="BO24" i="19"/>
  <c r="BN24" i="19"/>
  <c r="EO25" i="19"/>
  <c r="EQ24" i="19"/>
  <c r="EP24" i="19"/>
  <c r="AI25" i="19"/>
  <c r="AK24" i="19"/>
  <c r="AJ24" i="19"/>
  <c r="EE25" i="19"/>
  <c r="EG24" i="19"/>
  <c r="EF24" i="19"/>
  <c r="DK25" i="19"/>
  <c r="DM24" i="19"/>
  <c r="DL24" i="19"/>
  <c r="AD25" i="19"/>
  <c r="AF24" i="19"/>
  <c r="AE24" i="19"/>
  <c r="CL25" i="19"/>
  <c r="CM24" i="19"/>
  <c r="CN24" i="19"/>
  <c r="DZ25" i="19"/>
  <c r="EA24" i="19"/>
  <c r="EB24" i="19"/>
  <c r="AS26" i="19" l="1"/>
  <c r="AU25" i="19"/>
  <c r="AT25" i="19"/>
  <c r="CL26" i="19"/>
  <c r="CN25" i="19"/>
  <c r="CM25" i="19"/>
  <c r="ET26" i="19"/>
  <c r="EU25" i="19"/>
  <c r="EV25" i="19"/>
  <c r="CB26" i="19"/>
  <c r="CD25" i="19"/>
  <c r="CC25" i="19"/>
  <c r="DF26" i="19"/>
  <c r="DG25" i="19"/>
  <c r="DH25" i="19"/>
  <c r="CQ26" i="19"/>
  <c r="CS25" i="19"/>
  <c r="CR25" i="19"/>
  <c r="DA26" i="19"/>
  <c r="DC25" i="19"/>
  <c r="DB25" i="19"/>
  <c r="BH26" i="19"/>
  <c r="BJ25" i="19"/>
  <c r="BI25" i="19"/>
  <c r="EE26" i="19"/>
  <c r="EG25" i="19"/>
  <c r="EF25" i="19"/>
  <c r="AX26" i="19"/>
  <c r="AZ25" i="19"/>
  <c r="AY25" i="19"/>
  <c r="AN26" i="19"/>
  <c r="AP25" i="19"/>
  <c r="AO25" i="19"/>
  <c r="Y26" i="19"/>
  <c r="AA25" i="19"/>
  <c r="Z25" i="19"/>
  <c r="DK26" i="19"/>
  <c r="DM25" i="19"/>
  <c r="DL25" i="19"/>
  <c r="BW26" i="19"/>
  <c r="BY25" i="19"/>
  <c r="BX25" i="19"/>
  <c r="CV26" i="19"/>
  <c r="CX25" i="19"/>
  <c r="CW25" i="19"/>
  <c r="EO26" i="19"/>
  <c r="EQ25" i="19"/>
  <c r="EP25" i="19"/>
  <c r="BM26" i="19"/>
  <c r="BO25" i="19"/>
  <c r="BN25" i="19"/>
  <c r="BC26" i="19"/>
  <c r="BE25" i="19"/>
  <c r="BD25" i="19"/>
  <c r="EJ26" i="19"/>
  <c r="EL25" i="19"/>
  <c r="EK25" i="19"/>
  <c r="AI26" i="19"/>
  <c r="AJ25" i="19"/>
  <c r="AK25" i="19"/>
  <c r="DU26" i="19"/>
  <c r="DW25" i="19"/>
  <c r="DV25" i="19"/>
  <c r="DZ26" i="19"/>
  <c r="EB25" i="19"/>
  <c r="EA25" i="19"/>
  <c r="CG26" i="19"/>
  <c r="CI25" i="19"/>
  <c r="CH25" i="19"/>
  <c r="AD26" i="19"/>
  <c r="AE25" i="19"/>
  <c r="AF25" i="19"/>
  <c r="BR26" i="19"/>
  <c r="BS25" i="19"/>
  <c r="BT25" i="19"/>
  <c r="T26" i="19"/>
  <c r="V25" i="19"/>
  <c r="U25" i="19"/>
  <c r="DP26" i="19"/>
  <c r="DR25" i="19"/>
  <c r="DQ25" i="19"/>
  <c r="DZ27" i="19" l="1"/>
  <c r="EB26" i="19"/>
  <c r="EA26" i="19"/>
  <c r="EJ27" i="19"/>
  <c r="EL26" i="19"/>
  <c r="EK26" i="19"/>
  <c r="ET27" i="19"/>
  <c r="EV26" i="19"/>
  <c r="EU26" i="19"/>
  <c r="AD27" i="19"/>
  <c r="AF26" i="19"/>
  <c r="AE26" i="19"/>
  <c r="EO27" i="19"/>
  <c r="EQ26" i="19"/>
  <c r="EP26" i="19"/>
  <c r="BH27" i="19"/>
  <c r="BJ26" i="19"/>
  <c r="BI26" i="19"/>
  <c r="BW27" i="19"/>
  <c r="BY26" i="19"/>
  <c r="BX26" i="19"/>
  <c r="DK27" i="19"/>
  <c r="DM26" i="19"/>
  <c r="DL26" i="19"/>
  <c r="DF27" i="19"/>
  <c r="DH26" i="19"/>
  <c r="DG26" i="19"/>
  <c r="BC27" i="19"/>
  <c r="BD26" i="19"/>
  <c r="BE26" i="19"/>
  <c r="AX27" i="19"/>
  <c r="AZ26" i="19"/>
  <c r="AY26" i="19"/>
  <c r="CL27" i="19"/>
  <c r="CN26" i="19"/>
  <c r="CM26" i="19"/>
  <c r="CQ27" i="19"/>
  <c r="CR26" i="19"/>
  <c r="CS26" i="19"/>
  <c r="T27" i="19"/>
  <c r="V26" i="19"/>
  <c r="U26" i="19"/>
  <c r="CG27" i="19"/>
  <c r="CI26" i="19"/>
  <c r="CH26" i="19"/>
  <c r="CV27" i="19"/>
  <c r="CX26" i="19"/>
  <c r="CW26" i="19"/>
  <c r="DA27" i="19"/>
  <c r="DC26" i="19"/>
  <c r="DB26" i="19"/>
  <c r="AN27" i="19"/>
  <c r="AP26" i="19"/>
  <c r="AO26" i="19"/>
  <c r="AI27" i="19"/>
  <c r="AK26" i="19"/>
  <c r="AJ26" i="19"/>
  <c r="Y27" i="19"/>
  <c r="AA26" i="19"/>
  <c r="Z26" i="19"/>
  <c r="CB27" i="19"/>
  <c r="CD26" i="19"/>
  <c r="CC26" i="19"/>
  <c r="DP27" i="19"/>
  <c r="DR26" i="19"/>
  <c r="DQ26" i="19"/>
  <c r="DU27" i="19"/>
  <c r="DW26" i="19"/>
  <c r="DV26" i="19"/>
  <c r="BR27" i="19"/>
  <c r="BT26" i="19"/>
  <c r="BS26" i="19"/>
  <c r="BM27" i="19"/>
  <c r="BO26" i="19"/>
  <c r="BN26" i="19"/>
  <c r="EE27" i="19"/>
  <c r="EF26" i="19"/>
  <c r="EG26" i="19"/>
  <c r="AS27" i="19"/>
  <c r="AU26" i="19"/>
  <c r="AT26" i="19"/>
  <c r="CL28" i="19" l="1"/>
  <c r="CN27" i="19"/>
  <c r="CM27" i="19"/>
  <c r="AD28" i="19"/>
  <c r="AF27" i="19"/>
  <c r="AE27" i="19"/>
  <c r="DZ28" i="19"/>
  <c r="EB27" i="19"/>
  <c r="EA27" i="19"/>
  <c r="DP28" i="19"/>
  <c r="DQ27" i="19"/>
  <c r="DR27" i="19"/>
  <c r="ET28" i="19"/>
  <c r="EV27" i="19"/>
  <c r="EU27" i="19"/>
  <c r="BR28" i="19"/>
  <c r="BT27" i="19"/>
  <c r="BS27" i="19"/>
  <c r="CV28" i="19"/>
  <c r="CX27" i="19"/>
  <c r="CW27" i="19"/>
  <c r="DK28" i="19"/>
  <c r="DM27" i="19"/>
  <c r="DL27" i="19"/>
  <c r="Y28" i="19"/>
  <c r="AA27" i="19"/>
  <c r="Z27" i="19"/>
  <c r="DA28" i="19"/>
  <c r="DC27" i="19"/>
  <c r="DB27" i="19"/>
  <c r="BH28" i="19"/>
  <c r="BJ27" i="19"/>
  <c r="BI27" i="19"/>
  <c r="AS28" i="19"/>
  <c r="AU27" i="19"/>
  <c r="AT27" i="19"/>
  <c r="AI28" i="19"/>
  <c r="AK27" i="19"/>
  <c r="AJ27" i="19"/>
  <c r="CQ28" i="19"/>
  <c r="CS27" i="19"/>
  <c r="CR27" i="19"/>
  <c r="EO28" i="19"/>
  <c r="EQ27" i="19"/>
  <c r="EP27" i="19"/>
  <c r="DF28" i="19"/>
  <c r="DH27" i="19"/>
  <c r="DG27" i="19"/>
  <c r="T28" i="19"/>
  <c r="V27" i="19"/>
  <c r="U27" i="19"/>
  <c r="EE28" i="19"/>
  <c r="EG27" i="19"/>
  <c r="EF27" i="19"/>
  <c r="AN28" i="19"/>
  <c r="AO27" i="19"/>
  <c r="AP27" i="19"/>
  <c r="BC28" i="19"/>
  <c r="BE27" i="19"/>
  <c r="BD27" i="19"/>
  <c r="EJ28" i="19"/>
  <c r="EL27" i="19"/>
  <c r="EK27" i="19"/>
  <c r="BM28" i="19"/>
  <c r="BO27" i="19"/>
  <c r="BN27" i="19"/>
  <c r="AX28" i="19"/>
  <c r="AZ27" i="19"/>
  <c r="AY27" i="19"/>
  <c r="CB28" i="19"/>
  <c r="CC27" i="19"/>
  <c r="CD27" i="19"/>
  <c r="DU28" i="19"/>
  <c r="DW27" i="19"/>
  <c r="DV27" i="19"/>
  <c r="CG28" i="19"/>
  <c r="CI27" i="19"/>
  <c r="CH27" i="19"/>
  <c r="BW28" i="19"/>
  <c r="BY27" i="19"/>
  <c r="BX27" i="19"/>
  <c r="CQ29" i="19" l="1"/>
  <c r="CS28" i="19"/>
  <c r="CR28" i="19"/>
  <c r="BW29" i="19"/>
  <c r="BY28" i="19"/>
  <c r="BX28" i="19"/>
  <c r="AN29" i="19"/>
  <c r="AP28" i="19"/>
  <c r="AO28" i="19"/>
  <c r="DZ29" i="19"/>
  <c r="EB28" i="19"/>
  <c r="EA28" i="19"/>
  <c r="CB29" i="19"/>
  <c r="CD28" i="19"/>
  <c r="CC28" i="19"/>
  <c r="DF29" i="19"/>
  <c r="DH28" i="19"/>
  <c r="DG28" i="19"/>
  <c r="DK29" i="19"/>
  <c r="DM28" i="19"/>
  <c r="DL28" i="19"/>
  <c r="BR29" i="19"/>
  <c r="BT28" i="19"/>
  <c r="BS28" i="19"/>
  <c r="BH29" i="19"/>
  <c r="BJ28" i="19"/>
  <c r="BI28" i="19"/>
  <c r="EJ29" i="19"/>
  <c r="EL28" i="19"/>
  <c r="EK28" i="19"/>
  <c r="AI29" i="19"/>
  <c r="AK28" i="19"/>
  <c r="AJ28" i="19"/>
  <c r="ET29" i="19"/>
  <c r="EV28" i="19"/>
  <c r="EU28" i="19"/>
  <c r="EE29" i="19"/>
  <c r="EG28" i="19"/>
  <c r="EF28" i="19"/>
  <c r="AD29" i="19"/>
  <c r="AF28" i="19"/>
  <c r="AE28" i="19"/>
  <c r="AX29" i="19"/>
  <c r="AZ28" i="19"/>
  <c r="AY28" i="19"/>
  <c r="EO29" i="19"/>
  <c r="EP28" i="19"/>
  <c r="EQ28" i="19"/>
  <c r="CV29" i="19"/>
  <c r="CX28" i="19"/>
  <c r="CW28" i="19"/>
  <c r="BM29" i="19"/>
  <c r="BN28" i="19"/>
  <c r="BO28" i="19"/>
  <c r="CG29" i="19"/>
  <c r="CI28" i="19"/>
  <c r="CH28" i="19"/>
  <c r="BC29" i="19"/>
  <c r="BE28" i="19"/>
  <c r="BD28" i="19"/>
  <c r="AS29" i="19"/>
  <c r="AU28" i="19"/>
  <c r="AT28" i="19"/>
  <c r="DP29" i="19"/>
  <c r="DR28" i="19"/>
  <c r="DQ28" i="19"/>
  <c r="DA29" i="19"/>
  <c r="DB28" i="19"/>
  <c r="DC28" i="19"/>
  <c r="DU29" i="19"/>
  <c r="DW28" i="19"/>
  <c r="DV28" i="19"/>
  <c r="T29" i="19"/>
  <c r="V28" i="19"/>
  <c r="U28" i="19"/>
  <c r="Y29" i="19"/>
  <c r="Z28" i="19"/>
  <c r="AA28" i="19"/>
  <c r="CL29" i="19"/>
  <c r="CN28" i="19"/>
  <c r="CM28" i="19"/>
  <c r="AD30" i="19" l="1"/>
  <c r="AF29" i="19"/>
  <c r="AE29" i="19"/>
  <c r="DF30" i="19"/>
  <c r="DH29" i="19"/>
  <c r="DG29" i="19"/>
  <c r="CL30" i="19"/>
  <c r="CM29" i="19"/>
  <c r="CN29" i="19"/>
  <c r="CG30" i="19"/>
  <c r="CI29" i="19"/>
  <c r="CH29" i="19"/>
  <c r="AN30" i="19"/>
  <c r="AP29" i="19"/>
  <c r="AO29" i="19"/>
  <c r="DU30" i="19"/>
  <c r="DW29" i="19"/>
  <c r="DV29" i="19"/>
  <c r="EO30" i="19"/>
  <c r="EQ29" i="19"/>
  <c r="EP29" i="19"/>
  <c r="BR30" i="19"/>
  <c r="BT29" i="19"/>
  <c r="BS29" i="19"/>
  <c r="EE30" i="19"/>
  <c r="EG29" i="19"/>
  <c r="EF29" i="19"/>
  <c r="EJ30" i="19"/>
  <c r="EL29" i="19"/>
  <c r="EK29" i="19"/>
  <c r="BW30" i="19"/>
  <c r="BY29" i="19"/>
  <c r="BX29" i="19"/>
  <c r="AX30" i="19"/>
  <c r="AY29" i="19"/>
  <c r="AZ29" i="19"/>
  <c r="DK30" i="19"/>
  <c r="DM29" i="19"/>
  <c r="DL29" i="19"/>
  <c r="DP30" i="19"/>
  <c r="DR29" i="19"/>
  <c r="DQ29" i="19"/>
  <c r="Y30" i="19"/>
  <c r="AA29" i="19"/>
  <c r="Z29" i="19"/>
  <c r="BC30" i="19"/>
  <c r="BE29" i="19"/>
  <c r="BD29" i="19"/>
  <c r="ET30" i="19"/>
  <c r="EV29" i="19"/>
  <c r="EU29" i="19"/>
  <c r="DZ30" i="19"/>
  <c r="EA29" i="19"/>
  <c r="EB29" i="19"/>
  <c r="AI30" i="19"/>
  <c r="AK29" i="19"/>
  <c r="AJ29" i="19"/>
  <c r="AS30" i="19"/>
  <c r="AU29" i="19"/>
  <c r="AT29" i="19"/>
  <c r="CB30" i="19"/>
  <c r="CD29" i="19"/>
  <c r="CC29" i="19"/>
  <c r="BM30" i="19"/>
  <c r="BO29" i="19"/>
  <c r="BN29" i="19"/>
  <c r="DA30" i="19"/>
  <c r="DC29" i="19"/>
  <c r="DB29" i="19"/>
  <c r="T30" i="19"/>
  <c r="V29" i="19"/>
  <c r="U29" i="19"/>
  <c r="CV30" i="19"/>
  <c r="CX29" i="19"/>
  <c r="CW29" i="19"/>
  <c r="BH30" i="19"/>
  <c r="BJ29" i="19"/>
  <c r="BI29" i="19"/>
  <c r="CQ30" i="19"/>
  <c r="CS29" i="19"/>
  <c r="CR29" i="19"/>
  <c r="CQ31" i="19" l="1"/>
  <c r="CS30" i="19"/>
  <c r="CR30" i="19"/>
  <c r="AI31" i="19"/>
  <c r="AJ30" i="19"/>
  <c r="AK30" i="19"/>
  <c r="BW31" i="19"/>
  <c r="BX30" i="19"/>
  <c r="BY30" i="19"/>
  <c r="CL31" i="19"/>
  <c r="CN30" i="19"/>
  <c r="CM30" i="19"/>
  <c r="T31" i="19"/>
  <c r="V30" i="19"/>
  <c r="U30" i="19"/>
  <c r="BC31" i="19"/>
  <c r="BE30" i="19"/>
  <c r="BD30" i="19"/>
  <c r="BR31" i="19"/>
  <c r="BT30" i="19"/>
  <c r="BS30" i="19"/>
  <c r="BM31" i="19"/>
  <c r="BO30" i="19"/>
  <c r="BN30" i="19"/>
  <c r="DP31" i="19"/>
  <c r="DR30" i="19"/>
  <c r="DQ30" i="19"/>
  <c r="AN31" i="19"/>
  <c r="AP30" i="19"/>
  <c r="AO30" i="19"/>
  <c r="DZ31" i="19"/>
  <c r="EB30" i="19"/>
  <c r="EA30" i="19"/>
  <c r="DF31" i="19"/>
  <c r="DH30" i="19"/>
  <c r="DG30" i="19"/>
  <c r="DA31" i="19"/>
  <c r="DC30" i="19"/>
  <c r="DB30" i="19"/>
  <c r="Y31" i="19"/>
  <c r="AA30" i="19"/>
  <c r="Z30" i="19"/>
  <c r="EO31" i="19"/>
  <c r="EQ30" i="19"/>
  <c r="EP30" i="19"/>
  <c r="BH31" i="19"/>
  <c r="BJ30" i="19"/>
  <c r="BI30" i="19"/>
  <c r="EJ31" i="19"/>
  <c r="EL30" i="19"/>
  <c r="EK30" i="19"/>
  <c r="AS31" i="19"/>
  <c r="AU30" i="19"/>
  <c r="AT30" i="19"/>
  <c r="AX31" i="19"/>
  <c r="AZ30" i="19"/>
  <c r="AY30" i="19"/>
  <c r="CG31" i="19"/>
  <c r="CI30" i="19"/>
  <c r="CH30" i="19"/>
  <c r="DU31" i="19"/>
  <c r="DW30" i="19"/>
  <c r="DV30" i="19"/>
  <c r="CB31" i="19"/>
  <c r="CD30" i="19"/>
  <c r="CC30" i="19"/>
  <c r="DK31" i="19"/>
  <c r="DL30" i="19"/>
  <c r="DM30" i="19"/>
  <c r="CV31" i="19"/>
  <c r="CX30" i="19"/>
  <c r="CW30" i="19"/>
  <c r="ET31" i="19"/>
  <c r="EV30" i="19"/>
  <c r="EU30" i="19"/>
  <c r="EE31" i="19"/>
  <c r="EG30" i="19"/>
  <c r="EF30" i="19"/>
  <c r="AD31" i="19"/>
  <c r="AF30" i="19"/>
  <c r="AE30" i="19"/>
  <c r="CB32" i="19" l="1"/>
  <c r="CD31" i="19"/>
  <c r="CC31" i="19"/>
  <c r="Y32" i="19"/>
  <c r="AA31" i="19"/>
  <c r="Z31" i="19"/>
  <c r="BC32" i="19"/>
  <c r="BE31" i="19"/>
  <c r="BD31" i="19"/>
  <c r="AD32" i="19"/>
  <c r="AF31" i="19"/>
  <c r="AE31" i="19"/>
  <c r="AX32" i="19"/>
  <c r="AZ31" i="19"/>
  <c r="AY31" i="19"/>
  <c r="DZ32" i="19"/>
  <c r="EB31" i="19"/>
  <c r="EA31" i="19"/>
  <c r="BW32" i="19"/>
  <c r="BY31" i="19"/>
  <c r="BX31" i="19"/>
  <c r="BH32" i="19"/>
  <c r="BI31" i="19"/>
  <c r="BJ31" i="19"/>
  <c r="AN32" i="19"/>
  <c r="AP31" i="19"/>
  <c r="AO31" i="19"/>
  <c r="AI32" i="19"/>
  <c r="AK31" i="19"/>
  <c r="AJ31" i="19"/>
  <c r="EE32" i="19"/>
  <c r="EG31" i="19"/>
  <c r="EF31" i="19"/>
  <c r="EO32" i="19"/>
  <c r="EQ31" i="19"/>
  <c r="EP31" i="19"/>
  <c r="BR32" i="19"/>
  <c r="BT31" i="19"/>
  <c r="BS31" i="19"/>
  <c r="CV32" i="19"/>
  <c r="CW31" i="19"/>
  <c r="CX31" i="19"/>
  <c r="BM32" i="19"/>
  <c r="BO31" i="19"/>
  <c r="BN31" i="19"/>
  <c r="DA32" i="19"/>
  <c r="DC31" i="19"/>
  <c r="DB31" i="19"/>
  <c r="AS32" i="19"/>
  <c r="AU31" i="19"/>
  <c r="AT31" i="19"/>
  <c r="DK32" i="19"/>
  <c r="DM31" i="19"/>
  <c r="DL31" i="19"/>
  <c r="CG32" i="19"/>
  <c r="CI31" i="19"/>
  <c r="CH31" i="19"/>
  <c r="DF32" i="19"/>
  <c r="DH31" i="19"/>
  <c r="DG31" i="19"/>
  <c r="CL32" i="19"/>
  <c r="CN31" i="19"/>
  <c r="CM31" i="19"/>
  <c r="DU32" i="19"/>
  <c r="DW31" i="19"/>
  <c r="DV31" i="19"/>
  <c r="T32" i="19"/>
  <c r="U31" i="19"/>
  <c r="V31" i="19"/>
  <c r="ET32" i="19"/>
  <c r="EV31" i="19"/>
  <c r="EU31" i="19"/>
  <c r="EJ32" i="19"/>
  <c r="EK31" i="19"/>
  <c r="EL31" i="19"/>
  <c r="DP32" i="19"/>
  <c r="DR31" i="19"/>
  <c r="DQ31" i="19"/>
  <c r="CQ32" i="19"/>
  <c r="CS31" i="19"/>
  <c r="CR31" i="19"/>
  <c r="DZ33" i="19" l="1"/>
  <c r="EB32" i="19"/>
  <c r="EA32" i="19"/>
  <c r="CQ33" i="19"/>
  <c r="CS32" i="19"/>
  <c r="CR32" i="19"/>
  <c r="CG33" i="19"/>
  <c r="CH32" i="19"/>
  <c r="CI32" i="19"/>
  <c r="EE33" i="19"/>
  <c r="EG32" i="19"/>
  <c r="EF32" i="19"/>
  <c r="BC33" i="19"/>
  <c r="BE32" i="19"/>
  <c r="BD32" i="19"/>
  <c r="CL33" i="19"/>
  <c r="CN32" i="19"/>
  <c r="CM32" i="19"/>
  <c r="BR33" i="19"/>
  <c r="BT32" i="19"/>
  <c r="BS32" i="19"/>
  <c r="AX33" i="19"/>
  <c r="AZ32" i="19"/>
  <c r="AY32" i="19"/>
  <c r="AN33" i="19"/>
  <c r="AP32" i="19"/>
  <c r="AO32" i="19"/>
  <c r="BH33" i="19"/>
  <c r="BJ32" i="19"/>
  <c r="BI32" i="19"/>
  <c r="DK33" i="19"/>
  <c r="DM32" i="19"/>
  <c r="DL32" i="19"/>
  <c r="AI33" i="19"/>
  <c r="AK32" i="19"/>
  <c r="AJ32" i="19"/>
  <c r="Y33" i="19"/>
  <c r="AA32" i="19"/>
  <c r="Z32" i="19"/>
  <c r="DU33" i="19"/>
  <c r="DV32" i="19"/>
  <c r="DW32" i="19"/>
  <c r="CV33" i="19"/>
  <c r="CX32" i="19"/>
  <c r="CW32" i="19"/>
  <c r="ET33" i="19"/>
  <c r="EV32" i="19"/>
  <c r="EU32" i="19"/>
  <c r="DA33" i="19"/>
  <c r="DC32" i="19"/>
  <c r="DB32" i="19"/>
  <c r="DP33" i="19"/>
  <c r="DR32" i="19"/>
  <c r="DQ32" i="19"/>
  <c r="T33" i="19"/>
  <c r="V32" i="19"/>
  <c r="U32" i="19"/>
  <c r="BM33" i="19"/>
  <c r="BO32" i="19"/>
  <c r="BN32" i="19"/>
  <c r="BW33" i="19"/>
  <c r="BY32" i="19"/>
  <c r="BX32" i="19"/>
  <c r="EJ33" i="19"/>
  <c r="EL32" i="19"/>
  <c r="EK32" i="19"/>
  <c r="AS33" i="19"/>
  <c r="AT32" i="19"/>
  <c r="AU32" i="19"/>
  <c r="CB33" i="19"/>
  <c r="CD32" i="19"/>
  <c r="CC32" i="19"/>
  <c r="DF33" i="19"/>
  <c r="DH32" i="19"/>
  <c r="DG32" i="19"/>
  <c r="EO33" i="19"/>
  <c r="EQ32" i="19"/>
  <c r="EP32" i="19"/>
  <c r="AD33" i="19"/>
  <c r="AF32" i="19"/>
  <c r="AE32" i="19"/>
  <c r="AN34" i="19" l="1"/>
  <c r="AP33" i="19"/>
  <c r="AO33" i="19"/>
  <c r="DU34" i="19"/>
  <c r="DW33" i="19"/>
  <c r="DV33" i="19"/>
  <c r="CL34" i="19"/>
  <c r="CN33" i="19"/>
  <c r="CM33" i="19"/>
  <c r="AD34" i="19"/>
  <c r="AE33" i="19"/>
  <c r="AF33" i="19"/>
  <c r="T34" i="19"/>
  <c r="V33" i="19"/>
  <c r="U33" i="19"/>
  <c r="DK34" i="19"/>
  <c r="DM33" i="19"/>
  <c r="DL33" i="19"/>
  <c r="CG34" i="19"/>
  <c r="CI33" i="19"/>
  <c r="CH33" i="19"/>
  <c r="EJ34" i="19"/>
  <c r="EL33" i="19"/>
  <c r="EK33" i="19"/>
  <c r="Y34" i="19"/>
  <c r="AA33" i="19"/>
  <c r="Z33" i="19"/>
  <c r="BC34" i="19"/>
  <c r="BE33" i="19"/>
  <c r="BD33" i="19"/>
  <c r="DF34" i="19"/>
  <c r="DG33" i="19"/>
  <c r="DH33" i="19"/>
  <c r="AX34" i="19"/>
  <c r="AZ33" i="19"/>
  <c r="AY33" i="19"/>
  <c r="EO34" i="19"/>
  <c r="EQ33" i="19"/>
  <c r="EP33" i="19"/>
  <c r="DP34" i="19"/>
  <c r="DR33" i="19"/>
  <c r="DQ33" i="19"/>
  <c r="BH34" i="19"/>
  <c r="BJ33" i="19"/>
  <c r="BI33" i="19"/>
  <c r="CQ34" i="19"/>
  <c r="CS33" i="19"/>
  <c r="CR33" i="19"/>
  <c r="CB34" i="19"/>
  <c r="CD33" i="19"/>
  <c r="CC33" i="19"/>
  <c r="BW34" i="19"/>
  <c r="BY33" i="19"/>
  <c r="BX33" i="19"/>
  <c r="AS34" i="19"/>
  <c r="AU33" i="19"/>
  <c r="AT33" i="19"/>
  <c r="CV34" i="19"/>
  <c r="CX33" i="19"/>
  <c r="CW33" i="19"/>
  <c r="BR34" i="19"/>
  <c r="BS33" i="19"/>
  <c r="BT33" i="19"/>
  <c r="DA34" i="19"/>
  <c r="DC33" i="19"/>
  <c r="DB33" i="19"/>
  <c r="DZ34" i="19"/>
  <c r="EB33" i="19"/>
  <c r="EA33" i="19"/>
  <c r="ET34" i="19"/>
  <c r="EU33" i="19"/>
  <c r="EV33" i="19"/>
  <c r="BM34" i="19"/>
  <c r="BO33" i="19"/>
  <c r="BN33" i="19"/>
  <c r="AI34" i="19"/>
  <c r="AK33" i="19"/>
  <c r="AJ33" i="19"/>
  <c r="EE34" i="19"/>
  <c r="EG33" i="19"/>
  <c r="EF33" i="19"/>
  <c r="EE35" i="19" l="1"/>
  <c r="EG34" i="19"/>
  <c r="EF34" i="19"/>
  <c r="AS35" i="19"/>
  <c r="AU34" i="19"/>
  <c r="AT34" i="19"/>
  <c r="DF35" i="19"/>
  <c r="DH34" i="19"/>
  <c r="DG34" i="19"/>
  <c r="CL35" i="19"/>
  <c r="CN34" i="19"/>
  <c r="CM34" i="19"/>
  <c r="DA35" i="19"/>
  <c r="DC34" i="19"/>
  <c r="DB34" i="19"/>
  <c r="DP35" i="19"/>
  <c r="DR34" i="19"/>
  <c r="DQ34" i="19"/>
  <c r="DK35" i="19"/>
  <c r="DM34" i="19"/>
  <c r="DL34" i="19"/>
  <c r="ET35" i="19"/>
  <c r="EV34" i="19"/>
  <c r="EU34" i="19"/>
  <c r="CQ35" i="19"/>
  <c r="CR34" i="19"/>
  <c r="CS34" i="19"/>
  <c r="EJ35" i="19"/>
  <c r="EL34" i="19"/>
  <c r="EK34" i="19"/>
  <c r="CV35" i="19"/>
  <c r="CX34" i="19"/>
  <c r="CW34" i="19"/>
  <c r="BR35" i="19"/>
  <c r="BT34" i="19"/>
  <c r="BS34" i="19"/>
  <c r="EO35" i="19"/>
  <c r="EQ34" i="19"/>
  <c r="EP34" i="19"/>
  <c r="T35" i="19"/>
  <c r="V34" i="19"/>
  <c r="U34" i="19"/>
  <c r="AI35" i="19"/>
  <c r="AK34" i="19"/>
  <c r="AJ34" i="19"/>
  <c r="BW35" i="19"/>
  <c r="BY34" i="19"/>
  <c r="BX34" i="19"/>
  <c r="BC35" i="19"/>
  <c r="BD34" i="19"/>
  <c r="BE34" i="19"/>
  <c r="DU35" i="19"/>
  <c r="DW34" i="19"/>
  <c r="DV34" i="19"/>
  <c r="DZ35" i="19"/>
  <c r="EB34" i="19"/>
  <c r="EA34" i="19"/>
  <c r="BH35" i="19"/>
  <c r="BJ34" i="19"/>
  <c r="BI34" i="19"/>
  <c r="CG35" i="19"/>
  <c r="CI34" i="19"/>
  <c r="CH34" i="19"/>
  <c r="AX35" i="19"/>
  <c r="AZ34" i="19"/>
  <c r="AY34" i="19"/>
  <c r="AD35" i="19"/>
  <c r="AF34" i="19"/>
  <c r="AE34" i="19"/>
  <c r="BM35" i="19"/>
  <c r="BO34" i="19"/>
  <c r="BN34" i="19"/>
  <c r="CB35" i="19"/>
  <c r="CD34" i="19"/>
  <c r="CC34" i="19"/>
  <c r="Y35" i="19"/>
  <c r="AA34" i="19"/>
  <c r="Z34" i="19"/>
  <c r="AN35" i="19"/>
  <c r="AP34" i="19"/>
  <c r="AO34" i="19"/>
  <c r="BH36" i="19" l="1"/>
  <c r="BJ35" i="19"/>
  <c r="BI35" i="19"/>
  <c r="BR36" i="19"/>
  <c r="BT35" i="19"/>
  <c r="BS35" i="19"/>
  <c r="CL36" i="19"/>
  <c r="CN35" i="19"/>
  <c r="CM35" i="19"/>
  <c r="CB36" i="19"/>
  <c r="CD35" i="19"/>
  <c r="CC35" i="19"/>
  <c r="BC36" i="19"/>
  <c r="BE35" i="19"/>
  <c r="BD35" i="19"/>
  <c r="CQ36" i="19"/>
  <c r="CS35" i="19"/>
  <c r="CR35" i="19"/>
  <c r="EE36" i="19"/>
  <c r="EG35" i="19"/>
  <c r="EF35" i="19"/>
  <c r="AX36" i="19"/>
  <c r="AY35" i="19"/>
  <c r="AZ35" i="19"/>
  <c r="T36" i="19"/>
  <c r="V35" i="19"/>
  <c r="U35" i="19"/>
  <c r="DP36" i="19"/>
  <c r="DR35" i="19"/>
  <c r="DQ35" i="19"/>
  <c r="AN36" i="19"/>
  <c r="AP35" i="19"/>
  <c r="AO35" i="19"/>
  <c r="DZ36" i="19"/>
  <c r="EA35" i="19"/>
  <c r="EB35" i="19"/>
  <c r="CV36" i="19"/>
  <c r="CX35" i="19"/>
  <c r="CW35" i="19"/>
  <c r="DF36" i="19"/>
  <c r="DH35" i="19"/>
  <c r="DG35" i="19"/>
  <c r="BM36" i="19"/>
  <c r="BN35" i="19"/>
  <c r="BO35" i="19"/>
  <c r="CG36" i="19"/>
  <c r="CI35" i="19"/>
  <c r="CH35" i="19"/>
  <c r="EO36" i="19"/>
  <c r="EP35" i="19"/>
  <c r="EQ35" i="19"/>
  <c r="DA36" i="19"/>
  <c r="DC35" i="19"/>
  <c r="DB35" i="19"/>
  <c r="BW36" i="19"/>
  <c r="BY35" i="19"/>
  <c r="BX35" i="19"/>
  <c r="ET36" i="19"/>
  <c r="EV35" i="19"/>
  <c r="EU35" i="19"/>
  <c r="Y36" i="19"/>
  <c r="AA35" i="19"/>
  <c r="Z35" i="19"/>
  <c r="DU36" i="19"/>
  <c r="DW35" i="19"/>
  <c r="DV35" i="19"/>
  <c r="EJ36" i="19"/>
  <c r="EL35" i="19"/>
  <c r="EK35" i="19"/>
  <c r="AS36" i="19"/>
  <c r="AU35" i="19"/>
  <c r="AT35" i="19"/>
  <c r="AD36" i="19"/>
  <c r="AF35" i="19"/>
  <c r="AE35" i="19"/>
  <c r="AI36" i="19"/>
  <c r="AK35" i="19"/>
  <c r="AJ35" i="19"/>
  <c r="DK36" i="19"/>
  <c r="DM35" i="19"/>
  <c r="DL35" i="19"/>
  <c r="BY36" i="19" l="1"/>
  <c r="BX36" i="19"/>
  <c r="BW37" i="19"/>
  <c r="AN37" i="19"/>
  <c r="AP36" i="19"/>
  <c r="AO36" i="19"/>
  <c r="CL37" i="19"/>
  <c r="CN36" i="19"/>
  <c r="CM36" i="19"/>
  <c r="DF37" i="19"/>
  <c r="DH36" i="19"/>
  <c r="DG36" i="19"/>
  <c r="CI36" i="19"/>
  <c r="CH36" i="19"/>
  <c r="CG37" i="19"/>
  <c r="AX37" i="19"/>
  <c r="AZ36" i="19"/>
  <c r="AY36" i="19"/>
  <c r="Y37" i="19"/>
  <c r="AA36" i="19"/>
  <c r="Z36" i="19"/>
  <c r="DC36" i="19"/>
  <c r="DB36" i="19"/>
  <c r="DA37" i="19"/>
  <c r="EJ37" i="19"/>
  <c r="EL36" i="19"/>
  <c r="EK36" i="19"/>
  <c r="BM37" i="19"/>
  <c r="BO36" i="19"/>
  <c r="BN36" i="19"/>
  <c r="EG36" i="19"/>
  <c r="EF36" i="19"/>
  <c r="EE37" i="19"/>
  <c r="DW36" i="19"/>
  <c r="DV36" i="19"/>
  <c r="DU37" i="19"/>
  <c r="CS36" i="19"/>
  <c r="CR36" i="19"/>
  <c r="CQ37" i="19"/>
  <c r="CV37" i="19"/>
  <c r="CX36" i="19"/>
  <c r="CW36" i="19"/>
  <c r="BC37" i="19"/>
  <c r="BE36" i="19"/>
  <c r="BD36" i="19"/>
  <c r="AI37" i="19"/>
  <c r="AK36" i="19"/>
  <c r="AJ36" i="19"/>
  <c r="DP37" i="19"/>
  <c r="DR36" i="19"/>
  <c r="DQ36" i="19"/>
  <c r="BR37" i="19"/>
  <c r="BT36" i="19"/>
  <c r="BS36" i="19"/>
  <c r="ET37" i="19"/>
  <c r="EV36" i="19"/>
  <c r="EU36" i="19"/>
  <c r="DZ37" i="19"/>
  <c r="EA36" i="19"/>
  <c r="EB36" i="19"/>
  <c r="CB37" i="19"/>
  <c r="CD36" i="19"/>
  <c r="CC36" i="19"/>
  <c r="DM36" i="19"/>
  <c r="DL36" i="19"/>
  <c r="DK37" i="19"/>
  <c r="AS37" i="19"/>
  <c r="AU36" i="19"/>
  <c r="AT36" i="19"/>
  <c r="AD37" i="19"/>
  <c r="AF36" i="19"/>
  <c r="AE36" i="19"/>
  <c r="EQ36" i="19"/>
  <c r="EP36" i="19"/>
  <c r="EO37" i="19"/>
  <c r="T37" i="19"/>
  <c r="V36" i="19"/>
  <c r="U36" i="19"/>
  <c r="BH37" i="19"/>
  <c r="BJ36" i="19"/>
  <c r="BI36" i="19"/>
  <c r="CX37" i="19" l="1"/>
  <c r="CW37" i="19"/>
  <c r="CV38" i="19"/>
  <c r="BJ37" i="19"/>
  <c r="BI37" i="19"/>
  <c r="BH38" i="19"/>
  <c r="ET38" i="19"/>
  <c r="EV37" i="19"/>
  <c r="EU37" i="19"/>
  <c r="CQ38" i="19"/>
  <c r="CS37" i="19"/>
  <c r="CR37" i="19"/>
  <c r="CG38" i="19"/>
  <c r="CI37" i="19"/>
  <c r="CH37" i="19"/>
  <c r="CN37" i="19"/>
  <c r="CM37" i="19"/>
  <c r="CL38" i="19"/>
  <c r="AF37" i="19"/>
  <c r="AE37" i="19"/>
  <c r="AD38" i="19"/>
  <c r="AI38" i="19"/>
  <c r="AK37" i="19"/>
  <c r="AJ37" i="19"/>
  <c r="BT37" i="19"/>
  <c r="BS37" i="19"/>
  <c r="BR38" i="19"/>
  <c r="DU38" i="19"/>
  <c r="DW37" i="19"/>
  <c r="DV37" i="19"/>
  <c r="BM38" i="19"/>
  <c r="BO37" i="19"/>
  <c r="BN37" i="19"/>
  <c r="AP37" i="19"/>
  <c r="AO37" i="19"/>
  <c r="AN38" i="19"/>
  <c r="DA38" i="19"/>
  <c r="DC37" i="19"/>
  <c r="DB37" i="19"/>
  <c r="CD37" i="19"/>
  <c r="CC37" i="19"/>
  <c r="CB38" i="19"/>
  <c r="V37" i="19"/>
  <c r="U37" i="19"/>
  <c r="T38" i="19"/>
  <c r="EO38" i="19"/>
  <c r="EQ37" i="19"/>
  <c r="EP37" i="19"/>
  <c r="AS38" i="19"/>
  <c r="AU37" i="19"/>
  <c r="AT37" i="19"/>
  <c r="BC38" i="19"/>
  <c r="BE37" i="19"/>
  <c r="BD37" i="19"/>
  <c r="Y38" i="19"/>
  <c r="AA37" i="19"/>
  <c r="Z37" i="19"/>
  <c r="BW38" i="19"/>
  <c r="BX37" i="19"/>
  <c r="BY37" i="19"/>
  <c r="AZ37" i="19"/>
  <c r="AY37" i="19"/>
  <c r="AX38" i="19"/>
  <c r="DK38" i="19"/>
  <c r="DM37" i="19"/>
  <c r="DL37" i="19"/>
  <c r="DZ38" i="19"/>
  <c r="EB37" i="19"/>
  <c r="EA37" i="19"/>
  <c r="DH37" i="19"/>
  <c r="DG37" i="19"/>
  <c r="DF38" i="19"/>
  <c r="DR37" i="19"/>
  <c r="DQ37" i="19"/>
  <c r="DP38" i="19"/>
  <c r="EE38" i="19"/>
  <c r="EG37" i="19"/>
  <c r="EF37" i="19"/>
  <c r="EJ38" i="19"/>
  <c r="EL37" i="19"/>
  <c r="EK37" i="19"/>
  <c r="EJ39" i="19" l="1"/>
  <c r="EL38" i="19"/>
  <c r="EK38" i="19"/>
  <c r="AX39" i="19"/>
  <c r="AZ38" i="19"/>
  <c r="AY38" i="19"/>
  <c r="Y39" i="19"/>
  <c r="AA38" i="19"/>
  <c r="Z38" i="19"/>
  <c r="BM39" i="19"/>
  <c r="BO38" i="19"/>
  <c r="BN38" i="19"/>
  <c r="ET39" i="19"/>
  <c r="EV38" i="19"/>
  <c r="EU38" i="19"/>
  <c r="EO39" i="19"/>
  <c r="EQ38" i="19"/>
  <c r="EP38" i="19"/>
  <c r="AI39" i="19"/>
  <c r="AK38" i="19"/>
  <c r="AJ38" i="19"/>
  <c r="BH39" i="19"/>
  <c r="BJ38" i="19"/>
  <c r="BI38" i="19"/>
  <c r="DF39" i="19"/>
  <c r="DH38" i="19"/>
  <c r="DG38" i="19"/>
  <c r="EE39" i="19"/>
  <c r="EG38" i="19"/>
  <c r="EF38" i="19"/>
  <c r="BC39" i="19"/>
  <c r="BE38" i="19"/>
  <c r="BD38" i="19"/>
  <c r="AN39" i="19"/>
  <c r="AP38" i="19"/>
  <c r="AO38" i="19"/>
  <c r="DU39" i="19"/>
  <c r="DW38" i="19"/>
  <c r="DV38" i="19"/>
  <c r="DK39" i="19"/>
  <c r="DM38" i="19"/>
  <c r="DL38" i="19"/>
  <c r="DA39" i="19"/>
  <c r="DC38" i="19"/>
  <c r="DB38" i="19"/>
  <c r="BR39" i="19"/>
  <c r="BT38" i="19"/>
  <c r="BS38" i="19"/>
  <c r="CV39" i="19"/>
  <c r="CX38" i="19"/>
  <c r="CW38" i="19"/>
  <c r="BW39" i="19"/>
  <c r="BY38" i="19"/>
  <c r="BX38" i="19"/>
  <c r="CB39" i="19"/>
  <c r="CD38" i="19"/>
  <c r="CC38" i="19"/>
  <c r="CL39" i="19"/>
  <c r="CN38" i="19"/>
  <c r="CM38" i="19"/>
  <c r="CQ39" i="19"/>
  <c r="CS38" i="19"/>
  <c r="CR38" i="19"/>
  <c r="T39" i="19"/>
  <c r="V38" i="19"/>
  <c r="U38" i="19"/>
  <c r="AD39" i="19"/>
  <c r="AF38" i="19"/>
  <c r="AE38" i="19"/>
  <c r="CG39" i="19"/>
  <c r="CI38" i="19"/>
  <c r="CH38" i="19"/>
  <c r="DP39" i="19"/>
  <c r="DQ38" i="19"/>
  <c r="DR38" i="19"/>
  <c r="DZ39" i="19"/>
  <c r="EA38" i="19"/>
  <c r="EB38" i="19"/>
  <c r="AS39" i="19"/>
  <c r="AU38" i="19"/>
  <c r="AT38" i="19"/>
  <c r="DP40" i="19" l="1"/>
  <c r="DR39" i="19"/>
  <c r="DQ39" i="19"/>
  <c r="AS40" i="19"/>
  <c r="AU39" i="19"/>
  <c r="AT39" i="19"/>
  <c r="CG40" i="19"/>
  <c r="CI39" i="19"/>
  <c r="CH39" i="19"/>
  <c r="BR40" i="19"/>
  <c r="BT39" i="19"/>
  <c r="BS39" i="19"/>
  <c r="BH40" i="19"/>
  <c r="BJ39" i="19"/>
  <c r="BI39" i="19"/>
  <c r="DK40" i="19"/>
  <c r="DL39" i="19"/>
  <c r="DM39" i="19"/>
  <c r="EO40" i="19"/>
  <c r="EP39" i="19"/>
  <c r="EQ39" i="19"/>
  <c r="CQ40" i="19"/>
  <c r="CS39" i="19"/>
  <c r="CR39" i="19"/>
  <c r="DU40" i="19"/>
  <c r="DW39" i="19"/>
  <c r="DV39" i="19"/>
  <c r="ET40" i="19"/>
  <c r="EV39" i="19"/>
  <c r="EU39" i="19"/>
  <c r="BC40" i="19"/>
  <c r="BE39" i="19"/>
  <c r="BD39" i="19"/>
  <c r="BW40" i="19"/>
  <c r="BX39" i="19"/>
  <c r="BY39" i="19"/>
  <c r="EE40" i="19"/>
  <c r="EG39" i="19"/>
  <c r="EF39" i="19"/>
  <c r="AX40" i="19"/>
  <c r="AZ39" i="19"/>
  <c r="AY39" i="19"/>
  <c r="T40" i="19"/>
  <c r="V39" i="19"/>
  <c r="U39" i="19"/>
  <c r="DA40" i="19"/>
  <c r="DB39" i="19"/>
  <c r="DC39" i="19"/>
  <c r="AI40" i="19"/>
  <c r="AJ39" i="19"/>
  <c r="AK39" i="19"/>
  <c r="CB40" i="19"/>
  <c r="CD39" i="19"/>
  <c r="CC39" i="19"/>
  <c r="Y40" i="19"/>
  <c r="Z39" i="19"/>
  <c r="AA39" i="19"/>
  <c r="DZ40" i="19"/>
  <c r="EB39" i="19"/>
  <c r="EA39" i="19"/>
  <c r="AD40" i="19"/>
  <c r="AF39" i="19"/>
  <c r="AE39" i="19"/>
  <c r="CL40" i="19"/>
  <c r="CN39" i="19"/>
  <c r="CM39" i="19"/>
  <c r="AN40" i="19"/>
  <c r="AP39" i="19"/>
  <c r="AO39" i="19"/>
  <c r="BM40" i="19"/>
  <c r="BN39" i="19"/>
  <c r="BO39" i="19"/>
  <c r="CV40" i="19"/>
  <c r="CX39" i="19"/>
  <c r="CW39" i="19"/>
  <c r="DF40" i="19"/>
  <c r="DH39" i="19"/>
  <c r="DG39" i="19"/>
  <c r="EJ40" i="19"/>
  <c r="EL39" i="19"/>
  <c r="EK39" i="19"/>
  <c r="AX41" i="19" l="1"/>
  <c r="AY40" i="19"/>
  <c r="AZ40" i="19"/>
  <c r="EJ41" i="19"/>
  <c r="EK40" i="19"/>
  <c r="EL40" i="19"/>
  <c r="Y41" i="19"/>
  <c r="AA40" i="19"/>
  <c r="Z40" i="19"/>
  <c r="BC41" i="19"/>
  <c r="BE40" i="19"/>
  <c r="BD40" i="19"/>
  <c r="CG41" i="19"/>
  <c r="CI40" i="19"/>
  <c r="CH40" i="19"/>
  <c r="BM41" i="19"/>
  <c r="BO40" i="19"/>
  <c r="BN40" i="19"/>
  <c r="DA41" i="19"/>
  <c r="DC40" i="19"/>
  <c r="DB40" i="19"/>
  <c r="CQ41" i="19"/>
  <c r="CS40" i="19"/>
  <c r="CR40" i="19"/>
  <c r="EE41" i="19"/>
  <c r="EG40" i="19"/>
  <c r="EF40" i="19"/>
  <c r="BH41" i="19"/>
  <c r="BI40" i="19"/>
  <c r="BJ40" i="19"/>
  <c r="AD41" i="19"/>
  <c r="AF40" i="19"/>
  <c r="AE40" i="19"/>
  <c r="DF41" i="19"/>
  <c r="DH40" i="19"/>
  <c r="DG40" i="19"/>
  <c r="CB41" i="19"/>
  <c r="CD40" i="19"/>
  <c r="CC40" i="19"/>
  <c r="ET41" i="19"/>
  <c r="EV40" i="19"/>
  <c r="EU40" i="19"/>
  <c r="AS41" i="19"/>
  <c r="AU40" i="19"/>
  <c r="AT40" i="19"/>
  <c r="AN41" i="19"/>
  <c r="AP40" i="19"/>
  <c r="AO40" i="19"/>
  <c r="T41" i="19"/>
  <c r="U40" i="19"/>
  <c r="V40" i="19"/>
  <c r="EO41" i="19"/>
  <c r="EQ40" i="19"/>
  <c r="EP40" i="19"/>
  <c r="CL41" i="19"/>
  <c r="CM40" i="19"/>
  <c r="CN40" i="19"/>
  <c r="DZ41" i="19"/>
  <c r="EA40" i="19"/>
  <c r="EB40" i="19"/>
  <c r="BW41" i="19"/>
  <c r="BY40" i="19"/>
  <c r="BX40" i="19"/>
  <c r="BR41" i="19"/>
  <c r="BT40" i="19"/>
  <c r="BS40" i="19"/>
  <c r="DK41" i="19"/>
  <c r="DM40" i="19"/>
  <c r="DL40" i="19"/>
  <c r="CV41" i="19"/>
  <c r="CW40" i="19"/>
  <c r="CX40" i="19"/>
  <c r="AI41" i="19"/>
  <c r="AK40" i="19"/>
  <c r="AJ40" i="19"/>
  <c r="DU41" i="19"/>
  <c r="DW40" i="19"/>
  <c r="DV40" i="19"/>
  <c r="DP41" i="19"/>
  <c r="DR40" i="19"/>
  <c r="DQ40" i="19"/>
  <c r="BC42" i="19" l="1"/>
  <c r="BE41" i="19"/>
  <c r="BD41" i="19"/>
  <c r="T42" i="19"/>
  <c r="V41" i="19"/>
  <c r="U41" i="19"/>
  <c r="EE42" i="19"/>
  <c r="EG41" i="19"/>
  <c r="EF41" i="19"/>
  <c r="AX42" i="19"/>
  <c r="AZ41" i="19"/>
  <c r="AY41" i="19"/>
  <c r="BR42" i="19"/>
  <c r="BT41" i="19"/>
  <c r="BS41" i="19"/>
  <c r="ET42" i="19"/>
  <c r="EV41" i="19"/>
  <c r="EU41" i="19"/>
  <c r="BM42" i="19"/>
  <c r="BO41" i="19"/>
  <c r="BN41" i="19"/>
  <c r="DP42" i="19"/>
  <c r="DR41" i="19"/>
  <c r="DQ41" i="19"/>
  <c r="CL42" i="19"/>
  <c r="CN41" i="19"/>
  <c r="CM41" i="19"/>
  <c r="AD42" i="19"/>
  <c r="AF41" i="19"/>
  <c r="AE41" i="19"/>
  <c r="Y42" i="19"/>
  <c r="AA41" i="19"/>
  <c r="Z41" i="19"/>
  <c r="DZ42" i="19"/>
  <c r="EB41" i="19"/>
  <c r="EA41" i="19"/>
  <c r="AI42" i="19"/>
  <c r="AJ41" i="19"/>
  <c r="AK41" i="19"/>
  <c r="CV42" i="19"/>
  <c r="CX41" i="19"/>
  <c r="CW41" i="19"/>
  <c r="CQ42" i="19"/>
  <c r="CS41" i="19"/>
  <c r="CR41" i="19"/>
  <c r="BW42" i="19"/>
  <c r="BX41" i="19"/>
  <c r="BY41" i="19"/>
  <c r="EO42" i="19"/>
  <c r="EQ41" i="19"/>
  <c r="EP41" i="19"/>
  <c r="BH42" i="19"/>
  <c r="BJ41" i="19"/>
  <c r="BI41" i="19"/>
  <c r="EJ42" i="19"/>
  <c r="EL41" i="19"/>
  <c r="EK41" i="19"/>
  <c r="DF42" i="19"/>
  <c r="DH41" i="19"/>
  <c r="DG41" i="19"/>
  <c r="AN42" i="19"/>
  <c r="AP41" i="19"/>
  <c r="AO41" i="19"/>
  <c r="CB42" i="19"/>
  <c r="CD41" i="19"/>
  <c r="CC41" i="19"/>
  <c r="CG42" i="19"/>
  <c r="CH41" i="19"/>
  <c r="CI41" i="19"/>
  <c r="DU42" i="19"/>
  <c r="DV41" i="19"/>
  <c r="DW41" i="19"/>
  <c r="DK42" i="19"/>
  <c r="DL41" i="19"/>
  <c r="DM41" i="19"/>
  <c r="AS42" i="19"/>
  <c r="AT41" i="19"/>
  <c r="AU41" i="19"/>
  <c r="DA42" i="19"/>
  <c r="DC41" i="19"/>
  <c r="DB41" i="19"/>
  <c r="DF43" i="19" l="1"/>
  <c r="DG42" i="19"/>
  <c r="DH42" i="19"/>
  <c r="DZ43" i="19"/>
  <c r="EA42" i="19"/>
  <c r="EB42" i="19"/>
  <c r="DK43" i="19"/>
  <c r="DM42" i="19"/>
  <c r="DL42" i="19"/>
  <c r="BC43" i="19"/>
  <c r="BE42" i="19"/>
  <c r="BD42" i="19"/>
  <c r="CB43" i="19"/>
  <c r="CD42" i="19"/>
  <c r="CC42" i="19"/>
  <c r="CV43" i="19"/>
  <c r="CW42" i="19"/>
  <c r="CX42" i="19"/>
  <c r="ET43" i="19"/>
  <c r="EU42" i="19"/>
  <c r="EV42" i="19"/>
  <c r="DA43" i="19"/>
  <c r="DC42" i="19"/>
  <c r="DB42" i="19"/>
  <c r="EJ43" i="19"/>
  <c r="EL42" i="19"/>
  <c r="EK42" i="19"/>
  <c r="Y43" i="19"/>
  <c r="AA42" i="19"/>
  <c r="Z42" i="19"/>
  <c r="EE43" i="19"/>
  <c r="EG42" i="19"/>
  <c r="EF42" i="19"/>
  <c r="AX43" i="19"/>
  <c r="AZ42" i="19"/>
  <c r="AY42" i="19"/>
  <c r="EO43" i="19"/>
  <c r="EQ42" i="19"/>
  <c r="EP42" i="19"/>
  <c r="DU43" i="19"/>
  <c r="DW42" i="19"/>
  <c r="DV42" i="19"/>
  <c r="AN43" i="19"/>
  <c r="AP42" i="19"/>
  <c r="AO42" i="19"/>
  <c r="AI43" i="19"/>
  <c r="AK42" i="19"/>
  <c r="AJ42" i="19"/>
  <c r="BR43" i="19"/>
  <c r="BS42" i="19"/>
  <c r="BT42" i="19"/>
  <c r="BW43" i="19"/>
  <c r="BY42" i="19"/>
  <c r="BX42" i="19"/>
  <c r="DP43" i="19"/>
  <c r="DR42" i="19"/>
  <c r="DQ42" i="19"/>
  <c r="AS43" i="19"/>
  <c r="AU42" i="19"/>
  <c r="AT42" i="19"/>
  <c r="BH43" i="19"/>
  <c r="BI42" i="19"/>
  <c r="BJ42" i="19"/>
  <c r="AD43" i="19"/>
  <c r="AE42" i="19"/>
  <c r="AF42" i="19"/>
  <c r="T43" i="19"/>
  <c r="U42" i="19"/>
  <c r="V42" i="19"/>
  <c r="CG43" i="19"/>
  <c r="CI42" i="19"/>
  <c r="CH42" i="19"/>
  <c r="CQ43" i="19"/>
  <c r="CS42" i="19"/>
  <c r="CR42" i="19"/>
  <c r="BM43" i="19"/>
  <c r="BO42" i="19"/>
  <c r="BN42" i="19"/>
  <c r="CL43" i="19"/>
  <c r="CN42" i="19"/>
  <c r="CM42" i="19"/>
  <c r="AS44" i="19" l="1"/>
  <c r="AU43" i="19"/>
  <c r="AT43" i="19"/>
  <c r="AX44" i="19"/>
  <c r="AZ43" i="19"/>
  <c r="AY43" i="19"/>
  <c r="BC44" i="19"/>
  <c r="BD43" i="19"/>
  <c r="BE43" i="19"/>
  <c r="CQ44" i="19"/>
  <c r="CR43" i="19"/>
  <c r="CS43" i="19"/>
  <c r="BR44" i="19"/>
  <c r="BS43" i="19"/>
  <c r="BT43" i="19"/>
  <c r="EJ44" i="19"/>
  <c r="EL43" i="19"/>
  <c r="EK43" i="19"/>
  <c r="DF44" i="19"/>
  <c r="DH43" i="19"/>
  <c r="DG43" i="19"/>
  <c r="AD44" i="19"/>
  <c r="AE43" i="19"/>
  <c r="AF43" i="19"/>
  <c r="DU44" i="19"/>
  <c r="DW43" i="19"/>
  <c r="DV43" i="19"/>
  <c r="CV44" i="19"/>
  <c r="CX43" i="19"/>
  <c r="CW43" i="19"/>
  <c r="EE44" i="19"/>
  <c r="EF43" i="19"/>
  <c r="EG43" i="19"/>
  <c r="EO44" i="19"/>
  <c r="EQ43" i="19"/>
  <c r="EP43" i="19"/>
  <c r="CB44" i="19"/>
  <c r="CD43" i="19"/>
  <c r="CC43" i="19"/>
  <c r="DP44" i="19"/>
  <c r="DR43" i="19"/>
  <c r="DQ43" i="19"/>
  <c r="DK44" i="19"/>
  <c r="DL43" i="19"/>
  <c r="DM43" i="19"/>
  <c r="CG44" i="19"/>
  <c r="CI43" i="19"/>
  <c r="CH43" i="19"/>
  <c r="DA44" i="19"/>
  <c r="DB43" i="19"/>
  <c r="DC43" i="19"/>
  <c r="BH44" i="19"/>
  <c r="BJ43" i="19"/>
  <c r="BI43" i="19"/>
  <c r="BM44" i="19"/>
  <c r="BN43" i="19"/>
  <c r="BO43" i="19"/>
  <c r="BW44" i="19"/>
  <c r="BX43" i="19"/>
  <c r="BY43" i="19"/>
  <c r="Y44" i="19"/>
  <c r="AA43" i="19"/>
  <c r="Z43" i="19"/>
  <c r="DZ44" i="19"/>
  <c r="EB43" i="19"/>
  <c r="EA43" i="19"/>
  <c r="CL44" i="19"/>
  <c r="CN43" i="19"/>
  <c r="CM43" i="19"/>
  <c r="AI44" i="19"/>
  <c r="AJ43" i="19"/>
  <c r="AK43" i="19"/>
  <c r="T44" i="19"/>
  <c r="V43" i="19"/>
  <c r="U43" i="19"/>
  <c r="AN44" i="19"/>
  <c r="AP43" i="19"/>
  <c r="AO43" i="19"/>
  <c r="ET44" i="19"/>
  <c r="EV43" i="19"/>
  <c r="EU43" i="19"/>
  <c r="EJ45" i="19" l="1"/>
  <c r="EK44" i="19"/>
  <c r="EL44" i="19"/>
  <c r="BM45" i="19"/>
  <c r="BO44" i="19"/>
  <c r="BN44" i="19"/>
  <c r="EE45" i="19"/>
  <c r="EG44" i="19"/>
  <c r="EF44" i="19"/>
  <c r="BC45" i="19"/>
  <c r="BD44" i="19"/>
  <c r="BE44" i="19"/>
  <c r="DZ45" i="19"/>
  <c r="EB44" i="19"/>
  <c r="EA44" i="19"/>
  <c r="DP45" i="19"/>
  <c r="DQ44" i="19"/>
  <c r="DR44" i="19"/>
  <c r="ET45" i="19"/>
  <c r="EV44" i="19"/>
  <c r="EU44" i="19"/>
  <c r="AI45" i="19"/>
  <c r="AK44" i="19"/>
  <c r="AJ44" i="19"/>
  <c r="CG45" i="19"/>
  <c r="CI44" i="19"/>
  <c r="CH44" i="19"/>
  <c r="AD45" i="19"/>
  <c r="AF44" i="19"/>
  <c r="AE44" i="19"/>
  <c r="Y45" i="19"/>
  <c r="AA44" i="19"/>
  <c r="Z44" i="19"/>
  <c r="BH45" i="19"/>
  <c r="BI44" i="19"/>
  <c r="BJ44" i="19"/>
  <c r="CV45" i="19"/>
  <c r="CW44" i="19"/>
  <c r="CX44" i="19"/>
  <c r="AX45" i="19"/>
  <c r="AZ44" i="19"/>
  <c r="AY44" i="19"/>
  <c r="BR45" i="19"/>
  <c r="BT44" i="19"/>
  <c r="BS44" i="19"/>
  <c r="AN45" i="19"/>
  <c r="AO44" i="19"/>
  <c r="AP44" i="19"/>
  <c r="CL45" i="19"/>
  <c r="CM44" i="19"/>
  <c r="CN44" i="19"/>
  <c r="DK45" i="19"/>
  <c r="DM44" i="19"/>
  <c r="DL44" i="19"/>
  <c r="DF45" i="19"/>
  <c r="DH44" i="19"/>
  <c r="DG44" i="19"/>
  <c r="CB45" i="19"/>
  <c r="CC44" i="19"/>
  <c r="CD44" i="19"/>
  <c r="BW45" i="19"/>
  <c r="BY44" i="19"/>
  <c r="BX44" i="19"/>
  <c r="EO45" i="19"/>
  <c r="EQ44" i="19"/>
  <c r="EP44" i="19"/>
  <c r="CQ45" i="19"/>
  <c r="CR44" i="19"/>
  <c r="CS44" i="19"/>
  <c r="T45" i="19"/>
  <c r="U44" i="19"/>
  <c r="V44" i="19"/>
  <c r="DA45" i="19"/>
  <c r="DC44" i="19"/>
  <c r="DB44" i="19"/>
  <c r="DU45" i="19"/>
  <c r="DW44" i="19"/>
  <c r="DV44" i="19"/>
  <c r="AS45" i="19"/>
  <c r="AU44" i="19"/>
  <c r="AT44" i="19"/>
  <c r="CB46" i="19" l="1"/>
  <c r="CD45" i="19"/>
  <c r="CC45" i="19"/>
  <c r="BH46" i="19"/>
  <c r="BI45" i="19"/>
  <c r="BJ45" i="19"/>
  <c r="DA46" i="19"/>
  <c r="DB45" i="19"/>
  <c r="DC45" i="19"/>
  <c r="CG46" i="19"/>
  <c r="CH45" i="19"/>
  <c r="CI45" i="19"/>
  <c r="EJ46" i="19"/>
  <c r="EK45" i="19"/>
  <c r="EL45" i="19"/>
  <c r="EO46" i="19"/>
  <c r="EP45" i="19"/>
  <c r="EQ45" i="19"/>
  <c r="AX46" i="19"/>
  <c r="AZ45" i="19"/>
  <c r="AY45" i="19"/>
  <c r="DP46" i="19"/>
  <c r="DQ45" i="19"/>
  <c r="DR45" i="19"/>
  <c r="AS46" i="19"/>
  <c r="AT45" i="19"/>
  <c r="AU45" i="19"/>
  <c r="DF46" i="19"/>
  <c r="DH45" i="19"/>
  <c r="DG45" i="19"/>
  <c r="Y46" i="19"/>
  <c r="Z45" i="19"/>
  <c r="AA45" i="19"/>
  <c r="EE46" i="19"/>
  <c r="EG45" i="19"/>
  <c r="EF45" i="19"/>
  <c r="BC46" i="19"/>
  <c r="BD45" i="19"/>
  <c r="BE45" i="19"/>
  <c r="BW46" i="19"/>
  <c r="BY45" i="19"/>
  <c r="BX45" i="19"/>
  <c r="CV46" i="19"/>
  <c r="CX45" i="19"/>
  <c r="CW45" i="19"/>
  <c r="DZ46" i="19"/>
  <c r="EB45" i="19"/>
  <c r="EA45" i="19"/>
  <c r="CL46" i="19"/>
  <c r="CN45" i="19"/>
  <c r="CM45" i="19"/>
  <c r="T46" i="19"/>
  <c r="V45" i="19"/>
  <c r="U45" i="19"/>
  <c r="AN46" i="19"/>
  <c r="AO45" i="19"/>
  <c r="AP45" i="19"/>
  <c r="AI46" i="19"/>
  <c r="AK45" i="19"/>
  <c r="AJ45" i="19"/>
  <c r="DU46" i="19"/>
  <c r="DV45" i="19"/>
  <c r="DW45" i="19"/>
  <c r="DK46" i="19"/>
  <c r="DM45" i="19"/>
  <c r="DL45" i="19"/>
  <c r="AD46" i="19"/>
  <c r="AF45" i="19"/>
  <c r="AE45" i="19"/>
  <c r="BM46" i="19"/>
  <c r="BN45" i="19"/>
  <c r="BO45" i="19"/>
  <c r="CQ46" i="19"/>
  <c r="CS45" i="19"/>
  <c r="CR45" i="19"/>
  <c r="BR46" i="19"/>
  <c r="BT45" i="19"/>
  <c r="BS45" i="19"/>
  <c r="ET46" i="19"/>
  <c r="EV45" i="19"/>
  <c r="EU45" i="19"/>
  <c r="DK47" i="19" l="1"/>
  <c r="DM46" i="19"/>
  <c r="DL46" i="19"/>
  <c r="EO47" i="19"/>
  <c r="EQ46" i="19"/>
  <c r="EP46" i="19"/>
  <c r="AN47" i="19"/>
  <c r="AP46" i="19"/>
  <c r="AO46" i="19"/>
  <c r="Y47" i="19"/>
  <c r="AA46" i="19"/>
  <c r="Z46" i="19"/>
  <c r="DA47" i="19"/>
  <c r="DC46" i="19"/>
  <c r="DB46" i="19"/>
  <c r="AI47" i="19"/>
  <c r="AK46" i="19"/>
  <c r="AJ46" i="19"/>
  <c r="BW47" i="19"/>
  <c r="BY46" i="19"/>
  <c r="BX46" i="19"/>
  <c r="ET47" i="19"/>
  <c r="EU46" i="19"/>
  <c r="EV46" i="19"/>
  <c r="BM47" i="19"/>
  <c r="BO46" i="19"/>
  <c r="BN46" i="19"/>
  <c r="DZ47" i="19"/>
  <c r="EA46" i="19"/>
  <c r="EB46" i="19"/>
  <c r="DP47" i="19"/>
  <c r="DR46" i="19"/>
  <c r="DQ46" i="19"/>
  <c r="DU47" i="19"/>
  <c r="DW46" i="19"/>
  <c r="DV46" i="19"/>
  <c r="BC47" i="19"/>
  <c r="BE46" i="19"/>
  <c r="BD46" i="19"/>
  <c r="EJ47" i="19"/>
  <c r="EL46" i="19"/>
  <c r="EK46" i="19"/>
  <c r="T47" i="19"/>
  <c r="V46" i="19"/>
  <c r="U46" i="19"/>
  <c r="DF47" i="19"/>
  <c r="DG46" i="19"/>
  <c r="DH46" i="19"/>
  <c r="BH47" i="19"/>
  <c r="BJ46" i="19"/>
  <c r="BI46" i="19"/>
  <c r="AD47" i="19"/>
  <c r="AE46" i="19"/>
  <c r="AF46" i="19"/>
  <c r="CV47" i="19"/>
  <c r="CX46" i="19"/>
  <c r="CW46" i="19"/>
  <c r="AX47" i="19"/>
  <c r="AY46" i="19"/>
  <c r="AZ46" i="19"/>
  <c r="BR47" i="19"/>
  <c r="BS46" i="19"/>
  <c r="BT46" i="19"/>
  <c r="EE47" i="19"/>
  <c r="EG46" i="19"/>
  <c r="EF46" i="19"/>
  <c r="CG47" i="19"/>
  <c r="CI46" i="19"/>
  <c r="CH46" i="19"/>
  <c r="CQ47" i="19"/>
  <c r="CS46" i="19"/>
  <c r="CR46" i="19"/>
  <c r="CL47" i="19"/>
  <c r="CM46" i="19"/>
  <c r="CN46" i="19"/>
  <c r="AS47" i="19"/>
  <c r="AU46" i="19"/>
  <c r="AT46" i="19"/>
  <c r="CB47" i="19"/>
  <c r="CD46" i="19"/>
  <c r="CC46" i="19"/>
  <c r="DK48" i="19" l="1"/>
  <c r="DL47" i="19"/>
  <c r="DM47" i="19"/>
  <c r="EE48" i="19"/>
  <c r="EF47" i="19"/>
  <c r="EG47" i="19"/>
  <c r="EL47" i="19"/>
  <c r="EJ48" i="19"/>
  <c r="EK47" i="19"/>
  <c r="AI48" i="19"/>
  <c r="AJ47" i="19"/>
  <c r="AK47" i="19"/>
  <c r="BR48" i="19"/>
  <c r="BT47" i="19"/>
  <c r="BS47" i="19"/>
  <c r="BC48" i="19"/>
  <c r="BD47" i="19"/>
  <c r="BE47" i="19"/>
  <c r="DA48" i="19"/>
  <c r="DB47" i="19"/>
  <c r="DC47" i="19"/>
  <c r="BM48" i="19"/>
  <c r="BO47" i="19"/>
  <c r="BN47" i="19"/>
  <c r="CQ48" i="19"/>
  <c r="CR47" i="19"/>
  <c r="CS47" i="19"/>
  <c r="AD48" i="19"/>
  <c r="AF47" i="19"/>
  <c r="AE47" i="19"/>
  <c r="DZ48" i="19"/>
  <c r="EB47" i="19"/>
  <c r="EA47" i="19"/>
  <c r="EO48" i="19"/>
  <c r="EQ47" i="19"/>
  <c r="EP47" i="19"/>
  <c r="CL48" i="19"/>
  <c r="CM47" i="19"/>
  <c r="CN47" i="19"/>
  <c r="CB48" i="19"/>
  <c r="CD47" i="19"/>
  <c r="CC47" i="19"/>
  <c r="CV48" i="19"/>
  <c r="CX47" i="19"/>
  <c r="CW47" i="19"/>
  <c r="DF48" i="19"/>
  <c r="DG47" i="19"/>
  <c r="DH47" i="19"/>
  <c r="ET48" i="19"/>
  <c r="EV47" i="19"/>
  <c r="EU47" i="19"/>
  <c r="CG48" i="19"/>
  <c r="CI47" i="19"/>
  <c r="CH47" i="19"/>
  <c r="T48" i="19"/>
  <c r="V47" i="19"/>
  <c r="U47" i="19"/>
  <c r="BW48" i="19"/>
  <c r="BX47" i="19"/>
  <c r="BY47" i="19"/>
  <c r="BH48" i="19"/>
  <c r="BJ47" i="19"/>
  <c r="BI47" i="19"/>
  <c r="DR47" i="19"/>
  <c r="DQ47" i="19"/>
  <c r="DP48" i="19"/>
  <c r="AN48" i="19"/>
  <c r="AP47" i="19"/>
  <c r="AO47" i="19"/>
  <c r="AS48" i="19"/>
  <c r="AU47" i="19"/>
  <c r="AT47" i="19"/>
  <c r="AX48" i="19"/>
  <c r="AZ47" i="19"/>
  <c r="AY47" i="19"/>
  <c r="DU48" i="19"/>
  <c r="DW47" i="19"/>
  <c r="DV47" i="19"/>
  <c r="Y48" i="19"/>
  <c r="Z47" i="19"/>
  <c r="AA47" i="19"/>
  <c r="AX49" i="19" l="1"/>
  <c r="AZ48" i="19"/>
  <c r="AY48" i="19"/>
  <c r="ET49" i="19"/>
  <c r="EV48" i="19"/>
  <c r="EU48" i="19"/>
  <c r="CR48" i="19"/>
  <c r="CS48" i="19"/>
  <c r="CQ49" i="19"/>
  <c r="DK49" i="19"/>
  <c r="DL48" i="19"/>
  <c r="DM48" i="19"/>
  <c r="CB49" i="19"/>
  <c r="CC48" i="19"/>
  <c r="CD48" i="19"/>
  <c r="BC49" i="19"/>
  <c r="BD48" i="19"/>
  <c r="BE48" i="19"/>
  <c r="EJ49" i="19"/>
  <c r="EK48" i="19"/>
  <c r="EL48" i="19"/>
  <c r="Y49" i="19"/>
  <c r="AA48" i="19"/>
  <c r="Z48" i="19"/>
  <c r="BH49" i="19"/>
  <c r="BI48" i="19"/>
  <c r="BJ48" i="19"/>
  <c r="CL49" i="19"/>
  <c r="CN48" i="19"/>
  <c r="CM48" i="19"/>
  <c r="BR49" i="19"/>
  <c r="BT48" i="19"/>
  <c r="BS48" i="19"/>
  <c r="DP49" i="19"/>
  <c r="DR48" i="19"/>
  <c r="DQ48" i="19"/>
  <c r="T49" i="19"/>
  <c r="U48" i="19"/>
  <c r="V48" i="19"/>
  <c r="DZ49" i="19"/>
  <c r="EB48" i="19"/>
  <c r="EA48" i="19"/>
  <c r="AS49" i="19"/>
  <c r="AU48" i="19"/>
  <c r="AT48" i="19"/>
  <c r="DF49" i="19"/>
  <c r="DH48" i="19"/>
  <c r="DG48" i="19"/>
  <c r="BO48" i="19"/>
  <c r="BN48" i="19"/>
  <c r="BM49" i="19"/>
  <c r="DU49" i="19"/>
  <c r="DV48" i="19"/>
  <c r="DW48" i="19"/>
  <c r="CI48" i="19"/>
  <c r="CH48" i="19"/>
  <c r="CG49" i="19"/>
  <c r="AD49" i="19"/>
  <c r="AF48" i="19"/>
  <c r="AE48" i="19"/>
  <c r="EF48" i="19"/>
  <c r="EE49" i="19"/>
  <c r="EG48" i="19"/>
  <c r="AN49" i="19"/>
  <c r="AO48" i="19"/>
  <c r="AP48" i="19"/>
  <c r="CV49" i="19"/>
  <c r="CW48" i="19"/>
  <c r="CX48" i="19"/>
  <c r="DC48" i="19"/>
  <c r="DB48" i="19"/>
  <c r="DA49" i="19"/>
  <c r="BW49" i="19"/>
  <c r="BY48" i="19"/>
  <c r="BX48" i="19"/>
  <c r="AI49" i="19"/>
  <c r="AJ48" i="19"/>
  <c r="AK48" i="19"/>
  <c r="EQ48" i="19"/>
  <c r="EP48" i="19"/>
  <c r="EO49" i="19"/>
  <c r="DA50" i="19" l="1"/>
  <c r="DC49" i="19"/>
  <c r="DB49" i="19"/>
  <c r="AO49" i="19"/>
  <c r="AP49" i="19"/>
  <c r="AN50" i="19"/>
  <c r="EB49" i="19"/>
  <c r="DZ50" i="19"/>
  <c r="EA49" i="19"/>
  <c r="BC50" i="19"/>
  <c r="BE49" i="19"/>
  <c r="BD49" i="19"/>
  <c r="EE50" i="19"/>
  <c r="EG49" i="19"/>
  <c r="EF49" i="19"/>
  <c r="DF50" i="19"/>
  <c r="DH49" i="19"/>
  <c r="DG49" i="19"/>
  <c r="Y50" i="19"/>
  <c r="Z49" i="19"/>
  <c r="AA49" i="19"/>
  <c r="V49" i="19"/>
  <c r="T50" i="19"/>
  <c r="U49" i="19"/>
  <c r="CC49" i="19"/>
  <c r="CD49" i="19"/>
  <c r="CB50" i="19"/>
  <c r="BR50" i="19"/>
  <c r="BT49" i="19"/>
  <c r="BS49" i="19"/>
  <c r="AI50" i="19"/>
  <c r="AJ49" i="19"/>
  <c r="AK49" i="19"/>
  <c r="DU50" i="19"/>
  <c r="DV49" i="19"/>
  <c r="DW49" i="19"/>
  <c r="CN49" i="19"/>
  <c r="CM49" i="19"/>
  <c r="CL50" i="19"/>
  <c r="ET50" i="19"/>
  <c r="EV49" i="19"/>
  <c r="EU49" i="19"/>
  <c r="CX49" i="19"/>
  <c r="CV50" i="19"/>
  <c r="CW49" i="19"/>
  <c r="BM50" i="19"/>
  <c r="BO49" i="19"/>
  <c r="BN49" i="19"/>
  <c r="AS50" i="19"/>
  <c r="AT49" i="19"/>
  <c r="AU49" i="19"/>
  <c r="EJ50" i="19"/>
  <c r="EL49" i="19"/>
  <c r="EK49" i="19"/>
  <c r="AD50" i="19"/>
  <c r="AF49" i="19"/>
  <c r="AE49" i="19"/>
  <c r="DQ49" i="19"/>
  <c r="DP50" i="19"/>
  <c r="DR49" i="19"/>
  <c r="DK50" i="19"/>
  <c r="DM49" i="19"/>
  <c r="DL49" i="19"/>
  <c r="EO50" i="19"/>
  <c r="EQ49" i="19"/>
  <c r="EP49" i="19"/>
  <c r="BW50" i="19"/>
  <c r="BY49" i="19"/>
  <c r="BX49" i="19"/>
  <c r="CG50" i="19"/>
  <c r="CH49" i="19"/>
  <c r="CI49" i="19"/>
  <c r="BH50" i="19"/>
  <c r="BJ49" i="19"/>
  <c r="BI49" i="19"/>
  <c r="CQ50" i="19"/>
  <c r="CS49" i="19"/>
  <c r="CR49" i="19"/>
  <c r="AZ49" i="19"/>
  <c r="AY49" i="19"/>
  <c r="AX50" i="19"/>
  <c r="AU50" i="19" l="1"/>
  <c r="AS51" i="19"/>
  <c r="AT50" i="19"/>
  <c r="DB50" i="19"/>
  <c r="DA51" i="19"/>
  <c r="DC50" i="19"/>
  <c r="EP50" i="19"/>
  <c r="EQ50" i="19"/>
  <c r="EO51" i="19"/>
  <c r="ET51" i="19"/>
  <c r="EU50" i="19"/>
  <c r="EV50" i="19"/>
  <c r="DF51" i="19"/>
  <c r="DG50" i="19"/>
  <c r="DH50" i="19"/>
  <c r="DZ51" i="19"/>
  <c r="EB50" i="19"/>
  <c r="EA50" i="19"/>
  <c r="AD51" i="19"/>
  <c r="AE50" i="19"/>
  <c r="AF50" i="19"/>
  <c r="CL51" i="19"/>
  <c r="CN50" i="19"/>
  <c r="CM50" i="19"/>
  <c r="AK50" i="19"/>
  <c r="AJ50" i="19"/>
  <c r="AI51" i="19"/>
  <c r="T51" i="19"/>
  <c r="V50" i="19"/>
  <c r="U50" i="19"/>
  <c r="DW50" i="19"/>
  <c r="DV50" i="19"/>
  <c r="DU51" i="19"/>
  <c r="BD50" i="19"/>
  <c r="BE50" i="19"/>
  <c r="BC51" i="19"/>
  <c r="BH51" i="19"/>
  <c r="BJ50" i="19"/>
  <c r="BI50" i="19"/>
  <c r="CI50" i="19"/>
  <c r="CH50" i="19"/>
  <c r="CG51" i="19"/>
  <c r="DM50" i="19"/>
  <c r="DK51" i="19"/>
  <c r="DL50" i="19"/>
  <c r="EG50" i="19"/>
  <c r="EE51" i="19"/>
  <c r="EF50" i="19"/>
  <c r="AX51" i="19"/>
  <c r="AZ50" i="19"/>
  <c r="AY50" i="19"/>
  <c r="BN50" i="19"/>
  <c r="BO50" i="19"/>
  <c r="BM51" i="19"/>
  <c r="AN51" i="19"/>
  <c r="AP50" i="19"/>
  <c r="AO50" i="19"/>
  <c r="CS50" i="19"/>
  <c r="CR50" i="19"/>
  <c r="CQ51" i="19"/>
  <c r="EJ51" i="19"/>
  <c r="EL50" i="19"/>
  <c r="EK50" i="19"/>
  <c r="CV51" i="19"/>
  <c r="CW50" i="19"/>
  <c r="CX50" i="19"/>
  <c r="BR51" i="19"/>
  <c r="BS50" i="19"/>
  <c r="BT50" i="19"/>
  <c r="BW51" i="19"/>
  <c r="BY50" i="19"/>
  <c r="BX50" i="19"/>
  <c r="DP51" i="19"/>
  <c r="DR50" i="19"/>
  <c r="DQ50" i="19"/>
  <c r="CB51" i="19"/>
  <c r="CD50" i="19"/>
  <c r="CC50" i="19"/>
  <c r="Z50" i="19"/>
  <c r="AA50" i="19"/>
  <c r="Y51" i="19"/>
  <c r="AS52" i="19" l="1"/>
  <c r="AU51" i="19"/>
  <c r="AT51" i="19"/>
  <c r="EO52" i="19"/>
  <c r="EQ51" i="19"/>
  <c r="EP51" i="19"/>
  <c r="CX51" i="19"/>
  <c r="CW51" i="19"/>
  <c r="CV52" i="19"/>
  <c r="EB51" i="19"/>
  <c r="EA51" i="19"/>
  <c r="DZ52" i="19"/>
  <c r="AN52" i="19"/>
  <c r="AO51" i="19"/>
  <c r="AP51" i="19"/>
  <c r="EE52" i="19"/>
  <c r="EF51" i="19"/>
  <c r="EG51" i="19"/>
  <c r="CM51" i="19"/>
  <c r="CN51" i="19"/>
  <c r="CL52" i="19"/>
  <c r="Y52" i="19"/>
  <c r="AA51" i="19"/>
  <c r="Z51" i="19"/>
  <c r="DU52" i="19"/>
  <c r="DW51" i="19"/>
  <c r="DV51" i="19"/>
  <c r="BW52" i="19"/>
  <c r="BX51" i="19"/>
  <c r="BY51" i="19"/>
  <c r="BM52" i="19"/>
  <c r="BO51" i="19"/>
  <c r="BN51" i="19"/>
  <c r="EL51" i="19"/>
  <c r="EJ52" i="19"/>
  <c r="EK51" i="19"/>
  <c r="BJ51" i="19"/>
  <c r="BH52" i="19"/>
  <c r="BI51" i="19"/>
  <c r="DF52" i="19"/>
  <c r="DG51" i="19"/>
  <c r="DH51" i="19"/>
  <c r="DA52" i="19"/>
  <c r="DC51" i="19"/>
  <c r="DB51" i="19"/>
  <c r="CG52" i="19"/>
  <c r="CI51" i="19"/>
  <c r="CH51" i="19"/>
  <c r="ET52" i="19"/>
  <c r="EV51" i="19"/>
  <c r="EU51" i="19"/>
  <c r="DR51" i="19"/>
  <c r="DP52" i="19"/>
  <c r="DQ51" i="19"/>
  <c r="AY51" i="19"/>
  <c r="AZ51" i="19"/>
  <c r="AX52" i="19"/>
  <c r="CD51" i="19"/>
  <c r="CB52" i="19"/>
  <c r="CC51" i="19"/>
  <c r="CQ52" i="19"/>
  <c r="CR51" i="19"/>
  <c r="CS51" i="19"/>
  <c r="DK52" i="19"/>
  <c r="DL51" i="19"/>
  <c r="DM51" i="19"/>
  <c r="BC52" i="19"/>
  <c r="BD51" i="19"/>
  <c r="BE51" i="19"/>
  <c r="T52" i="19"/>
  <c r="V51" i="19"/>
  <c r="U51" i="19"/>
  <c r="BR52" i="19"/>
  <c r="BT51" i="19"/>
  <c r="BS51" i="19"/>
  <c r="AI52" i="19"/>
  <c r="AK51" i="19"/>
  <c r="AJ51" i="19"/>
  <c r="AE51" i="19"/>
  <c r="AD52" i="19"/>
  <c r="AF51" i="19"/>
  <c r="BR53" i="19" l="1"/>
  <c r="BT52" i="19"/>
  <c r="BS52" i="19"/>
  <c r="AX53" i="19"/>
  <c r="AY52" i="19"/>
  <c r="AZ52" i="19"/>
  <c r="ET53" i="19"/>
  <c r="EU52" i="19"/>
  <c r="EV52" i="19"/>
  <c r="DU53" i="19"/>
  <c r="DW52" i="19"/>
  <c r="DV52" i="19"/>
  <c r="CV53" i="19"/>
  <c r="CW52" i="19"/>
  <c r="CX52" i="19"/>
  <c r="AU52" i="19"/>
  <c r="AT52" i="19"/>
  <c r="AS53" i="19"/>
  <c r="AD53" i="19"/>
  <c r="AF52" i="19"/>
  <c r="AE52" i="19"/>
  <c r="DK53" i="19"/>
  <c r="DM52" i="19"/>
  <c r="DL52" i="19"/>
  <c r="DF53" i="19"/>
  <c r="DH52" i="19"/>
  <c r="DG52" i="19"/>
  <c r="EG52" i="19"/>
  <c r="EE53" i="19"/>
  <c r="EF52" i="19"/>
  <c r="BO52" i="19"/>
  <c r="BN52" i="19"/>
  <c r="BM53" i="19"/>
  <c r="T53" i="19"/>
  <c r="U52" i="19"/>
  <c r="V52" i="19"/>
  <c r="CI52" i="19"/>
  <c r="CG53" i="19"/>
  <c r="CH52" i="19"/>
  <c r="BH53" i="19"/>
  <c r="BI52" i="19"/>
  <c r="BJ52" i="19"/>
  <c r="AA52" i="19"/>
  <c r="Y53" i="19"/>
  <c r="Z52" i="19"/>
  <c r="CL53" i="19"/>
  <c r="CN52" i="19"/>
  <c r="CM52" i="19"/>
  <c r="AN53" i="19"/>
  <c r="AO52" i="19"/>
  <c r="AP52" i="19"/>
  <c r="BY52" i="19"/>
  <c r="BX52" i="19"/>
  <c r="BW53" i="19"/>
  <c r="EB52" i="19"/>
  <c r="DZ53" i="19"/>
  <c r="EA52" i="19"/>
  <c r="EQ52" i="19"/>
  <c r="EO53" i="19"/>
  <c r="EP52" i="19"/>
  <c r="CS52" i="19"/>
  <c r="CQ53" i="19"/>
  <c r="CR52" i="19"/>
  <c r="DR52" i="19"/>
  <c r="DP53" i="19"/>
  <c r="DQ52" i="19"/>
  <c r="AI53" i="19"/>
  <c r="AK52" i="19"/>
  <c r="AJ52" i="19"/>
  <c r="BC53" i="19"/>
  <c r="BE52" i="19"/>
  <c r="BD52" i="19"/>
  <c r="CB53" i="19"/>
  <c r="CD52" i="19"/>
  <c r="CC52" i="19"/>
  <c r="DC52" i="19"/>
  <c r="DB52" i="19"/>
  <c r="DA53" i="19"/>
  <c r="EK52" i="19"/>
  <c r="EL52" i="19"/>
  <c r="EJ53" i="19"/>
  <c r="EU53" i="19" l="1"/>
  <c r="ET54" i="19"/>
  <c r="EV53" i="19"/>
  <c r="DA54" i="19"/>
  <c r="DB53" i="19"/>
  <c r="DC53" i="19"/>
  <c r="BC54" i="19"/>
  <c r="BD53" i="19"/>
  <c r="BE53" i="19"/>
  <c r="CQ54" i="19"/>
  <c r="CS53" i="19"/>
  <c r="CR53" i="19"/>
  <c r="BW54" i="19"/>
  <c r="BY53" i="19"/>
  <c r="BX53" i="19"/>
  <c r="CN53" i="19"/>
  <c r="CL54" i="19"/>
  <c r="CM53" i="19"/>
  <c r="CH53" i="19"/>
  <c r="CG54" i="19"/>
  <c r="CI53" i="19"/>
  <c r="DK54" i="19"/>
  <c r="DM53" i="19"/>
  <c r="DL53" i="19"/>
  <c r="EG53" i="19"/>
  <c r="EF53" i="19"/>
  <c r="EE54" i="19"/>
  <c r="CX53" i="19"/>
  <c r="CW53" i="19"/>
  <c r="CV54" i="19"/>
  <c r="BH54" i="19"/>
  <c r="BJ53" i="19"/>
  <c r="BI53" i="19"/>
  <c r="Y54" i="19"/>
  <c r="AA53" i="19"/>
  <c r="Z53" i="19"/>
  <c r="AZ53" i="19"/>
  <c r="AY53" i="19"/>
  <c r="AX54" i="19"/>
  <c r="AI54" i="19"/>
  <c r="AK53" i="19"/>
  <c r="AJ53" i="19"/>
  <c r="EQ53" i="19"/>
  <c r="EO54" i="19"/>
  <c r="EP53" i="19"/>
  <c r="AF53" i="19"/>
  <c r="AD54" i="19"/>
  <c r="AE53" i="19"/>
  <c r="EA53" i="19"/>
  <c r="DZ54" i="19"/>
  <c r="EB53" i="19"/>
  <c r="V53" i="19"/>
  <c r="T54" i="19"/>
  <c r="U53" i="19"/>
  <c r="AT53" i="19"/>
  <c r="AU53" i="19"/>
  <c r="AS54" i="19"/>
  <c r="DV53" i="19"/>
  <c r="DW53" i="19"/>
  <c r="DU54" i="19"/>
  <c r="EK53" i="19"/>
  <c r="EJ54" i="19"/>
  <c r="EL53" i="19"/>
  <c r="CD53" i="19"/>
  <c r="CB54" i="19"/>
  <c r="CC53" i="19"/>
  <c r="DQ53" i="19"/>
  <c r="DR53" i="19"/>
  <c r="DP54" i="19"/>
  <c r="AP53" i="19"/>
  <c r="AN54" i="19"/>
  <c r="AO53" i="19"/>
  <c r="BO53" i="19"/>
  <c r="BM54" i="19"/>
  <c r="BN53" i="19"/>
  <c r="DG53" i="19"/>
  <c r="DF54" i="19"/>
  <c r="DH53" i="19"/>
  <c r="BR54" i="19"/>
  <c r="BT53" i="19"/>
  <c r="BS53" i="19"/>
  <c r="CD54" i="19" l="1"/>
  <c r="CC54" i="19"/>
  <c r="CB55" i="19"/>
  <c r="AJ54" i="19"/>
  <c r="AK54" i="19"/>
  <c r="AI55" i="19"/>
  <c r="AN55" i="19"/>
  <c r="AP54" i="19"/>
  <c r="AO54" i="19"/>
  <c r="AF54" i="19"/>
  <c r="AD55" i="19"/>
  <c r="AE54" i="19"/>
  <c r="AX55" i="19"/>
  <c r="AZ54" i="19"/>
  <c r="AY54" i="19"/>
  <c r="BH55" i="19"/>
  <c r="BI54" i="19"/>
  <c r="BJ54" i="19"/>
  <c r="BD54" i="19"/>
  <c r="BE54" i="19"/>
  <c r="BC55" i="19"/>
  <c r="AT54" i="19"/>
  <c r="AU54" i="19"/>
  <c r="AS55" i="19"/>
  <c r="EJ55" i="19"/>
  <c r="EK54" i="19"/>
  <c r="EL54" i="19"/>
  <c r="CW54" i="19"/>
  <c r="CX54" i="19"/>
  <c r="CV55" i="19"/>
  <c r="DL54" i="19"/>
  <c r="DM54" i="19"/>
  <c r="DK55" i="19"/>
  <c r="DV54" i="19"/>
  <c r="DW54" i="19"/>
  <c r="DU55" i="19"/>
  <c r="EP54" i="19"/>
  <c r="EQ54" i="19"/>
  <c r="EO55" i="19"/>
  <c r="CH54" i="19"/>
  <c r="CG55" i="19"/>
  <c r="CI54" i="19"/>
  <c r="DB54" i="19"/>
  <c r="DA55" i="19"/>
  <c r="DC54" i="19"/>
  <c r="CN54" i="19"/>
  <c r="CM54" i="19"/>
  <c r="CL55" i="19"/>
  <c r="DQ54" i="19"/>
  <c r="DR54" i="19"/>
  <c r="DP55" i="19"/>
  <c r="EF54" i="19"/>
  <c r="EE55" i="19"/>
  <c r="EG54" i="19"/>
  <c r="BS54" i="19"/>
  <c r="BR55" i="19"/>
  <c r="BT54" i="19"/>
  <c r="DH54" i="19"/>
  <c r="DG54" i="19"/>
  <c r="DF55" i="19"/>
  <c r="U54" i="19"/>
  <c r="V54" i="19"/>
  <c r="T55" i="19"/>
  <c r="BX54" i="19"/>
  <c r="BY54" i="19"/>
  <c r="BW55" i="19"/>
  <c r="BN54" i="19"/>
  <c r="BO54" i="19"/>
  <c r="BM55" i="19"/>
  <c r="DZ55" i="19"/>
  <c r="EA54" i="19"/>
  <c r="EB54" i="19"/>
  <c r="Z54" i="19"/>
  <c r="AA54" i="19"/>
  <c r="Y55" i="19"/>
  <c r="CR54" i="19"/>
  <c r="CQ55" i="19"/>
  <c r="CS54" i="19"/>
  <c r="EU54" i="19"/>
  <c r="ET55" i="19"/>
  <c r="EV54" i="19"/>
  <c r="EU55" i="19" l="1"/>
  <c r="EV55" i="19"/>
  <c r="ET56" i="19"/>
  <c r="BS55" i="19"/>
  <c r="BT55" i="19"/>
  <c r="BR56" i="19"/>
  <c r="CM55" i="19"/>
  <c r="CN55" i="19"/>
  <c r="CL56" i="19"/>
  <c r="AT55" i="19"/>
  <c r="AU55" i="19"/>
  <c r="AS56" i="19"/>
  <c r="BI55" i="19"/>
  <c r="BJ55" i="19"/>
  <c r="BH56" i="19"/>
  <c r="EA55" i="19"/>
  <c r="DZ56" i="19"/>
  <c r="EB55" i="19"/>
  <c r="CW55" i="19"/>
  <c r="CX55" i="19"/>
  <c r="CV56" i="19"/>
  <c r="AK55" i="19"/>
  <c r="AJ55" i="19"/>
  <c r="AI56" i="19"/>
  <c r="EO56" i="19"/>
  <c r="EQ55" i="19"/>
  <c r="EP55" i="19"/>
  <c r="EG55" i="19"/>
  <c r="EE56" i="19"/>
  <c r="EF55" i="19"/>
  <c r="BE55" i="19"/>
  <c r="BC56" i="19"/>
  <c r="BD55" i="19"/>
  <c r="AY55" i="19"/>
  <c r="AZ55" i="19"/>
  <c r="AX56" i="19"/>
  <c r="DG55" i="19"/>
  <c r="DF56" i="19"/>
  <c r="DH55" i="19"/>
  <c r="DC55" i="19"/>
  <c r="DB55" i="19"/>
  <c r="DA56" i="19"/>
  <c r="DV55" i="19"/>
  <c r="DU56" i="19"/>
  <c r="DW55" i="19"/>
  <c r="CR55" i="19"/>
  <c r="CQ56" i="19"/>
  <c r="CS55" i="19"/>
  <c r="AA55" i="19"/>
  <c r="Z55" i="19"/>
  <c r="Y56" i="19"/>
  <c r="DQ55" i="19"/>
  <c r="DP56" i="19"/>
  <c r="DR55" i="19"/>
  <c r="AE55" i="19"/>
  <c r="AD56" i="19"/>
  <c r="AF55" i="19"/>
  <c r="CC55" i="19"/>
  <c r="CB56" i="19"/>
  <c r="CD55" i="19"/>
  <c r="U55" i="19"/>
  <c r="V55" i="19"/>
  <c r="T56" i="19"/>
  <c r="BW56" i="19"/>
  <c r="BY55" i="19"/>
  <c r="BX55" i="19"/>
  <c r="AO55" i="19"/>
  <c r="AN56" i="19"/>
  <c r="AP55" i="19"/>
  <c r="BO55" i="19"/>
  <c r="BN55" i="19"/>
  <c r="BM56" i="19"/>
  <c r="CG56" i="19"/>
  <c r="CI55" i="19"/>
  <c r="CH55" i="19"/>
  <c r="DM55" i="19"/>
  <c r="DK56" i="19"/>
  <c r="DL55" i="19"/>
  <c r="EK55" i="19"/>
  <c r="EL55" i="19"/>
  <c r="EJ56" i="19"/>
  <c r="BN56" i="19" l="1"/>
  <c r="BM57" i="19"/>
  <c r="BO56" i="19"/>
  <c r="BX56" i="19"/>
  <c r="BW57" i="19"/>
  <c r="BY56" i="19"/>
  <c r="AD57" i="19"/>
  <c r="AE56" i="19"/>
  <c r="AF56" i="19"/>
  <c r="BD56" i="19"/>
  <c r="BE56" i="19"/>
  <c r="BC57" i="19"/>
  <c r="AJ56" i="19"/>
  <c r="AI57" i="19"/>
  <c r="AK56" i="19"/>
  <c r="T57" i="19"/>
  <c r="V56" i="19"/>
  <c r="U56" i="19"/>
  <c r="CR56" i="19"/>
  <c r="CS56" i="19"/>
  <c r="CQ57" i="19"/>
  <c r="BH57" i="19"/>
  <c r="BJ56" i="19"/>
  <c r="BI56" i="19"/>
  <c r="DF57" i="19"/>
  <c r="DH56" i="19"/>
  <c r="DG56" i="19"/>
  <c r="BR57" i="19"/>
  <c r="BS56" i="19"/>
  <c r="BT56" i="19"/>
  <c r="DB56" i="19"/>
  <c r="DA57" i="19"/>
  <c r="DC56" i="19"/>
  <c r="DL56" i="19"/>
  <c r="DK57" i="19"/>
  <c r="DM56" i="19"/>
  <c r="DQ56" i="19"/>
  <c r="DP57" i="19"/>
  <c r="DR56" i="19"/>
  <c r="EF56" i="19"/>
  <c r="EE57" i="19"/>
  <c r="EG56" i="19"/>
  <c r="CV57" i="19"/>
  <c r="CX56" i="19"/>
  <c r="CW56" i="19"/>
  <c r="AO56" i="19"/>
  <c r="AP56" i="19"/>
  <c r="AN57" i="19"/>
  <c r="DV56" i="19"/>
  <c r="DU57" i="19"/>
  <c r="DW56" i="19"/>
  <c r="AX57" i="19"/>
  <c r="AZ56" i="19"/>
  <c r="AY56" i="19"/>
  <c r="AT56" i="19"/>
  <c r="AS57" i="19"/>
  <c r="AU56" i="19"/>
  <c r="CD56" i="19"/>
  <c r="CC56" i="19"/>
  <c r="CB57" i="19"/>
  <c r="Z56" i="19"/>
  <c r="Y57" i="19"/>
  <c r="AA56" i="19"/>
  <c r="ET57" i="19"/>
  <c r="EV56" i="19"/>
  <c r="EU56" i="19"/>
  <c r="EJ57" i="19"/>
  <c r="EL56" i="19"/>
  <c r="EK56" i="19"/>
  <c r="CH56" i="19"/>
  <c r="CI56" i="19"/>
  <c r="CG57" i="19"/>
  <c r="EQ56" i="19"/>
  <c r="EP56" i="19"/>
  <c r="EO57" i="19"/>
  <c r="DZ57" i="19"/>
  <c r="EB56" i="19"/>
  <c r="EA56" i="19"/>
  <c r="CL57" i="19"/>
  <c r="CN56" i="19"/>
  <c r="CM56" i="19"/>
  <c r="CG58" i="19" l="1"/>
  <c r="CI57" i="19"/>
  <c r="CH57" i="19"/>
  <c r="EV57" i="19"/>
  <c r="EU57" i="19"/>
  <c r="ET58" i="19"/>
  <c r="AS58" i="19"/>
  <c r="AU57" i="19"/>
  <c r="AT57" i="19"/>
  <c r="AP57" i="19"/>
  <c r="AO57" i="19"/>
  <c r="AN58" i="19"/>
  <c r="DC57" i="19"/>
  <c r="DB57" i="19"/>
  <c r="DA58" i="19"/>
  <c r="V57" i="19"/>
  <c r="U57" i="19"/>
  <c r="T58" i="19"/>
  <c r="CN57" i="19"/>
  <c r="CM57" i="19"/>
  <c r="CL58" i="19"/>
  <c r="AF57" i="19"/>
  <c r="AE57" i="19"/>
  <c r="AD58" i="19"/>
  <c r="DU58" i="19"/>
  <c r="DW57" i="19"/>
  <c r="DV57" i="19"/>
  <c r="EG57" i="19"/>
  <c r="EE58" i="19"/>
  <c r="EF57" i="19"/>
  <c r="DH57" i="19"/>
  <c r="DG57" i="19"/>
  <c r="DF58" i="19"/>
  <c r="AA57" i="19"/>
  <c r="Z57" i="19"/>
  <c r="Y58" i="19"/>
  <c r="DR57" i="19"/>
  <c r="DQ57" i="19"/>
  <c r="DP58" i="19"/>
  <c r="BJ57" i="19"/>
  <c r="BI57" i="19"/>
  <c r="BH58" i="19"/>
  <c r="AI58" i="19"/>
  <c r="AK57" i="19"/>
  <c r="AJ57" i="19"/>
  <c r="BO57" i="19"/>
  <c r="BN57" i="19"/>
  <c r="BM58" i="19"/>
  <c r="CQ58" i="19"/>
  <c r="CS57" i="19"/>
  <c r="CR57" i="19"/>
  <c r="BW58" i="19"/>
  <c r="BY57" i="19"/>
  <c r="BX57" i="19"/>
  <c r="EB57" i="19"/>
  <c r="EA57" i="19"/>
  <c r="DZ58" i="19"/>
  <c r="CD57" i="19"/>
  <c r="CC57" i="19"/>
  <c r="CB58" i="19"/>
  <c r="AZ57" i="19"/>
  <c r="AY57" i="19"/>
  <c r="AX58" i="19"/>
  <c r="BT57" i="19"/>
  <c r="BS57" i="19"/>
  <c r="BR58" i="19"/>
  <c r="BC58" i="19"/>
  <c r="BE57" i="19"/>
  <c r="BD57" i="19"/>
  <c r="EO58" i="19"/>
  <c r="EQ57" i="19"/>
  <c r="EP57" i="19"/>
  <c r="EL57" i="19"/>
  <c r="EK57" i="19"/>
  <c r="EJ58" i="19"/>
  <c r="CX57" i="19"/>
  <c r="CW57" i="19"/>
  <c r="CV58" i="19"/>
  <c r="DK58" i="19"/>
  <c r="DM57" i="19"/>
  <c r="DL57" i="19"/>
  <c r="DC58" i="19" l="1"/>
  <c r="DB58" i="19"/>
  <c r="DA59" i="19"/>
  <c r="AU58" i="19"/>
  <c r="AT58" i="19"/>
  <c r="AS59" i="19"/>
  <c r="CX58" i="19"/>
  <c r="CW58" i="19"/>
  <c r="CV59" i="19"/>
  <c r="EQ58" i="19"/>
  <c r="EP58" i="19"/>
  <c r="EO59" i="19"/>
  <c r="ET59" i="19"/>
  <c r="EV58" i="19"/>
  <c r="EU58" i="19"/>
  <c r="EG58" i="19"/>
  <c r="EF58" i="19"/>
  <c r="EE59" i="19"/>
  <c r="CL59" i="19"/>
  <c r="CN58" i="19"/>
  <c r="CM58" i="19"/>
  <c r="AA58" i="19"/>
  <c r="Z58" i="19"/>
  <c r="Y59" i="19"/>
  <c r="AN59" i="19"/>
  <c r="AP58" i="19"/>
  <c r="AO58" i="19"/>
  <c r="AF58" i="19"/>
  <c r="AE58" i="19"/>
  <c r="AD59" i="19"/>
  <c r="DM58" i="19"/>
  <c r="DL58" i="19"/>
  <c r="DK59" i="19"/>
  <c r="AX59" i="19"/>
  <c r="AZ58" i="19"/>
  <c r="AY58" i="19"/>
  <c r="CD58" i="19"/>
  <c r="CB59" i="19"/>
  <c r="CC58" i="19"/>
  <c r="BY58" i="19"/>
  <c r="BX58" i="19"/>
  <c r="BW59" i="19"/>
  <c r="EL58" i="19"/>
  <c r="EK58" i="19"/>
  <c r="EJ59" i="19"/>
  <c r="BE58" i="19"/>
  <c r="BD58" i="19"/>
  <c r="BC59" i="19"/>
  <c r="AK58" i="19"/>
  <c r="AJ58" i="19"/>
  <c r="AI59" i="19"/>
  <c r="V58" i="19"/>
  <c r="U58" i="19"/>
  <c r="T59" i="19"/>
  <c r="BO58" i="19"/>
  <c r="BN58" i="19"/>
  <c r="BM59" i="19"/>
  <c r="DP59" i="19"/>
  <c r="DR58" i="19"/>
  <c r="DQ58" i="19"/>
  <c r="BR59" i="19"/>
  <c r="BT58" i="19"/>
  <c r="BS58" i="19"/>
  <c r="BJ58" i="19"/>
  <c r="BI58" i="19"/>
  <c r="BH59" i="19"/>
  <c r="DZ59" i="19"/>
  <c r="EB58" i="19"/>
  <c r="EA58" i="19"/>
  <c r="CS58" i="19"/>
  <c r="CR58" i="19"/>
  <c r="CQ59" i="19"/>
  <c r="DH58" i="19"/>
  <c r="DG58" i="19"/>
  <c r="DF59" i="19"/>
  <c r="DW58" i="19"/>
  <c r="DV58" i="19"/>
  <c r="DU59" i="19"/>
  <c r="CI58" i="19"/>
  <c r="CH58" i="19"/>
  <c r="CG59" i="19"/>
  <c r="EB59" i="19" l="1"/>
  <c r="EA59" i="19"/>
  <c r="DZ60" i="19"/>
  <c r="CI59" i="19"/>
  <c r="CH59" i="19"/>
  <c r="CG60" i="19"/>
  <c r="BM60" i="19"/>
  <c r="BO59" i="19"/>
  <c r="BN59" i="19"/>
  <c r="DK60" i="19"/>
  <c r="DM59" i="19"/>
  <c r="DL59" i="19"/>
  <c r="AP59" i="19"/>
  <c r="AO59" i="19"/>
  <c r="AN60" i="19"/>
  <c r="CX59" i="19"/>
  <c r="CW59" i="19"/>
  <c r="CV60" i="19"/>
  <c r="CQ60" i="19"/>
  <c r="CS59" i="19"/>
  <c r="CR59" i="19"/>
  <c r="BE59" i="19"/>
  <c r="BD59" i="19"/>
  <c r="BC60" i="19"/>
  <c r="Z59" i="19"/>
  <c r="Y60" i="19"/>
  <c r="AA59" i="19"/>
  <c r="V59" i="19"/>
  <c r="U59" i="19"/>
  <c r="T60" i="19"/>
  <c r="AS60" i="19"/>
  <c r="AU59" i="19"/>
  <c r="AT59" i="19"/>
  <c r="BT59" i="19"/>
  <c r="BS59" i="19"/>
  <c r="BR60" i="19"/>
  <c r="EL59" i="19"/>
  <c r="EK59" i="19"/>
  <c r="EJ60" i="19"/>
  <c r="EV59" i="19"/>
  <c r="EU59" i="19"/>
  <c r="ET60" i="19"/>
  <c r="DU60" i="19"/>
  <c r="DW59" i="19"/>
  <c r="DV59" i="19"/>
  <c r="CD59" i="19"/>
  <c r="CC59" i="19"/>
  <c r="CB60" i="19"/>
  <c r="AF59" i="19"/>
  <c r="AE59" i="19"/>
  <c r="AD60" i="19"/>
  <c r="EO60" i="19"/>
  <c r="EQ59" i="19"/>
  <c r="EP59" i="19"/>
  <c r="DH59" i="19"/>
  <c r="DG59" i="19"/>
  <c r="DF60" i="19"/>
  <c r="AI60" i="19"/>
  <c r="AK59" i="19"/>
  <c r="AJ59" i="19"/>
  <c r="CN59" i="19"/>
  <c r="CM59" i="19"/>
  <c r="CL60" i="19"/>
  <c r="DB59" i="19"/>
  <c r="DA60" i="19"/>
  <c r="DC59" i="19"/>
  <c r="BJ59" i="19"/>
  <c r="BI59" i="19"/>
  <c r="BH60" i="19"/>
  <c r="DR59" i="19"/>
  <c r="DQ59" i="19"/>
  <c r="DP60" i="19"/>
  <c r="BW60" i="19"/>
  <c r="BY59" i="19"/>
  <c r="BX59" i="19"/>
  <c r="AZ59" i="19"/>
  <c r="AY59" i="19"/>
  <c r="AX60" i="19"/>
  <c r="EG59" i="19"/>
  <c r="EF59" i="19"/>
  <c r="EE60" i="19"/>
  <c r="CD60" i="19" l="1"/>
  <c r="CC60" i="19"/>
  <c r="CB61" i="19"/>
  <c r="BO60" i="19"/>
  <c r="BN60" i="19"/>
  <c r="BM61" i="19"/>
  <c r="AY60" i="19"/>
  <c r="AX61" i="19"/>
  <c r="AZ60" i="19"/>
  <c r="T61" i="19"/>
  <c r="U60" i="19"/>
  <c r="V60" i="19"/>
  <c r="BE60" i="19"/>
  <c r="BC61" i="19"/>
  <c r="BD60" i="19"/>
  <c r="EL60" i="19"/>
  <c r="EK60" i="19"/>
  <c r="EJ61" i="19"/>
  <c r="AN61" i="19"/>
  <c r="AP60" i="19"/>
  <c r="AO60" i="19"/>
  <c r="EQ60" i="19"/>
  <c r="EP60" i="19"/>
  <c r="EO61" i="19"/>
  <c r="BT60" i="19"/>
  <c r="BR61" i="19"/>
  <c r="BS60" i="19"/>
  <c r="AF60" i="19"/>
  <c r="AE60" i="19"/>
  <c r="AD61" i="19"/>
  <c r="DU61" i="19"/>
  <c r="DW60" i="19"/>
  <c r="DV60" i="19"/>
  <c r="CS60" i="19"/>
  <c r="CR60" i="19"/>
  <c r="CQ61" i="19"/>
  <c r="EA60" i="19"/>
  <c r="DZ61" i="19"/>
  <c r="EB60" i="19"/>
  <c r="DP61" i="19"/>
  <c r="DR60" i="19"/>
  <c r="DQ60" i="19"/>
  <c r="CL61" i="19"/>
  <c r="CN60" i="19"/>
  <c r="CM60" i="19"/>
  <c r="BH61" i="19"/>
  <c r="BJ60" i="19"/>
  <c r="BI60" i="19"/>
  <c r="AK60" i="19"/>
  <c r="AJ60" i="19"/>
  <c r="AI61" i="19"/>
  <c r="ET61" i="19"/>
  <c r="EV60" i="19"/>
  <c r="EU60" i="19"/>
  <c r="AA60" i="19"/>
  <c r="Z60" i="19"/>
  <c r="Y61" i="19"/>
  <c r="CV61" i="19"/>
  <c r="CX60" i="19"/>
  <c r="CW60" i="19"/>
  <c r="DM60" i="19"/>
  <c r="DL60" i="19"/>
  <c r="DK61" i="19"/>
  <c r="AS61" i="19"/>
  <c r="AU60" i="19"/>
  <c r="AT60" i="19"/>
  <c r="CI60" i="19"/>
  <c r="CH60" i="19"/>
  <c r="CG61" i="19"/>
  <c r="EG60" i="19"/>
  <c r="EE61" i="19"/>
  <c r="EF60" i="19"/>
  <c r="BY60" i="19"/>
  <c r="BX60" i="19"/>
  <c r="BW61" i="19"/>
  <c r="DC60" i="19"/>
  <c r="DB60" i="19"/>
  <c r="DA61" i="19"/>
  <c r="DH60" i="19"/>
  <c r="DG60" i="19"/>
  <c r="DF61" i="19"/>
  <c r="DG61" i="19" l="1"/>
  <c r="DH61" i="19"/>
  <c r="DF62" i="19"/>
  <c r="Y62" i="19"/>
  <c r="AA61" i="19"/>
  <c r="Z61" i="19"/>
  <c r="AS62" i="19"/>
  <c r="AU61" i="19"/>
  <c r="AT61" i="19"/>
  <c r="EQ61" i="19"/>
  <c r="EP61" i="19"/>
  <c r="EO62" i="19"/>
  <c r="AY61" i="19"/>
  <c r="AZ61" i="19"/>
  <c r="AX62" i="19"/>
  <c r="EF61" i="19"/>
  <c r="EE62" i="19"/>
  <c r="EG61" i="19"/>
  <c r="DK62" i="19"/>
  <c r="DM61" i="19"/>
  <c r="DL61" i="19"/>
  <c r="DU62" i="19"/>
  <c r="DW61" i="19"/>
  <c r="DV61" i="19"/>
  <c r="DA62" i="19"/>
  <c r="DC61" i="19"/>
  <c r="DB61" i="19"/>
  <c r="BI61" i="19"/>
  <c r="BH62" i="19"/>
  <c r="BJ61" i="19"/>
  <c r="EA61" i="19"/>
  <c r="EB61" i="19"/>
  <c r="DZ62" i="19"/>
  <c r="AE61" i="19"/>
  <c r="AF61" i="19"/>
  <c r="AD62" i="19"/>
  <c r="BD61" i="19"/>
  <c r="BC62" i="19"/>
  <c r="BE61" i="19"/>
  <c r="BO61" i="19"/>
  <c r="BN61" i="19"/>
  <c r="BM62" i="19"/>
  <c r="DQ61" i="19"/>
  <c r="DP62" i="19"/>
  <c r="DR61" i="19"/>
  <c r="CH61" i="19"/>
  <c r="CG62" i="19"/>
  <c r="CI61" i="19"/>
  <c r="EU61" i="19"/>
  <c r="ET62" i="19"/>
  <c r="EV61" i="19"/>
  <c r="CS61" i="19"/>
  <c r="CQ62" i="19"/>
  <c r="CR61" i="19"/>
  <c r="BY61" i="19"/>
  <c r="BW62" i="19"/>
  <c r="BX61" i="19"/>
  <c r="AI62" i="19"/>
  <c r="AK61" i="19"/>
  <c r="AJ61" i="19"/>
  <c r="CM61" i="19"/>
  <c r="CL62" i="19"/>
  <c r="CN61" i="19"/>
  <c r="AO61" i="19"/>
  <c r="AN62" i="19"/>
  <c r="AP61" i="19"/>
  <c r="CC61" i="19"/>
  <c r="CB62" i="19"/>
  <c r="CD61" i="19"/>
  <c r="CW61" i="19"/>
  <c r="CX61" i="19"/>
  <c r="CV62" i="19"/>
  <c r="BS61" i="19"/>
  <c r="BR62" i="19"/>
  <c r="BT61" i="19"/>
  <c r="EK61" i="19"/>
  <c r="EJ62" i="19"/>
  <c r="EL61" i="19"/>
  <c r="V61" i="19"/>
  <c r="U61" i="19"/>
  <c r="T62" i="19"/>
  <c r="CX62" i="19" l="1"/>
  <c r="CW62" i="19"/>
  <c r="CV63" i="19"/>
  <c r="BX62" i="19"/>
  <c r="BY62" i="19"/>
  <c r="BW63" i="19"/>
  <c r="DK63" i="19"/>
  <c r="DL62" i="19"/>
  <c r="DM62" i="19"/>
  <c r="AJ62" i="19"/>
  <c r="AI63" i="19"/>
  <c r="AK62" i="19"/>
  <c r="BN62" i="19"/>
  <c r="BM63" i="19"/>
  <c r="BO62" i="19"/>
  <c r="AP62" i="19"/>
  <c r="AO62" i="19"/>
  <c r="AN63" i="19"/>
  <c r="DZ63" i="19"/>
  <c r="EB62" i="19"/>
  <c r="EA62" i="19"/>
  <c r="EE63" i="19"/>
  <c r="EF62" i="19"/>
  <c r="EG62" i="19"/>
  <c r="CG63" i="19"/>
  <c r="CH62" i="19"/>
  <c r="CI62" i="19"/>
  <c r="AX63" i="19"/>
  <c r="AZ62" i="19"/>
  <c r="AY62" i="19"/>
  <c r="AT62" i="19"/>
  <c r="AU62" i="19"/>
  <c r="AS63" i="19"/>
  <c r="BD62" i="19"/>
  <c r="BE62" i="19"/>
  <c r="BC63" i="19"/>
  <c r="DU63" i="19"/>
  <c r="DV62" i="19"/>
  <c r="DW62" i="19"/>
  <c r="EL62" i="19"/>
  <c r="EK62" i="19"/>
  <c r="EJ63" i="19"/>
  <c r="CQ63" i="19"/>
  <c r="CR62" i="19"/>
  <c r="CS62" i="19"/>
  <c r="BH63" i="19"/>
  <c r="BI62" i="19"/>
  <c r="BJ62" i="19"/>
  <c r="DF63" i="19"/>
  <c r="DH62" i="19"/>
  <c r="DG62" i="19"/>
  <c r="BR63" i="19"/>
  <c r="BT62" i="19"/>
  <c r="BS62" i="19"/>
  <c r="ET63" i="19"/>
  <c r="EV62" i="19"/>
  <c r="EU62" i="19"/>
  <c r="V62" i="19"/>
  <c r="T63" i="19"/>
  <c r="U62" i="19"/>
  <c r="DA63" i="19"/>
  <c r="DB62" i="19"/>
  <c r="DC62" i="19"/>
  <c r="CN62" i="19"/>
  <c r="CM62" i="19"/>
  <c r="CL63" i="19"/>
  <c r="CC62" i="19"/>
  <c r="CB63" i="19"/>
  <c r="CD62" i="19"/>
  <c r="DP63" i="19"/>
  <c r="DR62" i="19"/>
  <c r="DQ62" i="19"/>
  <c r="AE62" i="19"/>
  <c r="AD63" i="19"/>
  <c r="AF62" i="19"/>
  <c r="EO63" i="19"/>
  <c r="EP62" i="19"/>
  <c r="EQ62" i="19"/>
  <c r="Z62" i="19"/>
  <c r="Y63" i="19"/>
  <c r="AA62" i="19"/>
  <c r="DK64" i="19" l="1"/>
  <c r="DM63" i="19"/>
  <c r="DL63" i="19"/>
  <c r="DP64" i="19"/>
  <c r="DQ63" i="19"/>
  <c r="DR63" i="19"/>
  <c r="BH64" i="19"/>
  <c r="BI63" i="19"/>
  <c r="BJ63" i="19"/>
  <c r="EE64" i="19"/>
  <c r="EG63" i="19"/>
  <c r="EF63" i="19"/>
  <c r="BM64" i="19"/>
  <c r="BO63" i="19"/>
  <c r="BN63" i="19"/>
  <c r="BW64" i="19"/>
  <c r="BY63" i="19"/>
  <c r="BX63" i="19"/>
  <c r="DC63" i="19"/>
  <c r="DB63" i="19"/>
  <c r="DA64" i="19"/>
  <c r="DU64" i="19"/>
  <c r="DW63" i="19"/>
  <c r="DV63" i="19"/>
  <c r="CB64" i="19"/>
  <c r="CC63" i="19"/>
  <c r="CD63" i="19"/>
  <c r="BR64" i="19"/>
  <c r="BS63" i="19"/>
  <c r="BT63" i="19"/>
  <c r="BC64" i="19"/>
  <c r="BE63" i="19"/>
  <c r="BD63" i="19"/>
  <c r="AX64" i="19"/>
  <c r="AY63" i="19"/>
  <c r="AZ63" i="19"/>
  <c r="Z63" i="19"/>
  <c r="Y64" i="19"/>
  <c r="AA63" i="19"/>
  <c r="T64" i="19"/>
  <c r="U63" i="19"/>
  <c r="V63" i="19"/>
  <c r="CS63" i="19"/>
  <c r="CR63" i="19"/>
  <c r="CQ64" i="19"/>
  <c r="DZ64" i="19"/>
  <c r="EA63" i="19"/>
  <c r="EB63" i="19"/>
  <c r="AK63" i="19"/>
  <c r="AJ63" i="19"/>
  <c r="AI64" i="19"/>
  <c r="CV64" i="19"/>
  <c r="CW63" i="19"/>
  <c r="CX63" i="19"/>
  <c r="ET64" i="19"/>
  <c r="EU63" i="19"/>
  <c r="EV63" i="19"/>
  <c r="EO64" i="19"/>
  <c r="EQ63" i="19"/>
  <c r="EP63" i="19"/>
  <c r="AD64" i="19"/>
  <c r="AE63" i="19"/>
  <c r="AF63" i="19"/>
  <c r="CL64" i="19"/>
  <c r="CM63" i="19"/>
  <c r="CN63" i="19"/>
  <c r="EJ64" i="19"/>
  <c r="EK63" i="19"/>
  <c r="EL63" i="19"/>
  <c r="AN64" i="19"/>
  <c r="AO63" i="19"/>
  <c r="AP63" i="19"/>
  <c r="DF64" i="19"/>
  <c r="DG63" i="19"/>
  <c r="DH63" i="19"/>
  <c r="AU63" i="19"/>
  <c r="AT63" i="19"/>
  <c r="AS64" i="19"/>
  <c r="CG64" i="19"/>
  <c r="CI63" i="19"/>
  <c r="CH63" i="19"/>
  <c r="BW65" i="19" l="1"/>
  <c r="BX64" i="19"/>
  <c r="BY64" i="19"/>
  <c r="CG65" i="19"/>
  <c r="CH64" i="19"/>
  <c r="CI64" i="19"/>
  <c r="ET65" i="19"/>
  <c r="EV64" i="19"/>
  <c r="EU64" i="19"/>
  <c r="BH65" i="19"/>
  <c r="BJ64" i="19"/>
  <c r="BI64" i="19"/>
  <c r="Y65" i="19"/>
  <c r="Z64" i="19"/>
  <c r="AA64" i="19"/>
  <c r="AD65" i="19"/>
  <c r="AF64" i="19"/>
  <c r="AE64" i="19"/>
  <c r="CQ65" i="19"/>
  <c r="CR64" i="19"/>
  <c r="CS64" i="19"/>
  <c r="DA65" i="19"/>
  <c r="DB64" i="19"/>
  <c r="DC64" i="19"/>
  <c r="BM65" i="19"/>
  <c r="BN64" i="19"/>
  <c r="BO64" i="19"/>
  <c r="AN65" i="19"/>
  <c r="AP64" i="19"/>
  <c r="AO64" i="19"/>
  <c r="CV65" i="19"/>
  <c r="CX64" i="19"/>
  <c r="CW64" i="19"/>
  <c r="BR65" i="19"/>
  <c r="BT64" i="19"/>
  <c r="BS64" i="19"/>
  <c r="DP65" i="19"/>
  <c r="DR64" i="19"/>
  <c r="DQ64" i="19"/>
  <c r="BC65" i="19"/>
  <c r="BD64" i="19"/>
  <c r="BE64" i="19"/>
  <c r="DZ65" i="19"/>
  <c r="EB64" i="19"/>
  <c r="EA64" i="19"/>
  <c r="DU65" i="19"/>
  <c r="DV64" i="19"/>
  <c r="DW64" i="19"/>
  <c r="EJ65" i="19"/>
  <c r="EL64" i="19"/>
  <c r="EK64" i="19"/>
  <c r="AI65" i="19"/>
  <c r="AJ64" i="19"/>
  <c r="AK64" i="19"/>
  <c r="EO65" i="19"/>
  <c r="EP64" i="19"/>
  <c r="EQ64" i="19"/>
  <c r="AX65" i="19"/>
  <c r="AZ64" i="19"/>
  <c r="AY64" i="19"/>
  <c r="EE65" i="19"/>
  <c r="EF64" i="19"/>
  <c r="EG64" i="19"/>
  <c r="CL65" i="19"/>
  <c r="CN64" i="19"/>
  <c r="CM64" i="19"/>
  <c r="T65" i="19"/>
  <c r="V64" i="19"/>
  <c r="U64" i="19"/>
  <c r="AS65" i="19"/>
  <c r="AT64" i="19"/>
  <c r="AU64" i="19"/>
  <c r="DF65" i="19"/>
  <c r="DH64" i="19"/>
  <c r="DG64" i="19"/>
  <c r="CB65" i="19"/>
  <c r="CD64" i="19"/>
  <c r="CC64" i="19"/>
  <c r="DK65" i="19"/>
  <c r="DL64" i="19"/>
  <c r="DM64" i="19"/>
  <c r="BW66" i="19" l="1"/>
  <c r="BY65" i="19"/>
  <c r="BX65" i="19"/>
  <c r="CL66" i="19"/>
  <c r="CM65" i="19"/>
  <c r="CN65" i="19"/>
  <c r="CV66" i="19"/>
  <c r="CW65" i="19"/>
  <c r="CX65" i="19"/>
  <c r="ET66" i="19"/>
  <c r="EU65" i="19"/>
  <c r="EV65" i="19"/>
  <c r="AS66" i="19"/>
  <c r="AU65" i="19"/>
  <c r="AT65" i="19"/>
  <c r="DU66" i="19"/>
  <c r="DV65" i="19"/>
  <c r="DW65" i="19"/>
  <c r="DA66" i="19"/>
  <c r="DC65" i="19"/>
  <c r="DB65" i="19"/>
  <c r="DF66" i="19"/>
  <c r="DG65" i="19"/>
  <c r="DH65" i="19"/>
  <c r="BC66" i="19"/>
  <c r="BE65" i="19"/>
  <c r="BD65" i="19"/>
  <c r="AD66" i="19"/>
  <c r="AE65" i="19"/>
  <c r="AF65" i="19"/>
  <c r="EO66" i="19"/>
  <c r="EQ65" i="19"/>
  <c r="EP65" i="19"/>
  <c r="EE66" i="19"/>
  <c r="EG65" i="19"/>
  <c r="EF65" i="19"/>
  <c r="DP66" i="19"/>
  <c r="DQ65" i="19"/>
  <c r="DR65" i="19"/>
  <c r="Y66" i="19"/>
  <c r="AA65" i="19"/>
  <c r="Z65" i="19"/>
  <c r="AN66" i="19"/>
  <c r="AO65" i="19"/>
  <c r="AP65" i="19"/>
  <c r="CG66" i="19"/>
  <c r="CI65" i="19"/>
  <c r="CH65" i="19"/>
  <c r="T66" i="19"/>
  <c r="U65" i="19"/>
  <c r="V65" i="19"/>
  <c r="DZ66" i="19"/>
  <c r="EA65" i="19"/>
  <c r="EB65" i="19"/>
  <c r="CQ66" i="19"/>
  <c r="CS65" i="19"/>
  <c r="CR65" i="19"/>
  <c r="EJ66" i="19"/>
  <c r="EK65" i="19"/>
  <c r="EL65" i="19"/>
  <c r="BM66" i="19"/>
  <c r="BO65" i="19"/>
  <c r="BN65" i="19"/>
  <c r="DK66" i="19"/>
  <c r="DM65" i="19"/>
  <c r="DL65" i="19"/>
  <c r="CB66" i="19"/>
  <c r="CC65" i="19"/>
  <c r="CD65" i="19"/>
  <c r="AI66" i="19"/>
  <c r="AK65" i="19"/>
  <c r="AJ65" i="19"/>
  <c r="AX66" i="19"/>
  <c r="AY65" i="19"/>
  <c r="AZ65" i="19"/>
  <c r="BR66" i="19"/>
  <c r="BS65" i="19"/>
  <c r="BT65" i="19"/>
  <c r="BH66" i="19"/>
  <c r="BI65" i="19"/>
  <c r="BJ65" i="19"/>
  <c r="Y67" i="19" l="1"/>
  <c r="Z66" i="19"/>
  <c r="AA66" i="19"/>
  <c r="CG67" i="19"/>
  <c r="CH66" i="19"/>
  <c r="CI66" i="19"/>
  <c r="DF67" i="19"/>
  <c r="DH66" i="19"/>
  <c r="DG66" i="19"/>
  <c r="CQ67" i="19"/>
  <c r="CR66" i="19"/>
  <c r="CS66" i="19"/>
  <c r="BM67" i="19"/>
  <c r="BN66" i="19"/>
  <c r="BO66" i="19"/>
  <c r="DP67" i="19"/>
  <c r="DR66" i="19"/>
  <c r="DQ66" i="19"/>
  <c r="AS67" i="19"/>
  <c r="AT66" i="19"/>
  <c r="AU66" i="19"/>
  <c r="BR67" i="19"/>
  <c r="BS66" i="19"/>
  <c r="BT66" i="19"/>
  <c r="DZ67" i="19"/>
  <c r="EB66" i="19"/>
  <c r="EA66" i="19"/>
  <c r="AD67" i="19"/>
  <c r="AF66" i="19"/>
  <c r="AE66" i="19"/>
  <c r="CL67" i="19"/>
  <c r="CN66" i="19"/>
  <c r="CM66" i="19"/>
  <c r="DK67" i="19"/>
  <c r="DL66" i="19"/>
  <c r="DM66" i="19"/>
  <c r="AI67" i="19"/>
  <c r="AJ66" i="19"/>
  <c r="AK66" i="19"/>
  <c r="CB67" i="19"/>
  <c r="CD66" i="19"/>
  <c r="CC66" i="19"/>
  <c r="AN67" i="19"/>
  <c r="AP66" i="19"/>
  <c r="AO66" i="19"/>
  <c r="DA67" i="19"/>
  <c r="DB66" i="19"/>
  <c r="DC66" i="19"/>
  <c r="CV67" i="19"/>
  <c r="CX66" i="19"/>
  <c r="CW66" i="19"/>
  <c r="EJ67" i="19"/>
  <c r="EL66" i="19"/>
  <c r="EK66" i="19"/>
  <c r="EE67" i="19"/>
  <c r="EF66" i="19"/>
  <c r="EG66" i="19"/>
  <c r="ET67" i="19"/>
  <c r="EV66" i="19"/>
  <c r="EU66" i="19"/>
  <c r="DU67" i="19"/>
  <c r="DV66" i="19"/>
  <c r="DW66" i="19"/>
  <c r="BH67" i="19"/>
  <c r="BJ66" i="19"/>
  <c r="BI66" i="19"/>
  <c r="EO67" i="19"/>
  <c r="EP66" i="19"/>
  <c r="EQ66" i="19"/>
  <c r="AX67" i="19"/>
  <c r="AZ66" i="19"/>
  <c r="AY66" i="19"/>
  <c r="T67" i="19"/>
  <c r="V66" i="19"/>
  <c r="U66" i="19"/>
  <c r="BC67" i="19"/>
  <c r="BD66" i="19"/>
  <c r="BE66" i="19"/>
  <c r="BW67" i="19"/>
  <c r="BX66" i="19"/>
  <c r="BY66" i="19"/>
  <c r="BH68" i="19" l="1"/>
  <c r="BI67" i="19"/>
  <c r="BJ67" i="19"/>
  <c r="CB68" i="19"/>
  <c r="CC67" i="19"/>
  <c r="CD67" i="19"/>
  <c r="DP68" i="19"/>
  <c r="DQ67" i="19"/>
  <c r="DR67" i="19"/>
  <c r="AI68" i="19"/>
  <c r="AK67" i="19"/>
  <c r="AJ67" i="19"/>
  <c r="BM68" i="19"/>
  <c r="BO67" i="19"/>
  <c r="BN67" i="19"/>
  <c r="BW68" i="19"/>
  <c r="BY67" i="19"/>
  <c r="BX67" i="19"/>
  <c r="EE68" i="19"/>
  <c r="EG67" i="19"/>
  <c r="EF67" i="19"/>
  <c r="DF68" i="19"/>
  <c r="DG67" i="19"/>
  <c r="DH67" i="19"/>
  <c r="AX68" i="19"/>
  <c r="AY67" i="19"/>
  <c r="AZ67" i="19"/>
  <c r="DA68" i="19"/>
  <c r="DC67" i="19"/>
  <c r="DB67" i="19"/>
  <c r="BC68" i="19"/>
  <c r="BE67" i="19"/>
  <c r="BD67" i="19"/>
  <c r="EJ68" i="19"/>
  <c r="EK67" i="19"/>
  <c r="EL67" i="19"/>
  <c r="AD68" i="19"/>
  <c r="AE67" i="19"/>
  <c r="AF67" i="19"/>
  <c r="CG68" i="19"/>
  <c r="CI67" i="19"/>
  <c r="CH67" i="19"/>
  <c r="DU68" i="19"/>
  <c r="DW67" i="19"/>
  <c r="DV67" i="19"/>
  <c r="EO68" i="19"/>
  <c r="EQ67" i="19"/>
  <c r="EP67" i="19"/>
  <c r="AN68" i="19"/>
  <c r="AO67" i="19"/>
  <c r="AP67" i="19"/>
  <c r="AS68" i="19"/>
  <c r="AU67" i="19"/>
  <c r="AT67" i="19"/>
  <c r="CL68" i="19"/>
  <c r="CM67" i="19"/>
  <c r="CN67" i="19"/>
  <c r="ET68" i="19"/>
  <c r="EU67" i="19"/>
  <c r="EV67" i="19"/>
  <c r="DK68" i="19"/>
  <c r="DM67" i="19"/>
  <c r="DL67" i="19"/>
  <c r="CQ68" i="19"/>
  <c r="CS67" i="19"/>
  <c r="CR67" i="19"/>
  <c r="BR68" i="19"/>
  <c r="BS67" i="19"/>
  <c r="BT67" i="19"/>
  <c r="T68" i="19"/>
  <c r="U67" i="19"/>
  <c r="V67" i="19"/>
  <c r="CV68" i="19"/>
  <c r="CW67" i="19"/>
  <c r="CX67" i="19"/>
  <c r="DZ68" i="19"/>
  <c r="EA67" i="19"/>
  <c r="EB67" i="19"/>
  <c r="Y68" i="19"/>
  <c r="AA67" i="19"/>
  <c r="Z67" i="19"/>
  <c r="CR68" i="19" l="1"/>
  <c r="CQ69" i="19"/>
  <c r="CS68" i="19"/>
  <c r="BW69" i="19"/>
  <c r="BX68" i="19"/>
  <c r="BY68" i="19"/>
  <c r="Y69" i="19"/>
  <c r="Z68" i="19"/>
  <c r="AA68" i="19"/>
  <c r="CL69" i="19"/>
  <c r="CN68" i="19"/>
  <c r="CM68" i="19"/>
  <c r="T69" i="19"/>
  <c r="V68" i="19"/>
  <c r="U68" i="19"/>
  <c r="EP68" i="19"/>
  <c r="EO69" i="19"/>
  <c r="EQ68" i="19"/>
  <c r="DF69" i="19"/>
  <c r="DH68" i="19"/>
  <c r="DG68" i="19"/>
  <c r="DP69" i="19"/>
  <c r="DR68" i="19"/>
  <c r="DQ68" i="19"/>
  <c r="DL68" i="19"/>
  <c r="DK69" i="19"/>
  <c r="DM68" i="19"/>
  <c r="AD69" i="19"/>
  <c r="AF68" i="19"/>
  <c r="AE68" i="19"/>
  <c r="BM69" i="19"/>
  <c r="BN68" i="19"/>
  <c r="BO68" i="19"/>
  <c r="DB68" i="19"/>
  <c r="DA69" i="19"/>
  <c r="DC68" i="19"/>
  <c r="CB69" i="19"/>
  <c r="CD68" i="19"/>
  <c r="CC68" i="19"/>
  <c r="DZ69" i="19"/>
  <c r="EB68" i="19"/>
  <c r="EA68" i="19"/>
  <c r="AS69" i="19"/>
  <c r="AT68" i="19"/>
  <c r="AU68" i="19"/>
  <c r="BR69" i="19"/>
  <c r="BT68" i="19"/>
  <c r="BS68" i="19"/>
  <c r="EF68" i="19"/>
  <c r="EE69" i="19"/>
  <c r="EG68" i="19"/>
  <c r="BC69" i="19"/>
  <c r="BD68" i="19"/>
  <c r="BE68" i="19"/>
  <c r="DU69" i="19"/>
  <c r="DV68" i="19"/>
  <c r="DW68" i="19"/>
  <c r="ET69" i="19"/>
  <c r="EV68" i="19"/>
  <c r="EU68" i="19"/>
  <c r="EL68" i="19"/>
  <c r="EJ69" i="19"/>
  <c r="EK68" i="19"/>
  <c r="AI69" i="19"/>
  <c r="AJ68" i="19"/>
  <c r="AK68" i="19"/>
  <c r="CG69" i="19"/>
  <c r="CH68" i="19"/>
  <c r="CI68" i="19"/>
  <c r="CX68" i="19"/>
  <c r="CV69" i="19"/>
  <c r="CW68" i="19"/>
  <c r="AN69" i="19"/>
  <c r="AP68" i="19"/>
  <c r="AO68" i="19"/>
  <c r="AX69" i="19"/>
  <c r="AZ68" i="19"/>
  <c r="AY68" i="19"/>
  <c r="BH69" i="19"/>
  <c r="BJ68" i="19"/>
  <c r="BI68" i="19"/>
  <c r="EA69" i="19" l="1"/>
  <c r="EB69" i="19"/>
  <c r="DZ70" i="19"/>
  <c r="EK69" i="19"/>
  <c r="EJ70" i="19"/>
  <c r="EL69" i="19"/>
  <c r="BR70" i="19"/>
  <c r="BS69" i="19"/>
  <c r="BT69" i="19"/>
  <c r="DQ69" i="19"/>
  <c r="DP70" i="19"/>
  <c r="DR69" i="19"/>
  <c r="Y70" i="19"/>
  <c r="AA69" i="19"/>
  <c r="Z69" i="19"/>
  <c r="CB70" i="19"/>
  <c r="CC69" i="19"/>
  <c r="CD69" i="19"/>
  <c r="U69" i="19"/>
  <c r="T70" i="19"/>
  <c r="V69" i="19"/>
  <c r="DW69" i="19"/>
  <c r="DU70" i="19"/>
  <c r="DV69" i="19"/>
  <c r="AY69" i="19"/>
  <c r="AX70" i="19"/>
  <c r="AZ69" i="19"/>
  <c r="BC70" i="19"/>
  <c r="BE69" i="19"/>
  <c r="BD69" i="19"/>
  <c r="AD70" i="19"/>
  <c r="AE69" i="19"/>
  <c r="AF69" i="19"/>
  <c r="BW70" i="19"/>
  <c r="BY69" i="19"/>
  <c r="BX69" i="19"/>
  <c r="AI70" i="19"/>
  <c r="AK69" i="19"/>
  <c r="AJ69" i="19"/>
  <c r="BI69" i="19"/>
  <c r="BH70" i="19"/>
  <c r="BJ69" i="19"/>
  <c r="BM70" i="19"/>
  <c r="BO69" i="19"/>
  <c r="BN69" i="19"/>
  <c r="CI69" i="19"/>
  <c r="CG70" i="19"/>
  <c r="CH69" i="19"/>
  <c r="AU69" i="19"/>
  <c r="AT69" i="19"/>
  <c r="AS70" i="19"/>
  <c r="DC69" i="19"/>
  <c r="DA70" i="19"/>
  <c r="DB69" i="19"/>
  <c r="DG69" i="19"/>
  <c r="DH69" i="19"/>
  <c r="DF70" i="19"/>
  <c r="CW69" i="19"/>
  <c r="CV70" i="19"/>
  <c r="CX69" i="19"/>
  <c r="EU69" i="19"/>
  <c r="EV69" i="19"/>
  <c r="ET70" i="19"/>
  <c r="EG69" i="19"/>
  <c r="EF69" i="19"/>
  <c r="EE70" i="19"/>
  <c r="DM69" i="19"/>
  <c r="DK70" i="19"/>
  <c r="DL69" i="19"/>
  <c r="CM69" i="19"/>
  <c r="CN69" i="19"/>
  <c r="CL70" i="19"/>
  <c r="CS69" i="19"/>
  <c r="CR69" i="19"/>
  <c r="CQ70" i="19"/>
  <c r="AO69" i="19"/>
  <c r="AP69" i="19"/>
  <c r="AN70" i="19"/>
  <c r="EQ69" i="19"/>
  <c r="EO70" i="19"/>
  <c r="EP69" i="19"/>
  <c r="DV70" i="19" l="1"/>
  <c r="DW70" i="19"/>
  <c r="DU71" i="19"/>
  <c r="AP70" i="19"/>
  <c r="AO70" i="19"/>
  <c r="AN71" i="19"/>
  <c r="EP70" i="19"/>
  <c r="EQ70" i="19"/>
  <c r="EO71" i="19"/>
  <c r="BT70" i="19"/>
  <c r="BR71" i="19"/>
  <c r="BS70" i="19"/>
  <c r="DB70" i="19"/>
  <c r="DC70" i="19"/>
  <c r="DA71" i="19"/>
  <c r="AJ70" i="19"/>
  <c r="AK70" i="19"/>
  <c r="AI71" i="19"/>
  <c r="Z70" i="19"/>
  <c r="Y71" i="19"/>
  <c r="AA70" i="19"/>
  <c r="EL70" i="19"/>
  <c r="EK70" i="19"/>
  <c r="EJ71" i="19"/>
  <c r="BD70" i="19"/>
  <c r="BE70" i="19"/>
  <c r="BC71" i="19"/>
  <c r="V70" i="19"/>
  <c r="T71" i="19"/>
  <c r="U70" i="19"/>
  <c r="CH70" i="19"/>
  <c r="CI70" i="19"/>
  <c r="CG71" i="19"/>
  <c r="AF70" i="19"/>
  <c r="AD71" i="19"/>
  <c r="AE70" i="19"/>
  <c r="DL70" i="19"/>
  <c r="DM70" i="19"/>
  <c r="DK71" i="19"/>
  <c r="CR70" i="19"/>
  <c r="CS70" i="19"/>
  <c r="CQ71" i="19"/>
  <c r="CX70" i="19"/>
  <c r="CW70" i="19"/>
  <c r="CV71" i="19"/>
  <c r="AT70" i="19"/>
  <c r="AS71" i="19"/>
  <c r="AU70" i="19"/>
  <c r="BN70" i="19"/>
  <c r="BM71" i="19"/>
  <c r="BO70" i="19"/>
  <c r="DR70" i="19"/>
  <c r="DQ70" i="19"/>
  <c r="DP71" i="19"/>
  <c r="EB70" i="19"/>
  <c r="EA70" i="19"/>
  <c r="DZ71" i="19"/>
  <c r="CN70" i="19"/>
  <c r="CM70" i="19"/>
  <c r="CL71" i="19"/>
  <c r="CD70" i="19"/>
  <c r="CC70" i="19"/>
  <c r="CB71" i="19"/>
  <c r="EF70" i="19"/>
  <c r="EG70" i="19"/>
  <c r="EE71" i="19"/>
  <c r="BX70" i="19"/>
  <c r="BY70" i="19"/>
  <c r="BW71" i="19"/>
  <c r="AZ70" i="19"/>
  <c r="AX71" i="19"/>
  <c r="AY70" i="19"/>
  <c r="ET71" i="19"/>
  <c r="EV70" i="19"/>
  <c r="EU70" i="19"/>
  <c r="DH70" i="19"/>
  <c r="DG70" i="19"/>
  <c r="DF71" i="19"/>
  <c r="BJ70" i="19"/>
  <c r="BH71" i="19"/>
  <c r="BI70" i="19"/>
  <c r="DK72" i="19" l="1"/>
  <c r="DM71" i="19"/>
  <c r="DL71" i="19"/>
  <c r="DQ71" i="19"/>
  <c r="DP72" i="19"/>
  <c r="DR71" i="19"/>
  <c r="AO71" i="19"/>
  <c r="AN72" i="19"/>
  <c r="AP71" i="19"/>
  <c r="DG71" i="19"/>
  <c r="DF72" i="19"/>
  <c r="DH71" i="19"/>
  <c r="BW72" i="19"/>
  <c r="BY71" i="19"/>
  <c r="BX71" i="19"/>
  <c r="CW71" i="19"/>
  <c r="CV72" i="19"/>
  <c r="CX71" i="19"/>
  <c r="U71" i="19"/>
  <c r="V71" i="19"/>
  <c r="T72" i="19"/>
  <c r="EK71" i="19"/>
  <c r="EJ72" i="19"/>
  <c r="EL71" i="19"/>
  <c r="AY71" i="19"/>
  <c r="AX72" i="19"/>
  <c r="AZ71" i="19"/>
  <c r="AS72" i="19"/>
  <c r="AU71" i="19"/>
  <c r="AT71" i="19"/>
  <c r="DA72" i="19"/>
  <c r="DC71" i="19"/>
  <c r="DB71" i="19"/>
  <c r="CM71" i="19"/>
  <c r="CL72" i="19"/>
  <c r="CN71" i="19"/>
  <c r="Y72" i="19"/>
  <c r="AA71" i="19"/>
  <c r="Z71" i="19"/>
  <c r="BI71" i="19"/>
  <c r="BH72" i="19"/>
  <c r="BJ71" i="19"/>
  <c r="CC71" i="19"/>
  <c r="CB72" i="19"/>
  <c r="CD71" i="19"/>
  <c r="AE71" i="19"/>
  <c r="AD72" i="19"/>
  <c r="AF71" i="19"/>
  <c r="BC72" i="19"/>
  <c r="BE71" i="19"/>
  <c r="BD71" i="19"/>
  <c r="BS71" i="19"/>
  <c r="BR72" i="19"/>
  <c r="BT71" i="19"/>
  <c r="DU72" i="19"/>
  <c r="DW71" i="19"/>
  <c r="DV71" i="19"/>
  <c r="EE72" i="19"/>
  <c r="EG71" i="19"/>
  <c r="EF71" i="19"/>
  <c r="BM72" i="19"/>
  <c r="BO71" i="19"/>
  <c r="BN71" i="19"/>
  <c r="CQ72" i="19"/>
  <c r="CS71" i="19"/>
  <c r="CR71" i="19"/>
  <c r="AI72" i="19"/>
  <c r="AK71" i="19"/>
  <c r="AJ71" i="19"/>
  <c r="EU71" i="19"/>
  <c r="ET72" i="19"/>
  <c r="EV71" i="19"/>
  <c r="EA71" i="19"/>
  <c r="DZ72" i="19"/>
  <c r="EB71" i="19"/>
  <c r="CG72" i="19"/>
  <c r="CI71" i="19"/>
  <c r="CH71" i="19"/>
  <c r="EO72" i="19"/>
  <c r="EQ71" i="19"/>
  <c r="EP71" i="19"/>
  <c r="ET73" i="19" l="1"/>
  <c r="EV72" i="19"/>
  <c r="EU72" i="19"/>
  <c r="AD73" i="19"/>
  <c r="AF72" i="19"/>
  <c r="AE72" i="19"/>
  <c r="DB72" i="19"/>
  <c r="DA73" i="19"/>
  <c r="DC72" i="19"/>
  <c r="CR72" i="19"/>
  <c r="CQ73" i="19"/>
  <c r="CS72" i="19"/>
  <c r="EP72" i="19"/>
  <c r="EO73" i="19"/>
  <c r="EQ72" i="19"/>
  <c r="BN72" i="19"/>
  <c r="BM73" i="19"/>
  <c r="BO72" i="19"/>
  <c r="BR73" i="19"/>
  <c r="BT72" i="19"/>
  <c r="BS72" i="19"/>
  <c r="Z72" i="19"/>
  <c r="Y73" i="19"/>
  <c r="AA72" i="19"/>
  <c r="T73" i="19"/>
  <c r="V72" i="19"/>
  <c r="U72" i="19"/>
  <c r="BX72" i="19"/>
  <c r="BW73" i="19"/>
  <c r="BY72" i="19"/>
  <c r="DP73" i="19"/>
  <c r="DR72" i="19"/>
  <c r="DQ72" i="19"/>
  <c r="EJ73" i="19"/>
  <c r="EL72" i="19"/>
  <c r="EK72" i="19"/>
  <c r="CH72" i="19"/>
  <c r="CG73" i="19"/>
  <c r="CI72" i="19"/>
  <c r="CB73" i="19"/>
  <c r="CD72" i="19"/>
  <c r="CC72" i="19"/>
  <c r="AT72" i="19"/>
  <c r="AS73" i="19"/>
  <c r="AU72" i="19"/>
  <c r="DV72" i="19"/>
  <c r="DU73" i="19"/>
  <c r="DW72" i="19"/>
  <c r="AJ72" i="19"/>
  <c r="AI73" i="19"/>
  <c r="AK72" i="19"/>
  <c r="CL73" i="19"/>
  <c r="CN72" i="19"/>
  <c r="CM72" i="19"/>
  <c r="DF73" i="19"/>
  <c r="DH72" i="19"/>
  <c r="DG72" i="19"/>
  <c r="AN73" i="19"/>
  <c r="AP72" i="19"/>
  <c r="AO72" i="19"/>
  <c r="DZ73" i="19"/>
  <c r="EB72" i="19"/>
  <c r="EA72" i="19"/>
  <c r="EF72" i="19"/>
  <c r="EE73" i="19"/>
  <c r="EG72" i="19"/>
  <c r="AX73" i="19"/>
  <c r="AZ72" i="19"/>
  <c r="AY72" i="19"/>
  <c r="BD72" i="19"/>
  <c r="BC73" i="19"/>
  <c r="BE72" i="19"/>
  <c r="BH73" i="19"/>
  <c r="BJ72" i="19"/>
  <c r="BI72" i="19"/>
  <c r="CV73" i="19"/>
  <c r="CX72" i="19"/>
  <c r="CW72" i="19"/>
  <c r="DL72" i="19"/>
  <c r="DK73" i="19"/>
  <c r="DM72" i="19"/>
  <c r="Y74" i="19" l="1"/>
  <c r="AA73" i="19"/>
  <c r="Z73" i="19"/>
  <c r="DW73" i="19"/>
  <c r="DU74" i="19"/>
  <c r="DV73" i="19"/>
  <c r="DQ73" i="19"/>
  <c r="DP74" i="19"/>
  <c r="DR73" i="19"/>
  <c r="CG74" i="19"/>
  <c r="CI73" i="19"/>
  <c r="CH73" i="19"/>
  <c r="EQ73" i="19"/>
  <c r="EP73" i="19"/>
  <c r="EO74" i="19"/>
  <c r="BW74" i="19"/>
  <c r="BY73" i="19"/>
  <c r="BX73" i="19"/>
  <c r="CW73" i="19"/>
  <c r="CV74" i="19"/>
  <c r="CX73" i="19"/>
  <c r="CM73" i="19"/>
  <c r="CL74" i="19"/>
  <c r="CN73" i="19"/>
  <c r="AS74" i="19"/>
  <c r="AU73" i="19"/>
  <c r="AT73" i="19"/>
  <c r="AE73" i="19"/>
  <c r="AD74" i="19"/>
  <c r="AF73" i="19"/>
  <c r="DK74" i="19"/>
  <c r="DM73" i="19"/>
  <c r="DL73" i="19"/>
  <c r="DZ74" i="19"/>
  <c r="EA73" i="19"/>
  <c r="EB73" i="19"/>
  <c r="AY73" i="19"/>
  <c r="AX74" i="19"/>
  <c r="AZ73" i="19"/>
  <c r="BS73" i="19"/>
  <c r="BR74" i="19"/>
  <c r="BT73" i="19"/>
  <c r="CQ74" i="19"/>
  <c r="CS73" i="19"/>
  <c r="CR73" i="19"/>
  <c r="DC73" i="19"/>
  <c r="DB73" i="19"/>
  <c r="DA74" i="19"/>
  <c r="BC74" i="19"/>
  <c r="BE73" i="19"/>
  <c r="BD73" i="19"/>
  <c r="AO73" i="19"/>
  <c r="AN74" i="19"/>
  <c r="AP73" i="19"/>
  <c r="AI74" i="19"/>
  <c r="AK73" i="19"/>
  <c r="AJ73" i="19"/>
  <c r="EK73" i="19"/>
  <c r="EJ74" i="19"/>
  <c r="EL73" i="19"/>
  <c r="CC73" i="19"/>
  <c r="CB74" i="19"/>
  <c r="CD73" i="19"/>
  <c r="DG73" i="19"/>
  <c r="DH73" i="19"/>
  <c r="DF74" i="19"/>
  <c r="BI73" i="19"/>
  <c r="BH74" i="19"/>
  <c r="BJ73" i="19"/>
  <c r="EG73" i="19"/>
  <c r="EF73" i="19"/>
  <c r="EE74" i="19"/>
  <c r="U73" i="19"/>
  <c r="T74" i="19"/>
  <c r="V73" i="19"/>
  <c r="BM74" i="19"/>
  <c r="BO73" i="19"/>
  <c r="BN73" i="19"/>
  <c r="EU73" i="19"/>
  <c r="ET74" i="19"/>
  <c r="EV73" i="19"/>
  <c r="Z74" i="19" l="1"/>
  <c r="Y75" i="19"/>
  <c r="AA74" i="19"/>
  <c r="EV74" i="19"/>
  <c r="ET75" i="19"/>
  <c r="EU74" i="19"/>
  <c r="EE75" i="19"/>
  <c r="EG74" i="19"/>
  <c r="EF74" i="19"/>
  <c r="DC74" i="19"/>
  <c r="DB74" i="19"/>
  <c r="DA75" i="19"/>
  <c r="BX74" i="19"/>
  <c r="BW75" i="19"/>
  <c r="BY74" i="19"/>
  <c r="DR74" i="19"/>
  <c r="DP75" i="19"/>
  <c r="DQ74" i="19"/>
  <c r="BD74" i="19"/>
  <c r="BC75" i="19"/>
  <c r="BE74" i="19"/>
  <c r="DM74" i="19"/>
  <c r="DK75" i="19"/>
  <c r="DL74" i="19"/>
  <c r="CN74" i="19"/>
  <c r="CM74" i="19"/>
  <c r="CL75" i="19"/>
  <c r="EP74" i="19"/>
  <c r="EO75" i="19"/>
  <c r="EQ74" i="19"/>
  <c r="CD74" i="19"/>
  <c r="CB75" i="19"/>
  <c r="CC74" i="19"/>
  <c r="AZ74" i="19"/>
  <c r="AY74" i="19"/>
  <c r="AX75" i="19"/>
  <c r="AT74" i="19"/>
  <c r="AS75" i="19"/>
  <c r="AU74" i="19"/>
  <c r="AP74" i="19"/>
  <c r="AN75" i="19"/>
  <c r="AO74" i="19"/>
  <c r="AF74" i="19"/>
  <c r="AE74" i="19"/>
  <c r="AD75" i="19"/>
  <c r="DU75" i="19"/>
  <c r="DV74" i="19"/>
  <c r="DW74" i="19"/>
  <c r="BN74" i="19"/>
  <c r="BM75" i="19"/>
  <c r="BO74" i="19"/>
  <c r="BH75" i="19"/>
  <c r="BJ74" i="19"/>
  <c r="BI74" i="19"/>
  <c r="CX74" i="19"/>
  <c r="CV75" i="19"/>
  <c r="CW74" i="19"/>
  <c r="BR75" i="19"/>
  <c r="BT74" i="19"/>
  <c r="BS74" i="19"/>
  <c r="AJ74" i="19"/>
  <c r="AI75" i="19"/>
  <c r="AK74" i="19"/>
  <c r="EL74" i="19"/>
  <c r="EJ75" i="19"/>
  <c r="EK74" i="19"/>
  <c r="CR74" i="19"/>
  <c r="CQ75" i="19"/>
  <c r="CS74" i="19"/>
  <c r="T75" i="19"/>
  <c r="V74" i="19"/>
  <c r="U74" i="19"/>
  <c r="DH74" i="19"/>
  <c r="DF75" i="19"/>
  <c r="DG74" i="19"/>
  <c r="EB74" i="19"/>
  <c r="EA74" i="19"/>
  <c r="DZ75" i="19"/>
  <c r="CH74" i="19"/>
  <c r="CG75" i="19"/>
  <c r="CI74" i="19"/>
  <c r="CW75" i="19" l="1"/>
  <c r="CV76" i="19"/>
  <c r="CX75" i="19"/>
  <c r="CC75" i="19"/>
  <c r="CB76" i="19"/>
  <c r="CD75" i="19"/>
  <c r="AO75" i="19"/>
  <c r="AN76" i="19"/>
  <c r="AP75" i="19"/>
  <c r="EG75" i="19"/>
  <c r="EE76" i="19"/>
  <c r="EF75" i="19"/>
  <c r="EA75" i="19"/>
  <c r="DZ76" i="19"/>
  <c r="EB75" i="19"/>
  <c r="U75" i="19"/>
  <c r="T76" i="19"/>
  <c r="V75" i="19"/>
  <c r="AK75" i="19"/>
  <c r="AI76" i="19"/>
  <c r="AJ75" i="19"/>
  <c r="DW75" i="19"/>
  <c r="DU76" i="19"/>
  <c r="DV75" i="19"/>
  <c r="AU75" i="19"/>
  <c r="AS76" i="19"/>
  <c r="AT75" i="19"/>
  <c r="BY75" i="19"/>
  <c r="BW76" i="19"/>
  <c r="BX75" i="19"/>
  <c r="AE75" i="19"/>
  <c r="AD76" i="19"/>
  <c r="AF75" i="19"/>
  <c r="EQ75" i="19"/>
  <c r="EO76" i="19"/>
  <c r="EP75" i="19"/>
  <c r="EU75" i="19"/>
  <c r="ET76" i="19"/>
  <c r="EV75" i="19"/>
  <c r="BO75" i="19"/>
  <c r="BM76" i="19"/>
  <c r="BN75" i="19"/>
  <c r="DM75" i="19"/>
  <c r="DK76" i="19"/>
  <c r="DL75" i="19"/>
  <c r="CS75" i="19"/>
  <c r="CQ76" i="19"/>
  <c r="CR75" i="19"/>
  <c r="BI75" i="19"/>
  <c r="BH76" i="19"/>
  <c r="BJ75" i="19"/>
  <c r="AY75" i="19"/>
  <c r="AX76" i="19"/>
  <c r="AZ75" i="19"/>
  <c r="BE75" i="19"/>
  <c r="BC76" i="19"/>
  <c r="BD75" i="19"/>
  <c r="DC75" i="19"/>
  <c r="DA76" i="19"/>
  <c r="DB75" i="19"/>
  <c r="DG75" i="19"/>
  <c r="DF76" i="19"/>
  <c r="DH75" i="19"/>
  <c r="BS75" i="19"/>
  <c r="BR76" i="19"/>
  <c r="BT75" i="19"/>
  <c r="AA75" i="19"/>
  <c r="Y76" i="19"/>
  <c r="Z75" i="19"/>
  <c r="EK75" i="19"/>
  <c r="EJ76" i="19"/>
  <c r="EL75" i="19"/>
  <c r="DQ75" i="19"/>
  <c r="DP76" i="19"/>
  <c r="DR75" i="19"/>
  <c r="CI75" i="19"/>
  <c r="CG76" i="19"/>
  <c r="CH75" i="19"/>
  <c r="CM75" i="19"/>
  <c r="CL76" i="19"/>
  <c r="CN75" i="19"/>
  <c r="CN76" i="19" l="1"/>
  <c r="CL77" i="19"/>
  <c r="CM76" i="19"/>
  <c r="BD76" i="19"/>
  <c r="BC77" i="19"/>
  <c r="BE76" i="19"/>
  <c r="AF76" i="19"/>
  <c r="AD77" i="19"/>
  <c r="AE76" i="19"/>
  <c r="AP76" i="19"/>
  <c r="AN77" i="19"/>
  <c r="AO76" i="19"/>
  <c r="DV76" i="19"/>
  <c r="DU77" i="19"/>
  <c r="DW76" i="19"/>
  <c r="EV76" i="19"/>
  <c r="ET77" i="19"/>
  <c r="EU76" i="19"/>
  <c r="EB76" i="19"/>
  <c r="DZ77" i="19"/>
  <c r="EA76" i="19"/>
  <c r="DH76" i="19"/>
  <c r="DF77" i="19"/>
  <c r="DG76" i="19"/>
  <c r="CH76" i="19"/>
  <c r="CG77" i="19"/>
  <c r="CI76" i="19"/>
  <c r="AZ76" i="19"/>
  <c r="AX77" i="19"/>
  <c r="AY76" i="19"/>
  <c r="BX76" i="19"/>
  <c r="BW77" i="19"/>
  <c r="BY76" i="19"/>
  <c r="CD76" i="19"/>
  <c r="CB77" i="19"/>
  <c r="CC76" i="19"/>
  <c r="Z76" i="19"/>
  <c r="Y77" i="19"/>
  <c r="AA76" i="19"/>
  <c r="DL76" i="19"/>
  <c r="DK77" i="19"/>
  <c r="DM76" i="19"/>
  <c r="AJ76" i="19"/>
  <c r="AI77" i="19"/>
  <c r="AK76" i="19"/>
  <c r="EL76" i="19"/>
  <c r="EJ77" i="19"/>
  <c r="EK76" i="19"/>
  <c r="DB76" i="19"/>
  <c r="DA77" i="19"/>
  <c r="DC76" i="19"/>
  <c r="EP76" i="19"/>
  <c r="EO77" i="19"/>
  <c r="EQ76" i="19"/>
  <c r="EF76" i="19"/>
  <c r="EE77" i="19"/>
  <c r="EG76" i="19"/>
  <c r="CR76" i="19"/>
  <c r="CQ77" i="19"/>
  <c r="CS76" i="19"/>
  <c r="DR76" i="19"/>
  <c r="DP77" i="19"/>
  <c r="DQ76" i="19"/>
  <c r="BJ76" i="19"/>
  <c r="BI76" i="19"/>
  <c r="BH77" i="19"/>
  <c r="AT76" i="19"/>
  <c r="AS77" i="19"/>
  <c r="AU76" i="19"/>
  <c r="CX76" i="19"/>
  <c r="CV77" i="19"/>
  <c r="CW76" i="19"/>
  <c r="BT76" i="19"/>
  <c r="BR77" i="19"/>
  <c r="BS76" i="19"/>
  <c r="BN76" i="19"/>
  <c r="BM77" i="19"/>
  <c r="BO76" i="19"/>
  <c r="V76" i="19"/>
  <c r="T77" i="19"/>
  <c r="U76" i="19"/>
  <c r="EK77" i="19" l="1"/>
  <c r="EJ78" i="19"/>
  <c r="EL77" i="19"/>
  <c r="AA77" i="19"/>
  <c r="Y78" i="19"/>
  <c r="Z77" i="19"/>
  <c r="DW77" i="19"/>
  <c r="DU78" i="19"/>
  <c r="DV77" i="19"/>
  <c r="U77" i="19"/>
  <c r="T78" i="19"/>
  <c r="V77" i="19"/>
  <c r="EG77" i="19"/>
  <c r="EE78" i="19"/>
  <c r="EF77" i="19"/>
  <c r="AE77" i="19"/>
  <c r="AD78" i="19"/>
  <c r="AF77" i="19"/>
  <c r="DG77" i="19"/>
  <c r="DF78" i="19"/>
  <c r="DH77" i="19"/>
  <c r="BO77" i="19"/>
  <c r="BM78" i="19"/>
  <c r="BN77" i="19"/>
  <c r="EQ77" i="19"/>
  <c r="EO78" i="19"/>
  <c r="EP77" i="19"/>
  <c r="AY77" i="19"/>
  <c r="AX78" i="19"/>
  <c r="AZ77" i="19"/>
  <c r="BE77" i="19"/>
  <c r="BC78" i="19"/>
  <c r="BD77" i="19"/>
  <c r="DQ77" i="19"/>
  <c r="DP78" i="19"/>
  <c r="DR77" i="19"/>
  <c r="AU77" i="19"/>
  <c r="AT77" i="19"/>
  <c r="AS78" i="19"/>
  <c r="AK77" i="19"/>
  <c r="AI78" i="19"/>
  <c r="AJ77" i="19"/>
  <c r="EA77" i="19"/>
  <c r="DZ78" i="19"/>
  <c r="EB77" i="19"/>
  <c r="BY77" i="19"/>
  <c r="BW78" i="19"/>
  <c r="BX77" i="19"/>
  <c r="CC77" i="19"/>
  <c r="CB78" i="19"/>
  <c r="CD77" i="19"/>
  <c r="AO77" i="19"/>
  <c r="AN78" i="19"/>
  <c r="AP77" i="19"/>
  <c r="CW77" i="19"/>
  <c r="CV78" i="19"/>
  <c r="CX77" i="19"/>
  <c r="CS77" i="19"/>
  <c r="CQ78" i="19"/>
  <c r="CR77" i="19"/>
  <c r="BS77" i="19"/>
  <c r="BR78" i="19"/>
  <c r="BT77" i="19"/>
  <c r="BI77" i="19"/>
  <c r="BH78" i="19"/>
  <c r="BJ77" i="19"/>
  <c r="DC77" i="19"/>
  <c r="DA78" i="19"/>
  <c r="DB77" i="19"/>
  <c r="CI77" i="19"/>
  <c r="CG78" i="19"/>
  <c r="CH77" i="19"/>
  <c r="CM77" i="19"/>
  <c r="CL78" i="19"/>
  <c r="CN77" i="19"/>
  <c r="DM77" i="19"/>
  <c r="DK78" i="19"/>
  <c r="DL77" i="19"/>
  <c r="EU77" i="19"/>
  <c r="ET78" i="19"/>
  <c r="EV77" i="19"/>
  <c r="BT78" i="19" l="1"/>
  <c r="BR79" i="19"/>
  <c r="BS78" i="19"/>
  <c r="DL78" i="19"/>
  <c r="DK79" i="19"/>
  <c r="DM78" i="19"/>
  <c r="AP78" i="19"/>
  <c r="AN79" i="19"/>
  <c r="AO78" i="19"/>
  <c r="AZ78" i="19"/>
  <c r="AX79" i="19"/>
  <c r="AY78" i="19"/>
  <c r="Z78" i="19"/>
  <c r="Y79" i="19"/>
  <c r="AA78" i="19"/>
  <c r="CX78" i="19"/>
  <c r="CV79" i="19"/>
  <c r="CW78" i="19"/>
  <c r="AT78" i="19"/>
  <c r="AS79" i="19"/>
  <c r="AU78" i="19"/>
  <c r="BN78" i="19"/>
  <c r="BM79" i="19"/>
  <c r="BO78" i="19"/>
  <c r="DB78" i="19"/>
  <c r="DA79" i="19"/>
  <c r="DC78" i="19"/>
  <c r="EB78" i="19"/>
  <c r="DZ79" i="19"/>
  <c r="EA78" i="19"/>
  <c r="DH78" i="19"/>
  <c r="DG78" i="19"/>
  <c r="DF79" i="19"/>
  <c r="EV78" i="19"/>
  <c r="ET79" i="19"/>
  <c r="EU78" i="19"/>
  <c r="BD78" i="19"/>
  <c r="BC79" i="19"/>
  <c r="BE78" i="19"/>
  <c r="BX78" i="19"/>
  <c r="BW79" i="19"/>
  <c r="BY78" i="19"/>
  <c r="CR78" i="19"/>
  <c r="CQ79" i="19"/>
  <c r="CS78" i="19"/>
  <c r="DR78" i="19"/>
  <c r="DP79" i="19"/>
  <c r="DQ78" i="19"/>
  <c r="V78" i="19"/>
  <c r="T79" i="19"/>
  <c r="U78" i="19"/>
  <c r="EP78" i="19"/>
  <c r="EO79" i="19"/>
  <c r="EQ78" i="19"/>
  <c r="EL78" i="19"/>
  <c r="EJ79" i="19"/>
  <c r="EK78" i="19"/>
  <c r="DV78" i="19"/>
  <c r="DU79" i="19"/>
  <c r="DW78" i="19"/>
  <c r="CH78" i="19"/>
  <c r="CG79" i="19"/>
  <c r="CI78" i="19"/>
  <c r="EF78" i="19"/>
  <c r="EE79" i="19"/>
  <c r="EG78" i="19"/>
  <c r="CN78" i="19"/>
  <c r="CL79" i="19"/>
  <c r="CM78" i="19"/>
  <c r="CD78" i="19"/>
  <c r="CB79" i="19"/>
  <c r="CC78" i="19"/>
  <c r="BJ78" i="19"/>
  <c r="BH79" i="19"/>
  <c r="BI78" i="19"/>
  <c r="AJ78" i="19"/>
  <c r="AI79" i="19"/>
  <c r="AK78" i="19"/>
  <c r="AF78" i="19"/>
  <c r="AD79" i="19"/>
  <c r="AE78" i="19"/>
  <c r="U79" i="19" l="1"/>
  <c r="T80" i="19"/>
  <c r="V79" i="19"/>
  <c r="BS79" i="19"/>
  <c r="BR80" i="19"/>
  <c r="BT79" i="19"/>
  <c r="DG79" i="19"/>
  <c r="DF80" i="19"/>
  <c r="DH79" i="19"/>
  <c r="AE79" i="19"/>
  <c r="AD80" i="19"/>
  <c r="AF79" i="19"/>
  <c r="EK79" i="19"/>
  <c r="EJ80" i="19"/>
  <c r="EL79" i="19"/>
  <c r="AO79" i="19"/>
  <c r="AN80" i="19"/>
  <c r="AP79" i="19"/>
  <c r="CC79" i="19"/>
  <c r="CB80" i="19"/>
  <c r="CD79" i="19"/>
  <c r="DQ79" i="19"/>
  <c r="DP80" i="19"/>
  <c r="DR79" i="19"/>
  <c r="BO79" i="19"/>
  <c r="BM80" i="19"/>
  <c r="BN79" i="19"/>
  <c r="CI79" i="19"/>
  <c r="CG80" i="19"/>
  <c r="CH79" i="19"/>
  <c r="BE79" i="19"/>
  <c r="BC80" i="19"/>
  <c r="BD79" i="19"/>
  <c r="AA79" i="19"/>
  <c r="Y80" i="19"/>
  <c r="Z79" i="19"/>
  <c r="BI79" i="19"/>
  <c r="BH80" i="19"/>
  <c r="BJ79" i="19"/>
  <c r="DC79" i="19"/>
  <c r="DA80" i="19"/>
  <c r="DB79" i="19"/>
  <c r="EG79" i="19"/>
  <c r="EE80" i="19"/>
  <c r="EF79" i="19"/>
  <c r="BY79" i="19"/>
  <c r="BW80" i="19"/>
  <c r="BX79" i="19"/>
  <c r="CW79" i="19"/>
  <c r="CV80" i="19"/>
  <c r="CX79" i="19"/>
  <c r="AK79" i="19"/>
  <c r="AI80" i="19"/>
  <c r="AJ79" i="19"/>
  <c r="EQ79" i="19"/>
  <c r="EO80" i="19"/>
  <c r="EP79" i="19"/>
  <c r="EA79" i="19"/>
  <c r="DZ80" i="19"/>
  <c r="EB79" i="19"/>
  <c r="DM79" i="19"/>
  <c r="DK80" i="19"/>
  <c r="DL79" i="19"/>
  <c r="CM79" i="19"/>
  <c r="CL80" i="19"/>
  <c r="CN79" i="19"/>
  <c r="CS79" i="19"/>
  <c r="CR79" i="19"/>
  <c r="CQ80" i="19"/>
  <c r="AU79" i="19"/>
  <c r="AS80" i="19"/>
  <c r="AT79" i="19"/>
  <c r="DW79" i="19"/>
  <c r="DU80" i="19"/>
  <c r="DV79" i="19"/>
  <c r="EU79" i="19"/>
  <c r="ET80" i="19"/>
  <c r="EV79" i="19"/>
  <c r="AY79" i="19"/>
  <c r="AX80" i="19"/>
  <c r="AZ79" i="19"/>
  <c r="EV80" i="19" l="1"/>
  <c r="EU80" i="19"/>
  <c r="ET81" i="19"/>
  <c r="AJ80" i="19"/>
  <c r="AK80" i="19"/>
  <c r="AI81" i="19"/>
  <c r="CH80" i="19"/>
  <c r="CI80" i="19"/>
  <c r="CG81" i="19"/>
  <c r="DV80" i="19"/>
  <c r="DU81" i="19"/>
  <c r="DW80" i="19"/>
  <c r="CV81" i="19"/>
  <c r="CX80" i="19"/>
  <c r="CW80" i="19"/>
  <c r="BN80" i="19"/>
  <c r="BM81" i="19"/>
  <c r="BO80" i="19"/>
  <c r="CN80" i="19"/>
  <c r="CM80" i="19"/>
  <c r="CL81" i="19"/>
  <c r="AP80" i="19"/>
  <c r="AN81" i="19"/>
  <c r="AO80" i="19"/>
  <c r="EP80" i="19"/>
  <c r="EO81" i="19"/>
  <c r="EQ80" i="19"/>
  <c r="BD80" i="19"/>
  <c r="BC81" i="19"/>
  <c r="BE80" i="19"/>
  <c r="DH80" i="19"/>
  <c r="DF81" i="19"/>
  <c r="DG80" i="19"/>
  <c r="AT80" i="19"/>
  <c r="AU80" i="19"/>
  <c r="AS81" i="19"/>
  <c r="BX80" i="19"/>
  <c r="BW81" i="19"/>
  <c r="BY80" i="19"/>
  <c r="DR80" i="19"/>
  <c r="DP81" i="19"/>
  <c r="DQ80" i="19"/>
  <c r="V80" i="19"/>
  <c r="T81" i="19"/>
  <c r="U80" i="19"/>
  <c r="DB80" i="19"/>
  <c r="DA81" i="19"/>
  <c r="DC80" i="19"/>
  <c r="AZ80" i="19"/>
  <c r="AY80" i="19"/>
  <c r="AX81" i="19"/>
  <c r="DL80" i="19"/>
  <c r="DM80" i="19"/>
  <c r="DK81" i="19"/>
  <c r="BH81" i="19"/>
  <c r="BJ80" i="19"/>
  <c r="BI80" i="19"/>
  <c r="EJ81" i="19"/>
  <c r="EL80" i="19"/>
  <c r="EK80" i="19"/>
  <c r="BT80" i="19"/>
  <c r="BR81" i="19"/>
  <c r="BS80" i="19"/>
  <c r="CR80" i="19"/>
  <c r="CQ81" i="19"/>
  <c r="CS80" i="19"/>
  <c r="EF80" i="19"/>
  <c r="EE81" i="19"/>
  <c r="EG80" i="19"/>
  <c r="CD80" i="19"/>
  <c r="CB81" i="19"/>
  <c r="CC80" i="19"/>
  <c r="EB80" i="19"/>
  <c r="DZ81" i="19"/>
  <c r="EA80" i="19"/>
  <c r="Z80" i="19"/>
  <c r="Y81" i="19"/>
  <c r="AA80" i="19"/>
  <c r="AF80" i="19"/>
  <c r="AE80" i="19"/>
  <c r="AD81" i="19"/>
  <c r="EA81" i="19" l="1"/>
  <c r="DZ82" i="19"/>
  <c r="EB81" i="19"/>
  <c r="EK81" i="19"/>
  <c r="EL81" i="19"/>
  <c r="EJ82" i="19"/>
  <c r="AE81" i="19"/>
  <c r="AD82" i="19"/>
  <c r="AF81" i="19"/>
  <c r="CR81" i="19"/>
  <c r="CQ82" i="19"/>
  <c r="CS81" i="19"/>
  <c r="DQ81" i="19"/>
  <c r="DP82" i="19"/>
  <c r="DR81" i="19"/>
  <c r="BN81" i="19"/>
  <c r="BM82" i="19"/>
  <c r="BO81" i="19"/>
  <c r="CH81" i="19"/>
  <c r="CG82" i="19"/>
  <c r="CI81" i="19"/>
  <c r="DG81" i="19"/>
  <c r="DH81" i="19"/>
  <c r="DF82" i="19"/>
  <c r="CC81" i="19"/>
  <c r="CB82" i="19"/>
  <c r="CD81" i="19"/>
  <c r="DB81" i="19"/>
  <c r="DC81" i="19"/>
  <c r="DA82" i="19"/>
  <c r="Z81" i="19"/>
  <c r="Y82" i="19"/>
  <c r="AA81" i="19"/>
  <c r="BD81" i="19"/>
  <c r="BE81" i="19"/>
  <c r="BC82" i="19"/>
  <c r="CM81" i="19"/>
  <c r="CN81" i="19"/>
  <c r="CL82" i="19"/>
  <c r="CW81" i="19"/>
  <c r="CV82" i="19"/>
  <c r="CX81" i="19"/>
  <c r="BI81" i="19"/>
  <c r="BH82" i="19"/>
  <c r="BJ81" i="19"/>
  <c r="BS81" i="19"/>
  <c r="BT81" i="19"/>
  <c r="BR82" i="19"/>
  <c r="DL81" i="19"/>
  <c r="DK82" i="19"/>
  <c r="DM81" i="19"/>
  <c r="BX81" i="19"/>
  <c r="BY81" i="19"/>
  <c r="BW82" i="19"/>
  <c r="AJ81" i="19"/>
  <c r="AK81" i="19"/>
  <c r="AI82" i="19"/>
  <c r="EF81" i="19"/>
  <c r="EE82" i="19"/>
  <c r="EG81" i="19"/>
  <c r="U81" i="19"/>
  <c r="V81" i="19"/>
  <c r="T82" i="19"/>
  <c r="AT81" i="19"/>
  <c r="AS82" i="19"/>
  <c r="AU81" i="19"/>
  <c r="AO81" i="19"/>
  <c r="AN82" i="19"/>
  <c r="AP81" i="19"/>
  <c r="AY81" i="19"/>
  <c r="AZ81" i="19"/>
  <c r="AX82" i="19"/>
  <c r="DV81" i="19"/>
  <c r="DU82" i="19"/>
  <c r="DW81" i="19"/>
  <c r="EU81" i="19"/>
  <c r="ET82" i="19"/>
  <c r="EV81" i="19"/>
  <c r="EP81" i="19"/>
  <c r="EQ81" i="19"/>
  <c r="EO82" i="19"/>
  <c r="EE83" i="19" l="1"/>
  <c r="EF82" i="19"/>
  <c r="EG82" i="19"/>
  <c r="EO83" i="19"/>
  <c r="EP82" i="19"/>
  <c r="EQ82" i="19"/>
  <c r="AT82" i="19"/>
  <c r="AU82" i="19"/>
  <c r="AS83" i="19"/>
  <c r="AJ82" i="19"/>
  <c r="AI83" i="19"/>
  <c r="AK82" i="19"/>
  <c r="CW82" i="19"/>
  <c r="CX82" i="19"/>
  <c r="CV83" i="19"/>
  <c r="BN82" i="19"/>
  <c r="BM83" i="19"/>
  <c r="BO82" i="19"/>
  <c r="AY82" i="19"/>
  <c r="AX83" i="19"/>
  <c r="AZ82" i="19"/>
  <c r="BS82" i="19"/>
  <c r="BR83" i="19"/>
  <c r="BT82" i="19"/>
  <c r="Z82" i="19"/>
  <c r="Y83" i="19"/>
  <c r="AA82" i="19"/>
  <c r="DG82" i="19"/>
  <c r="DH82" i="19"/>
  <c r="DF83" i="19"/>
  <c r="AE82" i="19"/>
  <c r="AD83" i="19"/>
  <c r="AF82" i="19"/>
  <c r="BX82" i="19"/>
  <c r="BY82" i="19"/>
  <c r="BW83" i="19"/>
  <c r="DA83" i="19"/>
  <c r="DB82" i="19"/>
  <c r="DC82" i="19"/>
  <c r="DQ82" i="19"/>
  <c r="DP83" i="19"/>
  <c r="DR82" i="19"/>
  <c r="EK82" i="19"/>
  <c r="EJ83" i="19"/>
  <c r="EL82" i="19"/>
  <c r="U82" i="19"/>
  <c r="T83" i="19"/>
  <c r="V82" i="19"/>
  <c r="CM82" i="19"/>
  <c r="CL83" i="19"/>
  <c r="CN82" i="19"/>
  <c r="EU82" i="19"/>
  <c r="EV82" i="19"/>
  <c r="ET83" i="19"/>
  <c r="AO82" i="19"/>
  <c r="AP82" i="19"/>
  <c r="AN83" i="19"/>
  <c r="BI82" i="19"/>
  <c r="BJ82" i="19"/>
  <c r="BH83" i="19"/>
  <c r="BD82" i="19"/>
  <c r="BC83" i="19"/>
  <c r="BE82" i="19"/>
  <c r="CH82" i="19"/>
  <c r="CG83" i="19"/>
  <c r="CI82" i="19"/>
  <c r="CQ83" i="19"/>
  <c r="CR82" i="19"/>
  <c r="CS82" i="19"/>
  <c r="DU83" i="19"/>
  <c r="DV82" i="19"/>
  <c r="DW82" i="19"/>
  <c r="DK83" i="19"/>
  <c r="DL82" i="19"/>
  <c r="DM82" i="19"/>
  <c r="CC82" i="19"/>
  <c r="CD82" i="19"/>
  <c r="CB83" i="19"/>
  <c r="EA82" i="19"/>
  <c r="DZ83" i="19"/>
  <c r="EB82" i="19"/>
  <c r="CR83" i="19" l="1"/>
  <c r="CQ84" i="19"/>
  <c r="CS83" i="19"/>
  <c r="CL84" i="19"/>
  <c r="CM83" i="19"/>
  <c r="CN83" i="19"/>
  <c r="DZ84" i="19"/>
  <c r="EA83" i="19"/>
  <c r="EB83" i="19"/>
  <c r="AD84" i="19"/>
  <c r="AE83" i="19"/>
  <c r="AF83" i="19"/>
  <c r="T84" i="19"/>
  <c r="U83" i="19"/>
  <c r="V83" i="19"/>
  <c r="BR84" i="19"/>
  <c r="BS83" i="19"/>
  <c r="BT83" i="19"/>
  <c r="CV84" i="19"/>
  <c r="CW83" i="19"/>
  <c r="CX83" i="19"/>
  <c r="CB84" i="19"/>
  <c r="CC83" i="19"/>
  <c r="CD83" i="19"/>
  <c r="DV83" i="19"/>
  <c r="DU84" i="19"/>
  <c r="DW83" i="19"/>
  <c r="BD83" i="19"/>
  <c r="BE83" i="19"/>
  <c r="BC84" i="19"/>
  <c r="ET84" i="19"/>
  <c r="EU83" i="19"/>
  <c r="EV83" i="19"/>
  <c r="DF84" i="19"/>
  <c r="DG83" i="19"/>
  <c r="DH83" i="19"/>
  <c r="DB83" i="19"/>
  <c r="DA84" i="19"/>
  <c r="DC83" i="19"/>
  <c r="AJ83" i="19"/>
  <c r="AK83" i="19"/>
  <c r="AI84" i="19"/>
  <c r="BH84" i="19"/>
  <c r="BI83" i="19"/>
  <c r="BJ83" i="19"/>
  <c r="EJ84" i="19"/>
  <c r="EK83" i="19"/>
  <c r="EL83" i="19"/>
  <c r="BX83" i="19"/>
  <c r="BW84" i="19"/>
  <c r="BY83" i="19"/>
  <c r="AX84" i="19"/>
  <c r="AY83" i="19"/>
  <c r="AZ83" i="19"/>
  <c r="EP83" i="19"/>
  <c r="EQ83" i="19"/>
  <c r="EO84" i="19"/>
  <c r="Z83" i="19"/>
  <c r="AA83" i="19"/>
  <c r="Y84" i="19"/>
  <c r="DL83" i="19"/>
  <c r="DK84" i="19"/>
  <c r="DM83" i="19"/>
  <c r="CH83" i="19"/>
  <c r="CG84" i="19"/>
  <c r="CI83" i="19"/>
  <c r="AN84" i="19"/>
  <c r="AO83" i="19"/>
  <c r="AP83" i="19"/>
  <c r="DP84" i="19"/>
  <c r="DQ83" i="19"/>
  <c r="DR83" i="19"/>
  <c r="BN83" i="19"/>
  <c r="BO83" i="19"/>
  <c r="BM84" i="19"/>
  <c r="AT83" i="19"/>
  <c r="AU83" i="19"/>
  <c r="AS84" i="19"/>
  <c r="EF83" i="19"/>
  <c r="EE84" i="19"/>
  <c r="EG83" i="19"/>
  <c r="CQ85" i="19" l="1"/>
  <c r="CR84" i="19"/>
  <c r="CS84" i="19"/>
  <c r="EE85" i="19"/>
  <c r="EG84" i="19"/>
  <c r="EF84" i="19"/>
  <c r="BS84" i="19"/>
  <c r="BR85" i="19"/>
  <c r="BT84" i="19"/>
  <c r="EU84" i="19"/>
  <c r="ET85" i="19"/>
  <c r="EV84" i="19"/>
  <c r="EA84" i="19"/>
  <c r="DZ85" i="19"/>
  <c r="EB84" i="19"/>
  <c r="BW85" i="19"/>
  <c r="BX84" i="19"/>
  <c r="BY84" i="19"/>
  <c r="DG84" i="19"/>
  <c r="DF85" i="19"/>
  <c r="DH84" i="19"/>
  <c r="AE84" i="19"/>
  <c r="AD85" i="19"/>
  <c r="AF84" i="19"/>
  <c r="EO85" i="19"/>
  <c r="EQ84" i="19"/>
  <c r="EP84" i="19"/>
  <c r="DA85" i="19"/>
  <c r="DC84" i="19"/>
  <c r="DB84" i="19"/>
  <c r="U84" i="19"/>
  <c r="V84" i="19"/>
  <c r="T85" i="19"/>
  <c r="AI85" i="19"/>
  <c r="AJ84" i="19"/>
  <c r="AK84" i="19"/>
  <c r="DU85" i="19"/>
  <c r="DW84" i="19"/>
  <c r="DV84" i="19"/>
  <c r="CG85" i="19"/>
  <c r="CH84" i="19"/>
  <c r="CI84" i="19"/>
  <c r="AS85" i="19"/>
  <c r="AT84" i="19"/>
  <c r="AU84" i="19"/>
  <c r="DQ84" i="19"/>
  <c r="DR84" i="19"/>
  <c r="DP85" i="19"/>
  <c r="DK85" i="19"/>
  <c r="DM84" i="19"/>
  <c r="DL84" i="19"/>
  <c r="EK84" i="19"/>
  <c r="EL84" i="19"/>
  <c r="EJ85" i="19"/>
  <c r="BC85" i="19"/>
  <c r="BD84" i="19"/>
  <c r="BE84" i="19"/>
  <c r="CC84" i="19"/>
  <c r="CD84" i="19"/>
  <c r="CB85" i="19"/>
  <c r="Y85" i="19"/>
  <c r="Z84" i="19"/>
  <c r="AA84" i="19"/>
  <c r="AY84" i="19"/>
  <c r="AX85" i="19"/>
  <c r="AZ84" i="19"/>
  <c r="CM84" i="19"/>
  <c r="CN84" i="19"/>
  <c r="CL85" i="19"/>
  <c r="BM85" i="19"/>
  <c r="BN84" i="19"/>
  <c r="BO84" i="19"/>
  <c r="AO84" i="19"/>
  <c r="AN85" i="19"/>
  <c r="AP84" i="19"/>
  <c r="BI84" i="19"/>
  <c r="BJ84" i="19"/>
  <c r="BH85" i="19"/>
  <c r="CW84" i="19"/>
  <c r="CX84" i="19"/>
  <c r="CV85" i="19"/>
  <c r="CV86" i="19" l="1"/>
  <c r="CX85" i="19"/>
  <c r="CW85" i="19"/>
  <c r="AX86" i="19"/>
  <c r="AZ85" i="19"/>
  <c r="AY85" i="19"/>
  <c r="DL85" i="19"/>
  <c r="DK86" i="19"/>
  <c r="DM85" i="19"/>
  <c r="T86" i="19"/>
  <c r="V85" i="19"/>
  <c r="U85" i="19"/>
  <c r="BR86" i="19"/>
  <c r="BT85" i="19"/>
  <c r="BS85" i="19"/>
  <c r="BD85" i="19"/>
  <c r="BC86" i="19"/>
  <c r="BE85" i="19"/>
  <c r="AD86" i="19"/>
  <c r="AF85" i="19"/>
  <c r="AE85" i="19"/>
  <c r="BH86" i="19"/>
  <c r="BJ85" i="19"/>
  <c r="BI85" i="19"/>
  <c r="BN85" i="19"/>
  <c r="BO85" i="19"/>
  <c r="BM86" i="19"/>
  <c r="EJ86" i="19"/>
  <c r="EL85" i="19"/>
  <c r="EK85" i="19"/>
  <c r="DZ86" i="19"/>
  <c r="EB85" i="19"/>
  <c r="EA85" i="19"/>
  <c r="EP85" i="19"/>
  <c r="EQ85" i="19"/>
  <c r="EO86" i="19"/>
  <c r="CL86" i="19"/>
  <c r="CN85" i="19"/>
  <c r="CM85" i="19"/>
  <c r="Z85" i="19"/>
  <c r="AA85" i="19"/>
  <c r="Y86" i="19"/>
  <c r="DV85" i="19"/>
  <c r="DW85" i="19"/>
  <c r="DU86" i="19"/>
  <c r="DP86" i="19"/>
  <c r="DR85" i="19"/>
  <c r="DQ85" i="19"/>
  <c r="CH85" i="19"/>
  <c r="CI85" i="19"/>
  <c r="CG86" i="19"/>
  <c r="BX85" i="19"/>
  <c r="BW86" i="19"/>
  <c r="BY85" i="19"/>
  <c r="CB86" i="19"/>
  <c r="CD85" i="19"/>
  <c r="CC85" i="19"/>
  <c r="DB85" i="19"/>
  <c r="DC85" i="19"/>
  <c r="DA86" i="19"/>
  <c r="DF86" i="19"/>
  <c r="DH85" i="19"/>
  <c r="DG85" i="19"/>
  <c r="EF85" i="19"/>
  <c r="EE86" i="19"/>
  <c r="EG85" i="19"/>
  <c r="AT85" i="19"/>
  <c r="AU85" i="19"/>
  <c r="AS86" i="19"/>
  <c r="ET86" i="19"/>
  <c r="EV85" i="19"/>
  <c r="EU85" i="19"/>
  <c r="AN86" i="19"/>
  <c r="AP85" i="19"/>
  <c r="AO85" i="19"/>
  <c r="AJ85" i="19"/>
  <c r="AI86" i="19"/>
  <c r="AK85" i="19"/>
  <c r="CR85" i="19"/>
  <c r="CQ86" i="19"/>
  <c r="CS85" i="19"/>
  <c r="CC86" i="19" l="1"/>
  <c r="CB87" i="19"/>
  <c r="CD86" i="19"/>
  <c r="EA86" i="19"/>
  <c r="EB86" i="19"/>
  <c r="DZ87" i="19"/>
  <c r="DQ86" i="19"/>
  <c r="DP87" i="19"/>
  <c r="DR86" i="19"/>
  <c r="BI86" i="19"/>
  <c r="BH87" i="19"/>
  <c r="BJ86" i="19"/>
  <c r="EU86" i="19"/>
  <c r="EV86" i="19"/>
  <c r="ET87" i="19"/>
  <c r="AI87" i="19"/>
  <c r="AK86" i="19"/>
  <c r="AJ86" i="19"/>
  <c r="AS87" i="19"/>
  <c r="AU86" i="19"/>
  <c r="AT86" i="19"/>
  <c r="DG86" i="19"/>
  <c r="DH86" i="19"/>
  <c r="DF87" i="19"/>
  <c r="BW87" i="19"/>
  <c r="BY86" i="19"/>
  <c r="BX86" i="19"/>
  <c r="DU87" i="19"/>
  <c r="DW86" i="19"/>
  <c r="DV86" i="19"/>
  <c r="CM86" i="19"/>
  <c r="CN86" i="19"/>
  <c r="CL87" i="19"/>
  <c r="BS86" i="19"/>
  <c r="BT86" i="19"/>
  <c r="BR87" i="19"/>
  <c r="DA87" i="19"/>
  <c r="DC86" i="19"/>
  <c r="DB86" i="19"/>
  <c r="EO87" i="19"/>
  <c r="EQ86" i="19"/>
  <c r="EP86" i="19"/>
  <c r="EK86" i="19"/>
  <c r="EJ87" i="19"/>
  <c r="EL86" i="19"/>
  <c r="AY86" i="19"/>
  <c r="AZ86" i="19"/>
  <c r="AX87" i="19"/>
  <c r="CQ87" i="19"/>
  <c r="CS86" i="19"/>
  <c r="CR86" i="19"/>
  <c r="CG87" i="19"/>
  <c r="CI86" i="19"/>
  <c r="CH86" i="19"/>
  <c r="BM87" i="19"/>
  <c r="BO86" i="19"/>
  <c r="BN86" i="19"/>
  <c r="AE86" i="19"/>
  <c r="AF86" i="19"/>
  <c r="AD87" i="19"/>
  <c r="DK87" i="19"/>
  <c r="DM86" i="19"/>
  <c r="DL86" i="19"/>
  <c r="Y87" i="19"/>
  <c r="AA86" i="19"/>
  <c r="Z86" i="19"/>
  <c r="U86" i="19"/>
  <c r="T87" i="19"/>
  <c r="V86" i="19"/>
  <c r="AO86" i="19"/>
  <c r="AN87" i="19"/>
  <c r="AP86" i="19"/>
  <c r="EE87" i="19"/>
  <c r="EG86" i="19"/>
  <c r="EF86" i="19"/>
  <c r="BC87" i="19"/>
  <c r="BE86" i="19"/>
  <c r="BD86" i="19"/>
  <c r="CW86" i="19"/>
  <c r="CV87" i="19"/>
  <c r="CX86" i="19"/>
  <c r="BN87" i="19" l="1"/>
  <c r="BM88" i="19"/>
  <c r="BO87" i="19"/>
  <c r="ET88" i="19"/>
  <c r="EV87" i="19"/>
  <c r="EU87" i="19"/>
  <c r="DZ88" i="19"/>
  <c r="EB87" i="19"/>
  <c r="EA87" i="19"/>
  <c r="DP88" i="19"/>
  <c r="DR87" i="19"/>
  <c r="DQ87" i="19"/>
  <c r="EP87" i="19"/>
  <c r="EO88" i="19"/>
  <c r="EQ87" i="19"/>
  <c r="DB87" i="19"/>
  <c r="DA88" i="19"/>
  <c r="DC87" i="19"/>
  <c r="BD87" i="19"/>
  <c r="BE87" i="19"/>
  <c r="BC88" i="19"/>
  <c r="T88" i="19"/>
  <c r="V87" i="19"/>
  <c r="U87" i="19"/>
  <c r="AD88" i="19"/>
  <c r="AF87" i="19"/>
  <c r="AE87" i="19"/>
  <c r="CH87" i="19"/>
  <c r="CG88" i="19"/>
  <c r="CI87" i="19"/>
  <c r="EJ88" i="19"/>
  <c r="EL87" i="19"/>
  <c r="EK87" i="19"/>
  <c r="BR88" i="19"/>
  <c r="BT87" i="19"/>
  <c r="BS87" i="19"/>
  <c r="DV87" i="19"/>
  <c r="DU88" i="19"/>
  <c r="DW87" i="19"/>
  <c r="Z87" i="19"/>
  <c r="Y88" i="19"/>
  <c r="AA87" i="19"/>
  <c r="AX88" i="19"/>
  <c r="AZ87" i="19"/>
  <c r="AY87" i="19"/>
  <c r="DL87" i="19"/>
  <c r="DM87" i="19"/>
  <c r="DK88" i="19"/>
  <c r="AT87" i="19"/>
  <c r="AS88" i="19"/>
  <c r="AU87" i="19"/>
  <c r="BH88" i="19"/>
  <c r="BJ87" i="19"/>
  <c r="BI87" i="19"/>
  <c r="DF88" i="19"/>
  <c r="DH87" i="19"/>
  <c r="DG87" i="19"/>
  <c r="AN88" i="19"/>
  <c r="AP87" i="19"/>
  <c r="AO87" i="19"/>
  <c r="CB88" i="19"/>
  <c r="CD87" i="19"/>
  <c r="CC87" i="19"/>
  <c r="CV88" i="19"/>
  <c r="CX87" i="19"/>
  <c r="CW87" i="19"/>
  <c r="AJ87" i="19"/>
  <c r="AK87" i="19"/>
  <c r="AI88" i="19"/>
  <c r="EF87" i="19"/>
  <c r="EG87" i="19"/>
  <c r="EE88" i="19"/>
  <c r="CR87" i="19"/>
  <c r="CS87" i="19"/>
  <c r="CQ88" i="19"/>
  <c r="CL88" i="19"/>
  <c r="CN87" i="19"/>
  <c r="CM87" i="19"/>
  <c r="BX87" i="19"/>
  <c r="BY87" i="19"/>
  <c r="BW88" i="19"/>
  <c r="CW88" i="19" l="1"/>
  <c r="CX88" i="19"/>
  <c r="CV89" i="19"/>
  <c r="DK89" i="19"/>
  <c r="DM88" i="19"/>
  <c r="DL88" i="19"/>
  <c r="EA88" i="19"/>
  <c r="DZ89" i="19"/>
  <c r="EB88" i="19"/>
  <c r="DU89" i="19"/>
  <c r="DW88" i="19"/>
  <c r="DV88" i="19"/>
  <c r="U88" i="19"/>
  <c r="V88" i="19"/>
  <c r="T89" i="19"/>
  <c r="EO89" i="19"/>
  <c r="EQ88" i="19"/>
  <c r="EP88" i="19"/>
  <c r="CC88" i="19"/>
  <c r="CB89" i="19"/>
  <c r="CD88" i="19"/>
  <c r="CM88" i="19"/>
  <c r="CN88" i="19"/>
  <c r="CL89" i="19"/>
  <c r="BI88" i="19"/>
  <c r="BH89" i="19"/>
  <c r="BJ88" i="19"/>
  <c r="EU88" i="19"/>
  <c r="EV88" i="19"/>
  <c r="ET89" i="19"/>
  <c r="DG88" i="19"/>
  <c r="DF89" i="19"/>
  <c r="DH88" i="19"/>
  <c r="EK88" i="19"/>
  <c r="EJ89" i="19"/>
  <c r="EL88" i="19"/>
  <c r="CG89" i="19"/>
  <c r="CI88" i="19"/>
  <c r="CH88" i="19"/>
  <c r="CQ89" i="19"/>
  <c r="CS88" i="19"/>
  <c r="CR88" i="19"/>
  <c r="AY88" i="19"/>
  <c r="AX89" i="19"/>
  <c r="AZ88" i="19"/>
  <c r="AO88" i="19"/>
  <c r="AP88" i="19"/>
  <c r="AN89" i="19"/>
  <c r="AS89" i="19"/>
  <c r="AU88" i="19"/>
  <c r="AT88" i="19"/>
  <c r="BS88" i="19"/>
  <c r="BT88" i="19"/>
  <c r="BR89" i="19"/>
  <c r="DQ88" i="19"/>
  <c r="DR88" i="19"/>
  <c r="DP89" i="19"/>
  <c r="BM89" i="19"/>
  <c r="BO88" i="19"/>
  <c r="BN88" i="19"/>
  <c r="EE89" i="19"/>
  <c r="EG88" i="19"/>
  <c r="EF88" i="19"/>
  <c r="AI89" i="19"/>
  <c r="AK88" i="19"/>
  <c r="AJ88" i="19"/>
  <c r="BC89" i="19"/>
  <c r="BE88" i="19"/>
  <c r="BD88" i="19"/>
  <c r="BW89" i="19"/>
  <c r="BY88" i="19"/>
  <c r="BX88" i="19"/>
  <c r="Y89" i="19"/>
  <c r="AA88" i="19"/>
  <c r="Z88" i="19"/>
  <c r="AE88" i="19"/>
  <c r="AD89" i="19"/>
  <c r="AF88" i="19"/>
  <c r="DA89" i="19"/>
  <c r="DC88" i="19"/>
  <c r="DB88" i="19"/>
  <c r="AJ89" i="19" l="1"/>
  <c r="AK89" i="19"/>
  <c r="AI90" i="19"/>
  <c r="CN89" i="19"/>
  <c r="CM89" i="19"/>
  <c r="CL90" i="19"/>
  <c r="T90" i="19"/>
  <c r="V89" i="19"/>
  <c r="U89" i="19"/>
  <c r="BW90" i="19"/>
  <c r="BX89" i="19"/>
  <c r="BY89" i="19"/>
  <c r="BT89" i="19"/>
  <c r="BS89" i="19"/>
  <c r="BR90" i="19"/>
  <c r="EV89" i="19"/>
  <c r="EU89" i="19"/>
  <c r="ET90" i="19"/>
  <c r="DF90" i="19"/>
  <c r="DH89" i="19"/>
  <c r="DG89" i="19"/>
  <c r="AD90" i="19"/>
  <c r="AF89" i="19"/>
  <c r="AE89" i="19"/>
  <c r="AX90" i="19"/>
  <c r="AZ89" i="19"/>
  <c r="AY89" i="19"/>
  <c r="CD89" i="19"/>
  <c r="CC89" i="19"/>
  <c r="CB90" i="19"/>
  <c r="DL89" i="19"/>
  <c r="DM89" i="19"/>
  <c r="DK90" i="19"/>
  <c r="AN90" i="19"/>
  <c r="AP89" i="19"/>
  <c r="AO89" i="19"/>
  <c r="EO90" i="19"/>
  <c r="EP89" i="19"/>
  <c r="EQ89" i="19"/>
  <c r="CG90" i="19"/>
  <c r="CH89" i="19"/>
  <c r="CI89" i="19"/>
  <c r="BD89" i="19"/>
  <c r="BE89" i="19"/>
  <c r="BC90" i="19"/>
  <c r="EL89" i="19"/>
  <c r="EJ90" i="19"/>
  <c r="EK89" i="19"/>
  <c r="CX89" i="19"/>
  <c r="CW89" i="19"/>
  <c r="CV90" i="19"/>
  <c r="DZ90" i="19"/>
  <c r="EB89" i="19"/>
  <c r="EA89" i="19"/>
  <c r="DA90" i="19"/>
  <c r="DB89" i="19"/>
  <c r="DC89" i="19"/>
  <c r="EF89" i="19"/>
  <c r="EG89" i="19"/>
  <c r="EE90" i="19"/>
  <c r="BM90" i="19"/>
  <c r="BN89" i="19"/>
  <c r="BO89" i="19"/>
  <c r="BJ89" i="19"/>
  <c r="BH90" i="19"/>
  <c r="BI89" i="19"/>
  <c r="DV89" i="19"/>
  <c r="DU90" i="19"/>
  <c r="DW89" i="19"/>
  <c r="CQ90" i="19"/>
  <c r="CR89" i="19"/>
  <c r="CS89" i="19"/>
  <c r="Z89" i="19"/>
  <c r="Y90" i="19"/>
  <c r="AA89" i="19"/>
  <c r="DP90" i="19"/>
  <c r="DR89" i="19"/>
  <c r="DQ89" i="19"/>
  <c r="AT89" i="19"/>
  <c r="AU89" i="19"/>
  <c r="AS90" i="19"/>
  <c r="CH90" i="19" l="1"/>
  <c r="CI90" i="19"/>
  <c r="CG91" i="19"/>
  <c r="BT90" i="19"/>
  <c r="BS90" i="19"/>
  <c r="BR91" i="19"/>
  <c r="T91" i="19"/>
  <c r="U90" i="19"/>
  <c r="V90" i="19"/>
  <c r="CR90" i="19"/>
  <c r="CQ91" i="19"/>
  <c r="CS90" i="19"/>
  <c r="CD90" i="19"/>
  <c r="CB91" i="19"/>
  <c r="CC90" i="19"/>
  <c r="AD91" i="19"/>
  <c r="AE90" i="19"/>
  <c r="AF90" i="19"/>
  <c r="CL91" i="19"/>
  <c r="CN90" i="19"/>
  <c r="CM90" i="19"/>
  <c r="DB90" i="19"/>
  <c r="DC90" i="19"/>
  <c r="DA91" i="19"/>
  <c r="EP90" i="19"/>
  <c r="EO91" i="19"/>
  <c r="EQ90" i="19"/>
  <c r="DV90" i="19"/>
  <c r="DU91" i="19"/>
  <c r="DW90" i="19"/>
  <c r="EF90" i="19"/>
  <c r="EE91" i="19"/>
  <c r="EG90" i="19"/>
  <c r="EB90" i="19"/>
  <c r="EA90" i="19"/>
  <c r="DZ91" i="19"/>
  <c r="EJ91" i="19"/>
  <c r="EL90" i="19"/>
  <c r="EK90" i="19"/>
  <c r="BD90" i="19"/>
  <c r="BC91" i="19"/>
  <c r="BE90" i="19"/>
  <c r="CV91" i="19"/>
  <c r="CW90" i="19"/>
  <c r="CX90" i="19"/>
  <c r="DF91" i="19"/>
  <c r="DG90" i="19"/>
  <c r="DH90" i="19"/>
  <c r="AJ90" i="19"/>
  <c r="AK90" i="19"/>
  <c r="AI91" i="19"/>
  <c r="BN90" i="19"/>
  <c r="BM91" i="19"/>
  <c r="BO90" i="19"/>
  <c r="DQ90" i="19"/>
  <c r="DP91" i="19"/>
  <c r="DR90" i="19"/>
  <c r="AA90" i="19"/>
  <c r="Z90" i="19"/>
  <c r="Y91" i="19"/>
  <c r="AO90" i="19"/>
  <c r="AN91" i="19"/>
  <c r="AP90" i="19"/>
  <c r="EV90" i="19"/>
  <c r="EU90" i="19"/>
  <c r="ET91" i="19"/>
  <c r="BX90" i="19"/>
  <c r="BW91" i="19"/>
  <c r="BY90" i="19"/>
  <c r="AT90" i="19"/>
  <c r="AS91" i="19"/>
  <c r="AU90" i="19"/>
  <c r="BH91" i="19"/>
  <c r="BJ90" i="19"/>
  <c r="BI90" i="19"/>
  <c r="DL90" i="19"/>
  <c r="DM90" i="19"/>
  <c r="DK91" i="19"/>
  <c r="AZ90" i="19"/>
  <c r="AY90" i="19"/>
  <c r="AX91" i="19"/>
  <c r="AE91" i="19" l="1"/>
  <c r="AF91" i="19"/>
  <c r="AD92" i="19"/>
  <c r="AU91" i="19"/>
  <c r="AT91" i="19"/>
  <c r="AS92" i="19"/>
  <c r="U91" i="19"/>
  <c r="T92" i="19"/>
  <c r="V91" i="19"/>
  <c r="DM91" i="19"/>
  <c r="DK92" i="19"/>
  <c r="DL91" i="19"/>
  <c r="AO91" i="19"/>
  <c r="AN92" i="19"/>
  <c r="AP91" i="19"/>
  <c r="DG91" i="19"/>
  <c r="DF92" i="19"/>
  <c r="DH91" i="19"/>
  <c r="CC91" i="19"/>
  <c r="CB92" i="19"/>
  <c r="CD91" i="19"/>
  <c r="BS91" i="19"/>
  <c r="BR92" i="19"/>
  <c r="BT91" i="19"/>
  <c r="DC91" i="19"/>
  <c r="DA92" i="19"/>
  <c r="DB91" i="19"/>
  <c r="BO91" i="19"/>
  <c r="BM92" i="19"/>
  <c r="BN91" i="19"/>
  <c r="EK91" i="19"/>
  <c r="EL91" i="19"/>
  <c r="EJ92" i="19"/>
  <c r="BY91" i="19"/>
  <c r="BX91" i="19"/>
  <c r="BW92" i="19"/>
  <c r="AA91" i="19"/>
  <c r="Y92" i="19"/>
  <c r="Z91" i="19"/>
  <c r="EA91" i="19"/>
  <c r="DZ92" i="19"/>
  <c r="EB91" i="19"/>
  <c r="EU91" i="19"/>
  <c r="ET92" i="19"/>
  <c r="EV91" i="19"/>
  <c r="DQ91" i="19"/>
  <c r="DR91" i="19"/>
  <c r="DP92" i="19"/>
  <c r="EG91" i="19"/>
  <c r="EF91" i="19"/>
  <c r="EE92" i="19"/>
  <c r="DW91" i="19"/>
  <c r="DV91" i="19"/>
  <c r="DU92" i="19"/>
  <c r="AI92" i="19"/>
  <c r="AK91" i="19"/>
  <c r="AJ91" i="19"/>
  <c r="CW91" i="19"/>
  <c r="CV92" i="19"/>
  <c r="CX91" i="19"/>
  <c r="CM91" i="19"/>
  <c r="CL92" i="19"/>
  <c r="CN91" i="19"/>
  <c r="CS91" i="19"/>
  <c r="CR91" i="19"/>
  <c r="CQ92" i="19"/>
  <c r="CI91" i="19"/>
  <c r="CG92" i="19"/>
  <c r="CH91" i="19"/>
  <c r="EQ91" i="19"/>
  <c r="EO92" i="19"/>
  <c r="EP91" i="19"/>
  <c r="AY91" i="19"/>
  <c r="AX92" i="19"/>
  <c r="AZ91" i="19"/>
  <c r="BI91" i="19"/>
  <c r="BJ91" i="19"/>
  <c r="BH92" i="19"/>
  <c r="BE91" i="19"/>
  <c r="BC92" i="19"/>
  <c r="BD91" i="19"/>
  <c r="V92" i="19" l="1"/>
  <c r="U92" i="19"/>
  <c r="T93" i="19"/>
  <c r="EQ92" i="19"/>
  <c r="EP92" i="19"/>
  <c r="EO93" i="19"/>
  <c r="AJ92" i="19"/>
  <c r="AI93" i="19"/>
  <c r="AK92" i="19"/>
  <c r="CN92" i="19"/>
  <c r="CL93" i="19"/>
  <c r="CM92" i="19"/>
  <c r="DU93" i="19"/>
  <c r="DW92" i="19"/>
  <c r="DV92" i="19"/>
  <c r="Z92" i="19"/>
  <c r="Y93" i="19"/>
  <c r="AA92" i="19"/>
  <c r="AP92" i="19"/>
  <c r="AO92" i="19"/>
  <c r="AN93" i="19"/>
  <c r="AT92" i="19"/>
  <c r="AU92" i="19"/>
  <c r="AS93" i="19"/>
  <c r="BN92" i="19"/>
  <c r="BO92" i="19"/>
  <c r="BM93" i="19"/>
  <c r="BD92" i="19"/>
  <c r="BC93" i="19"/>
  <c r="BE92" i="19"/>
  <c r="BT92" i="19"/>
  <c r="BS92" i="19"/>
  <c r="BR93" i="19"/>
  <c r="BJ92" i="19"/>
  <c r="BH93" i="19"/>
  <c r="BI92" i="19"/>
  <c r="CG93" i="19"/>
  <c r="CI92" i="19"/>
  <c r="CH92" i="19"/>
  <c r="ET93" i="19"/>
  <c r="EV92" i="19"/>
  <c r="EU92" i="19"/>
  <c r="BW93" i="19"/>
  <c r="BX92" i="19"/>
  <c r="BY92" i="19"/>
  <c r="CB93" i="19"/>
  <c r="CD92" i="19"/>
  <c r="CC92" i="19"/>
  <c r="DR92" i="19"/>
  <c r="DP93" i="19"/>
  <c r="DQ92" i="19"/>
  <c r="EG92" i="19"/>
  <c r="EF92" i="19"/>
  <c r="EE93" i="19"/>
  <c r="DM92" i="19"/>
  <c r="DL92" i="19"/>
  <c r="DK93" i="19"/>
  <c r="AZ92" i="19"/>
  <c r="AX93" i="19"/>
  <c r="AY92" i="19"/>
  <c r="CS92" i="19"/>
  <c r="CR92" i="19"/>
  <c r="CQ93" i="19"/>
  <c r="DC92" i="19"/>
  <c r="DB92" i="19"/>
  <c r="DA93" i="19"/>
  <c r="CV93" i="19"/>
  <c r="CX92" i="19"/>
  <c r="CW92" i="19"/>
  <c r="AF92" i="19"/>
  <c r="AD93" i="19"/>
  <c r="AE92" i="19"/>
  <c r="EB92" i="19"/>
  <c r="DZ93" i="19"/>
  <c r="EA92" i="19"/>
  <c r="EJ93" i="19"/>
  <c r="EL92" i="19"/>
  <c r="EK92" i="19"/>
  <c r="DF93" i="19"/>
  <c r="DH92" i="19"/>
  <c r="DG92" i="19"/>
  <c r="AS94" i="19" l="1"/>
  <c r="AU93" i="19"/>
  <c r="AT93" i="19"/>
  <c r="DG93" i="19"/>
  <c r="DH93" i="19"/>
  <c r="DF94" i="19"/>
  <c r="CQ94" i="19"/>
  <c r="CS93" i="19"/>
  <c r="CR93" i="19"/>
  <c r="EE94" i="19"/>
  <c r="EG93" i="19"/>
  <c r="EF93" i="19"/>
  <c r="CB94" i="19"/>
  <c r="CC93" i="19"/>
  <c r="CD93" i="19"/>
  <c r="EO94" i="19"/>
  <c r="EQ93" i="19"/>
  <c r="EP93" i="19"/>
  <c r="EU93" i="19"/>
  <c r="EV93" i="19"/>
  <c r="ET94" i="19"/>
  <c r="DU94" i="19"/>
  <c r="DW93" i="19"/>
  <c r="DV93" i="19"/>
  <c r="CI93" i="19"/>
  <c r="CH93" i="19"/>
  <c r="CG94" i="19"/>
  <c r="AP93" i="19"/>
  <c r="AO93" i="19"/>
  <c r="AN94" i="19"/>
  <c r="EK93" i="19"/>
  <c r="EJ94" i="19"/>
  <c r="EL93" i="19"/>
  <c r="CW93" i="19"/>
  <c r="CX93" i="19"/>
  <c r="CV94" i="19"/>
  <c r="AZ93" i="19"/>
  <c r="AY93" i="19"/>
  <c r="AX94" i="19"/>
  <c r="BY93" i="19"/>
  <c r="BX93" i="19"/>
  <c r="BW94" i="19"/>
  <c r="BJ93" i="19"/>
  <c r="BI93" i="19"/>
  <c r="BH94" i="19"/>
  <c r="BO93" i="19"/>
  <c r="BM94" i="19"/>
  <c r="BN93" i="19"/>
  <c r="CM93" i="19"/>
  <c r="CN93" i="19"/>
  <c r="CL94" i="19"/>
  <c r="V93" i="19"/>
  <c r="U93" i="19"/>
  <c r="T94" i="19"/>
  <c r="AK93" i="19"/>
  <c r="AI94" i="19"/>
  <c r="AJ93" i="19"/>
  <c r="BC94" i="19"/>
  <c r="BE93" i="19"/>
  <c r="BD93" i="19"/>
  <c r="EA93" i="19"/>
  <c r="EB93" i="19"/>
  <c r="DZ94" i="19"/>
  <c r="DA94" i="19"/>
  <c r="DC93" i="19"/>
  <c r="DB93" i="19"/>
  <c r="DQ93" i="19"/>
  <c r="DR93" i="19"/>
  <c r="DP94" i="19"/>
  <c r="AD94" i="19"/>
  <c r="AF93" i="19"/>
  <c r="AE93" i="19"/>
  <c r="DK94" i="19"/>
  <c r="DM93" i="19"/>
  <c r="DL93" i="19"/>
  <c r="BR94" i="19"/>
  <c r="BT93" i="19"/>
  <c r="BS93" i="19"/>
  <c r="AA93" i="19"/>
  <c r="Z93" i="19"/>
  <c r="Y94" i="19"/>
  <c r="DZ95" i="19" l="1"/>
  <c r="EB94" i="19"/>
  <c r="EA94" i="19"/>
  <c r="AX95" i="19"/>
  <c r="AZ94" i="19"/>
  <c r="AY94" i="19"/>
  <c r="CR94" i="19"/>
  <c r="CQ95" i="19"/>
  <c r="CS94" i="19"/>
  <c r="AD95" i="19"/>
  <c r="AF94" i="19"/>
  <c r="AE94" i="19"/>
  <c r="T95" i="19"/>
  <c r="V94" i="19"/>
  <c r="U94" i="19"/>
  <c r="AN95" i="19"/>
  <c r="AP94" i="19"/>
  <c r="AO94" i="19"/>
  <c r="DV94" i="19"/>
  <c r="DW94" i="19"/>
  <c r="DU95" i="19"/>
  <c r="DF95" i="19"/>
  <c r="DH94" i="19"/>
  <c r="DG94" i="19"/>
  <c r="EP94" i="19"/>
  <c r="EQ94" i="19"/>
  <c r="EO95" i="19"/>
  <c r="BN94" i="19"/>
  <c r="BO94" i="19"/>
  <c r="BM95" i="19"/>
  <c r="DP95" i="19"/>
  <c r="DR94" i="19"/>
  <c r="DQ94" i="19"/>
  <c r="BH95" i="19"/>
  <c r="BJ94" i="19"/>
  <c r="BI94" i="19"/>
  <c r="ET95" i="19"/>
  <c r="EV94" i="19"/>
  <c r="EU94" i="19"/>
  <c r="CB95" i="19"/>
  <c r="CD94" i="19"/>
  <c r="CC94" i="19"/>
  <c r="AJ94" i="19"/>
  <c r="AK94" i="19"/>
  <c r="AI95" i="19"/>
  <c r="CV95" i="19"/>
  <c r="CX94" i="19"/>
  <c r="CW94" i="19"/>
  <c r="CH94" i="19"/>
  <c r="CI94" i="19"/>
  <c r="CG95" i="19"/>
  <c r="BR95" i="19"/>
  <c r="BT94" i="19"/>
  <c r="BS94" i="19"/>
  <c r="CL95" i="19"/>
  <c r="CN94" i="19"/>
  <c r="CM94" i="19"/>
  <c r="BD94" i="19"/>
  <c r="BE94" i="19"/>
  <c r="BC95" i="19"/>
  <c r="BX94" i="19"/>
  <c r="BY94" i="19"/>
  <c r="BW95" i="19"/>
  <c r="EF94" i="19"/>
  <c r="EE95" i="19"/>
  <c r="EG94" i="19"/>
  <c r="DB94" i="19"/>
  <c r="DC94" i="19"/>
  <c r="DA95" i="19"/>
  <c r="EJ95" i="19"/>
  <c r="EL94" i="19"/>
  <c r="EK94" i="19"/>
  <c r="Z94" i="19"/>
  <c r="Y95" i="19"/>
  <c r="AA94" i="19"/>
  <c r="DL94" i="19"/>
  <c r="DK95" i="19"/>
  <c r="DM94" i="19"/>
  <c r="AT94" i="19"/>
  <c r="AU94" i="19"/>
  <c r="AS95" i="19"/>
  <c r="CC95" i="19" l="1"/>
  <c r="CB96" i="19"/>
  <c r="CD95" i="19"/>
  <c r="EJ96" i="19"/>
  <c r="EK95" i="19"/>
  <c r="EL95" i="19"/>
  <c r="CW95" i="19"/>
  <c r="CV96" i="19"/>
  <c r="CX95" i="19"/>
  <c r="BM96" i="19"/>
  <c r="BO95" i="19"/>
  <c r="BN95" i="19"/>
  <c r="DG95" i="19"/>
  <c r="DH95" i="19"/>
  <c r="DF96" i="19"/>
  <c r="DK96" i="19"/>
  <c r="DM95" i="19"/>
  <c r="DL95" i="19"/>
  <c r="DA96" i="19"/>
  <c r="DC95" i="19"/>
  <c r="DB95" i="19"/>
  <c r="AI96" i="19"/>
  <c r="AK95" i="19"/>
  <c r="AJ95" i="19"/>
  <c r="EU95" i="19"/>
  <c r="ET96" i="19"/>
  <c r="EV95" i="19"/>
  <c r="DW95" i="19"/>
  <c r="DV95" i="19"/>
  <c r="DU96" i="19"/>
  <c r="U95" i="19"/>
  <c r="V95" i="19"/>
  <c r="T96" i="19"/>
  <c r="AO95" i="19"/>
  <c r="AN96" i="19"/>
  <c r="AP95" i="19"/>
  <c r="BS95" i="19"/>
  <c r="BT95" i="19"/>
  <c r="BR96" i="19"/>
  <c r="AY95" i="19"/>
  <c r="AZ95" i="19"/>
  <c r="AX96" i="19"/>
  <c r="BC96" i="19"/>
  <c r="BE95" i="19"/>
  <c r="BD95" i="19"/>
  <c r="CG96" i="19"/>
  <c r="CI95" i="19"/>
  <c r="CH95" i="19"/>
  <c r="EQ95" i="19"/>
  <c r="EO96" i="19"/>
  <c r="EP95" i="19"/>
  <c r="CM95" i="19"/>
  <c r="CN95" i="19"/>
  <c r="CL96" i="19"/>
  <c r="DP96" i="19"/>
  <c r="DQ95" i="19"/>
  <c r="DR95" i="19"/>
  <c r="Y96" i="19"/>
  <c r="AA95" i="19"/>
  <c r="Z95" i="19"/>
  <c r="BI95" i="19"/>
  <c r="BH96" i="19"/>
  <c r="BJ95" i="19"/>
  <c r="AE95" i="19"/>
  <c r="AF95" i="19"/>
  <c r="AD96" i="19"/>
  <c r="CQ96" i="19"/>
  <c r="CS95" i="19"/>
  <c r="CR95" i="19"/>
  <c r="BW96" i="19"/>
  <c r="BY95" i="19"/>
  <c r="BX95" i="19"/>
  <c r="AS96" i="19"/>
  <c r="AU95" i="19"/>
  <c r="AT95" i="19"/>
  <c r="EE96" i="19"/>
  <c r="EG95" i="19"/>
  <c r="EF95" i="19"/>
  <c r="DZ96" i="19"/>
  <c r="EA95" i="19"/>
  <c r="EB95" i="19"/>
  <c r="BW97" i="19" l="1"/>
  <c r="BX96" i="19"/>
  <c r="BY96" i="19"/>
  <c r="BH97" i="19"/>
  <c r="BJ96" i="19"/>
  <c r="BI96" i="19"/>
  <c r="CN96" i="19"/>
  <c r="CL97" i="19"/>
  <c r="CM96" i="19"/>
  <c r="CG97" i="19"/>
  <c r="CH96" i="19"/>
  <c r="CI96" i="19"/>
  <c r="DU97" i="19"/>
  <c r="DV96" i="19"/>
  <c r="DW96" i="19"/>
  <c r="AI97" i="19"/>
  <c r="AJ96" i="19"/>
  <c r="AK96" i="19"/>
  <c r="DF97" i="19"/>
  <c r="DH96" i="19"/>
  <c r="DG96" i="19"/>
  <c r="EE97" i="19"/>
  <c r="EF96" i="19"/>
  <c r="EG96" i="19"/>
  <c r="EL96" i="19"/>
  <c r="EK96" i="19"/>
  <c r="EJ97" i="19"/>
  <c r="BT96" i="19"/>
  <c r="BS96" i="19"/>
  <c r="BR97" i="19"/>
  <c r="AN97" i="19"/>
  <c r="AP96" i="19"/>
  <c r="AO96" i="19"/>
  <c r="DA97" i="19"/>
  <c r="DC96" i="19"/>
  <c r="DB96" i="19"/>
  <c r="CX96" i="19"/>
  <c r="CV97" i="19"/>
  <c r="CW96" i="19"/>
  <c r="DZ97" i="19"/>
  <c r="EA96" i="19"/>
  <c r="EB96" i="19"/>
  <c r="DP97" i="19"/>
  <c r="DR96" i="19"/>
  <c r="DQ96" i="19"/>
  <c r="CQ97" i="19"/>
  <c r="CR96" i="19"/>
  <c r="CS96" i="19"/>
  <c r="BC97" i="19"/>
  <c r="BD96" i="19"/>
  <c r="BE96" i="19"/>
  <c r="AD97" i="19"/>
  <c r="AF96" i="19"/>
  <c r="AE96" i="19"/>
  <c r="Z96" i="19"/>
  <c r="Y97" i="19"/>
  <c r="AA96" i="19"/>
  <c r="EO97" i="19"/>
  <c r="EP96" i="19"/>
  <c r="EQ96" i="19"/>
  <c r="AX97" i="19"/>
  <c r="AZ96" i="19"/>
  <c r="AY96" i="19"/>
  <c r="EU96" i="19"/>
  <c r="EV96" i="19"/>
  <c r="ET97" i="19"/>
  <c r="BM97" i="19"/>
  <c r="BN96" i="19"/>
  <c r="BO96" i="19"/>
  <c r="CB97" i="19"/>
  <c r="CD96" i="19"/>
  <c r="CC96" i="19"/>
  <c r="DK97" i="19"/>
  <c r="DL96" i="19"/>
  <c r="DM96" i="19"/>
  <c r="AS97" i="19"/>
  <c r="AT96" i="19"/>
  <c r="AU96" i="19"/>
  <c r="T97" i="19"/>
  <c r="V96" i="19"/>
  <c r="U96" i="19"/>
  <c r="EA97" i="19" l="1"/>
  <c r="DZ98" i="19"/>
  <c r="EB97" i="19"/>
  <c r="CC97" i="19"/>
  <c r="CD97" i="19"/>
  <c r="CB98" i="19"/>
  <c r="CR97" i="19"/>
  <c r="CS97" i="19"/>
  <c r="CQ98" i="19"/>
  <c r="CV98" i="19"/>
  <c r="CW97" i="19"/>
  <c r="CX97" i="19"/>
  <c r="BS97" i="19"/>
  <c r="BR98" i="19"/>
  <c r="BT97" i="19"/>
  <c r="EF97" i="19"/>
  <c r="EE98" i="19"/>
  <c r="EG97" i="19"/>
  <c r="Z97" i="19"/>
  <c r="Y98" i="19"/>
  <c r="AA97" i="19"/>
  <c r="DV97" i="19"/>
  <c r="DW97" i="19"/>
  <c r="DU98" i="19"/>
  <c r="CM97" i="19"/>
  <c r="CL98" i="19"/>
  <c r="CN97" i="19"/>
  <c r="T98" i="19"/>
  <c r="U97" i="19"/>
  <c r="V97" i="19"/>
  <c r="AO97" i="19"/>
  <c r="AN98" i="19"/>
  <c r="AP97" i="19"/>
  <c r="BH98" i="19"/>
  <c r="BI97" i="19"/>
  <c r="BJ97" i="19"/>
  <c r="BM98" i="19"/>
  <c r="BN97" i="19"/>
  <c r="BO97" i="19"/>
  <c r="DQ97" i="19"/>
  <c r="DP98" i="19"/>
  <c r="DR97" i="19"/>
  <c r="EJ98" i="19"/>
  <c r="EK97" i="19"/>
  <c r="EL97" i="19"/>
  <c r="DF98" i="19"/>
  <c r="DG97" i="19"/>
  <c r="DH97" i="19"/>
  <c r="AJ97" i="19"/>
  <c r="AK97" i="19"/>
  <c r="AI98" i="19"/>
  <c r="AT97" i="19"/>
  <c r="AS98" i="19"/>
  <c r="AU97" i="19"/>
  <c r="AD98" i="19"/>
  <c r="AE97" i="19"/>
  <c r="AF97" i="19"/>
  <c r="EU97" i="19"/>
  <c r="ET98" i="19"/>
  <c r="EV97" i="19"/>
  <c r="EO98" i="19"/>
  <c r="EP97" i="19"/>
  <c r="EQ97" i="19"/>
  <c r="DB97" i="19"/>
  <c r="DA98" i="19"/>
  <c r="DC97" i="19"/>
  <c r="CH97" i="19"/>
  <c r="CG98" i="19"/>
  <c r="CI97" i="19"/>
  <c r="AY97" i="19"/>
  <c r="AX98" i="19"/>
  <c r="AZ97" i="19"/>
  <c r="DL97" i="19"/>
  <c r="DK98" i="19"/>
  <c r="DM97" i="19"/>
  <c r="BD97" i="19"/>
  <c r="BC98" i="19"/>
  <c r="BE97" i="19"/>
  <c r="BX97" i="19"/>
  <c r="BW98" i="19"/>
  <c r="BY97" i="19"/>
  <c r="DG98" i="19" l="1"/>
  <c r="DF99" i="19"/>
  <c r="DH98" i="19"/>
  <c r="BS98" i="19"/>
  <c r="BR99" i="19"/>
  <c r="BT98" i="19"/>
  <c r="CD98" i="19"/>
  <c r="CC98" i="19"/>
  <c r="CB99" i="19"/>
  <c r="BX98" i="19"/>
  <c r="BY98" i="19"/>
  <c r="BW99" i="19"/>
  <c r="AP98" i="19"/>
  <c r="AO98" i="19"/>
  <c r="AN99" i="19"/>
  <c r="AZ98" i="19"/>
  <c r="AX99" i="19"/>
  <c r="AY98" i="19"/>
  <c r="BN98" i="19"/>
  <c r="BO98" i="19"/>
  <c r="BM99" i="19"/>
  <c r="BD98" i="19"/>
  <c r="BC99" i="19"/>
  <c r="BE98" i="19"/>
  <c r="CH98" i="19"/>
  <c r="CI98" i="19"/>
  <c r="CG99" i="19"/>
  <c r="U98" i="19"/>
  <c r="T99" i="19"/>
  <c r="V98" i="19"/>
  <c r="Z98" i="19"/>
  <c r="Y99" i="19"/>
  <c r="AA98" i="19"/>
  <c r="DV98" i="19"/>
  <c r="DU99" i="19"/>
  <c r="DW98" i="19"/>
  <c r="EU98" i="19"/>
  <c r="EV98" i="19"/>
  <c r="ET99" i="19"/>
  <c r="AJ98" i="19"/>
  <c r="AK98" i="19"/>
  <c r="AI99" i="19"/>
  <c r="EJ99" i="19"/>
  <c r="EL98" i="19"/>
  <c r="EK98" i="19"/>
  <c r="AT98" i="19"/>
  <c r="AS99" i="19"/>
  <c r="AU98" i="19"/>
  <c r="DL98" i="19"/>
  <c r="DM98" i="19"/>
  <c r="DK99" i="19"/>
  <c r="BH99" i="19"/>
  <c r="BJ98" i="19"/>
  <c r="BI98" i="19"/>
  <c r="CL99" i="19"/>
  <c r="CN98" i="19"/>
  <c r="CM98" i="19"/>
  <c r="CV99" i="19"/>
  <c r="CW98" i="19"/>
  <c r="CX98" i="19"/>
  <c r="EB98" i="19"/>
  <c r="DZ99" i="19"/>
  <c r="EA98" i="19"/>
  <c r="AE98" i="19"/>
  <c r="AD99" i="19"/>
  <c r="AF98" i="19"/>
  <c r="EP98" i="19"/>
  <c r="EO99" i="19"/>
  <c r="EQ98" i="19"/>
  <c r="DB98" i="19"/>
  <c r="DA99" i="19"/>
  <c r="DC98" i="19"/>
  <c r="DR98" i="19"/>
  <c r="DQ98" i="19"/>
  <c r="DP99" i="19"/>
  <c r="EF98" i="19"/>
  <c r="EE99" i="19"/>
  <c r="EG98" i="19"/>
  <c r="CR98" i="19"/>
  <c r="CQ99" i="19"/>
  <c r="CS98" i="19"/>
  <c r="Y100" i="19" l="1"/>
  <c r="AA99" i="19"/>
  <c r="Z99" i="19"/>
  <c r="AS100" i="19"/>
  <c r="AU99" i="19"/>
  <c r="AT99" i="19"/>
  <c r="EA99" i="19"/>
  <c r="DZ100" i="19"/>
  <c r="EB99" i="19"/>
  <c r="EV99" i="19"/>
  <c r="EU99" i="19"/>
  <c r="ET100" i="19"/>
  <c r="EF99" i="19"/>
  <c r="EG99" i="19"/>
  <c r="EE100" i="19"/>
  <c r="U99" i="19"/>
  <c r="V99" i="19"/>
  <c r="T100" i="19"/>
  <c r="BO99" i="19"/>
  <c r="BN99" i="19"/>
  <c r="BM100" i="19"/>
  <c r="BS99" i="19"/>
  <c r="BR100" i="19"/>
  <c r="BT99" i="19"/>
  <c r="DC99" i="19"/>
  <c r="DB99" i="19"/>
  <c r="DA100" i="19"/>
  <c r="BI99" i="19"/>
  <c r="BJ99" i="19"/>
  <c r="BH100" i="19"/>
  <c r="BY99" i="19"/>
  <c r="BX99" i="19"/>
  <c r="BW100" i="19"/>
  <c r="AO99" i="19"/>
  <c r="AN100" i="19"/>
  <c r="AP99" i="19"/>
  <c r="EQ99" i="19"/>
  <c r="EP99" i="19"/>
  <c r="EO100" i="19"/>
  <c r="DQ99" i="19"/>
  <c r="DP100" i="19"/>
  <c r="DR99" i="19"/>
  <c r="DM99" i="19"/>
  <c r="DK100" i="19"/>
  <c r="DL99" i="19"/>
  <c r="EK99" i="19"/>
  <c r="EJ100" i="19"/>
  <c r="EL99" i="19"/>
  <c r="DU100" i="19"/>
  <c r="DV99" i="19"/>
  <c r="DW99" i="19"/>
  <c r="CH99" i="19"/>
  <c r="CG100" i="19"/>
  <c r="CI99" i="19"/>
  <c r="CW99" i="19"/>
  <c r="CX99" i="19"/>
  <c r="CV100" i="19"/>
  <c r="AI100" i="19"/>
  <c r="AK99" i="19"/>
  <c r="AJ99" i="19"/>
  <c r="DG99" i="19"/>
  <c r="DH99" i="19"/>
  <c r="DF100" i="19"/>
  <c r="CS99" i="19"/>
  <c r="CQ100" i="19"/>
  <c r="CR99" i="19"/>
  <c r="CM99" i="19"/>
  <c r="CL100" i="19"/>
  <c r="CN99" i="19"/>
  <c r="BD99" i="19"/>
  <c r="BC100" i="19"/>
  <c r="BE99" i="19"/>
  <c r="AE99" i="19"/>
  <c r="AF99" i="19"/>
  <c r="AD100" i="19"/>
  <c r="AY99" i="19"/>
  <c r="AX100" i="19"/>
  <c r="AZ99" i="19"/>
  <c r="CC99" i="19"/>
  <c r="CB100" i="19"/>
  <c r="CD99" i="19"/>
  <c r="BT100" i="19" l="1"/>
  <c r="BS100" i="19"/>
  <c r="BR101" i="19"/>
  <c r="BJ100" i="19"/>
  <c r="BH101" i="19"/>
  <c r="BI100" i="19"/>
  <c r="AZ100" i="19"/>
  <c r="AX101" i="19"/>
  <c r="AY100" i="19"/>
  <c r="BN100" i="19"/>
  <c r="BM101" i="19"/>
  <c r="BO100" i="19"/>
  <c r="CD100" i="19"/>
  <c r="CC100" i="19"/>
  <c r="CB101" i="19"/>
  <c r="DH100" i="19"/>
  <c r="DG100" i="19"/>
  <c r="DF101" i="19"/>
  <c r="CN100" i="19"/>
  <c r="CL101" i="19"/>
  <c r="CM100" i="19"/>
  <c r="DM100" i="19"/>
  <c r="DL100" i="19"/>
  <c r="DK101" i="19"/>
  <c r="EV100" i="19"/>
  <c r="ET101" i="19"/>
  <c r="EU100" i="19"/>
  <c r="AU100" i="19"/>
  <c r="AT100" i="19"/>
  <c r="AS101" i="19"/>
  <c r="BD100" i="19"/>
  <c r="BE100" i="19"/>
  <c r="BC101" i="19"/>
  <c r="EO101" i="19"/>
  <c r="EQ100" i="19"/>
  <c r="EP100" i="19"/>
  <c r="CI100" i="19"/>
  <c r="CH100" i="19"/>
  <c r="CG101" i="19"/>
  <c r="AF100" i="19"/>
  <c r="AD101" i="19"/>
  <c r="AE100" i="19"/>
  <c r="AP100" i="19"/>
  <c r="AO100" i="19"/>
  <c r="AN101" i="19"/>
  <c r="DC100" i="19"/>
  <c r="DA101" i="19"/>
  <c r="DB100" i="19"/>
  <c r="EF100" i="19"/>
  <c r="EE101" i="19"/>
  <c r="EG100" i="19"/>
  <c r="AJ100" i="19"/>
  <c r="AI101" i="19"/>
  <c r="AK100" i="19"/>
  <c r="V100" i="19"/>
  <c r="U100" i="19"/>
  <c r="T101" i="19"/>
  <c r="EB100" i="19"/>
  <c r="EA100" i="19"/>
  <c r="DZ101" i="19"/>
  <c r="EL100" i="19"/>
  <c r="EJ101" i="19"/>
  <c r="EK100" i="19"/>
  <c r="CR100" i="19"/>
  <c r="CS100" i="19"/>
  <c r="CQ101" i="19"/>
  <c r="CX100" i="19"/>
  <c r="CW100" i="19"/>
  <c r="CV101" i="19"/>
  <c r="DW100" i="19"/>
  <c r="DV100" i="19"/>
  <c r="DU101" i="19"/>
  <c r="DP101" i="19"/>
  <c r="DR100" i="19"/>
  <c r="DQ100" i="19"/>
  <c r="BY100" i="19"/>
  <c r="BW101" i="19"/>
  <c r="BX100" i="19"/>
  <c r="Z100" i="19"/>
  <c r="Y101" i="19"/>
  <c r="AA100" i="19"/>
  <c r="V101" i="19" l="1"/>
  <c r="U101" i="19"/>
  <c r="T102" i="19"/>
  <c r="Y102" i="19"/>
  <c r="AA101" i="19"/>
  <c r="Z101" i="19"/>
  <c r="DA102" i="19"/>
  <c r="DC101" i="19"/>
  <c r="DB101" i="19"/>
  <c r="CI101" i="19"/>
  <c r="CG102" i="19"/>
  <c r="CH101" i="19"/>
  <c r="CC101" i="19"/>
  <c r="CB102" i="19"/>
  <c r="CD101" i="19"/>
  <c r="EK101" i="19"/>
  <c r="EJ102" i="19"/>
  <c r="EL101" i="19"/>
  <c r="AU101" i="19"/>
  <c r="AS102" i="19"/>
  <c r="AT101" i="19"/>
  <c r="DR101" i="19"/>
  <c r="DQ101" i="19"/>
  <c r="DP102" i="19"/>
  <c r="BE101" i="19"/>
  <c r="BD101" i="19"/>
  <c r="BC102" i="19"/>
  <c r="AK101" i="19"/>
  <c r="AJ101" i="19"/>
  <c r="AI102" i="19"/>
  <c r="AO101" i="19"/>
  <c r="AP101" i="19"/>
  <c r="AN102" i="19"/>
  <c r="BH102" i="19"/>
  <c r="BJ101" i="19"/>
  <c r="BI101" i="19"/>
  <c r="DU102" i="19"/>
  <c r="DW101" i="19"/>
  <c r="DV101" i="19"/>
  <c r="AX102" i="19"/>
  <c r="AZ101" i="19"/>
  <c r="AY101" i="19"/>
  <c r="BY101" i="19"/>
  <c r="BW102" i="19"/>
  <c r="BX101" i="19"/>
  <c r="CX101" i="19"/>
  <c r="CV102" i="19"/>
  <c r="CW101" i="19"/>
  <c r="EB101" i="19"/>
  <c r="DZ102" i="19"/>
  <c r="EA101" i="19"/>
  <c r="CL102" i="19"/>
  <c r="CM101" i="19"/>
  <c r="CN101" i="19"/>
  <c r="AF101" i="19"/>
  <c r="AD102" i="19"/>
  <c r="AE101" i="19"/>
  <c r="DM101" i="19"/>
  <c r="DL101" i="19"/>
  <c r="DK102" i="19"/>
  <c r="BM102" i="19"/>
  <c r="BO101" i="19"/>
  <c r="BN101" i="19"/>
  <c r="BT101" i="19"/>
  <c r="BS101" i="19"/>
  <c r="BR102" i="19"/>
  <c r="CS101" i="19"/>
  <c r="CQ102" i="19"/>
  <c r="CR101" i="19"/>
  <c r="EG101" i="19"/>
  <c r="EE102" i="19"/>
  <c r="EF101" i="19"/>
  <c r="EO102" i="19"/>
  <c r="EP101" i="19"/>
  <c r="EQ101" i="19"/>
  <c r="ET102" i="19"/>
  <c r="EV101" i="19"/>
  <c r="EU101" i="19"/>
  <c r="DH101" i="19"/>
  <c r="DG101" i="19"/>
  <c r="DF102" i="19"/>
  <c r="DP103" i="19" l="1"/>
  <c r="DQ102" i="19"/>
  <c r="DR102" i="19"/>
  <c r="AK102" i="19"/>
  <c r="AI103" i="19"/>
  <c r="AJ102" i="19"/>
  <c r="CC102" i="19"/>
  <c r="CD102" i="19"/>
  <c r="CB103" i="19"/>
  <c r="DU103" i="19"/>
  <c r="DW102" i="19"/>
  <c r="DV102" i="19"/>
  <c r="ET103" i="19"/>
  <c r="EV102" i="19"/>
  <c r="EU102" i="19"/>
  <c r="CQ103" i="19"/>
  <c r="CS102" i="19"/>
  <c r="CR102" i="19"/>
  <c r="DM102" i="19"/>
  <c r="DK103" i="19"/>
  <c r="DL102" i="19"/>
  <c r="CL103" i="19"/>
  <c r="CM102" i="19"/>
  <c r="CN102" i="19"/>
  <c r="BY102" i="19"/>
  <c r="BW103" i="19"/>
  <c r="BX102" i="19"/>
  <c r="AT102" i="19"/>
  <c r="AS103" i="19"/>
  <c r="AU102" i="19"/>
  <c r="AA102" i="19"/>
  <c r="Z102" i="19"/>
  <c r="Y103" i="19"/>
  <c r="AX103" i="19"/>
  <c r="AY102" i="19"/>
  <c r="AZ102" i="19"/>
  <c r="CX102" i="19"/>
  <c r="CV103" i="19"/>
  <c r="CW102" i="19"/>
  <c r="BE102" i="19"/>
  <c r="BC103" i="19"/>
  <c r="BD102" i="19"/>
  <c r="CH102" i="19"/>
  <c r="CG103" i="19"/>
  <c r="CI102" i="19"/>
  <c r="V102" i="19"/>
  <c r="U102" i="19"/>
  <c r="T103" i="19"/>
  <c r="AD103" i="19"/>
  <c r="AF102" i="19"/>
  <c r="AE102" i="19"/>
  <c r="EE103" i="19"/>
  <c r="EG102" i="19"/>
  <c r="EF102" i="19"/>
  <c r="DC102" i="19"/>
  <c r="DB102" i="19"/>
  <c r="DA103" i="19"/>
  <c r="BO102" i="19"/>
  <c r="BN102" i="19"/>
  <c r="BM103" i="19"/>
  <c r="BT102" i="19"/>
  <c r="BS102" i="19"/>
  <c r="BR103" i="19"/>
  <c r="DZ103" i="19"/>
  <c r="EA102" i="19"/>
  <c r="EB102" i="19"/>
  <c r="BJ102" i="19"/>
  <c r="BH103" i="19"/>
  <c r="BI102" i="19"/>
  <c r="DG102" i="19"/>
  <c r="DF103" i="19"/>
  <c r="DH102" i="19"/>
  <c r="EO103" i="19"/>
  <c r="EQ102" i="19"/>
  <c r="EP102" i="19"/>
  <c r="AO102" i="19"/>
  <c r="AN103" i="19"/>
  <c r="AP102" i="19"/>
  <c r="EL102" i="19"/>
  <c r="EK102" i="19"/>
  <c r="EJ103" i="19"/>
  <c r="CX103" i="19" l="1"/>
  <c r="CW103" i="19"/>
  <c r="CV104" i="19"/>
  <c r="CN103" i="19"/>
  <c r="CL104" i="19"/>
  <c r="CM103" i="19"/>
  <c r="EB103" i="19"/>
  <c r="EA103" i="19"/>
  <c r="DZ104" i="19"/>
  <c r="AU103" i="19"/>
  <c r="AS104" i="19"/>
  <c r="AT103" i="19"/>
  <c r="EV103" i="19"/>
  <c r="ET104" i="19"/>
  <c r="EU103" i="19"/>
  <c r="AI104" i="19"/>
  <c r="AJ103" i="19"/>
  <c r="AK103" i="19"/>
  <c r="CQ104" i="19"/>
  <c r="CS103" i="19"/>
  <c r="CR103" i="19"/>
  <c r="DF104" i="19"/>
  <c r="DH103" i="19"/>
  <c r="DG103" i="19"/>
  <c r="BM104" i="19"/>
  <c r="BN103" i="19"/>
  <c r="BO103" i="19"/>
  <c r="EF103" i="19"/>
  <c r="EG103" i="19"/>
  <c r="EE104" i="19"/>
  <c r="CG104" i="19"/>
  <c r="CI103" i="19"/>
  <c r="CH103" i="19"/>
  <c r="DK104" i="19"/>
  <c r="DL103" i="19"/>
  <c r="DM103" i="19"/>
  <c r="BR104" i="19"/>
  <c r="BT103" i="19"/>
  <c r="BS103" i="19"/>
  <c r="AX104" i="19"/>
  <c r="AZ103" i="19"/>
  <c r="AY103" i="19"/>
  <c r="BW104" i="19"/>
  <c r="BX103" i="19"/>
  <c r="BY103" i="19"/>
  <c r="DU104" i="19"/>
  <c r="DW103" i="19"/>
  <c r="DV103" i="19"/>
  <c r="V103" i="19"/>
  <c r="U103" i="19"/>
  <c r="T104" i="19"/>
  <c r="AN104" i="19"/>
  <c r="AP103" i="19"/>
  <c r="AO103" i="19"/>
  <c r="BJ103" i="19"/>
  <c r="BI103" i="19"/>
  <c r="BH104" i="19"/>
  <c r="EL103" i="19"/>
  <c r="EK103" i="19"/>
  <c r="EJ104" i="19"/>
  <c r="EQ103" i="19"/>
  <c r="EP103" i="19"/>
  <c r="EO104" i="19"/>
  <c r="DC103" i="19"/>
  <c r="DB103" i="19"/>
  <c r="DA104" i="19"/>
  <c r="AD104" i="19"/>
  <c r="AF103" i="19"/>
  <c r="AE103" i="19"/>
  <c r="BC104" i="19"/>
  <c r="BE103" i="19"/>
  <c r="BD103" i="19"/>
  <c r="Y104" i="19"/>
  <c r="Z103" i="19"/>
  <c r="AA103" i="19"/>
  <c r="CD103" i="19"/>
  <c r="CB104" i="19"/>
  <c r="CC103" i="19"/>
  <c r="DR103" i="19"/>
  <c r="DP104" i="19"/>
  <c r="DQ103" i="19"/>
  <c r="DW104" i="19" l="1"/>
  <c r="DV104" i="19"/>
  <c r="DU105" i="19"/>
  <c r="ET105" i="19"/>
  <c r="EV104" i="19"/>
  <c r="EU104" i="19"/>
  <c r="CC104" i="19"/>
  <c r="CD104" i="19"/>
  <c r="CB105" i="19"/>
  <c r="DP105" i="19"/>
  <c r="DQ104" i="19"/>
  <c r="DR104" i="19"/>
  <c r="AZ104" i="19"/>
  <c r="AX105" i="19"/>
  <c r="AY104" i="19"/>
  <c r="AK104" i="19"/>
  <c r="AJ104" i="19"/>
  <c r="AI105" i="19"/>
  <c r="BT104" i="19"/>
  <c r="BS104" i="19"/>
  <c r="BR105" i="19"/>
  <c r="CL105" i="19"/>
  <c r="CN104" i="19"/>
  <c r="CM104" i="19"/>
  <c r="DF105" i="19"/>
  <c r="DG104" i="19"/>
  <c r="DH104" i="19"/>
  <c r="EK104" i="19"/>
  <c r="EJ105" i="19"/>
  <c r="EL104" i="19"/>
  <c r="AO104" i="19"/>
  <c r="AP104" i="19"/>
  <c r="AN105" i="19"/>
  <c r="EQ104" i="19"/>
  <c r="EO105" i="19"/>
  <c r="EP104" i="19"/>
  <c r="CI104" i="19"/>
  <c r="CH104" i="19"/>
  <c r="CG105" i="19"/>
  <c r="BE104" i="19"/>
  <c r="BC105" i="19"/>
  <c r="BD104" i="19"/>
  <c r="AD105" i="19"/>
  <c r="AF104" i="19"/>
  <c r="AE104" i="19"/>
  <c r="T105" i="19"/>
  <c r="V104" i="19"/>
  <c r="U104" i="19"/>
  <c r="BY104" i="19"/>
  <c r="BW105" i="19"/>
  <c r="BX104" i="19"/>
  <c r="CS104" i="19"/>
  <c r="CQ105" i="19"/>
  <c r="CR104" i="19"/>
  <c r="AU104" i="19"/>
  <c r="AT104" i="19"/>
  <c r="AS105" i="19"/>
  <c r="CX104" i="19"/>
  <c r="CW104" i="19"/>
  <c r="CV105" i="19"/>
  <c r="DC104" i="19"/>
  <c r="DA105" i="19"/>
  <c r="DB104" i="19"/>
  <c r="DM104" i="19"/>
  <c r="DL104" i="19"/>
  <c r="DK105" i="19"/>
  <c r="EG104" i="19"/>
  <c r="EE105" i="19"/>
  <c r="EF104" i="19"/>
  <c r="AA104" i="19"/>
  <c r="Z104" i="19"/>
  <c r="Y105" i="19"/>
  <c r="BH105" i="19"/>
  <c r="BJ104" i="19"/>
  <c r="BI104" i="19"/>
  <c r="BO104" i="19"/>
  <c r="BM105" i="19"/>
  <c r="BN104" i="19"/>
  <c r="EB104" i="19"/>
  <c r="DZ105" i="19"/>
  <c r="EA104" i="19"/>
  <c r="EB105" i="19" l="1"/>
  <c r="DZ106" i="19"/>
  <c r="EA105" i="19"/>
  <c r="DA106" i="19"/>
  <c r="DC105" i="19"/>
  <c r="DB105" i="19"/>
  <c r="V105" i="19"/>
  <c r="T106" i="19"/>
  <c r="U105" i="19"/>
  <c r="CN105" i="19"/>
  <c r="CL106" i="19"/>
  <c r="CM105" i="19"/>
  <c r="AZ105" i="19"/>
  <c r="AX106" i="19"/>
  <c r="AY105" i="19"/>
  <c r="EL105" i="19"/>
  <c r="EK105" i="19"/>
  <c r="EJ106" i="19"/>
  <c r="BT105" i="19"/>
  <c r="BS105" i="19"/>
  <c r="BR106" i="19"/>
  <c r="CG106" i="19"/>
  <c r="CI105" i="19"/>
  <c r="CH105" i="19"/>
  <c r="EF105" i="19"/>
  <c r="EG105" i="19"/>
  <c r="EE106" i="19"/>
  <c r="CX105" i="19"/>
  <c r="CW105" i="19"/>
  <c r="CV106" i="19"/>
  <c r="EV105" i="19"/>
  <c r="EU105" i="19"/>
  <c r="ET106" i="19"/>
  <c r="AF105" i="19"/>
  <c r="AE105" i="19"/>
  <c r="AD106" i="19"/>
  <c r="EO106" i="19"/>
  <c r="EP105" i="19"/>
  <c r="EQ105" i="19"/>
  <c r="DW105" i="19"/>
  <c r="DU106" i="19"/>
  <c r="DV105" i="19"/>
  <c r="BM106" i="19"/>
  <c r="BN105" i="19"/>
  <c r="BO105" i="19"/>
  <c r="DK106" i="19"/>
  <c r="DL105" i="19"/>
  <c r="DM105" i="19"/>
  <c r="BY105" i="19"/>
  <c r="BX105" i="19"/>
  <c r="BW106" i="19"/>
  <c r="AK105" i="19"/>
  <c r="AI106" i="19"/>
  <c r="AJ105" i="19"/>
  <c r="DR105" i="19"/>
  <c r="DP106" i="19"/>
  <c r="DQ105" i="19"/>
  <c r="Y106" i="19"/>
  <c r="Z105" i="19"/>
  <c r="AA105" i="19"/>
  <c r="CR105" i="19"/>
  <c r="CS105" i="19"/>
  <c r="CQ106" i="19"/>
  <c r="BJ105" i="19"/>
  <c r="BH106" i="19"/>
  <c r="BI105" i="19"/>
  <c r="AS106" i="19"/>
  <c r="AT105" i="19"/>
  <c r="AU105" i="19"/>
  <c r="BE105" i="19"/>
  <c r="BC106" i="19"/>
  <c r="BD105" i="19"/>
  <c r="AP105" i="19"/>
  <c r="AN106" i="19"/>
  <c r="AO105" i="19"/>
  <c r="DH105" i="19"/>
  <c r="DG105" i="19"/>
  <c r="DF106" i="19"/>
  <c r="CD105" i="19"/>
  <c r="CB106" i="19"/>
  <c r="CC105" i="19"/>
  <c r="CI106" i="19" l="1"/>
  <c r="CG107" i="19"/>
  <c r="CH106" i="19"/>
  <c r="CC106" i="19"/>
  <c r="CD106" i="19"/>
  <c r="CB107" i="19"/>
  <c r="DQ106" i="19"/>
  <c r="DP107" i="19"/>
  <c r="DR106" i="19"/>
  <c r="U106" i="19"/>
  <c r="V106" i="19"/>
  <c r="T107" i="19"/>
  <c r="EQ106" i="19"/>
  <c r="EP106" i="19"/>
  <c r="EO107" i="19"/>
  <c r="BT106" i="19"/>
  <c r="BR107" i="19"/>
  <c r="BS106" i="19"/>
  <c r="DH106" i="19"/>
  <c r="DG106" i="19"/>
  <c r="DF107" i="19"/>
  <c r="AF106" i="19"/>
  <c r="AD107" i="19"/>
  <c r="AE106" i="19"/>
  <c r="DC106" i="19"/>
  <c r="DB106" i="19"/>
  <c r="DA107" i="19"/>
  <c r="AK106" i="19"/>
  <c r="AI107" i="19"/>
  <c r="AJ106" i="19"/>
  <c r="AU106" i="19"/>
  <c r="AT106" i="19"/>
  <c r="AS107" i="19"/>
  <c r="BY106" i="19"/>
  <c r="BW107" i="19"/>
  <c r="BX106" i="19"/>
  <c r="BO106" i="19"/>
  <c r="BN106" i="19"/>
  <c r="BM107" i="19"/>
  <c r="EG106" i="19"/>
  <c r="EF106" i="19"/>
  <c r="EE107" i="19"/>
  <c r="CL107" i="19"/>
  <c r="CN106" i="19"/>
  <c r="CM106" i="19"/>
  <c r="CV107" i="19"/>
  <c r="CX106" i="19"/>
  <c r="CW106" i="19"/>
  <c r="AO106" i="19"/>
  <c r="AP106" i="19"/>
  <c r="AN107" i="19"/>
  <c r="AA106" i="19"/>
  <c r="Y107" i="19"/>
  <c r="Z106" i="19"/>
  <c r="EJ107" i="19"/>
  <c r="EL106" i="19"/>
  <c r="EK106" i="19"/>
  <c r="DZ107" i="19"/>
  <c r="EA106" i="19"/>
  <c r="EB106" i="19"/>
  <c r="BE106" i="19"/>
  <c r="BD106" i="19"/>
  <c r="BC107" i="19"/>
  <c r="CS106" i="19"/>
  <c r="CR106" i="19"/>
  <c r="CQ107" i="19"/>
  <c r="DM106" i="19"/>
  <c r="DK107" i="19"/>
  <c r="DL106" i="19"/>
  <c r="AX107" i="19"/>
  <c r="AZ106" i="19"/>
  <c r="AY106" i="19"/>
  <c r="BJ106" i="19"/>
  <c r="BI106" i="19"/>
  <c r="BH107" i="19"/>
  <c r="DW106" i="19"/>
  <c r="DV106" i="19"/>
  <c r="DU107" i="19"/>
  <c r="EV106" i="19"/>
  <c r="ET107" i="19"/>
  <c r="EU106" i="19"/>
  <c r="BE107" i="19" l="1"/>
  <c r="BD107" i="19"/>
  <c r="BC108" i="19"/>
  <c r="BN107" i="19"/>
  <c r="BM108" i="19"/>
  <c r="BO107" i="19"/>
  <c r="EV107" i="19"/>
  <c r="ET108" i="19"/>
  <c r="EU107" i="19"/>
  <c r="DR107" i="19"/>
  <c r="DQ107" i="19"/>
  <c r="DP108" i="19"/>
  <c r="AI108" i="19"/>
  <c r="AJ107" i="19"/>
  <c r="AK107" i="19"/>
  <c r="DH107" i="19"/>
  <c r="DF108" i="19"/>
  <c r="DG107" i="19"/>
  <c r="EL107" i="19"/>
  <c r="EJ108" i="19"/>
  <c r="EK107" i="19"/>
  <c r="EP107" i="19"/>
  <c r="EO108" i="19"/>
  <c r="EQ107" i="19"/>
  <c r="CD107" i="19"/>
  <c r="CB108" i="19"/>
  <c r="CC107" i="19"/>
  <c r="V107" i="19"/>
  <c r="T108" i="19"/>
  <c r="U107" i="19"/>
  <c r="AF107" i="19"/>
  <c r="AD108" i="19"/>
  <c r="AE107" i="19"/>
  <c r="DU108" i="19"/>
  <c r="DW107" i="19"/>
  <c r="DV107" i="19"/>
  <c r="BJ107" i="19"/>
  <c r="BH108" i="19"/>
  <c r="BI107" i="19"/>
  <c r="AP107" i="19"/>
  <c r="AO107" i="19"/>
  <c r="AN108" i="19"/>
  <c r="CN107" i="19"/>
  <c r="CL108" i="19"/>
  <c r="CM107" i="19"/>
  <c r="BW108" i="19"/>
  <c r="BY107" i="19"/>
  <c r="BX107" i="19"/>
  <c r="DB107" i="19"/>
  <c r="DA108" i="19"/>
  <c r="DC107" i="19"/>
  <c r="Z107" i="19"/>
  <c r="Y108" i="19"/>
  <c r="AA107" i="19"/>
  <c r="DM107" i="19"/>
  <c r="DL107" i="19"/>
  <c r="DK108" i="19"/>
  <c r="CS107" i="19"/>
  <c r="CR107" i="19"/>
  <c r="CQ108" i="19"/>
  <c r="EB107" i="19"/>
  <c r="DZ108" i="19"/>
  <c r="EA107" i="19"/>
  <c r="EG107" i="19"/>
  <c r="EF107" i="19"/>
  <c r="EE108" i="19"/>
  <c r="CI107" i="19"/>
  <c r="CG108" i="19"/>
  <c r="CH107" i="19"/>
  <c r="AZ107" i="19"/>
  <c r="AX108" i="19"/>
  <c r="AY107" i="19"/>
  <c r="CX107" i="19"/>
  <c r="CV108" i="19"/>
  <c r="CW107" i="19"/>
  <c r="AS108" i="19"/>
  <c r="AT107" i="19"/>
  <c r="AU107" i="19"/>
  <c r="BT107" i="19"/>
  <c r="BR108" i="19"/>
  <c r="BS107" i="19"/>
  <c r="BS108" i="19" l="1"/>
  <c r="BT108" i="19"/>
  <c r="AE108" i="19"/>
  <c r="AF108" i="19"/>
  <c r="EQ108" i="19"/>
  <c r="EP108" i="19"/>
  <c r="EA108" i="19"/>
  <c r="EB108" i="19"/>
  <c r="BY108" i="19"/>
  <c r="BX108" i="19"/>
  <c r="BI108" i="19"/>
  <c r="BJ108" i="19"/>
  <c r="DG108" i="19"/>
  <c r="DH108" i="19"/>
  <c r="AA108" i="19"/>
  <c r="Z108" i="19"/>
  <c r="V108" i="19"/>
  <c r="U108" i="19"/>
  <c r="AK108" i="19"/>
  <c r="AJ108" i="19"/>
  <c r="BO108" i="19"/>
  <c r="BN108" i="19"/>
  <c r="CS108" i="19"/>
  <c r="CR108" i="19"/>
  <c r="EK108" i="19"/>
  <c r="EL108" i="19"/>
  <c r="BE108" i="19"/>
  <c r="BD108" i="19"/>
  <c r="EU108" i="19"/>
  <c r="EV108" i="19"/>
  <c r="AY108" i="19"/>
  <c r="AZ108" i="19"/>
  <c r="AU108" i="19"/>
  <c r="AT108" i="19"/>
  <c r="CI108" i="19"/>
  <c r="V5" i="19" s="1"/>
  <c r="CH108" i="19"/>
  <c r="CM108" i="19"/>
  <c r="CN108" i="19"/>
  <c r="DQ108" i="19"/>
  <c r="DR108" i="19"/>
  <c r="CW108" i="19"/>
  <c r="CX108" i="19"/>
  <c r="EG108" i="19"/>
  <c r="EF108" i="19"/>
  <c r="DC108" i="19"/>
  <c r="DB108" i="19"/>
  <c r="AP108" i="19"/>
  <c r="AO108" i="19"/>
  <c r="DW108" i="19"/>
  <c r="DV108" i="19"/>
  <c r="CC108" i="19"/>
  <c r="CD108" i="19"/>
  <c r="DM108" i="19"/>
  <c r="DL108" i="19"/>
  <c r="ER108" i="19" l="1"/>
  <c r="EH108" i="19"/>
  <c r="DX108" i="19"/>
  <c r="DN108" i="19"/>
  <c r="DD108" i="19"/>
  <c r="CT108" i="19"/>
  <c r="CJ108" i="19"/>
  <c r="BZ108" i="19"/>
  <c r="BP108" i="19"/>
  <c r="BF108" i="19"/>
  <c r="AV108" i="19"/>
  <c r="AL108" i="19"/>
  <c r="AB108" i="19"/>
  <c r="EW107" i="19"/>
  <c r="EM107" i="19"/>
  <c r="EC107" i="19"/>
  <c r="DS107" i="19"/>
  <c r="DI107" i="19"/>
  <c r="CY107" i="19"/>
  <c r="CO107" i="19"/>
  <c r="CE107" i="19"/>
  <c r="BU107" i="19"/>
  <c r="BK107" i="19"/>
  <c r="BA107" i="19"/>
  <c r="AQ107" i="19"/>
  <c r="AG107" i="19"/>
  <c r="W107" i="19"/>
  <c r="ER106" i="19"/>
  <c r="EH106" i="19"/>
  <c r="DX106" i="19"/>
  <c r="DN106" i="19"/>
  <c r="DD106" i="19"/>
  <c r="CT106" i="19"/>
  <c r="CJ106" i="19"/>
  <c r="BZ106" i="19"/>
  <c r="BP106" i="19"/>
  <c r="BF106" i="19"/>
  <c r="AV106" i="19"/>
  <c r="AL106" i="19"/>
  <c r="AB106" i="19"/>
  <c r="EW105" i="19"/>
  <c r="EM105" i="19"/>
  <c r="EC105" i="19"/>
  <c r="DS105" i="19"/>
  <c r="DI105" i="19"/>
  <c r="CY105" i="19"/>
  <c r="EW108" i="19"/>
  <c r="EM108" i="19"/>
  <c r="EC108" i="19"/>
  <c r="DS108" i="19"/>
  <c r="DI108" i="19"/>
  <c r="CY108" i="19"/>
  <c r="CO108" i="19"/>
  <c r="CE108" i="19"/>
  <c r="BU108" i="19"/>
  <c r="BK108" i="19"/>
  <c r="BA108" i="19"/>
  <c r="AQ108" i="19"/>
  <c r="AG108" i="19"/>
  <c r="W108" i="19"/>
  <c r="ER107" i="19"/>
  <c r="EH107" i="19"/>
  <c r="DX107" i="19"/>
  <c r="DN107" i="19"/>
  <c r="DD107" i="19"/>
  <c r="CT107" i="19"/>
  <c r="CJ107" i="19"/>
  <c r="BZ107" i="19"/>
  <c r="BP107" i="19"/>
  <c r="BF107" i="19"/>
  <c r="AV107" i="19"/>
  <c r="AL107" i="19"/>
  <c r="AB107" i="19"/>
  <c r="EW106" i="19"/>
  <c r="EM106" i="19"/>
  <c r="EC106" i="19"/>
  <c r="DS106" i="19"/>
  <c r="DI106" i="19"/>
  <c r="CY106" i="19"/>
  <c r="CO106" i="19"/>
  <c r="CE106" i="19"/>
  <c r="BU106" i="19"/>
  <c r="BK106" i="19"/>
  <c r="BA106" i="19"/>
  <c r="AQ106" i="19"/>
  <c r="AG106" i="19"/>
  <c r="W106" i="19"/>
  <c r="ER105" i="19"/>
  <c r="EH105" i="19"/>
  <c r="DX105" i="19"/>
  <c r="DN105" i="19"/>
  <c r="DD105" i="19"/>
  <c r="CT105" i="19"/>
  <c r="CJ105" i="19"/>
  <c r="AQ105" i="19"/>
  <c r="EM104" i="19"/>
  <c r="CT104" i="19"/>
  <c r="BK104" i="19"/>
  <c r="EW103" i="19"/>
  <c r="DN103" i="19"/>
  <c r="DD103" i="19"/>
  <c r="CT103" i="19"/>
  <c r="CJ103" i="19"/>
  <c r="BZ103" i="19"/>
  <c r="BP103" i="19"/>
  <c r="BF103" i="19"/>
  <c r="AV103" i="19"/>
  <c r="AL103" i="19"/>
  <c r="AB103" i="19"/>
  <c r="EW102" i="19"/>
  <c r="EM102" i="19"/>
  <c r="EC102" i="19"/>
  <c r="DS102" i="19"/>
  <c r="DI102" i="19"/>
  <c r="CY102" i="19"/>
  <c r="CO102" i="19"/>
  <c r="CE102" i="19"/>
  <c r="BU102" i="19"/>
  <c r="BK102" i="19"/>
  <c r="BA102" i="19"/>
  <c r="AQ102" i="19"/>
  <c r="AG102" i="19"/>
  <c r="W102" i="19"/>
  <c r="ER101" i="19"/>
  <c r="EH101" i="19"/>
  <c r="DX101" i="19"/>
  <c r="DN101" i="19"/>
  <c r="CE105" i="19"/>
  <c r="AV105" i="19"/>
  <c r="EH104" i="19"/>
  <c r="CY104" i="19"/>
  <c r="BF104" i="19"/>
  <c r="W104" i="19"/>
  <c r="DI103" i="19"/>
  <c r="CY103" i="19"/>
  <c r="CO103" i="19"/>
  <c r="CE103" i="19"/>
  <c r="BU103" i="19"/>
  <c r="BK103" i="19"/>
  <c r="BA103" i="19"/>
  <c r="AQ103" i="19"/>
  <c r="AG103" i="19"/>
  <c r="W103" i="19"/>
  <c r="ER102" i="19"/>
  <c r="EH102" i="19"/>
  <c r="DX102" i="19"/>
  <c r="DN102" i="19"/>
  <c r="DD102" i="19"/>
  <c r="CT102" i="19"/>
  <c r="CJ102" i="19"/>
  <c r="BZ102" i="19"/>
  <c r="BP102" i="19"/>
  <c r="BF102" i="19"/>
  <c r="AV102" i="19"/>
  <c r="AL102" i="19"/>
  <c r="AB102" i="19"/>
  <c r="EW101" i="19"/>
  <c r="EM101" i="19"/>
  <c r="EC101" i="19"/>
  <c r="DS101" i="19"/>
  <c r="BF105" i="19"/>
  <c r="AB105" i="19"/>
  <c r="ER104" i="19"/>
  <c r="EC104" i="19"/>
  <c r="DN104" i="19"/>
  <c r="CJ104" i="19"/>
  <c r="DD101" i="19"/>
  <c r="CT101" i="19"/>
  <c r="CJ101" i="19"/>
  <c r="BZ101" i="19"/>
  <c r="BP101" i="19"/>
  <c r="BF101" i="19"/>
  <c r="AV101" i="19"/>
  <c r="AL101" i="19"/>
  <c r="AB101" i="19"/>
  <c r="EW100" i="19"/>
  <c r="EM100" i="19"/>
  <c r="EC100" i="19"/>
  <c r="DS100" i="19"/>
  <c r="DI100" i="19"/>
  <c r="CY100" i="19"/>
  <c r="CO100" i="19"/>
  <c r="CE100" i="19"/>
  <c r="BU100" i="19"/>
  <c r="BK100" i="19"/>
  <c r="BA100" i="19"/>
  <c r="AQ100" i="19"/>
  <c r="AG100" i="19"/>
  <c r="BU105" i="19"/>
  <c r="DX103" i="19"/>
  <c r="AG105" i="19"/>
  <c r="CE104" i="19"/>
  <c r="EH103" i="19"/>
  <c r="CO101" i="19"/>
  <c r="BA101" i="19"/>
  <c r="ER100" i="19"/>
  <c r="DD100" i="19"/>
  <c r="BP100" i="19"/>
  <c r="AB100" i="19"/>
  <c r="BZ105" i="19"/>
  <c r="BA105" i="19"/>
  <c r="BU104" i="19"/>
  <c r="AB104" i="19"/>
  <c r="CY101" i="19"/>
  <c r="BU101" i="19"/>
  <c r="AQ101" i="19"/>
  <c r="ER99" i="19"/>
  <c r="DI99" i="19"/>
  <c r="BZ99" i="19"/>
  <c r="AG99" i="19"/>
  <c r="EC98" i="19"/>
  <c r="CJ98" i="19"/>
  <c r="BA98" i="19"/>
  <c r="DI104" i="19"/>
  <c r="CO104" i="19"/>
  <c r="BP104" i="19"/>
  <c r="AV104" i="19"/>
  <c r="AL100" i="19"/>
  <c r="DS99" i="19"/>
  <c r="CJ99" i="19"/>
  <c r="AQ99" i="19"/>
  <c r="EM98" i="19"/>
  <c r="CT98" i="19"/>
  <c r="BK98" i="19"/>
  <c r="BP105" i="19"/>
  <c r="CO105" i="19"/>
  <c r="AL104" i="19"/>
  <c r="DI101" i="19"/>
  <c r="CE101" i="19"/>
  <c r="EM99" i="19"/>
  <c r="DD99" i="19"/>
  <c r="BK99" i="19"/>
  <c r="EW104" i="19"/>
  <c r="DD104" i="19"/>
  <c r="BZ100" i="19"/>
  <c r="AV100" i="19"/>
  <c r="DN99" i="19"/>
  <c r="BU99" i="19"/>
  <c r="AL99" i="19"/>
  <c r="DX98" i="19"/>
  <c r="CO98" i="19"/>
  <c r="AV98" i="19"/>
  <c r="BK105" i="19"/>
  <c r="AL105" i="19"/>
  <c r="DX104" i="19"/>
  <c r="AG104" i="19"/>
  <c r="ER103" i="19"/>
  <c r="DS103" i="19"/>
  <c r="BK101" i="19"/>
  <c r="AG101" i="19"/>
  <c r="EH100" i="19"/>
  <c r="EW99" i="19"/>
  <c r="DX99" i="19"/>
  <c r="CE99" i="19"/>
  <c r="AV99" i="19"/>
  <c r="EH98" i="19"/>
  <c r="CY98" i="19"/>
  <c r="BF98" i="19"/>
  <c r="AQ104" i="19"/>
  <c r="DX100" i="19"/>
  <c r="CJ100" i="19"/>
  <c r="BA99" i="19"/>
  <c r="DI98" i="19"/>
  <c r="BP98" i="19"/>
  <c r="DI97" i="19"/>
  <c r="CT97" i="19"/>
  <c r="AG97" i="19"/>
  <c r="DD96" i="19"/>
  <c r="CT96" i="19"/>
  <c r="CJ96" i="19"/>
  <c r="BZ96" i="19"/>
  <c r="BP96" i="19"/>
  <c r="BF96" i="19"/>
  <c r="AV96" i="19"/>
  <c r="AL96" i="19"/>
  <c r="AB96" i="19"/>
  <c r="EW95" i="19"/>
  <c r="EM95" i="19"/>
  <c r="EC95" i="19"/>
  <c r="DS95" i="19"/>
  <c r="DI95" i="19"/>
  <c r="CY95" i="19"/>
  <c r="CO95" i="19"/>
  <c r="CE95" i="19"/>
  <c r="BU95" i="19"/>
  <c r="BK95" i="19"/>
  <c r="BA95" i="19"/>
  <c r="AQ95" i="19"/>
  <c r="AG95" i="19"/>
  <c r="W95" i="19"/>
  <c r="ER94" i="19"/>
  <c r="EH94" i="19"/>
  <c r="DX94" i="19"/>
  <c r="DN94" i="19"/>
  <c r="DD94" i="19"/>
  <c r="CT94" i="19"/>
  <c r="CJ94" i="19"/>
  <c r="BZ94" i="19"/>
  <c r="W105" i="19"/>
  <c r="EH99" i="19"/>
  <c r="W99" i="19"/>
  <c r="AQ98" i="19"/>
  <c r="EM97" i="19"/>
  <c r="DX97" i="19"/>
  <c r="BK97" i="19"/>
  <c r="AV97" i="19"/>
  <c r="EW96" i="19"/>
  <c r="DN96" i="19"/>
  <c r="W101" i="19"/>
  <c r="DN100" i="19"/>
  <c r="EW98" i="19"/>
  <c r="DD98" i="19"/>
  <c r="W98" i="19"/>
  <c r="CO97" i="19"/>
  <c r="BZ97" i="19"/>
  <c r="DX96" i="19"/>
  <c r="BZ104" i="19"/>
  <c r="EC99" i="19"/>
  <c r="CY99" i="19"/>
  <c r="CE98" i="19"/>
  <c r="AL98" i="19"/>
  <c r="DS97" i="19"/>
  <c r="DD97" i="19"/>
  <c r="AQ97" i="19"/>
  <c r="AB97" i="19"/>
  <c r="EH96" i="19"/>
  <c r="DS104" i="19"/>
  <c r="W100" i="19"/>
  <c r="CO99" i="19"/>
  <c r="DS98" i="19"/>
  <c r="BZ98" i="19"/>
  <c r="AG98" i="19"/>
  <c r="CY97" i="19"/>
  <c r="CJ97" i="19"/>
  <c r="DS96" i="19"/>
  <c r="BA104" i="19"/>
  <c r="CT100" i="19"/>
  <c r="ER97" i="19"/>
  <c r="BF97" i="19"/>
  <c r="BF94" i="19"/>
  <c r="EW93" i="19"/>
  <c r="DI93" i="19"/>
  <c r="BK93" i="19"/>
  <c r="BA93" i="19"/>
  <c r="AQ93" i="19"/>
  <c r="AG93" i="19"/>
  <c r="W93" i="19"/>
  <c r="ER92" i="19"/>
  <c r="EH92" i="19"/>
  <c r="DX92" i="19"/>
  <c r="DN92" i="19"/>
  <c r="DD92" i="19"/>
  <c r="CT92" i="19"/>
  <c r="CJ92" i="19"/>
  <c r="BZ92" i="19"/>
  <c r="BP92" i="19"/>
  <c r="BF92" i="19"/>
  <c r="AV92" i="19"/>
  <c r="AL92" i="19"/>
  <c r="AB92" i="19"/>
  <c r="EW91" i="19"/>
  <c r="EM91" i="19"/>
  <c r="EC91" i="19"/>
  <c r="DS91" i="19"/>
  <c r="DI91" i="19"/>
  <c r="CY91" i="19"/>
  <c r="CO91" i="19"/>
  <c r="CE91" i="19"/>
  <c r="BU91" i="19"/>
  <c r="BK91" i="19"/>
  <c r="BA91" i="19"/>
  <c r="AQ91" i="19"/>
  <c r="AG91" i="19"/>
  <c r="DN98" i="19"/>
  <c r="EH97" i="19"/>
  <c r="BA97" i="19"/>
  <c r="ER96" i="19"/>
  <c r="CO96" i="19"/>
  <c r="BU96" i="19"/>
  <c r="BA96" i="19"/>
  <c r="AG96" i="19"/>
  <c r="ER95" i="19"/>
  <c r="DX95" i="19"/>
  <c r="DD95" i="19"/>
  <c r="CJ95" i="19"/>
  <c r="BP95" i="19"/>
  <c r="AV95" i="19"/>
  <c r="AB95" i="19"/>
  <c r="EM94" i="19"/>
  <c r="DS94" i="19"/>
  <c r="CY94" i="19"/>
  <c r="AQ94" i="19"/>
  <c r="EH93" i="19"/>
  <c r="CT93" i="19"/>
  <c r="BU93" i="19"/>
  <c r="EC97" i="19"/>
  <c r="DI96" i="19"/>
  <c r="CE94" i="19"/>
  <c r="BP94" i="19"/>
  <c r="AB94" i="19"/>
  <c r="DS93" i="19"/>
  <c r="CE93" i="19"/>
  <c r="BF100" i="19"/>
  <c r="EC103" i="19"/>
  <c r="AB98" i="19"/>
  <c r="DN97" i="19"/>
  <c r="BU97" i="19"/>
  <c r="EC96" i="19"/>
  <c r="CY96" i="19"/>
  <c r="CE96" i="19"/>
  <c r="BK96" i="19"/>
  <c r="AQ96" i="19"/>
  <c r="W96" i="19"/>
  <c r="EH95" i="19"/>
  <c r="DN95" i="19"/>
  <c r="CT95" i="19"/>
  <c r="BZ95" i="19"/>
  <c r="BF95" i="19"/>
  <c r="AL95" i="19"/>
  <c r="EW94" i="19"/>
  <c r="EC94" i="19"/>
  <c r="DI94" i="19"/>
  <c r="CO94" i="19"/>
  <c r="BK94" i="19"/>
  <c r="W94" i="19"/>
  <c r="DN93" i="19"/>
  <c r="BP93" i="19"/>
  <c r="BP99" i="19"/>
  <c r="BU98" i="19"/>
  <c r="EW97" i="19"/>
  <c r="BF99" i="19"/>
  <c r="BP97" i="19"/>
  <c r="BU94" i="19"/>
  <c r="DX93" i="19"/>
  <c r="W92" i="19"/>
  <c r="BZ91" i="19"/>
  <c r="EM90" i="19"/>
  <c r="CT90" i="19"/>
  <c r="BK90" i="19"/>
  <c r="AB99" i="19"/>
  <c r="ER93" i="19"/>
  <c r="BA92" i="19"/>
  <c r="DD91" i="19"/>
  <c r="EW90" i="19"/>
  <c r="DD90" i="19"/>
  <c r="BU90" i="19"/>
  <c r="AB90" i="19"/>
  <c r="EW89" i="19"/>
  <c r="EM89" i="19"/>
  <c r="EC89" i="19"/>
  <c r="DS89" i="19"/>
  <c r="DI89" i="19"/>
  <c r="CY89" i="19"/>
  <c r="CO89" i="19"/>
  <c r="CE89" i="19"/>
  <c r="BU89" i="19"/>
  <c r="BK89" i="19"/>
  <c r="BA89" i="19"/>
  <c r="AQ89" i="19"/>
  <c r="AG89" i="19"/>
  <c r="ER98" i="19"/>
  <c r="AL97" i="19"/>
  <c r="AL94" i="19"/>
  <c r="CO93" i="19"/>
  <c r="AV93" i="19"/>
  <c r="AB93" i="19"/>
  <c r="EM92" i="19"/>
  <c r="DS92" i="19"/>
  <c r="CY92" i="19"/>
  <c r="CE92" i="19"/>
  <c r="EH91" i="19"/>
  <c r="BF91" i="19"/>
  <c r="AB91" i="19"/>
  <c r="DN90" i="19"/>
  <c r="CE90" i="19"/>
  <c r="AL90" i="19"/>
  <c r="EM93" i="19"/>
  <c r="AG92" i="19"/>
  <c r="CJ91" i="19"/>
  <c r="DX90" i="19"/>
  <c r="CO90" i="19"/>
  <c r="AV90" i="19"/>
  <c r="AV94" i="19"/>
  <c r="CY93" i="19"/>
  <c r="BZ93" i="19"/>
  <c r="BU92" i="19"/>
  <c r="DX91" i="19"/>
  <c r="AV91" i="19"/>
  <c r="EC90" i="19"/>
  <c r="CJ90" i="19"/>
  <c r="BA90" i="19"/>
  <c r="EW92" i="19"/>
  <c r="W91" i="19"/>
  <c r="AG90" i="19"/>
  <c r="CJ89" i="19"/>
  <c r="ER88" i="19"/>
  <c r="DX88" i="19"/>
  <c r="DD88" i="19"/>
  <c r="CJ88" i="19"/>
  <c r="BP88" i="19"/>
  <c r="AV88" i="19"/>
  <c r="AB88" i="19"/>
  <c r="EM87" i="19"/>
  <c r="DS87" i="19"/>
  <c r="CY87" i="19"/>
  <c r="CE87" i="19"/>
  <c r="BK87" i="19"/>
  <c r="AQ87" i="19"/>
  <c r="W87" i="19"/>
  <c r="EH86" i="19"/>
  <c r="DN86" i="19"/>
  <c r="CT86" i="19"/>
  <c r="BZ86" i="19"/>
  <c r="BF86" i="19"/>
  <c r="AL86" i="19"/>
  <c r="EW85" i="19"/>
  <c r="EC85" i="19"/>
  <c r="DI85" i="19"/>
  <c r="CO85" i="19"/>
  <c r="BU85" i="19"/>
  <c r="BA85" i="19"/>
  <c r="AG85" i="19"/>
  <c r="ER84" i="19"/>
  <c r="DX84" i="19"/>
  <c r="DD84" i="19"/>
  <c r="BF84" i="19"/>
  <c r="AQ84" i="19"/>
  <c r="DI83" i="19"/>
  <c r="CT83" i="19"/>
  <c r="CE83" i="19"/>
  <c r="AQ83" i="19"/>
  <c r="EH82" i="19"/>
  <c r="CT82" i="19"/>
  <c r="BF82" i="19"/>
  <c r="EW81" i="19"/>
  <c r="DI81" i="19"/>
  <c r="BU81" i="19"/>
  <c r="AG81" i="19"/>
  <c r="EC93" i="19"/>
  <c r="CO92" i="19"/>
  <c r="CT91" i="19"/>
  <c r="DS90" i="19"/>
  <c r="BF90" i="19"/>
  <c r="EH89" i="19"/>
  <c r="BF89" i="19"/>
  <c r="CJ84" i="19"/>
  <c r="EM103" i="19"/>
  <c r="BA94" i="19"/>
  <c r="BF93" i="19"/>
  <c r="AQ92" i="19"/>
  <c r="ER90" i="19"/>
  <c r="DD89" i="19"/>
  <c r="AB89" i="19"/>
  <c r="EM88" i="19"/>
  <c r="DS88" i="19"/>
  <c r="CY88" i="19"/>
  <c r="CE88" i="19"/>
  <c r="BK88" i="19"/>
  <c r="AQ88" i="19"/>
  <c r="W88" i="19"/>
  <c r="EH87" i="19"/>
  <c r="DN87" i="19"/>
  <c r="CT87" i="19"/>
  <c r="BZ87" i="19"/>
  <c r="BF87" i="19"/>
  <c r="AL87" i="19"/>
  <c r="EW86" i="19"/>
  <c r="EC86" i="19"/>
  <c r="DI86" i="19"/>
  <c r="CO86" i="19"/>
  <c r="BU86" i="19"/>
  <c r="BA86" i="19"/>
  <c r="AG86" i="19"/>
  <c r="ER85" i="19"/>
  <c r="DX85" i="19"/>
  <c r="DD85" i="19"/>
  <c r="CJ85" i="19"/>
  <c r="BP85" i="19"/>
  <c r="DD93" i="19"/>
  <c r="EC92" i="19"/>
  <c r="AL91" i="19"/>
  <c r="DI90" i="19"/>
  <c r="W90" i="19"/>
  <c r="BZ89" i="19"/>
  <c r="BP84" i="19"/>
  <c r="BA84" i="19"/>
  <c r="DS83" i="19"/>
  <c r="DD83" i="19"/>
  <c r="BZ83" i="19"/>
  <c r="AL83" i="19"/>
  <c r="EC82" i="19"/>
  <c r="CO82" i="19"/>
  <c r="BA82" i="19"/>
  <c r="ER81" i="19"/>
  <c r="DD81" i="19"/>
  <c r="BP81" i="19"/>
  <c r="AB81" i="19"/>
  <c r="AG94" i="19"/>
  <c r="DN91" i="19"/>
  <c r="EH90" i="19"/>
  <c r="DX89" i="19"/>
  <c r="AV89" i="19"/>
  <c r="W89" i="19"/>
  <c r="EH88" i="19"/>
  <c r="DN88" i="19"/>
  <c r="CT88" i="19"/>
  <c r="BZ88" i="19"/>
  <c r="BF88" i="19"/>
  <c r="AL88" i="19"/>
  <c r="CE97" i="19"/>
  <c r="CJ93" i="19"/>
  <c r="AL93" i="19"/>
  <c r="BK92" i="19"/>
  <c r="ER91" i="19"/>
  <c r="BZ90" i="19"/>
  <c r="BP89" i="19"/>
  <c r="AG88" i="19"/>
  <c r="DX87" i="19"/>
  <c r="CJ87" i="19"/>
  <c r="AV87" i="19"/>
  <c r="EM86" i="19"/>
  <c r="CY86" i="19"/>
  <c r="BK86" i="19"/>
  <c r="W86" i="19"/>
  <c r="DN85" i="19"/>
  <c r="BZ85" i="19"/>
  <c r="EM84" i="19"/>
  <c r="DI84" i="19"/>
  <c r="CE84" i="19"/>
  <c r="BK84" i="19"/>
  <c r="EW83" i="19"/>
  <c r="EC83" i="19"/>
  <c r="BU83" i="19"/>
  <c r="DN82" i="19"/>
  <c r="CE82" i="19"/>
  <c r="AV82" i="19"/>
  <c r="CO81" i="19"/>
  <c r="BF81" i="19"/>
  <c r="W81" i="19"/>
  <c r="DN80" i="19"/>
  <c r="BZ80" i="19"/>
  <c r="AL80" i="19"/>
  <c r="EC79" i="19"/>
  <c r="CO79" i="19"/>
  <c r="BA79" i="19"/>
  <c r="ER78" i="19"/>
  <c r="DD78" i="19"/>
  <c r="BP78" i="19"/>
  <c r="AB78" i="19"/>
  <c r="DS77" i="19"/>
  <c r="CE77" i="19"/>
  <c r="AQ77" i="19"/>
  <c r="EH76" i="19"/>
  <c r="CT76" i="19"/>
  <c r="BF76" i="19"/>
  <c r="EW75" i="19"/>
  <c r="DI75" i="19"/>
  <c r="BU75" i="19"/>
  <c r="AG75" i="19"/>
  <c r="DN74" i="19"/>
  <c r="EC88" i="19"/>
  <c r="AL85" i="19"/>
  <c r="EH84" i="19"/>
  <c r="AL84" i="19"/>
  <c r="CJ83" i="19"/>
  <c r="BA83" i="19"/>
  <c r="EW82" i="19"/>
  <c r="BK82" i="19"/>
  <c r="AB82" i="19"/>
  <c r="DX81" i="19"/>
  <c r="AL81" i="19"/>
  <c r="EM80" i="19"/>
  <c r="CY80" i="19"/>
  <c r="BK80" i="19"/>
  <c r="W80" i="19"/>
  <c r="DN79" i="19"/>
  <c r="BZ79" i="19"/>
  <c r="AL79" i="19"/>
  <c r="EC78" i="19"/>
  <c r="CO78" i="19"/>
  <c r="BA78" i="19"/>
  <c r="ER77" i="19"/>
  <c r="DD77" i="19"/>
  <c r="BP77" i="19"/>
  <c r="AB77" i="19"/>
  <c r="DS76" i="19"/>
  <c r="CE76" i="19"/>
  <c r="AQ76" i="19"/>
  <c r="EH75" i="19"/>
  <c r="CT75" i="19"/>
  <c r="BF75" i="19"/>
  <c r="EW74" i="19"/>
  <c r="DX74" i="19"/>
  <c r="DI92" i="19"/>
  <c r="BP90" i="19"/>
  <c r="BU88" i="19"/>
  <c r="EW87" i="19"/>
  <c r="DI87" i="19"/>
  <c r="BU87" i="19"/>
  <c r="AG87" i="19"/>
  <c r="DX86" i="19"/>
  <c r="CJ86" i="19"/>
  <c r="AV86" i="19"/>
  <c r="EM85" i="19"/>
  <c r="CY85" i="19"/>
  <c r="BK85" i="19"/>
  <c r="CY84" i="19"/>
  <c r="BZ84" i="19"/>
  <c r="DX83" i="19"/>
  <c r="BP83" i="19"/>
  <c r="AG83" i="19"/>
  <c r="BZ82" i="19"/>
  <c r="AQ82" i="19"/>
  <c r="EM81" i="19"/>
  <c r="BA81" i="19"/>
  <c r="DX80" i="19"/>
  <c r="CJ80" i="19"/>
  <c r="AV80" i="19"/>
  <c r="EM79" i="19"/>
  <c r="CY79" i="19"/>
  <c r="BK79" i="19"/>
  <c r="W79" i="19"/>
  <c r="DN78" i="19"/>
  <c r="BZ78" i="19"/>
  <c r="AL78" i="19"/>
  <c r="EC77" i="19"/>
  <c r="CO77" i="19"/>
  <c r="BA77" i="19"/>
  <c r="ER76" i="19"/>
  <c r="DD76" i="19"/>
  <c r="BP76" i="19"/>
  <c r="AB76" i="19"/>
  <c r="DS75" i="19"/>
  <c r="CE75" i="19"/>
  <c r="CT99" i="19"/>
  <c r="DN89" i="19"/>
  <c r="AB85" i="19"/>
  <c r="EC84" i="19"/>
  <c r="CT84" i="19"/>
  <c r="AG84" i="19"/>
  <c r="ER83" i="19"/>
  <c r="CY83" i="19"/>
  <c r="AV83" i="19"/>
  <c r="ER82" i="19"/>
  <c r="DI82" i="19"/>
  <c r="W82" i="19"/>
  <c r="DS81" i="19"/>
  <c r="CJ81" i="19"/>
  <c r="EW80" i="19"/>
  <c r="DI80" i="19"/>
  <c r="BU80" i="19"/>
  <c r="AG80" i="19"/>
  <c r="DX79" i="19"/>
  <c r="CJ79" i="19"/>
  <c r="AV79" i="19"/>
  <c r="EM78" i="19"/>
  <c r="CY78" i="19"/>
  <c r="BK78" i="19"/>
  <c r="W78" i="19"/>
  <c r="DN77" i="19"/>
  <c r="BZ77" i="19"/>
  <c r="AL77" i="19"/>
  <c r="EC76" i="19"/>
  <c r="CO76" i="19"/>
  <c r="BA76" i="19"/>
  <c r="ER75" i="19"/>
  <c r="DD75" i="19"/>
  <c r="BP75" i="19"/>
  <c r="AB75" i="19"/>
  <c r="CY74" i="19"/>
  <c r="W97" i="19"/>
  <c r="AQ90" i="19"/>
  <c r="CT89" i="19"/>
  <c r="AL89" i="19"/>
  <c r="DI88" i="19"/>
  <c r="ER87" i="19"/>
  <c r="DD87" i="19"/>
  <c r="BP87" i="19"/>
  <c r="AB87" i="19"/>
  <c r="DS86" i="19"/>
  <c r="CE86" i="19"/>
  <c r="AQ86" i="19"/>
  <c r="EH85" i="19"/>
  <c r="CT85" i="19"/>
  <c r="BF85" i="19"/>
  <c r="W85" i="19"/>
  <c r="BU84" i="19"/>
  <c r="EM83" i="19"/>
  <c r="BK83" i="19"/>
  <c r="AB83" i="19"/>
  <c r="DX82" i="19"/>
  <c r="AL82" i="19"/>
  <c r="EH81" i="19"/>
  <c r="CY81" i="19"/>
  <c r="EH80" i="19"/>
  <c r="CT80" i="19"/>
  <c r="BF80" i="19"/>
  <c r="EW79" i="19"/>
  <c r="DI79" i="19"/>
  <c r="BU79" i="19"/>
  <c r="AG79" i="19"/>
  <c r="DX78" i="19"/>
  <c r="CJ78" i="19"/>
  <c r="AV78" i="19"/>
  <c r="EM77" i="19"/>
  <c r="CY77" i="19"/>
  <c r="BK77" i="19"/>
  <c r="W77" i="19"/>
  <c r="DN76" i="19"/>
  <c r="BZ76" i="19"/>
  <c r="AL76" i="19"/>
  <c r="EC75" i="19"/>
  <c r="CO75" i="19"/>
  <c r="BA75" i="19"/>
  <c r="ER74" i="19"/>
  <c r="DI74" i="19"/>
  <c r="EM96" i="19"/>
  <c r="BP91" i="19"/>
  <c r="CY90" i="19"/>
  <c r="BA88" i="19"/>
  <c r="DS84" i="19"/>
  <c r="AV84" i="19"/>
  <c r="AB84" i="19"/>
  <c r="EM82" i="19"/>
  <c r="DD82" i="19"/>
  <c r="BU82" i="19"/>
  <c r="DN81" i="19"/>
  <c r="CE81" i="19"/>
  <c r="AV81" i="19"/>
  <c r="DS80" i="19"/>
  <c r="CE80" i="19"/>
  <c r="AQ80" i="19"/>
  <c r="EH79" i="19"/>
  <c r="CT79" i="19"/>
  <c r="BF79" i="19"/>
  <c r="EW78" i="19"/>
  <c r="DI78" i="19"/>
  <c r="BU78" i="19"/>
  <c r="AG78" i="19"/>
  <c r="DX77" i="19"/>
  <c r="CJ77" i="19"/>
  <c r="AV77" i="19"/>
  <c r="EM76" i="19"/>
  <c r="CY76" i="19"/>
  <c r="BK76" i="19"/>
  <c r="W76" i="19"/>
  <c r="DN75" i="19"/>
  <c r="BZ75" i="19"/>
  <c r="AL75" i="19"/>
  <c r="DS74" i="19"/>
  <c r="ER89" i="19"/>
  <c r="CO88" i="19"/>
  <c r="AQ85" i="19"/>
  <c r="W84" i="19"/>
  <c r="CO83" i="19"/>
  <c r="BF83" i="19"/>
  <c r="CY82" i="19"/>
  <c r="BP82" i="19"/>
  <c r="AG82" i="19"/>
  <c r="BZ81" i="19"/>
  <c r="AQ81" i="19"/>
  <c r="EC80" i="19"/>
  <c r="CO80" i="19"/>
  <c r="BA80" i="19"/>
  <c r="ER79" i="19"/>
  <c r="DD79" i="19"/>
  <c r="BP79" i="19"/>
  <c r="AB79" i="19"/>
  <c r="DS78" i="19"/>
  <c r="CE78" i="19"/>
  <c r="AQ78" i="19"/>
  <c r="EH77" i="19"/>
  <c r="CT77" i="19"/>
  <c r="BF77" i="19"/>
  <c r="EW76" i="19"/>
  <c r="DI76" i="19"/>
  <c r="BU76" i="19"/>
  <c r="AG76" i="19"/>
  <c r="DX75" i="19"/>
  <c r="CJ75" i="19"/>
  <c r="AV75" i="19"/>
  <c r="EM74" i="19"/>
  <c r="DD74" i="19"/>
  <c r="DD86" i="19"/>
  <c r="CO84" i="19"/>
  <c r="BP80" i="19"/>
  <c r="EW77" i="19"/>
  <c r="CY75" i="19"/>
  <c r="W75" i="19"/>
  <c r="BP74" i="19"/>
  <c r="AB74" i="19"/>
  <c r="DS73" i="19"/>
  <c r="CE73" i="19"/>
  <c r="AQ73" i="19"/>
  <c r="EH72" i="19"/>
  <c r="CT72" i="19"/>
  <c r="BF72" i="19"/>
  <c r="EC71" i="19"/>
  <c r="DI71" i="19"/>
  <c r="CO71" i="19"/>
  <c r="BU71" i="19"/>
  <c r="BA71" i="19"/>
  <c r="AG71" i="19"/>
  <c r="ER70" i="19"/>
  <c r="DX70" i="19"/>
  <c r="DD70" i="19"/>
  <c r="CJ70" i="19"/>
  <c r="AQ70" i="19"/>
  <c r="EH69" i="19"/>
  <c r="CT69" i="19"/>
  <c r="EW88" i="19"/>
  <c r="BP86" i="19"/>
  <c r="CE79" i="19"/>
  <c r="AG77" i="19"/>
  <c r="BK74" i="19"/>
  <c r="W74" i="19"/>
  <c r="DN73" i="19"/>
  <c r="BZ73" i="19"/>
  <c r="AL73" i="19"/>
  <c r="EC72" i="19"/>
  <c r="CO72" i="19"/>
  <c r="BA72" i="19"/>
  <c r="EW71" i="19"/>
  <c r="BP70" i="19"/>
  <c r="AB70" i="19"/>
  <c r="DS69" i="19"/>
  <c r="CE69" i="19"/>
  <c r="BU69" i="19"/>
  <c r="BK69" i="19"/>
  <c r="BA69" i="19"/>
  <c r="AQ69" i="19"/>
  <c r="AG69" i="19"/>
  <c r="W69" i="19"/>
  <c r="ER68" i="19"/>
  <c r="EH68" i="19"/>
  <c r="DX68" i="19"/>
  <c r="DN68" i="19"/>
  <c r="DD68" i="19"/>
  <c r="CT68" i="19"/>
  <c r="CJ68" i="19"/>
  <c r="BZ68" i="19"/>
  <c r="BP68" i="19"/>
  <c r="BF68" i="19"/>
  <c r="AV68" i="19"/>
  <c r="AL68" i="19"/>
  <c r="AB68" i="19"/>
  <c r="EW67" i="19"/>
  <c r="EM67" i="19"/>
  <c r="EC67" i="19"/>
  <c r="DS67" i="19"/>
  <c r="DI67" i="19"/>
  <c r="CY67" i="19"/>
  <c r="CO67" i="19"/>
  <c r="CE67" i="19"/>
  <c r="BU67" i="19"/>
  <c r="BK67" i="19"/>
  <c r="BA67" i="19"/>
  <c r="AQ67" i="19"/>
  <c r="AG67" i="19"/>
  <c r="W67" i="19"/>
  <c r="ER66" i="19"/>
  <c r="EH66" i="19"/>
  <c r="DX66" i="19"/>
  <c r="DN66" i="19"/>
  <c r="DD66" i="19"/>
  <c r="CT66" i="19"/>
  <c r="CJ66" i="19"/>
  <c r="BZ66" i="19"/>
  <c r="BP66" i="19"/>
  <c r="BF66" i="19"/>
  <c r="AV66" i="19"/>
  <c r="AL66" i="19"/>
  <c r="AB66" i="19"/>
  <c r="EW65" i="19"/>
  <c r="EM65" i="19"/>
  <c r="EC65" i="19"/>
  <c r="DS65" i="19"/>
  <c r="DI65" i="19"/>
  <c r="AB86" i="19"/>
  <c r="W83" i="19"/>
  <c r="ER80" i="19"/>
  <c r="CT78" i="19"/>
  <c r="AV76" i="19"/>
  <c r="DS85" i="19"/>
  <c r="EC81" i="19"/>
  <c r="AB80" i="19"/>
  <c r="DI77" i="19"/>
  <c r="BK75" i="19"/>
  <c r="EH74" i="19"/>
  <c r="CO74" i="19"/>
  <c r="BA74" i="19"/>
  <c r="ER73" i="19"/>
  <c r="DD73" i="19"/>
  <c r="BP73" i="19"/>
  <c r="AB73" i="19"/>
  <c r="DS72" i="19"/>
  <c r="CE72" i="19"/>
  <c r="AQ72" i="19"/>
  <c r="AL70" i="19"/>
  <c r="EC69" i="19"/>
  <c r="CO69" i="19"/>
  <c r="EC87" i="19"/>
  <c r="CE85" i="19"/>
  <c r="EH83" i="19"/>
  <c r="DS82" i="19"/>
  <c r="AQ79" i="19"/>
  <c r="DX76" i="19"/>
  <c r="EC74" i="19"/>
  <c r="CJ74" i="19"/>
  <c r="AV74" i="19"/>
  <c r="EM73" i="19"/>
  <c r="CY73" i="19"/>
  <c r="BK73" i="19"/>
  <c r="W73" i="19"/>
  <c r="DN72" i="19"/>
  <c r="BZ72" i="19"/>
  <c r="AL72" i="19"/>
  <c r="EM71" i="19"/>
  <c r="DS71" i="19"/>
  <c r="CY71" i="19"/>
  <c r="CE71" i="19"/>
  <c r="BK71" i="19"/>
  <c r="AQ71" i="19"/>
  <c r="W71" i="19"/>
  <c r="EH70" i="19"/>
  <c r="DN70" i="19"/>
  <c r="CT70" i="19"/>
  <c r="BZ70" i="19"/>
  <c r="BK70" i="19"/>
  <c r="W70" i="19"/>
  <c r="DN69" i="19"/>
  <c r="CO87" i="19"/>
  <c r="AV85" i="19"/>
  <c r="DN83" i="19"/>
  <c r="CT81" i="19"/>
  <c r="DD80" i="19"/>
  <c r="BF78" i="19"/>
  <c r="EM75" i="19"/>
  <c r="AQ75" i="19"/>
  <c r="CE74" i="19"/>
  <c r="AQ74" i="19"/>
  <c r="EH73" i="19"/>
  <c r="CT73" i="19"/>
  <c r="BF73" i="19"/>
  <c r="EW72" i="19"/>
  <c r="DI72" i="19"/>
  <c r="BU72" i="19"/>
  <c r="AG72" i="19"/>
  <c r="AV70" i="19"/>
  <c r="EM69" i="19"/>
  <c r="CY69" i="19"/>
  <c r="BZ69" i="19"/>
  <c r="BP69" i="19"/>
  <c r="BF69" i="19"/>
  <c r="AV69" i="19"/>
  <c r="AL69" i="19"/>
  <c r="AB69" i="19"/>
  <c r="EW68" i="19"/>
  <c r="EM68" i="19"/>
  <c r="EC68" i="19"/>
  <c r="DS68" i="19"/>
  <c r="DI68" i="19"/>
  <c r="CY68" i="19"/>
  <c r="CO68" i="19"/>
  <c r="CE68" i="19"/>
  <c r="BU68" i="19"/>
  <c r="BK68" i="19"/>
  <c r="BA68" i="19"/>
  <c r="AQ68" i="19"/>
  <c r="AG68" i="19"/>
  <c r="W68" i="19"/>
  <c r="ER67" i="19"/>
  <c r="EH67" i="19"/>
  <c r="DX67" i="19"/>
  <c r="DN67" i="19"/>
  <c r="DD67" i="19"/>
  <c r="CT67" i="19"/>
  <c r="CJ67" i="19"/>
  <c r="BZ67" i="19"/>
  <c r="BP67" i="19"/>
  <c r="BF67" i="19"/>
  <c r="AV67" i="19"/>
  <c r="AL67" i="19"/>
  <c r="AB67" i="19"/>
  <c r="EW66" i="19"/>
  <c r="EM66" i="19"/>
  <c r="EC66" i="19"/>
  <c r="DS66" i="19"/>
  <c r="DI66" i="19"/>
  <c r="CY66" i="19"/>
  <c r="CO66" i="19"/>
  <c r="CE66" i="19"/>
  <c r="BU66" i="19"/>
  <c r="BK66" i="19"/>
  <c r="BA66" i="19"/>
  <c r="AQ66" i="19"/>
  <c r="AG66" i="19"/>
  <c r="W66" i="19"/>
  <c r="ER65" i="19"/>
  <c r="EH65" i="19"/>
  <c r="DX65" i="19"/>
  <c r="DN65" i="19"/>
  <c r="DD65" i="19"/>
  <c r="CT65" i="19"/>
  <c r="CJ65" i="19"/>
  <c r="BZ65" i="19"/>
  <c r="BP65" i="19"/>
  <c r="BF65" i="19"/>
  <c r="AV65" i="19"/>
  <c r="AL65" i="19"/>
  <c r="AB65" i="19"/>
  <c r="EW64" i="19"/>
  <c r="EM64" i="19"/>
  <c r="EC64" i="19"/>
  <c r="DS64" i="19"/>
  <c r="DI64" i="19"/>
  <c r="CY64" i="19"/>
  <c r="CO64" i="19"/>
  <c r="CE64" i="19"/>
  <c r="BA87" i="19"/>
  <c r="EW84" i="19"/>
  <c r="CJ82" i="19"/>
  <c r="DS79" i="19"/>
  <c r="BU77" i="19"/>
  <c r="BZ74" i="19"/>
  <c r="AL74" i="19"/>
  <c r="EC73" i="19"/>
  <c r="CO73" i="19"/>
  <c r="BA73" i="19"/>
  <c r="ER72" i="19"/>
  <c r="DD72" i="19"/>
  <c r="BP72" i="19"/>
  <c r="AB72" i="19"/>
  <c r="EH71" i="19"/>
  <c r="DN71" i="19"/>
  <c r="CT71" i="19"/>
  <c r="BZ71" i="19"/>
  <c r="BF71" i="19"/>
  <c r="AL71" i="19"/>
  <c r="EW70" i="19"/>
  <c r="EC70" i="19"/>
  <c r="DI70" i="19"/>
  <c r="CO70" i="19"/>
  <c r="BU70" i="19"/>
  <c r="AG70" i="19"/>
  <c r="DX69" i="19"/>
  <c r="CJ69" i="19"/>
  <c r="DI73" i="19"/>
  <c r="CJ72" i="19"/>
  <c r="DD71" i="19"/>
  <c r="AB71" i="19"/>
  <c r="CE70" i="19"/>
  <c r="DD69" i="19"/>
  <c r="CT64" i="19"/>
  <c r="BP64" i="19"/>
  <c r="AB64" i="19"/>
  <c r="DS63" i="19"/>
  <c r="CE63" i="19"/>
  <c r="AV63" i="19"/>
  <c r="EH62" i="19"/>
  <c r="CY62" i="19"/>
  <c r="BF62" i="19"/>
  <c r="W62" i="19"/>
  <c r="DI61" i="19"/>
  <c r="BZ61" i="19"/>
  <c r="AG61" i="19"/>
  <c r="CJ73" i="19"/>
  <c r="BK72" i="19"/>
  <c r="EW69" i="19"/>
  <c r="BA64" i="19"/>
  <c r="ER63" i="19"/>
  <c r="DD63" i="19"/>
  <c r="BF63" i="19"/>
  <c r="ER62" i="19"/>
  <c r="DI62" i="19"/>
  <c r="BP62" i="19"/>
  <c r="AG62" i="19"/>
  <c r="DS61" i="19"/>
  <c r="CJ61" i="19"/>
  <c r="AQ61" i="19"/>
  <c r="EH78" i="19"/>
  <c r="CT74" i="19"/>
  <c r="BU73" i="19"/>
  <c r="AV72" i="19"/>
  <c r="CJ71" i="19"/>
  <c r="EM70" i="19"/>
  <c r="ER69" i="19"/>
  <c r="BZ64" i="19"/>
  <c r="AL64" i="19"/>
  <c r="EC63" i="19"/>
  <c r="CO63" i="19"/>
  <c r="BP63" i="19"/>
  <c r="W63" i="19"/>
  <c r="DS62" i="19"/>
  <c r="ER86" i="19"/>
  <c r="BU74" i="19"/>
  <c r="AV73" i="19"/>
  <c r="W72" i="19"/>
  <c r="BF70" i="19"/>
  <c r="CO65" i="19"/>
  <c r="BU65" i="19"/>
  <c r="BA65" i="19"/>
  <c r="AG65" i="19"/>
  <c r="ER64" i="19"/>
  <c r="DX64" i="19"/>
  <c r="DD64" i="19"/>
  <c r="BK64" i="19"/>
  <c r="W64" i="19"/>
  <c r="DN63" i="19"/>
  <c r="BZ63" i="19"/>
  <c r="AG63" i="19"/>
  <c r="EC62" i="19"/>
  <c r="CJ62" i="19"/>
  <c r="BA62" i="19"/>
  <c r="EM61" i="19"/>
  <c r="DD61" i="19"/>
  <c r="BK61" i="19"/>
  <c r="AB61" i="19"/>
  <c r="EW60" i="19"/>
  <c r="EM60" i="19"/>
  <c r="EC60" i="19"/>
  <c r="DS60" i="19"/>
  <c r="DI60" i="19"/>
  <c r="CY60" i="19"/>
  <c r="CO60" i="19"/>
  <c r="CE60" i="19"/>
  <c r="BU60" i="19"/>
  <c r="BK60" i="19"/>
  <c r="BA60" i="19"/>
  <c r="AQ60" i="19"/>
  <c r="AG60" i="19"/>
  <c r="W60" i="19"/>
  <c r="ER59" i="19"/>
  <c r="EH59" i="19"/>
  <c r="DX59" i="19"/>
  <c r="DN59" i="19"/>
  <c r="DD59" i="19"/>
  <c r="CT59" i="19"/>
  <c r="CJ59" i="19"/>
  <c r="BZ59" i="19"/>
  <c r="BP59" i="19"/>
  <c r="BF59" i="19"/>
  <c r="AV59" i="19"/>
  <c r="AL59" i="19"/>
  <c r="AB59" i="19"/>
  <c r="EW58" i="19"/>
  <c r="EM58" i="19"/>
  <c r="EC58" i="19"/>
  <c r="DN84" i="19"/>
  <c r="BF74" i="19"/>
  <c r="AG73" i="19"/>
  <c r="ER71" i="19"/>
  <c r="BP71" i="19"/>
  <c r="DS70" i="19"/>
  <c r="BA70" i="19"/>
  <c r="AV64" i="19"/>
  <c r="EM63" i="19"/>
  <c r="CY63" i="19"/>
  <c r="AQ63" i="19"/>
  <c r="EM62" i="19"/>
  <c r="CT62" i="19"/>
  <c r="CJ76" i="19"/>
  <c r="AG74" i="19"/>
  <c r="EM72" i="19"/>
  <c r="CJ64" i="19"/>
  <c r="BU64" i="19"/>
  <c r="AG64" i="19"/>
  <c r="DX63" i="19"/>
  <c r="CJ63" i="19"/>
  <c r="BA63" i="19"/>
  <c r="EW62" i="19"/>
  <c r="DD62" i="19"/>
  <c r="DX72" i="19"/>
  <c r="DI63" i="19"/>
  <c r="BK63" i="19"/>
  <c r="BZ62" i="19"/>
  <c r="CY72" i="19"/>
  <c r="CY65" i="19"/>
  <c r="W65" i="19"/>
  <c r="EH61" i="19"/>
  <c r="DN61" i="19"/>
  <c r="CY61" i="19"/>
  <c r="CE61" i="19"/>
  <c r="ER60" i="19"/>
  <c r="BP60" i="19"/>
  <c r="DS59" i="19"/>
  <c r="AQ59" i="19"/>
  <c r="EC56" i="19"/>
  <c r="DX71" i="19"/>
  <c r="EW63" i="19"/>
  <c r="BU62" i="19"/>
  <c r="AL62" i="19"/>
  <c r="EW61" i="19"/>
  <c r="CT61" i="19"/>
  <c r="CT60" i="19"/>
  <c r="EW59" i="19"/>
  <c r="BU59" i="19"/>
  <c r="DX58" i="19"/>
  <c r="DI58" i="19"/>
  <c r="CJ58" i="19"/>
  <c r="BU58" i="19"/>
  <c r="AV58" i="19"/>
  <c r="AG58" i="19"/>
  <c r="EM57" i="19"/>
  <c r="DX57" i="19"/>
  <c r="CY57" i="19"/>
  <c r="CJ57" i="19"/>
  <c r="BK57" i="19"/>
  <c r="AV57" i="19"/>
  <c r="W57" i="19"/>
  <c r="EM56" i="19"/>
  <c r="CT56" i="19"/>
  <c r="BK56" i="19"/>
  <c r="EW55" i="19"/>
  <c r="DN55" i="19"/>
  <c r="BU55" i="19"/>
  <c r="AL55" i="19"/>
  <c r="DX54" i="19"/>
  <c r="CO54" i="19"/>
  <c r="AV54" i="19"/>
  <c r="ER53" i="19"/>
  <c r="CY53" i="19"/>
  <c r="CO53" i="19"/>
  <c r="CE53" i="19"/>
  <c r="BU53" i="19"/>
  <c r="BK53" i="19"/>
  <c r="BA53" i="19"/>
  <c r="AQ53" i="19"/>
  <c r="AG53" i="19"/>
  <c r="W53" i="19"/>
  <c r="ER52" i="19"/>
  <c r="EH52" i="19"/>
  <c r="DX52" i="19"/>
  <c r="DN52" i="19"/>
  <c r="DD52" i="19"/>
  <c r="CT52" i="19"/>
  <c r="CJ52" i="19"/>
  <c r="BZ52" i="19"/>
  <c r="BP52" i="19"/>
  <c r="BF52" i="19"/>
  <c r="AV52" i="19"/>
  <c r="AL52" i="19"/>
  <c r="AB52" i="19"/>
  <c r="EW51" i="19"/>
  <c r="EM51" i="19"/>
  <c r="EC51" i="19"/>
  <c r="DS51" i="19"/>
  <c r="DI51" i="19"/>
  <c r="CY51" i="19"/>
  <c r="CO51" i="19"/>
  <c r="CE51" i="19"/>
  <c r="BU51" i="19"/>
  <c r="BK51" i="19"/>
  <c r="BK81" i="19"/>
  <c r="DI69" i="19"/>
  <c r="CE65" i="19"/>
  <c r="EH64" i="19"/>
  <c r="CT63" i="19"/>
  <c r="CO62" i="19"/>
  <c r="EC61" i="19"/>
  <c r="DX60" i="19"/>
  <c r="AV60" i="19"/>
  <c r="CY59" i="19"/>
  <c r="W59" i="19"/>
  <c r="DD56" i="19"/>
  <c r="BU56" i="19"/>
  <c r="AB56" i="19"/>
  <c r="DX55" i="19"/>
  <c r="CE55" i="19"/>
  <c r="AV55" i="19"/>
  <c r="EH54" i="19"/>
  <c r="CY54" i="19"/>
  <c r="BF54" i="19"/>
  <c r="W54" i="19"/>
  <c r="DI53" i="19"/>
  <c r="AV71" i="19"/>
  <c r="BF64" i="19"/>
  <c r="BF61" i="19"/>
  <c r="AL61" i="19"/>
  <c r="W61" i="19"/>
  <c r="BZ60" i="19"/>
  <c r="EC59" i="19"/>
  <c r="BA59" i="19"/>
  <c r="DS58" i="19"/>
  <c r="CT58" i="19"/>
  <c r="CE58" i="19"/>
  <c r="BF58" i="19"/>
  <c r="AQ58" i="19"/>
  <c r="EW57" i="19"/>
  <c r="EH57" i="19"/>
  <c r="DI57" i="19"/>
  <c r="CT57" i="19"/>
  <c r="BU57" i="19"/>
  <c r="BF57" i="19"/>
  <c r="BK65" i="19"/>
  <c r="DN64" i="19"/>
  <c r="EH63" i="19"/>
  <c r="AL63" i="19"/>
  <c r="DX62" i="19"/>
  <c r="ER61" i="19"/>
  <c r="DX61" i="19"/>
  <c r="CO61" i="19"/>
  <c r="BU61" i="19"/>
  <c r="DD60" i="19"/>
  <c r="AB60" i="19"/>
  <c r="CE59" i="19"/>
  <c r="EH58" i="19"/>
  <c r="DX56" i="19"/>
  <c r="CO56" i="19"/>
  <c r="AV56" i="19"/>
  <c r="ER55" i="19"/>
  <c r="CY55" i="19"/>
  <c r="BP55" i="19"/>
  <c r="W55" i="19"/>
  <c r="DS54" i="19"/>
  <c r="BZ54" i="19"/>
  <c r="AQ54" i="19"/>
  <c r="EC53" i="19"/>
  <c r="EW73" i="19"/>
  <c r="CY70" i="19"/>
  <c r="AB63" i="19"/>
  <c r="DN62" i="19"/>
  <c r="CE62" i="19"/>
  <c r="BK62" i="19"/>
  <c r="AV62" i="19"/>
  <c r="AB62" i="19"/>
  <c r="BA61" i="19"/>
  <c r="EH60" i="19"/>
  <c r="BF60" i="19"/>
  <c r="DI59" i="19"/>
  <c r="AG59" i="19"/>
  <c r="DD58" i="19"/>
  <c r="CO58" i="19"/>
  <c r="BP58" i="19"/>
  <c r="BA58" i="19"/>
  <c r="AB58" i="19"/>
  <c r="ER57" i="19"/>
  <c r="DS57" i="19"/>
  <c r="DD57" i="19"/>
  <c r="CE57" i="19"/>
  <c r="BP57" i="19"/>
  <c r="AQ57" i="19"/>
  <c r="AB57" i="19"/>
  <c r="EH56" i="19"/>
  <c r="CY56" i="19"/>
  <c r="EM59" i="19"/>
  <c r="CE56" i="19"/>
  <c r="AQ56" i="19"/>
  <c r="W56" i="19"/>
  <c r="EM55" i="19"/>
  <c r="DS55" i="19"/>
  <c r="ER54" i="19"/>
  <c r="EH53" i="19"/>
  <c r="DN53" i="19"/>
  <c r="BP53" i="19"/>
  <c r="DS52" i="19"/>
  <c r="AG52" i="19"/>
  <c r="DX51" i="19"/>
  <c r="CJ51" i="19"/>
  <c r="AL51" i="19"/>
  <c r="DX50" i="19"/>
  <c r="CO50" i="19"/>
  <c r="AV50" i="19"/>
  <c r="ER49" i="19"/>
  <c r="CY49" i="19"/>
  <c r="BP49" i="19"/>
  <c r="W49" i="19"/>
  <c r="DS48" i="19"/>
  <c r="BU63" i="19"/>
  <c r="BP61" i="19"/>
  <c r="ER58" i="19"/>
  <c r="AL58" i="19"/>
  <c r="DN57" i="19"/>
  <c r="BF56" i="19"/>
  <c r="EH55" i="19"/>
  <c r="BU54" i="19"/>
  <c r="BA54" i="19"/>
  <c r="AL54" i="19"/>
  <c r="EW53" i="19"/>
  <c r="CT53" i="19"/>
  <c r="EW52" i="19"/>
  <c r="BU52" i="19"/>
  <c r="AV51" i="19"/>
  <c r="EH50" i="19"/>
  <c r="CY50" i="19"/>
  <c r="BF50" i="19"/>
  <c r="W50" i="19"/>
  <c r="DI49" i="19"/>
  <c r="BZ49" i="19"/>
  <c r="AG49" i="19"/>
  <c r="EC48" i="19"/>
  <c r="CJ48" i="19"/>
  <c r="ER56" i="19"/>
  <c r="DN56" i="19"/>
  <c r="BA56" i="19"/>
  <c r="AG56" i="19"/>
  <c r="EC55" i="19"/>
  <c r="DI55" i="19"/>
  <c r="BF55" i="19"/>
  <c r="DX53" i="19"/>
  <c r="DD53" i="19"/>
  <c r="AB53" i="19"/>
  <c r="CE52" i="19"/>
  <c r="BA52" i="19"/>
  <c r="ER51" i="19"/>
  <c r="DD51" i="19"/>
  <c r="BP51" i="19"/>
  <c r="AG51" i="19"/>
  <c r="EC50" i="19"/>
  <c r="CJ50" i="19"/>
  <c r="BA50" i="19"/>
  <c r="EM49" i="19"/>
  <c r="DD49" i="19"/>
  <c r="BK49" i="19"/>
  <c r="AB49" i="19"/>
  <c r="DN48" i="19"/>
  <c r="DN60" i="19"/>
  <c r="BA57" i="19"/>
  <c r="DD55" i="19"/>
  <c r="EW54" i="19"/>
  <c r="BK54" i="19"/>
  <c r="AG54" i="19"/>
  <c r="BF53" i="19"/>
  <c r="EM52" i="19"/>
  <c r="CO52" i="19"/>
  <c r="AQ52" i="19"/>
  <c r="W52" i="19"/>
  <c r="DX73" i="19"/>
  <c r="CJ60" i="19"/>
  <c r="BK58" i="19"/>
  <c r="AL57" i="19"/>
  <c r="CJ56" i="19"/>
  <c r="CT55" i="19"/>
  <c r="EM54" i="19"/>
  <c r="DN54" i="19"/>
  <c r="AB54" i="19"/>
  <c r="BZ53" i="19"/>
  <c r="BU50" i="19"/>
  <c r="AL50" i="19"/>
  <c r="EW49" i="19"/>
  <c r="CT49" i="19"/>
  <c r="AQ49" i="19"/>
  <c r="BU48" i="19"/>
  <c r="AG48" i="19"/>
  <c r="DX47" i="19"/>
  <c r="CJ47" i="19"/>
  <c r="AV47" i="19"/>
  <c r="EM46" i="19"/>
  <c r="CY46" i="19"/>
  <c r="BK46" i="19"/>
  <c r="W46" i="19"/>
  <c r="DN45" i="19"/>
  <c r="BZ45" i="19"/>
  <c r="AL45" i="19"/>
  <c r="EC44" i="19"/>
  <c r="CO44" i="19"/>
  <c r="BA44" i="19"/>
  <c r="ER43" i="19"/>
  <c r="DD43" i="19"/>
  <c r="BP43" i="19"/>
  <c r="AB43" i="19"/>
  <c r="DS42" i="19"/>
  <c r="AQ62" i="19"/>
  <c r="AV61" i="19"/>
  <c r="AG57" i="19"/>
  <c r="DI56" i="19"/>
  <c r="BZ56" i="19"/>
  <c r="CO55" i="19"/>
  <c r="DI54" i="19"/>
  <c r="CE54" i="19"/>
  <c r="AV53" i="19"/>
  <c r="EC52" i="19"/>
  <c r="AB51" i="19"/>
  <c r="EM50" i="19"/>
  <c r="DD50" i="19"/>
  <c r="AG50" i="19"/>
  <c r="EC49" i="19"/>
  <c r="CY48" i="19"/>
  <c r="BF48" i="19"/>
  <c r="EW47" i="19"/>
  <c r="DI47" i="19"/>
  <c r="BU47" i="19"/>
  <c r="AG47" i="19"/>
  <c r="DX46" i="19"/>
  <c r="CJ46" i="19"/>
  <c r="AV46" i="19"/>
  <c r="EM45" i="19"/>
  <c r="CY45" i="19"/>
  <c r="BK45" i="19"/>
  <c r="W45" i="19"/>
  <c r="CO57" i="19"/>
  <c r="EW56" i="19"/>
  <c r="BK55" i="19"/>
  <c r="AG55" i="19"/>
  <c r="DD54" i="19"/>
  <c r="CY52" i="19"/>
  <c r="AQ65" i="19"/>
  <c r="AL60" i="19"/>
  <c r="BK59" i="19"/>
  <c r="W58" i="19"/>
  <c r="BZ57" i="19"/>
  <c r="CT51" i="19"/>
  <c r="BZ51" i="19"/>
  <c r="CE50" i="19"/>
  <c r="BK50" i="19"/>
  <c r="AB50" i="19"/>
  <c r="CJ49" i="19"/>
  <c r="BA49" i="19"/>
  <c r="BA48" i="19"/>
  <c r="ER47" i="19"/>
  <c r="DD47" i="19"/>
  <c r="BP47" i="19"/>
  <c r="AB47" i="19"/>
  <c r="DS46" i="19"/>
  <c r="CE46" i="19"/>
  <c r="AQ46" i="19"/>
  <c r="EH45" i="19"/>
  <c r="CT45" i="19"/>
  <c r="BF45" i="19"/>
  <c r="EW44" i="19"/>
  <c r="DI44" i="19"/>
  <c r="BU44" i="19"/>
  <c r="AG44" i="19"/>
  <c r="DX43" i="19"/>
  <c r="CJ43" i="19"/>
  <c r="AV43" i="19"/>
  <c r="EM42" i="19"/>
  <c r="DN58" i="19"/>
  <c r="AQ55" i="19"/>
  <c r="CT54" i="19"/>
  <c r="EW50" i="19"/>
  <c r="DS50" i="19"/>
  <c r="CE47" i="19"/>
  <c r="BK47" i="19"/>
  <c r="EW46" i="19"/>
  <c r="EC46" i="19"/>
  <c r="BP46" i="19"/>
  <c r="AG45" i="19"/>
  <c r="ER44" i="19"/>
  <c r="DD44" i="19"/>
  <c r="EW43" i="19"/>
  <c r="DN43" i="19"/>
  <c r="CE43" i="19"/>
  <c r="DX42" i="19"/>
  <c r="CE42" i="19"/>
  <c r="AQ42" i="19"/>
  <c r="EH41" i="19"/>
  <c r="CT41" i="19"/>
  <c r="BF41" i="19"/>
  <c r="EW40" i="19"/>
  <c r="DI40" i="19"/>
  <c r="BU40" i="19"/>
  <c r="AG40" i="19"/>
  <c r="DX39" i="19"/>
  <c r="CJ39" i="19"/>
  <c r="AV39" i="19"/>
  <c r="EM38" i="19"/>
  <c r="DN38" i="19"/>
  <c r="AQ64" i="19"/>
  <c r="CY58" i="19"/>
  <c r="AB55" i="19"/>
  <c r="CJ54" i="19"/>
  <c r="EM53" i="19"/>
  <c r="AQ51" i="19"/>
  <c r="CE49" i="19"/>
  <c r="DX48" i="19"/>
  <c r="CT48" i="19"/>
  <c r="DS47" i="19"/>
  <c r="CY47" i="19"/>
  <c r="BF47" i="19"/>
  <c r="AL47" i="19"/>
  <c r="DD46" i="19"/>
  <c r="BU45" i="19"/>
  <c r="BA45" i="19"/>
  <c r="EM44" i="19"/>
  <c r="DS44" i="19"/>
  <c r="CJ44" i="19"/>
  <c r="EC43" i="19"/>
  <c r="CT43" i="19"/>
  <c r="BK43" i="19"/>
  <c r="DD42" i="19"/>
  <c r="BP42" i="19"/>
  <c r="AB42" i="19"/>
  <c r="DS41" i="19"/>
  <c r="CE41" i="19"/>
  <c r="AQ41" i="19"/>
  <c r="EH40" i="19"/>
  <c r="CT40" i="19"/>
  <c r="BF40" i="19"/>
  <c r="EW39" i="19"/>
  <c r="DI39" i="19"/>
  <c r="BU39" i="19"/>
  <c r="AG39" i="19"/>
  <c r="DX38" i="19"/>
  <c r="BZ58" i="19"/>
  <c r="AL56" i="19"/>
  <c r="BK52" i="19"/>
  <c r="EH51" i="19"/>
  <c r="ER50" i="19"/>
  <c r="DN50" i="19"/>
  <c r="EH49" i="19"/>
  <c r="AV49" i="19"/>
  <c r="EW48" i="19"/>
  <c r="CO48" i="19"/>
  <c r="AB48" i="19"/>
  <c r="EM47" i="19"/>
  <c r="CT47" i="19"/>
  <c r="BZ47" i="19"/>
  <c r="ER46" i="19"/>
  <c r="DI45" i="19"/>
  <c r="CO45" i="19"/>
  <c r="AV45" i="19"/>
  <c r="AB45" i="19"/>
  <c r="CY44" i="19"/>
  <c r="BP44" i="19"/>
  <c r="DI43" i="19"/>
  <c r="BZ43" i="19"/>
  <c r="AQ43" i="19"/>
  <c r="CO42" i="19"/>
  <c r="BA42" i="19"/>
  <c r="ER41" i="19"/>
  <c r="DD41" i="19"/>
  <c r="BP41" i="19"/>
  <c r="AB41" i="19"/>
  <c r="DS40" i="19"/>
  <c r="CE40" i="19"/>
  <c r="AQ40" i="19"/>
  <c r="EH39" i="19"/>
  <c r="CT39" i="19"/>
  <c r="BF39" i="19"/>
  <c r="EW38" i="19"/>
  <c r="DS56" i="19"/>
  <c r="CJ55" i="19"/>
  <c r="BP54" i="19"/>
  <c r="DS53" i="19"/>
  <c r="DI50" i="19"/>
  <c r="BU49" i="19"/>
  <c r="BP48" i="19"/>
  <c r="AV48" i="19"/>
  <c r="EH47" i="19"/>
  <c r="DN47" i="19"/>
  <c r="BA47" i="19"/>
  <c r="EW45" i="19"/>
  <c r="EC45" i="19"/>
  <c r="CJ45" i="19"/>
  <c r="BP45" i="19"/>
  <c r="EH44" i="19"/>
  <c r="DN44" i="19"/>
  <c r="CE44" i="19"/>
  <c r="AV44" i="19"/>
  <c r="CO43" i="19"/>
  <c r="BF43" i="19"/>
  <c r="W43" i="19"/>
  <c r="BZ42" i="19"/>
  <c r="AL42" i="19"/>
  <c r="EC41" i="19"/>
  <c r="CO41" i="19"/>
  <c r="BA41" i="19"/>
  <c r="ER40" i="19"/>
  <c r="DD40" i="19"/>
  <c r="BP40" i="19"/>
  <c r="AB40" i="19"/>
  <c r="DS39" i="19"/>
  <c r="CE39" i="19"/>
  <c r="AQ39" i="19"/>
  <c r="EH38" i="19"/>
  <c r="DI38" i="19"/>
  <c r="CY38" i="19"/>
  <c r="CO38" i="19"/>
  <c r="CE38" i="19"/>
  <c r="BU38" i="19"/>
  <c r="BK38" i="19"/>
  <c r="BA38" i="19"/>
  <c r="AQ38" i="19"/>
  <c r="AG38" i="19"/>
  <c r="W38" i="19"/>
  <c r="ER37" i="19"/>
  <c r="EH37" i="19"/>
  <c r="DX37" i="19"/>
  <c r="DN37" i="19"/>
  <c r="DD37" i="19"/>
  <c r="CT37" i="19"/>
  <c r="CJ37" i="19"/>
  <c r="BZ37" i="19"/>
  <c r="BP37" i="19"/>
  <c r="BF37" i="19"/>
  <c r="AV37" i="19"/>
  <c r="AL37" i="19"/>
  <c r="AB37" i="19"/>
  <c r="EW36" i="19"/>
  <c r="EM36" i="19"/>
  <c r="EC36" i="19"/>
  <c r="DS36" i="19"/>
  <c r="DI36" i="19"/>
  <c r="CY36" i="19"/>
  <c r="CO36" i="19"/>
  <c r="CE36" i="19"/>
  <c r="BU36" i="19"/>
  <c r="BK36" i="19"/>
  <c r="BA36" i="19"/>
  <c r="AQ36" i="19"/>
  <c r="AG36" i="19"/>
  <c r="W36" i="19"/>
  <c r="ER35" i="19"/>
  <c r="EH35" i="19"/>
  <c r="DX35" i="19"/>
  <c r="DN35" i="19"/>
  <c r="DD35" i="19"/>
  <c r="CT35" i="19"/>
  <c r="CJ35" i="19"/>
  <c r="BZ35" i="19"/>
  <c r="BP35" i="19"/>
  <c r="BF35" i="19"/>
  <c r="AV35" i="19"/>
  <c r="AL35" i="19"/>
  <c r="AB35" i="19"/>
  <c r="EW34" i="19"/>
  <c r="EM34" i="19"/>
  <c r="EC34" i="19"/>
  <c r="BZ55" i="19"/>
  <c r="EC54" i="19"/>
  <c r="DI52" i="19"/>
  <c r="DX49" i="19"/>
  <c r="AL49" i="19"/>
  <c r="ER48" i="19"/>
  <c r="AQ48" i="19"/>
  <c r="W48" i="19"/>
  <c r="CO47" i="19"/>
  <c r="BF46" i="19"/>
  <c r="AL46" i="19"/>
  <c r="DX45" i="19"/>
  <c r="DD45" i="19"/>
  <c r="AQ45" i="19"/>
  <c r="CT44" i="19"/>
  <c r="BK44" i="19"/>
  <c r="AB44" i="19"/>
  <c r="BU43" i="19"/>
  <c r="AL43" i="19"/>
  <c r="EH42" i="19"/>
  <c r="CY42" i="19"/>
  <c r="BK42" i="19"/>
  <c r="W42" i="19"/>
  <c r="DN41" i="19"/>
  <c r="BZ41" i="19"/>
  <c r="AL41" i="19"/>
  <c r="EC40" i="19"/>
  <c r="CO40" i="19"/>
  <c r="BA40" i="19"/>
  <c r="ER39" i="19"/>
  <c r="DD39" i="19"/>
  <c r="BP39" i="19"/>
  <c r="AB39" i="19"/>
  <c r="DS38" i="19"/>
  <c r="CO59" i="19"/>
  <c r="AQ50" i="19"/>
  <c r="CO49" i="19"/>
  <c r="EH48" i="19"/>
  <c r="AL48" i="19"/>
  <c r="EH46" i="19"/>
  <c r="DN46" i="19"/>
  <c r="BU46" i="19"/>
  <c r="BA46" i="19"/>
  <c r="DS45" i="19"/>
  <c r="BF44" i="19"/>
  <c r="W44" i="19"/>
  <c r="DS43" i="19"/>
  <c r="AG43" i="19"/>
  <c r="EC42" i="19"/>
  <c r="BU42" i="19"/>
  <c r="AG42" i="19"/>
  <c r="DX41" i="19"/>
  <c r="CJ41" i="19"/>
  <c r="AV41" i="19"/>
  <c r="EM40" i="19"/>
  <c r="CY40" i="19"/>
  <c r="BK40" i="19"/>
  <c r="W40" i="19"/>
  <c r="DN39" i="19"/>
  <c r="BZ39" i="19"/>
  <c r="AL39" i="19"/>
  <c r="EC38" i="19"/>
  <c r="BK48" i="19"/>
  <c r="BZ46" i="19"/>
  <c r="EW42" i="19"/>
  <c r="CJ42" i="19"/>
  <c r="BK41" i="19"/>
  <c r="AL40" i="19"/>
  <c r="ER38" i="19"/>
  <c r="CY37" i="19"/>
  <c r="W37" i="19"/>
  <c r="BZ36" i="19"/>
  <c r="BF36" i="19"/>
  <c r="DI35" i="19"/>
  <c r="AG35" i="19"/>
  <c r="DD34" i="19"/>
  <c r="BP34" i="19"/>
  <c r="AB34" i="19"/>
  <c r="DS33" i="19"/>
  <c r="CE33" i="19"/>
  <c r="AQ33" i="19"/>
  <c r="EH32" i="19"/>
  <c r="CT32" i="19"/>
  <c r="BF32" i="19"/>
  <c r="EW31" i="19"/>
  <c r="DI31" i="19"/>
  <c r="BU31" i="19"/>
  <c r="AG31" i="19"/>
  <c r="DX30" i="19"/>
  <c r="CJ30" i="19"/>
  <c r="AV30" i="19"/>
  <c r="EM29" i="19"/>
  <c r="CY29" i="19"/>
  <c r="BK29" i="19"/>
  <c r="W29" i="19"/>
  <c r="DN28" i="19"/>
  <c r="BZ28" i="19"/>
  <c r="AL28" i="19"/>
  <c r="EC27" i="19"/>
  <c r="CO27" i="19"/>
  <c r="BA27" i="19"/>
  <c r="ER26" i="19"/>
  <c r="DD26" i="19"/>
  <c r="BP26" i="19"/>
  <c r="AB26" i="19"/>
  <c r="DS25" i="19"/>
  <c r="CE25" i="19"/>
  <c r="AQ25" i="19"/>
  <c r="EH24" i="19"/>
  <c r="CT24" i="19"/>
  <c r="BF24" i="19"/>
  <c r="EW23" i="19"/>
  <c r="DI23" i="19"/>
  <c r="BU23" i="19"/>
  <c r="AG23" i="19"/>
  <c r="DX22" i="19"/>
  <c r="CJ22" i="19"/>
  <c r="AV22" i="19"/>
  <c r="EM21" i="19"/>
  <c r="CY21" i="19"/>
  <c r="CJ53" i="19"/>
  <c r="DN51" i="19"/>
  <c r="W47" i="19"/>
  <c r="ER42" i="19"/>
  <c r="DI41" i="19"/>
  <c r="CJ40" i="19"/>
  <c r="BK39" i="19"/>
  <c r="CT38" i="19"/>
  <c r="BF38" i="19"/>
  <c r="EW37" i="19"/>
  <c r="BU37" i="19"/>
  <c r="DX36" i="19"/>
  <c r="EM35" i="19"/>
  <c r="BK35" i="19"/>
  <c r="CO34" i="19"/>
  <c r="BA34" i="19"/>
  <c r="ER33" i="19"/>
  <c r="DD33" i="19"/>
  <c r="BP33" i="19"/>
  <c r="AB33" i="19"/>
  <c r="DS32" i="19"/>
  <c r="CE32" i="19"/>
  <c r="AQ32" i="19"/>
  <c r="EH31" i="19"/>
  <c r="CT31" i="19"/>
  <c r="BF31" i="19"/>
  <c r="EW30" i="19"/>
  <c r="DI30" i="19"/>
  <c r="BU30" i="19"/>
  <c r="AG30" i="19"/>
  <c r="DX29" i="19"/>
  <c r="CJ29" i="19"/>
  <c r="AV29" i="19"/>
  <c r="EM28" i="19"/>
  <c r="CY28" i="19"/>
  <c r="BK28" i="19"/>
  <c r="W28" i="19"/>
  <c r="DN27" i="19"/>
  <c r="BZ27" i="19"/>
  <c r="AL27" i="19"/>
  <c r="EC26" i="19"/>
  <c r="CO26" i="19"/>
  <c r="BA26" i="19"/>
  <c r="ER25" i="19"/>
  <c r="DD25" i="19"/>
  <c r="BP25" i="19"/>
  <c r="AB25" i="19"/>
  <c r="DS24" i="19"/>
  <c r="CE24" i="19"/>
  <c r="AQ24" i="19"/>
  <c r="EH23" i="19"/>
  <c r="CT23" i="19"/>
  <c r="BF23" i="19"/>
  <c r="EW22" i="19"/>
  <c r="DI22" i="19"/>
  <c r="BU22" i="19"/>
  <c r="AG22" i="19"/>
  <c r="DX21" i="19"/>
  <c r="CJ21" i="19"/>
  <c r="AL53" i="19"/>
  <c r="DS49" i="19"/>
  <c r="EM48" i="19"/>
  <c r="BZ44" i="19"/>
  <c r="EM43" i="19"/>
  <c r="CY41" i="19"/>
  <c r="BZ40" i="19"/>
  <c r="BA39" i="19"/>
  <c r="DS37" i="19"/>
  <c r="AQ37" i="19"/>
  <c r="CT36" i="19"/>
  <c r="AL36" i="19"/>
  <c r="CO35" i="19"/>
  <c r="ER34" i="19"/>
  <c r="DN34" i="19"/>
  <c r="BZ34" i="19"/>
  <c r="AL34" i="19"/>
  <c r="EC33" i="19"/>
  <c r="CO33" i="19"/>
  <c r="BA33" i="19"/>
  <c r="ER32" i="19"/>
  <c r="DD32" i="19"/>
  <c r="BP32" i="19"/>
  <c r="AB32" i="19"/>
  <c r="DS31" i="19"/>
  <c r="CE31" i="19"/>
  <c r="AQ31" i="19"/>
  <c r="EH30" i="19"/>
  <c r="CT30" i="19"/>
  <c r="BF30" i="19"/>
  <c r="EW29" i="19"/>
  <c r="DI29" i="19"/>
  <c r="BU29" i="19"/>
  <c r="AG29" i="19"/>
  <c r="DX28" i="19"/>
  <c r="CJ28" i="19"/>
  <c r="AV28" i="19"/>
  <c r="EM27" i="19"/>
  <c r="CY27" i="19"/>
  <c r="BK27" i="19"/>
  <c r="W27" i="19"/>
  <c r="DN26" i="19"/>
  <c r="BZ26" i="19"/>
  <c r="AL26" i="19"/>
  <c r="EC25" i="19"/>
  <c r="CO25" i="19"/>
  <c r="BA25" i="19"/>
  <c r="ER24" i="19"/>
  <c r="DD24" i="19"/>
  <c r="BP24" i="19"/>
  <c r="AB24" i="19"/>
  <c r="DS23" i="19"/>
  <c r="CE23" i="19"/>
  <c r="AQ23" i="19"/>
  <c r="BA55" i="19"/>
  <c r="CT50" i="19"/>
  <c r="DN49" i="19"/>
  <c r="EH43" i="19"/>
  <c r="EW41" i="19"/>
  <c r="DX40" i="19"/>
  <c r="CY39" i="19"/>
  <c r="CJ38" i="19"/>
  <c r="AV38" i="19"/>
  <c r="CO37" i="19"/>
  <c r="ER36" i="19"/>
  <c r="BP36" i="19"/>
  <c r="DS35" i="19"/>
  <c r="AQ35" i="19"/>
  <c r="CY34" i="19"/>
  <c r="BK34" i="19"/>
  <c r="W34" i="19"/>
  <c r="DN33" i="19"/>
  <c r="BZ33" i="19"/>
  <c r="AL33" i="19"/>
  <c r="EC32" i="19"/>
  <c r="CO32" i="19"/>
  <c r="BA32" i="19"/>
  <c r="ER31" i="19"/>
  <c r="DD31" i="19"/>
  <c r="BP31" i="19"/>
  <c r="AB31" i="19"/>
  <c r="DS30" i="19"/>
  <c r="CE30" i="19"/>
  <c r="AQ30" i="19"/>
  <c r="EH29" i="19"/>
  <c r="CT29" i="19"/>
  <c r="BF29" i="19"/>
  <c r="EW28" i="19"/>
  <c r="DI28" i="19"/>
  <c r="BU28" i="19"/>
  <c r="AG28" i="19"/>
  <c r="DX27" i="19"/>
  <c r="CJ27" i="19"/>
  <c r="AV27" i="19"/>
  <c r="EM26" i="19"/>
  <c r="CY26" i="19"/>
  <c r="BK26" i="19"/>
  <c r="W26" i="19"/>
  <c r="DN25" i="19"/>
  <c r="BZ25" i="19"/>
  <c r="AL25" i="19"/>
  <c r="EC24" i="19"/>
  <c r="CO24" i="19"/>
  <c r="BA24" i="19"/>
  <c r="ER23" i="19"/>
  <c r="DD23" i="19"/>
  <c r="BP23" i="19"/>
  <c r="AB23" i="19"/>
  <c r="DS22" i="19"/>
  <c r="CE22" i="19"/>
  <c r="AQ22" i="19"/>
  <c r="EH21" i="19"/>
  <c r="CT21" i="19"/>
  <c r="EC57" i="19"/>
  <c r="BF51" i="19"/>
  <c r="BZ50" i="19"/>
  <c r="DI48" i="19"/>
  <c r="AG46" i="19"/>
  <c r="CE45" i="19"/>
  <c r="BA43" i="19"/>
  <c r="DN42" i="19"/>
  <c r="EM41" i="19"/>
  <c r="DN40" i="19"/>
  <c r="CO39" i="19"/>
  <c r="EM37" i="19"/>
  <c r="BK37" i="19"/>
  <c r="DN36" i="19"/>
  <c r="EW35" i="19"/>
  <c r="BU35" i="19"/>
  <c r="DX34" i="19"/>
  <c r="CJ34" i="19"/>
  <c r="AV34" i="19"/>
  <c r="EM33" i="19"/>
  <c r="CY33" i="19"/>
  <c r="BK33" i="19"/>
  <c r="W33" i="19"/>
  <c r="DN32" i="19"/>
  <c r="BZ32" i="19"/>
  <c r="AL32" i="19"/>
  <c r="EC31" i="19"/>
  <c r="CO31" i="19"/>
  <c r="BA31" i="19"/>
  <c r="ER30" i="19"/>
  <c r="DD30" i="19"/>
  <c r="BP30" i="19"/>
  <c r="AB30" i="19"/>
  <c r="DS29" i="19"/>
  <c r="CE29" i="19"/>
  <c r="AQ29" i="19"/>
  <c r="EH28" i="19"/>
  <c r="CT28" i="19"/>
  <c r="BF28" i="19"/>
  <c r="EW27" i="19"/>
  <c r="DI27" i="19"/>
  <c r="BU27" i="19"/>
  <c r="AG27" i="19"/>
  <c r="DX26" i="19"/>
  <c r="CJ26" i="19"/>
  <c r="AV26" i="19"/>
  <c r="EM25" i="19"/>
  <c r="CY25" i="19"/>
  <c r="BK25" i="19"/>
  <c r="BA51" i="19"/>
  <c r="BP50" i="19"/>
  <c r="DD48" i="19"/>
  <c r="DI46" i="19"/>
  <c r="AB46" i="19"/>
  <c r="DX44" i="19"/>
  <c r="DI42" i="19"/>
  <c r="BF42" i="19"/>
  <c r="AG41" i="19"/>
  <c r="EM39" i="19"/>
  <c r="BZ38" i="19"/>
  <c r="AL38" i="19"/>
  <c r="DI37" i="19"/>
  <c r="AG37" i="19"/>
  <c r="CJ36" i="19"/>
  <c r="AV36" i="19"/>
  <c r="CY35" i="19"/>
  <c r="W35" i="19"/>
  <c r="DI34" i="19"/>
  <c r="BU34" i="19"/>
  <c r="AG34" i="19"/>
  <c r="DX33" i="19"/>
  <c r="CJ33" i="19"/>
  <c r="AV33" i="19"/>
  <c r="EM32" i="19"/>
  <c r="CY32" i="19"/>
  <c r="BK32" i="19"/>
  <c r="W32" i="19"/>
  <c r="DN31" i="19"/>
  <c r="BZ31" i="19"/>
  <c r="AL31" i="19"/>
  <c r="EC30" i="19"/>
  <c r="CO30" i="19"/>
  <c r="BA30" i="19"/>
  <c r="ER29" i="19"/>
  <c r="DD29" i="19"/>
  <c r="BP29" i="19"/>
  <c r="AB29" i="19"/>
  <c r="DS28" i="19"/>
  <c r="CE28" i="19"/>
  <c r="AQ28" i="19"/>
  <c r="EH27" i="19"/>
  <c r="CT27" i="19"/>
  <c r="BF27" i="19"/>
  <c r="EW26" i="19"/>
  <c r="DI26" i="19"/>
  <c r="BU26" i="19"/>
  <c r="AG26" i="19"/>
  <c r="DX25" i="19"/>
  <c r="CJ25" i="19"/>
  <c r="AV25" i="19"/>
  <c r="EM24" i="19"/>
  <c r="CY24" i="19"/>
  <c r="BK24" i="19"/>
  <c r="W24" i="19"/>
  <c r="DN23" i="19"/>
  <c r="BZ23" i="19"/>
  <c r="AL23" i="19"/>
  <c r="EC22" i="19"/>
  <c r="CO22" i="19"/>
  <c r="BA22" i="19"/>
  <c r="ER21" i="19"/>
  <c r="DD21" i="19"/>
  <c r="CE48" i="19"/>
  <c r="EC47" i="19"/>
  <c r="CT46" i="19"/>
  <c r="ER45" i="19"/>
  <c r="AQ44" i="19"/>
  <c r="AV42" i="19"/>
  <c r="W41" i="19"/>
  <c r="EC39" i="19"/>
  <c r="CE37" i="19"/>
  <c r="EH36" i="19"/>
  <c r="EC35" i="19"/>
  <c r="BA35" i="19"/>
  <c r="CT34" i="19"/>
  <c r="BF34" i="19"/>
  <c r="EW33" i="19"/>
  <c r="DI33" i="19"/>
  <c r="BU33" i="19"/>
  <c r="AG33" i="19"/>
  <c r="DX32" i="19"/>
  <c r="CJ32" i="19"/>
  <c r="AV32" i="19"/>
  <c r="EM31" i="19"/>
  <c r="CY31" i="19"/>
  <c r="BK31" i="19"/>
  <c r="W31" i="19"/>
  <c r="DN30" i="19"/>
  <c r="BZ30" i="19"/>
  <c r="AL30" i="19"/>
  <c r="EC29" i="19"/>
  <c r="CO29" i="19"/>
  <c r="BA29" i="19"/>
  <c r="ER28" i="19"/>
  <c r="DD28" i="19"/>
  <c r="BP28" i="19"/>
  <c r="AB28" i="19"/>
  <c r="DS27" i="19"/>
  <c r="CE27" i="19"/>
  <c r="AQ27" i="19"/>
  <c r="EH26" i="19"/>
  <c r="CT26" i="19"/>
  <c r="BF26" i="19"/>
  <c r="EW25" i="19"/>
  <c r="DI25" i="19"/>
  <c r="BU25" i="19"/>
  <c r="AG25" i="19"/>
  <c r="DX24" i="19"/>
  <c r="CJ24" i="19"/>
  <c r="AV24" i="19"/>
  <c r="EM23" i="19"/>
  <c r="CY23" i="19"/>
  <c r="BK23" i="19"/>
  <c r="W23" i="19"/>
  <c r="DN22" i="19"/>
  <c r="BZ22" i="19"/>
  <c r="AL22" i="19"/>
  <c r="EC21" i="19"/>
  <c r="CO21" i="19"/>
  <c r="EW18" i="19"/>
  <c r="EM18" i="19"/>
  <c r="EC18" i="19"/>
  <c r="DS18" i="19"/>
  <c r="DI18" i="19"/>
  <c r="CY18" i="19"/>
  <c r="CO18" i="19"/>
  <c r="CE18" i="19"/>
  <c r="BZ48" i="19"/>
  <c r="CY43" i="19"/>
  <c r="AV40" i="19"/>
  <c r="CT33" i="19"/>
  <c r="AV31" i="19"/>
  <c r="EC28" i="19"/>
  <c r="CE26" i="19"/>
  <c r="W25" i="19"/>
  <c r="EC23" i="19"/>
  <c r="EW21" i="19"/>
  <c r="DN21" i="19"/>
  <c r="CE21" i="19"/>
  <c r="AV21" i="19"/>
  <c r="EM20" i="19"/>
  <c r="CY20" i="19"/>
  <c r="BK20" i="19"/>
  <c r="W20" i="19"/>
  <c r="DN19" i="19"/>
  <c r="BZ19" i="19"/>
  <c r="AL19" i="19"/>
  <c r="AV18" i="19"/>
  <c r="DX17" i="19"/>
  <c r="CO17" i="19"/>
  <c r="ER10" i="19"/>
  <c r="EH10" i="19"/>
  <c r="DX10" i="19"/>
  <c r="DN10" i="19"/>
  <c r="DD10" i="19"/>
  <c r="CT10" i="19"/>
  <c r="CJ10" i="19"/>
  <c r="BZ10" i="19"/>
  <c r="BP10" i="19"/>
  <c r="BF10" i="19"/>
  <c r="AV10" i="19"/>
  <c r="AL10" i="19"/>
  <c r="AB10" i="19"/>
  <c r="EW8" i="19"/>
  <c r="EM8" i="19"/>
  <c r="EC8" i="19"/>
  <c r="DS8" i="19"/>
  <c r="DI8" i="19"/>
  <c r="CY8" i="19"/>
  <c r="CO8" i="19"/>
  <c r="CE8" i="19"/>
  <c r="BU8" i="19"/>
  <c r="BK8" i="19"/>
  <c r="BA8" i="19"/>
  <c r="AQ8" i="19"/>
  <c r="AG8" i="19"/>
  <c r="W8" i="19"/>
  <c r="AB36" i="19"/>
  <c r="DI32" i="19"/>
  <c r="BK30" i="19"/>
  <c r="ER27" i="19"/>
  <c r="CT25" i="19"/>
  <c r="EW24" i="19"/>
  <c r="DX23" i="19"/>
  <c r="DI21" i="19"/>
  <c r="AG21" i="19"/>
  <c r="DX20" i="19"/>
  <c r="CJ20" i="19"/>
  <c r="AV20" i="19"/>
  <c r="EM19" i="19"/>
  <c r="CY19" i="19"/>
  <c r="BK19" i="19"/>
  <c r="W19" i="19"/>
  <c r="ER18" i="19"/>
  <c r="DD18" i="19"/>
  <c r="BF18" i="19"/>
  <c r="W18" i="19"/>
  <c r="EH17" i="19"/>
  <c r="CY17" i="19"/>
  <c r="BF17" i="19"/>
  <c r="AV17" i="19"/>
  <c r="AL17" i="19"/>
  <c r="AB17" i="19"/>
  <c r="ER16" i="19"/>
  <c r="EH16" i="19"/>
  <c r="DX16" i="19"/>
  <c r="DN16" i="19"/>
  <c r="DD16" i="19"/>
  <c r="CT16" i="19"/>
  <c r="CJ16" i="19"/>
  <c r="BZ16" i="19"/>
  <c r="BP16" i="19"/>
  <c r="BF16" i="19"/>
  <c r="AV16" i="19"/>
  <c r="AL16" i="19"/>
  <c r="AB16" i="19"/>
  <c r="ER15" i="19"/>
  <c r="EH15" i="19"/>
  <c r="DX15" i="19"/>
  <c r="DN15" i="19"/>
  <c r="DD15" i="19"/>
  <c r="CT15" i="19"/>
  <c r="CJ15" i="19"/>
  <c r="BZ15" i="19"/>
  <c r="BP15" i="19"/>
  <c r="BF15" i="19"/>
  <c r="AV15" i="19"/>
  <c r="AL15" i="19"/>
  <c r="AB15" i="19"/>
  <c r="EH12" i="19"/>
  <c r="DS11" i="19"/>
  <c r="AG11" i="19"/>
  <c r="BP56" i="19"/>
  <c r="AQ47" i="19"/>
  <c r="CT42" i="19"/>
  <c r="BA37" i="19"/>
  <c r="AQ34" i="19"/>
  <c r="DX31" i="19"/>
  <c r="BZ29" i="19"/>
  <c r="AB27" i="19"/>
  <c r="AL24" i="19"/>
  <c r="BZ21" i="19"/>
  <c r="BF21" i="19"/>
  <c r="EW20" i="19"/>
  <c r="DI20" i="19"/>
  <c r="BU20" i="19"/>
  <c r="AG20" i="19"/>
  <c r="DX19" i="19"/>
  <c r="CJ19" i="19"/>
  <c r="AV19" i="19"/>
  <c r="BP18" i="19"/>
  <c r="AG18" i="19"/>
  <c r="ER17" i="19"/>
  <c r="DI17" i="19"/>
  <c r="BP17" i="19"/>
  <c r="EW14" i="19"/>
  <c r="EM14" i="19"/>
  <c r="EC14" i="19"/>
  <c r="DS14" i="19"/>
  <c r="DI14" i="19"/>
  <c r="CY14" i="19"/>
  <c r="CO14" i="19"/>
  <c r="CE14" i="19"/>
  <c r="BU14" i="19"/>
  <c r="BK14" i="19"/>
  <c r="BA14" i="19"/>
  <c r="AQ14" i="19"/>
  <c r="AG14" i="19"/>
  <c r="W14" i="19"/>
  <c r="EW9" i="19"/>
  <c r="EM9" i="19"/>
  <c r="EC9" i="19"/>
  <c r="DS9" i="19"/>
  <c r="DI9" i="19"/>
  <c r="CY9" i="19"/>
  <c r="CO9" i="19"/>
  <c r="CE9" i="19"/>
  <c r="BU9" i="19"/>
  <c r="BK9" i="19"/>
  <c r="BA9" i="19"/>
  <c r="AQ9" i="19"/>
  <c r="AG9" i="19"/>
  <c r="W9" i="19"/>
  <c r="ER12" i="19"/>
  <c r="EC11" i="19"/>
  <c r="BA11" i="19"/>
  <c r="CO46" i="19"/>
  <c r="W39" i="19"/>
  <c r="EH34" i="19"/>
  <c r="BF33" i="19"/>
  <c r="EM30" i="19"/>
  <c r="CO28" i="19"/>
  <c r="AQ26" i="19"/>
  <c r="AG24" i="19"/>
  <c r="ER22" i="19"/>
  <c r="BU21" i="19"/>
  <c r="AQ21" i="19"/>
  <c r="EH20" i="19"/>
  <c r="CT20" i="19"/>
  <c r="BF20" i="19"/>
  <c r="EW19" i="19"/>
  <c r="DI19" i="19"/>
  <c r="BU19" i="19"/>
  <c r="AG19" i="19"/>
  <c r="DN18" i="19"/>
  <c r="BZ18" i="19"/>
  <c r="AQ18" i="19"/>
  <c r="DS17" i="19"/>
  <c r="BZ17" i="19"/>
  <c r="ER13" i="19"/>
  <c r="EH13" i="19"/>
  <c r="DX13" i="19"/>
  <c r="DN13" i="19"/>
  <c r="DD13" i="19"/>
  <c r="CT13" i="19"/>
  <c r="CJ13" i="19"/>
  <c r="BZ13" i="19"/>
  <c r="BP13" i="19"/>
  <c r="BF13" i="19"/>
  <c r="AV13" i="19"/>
  <c r="AL13" i="19"/>
  <c r="AB13" i="19"/>
  <c r="EW12" i="19"/>
  <c r="EM12" i="19"/>
  <c r="EC12" i="19"/>
  <c r="DS12" i="19"/>
  <c r="DI12" i="19"/>
  <c r="CY12" i="19"/>
  <c r="CO12" i="19"/>
  <c r="CE12" i="19"/>
  <c r="BU12" i="19"/>
  <c r="BK12" i="19"/>
  <c r="BA12" i="19"/>
  <c r="AQ12" i="19"/>
  <c r="AG12" i="19"/>
  <c r="W12" i="19"/>
  <c r="ER11" i="19"/>
  <c r="EH11" i="19"/>
  <c r="DX11" i="19"/>
  <c r="DN11" i="19"/>
  <c r="DD11" i="19"/>
  <c r="CT11" i="19"/>
  <c r="CJ11" i="19"/>
  <c r="BZ11" i="19"/>
  <c r="BP11" i="19"/>
  <c r="BF11" i="19"/>
  <c r="AV11" i="19"/>
  <c r="AL11" i="19"/>
  <c r="AB11" i="19"/>
  <c r="BK13" i="19"/>
  <c r="BU11" i="19"/>
  <c r="DD38" i="19"/>
  <c r="DS34" i="19"/>
  <c r="BU32" i="19"/>
  <c r="W30" i="19"/>
  <c r="DD27" i="19"/>
  <c r="BF25" i="19"/>
  <c r="BZ24" i="19"/>
  <c r="BA23" i="19"/>
  <c r="EM22" i="19"/>
  <c r="DD22" i="19"/>
  <c r="AB21" i="19"/>
  <c r="DS20" i="19"/>
  <c r="CE20" i="19"/>
  <c r="AQ20" i="19"/>
  <c r="EH19" i="19"/>
  <c r="CT19" i="19"/>
  <c r="BF19" i="19"/>
  <c r="BA18" i="19"/>
  <c r="EC17" i="19"/>
  <c r="CJ17" i="19"/>
  <c r="EW10" i="19"/>
  <c r="EM10" i="19"/>
  <c r="EC10" i="19"/>
  <c r="DS10" i="19"/>
  <c r="DI10" i="19"/>
  <c r="CY10" i="19"/>
  <c r="CO10" i="19"/>
  <c r="CE10" i="19"/>
  <c r="BU10" i="19"/>
  <c r="BK10" i="19"/>
  <c r="BA10" i="19"/>
  <c r="AQ10" i="19"/>
  <c r="AG10" i="19"/>
  <c r="W10" i="19"/>
  <c r="N15" i="19" s="1"/>
  <c r="ER8" i="19"/>
  <c r="EH8" i="19"/>
  <c r="DX8" i="19"/>
  <c r="DN8" i="19"/>
  <c r="DD8" i="19"/>
  <c r="CT8" i="19"/>
  <c r="CJ8" i="19"/>
  <c r="BZ8" i="19"/>
  <c r="BP8" i="19"/>
  <c r="BF8" i="19"/>
  <c r="AV8" i="19"/>
  <c r="AL8" i="19"/>
  <c r="AB8" i="19"/>
  <c r="EC13" i="19"/>
  <c r="DX12" i="19"/>
  <c r="BF12" i="19"/>
  <c r="AB12" i="19"/>
  <c r="CO11" i="19"/>
  <c r="W11" i="19"/>
  <c r="W51" i="19"/>
  <c r="BU41" i="19"/>
  <c r="BP38" i="19"/>
  <c r="DD36" i="19"/>
  <c r="EH33" i="19"/>
  <c r="CJ31" i="19"/>
  <c r="AL29" i="19"/>
  <c r="DS26" i="19"/>
  <c r="BU24" i="19"/>
  <c r="AV23" i="19"/>
  <c r="EH22" i="19"/>
  <c r="CY22" i="19"/>
  <c r="BP22" i="19"/>
  <c r="BP21" i="19"/>
  <c r="BA21" i="19"/>
  <c r="ER20" i="19"/>
  <c r="DD20" i="19"/>
  <c r="BP20" i="19"/>
  <c r="AB20" i="19"/>
  <c r="DS19" i="19"/>
  <c r="CE19" i="19"/>
  <c r="AQ19" i="19"/>
  <c r="DX18" i="19"/>
  <c r="CJ18" i="19"/>
  <c r="BK18" i="19"/>
  <c r="EM17" i="19"/>
  <c r="CT17" i="19"/>
  <c r="BK17" i="19"/>
  <c r="BA17" i="19"/>
  <c r="AQ17" i="19"/>
  <c r="AG17" i="19"/>
  <c r="W17" i="19"/>
  <c r="EW16" i="19"/>
  <c r="EM16" i="19"/>
  <c r="EC16" i="19"/>
  <c r="DS16" i="19"/>
  <c r="DI16" i="19"/>
  <c r="CY16" i="19"/>
  <c r="CO16" i="19"/>
  <c r="CE16" i="19"/>
  <c r="BU16" i="19"/>
  <c r="BK16" i="19"/>
  <c r="BA16" i="19"/>
  <c r="AQ16" i="19"/>
  <c r="AG16" i="19"/>
  <c r="W16" i="19"/>
  <c r="EW15" i="19"/>
  <c r="EM15" i="19"/>
  <c r="EC15" i="19"/>
  <c r="DS15" i="19"/>
  <c r="DI15" i="19"/>
  <c r="CY15" i="19"/>
  <c r="CO15" i="19"/>
  <c r="CE15" i="19"/>
  <c r="BU15" i="19"/>
  <c r="BK15" i="19"/>
  <c r="BA15" i="19"/>
  <c r="AQ15" i="19"/>
  <c r="AG15" i="19"/>
  <c r="W15" i="19"/>
  <c r="AL44" i="19"/>
  <c r="EC37" i="19"/>
  <c r="AG32" i="19"/>
  <c r="DN29" i="19"/>
  <c r="BP27" i="19"/>
  <c r="W22" i="19"/>
  <c r="BK21" i="19"/>
  <c r="EH18" i="19"/>
  <c r="CT18" i="19"/>
  <c r="AL18" i="19"/>
  <c r="DN17" i="19"/>
  <c r="CE17" i="19"/>
  <c r="EW13" i="19"/>
  <c r="DS13" i="19"/>
  <c r="CO13" i="19"/>
  <c r="BU13" i="19"/>
  <c r="AQ13" i="19"/>
  <c r="W13" i="19"/>
  <c r="DD12" i="19"/>
  <c r="CJ12" i="19"/>
  <c r="BP12" i="19"/>
  <c r="AL12" i="19"/>
  <c r="EM11" i="19"/>
  <c r="CY11" i="19"/>
  <c r="BK11" i="19"/>
  <c r="AB38" i="19"/>
  <c r="CE35" i="19"/>
  <c r="EW32" i="19"/>
  <c r="CY30" i="19"/>
  <c r="BA28" i="19"/>
  <c r="EH25" i="19"/>
  <c r="DN24" i="19"/>
  <c r="CO23" i="19"/>
  <c r="CT22" i="19"/>
  <c r="BK22" i="19"/>
  <c r="AB22" i="19"/>
  <c r="AL21" i="19"/>
  <c r="EC20" i="19"/>
  <c r="CO20" i="19"/>
  <c r="BA20" i="19"/>
  <c r="ER19" i="19"/>
  <c r="DD19" i="19"/>
  <c r="BP19" i="19"/>
  <c r="AB19" i="19"/>
  <c r="BU18" i="19"/>
  <c r="AB18" i="19"/>
  <c r="EW17" i="19"/>
  <c r="DD17" i="19"/>
  <c r="BU17" i="19"/>
  <c r="ER14" i="19"/>
  <c r="EH14" i="19"/>
  <c r="DX14" i="19"/>
  <c r="DN14" i="19"/>
  <c r="DD14" i="19"/>
  <c r="CT14" i="19"/>
  <c r="CJ14" i="19"/>
  <c r="BZ14" i="19"/>
  <c r="BP14" i="19"/>
  <c r="BF14" i="19"/>
  <c r="AV14" i="19"/>
  <c r="AL14" i="19"/>
  <c r="AB14" i="19"/>
  <c r="ER9" i="19"/>
  <c r="EH9" i="19"/>
  <c r="DX9" i="19"/>
  <c r="DN9" i="19"/>
  <c r="DD9" i="19"/>
  <c r="CT9" i="19"/>
  <c r="CJ9" i="19"/>
  <c r="BZ9" i="19"/>
  <c r="BP9" i="19"/>
  <c r="BF9" i="19"/>
  <c r="AV9" i="19"/>
  <c r="AL9" i="19"/>
  <c r="AB9" i="19"/>
  <c r="BF49" i="19"/>
  <c r="CE34" i="19"/>
  <c r="DI24" i="19"/>
  <c r="CJ23" i="19"/>
  <c r="BF22" i="19"/>
  <c r="DS21" i="19"/>
  <c r="W21" i="19"/>
  <c r="DN20" i="19"/>
  <c r="BZ20" i="19"/>
  <c r="AL20" i="19"/>
  <c r="EC19" i="19"/>
  <c r="CO19" i="19"/>
  <c r="BA19" i="19"/>
  <c r="EM13" i="19"/>
  <c r="DI13" i="19"/>
  <c r="CY13" i="19"/>
  <c r="CE13" i="19"/>
  <c r="BA13" i="19"/>
  <c r="AG13" i="19"/>
  <c r="DN12" i="19"/>
  <c r="CT12" i="19"/>
  <c r="BZ12" i="19"/>
  <c r="AV12" i="19"/>
  <c r="EW11" i="19"/>
  <c r="DI11" i="19"/>
  <c r="CE11" i="19"/>
  <c r="AQ11" i="19"/>
  <c r="N14" i="19" l="1"/>
  <c r="D2" i="18"/>
  <c r="D1195" i="18"/>
  <c r="D1194" i="18"/>
  <c r="D1193" i="18"/>
  <c r="D1192" i="18"/>
  <c r="D1191" i="18"/>
  <c r="D1190" i="18"/>
  <c r="D1168" i="18"/>
  <c r="D1167" i="18"/>
  <c r="D1166" i="18"/>
  <c r="D1165" i="18"/>
  <c r="D1164" i="18"/>
  <c r="D1163" i="18"/>
  <c r="D1141" i="18"/>
  <c r="D1140" i="18"/>
  <c r="D1139" i="18"/>
  <c r="D1138" i="18"/>
  <c r="D1137" i="18"/>
  <c r="D1136" i="18"/>
  <c r="D1114" i="18"/>
  <c r="D1113" i="18"/>
  <c r="D1112" i="18"/>
  <c r="D1111" i="18"/>
  <c r="D1110" i="18"/>
  <c r="D1109" i="18"/>
  <c r="D1087" i="18"/>
  <c r="D1086" i="18"/>
  <c r="D1085" i="18"/>
  <c r="D1084" i="18"/>
  <c r="D1083" i="18"/>
  <c r="D1082" i="18"/>
  <c r="D1060" i="18"/>
  <c r="D1059" i="18"/>
  <c r="D1058" i="18"/>
  <c r="D1057" i="18"/>
  <c r="D1056" i="18"/>
  <c r="D1055" i="18"/>
  <c r="D1033" i="18"/>
  <c r="D1032" i="18"/>
  <c r="D1031" i="18"/>
  <c r="D1030" i="18"/>
  <c r="D1029" i="18"/>
  <c r="D1028" i="18"/>
  <c r="D1006" i="18"/>
  <c r="D1005" i="18"/>
  <c r="D1004" i="18"/>
  <c r="D1003" i="18"/>
  <c r="D1002" i="18"/>
  <c r="D1001" i="18"/>
  <c r="D979" i="18"/>
  <c r="D978" i="18"/>
  <c r="D977" i="18"/>
  <c r="D976" i="18"/>
  <c r="D975" i="18"/>
  <c r="D974" i="18"/>
  <c r="D952" i="18"/>
  <c r="D951" i="18"/>
  <c r="D950" i="18"/>
  <c r="D949" i="18"/>
  <c r="D948" i="18"/>
  <c r="D947" i="18"/>
  <c r="D925" i="18"/>
  <c r="D924" i="18"/>
  <c r="D923" i="18"/>
  <c r="D922" i="18"/>
  <c r="D921" i="18"/>
  <c r="D920" i="18"/>
  <c r="D898" i="18"/>
  <c r="D897" i="18"/>
  <c r="D896" i="18"/>
  <c r="D895" i="18"/>
  <c r="D894" i="18"/>
  <c r="D893" i="18"/>
  <c r="D871" i="18"/>
  <c r="D870" i="18"/>
  <c r="D869" i="18"/>
  <c r="D868" i="18"/>
  <c r="D867" i="18"/>
  <c r="D866" i="18"/>
  <c r="D844" i="18"/>
  <c r="D843" i="18"/>
  <c r="D842" i="18"/>
  <c r="D841" i="18"/>
  <c r="D840" i="18"/>
  <c r="D839" i="18"/>
  <c r="D817" i="18"/>
  <c r="D816" i="18"/>
  <c r="D815" i="18"/>
  <c r="D814" i="18"/>
  <c r="D813" i="18"/>
  <c r="D812" i="18"/>
  <c r="D791" i="18"/>
  <c r="D792" i="18"/>
  <c r="D793" i="18"/>
  <c r="D794" i="18"/>
  <c r="D795" i="18"/>
  <c r="D796" i="18"/>
  <c r="D790" i="18"/>
  <c r="D789" i="18"/>
  <c r="D788" i="18"/>
  <c r="D787" i="18"/>
  <c r="D786" i="18"/>
  <c r="D785" i="18"/>
  <c r="D763" i="18"/>
  <c r="D762" i="18"/>
  <c r="D761" i="18"/>
  <c r="D760" i="18"/>
  <c r="D759" i="18"/>
  <c r="D758" i="18"/>
  <c r="D736" i="18"/>
  <c r="D735" i="18"/>
  <c r="D734" i="18"/>
  <c r="D733" i="18"/>
  <c r="D732" i="18"/>
  <c r="D731" i="18"/>
  <c r="D709" i="18"/>
  <c r="D708" i="18"/>
  <c r="D707" i="18"/>
  <c r="D706" i="18"/>
  <c r="D705" i="18"/>
  <c r="D704" i="18"/>
  <c r="D682" i="18"/>
  <c r="D681" i="18"/>
  <c r="D680" i="18"/>
  <c r="D679" i="18"/>
  <c r="D678" i="18"/>
  <c r="D677" i="18"/>
  <c r="D655" i="18"/>
  <c r="D654" i="18"/>
  <c r="D653" i="18"/>
  <c r="D652" i="18"/>
  <c r="D651" i="18"/>
  <c r="D650" i="18"/>
  <c r="D628" i="18"/>
  <c r="D627" i="18"/>
  <c r="D626" i="18"/>
  <c r="D625" i="18"/>
  <c r="D624" i="18"/>
  <c r="D623" i="18"/>
  <c r="D601" i="18"/>
  <c r="D600" i="18"/>
  <c r="D599" i="18"/>
  <c r="D598" i="18"/>
  <c r="D597" i="18"/>
  <c r="D596" i="18"/>
  <c r="D574" i="18"/>
  <c r="D573" i="18"/>
  <c r="D572" i="18"/>
  <c r="D571" i="18"/>
  <c r="D570" i="18"/>
  <c r="D569" i="18"/>
  <c r="D548" i="18"/>
  <c r="D549" i="18"/>
  <c r="D550" i="18"/>
  <c r="D551" i="18"/>
  <c r="D552" i="18"/>
  <c r="D553" i="18"/>
  <c r="D547" i="18"/>
  <c r="D546" i="18"/>
  <c r="D545" i="18"/>
  <c r="D544" i="18"/>
  <c r="D543" i="18"/>
  <c r="D542" i="18"/>
  <c r="D520" i="18"/>
  <c r="D519" i="18"/>
  <c r="D518" i="18"/>
  <c r="D517" i="18"/>
  <c r="D516" i="18"/>
  <c r="D515" i="18"/>
  <c r="D493" i="18"/>
  <c r="D492" i="18"/>
  <c r="D491" i="18"/>
  <c r="D490" i="18"/>
  <c r="D489" i="18"/>
  <c r="D488" i="18"/>
  <c r="D466" i="18"/>
  <c r="D465" i="18"/>
  <c r="D464" i="18"/>
  <c r="D463" i="18"/>
  <c r="D462" i="18"/>
  <c r="D461" i="18"/>
  <c r="D439" i="18"/>
  <c r="D438" i="18"/>
  <c r="D437" i="18"/>
  <c r="D436" i="18"/>
  <c r="D435" i="18"/>
  <c r="D434" i="18"/>
  <c r="D412" i="18"/>
  <c r="D411" i="18"/>
  <c r="D410" i="18"/>
  <c r="D409" i="18"/>
  <c r="D408" i="18"/>
  <c r="D407" i="18"/>
  <c r="D385" i="18"/>
  <c r="D384" i="18"/>
  <c r="D383" i="18"/>
  <c r="D382" i="18"/>
  <c r="D381" i="18"/>
  <c r="D380" i="18"/>
  <c r="D358" i="18"/>
  <c r="D357" i="18"/>
  <c r="D356" i="18"/>
  <c r="D355" i="18"/>
  <c r="D354" i="18"/>
  <c r="D353" i="18"/>
  <c r="D331" i="18"/>
  <c r="D330" i="18"/>
  <c r="D329" i="18"/>
  <c r="D328" i="18"/>
  <c r="D327" i="18"/>
  <c r="D326" i="18"/>
  <c r="D304" i="18"/>
  <c r="D303" i="18"/>
  <c r="D302" i="18"/>
  <c r="D301" i="18"/>
  <c r="D300" i="18"/>
  <c r="D299" i="18"/>
  <c r="D277" i="18"/>
  <c r="D276" i="18"/>
  <c r="D275" i="18"/>
  <c r="D274" i="18"/>
  <c r="D273" i="18"/>
  <c r="D272" i="18"/>
  <c r="D250" i="18"/>
  <c r="D249" i="18"/>
  <c r="D248" i="18"/>
  <c r="D247" i="18"/>
  <c r="D246" i="18"/>
  <c r="D245" i="18"/>
  <c r="D223" i="18"/>
  <c r="D222" i="18"/>
  <c r="D221" i="18"/>
  <c r="D220" i="18"/>
  <c r="D219" i="18"/>
  <c r="D218" i="18"/>
  <c r="D196" i="18"/>
  <c r="D195" i="18"/>
  <c r="D194" i="18"/>
  <c r="D193" i="18"/>
  <c r="D192" i="18"/>
  <c r="D191" i="18"/>
  <c r="D169" i="18"/>
  <c r="D168" i="18"/>
  <c r="D167" i="18"/>
  <c r="D166" i="18"/>
  <c r="D165" i="18"/>
  <c r="D164" i="18"/>
  <c r="D142" i="18"/>
  <c r="D141" i="18"/>
  <c r="D140" i="18"/>
  <c r="D139" i="18"/>
  <c r="D138" i="18"/>
  <c r="D137" i="18"/>
  <c r="D115" i="18"/>
  <c r="D114" i="18"/>
  <c r="D113" i="18"/>
  <c r="D112" i="18"/>
  <c r="D111" i="18"/>
  <c r="D110" i="18"/>
  <c r="D88" i="18"/>
  <c r="D87" i="18"/>
  <c r="D86" i="18"/>
  <c r="D85" i="18"/>
  <c r="D84" i="18"/>
  <c r="D83" i="18"/>
  <c r="D61" i="18"/>
  <c r="D60" i="18"/>
  <c r="D59" i="18"/>
  <c r="D58" i="18"/>
  <c r="D57" i="18"/>
  <c r="D56" i="18"/>
  <c r="D34" i="18"/>
  <c r="D33" i="18"/>
  <c r="D32" i="18"/>
  <c r="D31" i="18"/>
  <c r="D30" i="18"/>
  <c r="D29" i="18"/>
  <c r="D3" i="18"/>
  <c r="D4" i="18"/>
  <c r="D5" i="18"/>
  <c r="D6" i="18"/>
  <c r="D7" i="18"/>
  <c r="D1216" i="18"/>
  <c r="D1215" i="18"/>
  <c r="D1214" i="18"/>
  <c r="D1213" i="18"/>
  <c r="D1212" i="18"/>
  <c r="D1211" i="18"/>
  <c r="D1210" i="18"/>
  <c r="D1209" i="18"/>
  <c r="D1208" i="18"/>
  <c r="D1207" i="18"/>
  <c r="D1206" i="18"/>
  <c r="D1205" i="18"/>
  <c r="D1204" i="18"/>
  <c r="D1203" i="18"/>
  <c r="D1202" i="18"/>
  <c r="D1201" i="18"/>
  <c r="D1200" i="18"/>
  <c r="D1199" i="18"/>
  <c r="D1198" i="18"/>
  <c r="D1197" i="18"/>
  <c r="D1196" i="18"/>
  <c r="D1189" i="18"/>
  <c r="D1188" i="18"/>
  <c r="D1187" i="18"/>
  <c r="D1186" i="18"/>
  <c r="D1185" i="18"/>
  <c r="D1184" i="18"/>
  <c r="D1183" i="18"/>
  <c r="D1182" i="18"/>
  <c r="D1181" i="18"/>
  <c r="D1180" i="18"/>
  <c r="D1179" i="18"/>
  <c r="D1178" i="18"/>
  <c r="D1177" i="18"/>
  <c r="D1176" i="18"/>
  <c r="D1175" i="18"/>
  <c r="D1174" i="18"/>
  <c r="D1173" i="18"/>
  <c r="D1172" i="18"/>
  <c r="D1171" i="18"/>
  <c r="D1170" i="18"/>
  <c r="D1169" i="18"/>
  <c r="D1162" i="18"/>
  <c r="D1161" i="18"/>
  <c r="D1160" i="18"/>
  <c r="D1159" i="18"/>
  <c r="D1158" i="18"/>
  <c r="D1157" i="18"/>
  <c r="D1156" i="18"/>
  <c r="D1155" i="18"/>
  <c r="D1154" i="18"/>
  <c r="D1153" i="18"/>
  <c r="D1152" i="18"/>
  <c r="D1151" i="18"/>
  <c r="D1150" i="18"/>
  <c r="D1149" i="18"/>
  <c r="D1148" i="18"/>
  <c r="D1147" i="18"/>
  <c r="D1146" i="18"/>
  <c r="D1145" i="18"/>
  <c r="D1144" i="18"/>
  <c r="D1143" i="18"/>
  <c r="D1142" i="18"/>
  <c r="D1135" i="18"/>
  <c r="D1134" i="18"/>
  <c r="D1133" i="18"/>
  <c r="D1132" i="18"/>
  <c r="D1131" i="18"/>
  <c r="D1130" i="18"/>
  <c r="D1129" i="18"/>
  <c r="D1128" i="18"/>
  <c r="D1127" i="18"/>
  <c r="D1126" i="18"/>
  <c r="D1125" i="18"/>
  <c r="D1124" i="18"/>
  <c r="D1123" i="18"/>
  <c r="D1122" i="18"/>
  <c r="D1121" i="18"/>
  <c r="D1120" i="18"/>
  <c r="D1119" i="18"/>
  <c r="D1118" i="18"/>
  <c r="D1117" i="18"/>
  <c r="D1116" i="18"/>
  <c r="D1115" i="18"/>
  <c r="D1108" i="18"/>
  <c r="D1107" i="18"/>
  <c r="D1106" i="18"/>
  <c r="D1105" i="18"/>
  <c r="D1104" i="18"/>
  <c r="D1103" i="18"/>
  <c r="D1102" i="18"/>
  <c r="D1101" i="18"/>
  <c r="D1100" i="18"/>
  <c r="D1099" i="18"/>
  <c r="D1098" i="18"/>
  <c r="D1097" i="18"/>
  <c r="D1096" i="18"/>
  <c r="D1095" i="18"/>
  <c r="D1094" i="18"/>
  <c r="D1093" i="18"/>
  <c r="D1092" i="18"/>
  <c r="D1091" i="18"/>
  <c r="D1090" i="18"/>
  <c r="D1089" i="18"/>
  <c r="D1088" i="18"/>
  <c r="D1081" i="18"/>
  <c r="D1080" i="18"/>
  <c r="D1079" i="18"/>
  <c r="D1078" i="18"/>
  <c r="D1077" i="18"/>
  <c r="D1076" i="18"/>
  <c r="D1075" i="18"/>
  <c r="D1074" i="18"/>
  <c r="D1073" i="18"/>
  <c r="D1072" i="18"/>
  <c r="D1071" i="18"/>
  <c r="D1070" i="18"/>
  <c r="D1069" i="18"/>
  <c r="D1068" i="18"/>
  <c r="D1067" i="18"/>
  <c r="D1066" i="18"/>
  <c r="D1065" i="18"/>
  <c r="D1064" i="18"/>
  <c r="D1063" i="18"/>
  <c r="D1062" i="18"/>
  <c r="D1061" i="18"/>
  <c r="D1054" i="18"/>
  <c r="D1053" i="18"/>
  <c r="D1052" i="18"/>
  <c r="D1051" i="18"/>
  <c r="D1050" i="18"/>
  <c r="D1049" i="18"/>
  <c r="D1048" i="18"/>
  <c r="D1047" i="18"/>
  <c r="D1046" i="18"/>
  <c r="D1045" i="18"/>
  <c r="D1044" i="18"/>
  <c r="D1043" i="18"/>
  <c r="D1042" i="18"/>
  <c r="D1041" i="18"/>
  <c r="D1040" i="18"/>
  <c r="D1039" i="18"/>
  <c r="D1038" i="18"/>
  <c r="D1037" i="18"/>
  <c r="D1036" i="18"/>
  <c r="D1035" i="18"/>
  <c r="D1034" i="18"/>
  <c r="D1027" i="18"/>
  <c r="D1026" i="18"/>
  <c r="D1025" i="18"/>
  <c r="D1024" i="18"/>
  <c r="D1023" i="18"/>
  <c r="D1022" i="18"/>
  <c r="D1021" i="18"/>
  <c r="D1020" i="18"/>
  <c r="D1019" i="18"/>
  <c r="D1018" i="18"/>
  <c r="D1017" i="18"/>
  <c r="D1016" i="18"/>
  <c r="D1015" i="18"/>
  <c r="D1014" i="18"/>
  <c r="D1013" i="18"/>
  <c r="D1012" i="18"/>
  <c r="D1011" i="18"/>
  <c r="D1010" i="18"/>
  <c r="D1009" i="18"/>
  <c r="D1008" i="18"/>
  <c r="D1007" i="18"/>
  <c r="D1000" i="18"/>
  <c r="D999" i="18"/>
  <c r="D998" i="18"/>
  <c r="D997" i="18"/>
  <c r="D996" i="18"/>
  <c r="D995" i="18"/>
  <c r="D994" i="18"/>
  <c r="D993" i="18"/>
  <c r="D992" i="18"/>
  <c r="D991" i="18"/>
  <c r="D990" i="18"/>
  <c r="D989" i="18"/>
  <c r="D988" i="18"/>
  <c r="D987" i="18"/>
  <c r="D986" i="18"/>
  <c r="D985" i="18"/>
  <c r="D984" i="18"/>
  <c r="D983" i="18"/>
  <c r="D982" i="18"/>
  <c r="D981" i="18"/>
  <c r="D980" i="18"/>
  <c r="D973" i="18"/>
  <c r="D972" i="18"/>
  <c r="D971" i="18"/>
  <c r="D970" i="18"/>
  <c r="D969" i="18"/>
  <c r="D968" i="18"/>
  <c r="D967" i="18"/>
  <c r="D966" i="18"/>
  <c r="D965" i="18"/>
  <c r="D964" i="18"/>
  <c r="D963" i="18"/>
  <c r="D962" i="18"/>
  <c r="D961" i="18"/>
  <c r="D960" i="18"/>
  <c r="D959" i="18"/>
  <c r="D958" i="18"/>
  <c r="D957" i="18"/>
  <c r="D956" i="18"/>
  <c r="D955" i="18"/>
  <c r="D954" i="18"/>
  <c r="D953" i="18"/>
  <c r="D946" i="18"/>
  <c r="D945" i="18"/>
  <c r="D944" i="18"/>
  <c r="D943" i="18"/>
  <c r="D942" i="18"/>
  <c r="D941" i="18"/>
  <c r="D940" i="18"/>
  <c r="D939" i="18"/>
  <c r="D938" i="18"/>
  <c r="D937" i="18"/>
  <c r="D936" i="18"/>
  <c r="D935" i="18"/>
  <c r="D934" i="18"/>
  <c r="D933" i="18"/>
  <c r="D932" i="18"/>
  <c r="D931" i="18"/>
  <c r="D930" i="18"/>
  <c r="D929" i="18"/>
  <c r="D928" i="18"/>
  <c r="D927" i="18"/>
  <c r="D926" i="18"/>
  <c r="D919" i="18"/>
  <c r="D918" i="18"/>
  <c r="D917" i="18"/>
  <c r="D916" i="18"/>
  <c r="D915" i="18"/>
  <c r="D914" i="18"/>
  <c r="D913" i="18"/>
  <c r="D912" i="18"/>
  <c r="D911" i="18"/>
  <c r="D910" i="18"/>
  <c r="D909" i="18"/>
  <c r="D908" i="18"/>
  <c r="D907" i="18"/>
  <c r="D906" i="18"/>
  <c r="D905" i="18"/>
  <c r="D904" i="18"/>
  <c r="D903" i="18"/>
  <c r="D902" i="18"/>
  <c r="D901" i="18"/>
  <c r="D900" i="18"/>
  <c r="D899" i="18"/>
  <c r="D892" i="18"/>
  <c r="D891" i="18"/>
  <c r="D890" i="18"/>
  <c r="D889" i="18"/>
  <c r="D888" i="18"/>
  <c r="D887" i="18"/>
  <c r="D886" i="18"/>
  <c r="D885" i="18"/>
  <c r="D884" i="18"/>
  <c r="D883" i="18"/>
  <c r="D882" i="18"/>
  <c r="D881" i="18"/>
  <c r="D880" i="18"/>
  <c r="D879" i="18"/>
  <c r="D878" i="18"/>
  <c r="D877" i="18"/>
  <c r="D876" i="18"/>
  <c r="D875" i="18"/>
  <c r="D874" i="18"/>
  <c r="D873" i="18"/>
  <c r="D872" i="18"/>
  <c r="D865" i="18"/>
  <c r="D864" i="18"/>
  <c r="D863" i="18"/>
  <c r="D862" i="18"/>
  <c r="D861" i="18"/>
  <c r="D860" i="18"/>
  <c r="D859" i="18"/>
  <c r="D858" i="18"/>
  <c r="D857" i="18"/>
  <c r="D856" i="18"/>
  <c r="D855" i="18"/>
  <c r="D854" i="18"/>
  <c r="D853" i="18"/>
  <c r="D852" i="18"/>
  <c r="D851" i="18"/>
  <c r="D850" i="18"/>
  <c r="D849" i="18"/>
  <c r="D848" i="18"/>
  <c r="D847" i="18"/>
  <c r="D846" i="18"/>
  <c r="D845" i="18"/>
  <c r="D838" i="18"/>
  <c r="D837" i="18"/>
  <c r="D836" i="18"/>
  <c r="D835" i="18"/>
  <c r="D834" i="18"/>
  <c r="D833" i="18"/>
  <c r="D832" i="18"/>
  <c r="D831" i="18"/>
  <c r="D830" i="18"/>
  <c r="D829" i="18"/>
  <c r="D828" i="18"/>
  <c r="D827" i="18"/>
  <c r="D826" i="18"/>
  <c r="D825" i="18"/>
  <c r="D824" i="18"/>
  <c r="D823" i="18"/>
  <c r="D822" i="18"/>
  <c r="D821" i="18"/>
  <c r="D820" i="18"/>
  <c r="D819" i="18"/>
  <c r="D818" i="18"/>
  <c r="D811" i="18"/>
  <c r="D810" i="18"/>
  <c r="D809" i="18"/>
  <c r="D808" i="18"/>
  <c r="D807" i="18"/>
  <c r="D806" i="18"/>
  <c r="D805" i="18"/>
  <c r="D804" i="18"/>
  <c r="D803" i="18"/>
  <c r="D802" i="18"/>
  <c r="D801" i="18"/>
  <c r="D800" i="18"/>
  <c r="D799" i="18"/>
  <c r="D798" i="18"/>
  <c r="D797" i="18"/>
  <c r="D784" i="18"/>
  <c r="D783" i="18"/>
  <c r="D782" i="18"/>
  <c r="D781" i="18"/>
  <c r="D780" i="18"/>
  <c r="D779" i="18"/>
  <c r="D778" i="18"/>
  <c r="D777" i="18"/>
  <c r="D776" i="18"/>
  <c r="D775" i="18"/>
  <c r="D774" i="18"/>
  <c r="D773" i="18"/>
  <c r="D772" i="18"/>
  <c r="D771" i="18"/>
  <c r="D770" i="18"/>
  <c r="D769" i="18"/>
  <c r="D768" i="18"/>
  <c r="D767" i="18"/>
  <c r="D766" i="18"/>
  <c r="D765" i="18"/>
  <c r="D764" i="18"/>
  <c r="D757" i="18"/>
  <c r="D756" i="18"/>
  <c r="D755" i="18"/>
  <c r="D754" i="18"/>
  <c r="D753" i="18"/>
  <c r="D752" i="18"/>
  <c r="D751" i="18"/>
  <c r="D750" i="18"/>
  <c r="D749" i="18"/>
  <c r="D748" i="18"/>
  <c r="D747" i="18"/>
  <c r="D746" i="18"/>
  <c r="D745" i="18"/>
  <c r="D744" i="18"/>
  <c r="D743" i="18"/>
  <c r="D742" i="18"/>
  <c r="D741" i="18"/>
  <c r="D740" i="18"/>
  <c r="D739" i="18"/>
  <c r="D738" i="18"/>
  <c r="D737" i="18"/>
  <c r="D730" i="18"/>
  <c r="D729" i="18"/>
  <c r="D728" i="18"/>
  <c r="D727" i="18"/>
  <c r="D726" i="18"/>
  <c r="D725" i="18"/>
  <c r="D724" i="18"/>
  <c r="D723" i="18"/>
  <c r="D722" i="18"/>
  <c r="D721" i="18"/>
  <c r="D720" i="18"/>
  <c r="D719" i="18"/>
  <c r="D718" i="18"/>
  <c r="D717" i="18"/>
  <c r="D716" i="18"/>
  <c r="D715" i="18"/>
  <c r="D714" i="18"/>
  <c r="D713" i="18"/>
  <c r="D712" i="18"/>
  <c r="D711" i="18"/>
  <c r="D710" i="18"/>
  <c r="D703" i="18"/>
  <c r="D702" i="18"/>
  <c r="D701" i="18"/>
  <c r="D700" i="18"/>
  <c r="D699" i="18"/>
  <c r="D698" i="18"/>
  <c r="D697" i="18"/>
  <c r="D696" i="18"/>
  <c r="D695" i="18"/>
  <c r="D694" i="18"/>
  <c r="D693" i="18"/>
  <c r="D692" i="18"/>
  <c r="D691" i="18"/>
  <c r="D690" i="18"/>
  <c r="D689" i="18"/>
  <c r="D688" i="18"/>
  <c r="D687" i="18"/>
  <c r="D686" i="18"/>
  <c r="D685" i="18"/>
  <c r="D684" i="18"/>
  <c r="D683" i="18"/>
  <c r="D676" i="18"/>
  <c r="D675" i="18"/>
  <c r="D674" i="18"/>
  <c r="D673" i="18"/>
  <c r="D672" i="18"/>
  <c r="D671" i="18"/>
  <c r="D670" i="18"/>
  <c r="D669" i="18"/>
  <c r="D668" i="18"/>
  <c r="D667" i="18"/>
  <c r="D666" i="18"/>
  <c r="D665" i="18"/>
  <c r="D664" i="18"/>
  <c r="D663" i="18"/>
  <c r="D662" i="18"/>
  <c r="D661" i="18"/>
  <c r="D660" i="18"/>
  <c r="D659" i="18"/>
  <c r="D658" i="18"/>
  <c r="D657" i="18"/>
  <c r="D656" i="18"/>
  <c r="D649" i="18"/>
  <c r="D648" i="18"/>
  <c r="D647" i="18"/>
  <c r="D646" i="18"/>
  <c r="D645" i="18"/>
  <c r="D644" i="18"/>
  <c r="D643" i="18"/>
  <c r="D642" i="18"/>
  <c r="D641" i="18"/>
  <c r="D640" i="18"/>
  <c r="D639" i="18"/>
  <c r="D638" i="18"/>
  <c r="D637" i="18"/>
  <c r="D636" i="18"/>
  <c r="D635" i="18"/>
  <c r="D634" i="18"/>
  <c r="D633" i="18"/>
  <c r="D632" i="18"/>
  <c r="D631" i="18"/>
  <c r="D630" i="18"/>
  <c r="D629" i="18"/>
  <c r="D622" i="18"/>
  <c r="D621" i="18"/>
  <c r="D620" i="18"/>
  <c r="D619" i="18"/>
  <c r="D618" i="18"/>
  <c r="D617" i="18"/>
  <c r="D616" i="18"/>
  <c r="D615" i="18"/>
  <c r="D614" i="18"/>
  <c r="D613" i="18"/>
  <c r="D612" i="18"/>
  <c r="D611" i="18"/>
  <c r="D610" i="18"/>
  <c r="D609" i="18"/>
  <c r="D608" i="18"/>
  <c r="D607" i="18"/>
  <c r="D606" i="18"/>
  <c r="D605" i="18"/>
  <c r="D604" i="18"/>
  <c r="D603" i="18"/>
  <c r="D602" i="18"/>
  <c r="D595" i="18"/>
  <c r="D594" i="18"/>
  <c r="D593" i="18"/>
  <c r="D592" i="18"/>
  <c r="D591" i="18"/>
  <c r="D590" i="18"/>
  <c r="D589" i="18"/>
  <c r="D588" i="18"/>
  <c r="D587" i="18"/>
  <c r="D586" i="18"/>
  <c r="D585" i="18"/>
  <c r="D584" i="18"/>
  <c r="D583" i="18"/>
  <c r="D582" i="18"/>
  <c r="D581" i="18"/>
  <c r="D580" i="18"/>
  <c r="D579" i="18"/>
  <c r="D578" i="18"/>
  <c r="D577" i="18"/>
  <c r="D576" i="18"/>
  <c r="D575" i="18"/>
  <c r="D568" i="18"/>
  <c r="D567" i="18"/>
  <c r="D566" i="18"/>
  <c r="D565" i="18"/>
  <c r="D564" i="18"/>
  <c r="D563" i="18"/>
  <c r="D562" i="18"/>
  <c r="D561" i="18"/>
  <c r="D560" i="18"/>
  <c r="D559" i="18"/>
  <c r="D558" i="18"/>
  <c r="D557" i="18"/>
  <c r="D556" i="18"/>
  <c r="D555" i="18"/>
  <c r="D554" i="18"/>
  <c r="D541" i="18"/>
  <c r="D540" i="18"/>
  <c r="D539" i="18"/>
  <c r="D538" i="18"/>
  <c r="D537" i="18"/>
  <c r="D536" i="18"/>
  <c r="D535" i="18"/>
  <c r="D534" i="18"/>
  <c r="D533" i="18"/>
  <c r="D532" i="18"/>
  <c r="D531" i="18"/>
  <c r="D530" i="18"/>
  <c r="D529" i="18"/>
  <c r="D528" i="18"/>
  <c r="D527" i="18"/>
  <c r="D526" i="18"/>
  <c r="D525" i="18"/>
  <c r="D524" i="18"/>
  <c r="D523" i="18"/>
  <c r="D522" i="18"/>
  <c r="D521" i="18"/>
  <c r="D514" i="18"/>
  <c r="D513" i="18"/>
  <c r="D512" i="18"/>
  <c r="D511" i="18"/>
  <c r="D510" i="18"/>
  <c r="D509" i="18"/>
  <c r="D508" i="18"/>
  <c r="D507" i="18"/>
  <c r="D506" i="18"/>
  <c r="D505" i="18"/>
  <c r="D504" i="18"/>
  <c r="D503" i="18"/>
  <c r="D502" i="18"/>
  <c r="D501" i="18"/>
  <c r="D500" i="18"/>
  <c r="D499" i="18"/>
  <c r="D498" i="18"/>
  <c r="D497" i="18"/>
  <c r="D496" i="18"/>
  <c r="D495" i="18"/>
  <c r="D494" i="18"/>
  <c r="D487" i="18"/>
  <c r="D486" i="18"/>
  <c r="D485" i="18"/>
  <c r="D484" i="18"/>
  <c r="D483" i="18"/>
  <c r="D482" i="18"/>
  <c r="D481" i="18"/>
  <c r="D480" i="18"/>
  <c r="D479" i="18"/>
  <c r="D478" i="18"/>
  <c r="D477" i="18"/>
  <c r="D476" i="18"/>
  <c r="D475" i="18"/>
  <c r="D474" i="18"/>
  <c r="D473" i="18"/>
  <c r="D472" i="18"/>
  <c r="D471" i="18"/>
  <c r="D470" i="18"/>
  <c r="D469" i="18"/>
  <c r="D468" i="18"/>
  <c r="D467" i="18"/>
  <c r="D460" i="18"/>
  <c r="D459" i="18"/>
  <c r="D458" i="18"/>
  <c r="D457" i="18"/>
  <c r="D456" i="18"/>
  <c r="D455" i="18"/>
  <c r="D454" i="18"/>
  <c r="D453" i="18"/>
  <c r="D452" i="18"/>
  <c r="D451" i="18"/>
  <c r="D450" i="18"/>
  <c r="D449" i="18"/>
  <c r="D448" i="18"/>
  <c r="D447" i="18"/>
  <c r="D446" i="18"/>
  <c r="D445" i="18"/>
  <c r="D444" i="18"/>
  <c r="D443" i="18"/>
  <c r="D442" i="18"/>
  <c r="D441" i="18"/>
  <c r="D440" i="18"/>
  <c r="D433" i="18"/>
  <c r="D432" i="18"/>
  <c r="D431" i="18"/>
  <c r="D430" i="18"/>
  <c r="D429" i="18"/>
  <c r="D428" i="18"/>
  <c r="D427" i="18"/>
  <c r="D426" i="18"/>
  <c r="D425" i="18"/>
  <c r="D424" i="18"/>
  <c r="D423" i="18"/>
  <c r="D422" i="18"/>
  <c r="D421" i="18"/>
  <c r="D420" i="18"/>
  <c r="D419" i="18"/>
  <c r="D418" i="18"/>
  <c r="D417" i="18"/>
  <c r="D416" i="18"/>
  <c r="D415" i="18"/>
  <c r="D414" i="18"/>
  <c r="D413" i="18"/>
  <c r="D406" i="18"/>
  <c r="D405" i="18"/>
  <c r="D404" i="18"/>
  <c r="D403" i="18"/>
  <c r="D402" i="18"/>
  <c r="D401" i="18"/>
  <c r="D400" i="18"/>
  <c r="D399" i="18"/>
  <c r="D398" i="18"/>
  <c r="D397" i="18"/>
  <c r="D396" i="18"/>
  <c r="D395" i="18"/>
  <c r="D394" i="18"/>
  <c r="D393" i="18"/>
  <c r="D392" i="18"/>
  <c r="D391" i="18"/>
  <c r="D390" i="18"/>
  <c r="D389" i="18"/>
  <c r="D388" i="18"/>
  <c r="D387" i="18"/>
  <c r="D386" i="18"/>
  <c r="D379" i="18"/>
  <c r="D378" i="18"/>
  <c r="D377" i="18"/>
  <c r="D376" i="18"/>
  <c r="D375" i="18"/>
  <c r="D374" i="18"/>
  <c r="D373" i="18"/>
  <c r="D372" i="18"/>
  <c r="D371" i="18"/>
  <c r="D370" i="18"/>
  <c r="D369" i="18"/>
  <c r="D368" i="18"/>
  <c r="D367" i="18"/>
  <c r="D366" i="18"/>
  <c r="D365" i="18"/>
  <c r="D364" i="18"/>
  <c r="D363" i="18"/>
  <c r="D362" i="18"/>
  <c r="D361" i="18"/>
  <c r="D360" i="18"/>
  <c r="D359" i="18"/>
  <c r="D352" i="18"/>
  <c r="D351" i="18"/>
  <c r="D350" i="18"/>
  <c r="D349" i="18"/>
  <c r="D348" i="18"/>
  <c r="D347" i="18"/>
  <c r="D346" i="18"/>
  <c r="D345" i="18"/>
  <c r="D344" i="18"/>
  <c r="D343" i="18"/>
  <c r="D342" i="18"/>
  <c r="D341" i="18"/>
  <c r="D340" i="18"/>
  <c r="D339" i="18"/>
  <c r="D338" i="18"/>
  <c r="D337" i="18"/>
  <c r="D336" i="18"/>
  <c r="D335" i="18"/>
  <c r="D334" i="18"/>
  <c r="D333" i="18"/>
  <c r="D332" i="18"/>
  <c r="D325" i="18"/>
  <c r="D324" i="18"/>
  <c r="D323" i="18"/>
  <c r="D322" i="18"/>
  <c r="D321" i="18"/>
  <c r="D320" i="18"/>
  <c r="D319" i="18"/>
  <c r="D318" i="18"/>
  <c r="D317" i="18"/>
  <c r="D316" i="18"/>
  <c r="D315" i="18"/>
  <c r="D314" i="18"/>
  <c r="D313" i="18"/>
  <c r="D312" i="18"/>
  <c r="D311" i="18"/>
  <c r="D310" i="18"/>
  <c r="D309" i="18"/>
  <c r="D308" i="18"/>
  <c r="D307" i="18"/>
  <c r="D306" i="18"/>
  <c r="D305" i="18"/>
  <c r="D298" i="18"/>
  <c r="D297" i="18"/>
  <c r="D296" i="18"/>
  <c r="D295" i="18"/>
  <c r="D294" i="18"/>
  <c r="D293" i="18"/>
  <c r="D292" i="18"/>
  <c r="D291" i="18"/>
  <c r="D290" i="18"/>
  <c r="D289" i="18"/>
  <c r="D288" i="18"/>
  <c r="D287" i="18"/>
  <c r="D286" i="18"/>
  <c r="D285" i="18"/>
  <c r="D284" i="18"/>
  <c r="D283" i="18"/>
  <c r="D282" i="18"/>
  <c r="D281" i="18"/>
  <c r="D280" i="18"/>
  <c r="D279" i="18"/>
  <c r="D278" i="18"/>
  <c r="D271" i="18"/>
  <c r="D270" i="18"/>
  <c r="D269" i="18"/>
  <c r="D268" i="18"/>
  <c r="D267" i="18"/>
  <c r="D266" i="18"/>
  <c r="D265" i="18"/>
  <c r="D264" i="18"/>
  <c r="D263" i="18"/>
  <c r="D262" i="18"/>
  <c r="D261" i="18"/>
  <c r="D260" i="18"/>
  <c r="D259" i="18"/>
  <c r="D258" i="18"/>
  <c r="D257" i="18"/>
  <c r="D256" i="18"/>
  <c r="D255" i="18"/>
  <c r="D254" i="18"/>
  <c r="D253" i="18"/>
  <c r="D252" i="18"/>
  <c r="D251" i="18"/>
  <c r="D244" i="18"/>
  <c r="D243" i="18"/>
  <c r="D242" i="18"/>
  <c r="D241" i="18"/>
  <c r="D240" i="18"/>
  <c r="D239" i="18"/>
  <c r="D238" i="18"/>
  <c r="D237" i="18"/>
  <c r="D236" i="18"/>
  <c r="D235" i="18"/>
  <c r="D234" i="18"/>
  <c r="D233" i="18"/>
  <c r="D232" i="18"/>
  <c r="D231" i="18"/>
  <c r="D230" i="18"/>
  <c r="D229" i="18"/>
  <c r="D228" i="18"/>
  <c r="D227" i="18"/>
  <c r="D226" i="18"/>
  <c r="D225" i="18"/>
  <c r="D224" i="18"/>
  <c r="D217" i="18"/>
  <c r="D216" i="18"/>
  <c r="D215" i="18"/>
  <c r="D214" i="18"/>
  <c r="D213" i="18"/>
  <c r="D212" i="18"/>
  <c r="D211" i="18"/>
  <c r="D210" i="18"/>
  <c r="D209" i="18"/>
  <c r="D208" i="18"/>
  <c r="D207" i="18"/>
  <c r="D206" i="18"/>
  <c r="D205" i="18"/>
  <c r="D204" i="18"/>
  <c r="D203" i="18"/>
  <c r="D202" i="18"/>
  <c r="D201" i="18"/>
  <c r="D200" i="18"/>
  <c r="D199" i="18"/>
  <c r="D198" i="18"/>
  <c r="D197" i="18"/>
  <c r="D190" i="18"/>
  <c r="D189" i="18"/>
  <c r="D188" i="18"/>
  <c r="D187" i="18"/>
  <c r="D186" i="18"/>
  <c r="D185" i="18"/>
  <c r="D184" i="18"/>
  <c r="D183" i="18"/>
  <c r="D182" i="18"/>
  <c r="D181" i="18"/>
  <c r="D180" i="18"/>
  <c r="D179" i="18"/>
  <c r="D178" i="18"/>
  <c r="D177" i="18"/>
  <c r="D176" i="18"/>
  <c r="D175" i="18"/>
  <c r="D174" i="18"/>
  <c r="D173" i="18"/>
  <c r="D172" i="18"/>
  <c r="D171" i="18"/>
  <c r="D170" i="18"/>
  <c r="D163" i="18"/>
  <c r="D162" i="18"/>
  <c r="D161" i="18"/>
  <c r="D160" i="18"/>
  <c r="D159" i="18"/>
  <c r="D158" i="18"/>
  <c r="D157" i="18"/>
  <c r="D156" i="18"/>
  <c r="D155" i="18"/>
  <c r="D154" i="18"/>
  <c r="D153" i="18"/>
  <c r="D152" i="18"/>
  <c r="D151" i="18"/>
  <c r="D150" i="18"/>
  <c r="D149" i="18"/>
  <c r="D148" i="18"/>
  <c r="D147" i="18"/>
  <c r="D146" i="18"/>
  <c r="D145" i="18"/>
  <c r="D144" i="18"/>
  <c r="D143" i="18"/>
  <c r="D136" i="18"/>
  <c r="D135" i="18"/>
  <c r="D134" i="18"/>
  <c r="D133" i="18"/>
  <c r="D132" i="18"/>
  <c r="D131" i="18"/>
  <c r="D130" i="18"/>
  <c r="D129" i="18"/>
  <c r="D128" i="18"/>
  <c r="D127" i="18"/>
  <c r="D126" i="18"/>
  <c r="D125" i="18"/>
  <c r="D124" i="18"/>
  <c r="D123" i="18"/>
  <c r="D122" i="18"/>
  <c r="D121" i="18"/>
  <c r="D120" i="18"/>
  <c r="D119" i="18"/>
  <c r="D118" i="18"/>
  <c r="D117" i="18"/>
  <c r="D116" i="18"/>
  <c r="D109" i="18"/>
  <c r="D108" i="18"/>
  <c r="D107" i="18"/>
  <c r="D106" i="18"/>
  <c r="D105" i="18"/>
  <c r="D104" i="18"/>
  <c r="D103" i="18"/>
  <c r="D102" i="18"/>
  <c r="D101" i="18"/>
  <c r="D100" i="18"/>
  <c r="D99" i="18"/>
  <c r="D98" i="18"/>
  <c r="D97" i="18"/>
  <c r="D96" i="18"/>
  <c r="D95" i="18"/>
  <c r="D94" i="18"/>
  <c r="D93" i="18"/>
  <c r="D92" i="18"/>
  <c r="D91" i="18"/>
  <c r="D90" i="18"/>
  <c r="D89" i="18"/>
  <c r="D82" i="18"/>
  <c r="D81" i="18"/>
  <c r="D80" i="18"/>
  <c r="D79" i="18"/>
  <c r="D78" i="18"/>
  <c r="D77" i="18"/>
  <c r="D76" i="18"/>
  <c r="D75" i="18"/>
  <c r="D74" i="18"/>
  <c r="D73" i="18"/>
  <c r="D72" i="18"/>
  <c r="D71" i="18"/>
  <c r="D70" i="18"/>
  <c r="D69" i="18"/>
  <c r="D68" i="18"/>
  <c r="D67" i="18"/>
  <c r="D66" i="18"/>
  <c r="D65" i="18"/>
  <c r="D64" i="18"/>
  <c r="D63" i="18"/>
  <c r="D62" i="18"/>
  <c r="D55" i="18"/>
  <c r="D54" i="18"/>
  <c r="D53" i="18"/>
  <c r="D52" i="18"/>
  <c r="D51" i="18"/>
  <c r="D50" i="18"/>
  <c r="D49" i="18"/>
  <c r="D48" i="18"/>
  <c r="D47" i="18"/>
  <c r="D46" i="18"/>
  <c r="D45" i="18"/>
  <c r="D44" i="18"/>
  <c r="D43" i="18"/>
  <c r="D42" i="18"/>
  <c r="D41" i="18"/>
  <c r="D40" i="18"/>
  <c r="D39" i="18"/>
  <c r="D38" i="18"/>
  <c r="D37" i="18"/>
  <c r="D36" i="18"/>
  <c r="D35" i="18"/>
  <c r="D9" i="18"/>
  <c r="D10" i="18"/>
  <c r="D11" i="18"/>
  <c r="D12" i="18"/>
  <c r="D13" i="18"/>
  <c r="D14" i="18"/>
  <c r="D15" i="18"/>
  <c r="D16" i="18"/>
  <c r="D17" i="18"/>
  <c r="D18" i="18"/>
  <c r="D19" i="18"/>
  <c r="D20" i="18"/>
  <c r="D21" i="18"/>
  <c r="D22" i="18"/>
  <c r="D23" i="18"/>
  <c r="D24" i="18"/>
  <c r="D25" i="18"/>
  <c r="D26" i="18"/>
  <c r="D27" i="18"/>
  <c r="D28" i="18"/>
  <c r="D8" i="18"/>
  <c r="Q6" i="18"/>
  <c r="Q4" i="18"/>
  <c r="Q3" i="18"/>
  <c r="G29" i="3" l="1"/>
  <c r="G30" i="3"/>
  <c r="G27" i="3"/>
  <c r="G12" i="3"/>
  <c r="G11" i="3"/>
  <c r="G17" i="3"/>
  <c r="G9" i="3"/>
  <c r="G8" i="3"/>
  <c r="G6" i="3" l="1"/>
  <c r="G7" i="3"/>
  <c r="G10" i="3"/>
  <c r="G13" i="3"/>
  <c r="G14" i="3"/>
  <c r="G24" i="3"/>
  <c r="G25" i="3"/>
  <c r="G26" i="3"/>
  <c r="G15" i="3"/>
  <c r="G16" i="3"/>
  <c r="G18" i="3"/>
  <c r="G19" i="3"/>
  <c r="G20" i="3"/>
  <c r="G21" i="3"/>
  <c r="G22" i="3"/>
  <c r="G23" i="3"/>
  <c r="G28" i="3"/>
  <c r="G5" i="3"/>
  <c r="D17" i="17" l="1"/>
  <c r="D19" i="17" s="1"/>
  <c r="D18" i="17" l="1"/>
  <c r="C19" i="17"/>
  <c r="D26" i="17"/>
  <c r="D22" i="17"/>
  <c r="I7" i="17" l="1"/>
  <c r="J7" i="17" s="1"/>
  <c r="H7" i="17" s="1"/>
  <c r="L7" i="17"/>
  <c r="M7" i="17" s="1"/>
  <c r="K7" i="17" s="1"/>
  <c r="D20" i="8"/>
  <c r="L8" i="17" l="1"/>
  <c r="M8" i="17" s="1"/>
  <c r="I8" i="17"/>
  <c r="J8" i="17" s="1"/>
  <c r="Q8" i="10"/>
  <c r="Q9" i="10" s="1"/>
  <c r="Q10" i="10" s="1"/>
  <c r="Q11" i="10" s="1"/>
  <c r="Q12" i="10" s="1"/>
  <c r="Q13" i="10" s="1"/>
  <c r="Q14" i="10" s="1"/>
  <c r="L9" i="17" l="1"/>
  <c r="M9" i="17" s="1"/>
  <c r="K8" i="17"/>
  <c r="I9" i="17"/>
  <c r="J9" i="17" s="1"/>
  <c r="H8" i="17"/>
  <c r="Q34" i="14"/>
  <c r="D22" i="8"/>
  <c r="D23" i="8"/>
  <c r="L10" i="17" l="1"/>
  <c r="M10" i="17" s="1"/>
  <c r="K10" i="17" s="1"/>
  <c r="K9" i="17"/>
  <c r="I10" i="17"/>
  <c r="J10" i="17" s="1"/>
  <c r="H9" i="17"/>
  <c r="R34" i="14"/>
  <c r="I11" i="17" l="1"/>
  <c r="J11" i="17" s="1"/>
  <c r="H10" i="17"/>
  <c r="L11" i="17"/>
  <c r="M11" i="17" s="1"/>
  <c r="I12" i="17" l="1"/>
  <c r="J12" i="17" s="1"/>
  <c r="H12" i="17" s="1"/>
  <c r="H11" i="17"/>
  <c r="L12" i="17"/>
  <c r="M12" i="17" s="1"/>
  <c r="K12" i="17" s="1"/>
  <c r="K11" i="17"/>
  <c r="N34" i="14"/>
  <c r="P34" i="14"/>
  <c r="O34" i="14"/>
  <c r="M34" i="14"/>
  <c r="H10" i="14"/>
  <c r="H9" i="14"/>
  <c r="D13" i="14"/>
  <c r="D12" i="14"/>
  <c r="I13" i="17" l="1"/>
  <c r="J13" i="17" s="1"/>
  <c r="H13" i="17" s="1"/>
  <c r="L13" i="17"/>
  <c r="M13" i="17" s="1"/>
  <c r="L36" i="14"/>
  <c r="N36" i="14" s="1"/>
  <c r="N35" i="14"/>
  <c r="K36" i="14"/>
  <c r="M36" i="14" s="1"/>
  <c r="L39" i="14"/>
  <c r="N39" i="14" s="1"/>
  <c r="K39" i="14"/>
  <c r="M39" i="14" s="1"/>
  <c r="M35" i="14"/>
  <c r="N38" i="14"/>
  <c r="M38" i="14"/>
  <c r="G12" i="14"/>
  <c r="I14" i="17" l="1"/>
  <c r="J14" i="17" s="1"/>
  <c r="H14" i="17" s="1"/>
  <c r="L14" i="17"/>
  <c r="M14" i="17" s="1"/>
  <c r="K14" i="17" s="1"/>
  <c r="K13" i="17"/>
  <c r="G13" i="14"/>
  <c r="L34" i="14" s="1"/>
  <c r="K34" i="14"/>
  <c r="L15" i="17" l="1"/>
  <c r="M15" i="17" s="1"/>
  <c r="K15" i="17" s="1"/>
  <c r="I15" i="17"/>
  <c r="J15" i="17" s="1"/>
  <c r="H15" i="17" s="1"/>
  <c r="Q37" i="14"/>
  <c r="L37" i="14"/>
  <c r="N37" i="14" s="1"/>
  <c r="L40" i="14"/>
  <c r="N40" i="14" s="1"/>
  <c r="P37" i="14"/>
  <c r="K37" i="14"/>
  <c r="M37" i="14" s="1"/>
  <c r="K40" i="14"/>
  <c r="M40" i="14" s="1"/>
  <c r="I40" i="13"/>
  <c r="F44" i="13"/>
  <c r="G44" i="13"/>
  <c r="H44" i="13"/>
  <c r="I44" i="13"/>
  <c r="J44" i="13"/>
  <c r="K44" i="13"/>
  <c r="L44" i="13"/>
  <c r="M44" i="13"/>
  <c r="F45" i="13"/>
  <c r="G45" i="13"/>
  <c r="H45" i="13"/>
  <c r="I45" i="13"/>
  <c r="J45" i="13"/>
  <c r="K45" i="13"/>
  <c r="L45" i="13"/>
  <c r="M45" i="13"/>
  <c r="F46" i="13"/>
  <c r="G46" i="13"/>
  <c r="H46" i="13"/>
  <c r="I46" i="13"/>
  <c r="J46" i="13"/>
  <c r="K46" i="13"/>
  <c r="L46" i="13"/>
  <c r="M46" i="13"/>
  <c r="F47" i="13"/>
  <c r="G47" i="13"/>
  <c r="H47" i="13"/>
  <c r="I47" i="13"/>
  <c r="J47" i="13"/>
  <c r="K47" i="13"/>
  <c r="L47" i="13"/>
  <c r="M47" i="13"/>
  <c r="F48" i="13"/>
  <c r="G48" i="13"/>
  <c r="H48" i="13"/>
  <c r="I48" i="13"/>
  <c r="J48" i="13"/>
  <c r="K48" i="13"/>
  <c r="L48" i="13"/>
  <c r="M48" i="13"/>
  <c r="F49" i="13"/>
  <c r="G49" i="13"/>
  <c r="H49" i="13"/>
  <c r="I49" i="13"/>
  <c r="J49" i="13"/>
  <c r="K49" i="13"/>
  <c r="L49" i="13"/>
  <c r="M49" i="13"/>
  <c r="G50" i="13"/>
  <c r="H50" i="13"/>
  <c r="I50" i="13"/>
  <c r="J50" i="13"/>
  <c r="K50" i="13"/>
  <c r="L50" i="13"/>
  <c r="M50" i="13"/>
  <c r="G51" i="13"/>
  <c r="H51" i="13"/>
  <c r="I51" i="13"/>
  <c r="J51" i="13"/>
  <c r="K51" i="13"/>
  <c r="L51" i="13"/>
  <c r="M51" i="13"/>
  <c r="G52" i="13"/>
  <c r="H52" i="13"/>
  <c r="I52" i="13"/>
  <c r="J52" i="13"/>
  <c r="K52" i="13"/>
  <c r="L52" i="13"/>
  <c r="M52" i="13"/>
  <c r="G53" i="13"/>
  <c r="H53" i="13"/>
  <c r="I53" i="13"/>
  <c r="J53" i="13"/>
  <c r="K53" i="13"/>
  <c r="L53" i="13"/>
  <c r="M53" i="13"/>
  <c r="G54" i="13"/>
  <c r="H54" i="13"/>
  <c r="I54" i="13"/>
  <c r="J54" i="13"/>
  <c r="K54" i="13"/>
  <c r="L54" i="13"/>
  <c r="M54" i="13"/>
  <c r="G55" i="13"/>
  <c r="H55" i="13"/>
  <c r="I55" i="13"/>
  <c r="J55" i="13"/>
  <c r="K55" i="13"/>
  <c r="L55" i="13"/>
  <c r="M55" i="13"/>
  <c r="G56" i="13"/>
  <c r="H56" i="13"/>
  <c r="I56" i="13"/>
  <c r="J56" i="13"/>
  <c r="K56" i="13"/>
  <c r="L56" i="13"/>
  <c r="M56" i="13"/>
  <c r="G57" i="13"/>
  <c r="H57" i="13"/>
  <c r="I57" i="13"/>
  <c r="J57" i="13"/>
  <c r="K57" i="13"/>
  <c r="L57" i="13"/>
  <c r="M57" i="13"/>
  <c r="G58" i="13"/>
  <c r="H58" i="13"/>
  <c r="I58" i="13"/>
  <c r="J58" i="13"/>
  <c r="K58" i="13"/>
  <c r="L58" i="13"/>
  <c r="M58" i="13"/>
  <c r="G59" i="13"/>
  <c r="H59" i="13"/>
  <c r="I59" i="13"/>
  <c r="J59" i="13"/>
  <c r="K59" i="13"/>
  <c r="L59" i="13"/>
  <c r="M59" i="13"/>
  <c r="G60" i="13"/>
  <c r="H60" i="13"/>
  <c r="I60" i="13"/>
  <c r="J60" i="13"/>
  <c r="K60" i="13"/>
  <c r="L60" i="13"/>
  <c r="M60" i="13"/>
  <c r="G61" i="13"/>
  <c r="H61" i="13"/>
  <c r="I61" i="13"/>
  <c r="J61" i="13"/>
  <c r="K61" i="13"/>
  <c r="L61" i="13"/>
  <c r="M61" i="13"/>
  <c r="G62" i="13"/>
  <c r="H62" i="13"/>
  <c r="I62" i="13"/>
  <c r="J62" i="13"/>
  <c r="K62" i="13"/>
  <c r="L62" i="13"/>
  <c r="M62" i="13"/>
  <c r="G63" i="13"/>
  <c r="H63" i="13"/>
  <c r="I63" i="13"/>
  <c r="J63" i="13"/>
  <c r="K63" i="13"/>
  <c r="L63" i="13"/>
  <c r="M63" i="13"/>
  <c r="G64" i="13"/>
  <c r="H64" i="13"/>
  <c r="I64" i="13"/>
  <c r="J64" i="13"/>
  <c r="K64" i="13"/>
  <c r="L64" i="13"/>
  <c r="M64" i="13"/>
  <c r="G65" i="13"/>
  <c r="H65" i="13"/>
  <c r="I65" i="13"/>
  <c r="J65" i="13"/>
  <c r="K65" i="13"/>
  <c r="L65" i="13"/>
  <c r="M65" i="13"/>
  <c r="G66" i="13"/>
  <c r="H66" i="13"/>
  <c r="I66" i="13"/>
  <c r="J66" i="13"/>
  <c r="K66" i="13"/>
  <c r="L66" i="13"/>
  <c r="M66" i="13"/>
  <c r="G67" i="13"/>
  <c r="H67" i="13"/>
  <c r="I67" i="13"/>
  <c r="J67" i="13"/>
  <c r="K67" i="13"/>
  <c r="L67" i="13"/>
  <c r="M67" i="13"/>
  <c r="G68" i="13"/>
  <c r="H68" i="13"/>
  <c r="I68" i="13"/>
  <c r="J68" i="13"/>
  <c r="K68" i="13"/>
  <c r="L68" i="13"/>
  <c r="M68" i="13"/>
  <c r="G69" i="13"/>
  <c r="H69" i="13"/>
  <c r="I69" i="13"/>
  <c r="J69" i="13"/>
  <c r="K69" i="13"/>
  <c r="L69" i="13"/>
  <c r="M69" i="13"/>
  <c r="G70" i="13"/>
  <c r="H70" i="13"/>
  <c r="I70" i="13"/>
  <c r="J70" i="13"/>
  <c r="K70" i="13"/>
  <c r="L70" i="13"/>
  <c r="M70" i="13"/>
  <c r="G71" i="13"/>
  <c r="H71" i="13"/>
  <c r="I71" i="13"/>
  <c r="J71" i="13"/>
  <c r="K71" i="13"/>
  <c r="L71" i="13"/>
  <c r="M71" i="13"/>
  <c r="G72" i="13"/>
  <c r="H72" i="13"/>
  <c r="I72" i="13"/>
  <c r="J72" i="13"/>
  <c r="K72" i="13"/>
  <c r="L72" i="13"/>
  <c r="M72" i="13"/>
  <c r="G73" i="13"/>
  <c r="H73" i="13"/>
  <c r="I73" i="13"/>
  <c r="J73" i="13"/>
  <c r="K73" i="13"/>
  <c r="L73" i="13"/>
  <c r="M73" i="13"/>
  <c r="G74" i="13"/>
  <c r="H74" i="13"/>
  <c r="I74" i="13"/>
  <c r="J74" i="13"/>
  <c r="K74" i="13"/>
  <c r="L74" i="13"/>
  <c r="M74" i="13"/>
  <c r="G75" i="13"/>
  <c r="H75" i="13"/>
  <c r="I75" i="13"/>
  <c r="J75" i="13"/>
  <c r="K75" i="13"/>
  <c r="L75" i="13"/>
  <c r="M75" i="13"/>
  <c r="G76" i="13"/>
  <c r="H76" i="13"/>
  <c r="I76" i="13"/>
  <c r="J76" i="13"/>
  <c r="K76" i="13"/>
  <c r="L76" i="13"/>
  <c r="M76" i="13"/>
  <c r="G77" i="13"/>
  <c r="H77" i="13"/>
  <c r="I77" i="13"/>
  <c r="J77" i="13"/>
  <c r="K77" i="13"/>
  <c r="L77" i="13"/>
  <c r="M77" i="13"/>
  <c r="G78" i="13"/>
  <c r="H78" i="13"/>
  <c r="I78" i="13"/>
  <c r="J78" i="13"/>
  <c r="K78" i="13"/>
  <c r="L78" i="13"/>
  <c r="M78" i="13"/>
  <c r="G79" i="13"/>
  <c r="H79" i="13"/>
  <c r="I79" i="13"/>
  <c r="J79" i="13"/>
  <c r="K79" i="13"/>
  <c r="L79" i="13"/>
  <c r="M79" i="13"/>
  <c r="G80" i="13"/>
  <c r="H80" i="13"/>
  <c r="I80" i="13"/>
  <c r="J80" i="13"/>
  <c r="K80" i="13"/>
  <c r="L80" i="13"/>
  <c r="M80" i="13"/>
  <c r="G81" i="13"/>
  <c r="H81" i="13"/>
  <c r="I81" i="13"/>
  <c r="J81" i="13"/>
  <c r="K81" i="13"/>
  <c r="L81" i="13"/>
  <c r="M81" i="13"/>
  <c r="G82" i="13"/>
  <c r="H82" i="13"/>
  <c r="I82" i="13"/>
  <c r="J82" i="13"/>
  <c r="K82" i="13"/>
  <c r="L82" i="13"/>
  <c r="M82" i="13"/>
  <c r="G83" i="13"/>
  <c r="H83" i="13"/>
  <c r="I83" i="13"/>
  <c r="J83" i="13"/>
  <c r="K83" i="13"/>
  <c r="L83" i="13"/>
  <c r="M83" i="13"/>
  <c r="G84" i="13"/>
  <c r="H84" i="13"/>
  <c r="I84" i="13"/>
  <c r="J84" i="13"/>
  <c r="K84" i="13"/>
  <c r="L84" i="13"/>
  <c r="M84" i="13"/>
  <c r="G85" i="13"/>
  <c r="H85" i="13"/>
  <c r="I85" i="13"/>
  <c r="J85" i="13"/>
  <c r="K85" i="13"/>
  <c r="L85" i="13"/>
  <c r="M85" i="13"/>
  <c r="G86" i="13"/>
  <c r="H86" i="13"/>
  <c r="I86" i="13"/>
  <c r="J86" i="13"/>
  <c r="K86" i="13"/>
  <c r="L86" i="13"/>
  <c r="M86" i="13"/>
  <c r="G87" i="13"/>
  <c r="H87" i="13"/>
  <c r="I87" i="13"/>
  <c r="J87" i="13"/>
  <c r="K87" i="13"/>
  <c r="L87" i="13"/>
  <c r="M87" i="13"/>
  <c r="G88" i="13"/>
  <c r="H88" i="13"/>
  <c r="I88" i="13"/>
  <c r="J88" i="13"/>
  <c r="K88" i="13"/>
  <c r="L88" i="13"/>
  <c r="M88" i="13"/>
  <c r="G89" i="13"/>
  <c r="H89" i="13"/>
  <c r="I89" i="13"/>
  <c r="J89" i="13"/>
  <c r="K89" i="13"/>
  <c r="L89" i="13"/>
  <c r="M89" i="13"/>
  <c r="G90" i="13"/>
  <c r="H90" i="13"/>
  <c r="I90" i="13"/>
  <c r="J90" i="13"/>
  <c r="K90" i="13"/>
  <c r="L90" i="13"/>
  <c r="M90" i="13"/>
  <c r="G91" i="13"/>
  <c r="H91" i="13"/>
  <c r="I91" i="13"/>
  <c r="J91" i="13"/>
  <c r="K91" i="13"/>
  <c r="L91" i="13"/>
  <c r="M91" i="13"/>
  <c r="G92" i="13"/>
  <c r="H92" i="13"/>
  <c r="I92" i="13"/>
  <c r="J92" i="13"/>
  <c r="K92" i="13"/>
  <c r="L92" i="13"/>
  <c r="M92" i="13"/>
  <c r="G93" i="13"/>
  <c r="H93" i="13"/>
  <c r="I93" i="13"/>
  <c r="J93" i="13"/>
  <c r="K93" i="13"/>
  <c r="L93" i="13"/>
  <c r="M93" i="13"/>
  <c r="G94" i="13"/>
  <c r="H94" i="13"/>
  <c r="I94" i="13"/>
  <c r="J94" i="13"/>
  <c r="K94" i="13"/>
  <c r="L94" i="13"/>
  <c r="M94" i="13"/>
  <c r="G95" i="13"/>
  <c r="H95" i="13"/>
  <c r="I95" i="13"/>
  <c r="J95" i="13"/>
  <c r="K95" i="13"/>
  <c r="L95" i="13"/>
  <c r="M95" i="13"/>
  <c r="G96" i="13"/>
  <c r="H96" i="13"/>
  <c r="I96" i="13"/>
  <c r="J96" i="13"/>
  <c r="K96" i="13"/>
  <c r="L96" i="13"/>
  <c r="M96" i="13"/>
  <c r="G97" i="13"/>
  <c r="H97" i="13"/>
  <c r="I97" i="13"/>
  <c r="J97" i="13"/>
  <c r="K97" i="13"/>
  <c r="L97" i="13"/>
  <c r="M97" i="13"/>
  <c r="G98" i="13"/>
  <c r="H98" i="13"/>
  <c r="I98" i="13"/>
  <c r="J98" i="13"/>
  <c r="K98" i="13"/>
  <c r="L98" i="13"/>
  <c r="M98" i="13"/>
  <c r="G99" i="13"/>
  <c r="H99" i="13"/>
  <c r="I99" i="13"/>
  <c r="J99" i="13"/>
  <c r="K99" i="13"/>
  <c r="L99" i="13"/>
  <c r="M99" i="13"/>
  <c r="G100" i="13"/>
  <c r="H100" i="13"/>
  <c r="I100" i="13"/>
  <c r="J100" i="13"/>
  <c r="K100" i="13"/>
  <c r="L100" i="13"/>
  <c r="M100" i="13"/>
  <c r="G101" i="13"/>
  <c r="H101" i="13"/>
  <c r="I101" i="13"/>
  <c r="J101" i="13"/>
  <c r="K101" i="13"/>
  <c r="L101" i="13"/>
  <c r="M101" i="13"/>
  <c r="G102" i="13"/>
  <c r="H102" i="13"/>
  <c r="I102" i="13"/>
  <c r="J102" i="13"/>
  <c r="K102" i="13"/>
  <c r="L102" i="13"/>
  <c r="M102" i="13"/>
  <c r="G103" i="13"/>
  <c r="H103" i="13"/>
  <c r="I103" i="13"/>
  <c r="J103" i="13"/>
  <c r="K103" i="13"/>
  <c r="L103" i="13"/>
  <c r="M103" i="13"/>
  <c r="G104" i="13"/>
  <c r="H104" i="13"/>
  <c r="I104" i="13"/>
  <c r="J104" i="13"/>
  <c r="K104" i="13"/>
  <c r="L104" i="13"/>
  <c r="M104" i="13"/>
  <c r="G105" i="13"/>
  <c r="H105" i="13"/>
  <c r="I105" i="13"/>
  <c r="J105" i="13"/>
  <c r="K105" i="13"/>
  <c r="L105" i="13"/>
  <c r="M105" i="13"/>
  <c r="G106" i="13"/>
  <c r="H106" i="13"/>
  <c r="I106" i="13"/>
  <c r="J106" i="13"/>
  <c r="K106" i="13"/>
  <c r="L106" i="13"/>
  <c r="M106" i="13"/>
  <c r="G107" i="13"/>
  <c r="H107" i="13"/>
  <c r="I107" i="13"/>
  <c r="J107" i="13"/>
  <c r="K107" i="13"/>
  <c r="L107" i="13"/>
  <c r="M107" i="13"/>
  <c r="G108" i="13"/>
  <c r="H108" i="13"/>
  <c r="I108" i="13"/>
  <c r="J108" i="13"/>
  <c r="K108" i="13"/>
  <c r="L108" i="13"/>
  <c r="M108" i="13"/>
  <c r="G109" i="13"/>
  <c r="H109" i="13"/>
  <c r="I109" i="13"/>
  <c r="J109" i="13"/>
  <c r="K109" i="13"/>
  <c r="L109" i="13"/>
  <c r="M109" i="13"/>
  <c r="G110" i="13"/>
  <c r="H110" i="13"/>
  <c r="I110" i="13"/>
  <c r="J110" i="13"/>
  <c r="K110" i="13"/>
  <c r="L110" i="13"/>
  <c r="M110" i="13"/>
  <c r="G111" i="13"/>
  <c r="H111" i="13"/>
  <c r="I111" i="13"/>
  <c r="J111" i="13"/>
  <c r="K111" i="13"/>
  <c r="L111" i="13"/>
  <c r="M111" i="13"/>
  <c r="G112" i="13"/>
  <c r="H112" i="13"/>
  <c r="I112" i="13"/>
  <c r="J112" i="13"/>
  <c r="K112" i="13"/>
  <c r="L112" i="13"/>
  <c r="M112" i="13"/>
  <c r="G113" i="13"/>
  <c r="H113" i="13"/>
  <c r="I113" i="13"/>
  <c r="J113" i="13"/>
  <c r="K113" i="13"/>
  <c r="L113" i="13"/>
  <c r="M113" i="13"/>
  <c r="G114" i="13"/>
  <c r="H114" i="13"/>
  <c r="I114" i="13"/>
  <c r="J114" i="13"/>
  <c r="K114" i="13"/>
  <c r="L114" i="13"/>
  <c r="M114" i="13"/>
  <c r="G115" i="13"/>
  <c r="H115" i="13"/>
  <c r="I115" i="13"/>
  <c r="J115" i="13"/>
  <c r="K115" i="13"/>
  <c r="L115" i="13"/>
  <c r="M115" i="13"/>
  <c r="G116" i="13"/>
  <c r="H116" i="13"/>
  <c r="I116" i="13"/>
  <c r="J116" i="13"/>
  <c r="K116" i="13"/>
  <c r="L116" i="13"/>
  <c r="M116" i="13"/>
  <c r="G117" i="13"/>
  <c r="H117" i="13"/>
  <c r="I117" i="13"/>
  <c r="J117" i="13"/>
  <c r="K117" i="13"/>
  <c r="L117" i="13"/>
  <c r="M117" i="13"/>
  <c r="G118" i="13"/>
  <c r="H118" i="13"/>
  <c r="I118" i="13"/>
  <c r="J118" i="13"/>
  <c r="K118" i="13"/>
  <c r="L118" i="13"/>
  <c r="M118" i="13"/>
  <c r="G119" i="13"/>
  <c r="H119" i="13"/>
  <c r="I119" i="13"/>
  <c r="J119" i="13"/>
  <c r="K119" i="13"/>
  <c r="L119" i="13"/>
  <c r="M119" i="13"/>
  <c r="G120" i="13"/>
  <c r="H120" i="13"/>
  <c r="I120" i="13"/>
  <c r="J120" i="13"/>
  <c r="K120" i="13"/>
  <c r="L120" i="13"/>
  <c r="M120" i="13"/>
  <c r="G121" i="13"/>
  <c r="H121" i="13"/>
  <c r="I121" i="13"/>
  <c r="J121" i="13"/>
  <c r="K121" i="13"/>
  <c r="L121" i="13"/>
  <c r="M121" i="13"/>
  <c r="G122" i="13"/>
  <c r="H122" i="13"/>
  <c r="I122" i="13"/>
  <c r="J122" i="13"/>
  <c r="K122" i="13"/>
  <c r="L122" i="13"/>
  <c r="M122" i="13"/>
  <c r="G123" i="13"/>
  <c r="H123" i="13"/>
  <c r="I123" i="13"/>
  <c r="J123" i="13"/>
  <c r="K123" i="13"/>
  <c r="L123" i="13"/>
  <c r="M123" i="13"/>
  <c r="G124" i="13"/>
  <c r="H124" i="13"/>
  <c r="I124" i="13"/>
  <c r="J124" i="13"/>
  <c r="K124" i="13"/>
  <c r="L124" i="13"/>
  <c r="M124" i="13"/>
  <c r="G125" i="13"/>
  <c r="H125" i="13"/>
  <c r="I125" i="13"/>
  <c r="J125" i="13"/>
  <c r="K125" i="13"/>
  <c r="L125" i="13"/>
  <c r="M125" i="13"/>
  <c r="G126" i="13"/>
  <c r="H126" i="13"/>
  <c r="I126" i="13"/>
  <c r="J126" i="13"/>
  <c r="K126" i="13"/>
  <c r="L126" i="13"/>
  <c r="M126" i="13"/>
  <c r="G127" i="13"/>
  <c r="H127" i="13"/>
  <c r="I127" i="13"/>
  <c r="J127" i="13"/>
  <c r="K127" i="13"/>
  <c r="L127" i="13"/>
  <c r="M127" i="13"/>
  <c r="G128" i="13"/>
  <c r="H128" i="13"/>
  <c r="I128" i="13"/>
  <c r="J128" i="13"/>
  <c r="K128" i="13"/>
  <c r="L128" i="13"/>
  <c r="M128" i="13"/>
  <c r="G129" i="13"/>
  <c r="H129" i="13"/>
  <c r="I129" i="13"/>
  <c r="J129" i="13"/>
  <c r="K129" i="13"/>
  <c r="L129" i="13"/>
  <c r="M129" i="13"/>
  <c r="G130" i="13"/>
  <c r="H130" i="13"/>
  <c r="I130" i="13"/>
  <c r="J130" i="13"/>
  <c r="K130" i="13"/>
  <c r="L130" i="13"/>
  <c r="M130" i="13"/>
  <c r="G131" i="13"/>
  <c r="H131" i="13"/>
  <c r="I131" i="13"/>
  <c r="J131" i="13"/>
  <c r="K131" i="13"/>
  <c r="L131" i="13"/>
  <c r="M131" i="13"/>
  <c r="G132" i="13"/>
  <c r="H132" i="13"/>
  <c r="I132" i="13"/>
  <c r="J132" i="13"/>
  <c r="K132" i="13"/>
  <c r="L132" i="13"/>
  <c r="M132" i="13"/>
  <c r="G133" i="13"/>
  <c r="H133" i="13"/>
  <c r="I133" i="13"/>
  <c r="J133" i="13"/>
  <c r="K133" i="13"/>
  <c r="L133" i="13"/>
  <c r="M133" i="13"/>
  <c r="G134" i="13"/>
  <c r="H134" i="13"/>
  <c r="I134" i="13"/>
  <c r="J134" i="13"/>
  <c r="K134" i="13"/>
  <c r="L134" i="13"/>
  <c r="M134" i="13"/>
  <c r="G135" i="13"/>
  <c r="H135" i="13"/>
  <c r="I135" i="13"/>
  <c r="J135" i="13"/>
  <c r="K135" i="13"/>
  <c r="L135" i="13"/>
  <c r="M135" i="13"/>
  <c r="G136" i="13"/>
  <c r="H136" i="13"/>
  <c r="I136" i="13"/>
  <c r="J136" i="13"/>
  <c r="K136" i="13"/>
  <c r="L136" i="13"/>
  <c r="M136" i="13"/>
  <c r="G137" i="13"/>
  <c r="H137" i="13"/>
  <c r="I137" i="13"/>
  <c r="J137" i="13"/>
  <c r="K137" i="13"/>
  <c r="L137" i="13"/>
  <c r="M137" i="13"/>
  <c r="G138" i="13"/>
  <c r="H138" i="13"/>
  <c r="I138" i="13"/>
  <c r="J138" i="13"/>
  <c r="K138" i="13"/>
  <c r="L138" i="13"/>
  <c r="M138" i="13"/>
  <c r="G139" i="13"/>
  <c r="H139" i="13"/>
  <c r="I139" i="13"/>
  <c r="J139" i="13"/>
  <c r="K139" i="13"/>
  <c r="L139" i="13"/>
  <c r="M139" i="13"/>
  <c r="G140" i="13"/>
  <c r="H140" i="13"/>
  <c r="I140" i="13"/>
  <c r="J140" i="13"/>
  <c r="K140" i="13"/>
  <c r="L140" i="13"/>
  <c r="M140" i="13"/>
  <c r="G141" i="13"/>
  <c r="H141" i="13"/>
  <c r="I141" i="13"/>
  <c r="J141" i="13"/>
  <c r="K141" i="13"/>
  <c r="L141" i="13"/>
  <c r="M141" i="13"/>
  <c r="G142" i="13"/>
  <c r="H142" i="13"/>
  <c r="I142" i="13"/>
  <c r="J142" i="13"/>
  <c r="K142" i="13"/>
  <c r="L142" i="13"/>
  <c r="M142" i="13"/>
  <c r="G143" i="13"/>
  <c r="H143" i="13"/>
  <c r="I143" i="13"/>
  <c r="J143" i="13"/>
  <c r="K143" i="13"/>
  <c r="L143" i="13"/>
  <c r="M143" i="13"/>
  <c r="G144" i="13"/>
  <c r="H144" i="13"/>
  <c r="I144" i="13"/>
  <c r="J144" i="13"/>
  <c r="K144" i="13"/>
  <c r="L144" i="13"/>
  <c r="M144" i="13"/>
  <c r="G145" i="13"/>
  <c r="H145" i="13"/>
  <c r="I145" i="13"/>
  <c r="J145" i="13"/>
  <c r="K145" i="13"/>
  <c r="L145" i="13"/>
  <c r="M145" i="13"/>
  <c r="G146" i="13"/>
  <c r="H146" i="13"/>
  <c r="I146" i="13"/>
  <c r="J146" i="13"/>
  <c r="K146" i="13"/>
  <c r="L146" i="13"/>
  <c r="M146" i="13"/>
  <c r="G147" i="13"/>
  <c r="H147" i="13"/>
  <c r="I147" i="13"/>
  <c r="J147" i="13"/>
  <c r="K147" i="13"/>
  <c r="L147" i="13"/>
  <c r="M147" i="13"/>
  <c r="G148" i="13"/>
  <c r="H148" i="13"/>
  <c r="I148" i="13"/>
  <c r="J148" i="13"/>
  <c r="K148" i="13"/>
  <c r="L148" i="13"/>
  <c r="M148" i="13"/>
  <c r="G149" i="13"/>
  <c r="H149" i="13"/>
  <c r="I149" i="13"/>
  <c r="J149" i="13"/>
  <c r="K149" i="13"/>
  <c r="L149" i="13"/>
  <c r="M149" i="13"/>
  <c r="G150" i="13"/>
  <c r="H150" i="13"/>
  <c r="I150" i="13"/>
  <c r="J150" i="13"/>
  <c r="K150" i="13"/>
  <c r="L150" i="13"/>
  <c r="M150" i="13"/>
  <c r="G151" i="13"/>
  <c r="H151" i="13"/>
  <c r="I151" i="13"/>
  <c r="J151" i="13"/>
  <c r="K151" i="13"/>
  <c r="L151" i="13"/>
  <c r="M151" i="13"/>
  <c r="G152" i="13"/>
  <c r="H152" i="13"/>
  <c r="I152" i="13"/>
  <c r="J152" i="13"/>
  <c r="K152" i="13"/>
  <c r="L152" i="13"/>
  <c r="M152" i="13"/>
  <c r="G153" i="13"/>
  <c r="H153" i="13"/>
  <c r="I153" i="13"/>
  <c r="J153" i="13"/>
  <c r="K153" i="13"/>
  <c r="L153" i="13"/>
  <c r="M153" i="13"/>
  <c r="G154" i="13"/>
  <c r="H154" i="13"/>
  <c r="I154" i="13"/>
  <c r="J154" i="13"/>
  <c r="K154" i="13"/>
  <c r="L154" i="13"/>
  <c r="M154" i="13"/>
  <c r="G155" i="13"/>
  <c r="H155" i="13"/>
  <c r="I155" i="13"/>
  <c r="J155" i="13"/>
  <c r="K155" i="13"/>
  <c r="L155" i="13"/>
  <c r="M155" i="13"/>
  <c r="G156" i="13"/>
  <c r="H156" i="13"/>
  <c r="I156" i="13"/>
  <c r="J156" i="13"/>
  <c r="K156" i="13"/>
  <c r="L156" i="13"/>
  <c r="M156" i="13"/>
  <c r="G157" i="13"/>
  <c r="H157" i="13"/>
  <c r="I157" i="13"/>
  <c r="J157" i="13"/>
  <c r="K157" i="13"/>
  <c r="L157" i="13"/>
  <c r="M157" i="13"/>
  <c r="G158" i="13"/>
  <c r="H158" i="13"/>
  <c r="I158" i="13"/>
  <c r="J158" i="13"/>
  <c r="K158" i="13"/>
  <c r="L158" i="13"/>
  <c r="M158" i="13"/>
  <c r="G159" i="13"/>
  <c r="H159" i="13"/>
  <c r="I159" i="13"/>
  <c r="J159" i="13"/>
  <c r="K159" i="13"/>
  <c r="L159" i="13"/>
  <c r="M159" i="13"/>
  <c r="G160" i="13"/>
  <c r="H160" i="13"/>
  <c r="I160" i="13"/>
  <c r="J160" i="13"/>
  <c r="K160" i="13"/>
  <c r="L160" i="13"/>
  <c r="M160" i="13"/>
  <c r="G161" i="13"/>
  <c r="H161" i="13"/>
  <c r="I161" i="13"/>
  <c r="J161" i="13"/>
  <c r="K161" i="13"/>
  <c r="L161" i="13"/>
  <c r="M161" i="13"/>
  <c r="G162" i="13"/>
  <c r="H162" i="13"/>
  <c r="I162" i="13"/>
  <c r="J162" i="13"/>
  <c r="K162" i="13"/>
  <c r="L162" i="13"/>
  <c r="M162" i="13"/>
  <c r="G163" i="13"/>
  <c r="H163" i="13"/>
  <c r="I163" i="13"/>
  <c r="J163" i="13"/>
  <c r="K163" i="13"/>
  <c r="L163" i="13"/>
  <c r="M163" i="13"/>
  <c r="G164" i="13"/>
  <c r="H164" i="13"/>
  <c r="I164" i="13"/>
  <c r="J164" i="13"/>
  <c r="K164" i="13"/>
  <c r="L164" i="13"/>
  <c r="M164" i="13"/>
  <c r="G165" i="13"/>
  <c r="H165" i="13"/>
  <c r="I165" i="13"/>
  <c r="J165" i="13"/>
  <c r="K165" i="13"/>
  <c r="L165" i="13"/>
  <c r="M165" i="13"/>
  <c r="G166" i="13"/>
  <c r="H166" i="13"/>
  <c r="I166" i="13"/>
  <c r="J166" i="13"/>
  <c r="K166" i="13"/>
  <c r="L166" i="13"/>
  <c r="M166" i="13"/>
  <c r="G167" i="13"/>
  <c r="H167" i="13"/>
  <c r="I167" i="13"/>
  <c r="J167" i="13"/>
  <c r="K167" i="13"/>
  <c r="L167" i="13"/>
  <c r="M167" i="13"/>
  <c r="G168" i="13"/>
  <c r="H168" i="13"/>
  <c r="I168" i="13"/>
  <c r="J168" i="13"/>
  <c r="K168" i="13"/>
  <c r="L168" i="13"/>
  <c r="M168" i="13"/>
  <c r="G169" i="13"/>
  <c r="H169" i="13"/>
  <c r="I169" i="13"/>
  <c r="J169" i="13"/>
  <c r="K169" i="13"/>
  <c r="L169" i="13"/>
  <c r="M169" i="13"/>
  <c r="G170" i="13"/>
  <c r="H170" i="13"/>
  <c r="I170" i="13"/>
  <c r="J170" i="13"/>
  <c r="K170" i="13"/>
  <c r="L170" i="13"/>
  <c r="M170" i="13"/>
  <c r="G171" i="13"/>
  <c r="H171" i="13"/>
  <c r="I171" i="13"/>
  <c r="J171" i="13"/>
  <c r="K171" i="13"/>
  <c r="L171" i="13"/>
  <c r="M171" i="13"/>
  <c r="G172" i="13"/>
  <c r="H172" i="13"/>
  <c r="I172" i="13"/>
  <c r="J172" i="13"/>
  <c r="K172" i="13"/>
  <c r="L172" i="13"/>
  <c r="M172" i="13"/>
  <c r="G173" i="13"/>
  <c r="H173" i="13"/>
  <c r="I173" i="13"/>
  <c r="J173" i="13"/>
  <c r="K173" i="13"/>
  <c r="L173" i="13"/>
  <c r="M173" i="13"/>
  <c r="G174" i="13"/>
  <c r="H174" i="13"/>
  <c r="I174" i="13"/>
  <c r="J174" i="13"/>
  <c r="K174" i="13"/>
  <c r="L174" i="13"/>
  <c r="M174" i="13"/>
  <c r="G175" i="13"/>
  <c r="H175" i="13"/>
  <c r="I175" i="13"/>
  <c r="J175" i="13"/>
  <c r="K175" i="13"/>
  <c r="L175" i="13"/>
  <c r="M175" i="13"/>
  <c r="G176" i="13"/>
  <c r="H176" i="13"/>
  <c r="I176" i="13"/>
  <c r="J176" i="13"/>
  <c r="K176" i="13"/>
  <c r="L176" i="13"/>
  <c r="M176" i="13"/>
  <c r="G177" i="13"/>
  <c r="H177" i="13"/>
  <c r="I177" i="13"/>
  <c r="J177" i="13"/>
  <c r="K177" i="13"/>
  <c r="L177" i="13"/>
  <c r="M177" i="13"/>
  <c r="G178" i="13"/>
  <c r="H178" i="13"/>
  <c r="I178" i="13"/>
  <c r="J178" i="13"/>
  <c r="K178" i="13"/>
  <c r="L178" i="13"/>
  <c r="M178" i="13"/>
  <c r="G179" i="13"/>
  <c r="H179" i="13"/>
  <c r="I179" i="13"/>
  <c r="J179" i="13"/>
  <c r="K179" i="13"/>
  <c r="L179" i="13"/>
  <c r="M179" i="13"/>
  <c r="G180" i="13"/>
  <c r="H180" i="13"/>
  <c r="I180" i="13"/>
  <c r="J180" i="13"/>
  <c r="K180" i="13"/>
  <c r="L180" i="13"/>
  <c r="M180" i="13"/>
  <c r="G181" i="13"/>
  <c r="H181" i="13"/>
  <c r="I181" i="13"/>
  <c r="J181" i="13"/>
  <c r="K181" i="13"/>
  <c r="L181" i="13"/>
  <c r="M181" i="13"/>
  <c r="G182" i="13"/>
  <c r="H182" i="13"/>
  <c r="I182" i="13"/>
  <c r="J182" i="13"/>
  <c r="K182" i="13"/>
  <c r="L182" i="13"/>
  <c r="M182" i="13"/>
  <c r="G183" i="13"/>
  <c r="H183" i="13"/>
  <c r="I183" i="13"/>
  <c r="J183" i="13"/>
  <c r="K183" i="13"/>
  <c r="L183" i="13"/>
  <c r="M183" i="13"/>
  <c r="G184" i="13"/>
  <c r="H184" i="13"/>
  <c r="I184" i="13"/>
  <c r="J184" i="13"/>
  <c r="K184" i="13"/>
  <c r="L184" i="13"/>
  <c r="M184" i="13"/>
  <c r="G185" i="13"/>
  <c r="H185" i="13"/>
  <c r="I185" i="13"/>
  <c r="J185" i="13"/>
  <c r="K185" i="13"/>
  <c r="L185" i="13"/>
  <c r="M185" i="13"/>
  <c r="G186" i="13"/>
  <c r="H186" i="13"/>
  <c r="I186" i="13"/>
  <c r="J186" i="13"/>
  <c r="K186" i="13"/>
  <c r="L186" i="13"/>
  <c r="M186" i="13"/>
  <c r="G187" i="13"/>
  <c r="H187" i="13"/>
  <c r="I187" i="13"/>
  <c r="J187" i="13"/>
  <c r="K187" i="13"/>
  <c r="L187" i="13"/>
  <c r="M187" i="13"/>
  <c r="G188" i="13"/>
  <c r="H188" i="13"/>
  <c r="I188" i="13"/>
  <c r="J188" i="13"/>
  <c r="K188" i="13"/>
  <c r="L188" i="13"/>
  <c r="M188" i="13"/>
  <c r="G189" i="13"/>
  <c r="H189" i="13"/>
  <c r="I189" i="13"/>
  <c r="J189" i="13"/>
  <c r="K189" i="13"/>
  <c r="L189" i="13"/>
  <c r="M189" i="13"/>
  <c r="G190" i="13"/>
  <c r="H190" i="13"/>
  <c r="I190" i="13"/>
  <c r="J190" i="13"/>
  <c r="K190" i="13"/>
  <c r="L190" i="13"/>
  <c r="M190" i="13"/>
  <c r="G191" i="13"/>
  <c r="H191" i="13"/>
  <c r="I191" i="13"/>
  <c r="J191" i="13"/>
  <c r="K191" i="13"/>
  <c r="L191" i="13"/>
  <c r="M191" i="13"/>
  <c r="G192" i="13"/>
  <c r="H192" i="13"/>
  <c r="I192" i="13"/>
  <c r="J192" i="13"/>
  <c r="K192" i="13"/>
  <c r="L192" i="13"/>
  <c r="M192" i="13"/>
  <c r="G43" i="13"/>
  <c r="H43" i="13"/>
  <c r="I43" i="13"/>
  <c r="J43" i="13"/>
  <c r="K43" i="13"/>
  <c r="L43" i="13"/>
  <c r="M43" i="13"/>
  <c r="F43" i="13"/>
  <c r="G42" i="13"/>
  <c r="H42" i="13"/>
  <c r="I42" i="13"/>
  <c r="J42" i="13"/>
  <c r="K42" i="13"/>
  <c r="L42" i="13"/>
  <c r="M42" i="13"/>
  <c r="F42" i="13"/>
  <c r="E42" i="13"/>
  <c r="G40" i="13"/>
  <c r="F40" i="13"/>
  <c r="E40" i="13"/>
  <c r="D40" i="13"/>
  <c r="N10" i="13"/>
  <c r="M10" i="13"/>
  <c r="M7" i="13"/>
  <c r="E11" i="13"/>
  <c r="E13" i="13" s="1"/>
  <c r="F11" i="13"/>
  <c r="F13" i="13" s="1"/>
  <c r="G11" i="13"/>
  <c r="G13" i="13" s="1"/>
  <c r="H11" i="13"/>
  <c r="H13" i="13" s="1"/>
  <c r="I11" i="13"/>
  <c r="I13" i="13" s="1"/>
  <c r="J11" i="13"/>
  <c r="J13" i="13" s="1"/>
  <c r="K11" i="13"/>
  <c r="K13" i="13" s="1"/>
  <c r="D11" i="13"/>
  <c r="D13" i="13" s="1"/>
  <c r="C13" i="13"/>
  <c r="C11" i="13"/>
  <c r="C9" i="13"/>
  <c r="C8" i="13"/>
  <c r="C7" i="13"/>
  <c r="I16" i="17" l="1"/>
  <c r="J16" i="17" s="1"/>
  <c r="H16" i="17" s="1"/>
  <c r="L16" i="17"/>
  <c r="M16" i="17" s="1"/>
  <c r="K16" i="17" s="1"/>
  <c r="M41" i="14"/>
  <c r="N41" i="14" s="1"/>
  <c r="L41" i="14"/>
  <c r="D42" i="13"/>
  <c r="D11" i="12"/>
  <c r="D15" i="12" s="1"/>
  <c r="C17" i="12"/>
  <c r="C16" i="12"/>
  <c r="C13" i="12"/>
  <c r="C12" i="12"/>
  <c r="C9" i="12"/>
  <c r="J10" i="11"/>
  <c r="J11" i="11" s="1"/>
  <c r="I10" i="11"/>
  <c r="G10" i="11"/>
  <c r="G11" i="11" s="1"/>
  <c r="F10" i="11"/>
  <c r="I17" i="17" l="1"/>
  <c r="J17" i="17" s="1"/>
  <c r="H17" i="17" s="1"/>
  <c r="L17" i="17"/>
  <c r="M17" i="17" s="1"/>
  <c r="K17" i="17" s="1"/>
  <c r="E43" i="13"/>
  <c r="D43" i="13" s="1"/>
  <c r="D17" i="12"/>
  <c r="D16" i="12"/>
  <c r="D12" i="12"/>
  <c r="D13" i="12"/>
  <c r="I7" i="10"/>
  <c r="I14" i="10"/>
  <c r="I12" i="10"/>
  <c r="I11" i="10"/>
  <c r="F11" i="10"/>
  <c r="F13" i="10"/>
  <c r="F12" i="10"/>
  <c r="D20" i="10"/>
  <c r="M16" i="10" s="1"/>
  <c r="D19" i="10"/>
  <c r="D18" i="10"/>
  <c r="D17" i="10"/>
  <c r="M8" i="10" s="1"/>
  <c r="C20" i="10"/>
  <c r="C19" i="10"/>
  <c r="C18" i="10"/>
  <c r="C17" i="10"/>
  <c r="C13" i="10"/>
  <c r="C10" i="10"/>
  <c r="J18" i="7"/>
  <c r="J19" i="7"/>
  <c r="I12" i="7"/>
  <c r="L17" i="7"/>
  <c r="C26" i="7"/>
  <c r="L18" i="17" l="1"/>
  <c r="M18" i="17" s="1"/>
  <c r="K18" i="17" s="1"/>
  <c r="I18" i="17"/>
  <c r="J18" i="17" s="1"/>
  <c r="H18" i="17" s="1"/>
  <c r="E44" i="13"/>
  <c r="D44" i="13" s="1"/>
  <c r="D10" i="10"/>
  <c r="G12" i="10"/>
  <c r="D13" i="10"/>
  <c r="L19" i="17" l="1"/>
  <c r="M19" i="17" s="1"/>
  <c r="K19" i="17" s="1"/>
  <c r="I19" i="17"/>
  <c r="J19" i="17" s="1"/>
  <c r="H19" i="17" s="1"/>
  <c r="O8" i="10"/>
  <c r="N8" i="10"/>
  <c r="O16" i="10"/>
  <c r="N16" i="10"/>
  <c r="E45" i="13"/>
  <c r="D21" i="8"/>
  <c r="I10" i="8"/>
  <c r="O8" i="8"/>
  <c r="O9" i="8"/>
  <c r="L13" i="8"/>
  <c r="L8" i="8"/>
  <c r="I13" i="8"/>
  <c r="I9" i="8"/>
  <c r="I8" i="8"/>
  <c r="F13" i="8"/>
  <c r="F10" i="8"/>
  <c r="F9" i="8"/>
  <c r="F8" i="8"/>
  <c r="C13" i="8"/>
  <c r="C12" i="8"/>
  <c r="C11" i="8"/>
  <c r="L22" i="7"/>
  <c r="J23" i="7"/>
  <c r="J24" i="7"/>
  <c r="H25" i="7"/>
  <c r="G25" i="7"/>
  <c r="H20" i="7"/>
  <c r="G20" i="7"/>
  <c r="J10" i="7"/>
  <c r="J9" i="7"/>
  <c r="J8" i="7"/>
  <c r="J7" i="7"/>
  <c r="J6" i="7"/>
  <c r="C20" i="7"/>
  <c r="C19" i="7"/>
  <c r="D10" i="7"/>
  <c r="E10" i="7" s="1"/>
  <c r="D9" i="7"/>
  <c r="E9" i="7" s="1"/>
  <c r="D8" i="7"/>
  <c r="E8" i="7" s="1"/>
  <c r="D7" i="7"/>
  <c r="E7" i="7" s="1"/>
  <c r="I14" i="7" s="1"/>
  <c r="I13" i="7" s="1"/>
  <c r="K13" i="1"/>
  <c r="N12" i="7" l="1"/>
  <c r="N13" i="7" s="1"/>
  <c r="N14" i="7" s="1"/>
  <c r="L20" i="17"/>
  <c r="M20" i="17" s="1"/>
  <c r="K20" i="17" s="1"/>
  <c r="I20" i="17"/>
  <c r="J20" i="17" s="1"/>
  <c r="H20" i="17" s="1"/>
  <c r="L25" i="7"/>
  <c r="I15" i="7"/>
  <c r="L20" i="7"/>
  <c r="L24" i="7"/>
  <c r="L23" i="7" s="1"/>
  <c r="L19" i="7"/>
  <c r="L18" i="7" s="1"/>
  <c r="P16" i="10"/>
  <c r="Q16" i="10" s="1"/>
  <c r="M17" i="10" s="1"/>
  <c r="P8" i="10"/>
  <c r="D45" i="13"/>
  <c r="E46" i="13" s="1"/>
  <c r="G13" i="8"/>
  <c r="P13" i="8"/>
  <c r="J13" i="8"/>
  <c r="M13" i="8"/>
  <c r="E11" i="7"/>
  <c r="H16" i="5"/>
  <c r="I15" i="5"/>
  <c r="H7" i="5"/>
  <c r="I12" i="5" s="1"/>
  <c r="G16" i="5"/>
  <c r="G13" i="5"/>
  <c r="G12" i="5"/>
  <c r="G11" i="5"/>
  <c r="G10" i="5"/>
  <c r="G9" i="5"/>
  <c r="G7" i="5"/>
  <c r="D14" i="5"/>
  <c r="J9" i="5" s="1"/>
  <c r="J10" i="5" s="1"/>
  <c r="C7" i="5"/>
  <c r="C6" i="5"/>
  <c r="I13" i="1"/>
  <c r="E18" i="1"/>
  <c r="E17" i="1"/>
  <c r="I17" i="1"/>
  <c r="H7" i="1" s="1"/>
  <c r="G13" i="1"/>
  <c r="C18" i="1"/>
  <c r="G11" i="1"/>
  <c r="G10" i="1"/>
  <c r="D11" i="7"/>
  <c r="C17" i="1"/>
  <c r="D10" i="1"/>
  <c r="E10" i="1" s="1"/>
  <c r="D9" i="1"/>
  <c r="E9" i="1" s="1"/>
  <c r="D8" i="1"/>
  <c r="E8" i="1" s="1"/>
  <c r="D7" i="1"/>
  <c r="E7" i="1" s="1"/>
  <c r="D11" i="1" l="1"/>
  <c r="I21" i="17"/>
  <c r="J21" i="17" s="1"/>
  <c r="H21" i="17" s="1"/>
  <c r="L21" i="17"/>
  <c r="M21" i="17" s="1"/>
  <c r="K21" i="17" s="1"/>
  <c r="H6" i="5"/>
  <c r="H11" i="5"/>
  <c r="H13" i="5" s="1"/>
  <c r="I9" i="5"/>
  <c r="I11" i="5" s="1"/>
  <c r="I13" i="5" s="1"/>
  <c r="J13" i="10"/>
  <c r="J12" i="10" s="1"/>
  <c r="M9" i="10"/>
  <c r="R8" i="10"/>
  <c r="O17" i="10"/>
  <c r="N17" i="10"/>
  <c r="J12" i="5"/>
  <c r="D46" i="13"/>
  <c r="D16" i="5"/>
  <c r="J13" i="5"/>
  <c r="L11" i="1"/>
  <c r="H10" i="5"/>
  <c r="H12" i="5" s="1"/>
  <c r="O7" i="1"/>
  <c r="O8" i="1" s="1"/>
  <c r="P7" i="1"/>
  <c r="P12" i="1" s="1"/>
  <c r="N7" i="1"/>
  <c r="H8" i="1"/>
  <c r="H10" i="1" s="1"/>
  <c r="H13" i="1"/>
  <c r="J7" i="1"/>
  <c r="J13" i="1" s="1"/>
  <c r="H14" i="1"/>
  <c r="H12" i="1"/>
  <c r="I7" i="1"/>
  <c r="I14" i="1" s="1"/>
  <c r="K7" i="1"/>
  <c r="K8" i="1" s="1"/>
  <c r="L7" i="1"/>
  <c r="L13" i="1" s="1"/>
  <c r="M9" i="1"/>
  <c r="M7" i="1" s="1"/>
  <c r="M8" i="1" s="1"/>
  <c r="M10" i="1" s="1"/>
  <c r="E11" i="1"/>
  <c r="L22" i="17" l="1"/>
  <c r="M22" i="17" s="1"/>
  <c r="K22" i="17" s="1"/>
  <c r="I22" i="17"/>
  <c r="J22" i="17" s="1"/>
  <c r="H22" i="17" s="1"/>
  <c r="P17" i="10"/>
  <c r="O9" i="10"/>
  <c r="N9" i="10"/>
  <c r="R16" i="10"/>
  <c r="E47" i="13"/>
  <c r="D47" i="13" s="1"/>
  <c r="P13" i="1"/>
  <c r="P8" i="1"/>
  <c r="O10" i="1"/>
  <c r="O9" i="1"/>
  <c r="O11" i="1" s="1"/>
  <c r="O12" i="1"/>
  <c r="O14" i="1"/>
  <c r="N13" i="1"/>
  <c r="N8" i="1"/>
  <c r="N14" i="1"/>
  <c r="H9" i="1"/>
  <c r="H11" i="1" s="1"/>
  <c r="K9" i="1"/>
  <c r="K11" i="1" s="1"/>
  <c r="K10" i="1"/>
  <c r="J8" i="1"/>
  <c r="J10" i="1" s="1"/>
  <c r="M13" i="1"/>
  <c r="K14" i="1"/>
  <c r="L14" i="1"/>
  <c r="I12" i="1"/>
  <c r="M12" i="1"/>
  <c r="J12" i="1"/>
  <c r="I8" i="1"/>
  <c r="K12" i="1"/>
  <c r="L8" i="1"/>
  <c r="L10" i="1" s="1"/>
  <c r="L12" i="1"/>
  <c r="M14" i="1"/>
  <c r="J14" i="1"/>
  <c r="L23" i="17" l="1"/>
  <c r="M23" i="17" s="1"/>
  <c r="K23" i="17" s="1"/>
  <c r="I23" i="17"/>
  <c r="J23" i="17" s="1"/>
  <c r="H23" i="17" s="1"/>
  <c r="P9" i="10"/>
  <c r="R9" i="10" s="1"/>
  <c r="S9" i="10" s="1"/>
  <c r="M10" i="10" s="1"/>
  <c r="Q17" i="10"/>
  <c r="E48" i="13"/>
  <c r="D48" i="13" s="1"/>
  <c r="P9" i="1"/>
  <c r="P11" i="1" s="1"/>
  <c r="P10" i="1"/>
  <c r="N9" i="1"/>
  <c r="N11" i="1" s="1"/>
  <c r="N10" i="1"/>
  <c r="I9" i="1"/>
  <c r="I11" i="1" s="1"/>
  <c r="I10" i="1"/>
  <c r="J9" i="1"/>
  <c r="J11" i="1" s="1"/>
  <c r="I24" i="17" l="1"/>
  <c r="J24" i="17" s="1"/>
  <c r="H24" i="17" s="1"/>
  <c r="L24" i="17"/>
  <c r="M24" i="17" s="1"/>
  <c r="K24" i="17" s="1"/>
  <c r="O10" i="10"/>
  <c r="N10" i="10"/>
  <c r="Q18" i="10"/>
  <c r="Q19" i="10" s="1"/>
  <c r="Q20" i="10" s="1"/>
  <c r="Q21" i="10" s="1"/>
  <c r="Q22" i="10" s="1"/>
  <c r="R17" i="10"/>
  <c r="E49" i="13"/>
  <c r="D49" i="13" s="1"/>
  <c r="F50" i="13" s="1"/>
  <c r="L25" i="17" l="1"/>
  <c r="M25" i="17" s="1"/>
  <c r="K25" i="17" s="1"/>
  <c r="I25" i="17"/>
  <c r="J25" i="17" s="1"/>
  <c r="H25" i="17" s="1"/>
  <c r="P10" i="10"/>
  <c r="R10" i="10" s="1"/>
  <c r="S10" i="10" s="1"/>
  <c r="M11" i="10" s="1"/>
  <c r="E50" i="13"/>
  <c r="D50" i="13" s="1"/>
  <c r="F51" i="13" s="1"/>
  <c r="O11" i="10" l="1"/>
  <c r="N11" i="10"/>
  <c r="S17" i="10"/>
  <c r="M18" i="10" s="1"/>
  <c r="E51" i="13"/>
  <c r="D51" i="13" s="1"/>
  <c r="F52" i="13" s="1"/>
  <c r="P11" i="10" l="1"/>
  <c r="R11" i="10" s="1"/>
  <c r="S11" i="10" s="1"/>
  <c r="M12" i="10" s="1"/>
  <c r="N18" i="10"/>
  <c r="O18" i="10"/>
  <c r="E52" i="13"/>
  <c r="D52" i="13" s="1"/>
  <c r="F53" i="13" s="1"/>
  <c r="O12" i="10" l="1"/>
  <c r="N12" i="10"/>
  <c r="P18" i="10"/>
  <c r="E53" i="13"/>
  <c r="D53" i="13" s="1"/>
  <c r="F54" i="13" s="1"/>
  <c r="P12" i="10" l="1"/>
  <c r="R12" i="10" s="1"/>
  <c r="R18" i="10"/>
  <c r="S18" i="10" s="1"/>
  <c r="E54" i="13"/>
  <c r="D54" i="13" s="1"/>
  <c r="F55" i="13" s="1"/>
  <c r="S12" i="10" l="1"/>
  <c r="M13" i="10" s="1"/>
  <c r="M19" i="10"/>
  <c r="O19" i="10" s="1"/>
  <c r="E55" i="13"/>
  <c r="D55" i="13" s="1"/>
  <c r="F56" i="13" s="1"/>
  <c r="N13" i="10" l="1"/>
  <c r="O13" i="10"/>
  <c r="N19" i="10"/>
  <c r="P19" i="10" s="1"/>
  <c r="R19" i="10" s="1"/>
  <c r="E56" i="13"/>
  <c r="D56" i="13" s="1"/>
  <c r="F57" i="13" s="1"/>
  <c r="P13" i="10" l="1"/>
  <c r="R13" i="10" s="1"/>
  <c r="S13" i="10" s="1"/>
  <c r="M14" i="10" s="1"/>
  <c r="G11" i="10" s="1"/>
  <c r="G13" i="10" s="1"/>
  <c r="S19" i="10"/>
  <c r="M20" i="10" s="1"/>
  <c r="E57" i="13"/>
  <c r="D57" i="13" s="1"/>
  <c r="F58" i="13" s="1"/>
  <c r="N14" i="10" l="1"/>
  <c r="O14" i="10"/>
  <c r="N20" i="10"/>
  <c r="O20" i="10"/>
  <c r="E58" i="13"/>
  <c r="D58" i="13" s="1"/>
  <c r="F59" i="13" s="1"/>
  <c r="P14" i="10" l="1"/>
  <c r="R14" i="10" s="1"/>
  <c r="S14" i="10" s="1"/>
  <c r="P20" i="10"/>
  <c r="R20" i="10" s="1"/>
  <c r="S20" i="10" s="1"/>
  <c r="E59" i="13"/>
  <c r="D59" i="13" s="1"/>
  <c r="F60" i="13" s="1"/>
  <c r="M21" i="10" l="1"/>
  <c r="E60" i="13"/>
  <c r="D60" i="13" s="1"/>
  <c r="F61" i="13" s="1"/>
  <c r="O21" i="10" l="1"/>
  <c r="N21" i="10"/>
  <c r="E61" i="13"/>
  <c r="D61" i="13" s="1"/>
  <c r="F62" i="13" s="1"/>
  <c r="P21" i="10" l="1"/>
  <c r="R21" i="10" s="1"/>
  <c r="E62" i="13"/>
  <c r="D62" i="13" s="1"/>
  <c r="F63" i="13" s="1"/>
  <c r="S21" i="10" l="1"/>
  <c r="M22" i="10" s="1"/>
  <c r="E63" i="13"/>
  <c r="D63" i="13" s="1"/>
  <c r="F64" i="13" s="1"/>
  <c r="O22" i="10" l="1"/>
  <c r="J11" i="10"/>
  <c r="J14" i="10" s="1"/>
  <c r="N22" i="10"/>
  <c r="E64" i="13"/>
  <c r="D64" i="13" s="1"/>
  <c r="F65" i="13" s="1"/>
  <c r="P22" i="10" l="1"/>
  <c r="R22" i="10" s="1"/>
  <c r="S22" i="10" s="1"/>
  <c r="E65" i="13"/>
  <c r="D65" i="13" s="1"/>
  <c r="F66" i="13" s="1"/>
  <c r="E66" i="13" l="1"/>
  <c r="D66" i="13" s="1"/>
  <c r="F67" i="13" s="1"/>
  <c r="E67" i="13" l="1"/>
  <c r="D67" i="13" s="1"/>
  <c r="F68" i="13" s="1"/>
  <c r="E68" i="13" l="1"/>
  <c r="D68" i="13" s="1"/>
  <c r="F69" i="13" s="1"/>
  <c r="E69" i="13" l="1"/>
  <c r="D69" i="13" s="1"/>
  <c r="F70" i="13" s="1"/>
  <c r="E70" i="13" l="1"/>
  <c r="D70" i="13" s="1"/>
  <c r="F71" i="13" s="1"/>
  <c r="E71" i="13" l="1"/>
  <c r="D71" i="13" s="1"/>
  <c r="F72" i="13" s="1"/>
  <c r="E72" i="13" l="1"/>
  <c r="D72" i="13" s="1"/>
  <c r="F73" i="13" s="1"/>
  <c r="E73" i="13" l="1"/>
  <c r="D73" i="13" s="1"/>
  <c r="F74" i="13" s="1"/>
  <c r="E74" i="13" l="1"/>
  <c r="D74" i="13" s="1"/>
  <c r="F75" i="13" s="1"/>
  <c r="E75" i="13" l="1"/>
  <c r="D75" i="13" s="1"/>
  <c r="F76" i="13" s="1"/>
  <c r="E76" i="13" l="1"/>
  <c r="D76" i="13" s="1"/>
  <c r="F77" i="13" s="1"/>
  <c r="E77" i="13" l="1"/>
  <c r="D77" i="13" s="1"/>
  <c r="F78" i="13" s="1"/>
  <c r="E78" i="13" l="1"/>
  <c r="D78" i="13" s="1"/>
  <c r="F79" i="13" s="1"/>
  <c r="E79" i="13" l="1"/>
  <c r="D79" i="13" s="1"/>
  <c r="F80" i="13" s="1"/>
  <c r="E80" i="13" l="1"/>
  <c r="D80" i="13" s="1"/>
  <c r="F81" i="13" s="1"/>
  <c r="E81" i="13" l="1"/>
  <c r="D81" i="13" s="1"/>
  <c r="F82" i="13" s="1"/>
  <c r="E82" i="13" l="1"/>
  <c r="D82" i="13" s="1"/>
  <c r="F83" i="13" s="1"/>
  <c r="E83" i="13" l="1"/>
  <c r="D83" i="13" s="1"/>
  <c r="F84" i="13" s="1"/>
  <c r="E84" i="13" l="1"/>
  <c r="D84" i="13" s="1"/>
  <c r="F85" i="13" s="1"/>
  <c r="E85" i="13" l="1"/>
  <c r="D85" i="13" s="1"/>
  <c r="F86" i="13" s="1"/>
  <c r="E86" i="13" l="1"/>
  <c r="D86" i="13" s="1"/>
  <c r="F87" i="13" s="1"/>
  <c r="E87" i="13" l="1"/>
  <c r="D87" i="13" s="1"/>
  <c r="F88" i="13" s="1"/>
  <c r="E88" i="13" l="1"/>
  <c r="D88" i="13" s="1"/>
  <c r="F89" i="13" s="1"/>
  <c r="E89" i="13" l="1"/>
  <c r="D89" i="13" s="1"/>
  <c r="F90" i="13" s="1"/>
  <c r="E90" i="13" l="1"/>
  <c r="D90" i="13" s="1"/>
  <c r="F91" i="13" s="1"/>
  <c r="E91" i="13" l="1"/>
  <c r="D91" i="13" s="1"/>
  <c r="F92" i="13" s="1"/>
  <c r="E92" i="13" l="1"/>
  <c r="D92" i="13" s="1"/>
  <c r="F93" i="13" s="1"/>
  <c r="E93" i="13" l="1"/>
  <c r="D93" i="13" s="1"/>
  <c r="F94" i="13" s="1"/>
  <c r="E94" i="13" l="1"/>
  <c r="D94" i="13" s="1"/>
  <c r="F95" i="13" s="1"/>
  <c r="E95" i="13" l="1"/>
  <c r="D95" i="13" s="1"/>
  <c r="F96" i="13" s="1"/>
  <c r="E96" i="13" l="1"/>
  <c r="D96" i="13" s="1"/>
  <c r="F97" i="13" s="1"/>
  <c r="E97" i="13" l="1"/>
  <c r="D97" i="13" s="1"/>
  <c r="F98" i="13" s="1"/>
  <c r="E98" i="13" l="1"/>
  <c r="D98" i="13" s="1"/>
  <c r="F99" i="13" s="1"/>
  <c r="E99" i="13" l="1"/>
  <c r="D99" i="13" s="1"/>
  <c r="F100" i="13" s="1"/>
  <c r="E100" i="13" l="1"/>
  <c r="D100" i="13" s="1"/>
  <c r="F101" i="13" s="1"/>
  <c r="E101" i="13" l="1"/>
  <c r="D101" i="13" s="1"/>
  <c r="F102" i="13" s="1"/>
  <c r="E102" i="13" l="1"/>
  <c r="D102" i="13" s="1"/>
  <c r="F103" i="13" s="1"/>
  <c r="E103" i="13" l="1"/>
  <c r="D103" i="13" s="1"/>
  <c r="F104" i="13" s="1"/>
  <c r="E104" i="13" l="1"/>
  <c r="D104" i="13" s="1"/>
  <c r="F105" i="13" s="1"/>
  <c r="E105" i="13" l="1"/>
  <c r="D105" i="13" s="1"/>
  <c r="F106" i="13" s="1"/>
  <c r="E106" i="13" l="1"/>
  <c r="D106" i="13" s="1"/>
  <c r="F107" i="13" s="1"/>
  <c r="E107" i="13" l="1"/>
  <c r="D107" i="13" s="1"/>
  <c r="F108" i="13" s="1"/>
  <c r="E108" i="13" l="1"/>
  <c r="D108" i="13" s="1"/>
  <c r="F109" i="13" s="1"/>
  <c r="E109" i="13" l="1"/>
  <c r="D109" i="13" s="1"/>
  <c r="F110" i="13" s="1"/>
  <c r="E110" i="13" l="1"/>
  <c r="D110" i="13" s="1"/>
  <c r="F111" i="13" s="1"/>
  <c r="E111" i="13" l="1"/>
  <c r="D111" i="13" s="1"/>
  <c r="F112" i="13" s="1"/>
  <c r="E112" i="13" l="1"/>
  <c r="D112" i="13" s="1"/>
  <c r="F113" i="13" s="1"/>
  <c r="E113" i="13" l="1"/>
  <c r="D113" i="13" s="1"/>
  <c r="F114" i="13" s="1"/>
  <c r="E114" i="13" l="1"/>
  <c r="D114" i="13" s="1"/>
  <c r="F115" i="13" s="1"/>
  <c r="E115" i="13" l="1"/>
  <c r="D115" i="13" s="1"/>
  <c r="F116" i="13" s="1"/>
  <c r="E116" i="13" l="1"/>
  <c r="D116" i="13" s="1"/>
  <c r="F117" i="13" s="1"/>
  <c r="E117" i="13" l="1"/>
  <c r="D117" i="13" s="1"/>
  <c r="F118" i="13" s="1"/>
  <c r="E118" i="13" l="1"/>
  <c r="D118" i="13" s="1"/>
  <c r="F119" i="13" s="1"/>
  <c r="E119" i="13" l="1"/>
  <c r="D119" i="13" s="1"/>
  <c r="F120" i="13" s="1"/>
  <c r="E120" i="13" l="1"/>
  <c r="D120" i="13" s="1"/>
  <c r="F121" i="13" s="1"/>
  <c r="E121" i="13" l="1"/>
  <c r="D121" i="13" s="1"/>
  <c r="F122" i="13" s="1"/>
  <c r="E122" i="13" l="1"/>
  <c r="D122" i="13" s="1"/>
  <c r="F123" i="13" s="1"/>
  <c r="E123" i="13" l="1"/>
  <c r="D123" i="13" s="1"/>
  <c r="F124" i="13" s="1"/>
  <c r="E124" i="13" l="1"/>
  <c r="D124" i="13" s="1"/>
  <c r="F125" i="13" s="1"/>
  <c r="E125" i="13" l="1"/>
  <c r="D125" i="13" s="1"/>
  <c r="F126" i="13" s="1"/>
  <c r="E126" i="13" l="1"/>
  <c r="D126" i="13" s="1"/>
  <c r="F127" i="13" s="1"/>
  <c r="E127" i="13" l="1"/>
  <c r="D127" i="13" s="1"/>
  <c r="F128" i="13" s="1"/>
  <c r="E128" i="13" l="1"/>
  <c r="D128" i="13" s="1"/>
  <c r="F129" i="13" s="1"/>
  <c r="E129" i="13" l="1"/>
  <c r="D129" i="13" s="1"/>
  <c r="F130" i="13" s="1"/>
  <c r="E130" i="13" l="1"/>
  <c r="D130" i="13" s="1"/>
  <c r="F131" i="13" s="1"/>
  <c r="E131" i="13" l="1"/>
  <c r="D131" i="13" s="1"/>
  <c r="F132" i="13" s="1"/>
  <c r="E132" i="13" l="1"/>
  <c r="D132" i="13" s="1"/>
  <c r="F133" i="13" s="1"/>
  <c r="E133" i="13" l="1"/>
  <c r="D133" i="13" s="1"/>
  <c r="F134" i="13" s="1"/>
  <c r="E134" i="13" l="1"/>
  <c r="D134" i="13" s="1"/>
  <c r="F135" i="13" s="1"/>
  <c r="E135" i="13" l="1"/>
  <c r="D135" i="13" s="1"/>
  <c r="F136" i="13" s="1"/>
  <c r="E136" i="13" l="1"/>
  <c r="D136" i="13" s="1"/>
  <c r="F137" i="13" s="1"/>
  <c r="E137" i="13" l="1"/>
  <c r="D137" i="13" s="1"/>
  <c r="F138" i="13" s="1"/>
  <c r="E138" i="13" l="1"/>
  <c r="D138" i="13" s="1"/>
  <c r="F139" i="13" s="1"/>
  <c r="E139" i="13" l="1"/>
  <c r="D139" i="13" s="1"/>
  <c r="F140" i="13" s="1"/>
  <c r="E140" i="13" l="1"/>
  <c r="D140" i="13" s="1"/>
  <c r="F141" i="13" s="1"/>
  <c r="E141" i="13" l="1"/>
  <c r="D141" i="13" s="1"/>
  <c r="F142" i="13" s="1"/>
  <c r="E142" i="13" l="1"/>
  <c r="D142" i="13" s="1"/>
  <c r="F143" i="13" s="1"/>
  <c r="E143" i="13" l="1"/>
  <c r="D143" i="13" s="1"/>
  <c r="F144" i="13" s="1"/>
  <c r="E144" i="13" l="1"/>
  <c r="D144" i="13" s="1"/>
  <c r="F145" i="13" s="1"/>
  <c r="E145" i="13" l="1"/>
  <c r="D145" i="13" s="1"/>
  <c r="F146" i="13" s="1"/>
  <c r="E146" i="13" l="1"/>
  <c r="D146" i="13" s="1"/>
  <c r="F147" i="13" s="1"/>
  <c r="E147" i="13" l="1"/>
  <c r="D147" i="13" s="1"/>
  <c r="F148" i="13" s="1"/>
  <c r="E148" i="13" l="1"/>
  <c r="D148" i="13" s="1"/>
  <c r="F149" i="13" s="1"/>
  <c r="E149" i="13" l="1"/>
  <c r="D149" i="13" s="1"/>
  <c r="F150" i="13" s="1"/>
  <c r="E150" i="13" l="1"/>
  <c r="D150" i="13" s="1"/>
  <c r="F151" i="13" s="1"/>
  <c r="E151" i="13" l="1"/>
  <c r="D151" i="13" s="1"/>
  <c r="F152" i="13" s="1"/>
  <c r="E152" i="13" l="1"/>
  <c r="D152" i="13" s="1"/>
  <c r="F153" i="13" s="1"/>
  <c r="E153" i="13" l="1"/>
  <c r="D153" i="13" s="1"/>
  <c r="F154" i="13" s="1"/>
  <c r="E154" i="13" l="1"/>
  <c r="D154" i="13" s="1"/>
  <c r="F155" i="13" s="1"/>
  <c r="E155" i="13" l="1"/>
  <c r="D155" i="13" s="1"/>
  <c r="F156" i="13" s="1"/>
  <c r="E156" i="13" l="1"/>
  <c r="D156" i="13" s="1"/>
  <c r="F157" i="13" s="1"/>
  <c r="E157" i="13" l="1"/>
  <c r="D157" i="13" s="1"/>
  <c r="F158" i="13" s="1"/>
  <c r="E158" i="13" l="1"/>
  <c r="D158" i="13" s="1"/>
  <c r="F159" i="13" s="1"/>
  <c r="E159" i="13" l="1"/>
  <c r="D159" i="13" s="1"/>
  <c r="F160" i="13" s="1"/>
  <c r="E160" i="13" l="1"/>
  <c r="D160" i="13" s="1"/>
  <c r="F161" i="13" s="1"/>
  <c r="E161" i="13" l="1"/>
  <c r="D161" i="13" s="1"/>
  <c r="F162" i="13" s="1"/>
  <c r="E162" i="13" l="1"/>
  <c r="D162" i="13" s="1"/>
  <c r="F163" i="13" s="1"/>
  <c r="E163" i="13" l="1"/>
  <c r="D163" i="13" s="1"/>
  <c r="F164" i="13" s="1"/>
  <c r="E164" i="13" l="1"/>
  <c r="D164" i="13" s="1"/>
  <c r="F165" i="13" s="1"/>
  <c r="E165" i="13" l="1"/>
  <c r="D165" i="13" s="1"/>
  <c r="F166" i="13" s="1"/>
  <c r="E166" i="13" l="1"/>
  <c r="D166" i="13" s="1"/>
  <c r="F167" i="13" s="1"/>
  <c r="E167" i="13" l="1"/>
  <c r="D167" i="13" s="1"/>
  <c r="F168" i="13" s="1"/>
  <c r="E168" i="13" l="1"/>
  <c r="D168" i="13" s="1"/>
  <c r="F169" i="13" s="1"/>
  <c r="E169" i="13" l="1"/>
  <c r="D169" i="13" s="1"/>
  <c r="F170" i="13" s="1"/>
  <c r="E170" i="13" l="1"/>
  <c r="D170" i="13" s="1"/>
  <c r="F171" i="13" s="1"/>
  <c r="E171" i="13" l="1"/>
  <c r="D171" i="13" s="1"/>
  <c r="F172" i="13" s="1"/>
  <c r="E172" i="13" l="1"/>
  <c r="D172" i="13" s="1"/>
  <c r="F173" i="13" s="1"/>
  <c r="E173" i="13" l="1"/>
  <c r="D173" i="13" s="1"/>
  <c r="F174" i="13" s="1"/>
  <c r="E174" i="13" l="1"/>
  <c r="D174" i="13" s="1"/>
  <c r="F175" i="13" s="1"/>
  <c r="E175" i="13" l="1"/>
  <c r="D175" i="13" s="1"/>
  <c r="F176" i="13" s="1"/>
  <c r="E176" i="13" l="1"/>
  <c r="D176" i="13" s="1"/>
  <c r="F177" i="13" s="1"/>
  <c r="E177" i="13" l="1"/>
  <c r="D177" i="13" s="1"/>
  <c r="F178" i="13" s="1"/>
  <c r="E178" i="13" l="1"/>
  <c r="D178" i="13" s="1"/>
  <c r="F179" i="13" s="1"/>
  <c r="E179" i="13" l="1"/>
  <c r="D179" i="13" s="1"/>
  <c r="F180" i="13" s="1"/>
  <c r="E180" i="13" l="1"/>
  <c r="D180" i="13" s="1"/>
  <c r="F181" i="13" s="1"/>
  <c r="E181" i="13" l="1"/>
  <c r="D181" i="13" s="1"/>
  <c r="F182" i="13" s="1"/>
  <c r="E182" i="13" l="1"/>
  <c r="D182" i="13" s="1"/>
  <c r="F183" i="13" s="1"/>
  <c r="E183" i="13" l="1"/>
  <c r="D183" i="13" s="1"/>
  <c r="F184" i="13" s="1"/>
  <c r="E184" i="13" l="1"/>
  <c r="D184" i="13" s="1"/>
  <c r="F185" i="13" s="1"/>
  <c r="E185" i="13" l="1"/>
  <c r="D185" i="13" s="1"/>
  <c r="F186" i="13" s="1"/>
  <c r="E186" i="13" l="1"/>
  <c r="D186" i="13" s="1"/>
  <c r="F187" i="13" s="1"/>
  <c r="E187" i="13" l="1"/>
  <c r="D187" i="13" s="1"/>
  <c r="F188" i="13" s="1"/>
  <c r="E188" i="13" l="1"/>
  <c r="D188" i="13" s="1"/>
  <c r="F189" i="13" s="1"/>
  <c r="E189" i="13" l="1"/>
  <c r="D189" i="13" s="1"/>
  <c r="F190" i="13" s="1"/>
  <c r="E190" i="13" l="1"/>
  <c r="D190" i="13" s="1"/>
  <c r="F191" i="13" s="1"/>
  <c r="E191" i="13" l="1"/>
  <c r="D191" i="13" s="1"/>
  <c r="F192" i="13" s="1"/>
  <c r="E192" i="13" l="1"/>
  <c r="D192" i="13" s="1"/>
  <c r="N17" i="13" l="1"/>
  <c r="N16" i="13"/>
</calcChain>
</file>

<file path=xl/comments1.xml><?xml version="1.0" encoding="utf-8"?>
<comments xmlns="http://schemas.openxmlformats.org/spreadsheetml/2006/main">
  <authors>
    <author>Ari Meles-Braverman</author>
  </authors>
  <commentList>
    <comment ref="F6" authorId="0">
      <text>
        <r>
          <rPr>
            <b/>
            <sz val="9"/>
            <color indexed="81"/>
            <rFont val="Tahoma"/>
            <family val="2"/>
          </rPr>
          <t>Ari Meles-Braverman:</t>
        </r>
        <r>
          <rPr>
            <sz val="9"/>
            <color indexed="81"/>
            <rFont val="Tahoma"/>
            <family val="2"/>
          </rPr>
          <t xml:space="preserve">
</t>
        </r>
      </text>
    </comment>
    <comment ref="I6" authorId="0">
      <text>
        <r>
          <rPr>
            <b/>
            <sz val="9"/>
            <color indexed="81"/>
            <rFont val="Tahoma"/>
            <family val="2"/>
          </rPr>
          <t>Ari Meles-Braverman:</t>
        </r>
        <r>
          <rPr>
            <sz val="9"/>
            <color indexed="81"/>
            <rFont val="Tahoma"/>
            <family val="2"/>
          </rPr>
          <t xml:space="preserve">
</t>
        </r>
      </text>
    </comment>
    <comment ref="L6" authorId="0">
      <text>
        <r>
          <rPr>
            <b/>
            <sz val="9"/>
            <color indexed="81"/>
            <rFont val="Tahoma"/>
            <family val="2"/>
          </rPr>
          <t>Ari Meles-Braverman:</t>
        </r>
        <r>
          <rPr>
            <sz val="9"/>
            <color indexed="81"/>
            <rFont val="Tahoma"/>
            <family val="2"/>
          </rPr>
          <t xml:space="preserve">
</t>
        </r>
      </text>
    </comment>
    <comment ref="O6" authorId="0">
      <text>
        <r>
          <rPr>
            <b/>
            <sz val="9"/>
            <color indexed="81"/>
            <rFont val="Tahoma"/>
            <family val="2"/>
          </rPr>
          <t>Ari Meles-Braverman:</t>
        </r>
        <r>
          <rPr>
            <sz val="9"/>
            <color indexed="81"/>
            <rFont val="Tahoma"/>
            <family val="2"/>
          </rPr>
          <t xml:space="preserve">
</t>
        </r>
      </text>
    </comment>
  </commentList>
</comments>
</file>

<file path=xl/sharedStrings.xml><?xml version="1.0" encoding="utf-8"?>
<sst xmlns="http://schemas.openxmlformats.org/spreadsheetml/2006/main" count="2932" uniqueCount="363">
  <si>
    <t>Metric?</t>
  </si>
  <si>
    <t>Free Speed (RPM)</t>
  </si>
  <si>
    <t>Stall Torque (Nm)</t>
  </si>
  <si>
    <t>Free Current (A)</t>
  </si>
  <si>
    <t>Stall Current (A)</t>
  </si>
  <si>
    <t>Power (W)</t>
  </si>
  <si>
    <t>CIM</t>
  </si>
  <si>
    <t>Mini CIM</t>
  </si>
  <si>
    <t>BAG Motor</t>
  </si>
  <si>
    <t>NEO</t>
  </si>
  <si>
    <t>AM 775</t>
  </si>
  <si>
    <t>AM 9015</t>
  </si>
  <si>
    <t>CIM + Mini</t>
  </si>
  <si>
    <t>CIM + 2 Mini</t>
  </si>
  <si>
    <t>2 CIM + Mini</t>
  </si>
  <si>
    <t>Snowblower</t>
  </si>
  <si>
    <t>Throttle Motor</t>
  </si>
  <si>
    <t>Bosch Motor</t>
  </si>
  <si>
    <t>Dynamo</t>
  </si>
  <si>
    <t>Window Motor</t>
  </si>
  <si>
    <t>Chain/Belt Dimensions</t>
  </si>
  <si>
    <t>Pitch</t>
  </si>
  <si>
    <t>Width</t>
  </si>
  <si>
    <t>Thick</t>
  </si>
  <si>
    <t>C-C Add.</t>
  </si>
  <si>
    <t>#25 Chain</t>
  </si>
  <si>
    <t>#35 Chain</t>
  </si>
  <si>
    <t>5mm HTD</t>
  </si>
  <si>
    <t>3mm GT2</t>
  </si>
  <si>
    <t>(Dimensions in mm)</t>
  </si>
  <si>
    <t>Adjusted</t>
  </si>
  <si>
    <t># of Motors</t>
  </si>
  <si>
    <t>Voltage Applied (V)</t>
  </si>
  <si>
    <t>Gearbox Efficiency</t>
  </si>
  <si>
    <t>Gear Ratio</t>
  </si>
  <si>
    <t>Free Rot. Speed (rps)</t>
  </si>
  <si>
    <t>Loaded Rot. Speed (rps)</t>
  </si>
  <si>
    <t>Current Per Motor (A)</t>
  </si>
  <si>
    <t>Stall Voltage (V)</t>
  </si>
  <si>
    <t>By Ratio</t>
  </si>
  <si>
    <t>Max. Power</t>
  </si>
  <si>
    <t>Max. Eff.</t>
  </si>
  <si>
    <t>At Stall</t>
  </si>
  <si>
    <t>Rot. Speed</t>
  </si>
  <si>
    <t>Lin. Speed</t>
  </si>
  <si>
    <t>Current</t>
  </si>
  <si>
    <t>Stall Load</t>
  </si>
  <si>
    <t>Stall Voltage</t>
  </si>
  <si>
    <t>Ratio Tester</t>
  </si>
  <si>
    <t>EXAMPLE USES</t>
  </si>
  <si>
    <r>
      <t>Winch</t>
    </r>
    <r>
      <rPr>
        <b/>
        <sz val="11"/>
        <color rgb="FF000000"/>
        <rFont val="Arial"/>
        <family val="2"/>
      </rPr>
      <t>:</t>
    </r>
    <r>
      <rPr>
        <sz val="11"/>
        <color rgb="FF000000"/>
        <rFont val="Arial"/>
        <family val="2"/>
      </rPr>
      <t xml:space="preserve"> As an endgame, you need to winch up the robot by spinning a cable around a circular drum. For radius, enter the drum's radius. For load, enter the weight of the robot (154lb max = 125lb robot + 15lb bumpers + 14lb battery). Since this is an end game task, change Voltage Applied to 10V to account for battery drop throughout the match.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</si>
  <si>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Elevator</t>
    </r>
    <r>
      <rPr>
        <b/>
        <sz val="11"/>
        <color rgb="FF000000"/>
        <rFont val="Arial"/>
        <family val="2"/>
      </rPr>
      <t>:</t>
    </r>
    <r>
      <rPr>
        <sz val="11"/>
        <color rgb="FF000000"/>
        <rFont val="Arial"/>
        <family val="2"/>
      </rPr>
      <t xml:space="preserve"> You need to lift a load with a motor connected to a linear elevator system. For radius, enter the radius of the pulley/sprocket driving the elevator (# teeth * pitch diameter). For load, enter the weight of the load. Then specify a desired linear speed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</si>
  <si>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r>
      <t>Arm</t>
    </r>
    <r>
      <rPr>
        <b/>
        <sz val="11"/>
        <color rgb="FF000000"/>
        <rFont val="Arial"/>
        <family val="2"/>
      </rPr>
      <t>:</t>
    </r>
    <r>
      <rPr>
        <sz val="11"/>
        <color rgb="FF000000"/>
        <rFont val="Arial"/>
        <family val="2"/>
      </rPr>
      <t xml:space="preserve"> You need to lift a load using an arm driven by a motor. For radius, enter the length of the arm (specifically the distance from axis of rotation to arm's center of mass). For load, enter the weight of the arm + load lifted. Then specify a desired rotational speed for the arm in the Lin. Speed column, a maximum allowable current draw in the Current column, or a maximum allowable stall load in the Stall Load column. Change the number and type of motors to find a combination that gives acceptible values. Then use the ratio tester to find a set of reductions (e.g. spur gears, chains, belts, planetaries) that approximates the desired ratio.</t>
    </r>
  </si>
  <si>
    <t>Lead Screw Calculator</t>
  </si>
  <si>
    <t># of Starts</t>
  </si>
  <si>
    <t>Thread Angle (°)</t>
  </si>
  <si>
    <t>Screw Material</t>
  </si>
  <si>
    <t>Nut Material</t>
  </si>
  <si>
    <t>Lubricated?</t>
  </si>
  <si>
    <t>Steel</t>
  </si>
  <si>
    <t>Yes</t>
  </si>
  <si>
    <t>Backdrive-able?</t>
  </si>
  <si>
    <t>Efficiency</t>
  </si>
  <si>
    <t>Rotational Speed (rpm)</t>
  </si>
  <si>
    <t>Bronze</t>
  </si>
  <si>
    <t>To use a leadscrew in the Mechanism Gear Ratio Calculator, use the Equivalent Radius for the Radius. For the Load, use the Equivalent Raise/Lower Load, depending on whether you are moving in the same or opposite direction as the applied force.</t>
  </si>
  <si>
    <t>The Mechanism gearbox efficiency should not include the leadscrew efficiency.</t>
  </si>
  <si>
    <t>Raise Torque is the torque needed to move the leadscrew the direction opposing the force (e.g. raising a weight). Lower Torque is the torque needed to move the leadscrew in the same direction as the load (e.g. lowering a weight).</t>
  </si>
  <si>
    <t>If Lower Torque is negative, the leadscrew is backdrive-able (i.e. not self-locking). If positive, it is not backdrive-able.</t>
  </si>
  <si>
    <t>Drivetrain Calculator</t>
  </si>
  <si>
    <t>Drivetrain Efficiency</t>
  </si>
  <si>
    <t>Speed Loss Coeff.</t>
  </si>
  <si>
    <t>% Driven Weight</t>
  </si>
  <si>
    <t>Wheel Friction Coeff.</t>
  </si>
  <si>
    <t>Shifting?</t>
  </si>
  <si>
    <t>Drive Gear</t>
  </si>
  <si>
    <t>Driven Gear</t>
  </si>
  <si>
    <t>dp</t>
  </si>
  <si>
    <t>Final Ratio</t>
  </si>
  <si>
    <t>Wheel Slip Current (A)</t>
  </si>
  <si>
    <t># of Drivetrain Motors</t>
  </si>
  <si>
    <t>Beam Bend Calculator</t>
  </si>
  <si>
    <t>Beam/Axle Type</t>
  </si>
  <si>
    <t>Hex</t>
  </si>
  <si>
    <t>Material</t>
  </si>
  <si>
    <t>┴  Cantilevered Force</t>
  </si>
  <si>
    <t>┴  Force Btwn. Supports</t>
  </si>
  <si>
    <t>║ Buckling Force</t>
  </si>
  <si>
    <t>Twisting Torque</t>
  </si>
  <si>
    <t>Twist Angle (°)</t>
  </si>
  <si>
    <t>I</t>
  </si>
  <si>
    <t>J</t>
  </si>
  <si>
    <t>E</t>
  </si>
  <si>
    <t>G</t>
  </si>
  <si>
    <t>Projectile Trajectory Calculator</t>
  </si>
  <si>
    <t>Forward</t>
  </si>
  <si>
    <t>Release Angle (°)</t>
  </si>
  <si>
    <t>Final Angle (°)</t>
  </si>
  <si>
    <t>Reverse</t>
  </si>
  <si>
    <t>Target Angle (°)</t>
  </si>
  <si>
    <t>2nd Wheel CoF</t>
  </si>
  <si>
    <t>Chain/Belt C-C Calculator</t>
  </si>
  <si>
    <t>Type</t>
  </si>
  <si>
    <t># Teeth 1</t>
  </si>
  <si>
    <t># Teeth 2</t>
  </si>
  <si>
    <t># Links/Teeth</t>
  </si>
  <si>
    <t>Round Type</t>
  </si>
  <si>
    <t>Modulus</t>
  </si>
  <si>
    <t>Nearest</t>
  </si>
  <si>
    <t>Gear Clearance Calculator</t>
  </si>
  <si>
    <t>Gear 1 Teeth</t>
  </si>
  <si>
    <t>Gear 1 dp</t>
  </si>
  <si>
    <t>Gear 2 Teeth</t>
  </si>
  <si>
    <t>Gear 3 Teeth</t>
  </si>
  <si>
    <t>Gear 2/3 dp</t>
  </si>
  <si>
    <t>Axle Type</t>
  </si>
  <si>
    <t>Axle Clearance</t>
  </si>
  <si>
    <t>1/2" Hex</t>
  </si>
  <si>
    <t>Clears?</t>
  </si>
  <si>
    <t>Gear 4 Teeth</t>
  </si>
  <si>
    <t>Gear 4 dp</t>
  </si>
  <si>
    <t>Gear Clearance</t>
  </si>
  <si>
    <t>Ratio &amp; Distance Calculator</t>
  </si>
  <si>
    <t>Gear Pitch (dp)</t>
  </si>
  <si>
    <t>Desired Ratio</t>
  </si>
  <si>
    <t>Driving Gear (teeth)</t>
  </si>
  <si>
    <t>Driven Gear (teeth)</t>
  </si>
  <si>
    <t>GEAR TEETH ARE NOT</t>
  </si>
  <si>
    <t>WHOLE NUMBERS</t>
  </si>
  <si>
    <t>Pneumatics Calculator</t>
  </si>
  <si>
    <t>Push Pressure (psig)</t>
  </si>
  <si>
    <t>Pull Pressure (psig)</t>
  </si>
  <si>
    <t>Start Time (s)</t>
  </si>
  <si>
    <t>End Time (s)</t>
  </si>
  <si>
    <t>Cylinder 1</t>
  </si>
  <si>
    <t>Cylinder 2</t>
  </si>
  <si>
    <t>Cylinder 3</t>
  </si>
  <si>
    <t>Cylinder 4</t>
  </si>
  <si>
    <t>Cylinder 5</t>
  </si>
  <si>
    <t>Cylinder 6</t>
  </si>
  <si>
    <t>Cylinder 7</t>
  </si>
  <si>
    <t>Cylinder 8</t>
  </si>
  <si>
    <t># of Tanks</t>
  </si>
  <si>
    <t>Tank Pressure (psig)</t>
  </si>
  <si>
    <t>Tank 1</t>
  </si>
  <si>
    <t>Tank 3</t>
  </si>
  <si>
    <t>Tank 2</t>
  </si>
  <si>
    <t>Tank 4</t>
  </si>
  <si>
    <t>Compressor Type</t>
  </si>
  <si>
    <t>Initial Pressure (psig)</t>
  </si>
  <si>
    <t>Comp. Triggger (psig)</t>
  </si>
  <si>
    <t>Min. Pressure (psig)</t>
  </si>
  <si>
    <t>Final Pressure (psig)</t>
  </si>
  <si>
    <t>(equivalent volume at 120 psi)</t>
  </si>
  <si>
    <t>1.1 Pump</t>
  </si>
  <si>
    <t>t</t>
  </si>
  <si>
    <t>P</t>
  </si>
  <si>
    <t>comp</t>
  </si>
  <si>
    <t>cyl1</t>
  </si>
  <si>
    <t>cyl2</t>
  </si>
  <si>
    <t>cyl3</t>
  </si>
  <si>
    <t>cyl4</t>
  </si>
  <si>
    <t>cyl5</t>
  </si>
  <si>
    <t>cyl6</t>
  </si>
  <si>
    <t>cyl7</t>
  </si>
  <si>
    <t>cyl8</t>
  </si>
  <si>
    <t>Time Per Cycle (s)</t>
  </si>
  <si>
    <t>A</t>
  </si>
  <si>
    <t>B</t>
  </si>
  <si>
    <t>X</t>
  </si>
  <si>
    <t>Y</t>
  </si>
  <si>
    <t>L (Retracted)</t>
  </si>
  <si>
    <r>
      <rPr>
        <sz val="11"/>
        <color theme="1"/>
        <rFont val="Calibri"/>
        <family val="2"/>
      </rPr>
      <t>ΔL (</t>
    </r>
    <r>
      <rPr>
        <sz val="11"/>
        <color theme="1"/>
        <rFont val="Calibri"/>
        <family val="2"/>
        <scheme val="minor"/>
      </rPr>
      <t>Stroke)</t>
    </r>
  </si>
  <si>
    <r>
      <t xml:space="preserve">Retracted </t>
    </r>
    <r>
      <rPr>
        <sz val="11"/>
        <color theme="1"/>
        <rFont val="Calibri"/>
        <family val="2"/>
      </rPr>
      <t>θ</t>
    </r>
  </si>
  <si>
    <r>
      <t xml:space="preserve">Extended </t>
    </r>
    <r>
      <rPr>
        <sz val="11"/>
        <color theme="1"/>
        <rFont val="Calibri"/>
        <family val="2"/>
      </rPr>
      <t>θ</t>
    </r>
  </si>
  <si>
    <t>θ R</t>
  </si>
  <si>
    <t>θ L</t>
  </si>
  <si>
    <t>Note: any units will work as long as they remain consistent</t>
  </si>
  <si>
    <t>• Black circles represent pivots</t>
  </si>
  <si>
    <t>AMB Design Spreadsheet</t>
  </si>
  <si>
    <t>Made by Ari Meles-Braverman: Mentor, FRC 5987</t>
  </si>
  <si>
    <t>Key</t>
  </si>
  <si>
    <t xml:space="preserve"> = Input Value</t>
  </si>
  <si>
    <t xml:space="preserve"> = Calculated Value</t>
  </si>
  <si>
    <t xml:space="preserve"> = Warning</t>
  </si>
  <si>
    <t xml:space="preserve"> = Invalid Input</t>
  </si>
  <si>
    <t>Drivetrain Calculator:</t>
  </si>
  <si>
    <t>Mechanism Gear Ratio Calculator:</t>
  </si>
  <si>
    <t>Chain/Belt C-C Calculator:</t>
  </si>
  <si>
    <t>Pneumatics Calculator:</t>
  </si>
  <si>
    <t xml:space="preserve">This sheet calculates the total volume of air used throughout the match from all of the cylinders on the robot, as well as the total volume of air stored in tanks on the robot and the total volume compressed by the compressor during the match. It uses that data to determine whether or not the robot will run out of air before the match ends, and how long it will take to refill the tanks between matches. It also calculates the extension and retraction (pull and push) force for each piston. </t>
  </si>
  <si>
    <t>Sources:</t>
  </si>
  <si>
    <t>JVN's Mechanical Design Calculator</t>
  </si>
  <si>
    <t>Ether's Simple Motor Calculator</t>
  </si>
  <si>
    <t>Clem1640's Chain/Belt Calculator</t>
  </si>
  <si>
    <t>NickBrickMaster's Pneumatic System Simulator</t>
  </si>
  <si>
    <t>Shigley's Mechanical Engineering Design</t>
  </si>
  <si>
    <t>Mechanism Gear Ratio Calculator</t>
  </si>
  <si>
    <t>Lead Screw Calculator:</t>
  </si>
  <si>
    <t>This sheet calculates the relationship between the angular input and linear output of a lead screw. With a given lead screw, it can calculate whether or not it is backdrive-able, the linear force output given by a certain angular torque input, and the relationship between angluar and linear velocity. It also calculates an equivalent radius and load to use in the Mechanism Gear Ratio Calculator for a system with a lead screw as the final reduction stage.</t>
  </si>
  <si>
    <t>Beam Bend Calculator:</t>
  </si>
  <si>
    <t>This sheet calculates the deflection in a beam or axle under a given load. There are different formulas depending on whether the load is between two supports or cantileivered. It also calculated the maximum force that can be applied to a beam before it buckles, and the twist angle of an axle under torsion.</t>
  </si>
  <si>
    <t>This sheet calculates the final speed and current draw of a given drivetrain setup. Use this sheet to determine the necessary drivetrain setup that meets the characteristics that are desired. Also calculates the C-C distance for gear reductions. Suitable for 1-speed, 2-speed, different-radius wheels, and articulating drives.</t>
  </si>
  <si>
    <t>This sheet calculates the characteristics of a given mechanism, when the user defines one characteristic (e.g. gear ratio, loaded linear velocity, stall load, current per motor, etc). Use this sheet to determine the gear ratio and  number and type of motors needed to give a mechanism certain characteristics.</t>
  </si>
  <si>
    <t>Gear Clearance Calculator:</t>
  </si>
  <si>
    <t>This sheet calculates whether or not two sets of parallel gears will hit each other, and if not, how much clearance they will have. It also calculates whether or not the first gear will clear the second shaft with no gear on it.</t>
  </si>
  <si>
    <t xml:space="preserve">This sheet calculates the gear pair that have a given reduction and C-C distance, and then calculates the pitch and clearance diameter for both gears. </t>
  </si>
  <si>
    <t>Pneumatic Linkage Calculator:</t>
  </si>
  <si>
    <t>This sheet calculates the angle of a linkage controlled by a certain pneumatic cylinder with its mount at a certain position relative to the mount of the linkage. It also does the reverse calculation, computing the relative position of the cylinder mount needed to give the given linkage the desired extended and retracted angles.</t>
  </si>
  <si>
    <t>Pneumatic Linkage Calculator</t>
  </si>
  <si>
    <t>Motor Specs</t>
  </si>
  <si>
    <t>Ratio &amp; Distance Calculator:</t>
  </si>
  <si>
    <t>Click "ADD" to insert an instance of that calculator to the spreadsheet</t>
  </si>
  <si>
    <t>Note: Hover mouse over subtitles to see images explaining beam setup</t>
  </si>
  <si>
    <t>Articulated Drive?</t>
  </si>
  <si>
    <t>Material Properties</t>
  </si>
  <si>
    <t>Stainless</t>
  </si>
  <si>
    <t>Young's Modulus (MPa)</t>
  </si>
  <si>
    <t>Shear Modulus (MPa)</t>
  </si>
  <si>
    <t>K (see chart in image)</t>
  </si>
  <si>
    <t>7075-T6 Al</t>
  </si>
  <si>
    <t>6061-T6 Al</t>
  </si>
  <si>
    <t>L</t>
  </si>
  <si>
    <t>L+ΔL</t>
  </si>
  <si>
    <t>• Gray lines represent the piston</t>
  </si>
  <si>
    <t>• Black lines represent the linkage</t>
  </si>
  <si>
    <t>Note: L is the distance between pivots when the cylinder is retracted (includes mountings, clevises, etc)</t>
  </si>
  <si>
    <t>D</t>
  </si>
  <si>
    <t>a</t>
  </si>
  <si>
    <t># links</t>
  </si>
  <si>
    <t>target</t>
  </si>
  <si>
    <t>y</t>
  </si>
  <si>
    <r>
      <rPr>
        <sz val="11"/>
        <color theme="1"/>
        <rFont val="Symbol"/>
        <family val="1"/>
        <charset val="2"/>
      </rPr>
      <t>D</t>
    </r>
    <r>
      <rPr>
        <sz val="11"/>
        <color theme="1"/>
        <rFont val="Calibri"/>
        <family val="2"/>
        <scheme val="minor"/>
      </rPr>
      <t>y/</t>
    </r>
    <r>
      <rPr>
        <sz val="11"/>
        <color theme="1"/>
        <rFont val="Symbol"/>
        <family val="1"/>
        <charset val="2"/>
      </rPr>
      <t>D</t>
    </r>
    <r>
      <rPr>
        <sz val="11"/>
        <color theme="1"/>
        <rFont val="Calibri"/>
        <family val="2"/>
        <scheme val="minor"/>
      </rPr>
      <t>x</t>
    </r>
  </si>
  <si>
    <t>Note: For beginners there is no need to modify this page. Advanced users can choose to add their own motors, belt/chains, or material properties.</t>
  </si>
  <si>
    <t>Output</t>
  </si>
  <si>
    <t>Motor</t>
  </si>
  <si>
    <t>Stage 3</t>
  </si>
  <si>
    <t>Lite 3</t>
  </si>
  <si>
    <t>Base</t>
  </si>
  <si>
    <t>217-4973,</t>
  </si>
  <si>
    <t>217-5823,217-2897,</t>
  </si>
  <si>
    <t>1/2" Round</t>
  </si>
  <si>
    <t>217-4975,</t>
  </si>
  <si>
    <t>217-5823,217-2895,</t>
  </si>
  <si>
    <t>3/8" Hex</t>
  </si>
  <si>
    <t>217-4974,</t>
  </si>
  <si>
    <t>217-5823,</t>
  </si>
  <si>
    <t>CIM Motor</t>
  </si>
  <si>
    <t>217-4976,</t>
  </si>
  <si>
    <t>217-5823,217-2893,</t>
  </si>
  <si>
    <t>Female</t>
  </si>
  <si>
    <t>217-6473,</t>
  </si>
  <si>
    <t>217-5995,</t>
  </si>
  <si>
    <t>Motor Plate</t>
  </si>
  <si>
    <t>217-3564,217-4649,</t>
  </si>
  <si>
    <t>217-4018,</t>
  </si>
  <si>
    <t>775pro</t>
  </si>
  <si>
    <t>Stage</t>
  </si>
  <si>
    <t>None</t>
  </si>
  <si>
    <t>3 : 1</t>
  </si>
  <si>
    <t>217-2816,217-2817,</t>
  </si>
  <si>
    <t>217-5832,217-2817,</t>
  </si>
  <si>
    <t>4 : 1</t>
  </si>
  <si>
    <t>217-2816,217-2818,</t>
  </si>
  <si>
    <t>217-5832,217-2818,</t>
  </si>
  <si>
    <t>5 : 1</t>
  </si>
  <si>
    <t>217-2816,217-2819,</t>
  </si>
  <si>
    <t>217-5832,217-2819,</t>
  </si>
  <si>
    <t>7 : 1</t>
  </si>
  <si>
    <t>217-2816,217-3102,</t>
  </si>
  <si>
    <t>217-5832,217-3102,</t>
  </si>
  <si>
    <t>9 : 1</t>
  </si>
  <si>
    <t>217-2816,217-3106,</t>
  </si>
  <si>
    <t>217-5832,217-3106,</t>
  </si>
  <si>
    <t>10 : 1</t>
  </si>
  <si>
    <t>217-2816,217-2820,</t>
  </si>
  <si>
    <t>217-5832,217-2820,</t>
  </si>
  <si>
    <t>Dual Motor</t>
  </si>
  <si>
    <t>DM Nyl 1:1</t>
  </si>
  <si>
    <t>217-6342,217-2701,217-6432,</t>
  </si>
  <si>
    <t>DM Nyl 3.75:1</t>
  </si>
  <si>
    <t>217-6342,217-3210,217-6367,</t>
  </si>
  <si>
    <t>217-6342,217-3210,217-6362,</t>
  </si>
  <si>
    <t>217-6342,217-3210,217-6368,</t>
  </si>
  <si>
    <t>DM Nyl 5.33:1</t>
  </si>
  <si>
    <t>217-6342,217-5455,217-6333,</t>
  </si>
  <si>
    <t>217-6342,217-5455,217-6285,</t>
  </si>
  <si>
    <t>217-6342,217-5455,217-6339,</t>
  </si>
  <si>
    <t>DM Al 1:1</t>
  </si>
  <si>
    <t>217-6417,217-2701,217-6432,</t>
  </si>
  <si>
    <t>DM Al 3.75:1</t>
  </si>
  <si>
    <t>217-6417,217-3210,217-6367,</t>
  </si>
  <si>
    <t>217-6417,217-3210,217-6362,</t>
  </si>
  <si>
    <t>217-6417,217-3210,217-6368,</t>
  </si>
  <si>
    <t>DM Al 5.33:1</t>
  </si>
  <si>
    <t>217-6417,217-5455,217-6333,</t>
  </si>
  <si>
    <t>217-6417,217-5455,217-6285,</t>
  </si>
  <si>
    <t>217-6417,217-5455,217-6339,</t>
  </si>
  <si>
    <t>217-3141,</t>
  </si>
  <si>
    <t>180° Drive Kit</t>
  </si>
  <si>
    <t>217-6011,217-6043,217-5882,217-5875,217-5870,</t>
  </si>
  <si>
    <t>217-6011,217-6043,217-5882,217-5875,217-5871,</t>
  </si>
  <si>
    <t>217-6011,217-6043,217-5882,217-5875,217-5872,</t>
  </si>
  <si>
    <t>No</t>
  </si>
  <si>
    <t>90° Drive</t>
  </si>
  <si>
    <t>217-6293,</t>
  </si>
  <si>
    <t>Ratchet Stage</t>
  </si>
  <si>
    <t>217-6048,</t>
  </si>
  <si>
    <t>Encoder Stage</t>
  </si>
  <si>
    <t>217-5046,</t>
  </si>
  <si>
    <t>Motor Type</t>
  </si>
  <si>
    <t>Note: The 90° Drive, Ratchet Stage, and Encoder Stage can go in any location in the gearbox without changing the results of this calculator.</t>
  </si>
  <si>
    <t>Qty</t>
  </si>
  <si>
    <t>P/N</t>
  </si>
  <si>
    <t>Dual Input</t>
  </si>
  <si>
    <t>Stage 1</t>
  </si>
  <si>
    <t>Stage 2</t>
  </si>
  <si>
    <t>DUAL INPUT NOT AVAILABLE FOR THIS MOTOR SELECTION</t>
  </si>
  <si>
    <t>VP Price</t>
  </si>
  <si>
    <t>VP Lite Price</t>
  </si>
  <si>
    <t>Free Speed (rpm)</t>
  </si>
  <si>
    <t>VersaPlanetary Configuration Calculator</t>
  </si>
  <si>
    <t>VP Parts Needed:</t>
  </si>
  <si>
    <t>VP Lite Parts Needed:</t>
  </si>
  <si>
    <t>180° Drive</t>
  </si>
  <si>
    <t>STAGES SHOULD BE ORDERED WITH DECREASING RATIO FROM INPUT TO OUTPUT</t>
  </si>
  <si>
    <t/>
  </si>
  <si>
    <t>BB RS-550</t>
  </si>
  <si>
    <t>BB RS-775</t>
  </si>
  <si>
    <t>Redline</t>
  </si>
  <si>
    <t>Total Ratio</t>
  </si>
  <si>
    <t>NeveRest</t>
  </si>
  <si>
    <t>This sheet uses parabolic trajectory equations to help determine the path a shot object will follow. There are two calculation options. The Forward option allows you to select an initial velocity and angle, and tells you the target height and angle a certain distance away from the launch point. The Reverse option calculates the required launch velocity and angle for a projectile to land a certain height at a certain distance away, with a certain landing angle. Use this sheet to get baseline values for designing flywheels, catapults, or other types of shooting mechanisms.</t>
  </si>
  <si>
    <t>Andrew Schreiber's VersaPlanetary Configuration Tool</t>
  </si>
  <si>
    <t>Falcon 500</t>
  </si>
  <si>
    <t>Johnson Motor</t>
  </si>
  <si>
    <t>NEO 550</t>
  </si>
  <si>
    <t>Stage 1/2</t>
  </si>
  <si>
    <t>1:1 DM</t>
  </si>
  <si>
    <t>5.33 DM</t>
  </si>
  <si>
    <t>3.75 DM</t>
  </si>
  <si>
    <t>1:1 Lite</t>
  </si>
  <si>
    <t>3.75 Lite</t>
  </si>
  <si>
    <t>5.33 Lite</t>
  </si>
  <si>
    <t>Note: Vex may change prices or part numbers without notice, and they will not update here automatically.</t>
  </si>
  <si>
    <t>VP Safe?</t>
  </si>
  <si>
    <t>VP Lite Safe?</t>
  </si>
  <si>
    <t xml:space="preserve">     ^ Tolerance (%)</t>
  </si>
  <si>
    <t xml:space="preserve">     ^ Tolerance (°)</t>
  </si>
  <si>
    <t xml:space="preserve">     ^ Range (°)</t>
  </si>
  <si>
    <t>For an "exact" solution set all Tolerance inputs to 0. For a range of solutions, add tolerances according to your use case.</t>
  </si>
  <si>
    <t>Note that the range output shows the max. and min. outputs across all solutions, but the max. of one output does not necessarily correspond to the same trajectory as the max. of the other, and same for min.</t>
  </si>
  <si>
    <t>Min Allowable Voltage (V)</t>
  </si>
  <si>
    <t>Battery Resting Voltage (V)</t>
  </si>
  <si>
    <t>Per-Branch Resistance (mΩ)</t>
  </si>
  <si>
    <r>
      <t>Batt/Mains Resistance (m</t>
    </r>
    <r>
      <rPr>
        <sz val="11"/>
        <color theme="1"/>
        <rFont val="Calibri"/>
        <family val="2"/>
      </rPr>
      <t>Ω)</t>
    </r>
  </si>
  <si>
    <t>Max Total Current Draw (A)</t>
  </si>
  <si>
    <t>Wheel Slip Gear Ratio</t>
  </si>
  <si>
    <t>DUAL MOTOR INPUT LOAD RATINGS NOT AVAILABLE FOR VERSAPLANETARY LITE</t>
  </si>
  <si>
    <t>This calculator relies on standard projectile motion equation only. It does not account for air resistance, magnus effect, etc. Use these results as a starting place for prototyping, not as a replacement for it.</t>
  </si>
  <si>
    <t>This sheet helps visualize the data from the VersaPlanetary Load Ratings Guide, as well as showing the part numbers needed to order for that configuration, the price of the configuration, and the output speed and torque.</t>
  </si>
  <si>
    <t>This sheet calculates the closest exact C-C distance for given sprocket/pulley sizes and chain pitch. Use this sheet to find the correct C-C distance for using chain/belt without a tensioner. Choose rounding type and modulus number to force rounding up or down or rounding to a multiple of given number. This sheet also calculates the C-C distance for a given belt length and sprocket size, to find the proper spacing for COTS belts.</t>
  </si>
  <si>
    <t>Version 4.6</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</si>
</sst>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
    <numFmt numFmtId="165" formatCode="0.00\ \:\ \1"/>
    <numFmt numFmtId="166" formatCode="0.0%"/>
    <numFmt numFmtId="167" formatCode="0.000"/>
    <numFmt numFmtId="168" formatCode="0.00000"/>
    <numFmt numFmtId="169" formatCode="0\°"/>
    <numFmt numFmtId="170" formatCode="&quot;$&quot;#,##0.00"/>
    <numFmt numFmtId="171" formatCode="0\ \:\ \1"/>
    <numFmt numFmtId="172" formatCode="0.0\°"/>
    <numFmt numFmtId="173" formatCode="\±0.00"/>
    <numFmt numFmtId="174" formatCode="\±0%"/>
    <numFmt numFmtId="175" formatCode="\±0\°"/>
    <numFmt numFmtId="176" formatCode="\±0.0"/>
  </numFmts>
  <fonts count="32" x14ac:knownFonts="1">
    <font>
      <sz val="11"/>
      <color theme="1"/>
      <name val="Calibri"/>
      <family val="2"/>
      <scheme val="minor"/>
    </font>
    <font>
      <b/>
      <sz val="11"/>
      <color theme="1"/>
      <name val="Calibri"/>
      <family val="2"/>
      <scheme val="minor"/>
    </font>
    <font>
      <sz val="11"/>
      <color theme="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sz val="11"/>
      <color rgb="FF000000"/>
      <name val="Arial"/>
      <family val="2"/>
    </font>
    <font>
      <sz val="11"/>
      <color rgb="FF000000"/>
      <name val="Calibri"/>
      <family val="2"/>
      <scheme val="minor"/>
    </font>
    <font>
      <b/>
      <sz val="14"/>
      <color rgb="FF000000"/>
      <name val="Arial"/>
      <family val="2"/>
    </font>
    <font>
      <b/>
      <u/>
      <sz val="11"/>
      <color rgb="FF000000"/>
      <name val="Arial"/>
      <family val="2"/>
    </font>
    <font>
      <b/>
      <sz val="11"/>
      <color rgb="FF000000"/>
      <name val="Arial"/>
      <family val="2"/>
    </font>
    <font>
      <b/>
      <sz val="14"/>
      <color theme="1"/>
      <name val="Calibri"/>
      <family val="2"/>
      <scheme val="minor"/>
    </font>
    <font>
      <sz val="9"/>
      <color indexed="81"/>
      <name val="Tahoma"/>
      <family val="2"/>
    </font>
    <font>
      <b/>
      <sz val="9"/>
      <color indexed="81"/>
      <name val="Tahoma"/>
      <family val="2"/>
    </font>
    <font>
      <sz val="11"/>
      <name val="Calibri"/>
      <family val="2"/>
      <scheme val="minor"/>
    </font>
    <font>
      <b/>
      <sz val="12"/>
      <color rgb="FFFF0000"/>
      <name val="Calibri"/>
      <family val="2"/>
      <scheme val="minor"/>
    </font>
    <font>
      <sz val="11"/>
      <color rgb="FF9C6500"/>
      <name val="Calibri"/>
      <family val="2"/>
      <scheme val="minor"/>
    </font>
    <font>
      <sz val="11"/>
      <color theme="1"/>
      <name val="Calibri"/>
      <family val="2"/>
    </font>
    <font>
      <sz val="24"/>
      <color rgb="FFFF0000"/>
      <name val="Calibri"/>
      <family val="2"/>
      <scheme val="minor"/>
    </font>
    <font>
      <sz val="12"/>
      <color theme="1"/>
      <name val="Calibri"/>
      <family val="2"/>
      <scheme val="minor"/>
    </font>
    <font>
      <u/>
      <sz val="11"/>
      <color theme="1"/>
      <name val="Calibri"/>
      <family val="2"/>
      <scheme val="minor"/>
    </font>
    <font>
      <u/>
      <sz val="11"/>
      <color theme="10"/>
      <name val="Calibri"/>
      <family val="2"/>
      <scheme val="minor"/>
    </font>
    <font>
      <b/>
      <sz val="28"/>
      <color rgb="FF000000"/>
      <name val="Calibri"/>
      <family val="2"/>
    </font>
    <font>
      <sz val="11"/>
      <color rgb="FF663300"/>
      <name val="Calibri"/>
      <family val="2"/>
      <scheme val="minor"/>
    </font>
    <font>
      <sz val="11"/>
      <color rgb="FF800000"/>
      <name val="Calibri"/>
      <family val="2"/>
      <scheme val="minor"/>
    </font>
    <font>
      <b/>
      <sz val="20"/>
      <color rgb="FF000000"/>
      <name val="Calibri"/>
      <family val="2"/>
    </font>
    <font>
      <sz val="8"/>
      <color rgb="FF000000"/>
      <name val="Tahoma"/>
      <family val="2"/>
    </font>
    <font>
      <sz val="11"/>
      <color theme="1"/>
      <name val="Symbol"/>
      <family val="1"/>
      <charset val="2"/>
    </font>
    <font>
      <sz val="11"/>
      <color theme="1"/>
      <name val="Arial"/>
      <family val="2"/>
    </font>
    <font>
      <b/>
      <sz val="11"/>
      <color rgb="FFFF0000"/>
      <name val="Calibri"/>
      <family val="2"/>
      <scheme val="minor"/>
    </font>
    <font>
      <sz val="12"/>
      <color rgb="FFFF0000"/>
      <name val="Calibri"/>
      <family val="2"/>
      <scheme val="minor"/>
    </font>
    <font>
      <sz val="11"/>
      <color theme="9"/>
      <name val="Calibri"/>
      <family val="2"/>
      <scheme val="minor"/>
    </font>
  </fonts>
  <fills count="13">
    <fill>
      <patternFill patternType="none"/>
    </fill>
    <fill>
      <patternFill patternType="gray125"/>
    </fill>
    <fill>
      <patternFill patternType="solid">
        <fgColor rgb="FF9FC5E8"/>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EB9C"/>
        <bgColor indexed="64"/>
      </patternFill>
    </fill>
    <fill>
      <patternFill patternType="solid">
        <fgColor theme="5"/>
        <bgColor indexed="64"/>
      </patternFill>
    </fill>
    <fill>
      <patternFill patternType="solid">
        <fgColor rgb="FFFFCC66"/>
        <bgColor indexed="64"/>
      </patternFill>
    </fill>
    <fill>
      <patternFill patternType="solid">
        <fgColor rgb="FFFF5050"/>
        <bgColor indexed="64"/>
      </patternFill>
    </fill>
    <fill>
      <patternFill patternType="solid">
        <fgColor rgb="FF8DB3E2"/>
        <bgColor rgb="FF8DB3E2"/>
      </patternFill>
    </fill>
    <fill>
      <patternFill patternType="solid">
        <fgColor rgb="FFD8D8D8"/>
        <bgColor rgb="FFD8D8D8"/>
      </patternFill>
    </fill>
    <fill>
      <patternFill patternType="solid">
        <fgColor theme="0" tint="-0.14999847407452621"/>
        <bgColor rgb="FFE60000"/>
      </patternFill>
    </fill>
  </fills>
  <borders count="87">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indexed="64"/>
      </top>
      <bottom style="thin">
        <color theme="1" tint="0.499984740745262"/>
      </bottom>
      <diagonal/>
    </border>
    <border>
      <left style="thin">
        <color indexed="64"/>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thin">
        <color theme="1" tint="0.499984740745262"/>
      </top>
      <bottom style="thin">
        <color indexed="64"/>
      </bottom>
      <diagonal/>
    </border>
    <border>
      <left/>
      <right style="thin">
        <color indexed="64"/>
      </right>
      <top/>
      <bottom style="thin">
        <color indexed="64"/>
      </bottom>
      <diagonal/>
    </border>
    <border>
      <left style="thin">
        <color theme="1" tint="0.499984740745262"/>
      </left>
      <right style="thin">
        <color indexed="64"/>
      </right>
      <top style="thin">
        <color indexed="64"/>
      </top>
      <bottom style="thin">
        <color theme="1" tint="0.499984740745262"/>
      </bottom>
      <diagonal/>
    </border>
    <border>
      <left style="thin">
        <color theme="1" tint="0.499984740745262"/>
      </left>
      <right style="thin">
        <color indexed="64"/>
      </right>
      <top style="thin">
        <color theme="1" tint="0.499984740745262"/>
      </top>
      <bottom style="thin">
        <color theme="1" tint="0.499984740745262"/>
      </bottom>
      <diagonal/>
    </border>
    <border>
      <left style="thin">
        <color theme="1" tint="0.499984740745262"/>
      </left>
      <right style="thin">
        <color indexed="64"/>
      </right>
      <top style="thin">
        <color theme="1" tint="0.499984740745262"/>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1" tint="0.499984740745262"/>
      </right>
      <top style="thin">
        <color indexed="64"/>
      </top>
      <bottom/>
      <diagonal/>
    </border>
    <border>
      <left style="thin">
        <color theme="1" tint="0.499984740745262"/>
      </left>
      <right style="thin">
        <color theme="1" tint="0.499984740745262"/>
      </right>
      <top style="thin">
        <color indexed="64"/>
      </top>
      <bottom/>
      <diagonal/>
    </border>
    <border>
      <left style="thin">
        <color theme="1" tint="0.499984740745262"/>
      </left>
      <right style="thin">
        <color indexed="64"/>
      </right>
      <top style="thin">
        <color indexed="64"/>
      </top>
      <bottom/>
      <diagonal/>
    </border>
    <border>
      <left style="thin">
        <color indexed="64"/>
      </left>
      <right style="thin">
        <color theme="1" tint="0.499984740745262"/>
      </right>
      <top style="thin">
        <color indexed="64"/>
      </top>
      <bottom style="thin">
        <color indexed="64"/>
      </bottom>
      <diagonal/>
    </border>
    <border>
      <left style="thin">
        <color theme="1" tint="0.499984740745262"/>
      </left>
      <right style="thin">
        <color theme="1" tint="0.499984740745262"/>
      </right>
      <top style="thin">
        <color indexed="64"/>
      </top>
      <bottom style="thin">
        <color indexed="64"/>
      </bottom>
      <diagonal/>
    </border>
    <border>
      <left style="thin">
        <color theme="1" tint="0.499984740745262"/>
      </left>
      <right style="thin">
        <color indexed="64"/>
      </right>
      <top style="thin">
        <color indexed="64"/>
      </top>
      <bottom style="thin">
        <color indexed="64"/>
      </bottom>
      <diagonal/>
    </border>
    <border>
      <left/>
      <right style="thin">
        <color theme="1" tint="0.499984740745262"/>
      </right>
      <top style="thin">
        <color indexed="64"/>
      </top>
      <bottom style="thin">
        <color indexed="64"/>
      </bottom>
      <diagonal/>
    </border>
    <border>
      <left style="thin">
        <color indexed="64"/>
      </left>
      <right style="thin">
        <color indexed="64"/>
      </right>
      <top style="thin">
        <color indexed="64"/>
      </top>
      <bottom style="thin">
        <color theme="1"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theme="1" tint="0.499984740745262"/>
      </top>
      <bottom style="thin">
        <color theme="1" tint="0.499984740745262"/>
      </bottom>
      <diagonal/>
    </border>
    <border>
      <left style="thin">
        <color auto="1"/>
      </left>
      <right style="thin">
        <color auto="1"/>
      </right>
      <top style="thin">
        <color theme="1" tint="0.499984740745262"/>
      </top>
      <bottom style="thin">
        <color auto="1"/>
      </bottom>
      <diagonal/>
    </border>
    <border>
      <left style="thin">
        <color auto="1"/>
      </left>
      <right style="thin">
        <color auto="1"/>
      </right>
      <top/>
      <bottom style="thin">
        <color theme="1" tint="0.499984740745262"/>
      </bottom>
      <diagonal/>
    </border>
    <border>
      <left style="thin">
        <color auto="1"/>
      </left>
      <right style="thin">
        <color theme="0" tint="-0.499984740745262"/>
      </right>
      <top style="thin">
        <color auto="1"/>
      </top>
      <bottom style="thin">
        <color auto="1"/>
      </bottom>
      <diagonal/>
    </border>
    <border>
      <left style="thin">
        <color theme="0" tint="-0.499984740745262"/>
      </left>
      <right style="thin">
        <color auto="1"/>
      </right>
      <top style="thin">
        <color auto="1"/>
      </top>
      <bottom style="thin">
        <color auto="1"/>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indexed="64"/>
      </right>
      <top style="thin">
        <color indexed="64"/>
      </top>
      <bottom/>
      <diagonal/>
    </border>
    <border>
      <left style="medium">
        <color rgb="FF980000"/>
      </left>
      <right/>
      <top/>
      <bottom/>
      <diagonal/>
    </border>
    <border>
      <left style="medium">
        <color rgb="FF980000"/>
      </left>
      <right/>
      <top style="medium">
        <color rgb="FF980000"/>
      </top>
      <bottom/>
      <diagonal/>
    </border>
    <border>
      <left/>
      <right/>
      <top style="medium">
        <color rgb="FF980000"/>
      </top>
      <bottom/>
      <diagonal/>
    </border>
    <border>
      <left/>
      <right style="medium">
        <color rgb="FF980000"/>
      </right>
      <top style="medium">
        <color rgb="FF980000"/>
      </top>
      <bottom/>
      <diagonal/>
    </border>
    <border>
      <left/>
      <right style="medium">
        <color rgb="FF980000"/>
      </right>
      <top/>
      <bottom/>
      <diagonal/>
    </border>
    <border>
      <left style="medium">
        <color rgb="FF980000"/>
      </left>
      <right/>
      <top/>
      <bottom style="medium">
        <color rgb="FF980000"/>
      </bottom>
      <diagonal/>
    </border>
    <border>
      <left/>
      <right/>
      <top/>
      <bottom style="medium">
        <color rgb="FF980000"/>
      </bottom>
      <diagonal/>
    </border>
    <border>
      <left/>
      <right style="medium">
        <color rgb="FF980000"/>
      </right>
      <top/>
      <bottom style="medium">
        <color rgb="FF980000"/>
      </bottom>
      <diagonal/>
    </border>
    <border>
      <left style="thin">
        <color theme="1" tint="0.499984740745262"/>
      </left>
      <right style="thin">
        <color indexed="64"/>
      </right>
      <top style="thin">
        <color theme="1" tint="0.499984740745262"/>
      </top>
      <bottom/>
      <diagonal/>
    </border>
    <border>
      <left/>
      <right/>
      <top/>
      <bottom style="thin">
        <color theme="0"/>
      </bottom>
      <diagonal/>
    </border>
    <border>
      <left/>
      <right/>
      <top style="thin">
        <color theme="0"/>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indexed="64"/>
      </right>
      <top/>
      <bottom/>
      <diagonal/>
    </border>
    <border>
      <left style="thin">
        <color auto="1"/>
      </left>
      <right/>
      <top style="thin">
        <color auto="1"/>
      </top>
      <bottom style="thin">
        <color theme="0"/>
      </bottom>
      <diagonal/>
    </border>
    <border>
      <left/>
      <right/>
      <top style="thin">
        <color auto="1"/>
      </top>
      <bottom style="thin">
        <color theme="0"/>
      </bottom>
      <diagonal/>
    </border>
    <border>
      <left/>
      <right style="thin">
        <color indexed="64"/>
      </right>
      <top style="thin">
        <color auto="1"/>
      </top>
      <bottom style="thin">
        <color theme="0"/>
      </bottom>
      <diagonal/>
    </border>
    <border>
      <left style="thin">
        <color auto="1"/>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rgb="FF000000"/>
      </left>
      <right style="thin">
        <color rgb="FF7F7F7F"/>
      </right>
      <top style="thin">
        <color rgb="FF000000"/>
      </top>
      <bottom style="thin">
        <color rgb="FF000000"/>
      </bottom>
      <diagonal/>
    </border>
    <border>
      <left style="thin">
        <color rgb="FF7F7F7F"/>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style="thin">
        <color indexed="64"/>
      </left>
      <right style="thin">
        <color auto="1"/>
      </right>
      <top style="thin">
        <color indexed="64"/>
      </top>
      <bottom style="thin">
        <color theme="0"/>
      </bottom>
      <diagonal/>
    </border>
    <border>
      <left style="thin">
        <color indexed="64"/>
      </left>
      <right style="thin">
        <color auto="1"/>
      </right>
      <top style="thin">
        <color theme="0"/>
      </top>
      <bottom style="thin">
        <color theme="0"/>
      </bottom>
      <diagonal/>
    </border>
    <border>
      <left style="thin">
        <color indexed="64"/>
      </left>
      <right style="thin">
        <color auto="1"/>
      </right>
      <top style="thin">
        <color theme="0"/>
      </top>
      <bottom style="thin">
        <color auto="1"/>
      </bottom>
      <diagonal/>
    </border>
    <border>
      <left style="thin">
        <color indexed="64"/>
      </left>
      <right style="thin">
        <color theme="1" tint="0.499984740745262"/>
      </right>
      <top/>
      <bottom style="thin">
        <color theme="1" tint="0.499984740745262"/>
      </bottom>
      <diagonal/>
    </border>
    <border>
      <left style="thin">
        <color theme="1" tint="0.499984740745262"/>
      </left>
      <right style="thin">
        <color indexed="64"/>
      </right>
      <top/>
      <bottom style="thin">
        <color theme="1" tint="0.499984740745262"/>
      </bottom>
      <diagonal/>
    </border>
    <border>
      <left style="thin">
        <color indexed="64"/>
      </left>
      <right style="thin">
        <color theme="1" tint="0.499984740745262"/>
      </right>
      <top/>
      <bottom/>
      <diagonal/>
    </border>
    <border>
      <left style="thin">
        <color theme="1" tint="0.499984740745262"/>
      </left>
      <right style="thin">
        <color indexed="64"/>
      </right>
      <top/>
      <bottom/>
      <diagonal/>
    </border>
    <border>
      <left style="thin">
        <color indexed="64"/>
      </left>
      <right style="thin">
        <color theme="1" tint="0.499984740745262"/>
      </right>
      <top/>
      <bottom style="thin">
        <color indexed="64"/>
      </bottom>
      <diagonal/>
    </border>
    <border>
      <left style="thin">
        <color theme="1" tint="0.499984740745262"/>
      </left>
      <right style="thin">
        <color indexed="64"/>
      </right>
      <top/>
      <bottom style="thin">
        <color indexed="64"/>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style="thin">
        <color rgb="FFFF0000"/>
      </left>
      <right/>
      <top/>
      <bottom/>
      <diagonal/>
    </border>
    <border>
      <left/>
      <right style="thin">
        <color rgb="FFFF0000"/>
      </right>
      <top/>
      <bottom/>
      <diagonal/>
    </border>
    <border>
      <left style="thin">
        <color rgb="FFFF0000"/>
      </left>
      <right/>
      <top/>
      <bottom style="thin">
        <color rgb="FFFF0000"/>
      </bottom>
      <diagonal/>
    </border>
    <border>
      <left/>
      <right/>
      <top/>
      <bottom style="thin">
        <color rgb="FFFF0000"/>
      </bottom>
      <diagonal/>
    </border>
    <border>
      <left/>
      <right style="thin">
        <color rgb="FFFF0000"/>
      </right>
      <top/>
      <bottom style="thin">
        <color rgb="FFFF0000"/>
      </bottom>
      <diagonal/>
    </border>
    <border>
      <left style="medium">
        <color theme="9"/>
      </left>
      <right/>
      <top/>
      <bottom/>
      <diagonal/>
    </border>
    <border>
      <left style="medium">
        <color theme="9"/>
      </left>
      <right/>
      <top style="medium">
        <color theme="9"/>
      </top>
      <bottom/>
      <diagonal/>
    </border>
    <border>
      <left/>
      <right style="medium">
        <color theme="9"/>
      </right>
      <top style="medium">
        <color theme="9"/>
      </top>
      <bottom/>
      <diagonal/>
    </border>
    <border>
      <left/>
      <right style="medium">
        <color theme="9"/>
      </right>
      <top/>
      <bottom/>
      <diagonal/>
    </border>
    <border>
      <left style="medium">
        <color theme="9"/>
      </left>
      <right/>
      <top/>
      <bottom style="medium">
        <color theme="9"/>
      </bottom>
      <diagonal/>
    </border>
    <border>
      <left/>
      <right style="medium">
        <color theme="9"/>
      </right>
      <top/>
      <bottom style="medium">
        <color theme="9"/>
      </bottom>
      <diagonal/>
    </border>
  </borders>
  <cellStyleXfs count="7">
    <xf numFmtId="0" fontId="0" fillId="0" borderId="0"/>
    <xf numFmtId="9" fontId="4" fillId="0" borderId="0" applyFont="0" applyFill="0" applyBorder="0" applyAlignment="0" applyProtection="0"/>
    <xf numFmtId="0" fontId="16" fillId="6" borderId="0" applyNumberFormat="0" applyBorder="0" applyAlignment="0" applyProtection="0"/>
    <xf numFmtId="0" fontId="14" fillId="7" borderId="0" applyNumberFormat="0" applyBorder="0" applyAlignment="0" applyProtection="0"/>
    <xf numFmtId="0" fontId="21" fillId="0" borderId="0" applyNumberFormat="0" applyFill="0" applyBorder="0" applyAlignment="0" applyProtection="0"/>
    <xf numFmtId="0" fontId="19" fillId="0" borderId="0"/>
    <xf numFmtId="0" fontId="28" fillId="0" borderId="0"/>
  </cellStyleXfs>
  <cellXfs count="261">
    <xf numFmtId="0" fontId="0" fillId="0" borderId="0" xfId="0"/>
    <xf numFmtId="0" fontId="0" fillId="0" borderId="0" xfId="0" applyAlignment="1" applyProtection="1">
      <alignment vertical="center"/>
    </xf>
    <xf numFmtId="0" fontId="3" fillId="0" borderId="0" xfId="0" applyFont="1" applyAlignment="1" applyProtection="1">
      <alignment vertical="center"/>
    </xf>
    <xf numFmtId="0" fontId="2" fillId="0" borderId="0" xfId="0" applyFont="1" applyAlignment="1" applyProtection="1">
      <alignment vertical="center"/>
    </xf>
    <xf numFmtId="0" fontId="14" fillId="0" borderId="0" xfId="0" applyFont="1" applyAlignment="1" applyProtection="1">
      <alignment vertical="center"/>
    </xf>
    <xf numFmtId="2" fontId="0" fillId="0" borderId="0" xfId="0" applyNumberFormat="1" applyAlignment="1" applyProtection="1">
      <alignment vertical="center"/>
    </xf>
    <xf numFmtId="1" fontId="0" fillId="3" borderId="17" xfId="0" applyNumberFormat="1" applyFill="1" applyBorder="1" applyAlignment="1" applyProtection="1">
      <alignment vertical="center"/>
    </xf>
    <xf numFmtId="167" fontId="0" fillId="3" borderId="17" xfId="0" applyNumberFormat="1" applyFill="1" applyBorder="1" applyAlignment="1" applyProtection="1">
      <alignment vertical="center"/>
    </xf>
    <xf numFmtId="0" fontId="2" fillId="0" borderId="0" xfId="0" applyFont="1" applyAlignment="1" applyProtection="1">
      <alignment vertical="center"/>
      <protection locked="0"/>
    </xf>
    <xf numFmtId="2" fontId="0" fillId="2" borderId="22" xfId="0" applyNumberFormat="1" applyFill="1" applyBorder="1" applyAlignment="1" applyProtection="1">
      <alignment vertical="center"/>
      <protection locked="0"/>
    </xf>
    <xf numFmtId="164" fontId="0" fillId="2" borderId="22" xfId="0" applyNumberFormat="1" applyFill="1" applyBorder="1" applyAlignment="1" applyProtection="1">
      <alignment vertical="center"/>
      <protection locked="0"/>
    </xf>
    <xf numFmtId="0" fontId="0" fillId="2" borderId="17" xfId="0" applyFill="1" applyBorder="1" applyAlignment="1" applyProtection="1">
      <alignment vertical="center"/>
      <protection locked="0"/>
    </xf>
    <xf numFmtId="1" fontId="0" fillId="2" borderId="22" xfId="0" applyNumberFormat="1" applyFill="1" applyBorder="1" applyAlignment="1" applyProtection="1">
      <alignment vertical="center"/>
      <protection locked="0"/>
    </xf>
    <xf numFmtId="164" fontId="0" fillId="2" borderId="23" xfId="0" applyNumberFormat="1" applyFill="1" applyBorder="1" applyAlignment="1" applyProtection="1">
      <alignment vertical="center"/>
      <protection locked="0"/>
    </xf>
    <xf numFmtId="9" fontId="0" fillId="2" borderId="17" xfId="1" applyFont="1" applyFill="1" applyBorder="1" applyAlignment="1" applyProtection="1">
      <alignment vertical="center"/>
      <protection locked="0"/>
    </xf>
    <xf numFmtId="167" fontId="0" fillId="2" borderId="17" xfId="0" applyNumberFormat="1" applyFill="1" applyBorder="1" applyAlignment="1" applyProtection="1">
      <alignment vertical="center"/>
      <protection locked="0"/>
    </xf>
    <xf numFmtId="2" fontId="0" fillId="2" borderId="17" xfId="0" applyNumberFormat="1" applyFill="1" applyBorder="1" applyAlignment="1" applyProtection="1">
      <alignment vertical="center"/>
      <protection locked="0"/>
    </xf>
    <xf numFmtId="0" fontId="0" fillId="2" borderId="25" xfId="0" applyFill="1" applyBorder="1" applyAlignment="1" applyProtection="1">
      <alignment vertical="center"/>
      <protection locked="0"/>
    </xf>
    <xf numFmtId="0" fontId="0" fillId="2" borderId="26" xfId="0" applyFill="1" applyBorder="1" applyAlignment="1" applyProtection="1">
      <alignment vertical="center"/>
      <protection locked="0"/>
    </xf>
    <xf numFmtId="164" fontId="0" fillId="2" borderId="19" xfId="0" applyNumberFormat="1" applyFill="1" applyBorder="1" applyAlignment="1" applyProtection="1">
      <alignment vertical="center"/>
      <protection locked="0"/>
    </xf>
    <xf numFmtId="0" fontId="0" fillId="2" borderId="19" xfId="0" applyFill="1" applyBorder="1" applyAlignment="1" applyProtection="1">
      <alignment vertical="center"/>
      <protection locked="0"/>
    </xf>
    <xf numFmtId="2" fontId="0" fillId="2" borderId="23" xfId="0" applyNumberFormat="1" applyFill="1" applyBorder="1" applyAlignment="1" applyProtection="1">
      <alignment vertical="center"/>
      <protection locked="0"/>
    </xf>
    <xf numFmtId="0" fontId="1" fillId="0" borderId="0" xfId="0" applyFont="1" applyAlignment="1" applyProtection="1">
      <alignment vertical="center"/>
    </xf>
    <xf numFmtId="0" fontId="0" fillId="0" borderId="17" xfId="0" applyBorder="1" applyAlignment="1" applyProtection="1">
      <alignment vertical="center"/>
    </xf>
    <xf numFmtId="0" fontId="0" fillId="0" borderId="4" xfId="0" applyFont="1" applyBorder="1" applyAlignment="1" applyProtection="1">
      <alignment horizontal="left" vertical="center"/>
    </xf>
    <xf numFmtId="1" fontId="0" fillId="0" borderId="3" xfId="0" applyNumberFormat="1" applyBorder="1" applyAlignment="1" applyProtection="1">
      <alignment vertical="center"/>
    </xf>
    <xf numFmtId="1" fontId="0" fillId="0" borderId="8" xfId="0" applyNumberFormat="1" applyBorder="1" applyAlignment="1" applyProtection="1">
      <alignment vertical="center"/>
    </xf>
    <xf numFmtId="0" fontId="0" fillId="2" borderId="15" xfId="0" applyFill="1" applyBorder="1" applyAlignment="1" applyProtection="1">
      <alignment vertical="center"/>
      <protection locked="0"/>
    </xf>
    <xf numFmtId="0" fontId="0" fillId="2" borderId="16" xfId="0" applyFill="1" applyBorder="1" applyAlignment="1" applyProtection="1">
      <alignment vertical="center"/>
      <protection locked="0"/>
    </xf>
    <xf numFmtId="0" fontId="0" fillId="3" borderId="17" xfId="0" applyFill="1" applyBorder="1" applyAlignment="1" applyProtection="1">
      <alignment vertical="center"/>
    </xf>
    <xf numFmtId="0" fontId="0" fillId="0" borderId="2" xfId="0" applyFont="1" applyBorder="1" applyAlignment="1" applyProtection="1">
      <alignment horizontal="left" vertical="center"/>
    </xf>
    <xf numFmtId="2" fontId="0" fillId="0" borderId="1" xfId="0" applyNumberFormat="1" applyBorder="1" applyAlignment="1" applyProtection="1">
      <alignment vertical="center"/>
    </xf>
    <xf numFmtId="2" fontId="0" fillId="0" borderId="9" xfId="0" applyNumberFormat="1" applyBorder="1" applyAlignment="1" applyProtection="1">
      <alignment vertical="center"/>
    </xf>
    <xf numFmtId="164" fontId="0" fillId="0" borderId="1" xfId="0" applyNumberFormat="1" applyBorder="1" applyAlignment="1" applyProtection="1">
      <alignment vertical="center"/>
    </xf>
    <xf numFmtId="164" fontId="0" fillId="0" borderId="9" xfId="0" applyNumberFormat="1" applyBorder="1" applyAlignment="1" applyProtection="1">
      <alignment vertical="center"/>
    </xf>
    <xf numFmtId="1" fontId="0" fillId="0" borderId="1" xfId="0" applyNumberFormat="1" applyBorder="1" applyAlignment="1" applyProtection="1">
      <alignment vertical="center"/>
    </xf>
    <xf numFmtId="1" fontId="0" fillId="0" borderId="9" xfId="0" applyNumberFormat="1" applyBorder="1" applyAlignment="1" applyProtection="1">
      <alignment vertical="center"/>
    </xf>
    <xf numFmtId="0" fontId="0" fillId="0" borderId="5" xfId="0" applyFont="1" applyBorder="1" applyAlignment="1" applyProtection="1">
      <alignment horizontal="left" vertical="center"/>
    </xf>
    <xf numFmtId="164" fontId="0" fillId="0" borderId="6" xfId="0" applyNumberFormat="1" applyBorder="1" applyAlignment="1" applyProtection="1">
      <alignment vertical="center"/>
    </xf>
    <xf numFmtId="164" fontId="0" fillId="0" borderId="10" xfId="0" applyNumberFormat="1" applyBorder="1" applyAlignment="1" applyProtection="1">
      <alignment vertical="center"/>
    </xf>
    <xf numFmtId="165" fontId="0" fillId="3" borderId="17" xfId="0" applyNumberFormat="1" applyFill="1" applyBorder="1" applyAlignment="1" applyProtection="1">
      <alignment vertical="center"/>
    </xf>
    <xf numFmtId="0" fontId="0" fillId="0" borderId="15" xfId="0" applyFont="1" applyFill="1" applyBorder="1" applyAlignment="1" applyProtection="1">
      <alignment horizontal="left" vertical="center"/>
    </xf>
    <xf numFmtId="2" fontId="0" fillId="3" borderId="17" xfId="0" applyNumberFormat="1" applyFill="1" applyBorder="1" applyAlignment="1" applyProtection="1">
      <alignment vertical="center"/>
    </xf>
    <xf numFmtId="164" fontId="0" fillId="3" borderId="17" xfId="0" applyNumberFormat="1" applyFill="1" applyBorder="1" applyAlignment="1" applyProtection="1">
      <alignment vertical="center"/>
    </xf>
    <xf numFmtId="0" fontId="0" fillId="0" borderId="4" xfId="0" applyBorder="1" applyAlignment="1" applyProtection="1">
      <alignment vertical="center"/>
    </xf>
    <xf numFmtId="0" fontId="0" fillId="0" borderId="8" xfId="0" applyBorder="1" applyAlignment="1" applyProtection="1">
      <alignment vertical="center"/>
    </xf>
    <xf numFmtId="0" fontId="0" fillId="2" borderId="2" xfId="0" applyFill="1" applyBorder="1" applyAlignment="1" applyProtection="1">
      <alignment vertical="center"/>
      <protection locked="0"/>
    </xf>
    <xf numFmtId="0" fontId="0" fillId="2" borderId="9" xfId="0" applyFill="1" applyBorder="1" applyAlignment="1" applyProtection="1">
      <alignment vertical="center"/>
      <protection locked="0"/>
    </xf>
    <xf numFmtId="1" fontId="0" fillId="2" borderId="17" xfId="0" applyNumberFormat="1" applyFill="1" applyBorder="1" applyAlignment="1" applyProtection="1">
      <alignment vertical="center"/>
      <protection locked="0"/>
    </xf>
    <xf numFmtId="0" fontId="0" fillId="0" borderId="2" xfId="0" applyBorder="1" applyAlignment="1" applyProtection="1">
      <alignment vertical="center"/>
    </xf>
    <xf numFmtId="0" fontId="0" fillId="2" borderId="37" xfId="0" applyFill="1" applyBorder="1" applyAlignment="1" applyProtection="1">
      <alignment vertical="center"/>
      <protection locked="0"/>
    </xf>
    <xf numFmtId="164" fontId="0" fillId="2" borderId="17" xfId="0" applyNumberFormat="1" applyFill="1" applyBorder="1" applyAlignment="1" applyProtection="1">
      <alignment vertical="center"/>
      <protection locked="0"/>
    </xf>
    <xf numFmtId="0" fontId="0" fillId="0" borderId="5" xfId="0" applyBorder="1" applyAlignment="1" applyProtection="1">
      <alignment vertical="center"/>
    </xf>
    <xf numFmtId="0" fontId="0" fillId="3" borderId="10" xfId="0" applyFill="1" applyBorder="1" applyAlignment="1" applyProtection="1">
      <alignment vertical="center"/>
    </xf>
    <xf numFmtId="0" fontId="0" fillId="0" borderId="11" xfId="0" applyFont="1" applyFill="1" applyBorder="1" applyAlignment="1" applyProtection="1">
      <alignment horizontal="left" vertical="center"/>
    </xf>
    <xf numFmtId="0" fontId="11" fillId="0" borderId="0" xfId="0" applyFont="1" applyAlignment="1" applyProtection="1">
      <alignment vertical="center"/>
    </xf>
    <xf numFmtId="167" fontId="0" fillId="0" borderId="0" xfId="0" applyNumberFormat="1" applyAlignment="1" applyProtection="1">
      <alignment vertical="center"/>
    </xf>
    <xf numFmtId="164" fontId="0" fillId="0" borderId="0" xfId="0" applyNumberFormat="1" applyAlignment="1" applyProtection="1">
      <alignment vertical="center"/>
    </xf>
    <xf numFmtId="0" fontId="2" fillId="0" borderId="0" xfId="0" applyFont="1" applyAlignment="1" applyProtection="1">
      <alignment horizontal="right" vertical="center"/>
    </xf>
    <xf numFmtId="1" fontId="2" fillId="0" borderId="0" xfId="0" applyNumberFormat="1" applyFont="1" applyAlignment="1" applyProtection="1">
      <alignment vertical="center"/>
    </xf>
    <xf numFmtId="169" fontId="0" fillId="3" borderId="17" xfId="0" applyNumberFormat="1" applyFill="1" applyBorder="1" applyAlignment="1" applyProtection="1">
      <alignment vertical="center"/>
    </xf>
    <xf numFmtId="0" fontId="0" fillId="0" borderId="11" xfId="0" applyBorder="1" applyAlignment="1" applyProtection="1">
      <alignment vertical="center"/>
    </xf>
    <xf numFmtId="2" fontId="0" fillId="0" borderId="11" xfId="0" applyNumberFormat="1" applyBorder="1" applyAlignment="1" applyProtection="1">
      <alignment vertical="center"/>
    </xf>
    <xf numFmtId="0" fontId="0" fillId="0" borderId="19" xfId="0" applyBorder="1" applyAlignment="1" applyProtection="1">
      <alignment vertical="center"/>
    </xf>
    <xf numFmtId="0" fontId="0" fillId="0" borderId="22" xfId="0" applyBorder="1" applyAlignment="1" applyProtection="1">
      <alignment vertical="center"/>
    </xf>
    <xf numFmtId="0" fontId="0" fillId="0" borderId="23" xfId="0" applyBorder="1" applyAlignment="1" applyProtection="1">
      <alignment vertical="center"/>
    </xf>
    <xf numFmtId="0" fontId="2" fillId="0" borderId="0" xfId="0" applyNumberFormat="1" applyFont="1" applyAlignment="1" applyProtection="1">
      <alignment vertical="center"/>
    </xf>
    <xf numFmtId="0" fontId="0" fillId="2" borderId="22" xfId="0" applyFill="1" applyBorder="1" applyAlignment="1" applyProtection="1">
      <alignment vertical="center"/>
      <protection locked="0"/>
    </xf>
    <xf numFmtId="1" fontId="0" fillId="2" borderId="23" xfId="0" applyNumberFormat="1" applyFill="1" applyBorder="1" applyAlignment="1" applyProtection="1">
      <alignment vertical="center"/>
      <protection locked="0"/>
    </xf>
    <xf numFmtId="0" fontId="0" fillId="2" borderId="23" xfId="0" applyFill="1" applyBorder="1" applyAlignment="1" applyProtection="1">
      <alignment vertical="center"/>
      <protection locked="0"/>
    </xf>
    <xf numFmtId="165" fontId="0" fillId="2" borderId="17" xfId="0" applyNumberFormat="1" applyFill="1" applyBorder="1" applyAlignment="1" applyProtection="1">
      <alignment vertical="center"/>
      <protection locked="0"/>
    </xf>
    <xf numFmtId="0" fontId="0" fillId="2" borderId="17" xfId="0" applyFill="1" applyBorder="1" applyAlignment="1" applyProtection="1">
      <alignment horizontal="center" vertical="center"/>
      <protection locked="0"/>
    </xf>
    <xf numFmtId="169" fontId="0" fillId="2" borderId="17" xfId="0" applyNumberFormat="1" applyFill="1" applyBorder="1" applyAlignment="1" applyProtection="1">
      <alignment vertical="center"/>
      <protection locked="0"/>
    </xf>
    <xf numFmtId="0" fontId="1" fillId="0" borderId="15" xfId="0" applyFont="1" applyBorder="1" applyAlignment="1" applyProtection="1">
      <alignment vertical="center"/>
      <protection locked="0"/>
    </xf>
    <xf numFmtId="0" fontId="0" fillId="0" borderId="16" xfId="0" applyBorder="1" applyAlignment="1" applyProtection="1">
      <alignment horizontal="center" vertical="center"/>
      <protection locked="0"/>
    </xf>
    <xf numFmtId="164" fontId="0" fillId="3" borderId="22" xfId="0" applyNumberFormat="1" applyFill="1" applyBorder="1" applyAlignment="1" applyProtection="1">
      <alignment vertical="center"/>
    </xf>
    <xf numFmtId="167" fontId="0" fillId="2" borderId="22" xfId="0" applyNumberFormat="1" applyFill="1" applyBorder="1" applyAlignment="1" applyProtection="1">
      <alignment vertical="center"/>
      <protection locked="0"/>
    </xf>
    <xf numFmtId="164" fontId="2" fillId="0" borderId="0" xfId="0" applyNumberFormat="1" applyFont="1" applyAlignment="1" applyProtection="1">
      <alignment vertical="center"/>
    </xf>
    <xf numFmtId="0" fontId="0" fillId="2" borderId="11" xfId="0" applyFill="1" applyBorder="1" applyAlignment="1" applyProtection="1">
      <alignment vertical="center"/>
      <protection locked="0"/>
    </xf>
    <xf numFmtId="0" fontId="0" fillId="0" borderId="0" xfId="0" applyAlignment="1"/>
    <xf numFmtId="0" fontId="18" fillId="0" borderId="0" xfId="0" applyFont="1" applyAlignment="1"/>
    <xf numFmtId="0" fontId="19" fillId="0" borderId="0" xfId="0" applyFont="1" applyAlignment="1"/>
    <xf numFmtId="0" fontId="1" fillId="0" borderId="0" xfId="0" applyFont="1" applyAlignment="1"/>
    <xf numFmtId="0" fontId="0" fillId="5" borderId="11" xfId="0" applyFill="1" applyBorder="1" applyAlignment="1">
      <alignment horizontal="center"/>
    </xf>
    <xf numFmtId="0" fontId="0" fillId="0" borderId="0" xfId="0" quotePrefix="1" applyAlignment="1"/>
    <xf numFmtId="0" fontId="20" fillId="4" borderId="28" xfId="0" applyFont="1" applyFill="1" applyBorder="1" applyAlignment="1"/>
    <xf numFmtId="0" fontId="0" fillId="4" borderId="41" xfId="0" applyFill="1" applyBorder="1" applyAlignment="1"/>
    <xf numFmtId="0" fontId="0" fillId="0" borderId="20"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0" fontId="0" fillId="0" borderId="7" xfId="0" applyBorder="1" applyAlignment="1" applyProtection="1">
      <alignment vertical="center"/>
    </xf>
    <xf numFmtId="0" fontId="1" fillId="0" borderId="28" xfId="0" applyFont="1" applyBorder="1" applyAlignment="1" applyProtection="1">
      <alignment vertical="center"/>
    </xf>
    <xf numFmtId="0" fontId="0" fillId="0" borderId="24" xfId="0" applyBorder="1" applyAlignment="1" applyProtection="1">
      <alignment vertical="center"/>
    </xf>
    <xf numFmtId="165" fontId="7" fillId="3" borderId="27" xfId="0" applyNumberFormat="1" applyFont="1" applyFill="1" applyBorder="1" applyAlignment="1" applyProtection="1">
      <alignment vertical="center"/>
    </xf>
    <xf numFmtId="2" fontId="0" fillId="3" borderId="24" xfId="0" applyNumberFormat="1" applyFill="1" applyBorder="1" applyAlignment="1" applyProtection="1">
      <alignment vertical="center"/>
    </xf>
    <xf numFmtId="2" fontId="0" fillId="3" borderId="22" xfId="0" applyNumberFormat="1" applyFill="1" applyBorder="1" applyAlignment="1" applyProtection="1">
      <alignment vertical="center"/>
    </xf>
    <xf numFmtId="1" fontId="0" fillId="3" borderId="22" xfId="0" applyNumberFormat="1" applyFill="1" applyBorder="1" applyAlignment="1" applyProtection="1">
      <alignment vertical="center"/>
    </xf>
    <xf numFmtId="164" fontId="0" fillId="3" borderId="23" xfId="0" applyNumberFormat="1" applyFill="1" applyBorder="1" applyAlignment="1" applyProtection="1">
      <alignment vertical="center"/>
    </xf>
    <xf numFmtId="165" fontId="7" fillId="3" borderId="11" xfId="0" applyNumberFormat="1" applyFont="1" applyFill="1" applyBorder="1" applyAlignment="1" applyProtection="1">
      <alignment vertical="center"/>
    </xf>
    <xf numFmtId="0" fontId="0" fillId="0" borderId="25" xfId="0" applyBorder="1" applyAlignment="1" applyProtection="1">
      <alignment vertical="center"/>
    </xf>
    <xf numFmtId="166" fontId="0" fillId="3" borderId="17" xfId="1" applyNumberFormat="1" applyFont="1" applyFill="1" applyBorder="1" applyAlignment="1" applyProtection="1">
      <alignment vertical="center"/>
    </xf>
    <xf numFmtId="164" fontId="0" fillId="3" borderId="19" xfId="0" applyNumberFormat="1" applyFill="1" applyBorder="1" applyAlignment="1" applyProtection="1">
      <alignment vertical="center"/>
    </xf>
    <xf numFmtId="1" fontId="0" fillId="3" borderId="19" xfId="0" applyNumberFormat="1" applyFill="1" applyBorder="1" applyAlignment="1" applyProtection="1">
      <alignment vertical="center"/>
    </xf>
    <xf numFmtId="0" fontId="0" fillId="3" borderId="26" xfId="0" applyFill="1" applyBorder="1" applyAlignment="1" applyProtection="1">
      <alignment vertical="center"/>
    </xf>
    <xf numFmtId="2" fontId="0" fillId="3" borderId="23" xfId="0" applyNumberFormat="1" applyFill="1" applyBorder="1" applyAlignment="1" applyProtection="1">
      <alignment vertical="center"/>
    </xf>
    <xf numFmtId="167" fontId="0" fillId="2" borderId="26" xfId="0" applyNumberFormat="1" applyFill="1" applyBorder="1" applyAlignment="1" applyProtection="1">
      <alignment vertical="center"/>
      <protection locked="0"/>
    </xf>
    <xf numFmtId="0" fontId="0" fillId="3" borderId="11" xfId="0" applyFill="1" applyBorder="1" applyAlignment="1">
      <alignment horizontal="center"/>
    </xf>
    <xf numFmtId="0" fontId="23" fillId="8" borderId="11" xfId="2" applyFont="1" applyFill="1" applyBorder="1" applyAlignment="1">
      <alignment horizontal="center"/>
    </xf>
    <xf numFmtId="0" fontId="24" fillId="9" borderId="11" xfId="3" applyFont="1" applyFill="1" applyBorder="1" applyAlignment="1">
      <alignment horizontal="center"/>
    </xf>
    <xf numFmtId="0" fontId="2" fillId="0" borderId="54" xfId="0" applyFont="1" applyBorder="1" applyAlignment="1" applyProtection="1">
      <alignment vertical="center"/>
    </xf>
    <xf numFmtId="0" fontId="2" fillId="0" borderId="55" xfId="0" applyFont="1" applyBorder="1" applyAlignment="1" applyProtection="1">
      <alignment vertical="center"/>
    </xf>
    <xf numFmtId="0" fontId="2" fillId="0" borderId="53" xfId="0" applyFont="1" applyBorder="1" applyAlignment="1" applyProtection="1">
      <alignment vertical="center"/>
      <protection locked="0"/>
    </xf>
    <xf numFmtId="0" fontId="2" fillId="0" borderId="54" xfId="0" applyFont="1" applyBorder="1" applyAlignment="1" applyProtection="1">
      <alignment vertical="center"/>
      <protection locked="0"/>
    </xf>
    <xf numFmtId="0" fontId="2" fillId="0" borderId="0" xfId="0" applyFont="1" applyFill="1" applyBorder="1" applyAlignment="1">
      <alignment vertical="center"/>
    </xf>
    <xf numFmtId="0" fontId="0" fillId="0" borderId="0" xfId="0" applyFont="1" applyFill="1" applyBorder="1" applyAlignment="1">
      <alignment horizontal="center" vertical="center"/>
    </xf>
    <xf numFmtId="0" fontId="27" fillId="0" borderId="0" xfId="0" applyFont="1" applyFill="1" applyBorder="1" applyAlignment="1">
      <alignment horizontal="center" vertical="center"/>
    </xf>
    <xf numFmtId="0" fontId="28" fillId="0" borderId="0" xfId="0" applyFont="1" applyFill="1" applyBorder="1" applyAlignment="1">
      <alignment vertical="center"/>
    </xf>
    <xf numFmtId="0" fontId="0" fillId="0" borderId="0" xfId="0" applyFont="1" applyFill="1" applyBorder="1" applyAlignment="1">
      <alignment vertical="center"/>
    </xf>
    <xf numFmtId="2" fontId="0" fillId="0" borderId="0" xfId="0" applyNumberFormat="1" applyFont="1" applyFill="1" applyBorder="1" applyAlignment="1">
      <alignment vertical="center"/>
    </xf>
    <xf numFmtId="0" fontId="0" fillId="0" borderId="0" xfId="0" applyBorder="1" applyAlignment="1" applyProtection="1">
      <alignment vertical="center"/>
    </xf>
    <xf numFmtId="0" fontId="1" fillId="0" borderId="12"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0" borderId="14" xfId="0" applyFont="1" applyBorder="1" applyAlignment="1" applyProtection="1">
      <alignment horizontal="center" vertical="center"/>
    </xf>
    <xf numFmtId="0" fontId="1" fillId="0" borderId="18" xfId="0" applyFont="1" applyBorder="1" applyAlignment="1" applyProtection="1">
      <alignment horizontal="center" vertical="center"/>
    </xf>
    <xf numFmtId="0" fontId="1" fillId="0" borderId="16" xfId="0" applyFont="1" applyBorder="1" applyAlignment="1" applyProtection="1">
      <alignment horizontal="center" vertical="center"/>
    </xf>
    <xf numFmtId="0" fontId="1" fillId="0" borderId="17" xfId="0" applyFont="1" applyBorder="1" applyAlignment="1" applyProtection="1">
      <alignment horizontal="center" vertical="center"/>
    </xf>
    <xf numFmtId="0" fontId="1" fillId="0" borderId="15" xfId="0" applyFont="1" applyBorder="1" applyAlignment="1" applyProtection="1">
      <alignment horizontal="center" vertical="center"/>
    </xf>
    <xf numFmtId="164" fontId="0" fillId="0" borderId="17" xfId="0" applyNumberFormat="1" applyBorder="1" applyAlignment="1" applyProtection="1">
      <alignment horizontal="center" vertical="center"/>
    </xf>
    <xf numFmtId="0" fontId="0" fillId="0" borderId="16" xfId="0" applyBorder="1" applyAlignment="1" applyProtection="1">
      <alignment vertical="center"/>
      <protection locked="0"/>
    </xf>
    <xf numFmtId="0" fontId="0" fillId="0" borderId="17" xfId="0" applyBorder="1" applyAlignment="1" applyProtection="1">
      <alignment vertical="center"/>
      <protection locked="0"/>
    </xf>
    <xf numFmtId="0" fontId="1" fillId="0" borderId="20" xfId="0" applyFont="1" applyBorder="1" applyAlignment="1" applyProtection="1">
      <alignment vertical="center"/>
      <protection locked="0"/>
    </xf>
    <xf numFmtId="0" fontId="0" fillId="0" borderId="17" xfId="0" applyBorder="1" applyAlignment="1" applyProtection="1">
      <alignment horizontal="center" vertical="center"/>
      <protection locked="0"/>
    </xf>
    <xf numFmtId="0" fontId="17" fillId="0" borderId="0" xfId="6" applyFont="1"/>
    <xf numFmtId="0" fontId="0" fillId="0" borderId="0" xfId="0" applyFont="1" applyAlignment="1" applyProtection="1">
      <alignment vertical="center"/>
    </xf>
    <xf numFmtId="0" fontId="0" fillId="4" borderId="40" xfId="0" applyFill="1" applyBorder="1" applyAlignment="1">
      <alignment vertical="top" wrapText="1"/>
    </xf>
    <xf numFmtId="0" fontId="0" fillId="0" borderId="0" xfId="0" applyBorder="1" applyAlignment="1"/>
    <xf numFmtId="0" fontId="20" fillId="4" borderId="64" xfId="0" applyFont="1" applyFill="1" applyBorder="1" applyAlignment="1"/>
    <xf numFmtId="0" fontId="21" fillId="4" borderId="65" xfId="4" applyFill="1" applyBorder="1" applyAlignment="1"/>
    <xf numFmtId="0" fontId="21" fillId="0" borderId="65" xfId="4" applyBorder="1" applyAlignment="1"/>
    <xf numFmtId="0" fontId="21" fillId="0" borderId="66" xfId="4" applyBorder="1" applyAlignment="1"/>
    <xf numFmtId="0" fontId="0" fillId="0" borderId="0" xfId="6" applyFont="1" applyProtection="1"/>
    <xf numFmtId="0" fontId="0" fillId="0" borderId="56" xfId="6" applyFont="1" applyBorder="1" applyProtection="1"/>
    <xf numFmtId="0" fontId="2" fillId="0" borderId="0" xfId="6" applyFont="1" applyProtection="1"/>
    <xf numFmtId="0" fontId="0" fillId="0" borderId="0" xfId="6" quotePrefix="1" applyFont="1" applyProtection="1"/>
    <xf numFmtId="0" fontId="29" fillId="0" borderId="0" xfId="6" applyFont="1" applyAlignment="1" applyProtection="1">
      <alignment vertical="center" wrapText="1"/>
    </xf>
    <xf numFmtId="171" fontId="0" fillId="11" borderId="57" xfId="6" applyNumberFormat="1" applyFont="1" applyFill="1" applyBorder="1" applyProtection="1"/>
    <xf numFmtId="1" fontId="0" fillId="11" borderId="57" xfId="6" applyNumberFormat="1" applyFont="1" applyFill="1" applyBorder="1" applyProtection="1"/>
    <xf numFmtId="164" fontId="0" fillId="11" borderId="57" xfId="6" applyNumberFormat="1" applyFont="1" applyFill="1" applyBorder="1" applyProtection="1"/>
    <xf numFmtId="0" fontId="14" fillId="0" borderId="0" xfId="6" applyFont="1" applyBorder="1" applyAlignment="1" applyProtection="1"/>
    <xf numFmtId="170" fontId="0" fillId="11" borderId="57" xfId="6" applyNumberFormat="1" applyFont="1" applyFill="1" applyBorder="1" applyProtection="1"/>
    <xf numFmtId="0" fontId="0" fillId="10" borderId="57" xfId="6" applyFont="1" applyFill="1" applyBorder="1" applyProtection="1">
      <protection locked="0"/>
    </xf>
    <xf numFmtId="49" fontId="0" fillId="10" borderId="57" xfId="6" applyNumberFormat="1" applyFont="1" applyFill="1" applyBorder="1" applyProtection="1">
      <protection locked="0"/>
    </xf>
    <xf numFmtId="167" fontId="0" fillId="12" borderId="57" xfId="6" applyNumberFormat="1" applyFont="1" applyFill="1" applyBorder="1" applyAlignment="1" applyProtection="1">
      <alignment horizontal="center"/>
    </xf>
    <xf numFmtId="0" fontId="0" fillId="0" borderId="67" xfId="6" applyFont="1" applyBorder="1" applyProtection="1"/>
    <xf numFmtId="0" fontId="0" fillId="0" borderId="68" xfId="6" applyFont="1" applyBorder="1" applyProtection="1"/>
    <xf numFmtId="0" fontId="0" fillId="0" borderId="69" xfId="6" applyFont="1" applyBorder="1" applyAlignment="1" applyProtection="1">
      <alignment horizontal="center"/>
    </xf>
    <xf numFmtId="0" fontId="0" fillId="0" borderId="70" xfId="6" applyFont="1" applyBorder="1" applyProtection="1"/>
    <xf numFmtId="0" fontId="0" fillId="0" borderId="71" xfId="6" applyFont="1" applyBorder="1" applyAlignment="1" applyProtection="1">
      <alignment horizontal="center"/>
    </xf>
    <xf numFmtId="0" fontId="0" fillId="0" borderId="72" xfId="6" applyFont="1" applyBorder="1" applyProtection="1"/>
    <xf numFmtId="0" fontId="0" fillId="0" borderId="15" xfId="0" applyBorder="1" applyAlignment="1" applyProtection="1">
      <alignment vertical="center"/>
    </xf>
    <xf numFmtId="0" fontId="0" fillId="0" borderId="0" xfId="0" applyAlignment="1">
      <alignment vertical="center"/>
    </xf>
    <xf numFmtId="0" fontId="3" fillId="0" borderId="0" xfId="0" applyFont="1" applyAlignment="1">
      <alignment vertical="center"/>
    </xf>
    <xf numFmtId="0" fontId="5" fillId="0" borderId="0" xfId="0" applyFont="1" applyAlignment="1">
      <alignment vertical="center"/>
    </xf>
    <xf numFmtId="164" fontId="5" fillId="0" borderId="0" xfId="0" applyNumberFormat="1" applyFont="1" applyAlignment="1">
      <alignment vertical="center"/>
    </xf>
    <xf numFmtId="172" fontId="5" fillId="0" borderId="0" xfId="0" applyNumberFormat="1" applyFont="1" applyAlignment="1">
      <alignment vertical="center"/>
    </xf>
    <xf numFmtId="2" fontId="5" fillId="0" borderId="0" xfId="0" applyNumberFormat="1" applyFont="1" applyAlignment="1">
      <alignment vertical="center"/>
    </xf>
    <xf numFmtId="164" fontId="29" fillId="0" borderId="0" xfId="0" applyNumberFormat="1" applyFont="1" applyAlignment="1">
      <alignment vertical="center"/>
    </xf>
    <xf numFmtId="0" fontId="0" fillId="0" borderId="15" xfId="0" applyBorder="1" applyAlignment="1">
      <alignment vertical="center"/>
    </xf>
    <xf numFmtId="172" fontId="29" fillId="0" borderId="0" xfId="0" applyNumberFormat="1" applyFont="1" applyAlignment="1">
      <alignment vertical="center"/>
    </xf>
    <xf numFmtId="164" fontId="0" fillId="0" borderId="0" xfId="0" applyNumberFormat="1" applyAlignment="1">
      <alignment vertical="center"/>
    </xf>
    <xf numFmtId="167" fontId="5" fillId="0" borderId="0" xfId="0" applyNumberFormat="1" applyFont="1" applyAlignment="1">
      <alignment vertical="center"/>
    </xf>
    <xf numFmtId="168" fontId="5" fillId="0" borderId="0" xfId="0" applyNumberFormat="1" applyFont="1" applyAlignment="1">
      <alignment vertical="center"/>
    </xf>
    <xf numFmtId="0" fontId="29" fillId="0" borderId="0" xfId="0" applyFont="1" applyAlignment="1">
      <alignment vertical="center"/>
    </xf>
    <xf numFmtId="173" fontId="0" fillId="2" borderId="17" xfId="0" applyNumberFormat="1" applyFill="1" applyBorder="1" applyAlignment="1" applyProtection="1">
      <alignment vertical="center"/>
      <protection locked="0"/>
    </xf>
    <xf numFmtId="168" fontId="0" fillId="0" borderId="0" xfId="0" applyNumberFormat="1" applyAlignment="1">
      <alignment vertical="center"/>
    </xf>
    <xf numFmtId="174" fontId="0" fillId="2" borderId="17" xfId="1" applyNumberFormat="1" applyFont="1" applyFill="1" applyBorder="1" applyAlignment="1" applyProtection="1">
      <alignment vertical="center"/>
      <protection locked="0"/>
    </xf>
    <xf numFmtId="175" fontId="0" fillId="2" borderId="17" xfId="0" applyNumberFormat="1" applyFill="1" applyBorder="1" applyAlignment="1" applyProtection="1">
      <alignment vertical="center"/>
      <protection locked="0"/>
    </xf>
    <xf numFmtId="167" fontId="0" fillId="0" borderId="0" xfId="0" applyNumberFormat="1" applyAlignment="1">
      <alignment vertical="center"/>
    </xf>
    <xf numFmtId="164" fontId="0" fillId="3" borderId="17" xfId="0" applyNumberFormat="1" applyFill="1" applyBorder="1" applyAlignment="1">
      <alignment vertical="center"/>
    </xf>
    <xf numFmtId="176" fontId="0" fillId="3" borderId="17" xfId="0" applyNumberFormat="1" applyFill="1" applyBorder="1" applyAlignment="1">
      <alignment horizontal="right" vertical="center"/>
    </xf>
    <xf numFmtId="174" fontId="0" fillId="3" borderId="17" xfId="1" applyNumberFormat="1" applyFont="1" applyFill="1" applyBorder="1" applyAlignment="1" applyProtection="1">
      <alignment horizontal="right" vertical="center"/>
    </xf>
    <xf numFmtId="0" fontId="2" fillId="0" borderId="0" xfId="0" applyFont="1" applyAlignment="1">
      <alignment vertical="center"/>
    </xf>
    <xf numFmtId="169" fontId="0" fillId="3" borderId="17" xfId="0" applyNumberFormat="1" applyFill="1" applyBorder="1" applyAlignment="1">
      <alignment vertical="center"/>
    </xf>
    <xf numFmtId="175" fontId="0" fillId="3" borderId="17" xfId="0" applyNumberFormat="1" applyFill="1" applyBorder="1" applyAlignment="1">
      <alignment horizontal="right" vertical="center"/>
    </xf>
    <xf numFmtId="2" fontId="0" fillId="0" borderId="0" xfId="0" applyNumberFormat="1" applyAlignment="1">
      <alignment vertical="center"/>
    </xf>
    <xf numFmtId="0" fontId="0" fillId="0" borderId="0" xfId="6" applyFont="1" applyBorder="1" applyProtection="1"/>
    <xf numFmtId="2" fontId="0" fillId="11" borderId="57" xfId="6" applyNumberFormat="1" applyFont="1" applyFill="1" applyBorder="1" applyProtection="1"/>
    <xf numFmtId="0" fontId="15" fillId="0" borderId="49" xfId="0" applyFont="1" applyBorder="1" applyAlignment="1">
      <alignment horizontal="center" vertical="center" wrapText="1"/>
    </xf>
    <xf numFmtId="0" fontId="15" fillId="0" borderId="50" xfId="0" applyFont="1" applyBorder="1" applyAlignment="1">
      <alignment horizontal="center" vertical="center" wrapText="1"/>
    </xf>
    <xf numFmtId="0" fontId="15" fillId="0" borderId="51" xfId="0" applyFont="1" applyBorder="1" applyAlignment="1">
      <alignment horizontal="center" vertical="center" wrapText="1"/>
    </xf>
    <xf numFmtId="0" fontId="15" fillId="0" borderId="42" xfId="0" applyFont="1" applyBorder="1" applyAlignment="1">
      <alignment horizontal="center" vertical="center" wrapText="1"/>
    </xf>
    <xf numFmtId="0" fontId="15" fillId="0" borderId="52" xfId="0" applyFont="1" applyBorder="1" applyAlignment="1">
      <alignment horizontal="center" vertical="center" wrapText="1"/>
    </xf>
    <xf numFmtId="0" fontId="15" fillId="0" borderId="7" xfId="0" applyFont="1" applyBorder="1" applyAlignment="1">
      <alignment horizontal="center" vertical="center" wrapText="1"/>
    </xf>
    <xf numFmtId="0" fontId="9" fillId="0" borderId="34" xfId="0" applyFont="1" applyBorder="1" applyAlignment="1" applyProtection="1">
      <alignment vertical="center" wrapText="1"/>
    </xf>
    <xf numFmtId="0" fontId="9" fillId="0" borderId="35" xfId="0" applyFont="1" applyBorder="1" applyAlignment="1" applyProtection="1">
      <alignment vertical="center" wrapText="1"/>
    </xf>
    <xf numFmtId="0" fontId="9" fillId="0" borderId="36" xfId="0" applyFont="1" applyBorder="1" applyAlignment="1" applyProtection="1">
      <alignment vertical="center" wrapText="1"/>
    </xf>
    <xf numFmtId="0" fontId="8" fillId="0" borderId="30" xfId="0" applyFont="1" applyBorder="1" applyAlignment="1" applyProtection="1">
      <alignment vertical="center" wrapText="1"/>
    </xf>
    <xf numFmtId="0" fontId="8" fillId="0" borderId="31" xfId="0" applyFont="1" applyBorder="1" applyAlignment="1" applyProtection="1">
      <alignment vertical="center" wrapText="1"/>
    </xf>
    <xf numFmtId="0" fontId="8" fillId="0" borderId="32" xfId="0" applyFont="1" applyBorder="1" applyAlignment="1" applyProtection="1">
      <alignment vertical="center" wrapText="1"/>
    </xf>
    <xf numFmtId="0" fontId="9" fillId="0" borderId="29" xfId="0" applyFont="1" applyBorder="1" applyAlignment="1" applyProtection="1">
      <alignment vertical="center" wrapText="1"/>
    </xf>
    <xf numFmtId="0" fontId="9" fillId="0" borderId="0" xfId="0" applyFont="1" applyBorder="1" applyAlignment="1" applyProtection="1">
      <alignment vertical="center" wrapText="1"/>
    </xf>
    <xf numFmtId="0" fontId="9" fillId="0" borderId="33" xfId="0" applyFont="1" applyBorder="1" applyAlignment="1" applyProtection="1">
      <alignment vertical="center" wrapText="1"/>
    </xf>
    <xf numFmtId="0" fontId="0" fillId="2" borderId="20" xfId="0" applyFill="1" applyBorder="1" applyAlignment="1" applyProtection="1">
      <alignment horizontal="left" vertical="center"/>
      <protection locked="0"/>
    </xf>
    <xf numFmtId="0" fontId="0" fillId="2" borderId="21" xfId="0" applyFill="1" applyBorder="1" applyAlignment="1" applyProtection="1">
      <alignment horizontal="left" vertical="center"/>
      <protection locked="0"/>
    </xf>
    <xf numFmtId="0" fontId="5" fillId="0" borderId="43" xfId="0" applyFont="1" applyBorder="1" applyAlignment="1" applyProtection="1">
      <alignment vertical="center" wrapText="1"/>
    </xf>
    <xf numFmtId="0" fontId="5" fillId="0" borderId="44" xfId="0" applyFont="1" applyBorder="1" applyAlignment="1" applyProtection="1">
      <alignment vertical="center" wrapText="1"/>
    </xf>
    <xf numFmtId="0" fontId="5" fillId="0" borderId="45" xfId="0" applyFont="1" applyBorder="1" applyAlignment="1" applyProtection="1">
      <alignment vertical="center" wrapText="1"/>
    </xf>
    <xf numFmtId="0" fontId="5" fillId="0" borderId="46" xfId="0" applyFont="1" applyBorder="1" applyAlignment="1" applyProtection="1">
      <alignment vertical="center" wrapText="1"/>
    </xf>
    <xf numFmtId="0" fontId="5" fillId="0" borderId="47" xfId="0" applyFont="1" applyBorder="1" applyAlignment="1" applyProtection="1">
      <alignment vertical="center" wrapText="1"/>
    </xf>
    <xf numFmtId="0" fontId="5" fillId="0" borderId="48" xfId="0" applyFont="1" applyBorder="1" applyAlignment="1" applyProtection="1">
      <alignment vertical="center" wrapText="1"/>
    </xf>
    <xf numFmtId="0" fontId="0" fillId="0" borderId="20" xfId="0" applyBorder="1" applyAlignment="1" applyProtection="1">
      <alignment vertical="center"/>
    </xf>
    <xf numFmtId="0" fontId="0" fillId="0" borderId="18" xfId="0" applyBorder="1" applyAlignment="1" applyProtection="1">
      <alignment vertical="center"/>
    </xf>
    <xf numFmtId="0" fontId="0" fillId="0" borderId="15" xfId="0" applyBorder="1" applyAlignment="1" applyProtection="1">
      <alignment vertical="center"/>
    </xf>
    <xf numFmtId="0" fontId="0" fillId="0" borderId="16" xfId="0" applyBorder="1" applyAlignment="1" applyProtection="1">
      <alignment vertical="center"/>
    </xf>
    <xf numFmtId="167" fontId="0" fillId="2" borderId="21" xfId="0" applyNumberFormat="1" applyFill="1" applyBorder="1" applyAlignment="1" applyProtection="1">
      <alignment horizontal="left" vertical="center"/>
      <protection locked="0"/>
    </xf>
    <xf numFmtId="0" fontId="0" fillId="0" borderId="20" xfId="0" applyBorder="1" applyAlignment="1" applyProtection="1">
      <alignment horizontal="left" vertical="center"/>
    </xf>
    <xf numFmtId="0" fontId="0" fillId="0" borderId="18" xfId="0" applyBorder="1" applyAlignment="1" applyProtection="1">
      <alignment horizontal="left" vertical="center"/>
    </xf>
    <xf numFmtId="0" fontId="11" fillId="0" borderId="0" xfId="0" applyFont="1" applyAlignment="1" applyProtection="1">
      <alignment horizontal="left" vertical="center"/>
    </xf>
    <xf numFmtId="0" fontId="15" fillId="0" borderId="49" xfId="0" applyFont="1" applyBorder="1" applyAlignment="1" applyProtection="1">
      <alignment horizontal="center" vertical="center" wrapText="1"/>
    </xf>
    <xf numFmtId="0" fontId="15" fillId="0" borderId="50" xfId="0" applyFont="1" applyBorder="1" applyAlignment="1" applyProtection="1">
      <alignment horizontal="center" vertical="center" wrapText="1"/>
    </xf>
    <xf numFmtId="0" fontId="15" fillId="0" borderId="51" xfId="0" applyFont="1" applyBorder="1" applyAlignment="1" applyProtection="1">
      <alignment horizontal="center" vertical="center" wrapText="1"/>
    </xf>
    <xf numFmtId="0" fontId="15" fillId="0" borderId="42" xfId="0" applyFont="1" applyBorder="1" applyAlignment="1" applyProtection="1">
      <alignment horizontal="center" vertical="center" wrapText="1"/>
    </xf>
    <xf numFmtId="0" fontId="15" fillId="0" borderId="52" xfId="0" applyFont="1" applyBorder="1" applyAlignment="1" applyProtection="1">
      <alignment horizontal="center" vertical="center" wrapText="1"/>
    </xf>
    <xf numFmtId="0" fontId="15" fillId="0" borderId="7" xfId="0" applyFont="1" applyBorder="1" applyAlignment="1" applyProtection="1">
      <alignment horizontal="center" vertical="center" wrapText="1"/>
    </xf>
    <xf numFmtId="0" fontId="30" fillId="0" borderId="73" xfId="0" applyFont="1" applyBorder="1" applyAlignment="1">
      <alignment horizontal="center" vertical="center" wrapText="1"/>
    </xf>
    <xf numFmtId="0" fontId="30" fillId="0" borderId="74" xfId="0" applyFont="1" applyBorder="1" applyAlignment="1">
      <alignment horizontal="center" vertical="center" wrapText="1"/>
    </xf>
    <xf numFmtId="0" fontId="30" fillId="0" borderId="75" xfId="0" applyFont="1" applyBorder="1" applyAlignment="1">
      <alignment horizontal="center" vertical="center" wrapText="1"/>
    </xf>
    <xf numFmtId="0" fontId="30" fillId="0" borderId="76" xfId="0" applyFont="1" applyBorder="1" applyAlignment="1">
      <alignment horizontal="center" vertical="center" wrapText="1"/>
    </xf>
    <xf numFmtId="0" fontId="30" fillId="0" borderId="0" xfId="0" applyFont="1" applyBorder="1" applyAlignment="1">
      <alignment horizontal="center" vertical="center" wrapText="1"/>
    </xf>
    <xf numFmtId="0" fontId="30" fillId="0" borderId="77" xfId="0" applyFont="1" applyBorder="1" applyAlignment="1">
      <alignment horizontal="center" vertical="center" wrapText="1"/>
    </xf>
    <xf numFmtId="0" fontId="30" fillId="0" borderId="78" xfId="0" applyFont="1" applyBorder="1" applyAlignment="1">
      <alignment horizontal="center" vertical="center" wrapText="1"/>
    </xf>
    <xf numFmtId="0" fontId="30" fillId="0" borderId="79" xfId="0" applyFont="1" applyBorder="1" applyAlignment="1">
      <alignment horizontal="center" vertical="center" wrapText="1"/>
    </xf>
    <xf numFmtId="0" fontId="30" fillId="0" borderId="80" xfId="0" applyFont="1" applyBorder="1" applyAlignment="1">
      <alignment horizontal="center" vertical="center" wrapText="1"/>
    </xf>
    <xf numFmtId="0" fontId="11" fillId="0" borderId="0" xfId="0" applyFont="1" applyAlignment="1">
      <alignment horizontal="left" vertical="center"/>
    </xf>
    <xf numFmtId="0" fontId="30" fillId="0" borderId="0" xfId="0" applyFont="1" applyAlignment="1">
      <alignment horizontal="center" vertical="center" wrapText="1"/>
    </xf>
    <xf numFmtId="0" fontId="1" fillId="0" borderId="11" xfId="0" applyFont="1" applyBorder="1" applyAlignment="1" applyProtection="1">
      <alignment horizontal="left" vertical="center"/>
    </xf>
    <xf numFmtId="0" fontId="15" fillId="0" borderId="38" xfId="0" applyFont="1" applyBorder="1" applyAlignment="1" applyProtection="1">
      <alignment horizontal="center" vertical="center"/>
    </xf>
    <xf numFmtId="0" fontId="15" fillId="0" borderId="39" xfId="0" applyFont="1" applyBorder="1" applyAlignment="1" applyProtection="1">
      <alignment horizontal="center" vertical="center"/>
    </xf>
    <xf numFmtId="0" fontId="0" fillId="2" borderId="16" xfId="0" applyFill="1" applyBorder="1" applyAlignment="1" applyProtection="1">
      <alignment horizontal="left" vertical="center"/>
      <protection locked="0"/>
    </xf>
    <xf numFmtId="0" fontId="0" fillId="2" borderId="17" xfId="0" applyFill="1" applyBorder="1" applyAlignment="1" applyProtection="1">
      <alignment horizontal="left" vertical="center"/>
      <protection locked="0"/>
    </xf>
    <xf numFmtId="0" fontId="0" fillId="0" borderId="0" xfId="0" applyAlignment="1" applyProtection="1">
      <alignment horizontal="left" vertical="center" wrapText="1"/>
    </xf>
    <xf numFmtId="0" fontId="5" fillId="0" borderId="28" xfId="0" applyFont="1" applyBorder="1" applyAlignment="1" applyProtection="1">
      <alignment horizontal="center" vertical="center" wrapText="1"/>
    </xf>
    <xf numFmtId="0" fontId="5" fillId="0" borderId="40" xfId="0" applyFont="1" applyBorder="1" applyAlignment="1" applyProtection="1">
      <alignment horizontal="center" vertical="center" wrapText="1"/>
    </xf>
    <xf numFmtId="0" fontId="5" fillId="0" borderId="41" xfId="0" applyFont="1" applyBorder="1" applyAlignment="1" applyProtection="1">
      <alignment horizontal="center" vertical="center" wrapText="1"/>
    </xf>
    <xf numFmtId="0" fontId="31" fillId="0" borderId="82" xfId="6" applyFont="1" applyBorder="1" applyAlignment="1" applyProtection="1">
      <alignment horizontal="center" vertical="center" wrapText="1"/>
    </xf>
    <xf numFmtId="0" fontId="31" fillId="0" borderId="83" xfId="6" applyFont="1" applyBorder="1" applyAlignment="1" applyProtection="1">
      <alignment horizontal="center" vertical="center" wrapText="1"/>
    </xf>
    <xf numFmtId="0" fontId="31" fillId="0" borderId="81" xfId="6" applyFont="1" applyBorder="1" applyAlignment="1" applyProtection="1">
      <alignment horizontal="center" vertical="center" wrapText="1"/>
    </xf>
    <xf numFmtId="0" fontId="31" fillId="0" borderId="84" xfId="6" applyFont="1" applyBorder="1" applyAlignment="1" applyProtection="1">
      <alignment horizontal="center" vertical="center" wrapText="1"/>
    </xf>
    <xf numFmtId="0" fontId="31" fillId="0" borderId="85" xfId="6" applyFont="1" applyBorder="1" applyAlignment="1" applyProtection="1">
      <alignment horizontal="center" vertical="center" wrapText="1"/>
    </xf>
    <xf numFmtId="0" fontId="31" fillId="0" borderId="86" xfId="6" applyFont="1" applyBorder="1" applyAlignment="1" applyProtection="1">
      <alignment horizontal="center" vertical="center" wrapText="1"/>
    </xf>
    <xf numFmtId="0" fontId="11" fillId="0" borderId="49" xfId="6" applyFont="1" applyBorder="1" applyAlignment="1" applyProtection="1">
      <alignment horizontal="left" vertical="center"/>
    </xf>
    <xf numFmtId="0" fontId="11" fillId="0" borderId="50" xfId="6" applyFont="1" applyBorder="1" applyAlignment="1" applyProtection="1">
      <alignment horizontal="left" vertical="center"/>
    </xf>
    <xf numFmtId="0" fontId="0" fillId="0" borderId="58" xfId="6" applyFont="1" applyBorder="1" applyAlignment="1" applyProtection="1">
      <alignment horizontal="center" vertical="center" wrapText="1"/>
    </xf>
    <xf numFmtId="0" fontId="14" fillId="0" borderId="59" xfId="6" applyFont="1" applyBorder="1" applyProtection="1"/>
    <xf numFmtId="0" fontId="14" fillId="0" borderId="60" xfId="6" applyFont="1" applyBorder="1" applyProtection="1"/>
    <xf numFmtId="0" fontId="29" fillId="0" borderId="61" xfId="6" applyFont="1" applyBorder="1" applyAlignment="1" applyProtection="1">
      <alignment horizontal="center" vertical="center" wrapText="1"/>
    </xf>
    <xf numFmtId="0" fontId="29" fillId="0" borderId="62" xfId="6" applyFont="1" applyBorder="1" applyAlignment="1" applyProtection="1">
      <alignment horizontal="center" vertical="center" wrapText="1"/>
    </xf>
    <xf numFmtId="0" fontId="29" fillId="0" borderId="63" xfId="6" applyFont="1" applyBorder="1" applyAlignment="1" applyProtection="1">
      <alignment horizontal="center" vertical="center" wrapText="1"/>
    </xf>
    <xf numFmtId="0" fontId="0" fillId="0" borderId="28" xfId="6" applyFont="1" applyBorder="1" applyAlignment="1" applyProtection="1">
      <alignment horizontal="center" vertical="center" wrapText="1"/>
    </xf>
    <xf numFmtId="0" fontId="0" fillId="0" borderId="40" xfId="6" applyFont="1" applyBorder="1" applyAlignment="1" applyProtection="1">
      <alignment horizontal="center" vertical="center" wrapText="1"/>
    </xf>
    <xf numFmtId="0" fontId="0" fillId="0" borderId="41" xfId="6" applyFont="1" applyBorder="1" applyAlignment="1" applyProtection="1">
      <alignment horizontal="center" vertical="center" wrapText="1"/>
    </xf>
  </cellXfs>
  <cellStyles count="7">
    <cellStyle name="Bad 2" xfId="3"/>
    <cellStyle name="Hyperlink" xfId="4" builtinId="8"/>
    <cellStyle name="Neutral 2" xfId="2"/>
    <cellStyle name="Normal" xfId="0" builtinId="0"/>
    <cellStyle name="Normal 2" xfId="5"/>
    <cellStyle name="Normal 3" xfId="6"/>
    <cellStyle name="Percent" xfId="1" builtinId="5"/>
  </cellStyles>
  <dxfs count="88">
    <dxf>
      <fill>
        <patternFill>
          <bgColor rgb="FF97D997"/>
        </patternFill>
      </fill>
    </dxf>
    <dxf>
      <fill>
        <patternFill>
          <bgColor rgb="FFE18F8F"/>
        </patternFill>
      </fill>
    </dxf>
    <dxf>
      <font>
        <color theme="0"/>
      </font>
      <fill>
        <patternFill patternType="solid">
          <fgColor theme="0"/>
          <bgColor theme="0"/>
        </patternFill>
      </fill>
      <border>
        <left style="thin">
          <color theme="0" tint="-0.14996795556505021"/>
        </left>
        <right style="thin">
          <color theme="0" tint="-0.14996795556505021"/>
        </right>
        <top style="thin">
          <color rgb="FFD8D8D8"/>
        </top>
        <bottom style="thin">
          <color rgb="FFD8D8D8"/>
        </bottom>
      </border>
    </dxf>
    <dxf>
      <fill>
        <patternFill>
          <bgColor rgb="FF97D997"/>
        </patternFill>
      </fill>
    </dxf>
    <dxf>
      <fill>
        <patternFill>
          <bgColor rgb="FFE18F8F"/>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ont>
        <color theme="0"/>
      </font>
      <fill>
        <patternFill patternType="solid">
          <fgColor theme="0"/>
          <bgColor theme="0"/>
        </patternFill>
      </fill>
      <border>
        <left style="thin">
          <color rgb="FFD8D8D8"/>
        </left>
        <right style="thin">
          <color rgb="FFD8D8D8"/>
        </right>
        <top style="thin">
          <color rgb="FFD8D8D8"/>
        </top>
        <bottom style="thin">
          <color rgb="FFD8D8D8"/>
        </bottom>
      </border>
    </dxf>
    <dxf>
      <fill>
        <patternFill patternType="solid">
          <fgColor rgb="FF04A000"/>
          <bgColor rgb="FF04A000"/>
        </patternFill>
      </fill>
    </dxf>
    <dxf>
      <fill>
        <patternFill>
          <bgColor rgb="FFE60000"/>
        </patternFill>
      </fill>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border>
        <bottom style="thin">
          <color theme="0" tint="-0.14996795556505021"/>
        </bottom>
        <vertical/>
        <horizontal/>
      </border>
    </dxf>
    <dxf>
      <font>
        <color rgb="FF800000"/>
      </font>
      <fill>
        <patternFill>
          <bgColor rgb="FFFF5050"/>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bottom style="thin">
          <color theme="0" tint="-0.14996795556505021"/>
        </bottom>
      </border>
    </dxf>
    <dxf>
      <font>
        <color rgb="FF663300"/>
      </font>
      <fill>
        <patternFill>
          <bgColor rgb="FFFFCC66"/>
        </patternFill>
      </fill>
    </dxf>
    <dxf>
      <font>
        <color rgb="FF800000"/>
      </font>
      <fill>
        <patternFill>
          <bgColor rgb="FFFF5050"/>
        </patternFill>
      </fill>
    </dxf>
    <dxf>
      <font>
        <color rgb="FF663300"/>
      </font>
      <fill>
        <patternFill>
          <bgColor rgb="FFFFCC66"/>
        </patternFill>
      </fill>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fill>
        <patternFill patternType="solid">
          <bgColor theme="0"/>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800000"/>
      </font>
      <fill>
        <patternFill>
          <bgColor rgb="FFFF5050"/>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
      <font>
        <color rgb="FF663300"/>
      </font>
      <fill>
        <patternFill>
          <bgColor rgb="FFFFCC66"/>
        </patternFill>
      </fill>
    </dxf>
  </dxfs>
  <tableStyles count="0" defaultTableStyle="TableStyleMedium2" defaultPivotStyle="PivotStyleLight16"/>
  <colors>
    <mruColors>
      <color rgb="FFFFCC66"/>
      <color rgb="FF663300"/>
      <color rgb="FFFF5050"/>
      <color rgb="FF800000"/>
      <color rgb="FFE18F8F"/>
      <color rgb="FFFF8F8F"/>
      <color rgb="FF97D997"/>
      <color rgb="FF83D183"/>
      <color rgb="FFE60000"/>
      <color rgb="FF9FC5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5469495421288771E-2"/>
          <c:y val="4.4533511467379203E-2"/>
          <c:w val="0.93400278246782276"/>
          <c:h val="0.90481444078007278"/>
        </c:manualLayout>
      </c:layout>
      <c:scatterChart>
        <c:scatterStyle val="smoothMarker"/>
        <c:varyColors val="0"/>
        <c:ser>
          <c:idx val="0"/>
          <c:order val="0"/>
          <c:spPr>
            <a:ln w="9525" cap="rnd">
              <a:solidFill>
                <a:schemeClr val="bg1">
                  <a:lumMod val="50000"/>
                </a:schemeClr>
              </a:solidFill>
              <a:round/>
            </a:ln>
            <a:effectLst/>
          </c:spPr>
          <c:marker>
            <c:symbol val="none"/>
          </c:marker>
          <c:xVal>
            <c:numRef>
              <c:f>´ÖÓÎÉÇØÍÐÉ!$U$8:$U$108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´ÖÓÎÉÇØÍÐÉ!$W$8:$W$108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0-EFA3-4BD0-ADE6-DB436CC2797F}"/>
            </c:ext>
          </c:extLst>
        </c:ser>
        <c:ser>
          <c:idx val="1"/>
          <c:order val="1"/>
          <c:spPr>
            <a:ln w="9525" cap="rnd">
              <a:solidFill>
                <a:schemeClr val="bg1">
                  <a:lumMod val="50000"/>
                </a:schemeClr>
              </a:solidFill>
              <a:round/>
            </a:ln>
            <a:effectLst/>
          </c:spPr>
          <c:marker>
            <c:symbol val="none"/>
          </c:marker>
          <c:xVal>
            <c:numRef>
              <c:f>´ÖÓÎÉÇØÍÐÉ!$Z$8:$Z$108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´ÖÓÎÉÇØÍÐÉ!$AB$8:$AB$108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1-EFA3-4BD0-ADE6-DB436CC2797F}"/>
            </c:ext>
          </c:extLst>
        </c:ser>
        <c:ser>
          <c:idx val="2"/>
          <c:order val="2"/>
          <c:spPr>
            <a:ln w="9525" cap="rnd">
              <a:solidFill>
                <a:schemeClr val="bg1">
                  <a:lumMod val="50000"/>
                </a:schemeClr>
              </a:solidFill>
              <a:round/>
            </a:ln>
            <a:effectLst/>
          </c:spPr>
          <c:marker>
            <c:symbol val="none"/>
          </c:marker>
          <c:xVal>
            <c:numRef>
              <c:f>´ÖÓÎÉÇØÍÐÉ!$AE$8:$AE$108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´ÖÓÎÉÇØÍÐÉ!$AG$8:$AG$108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2-EFA3-4BD0-ADE6-DB436CC2797F}"/>
            </c:ext>
          </c:extLst>
        </c:ser>
        <c:ser>
          <c:idx val="3"/>
          <c:order val="3"/>
          <c:spPr>
            <a:ln w="9525" cap="rnd">
              <a:solidFill>
                <a:schemeClr val="bg1">
                  <a:lumMod val="50000"/>
                </a:schemeClr>
              </a:solidFill>
              <a:round/>
            </a:ln>
            <a:effectLst/>
          </c:spPr>
          <c:marker>
            <c:symbol val="none"/>
          </c:marker>
          <c:xVal>
            <c:numRef>
              <c:f>´ÖÓÎÉÇØÍÐÉ!$AJ$8:$AJ$108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´ÖÓÎÉÇØÍÐÉ!$AL$8:$AL$108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3-EFA3-4BD0-ADE6-DB436CC2797F}"/>
            </c:ext>
          </c:extLst>
        </c:ser>
        <c:ser>
          <c:idx val="4"/>
          <c:order val="4"/>
          <c:spPr>
            <a:ln w="9525" cap="rnd">
              <a:solidFill>
                <a:schemeClr val="bg1">
                  <a:lumMod val="50000"/>
                </a:schemeClr>
              </a:solidFill>
              <a:round/>
            </a:ln>
            <a:effectLst/>
          </c:spPr>
          <c:marker>
            <c:symbol val="none"/>
          </c:marker>
          <c:xVal>
            <c:numRef>
              <c:f>´ÖÓÎÉÇØÍÐÉ!$AO$8:$AO$108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´ÖÓÎÉÇØÍÐÉ!$AQ$8:$AQ$108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4-EFA3-4BD0-ADE6-DB436CC2797F}"/>
            </c:ext>
          </c:extLst>
        </c:ser>
        <c:ser>
          <c:idx val="5"/>
          <c:order val="5"/>
          <c:spPr>
            <a:ln w="9525" cap="rnd">
              <a:solidFill>
                <a:schemeClr val="bg1">
                  <a:lumMod val="50000"/>
                </a:schemeClr>
              </a:solidFill>
              <a:round/>
            </a:ln>
            <a:effectLst/>
          </c:spPr>
          <c:marker>
            <c:symbol val="none"/>
          </c:marker>
          <c:xVal>
            <c:numRef>
              <c:f>´ÖÓÎÉÇØÍÐÉ!$AT$8:$AT$108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´ÖÓÎÉÇØÍÐÉ!$AV$8:$AV$108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5-EFA3-4BD0-ADE6-DB436CC2797F}"/>
            </c:ext>
          </c:extLst>
        </c:ser>
        <c:ser>
          <c:idx val="6"/>
          <c:order val="6"/>
          <c:spPr>
            <a:ln w="9525" cap="rnd">
              <a:solidFill>
                <a:schemeClr val="bg1">
                  <a:lumMod val="50000"/>
                </a:schemeClr>
              </a:solidFill>
              <a:round/>
            </a:ln>
            <a:effectLst/>
          </c:spPr>
          <c:marker>
            <c:symbol val="none"/>
          </c:marker>
          <c:xVal>
            <c:numRef>
              <c:f>´ÖÓÎÉÇØÍÐÉ!$AY$8:$AY$108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´ÖÓÎÉÇØÍÐÉ!$BA$8:$BA$108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6-EFA3-4BD0-ADE6-DB436CC2797F}"/>
            </c:ext>
          </c:extLst>
        </c:ser>
        <c:ser>
          <c:idx val="7"/>
          <c:order val="7"/>
          <c:spPr>
            <a:ln w="9525" cap="rnd">
              <a:solidFill>
                <a:schemeClr val="bg1">
                  <a:lumMod val="50000"/>
                </a:schemeClr>
              </a:solidFill>
              <a:round/>
            </a:ln>
            <a:effectLst/>
          </c:spPr>
          <c:marker>
            <c:symbol val="none"/>
          </c:marker>
          <c:xVal>
            <c:numRef>
              <c:f>´ÖÓÎÉÇØÍÐÉ!$BD$8:$BD$108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´ÖÓÎÉÇØÍÐÉ!$BF$8:$BF$108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7-EFA3-4BD0-ADE6-DB436CC2797F}"/>
            </c:ext>
          </c:extLst>
        </c:ser>
        <c:ser>
          <c:idx val="8"/>
          <c:order val="8"/>
          <c:spPr>
            <a:ln w="9525" cap="rnd">
              <a:solidFill>
                <a:schemeClr val="bg1">
                  <a:lumMod val="50000"/>
                </a:schemeClr>
              </a:solidFill>
              <a:round/>
            </a:ln>
            <a:effectLst/>
          </c:spPr>
          <c:marker>
            <c:symbol val="none"/>
          </c:marker>
          <c:xVal>
            <c:numRef>
              <c:f>´ÖÓÎÉÇØÍÐÉ!$BI$8:$BI$108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´ÖÓÎÉÇØÍÐÉ!$BK$8:$BK$108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8-EFA3-4BD0-ADE6-DB436CC2797F}"/>
            </c:ext>
          </c:extLst>
        </c:ser>
        <c:ser>
          <c:idx val="9"/>
          <c:order val="9"/>
          <c:spPr>
            <a:ln w="9525" cap="rnd">
              <a:solidFill>
                <a:schemeClr val="bg1">
                  <a:lumMod val="50000"/>
                </a:schemeClr>
              </a:solidFill>
              <a:round/>
            </a:ln>
            <a:effectLst/>
          </c:spPr>
          <c:marker>
            <c:symbol val="none"/>
          </c:marker>
          <c:xVal>
            <c:numRef>
              <c:f>´ÖÓÎÉÇØÍÐÉ!$BN$8:$BN$108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´ÖÓÎÉÇØÍÐÉ!$BP$8:$BP$108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9-EFA3-4BD0-ADE6-DB436CC2797F}"/>
            </c:ext>
          </c:extLst>
        </c:ser>
        <c:ser>
          <c:idx val="10"/>
          <c:order val="10"/>
          <c:spPr>
            <a:ln w="9525" cap="rnd">
              <a:solidFill>
                <a:schemeClr val="bg1">
                  <a:lumMod val="50000"/>
                </a:schemeClr>
              </a:solidFill>
              <a:round/>
            </a:ln>
            <a:effectLst/>
          </c:spPr>
          <c:marker>
            <c:symbol val="none"/>
          </c:marker>
          <c:xVal>
            <c:numRef>
              <c:f>´ÖÓÎÉÇØÍÐÉ!$BS$8:$BS$108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´ÖÓÎÉÇØÍÐÉ!$BU$8:$BU$108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A-EFA3-4BD0-ADE6-DB436CC2797F}"/>
            </c:ext>
          </c:extLst>
        </c:ser>
        <c:ser>
          <c:idx val="11"/>
          <c:order val="11"/>
          <c:spPr>
            <a:ln w="9525" cap="rnd">
              <a:solidFill>
                <a:schemeClr val="bg1">
                  <a:lumMod val="50000"/>
                </a:schemeClr>
              </a:solidFill>
              <a:round/>
            </a:ln>
            <a:effectLst/>
          </c:spPr>
          <c:marker>
            <c:symbol val="none"/>
          </c:marker>
          <c:xVal>
            <c:numRef>
              <c:f>´ÖÓÎÉÇØÍÐÉ!$BX$8:$BX$108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´ÖÓÎÉÇØÍÐÉ!$BZ$8:$BZ$108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B-EFA3-4BD0-ADE6-DB436CC2797F}"/>
            </c:ext>
          </c:extLst>
        </c:ser>
        <c:ser>
          <c:idx val="12"/>
          <c:order val="12"/>
          <c:spPr>
            <a:ln w="9525" cap="rnd">
              <a:solidFill>
                <a:schemeClr val="bg1">
                  <a:lumMod val="50000"/>
                </a:schemeClr>
              </a:solidFill>
              <a:round/>
            </a:ln>
            <a:effectLst/>
          </c:spPr>
          <c:marker>
            <c:symbol val="none"/>
          </c:marker>
          <c:xVal>
            <c:numRef>
              <c:f>´ÖÓÎÉÇØÍÐÉ!$CC$8:$CC$108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´ÖÓÎÉÇØÍÐÉ!$CE$8:$CE$108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C-EFA3-4BD0-ADE6-DB436CC2797F}"/>
            </c:ext>
          </c:extLst>
        </c:ser>
        <c:ser>
          <c:idx val="14"/>
          <c:order val="13"/>
          <c:spPr>
            <a:ln w="9525" cap="rnd">
              <a:solidFill>
                <a:schemeClr val="bg1">
                  <a:lumMod val="50000"/>
                </a:schemeClr>
              </a:solidFill>
              <a:round/>
            </a:ln>
            <a:effectLst/>
          </c:spPr>
          <c:marker>
            <c:symbol val="none"/>
          </c:marker>
          <c:xVal>
            <c:numRef>
              <c:f>´ÖÓÎÉÇØÍÐÉ!$CM$8:$CM$108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´ÖÓÎÉÇØÍÐÉ!$CO$8:$CO$108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D-EFA3-4BD0-ADE6-DB436CC2797F}"/>
            </c:ext>
          </c:extLst>
        </c:ser>
        <c:ser>
          <c:idx val="15"/>
          <c:order val="14"/>
          <c:spPr>
            <a:ln w="9525" cap="rnd">
              <a:solidFill>
                <a:schemeClr val="bg1">
                  <a:lumMod val="50000"/>
                </a:schemeClr>
              </a:solidFill>
              <a:round/>
            </a:ln>
            <a:effectLst/>
          </c:spPr>
          <c:marker>
            <c:symbol val="none"/>
          </c:marker>
          <c:xVal>
            <c:numRef>
              <c:f>´ÖÓÎÉÇØÍÐÉ!$CR$8:$CR$108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´ÖÓÎÉÇØÍÐÉ!$CT$8:$CT$108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E-EFA3-4BD0-ADE6-DB436CC2797F}"/>
            </c:ext>
          </c:extLst>
        </c:ser>
        <c:ser>
          <c:idx val="16"/>
          <c:order val="15"/>
          <c:spPr>
            <a:ln w="9525" cap="rnd">
              <a:solidFill>
                <a:schemeClr val="bg1">
                  <a:lumMod val="50000"/>
                </a:schemeClr>
              </a:solidFill>
              <a:round/>
            </a:ln>
            <a:effectLst/>
          </c:spPr>
          <c:marker>
            <c:symbol val="none"/>
          </c:marker>
          <c:xVal>
            <c:numRef>
              <c:f>´ÖÓÎÉÇØÍÐÉ!$CW$8:$CW$108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´ÖÓÎÉÇØÍÐÉ!$CY$8:$CY$108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0F-EFA3-4BD0-ADE6-DB436CC2797F}"/>
            </c:ext>
          </c:extLst>
        </c:ser>
        <c:ser>
          <c:idx val="17"/>
          <c:order val="16"/>
          <c:spPr>
            <a:ln w="9525" cap="rnd">
              <a:solidFill>
                <a:schemeClr val="bg1">
                  <a:lumMod val="50000"/>
                </a:schemeClr>
              </a:solidFill>
              <a:round/>
            </a:ln>
            <a:effectLst/>
          </c:spPr>
          <c:marker>
            <c:symbol val="none"/>
          </c:marker>
          <c:xVal>
            <c:numRef>
              <c:f>´ÖÓÎÉÇØÍÐÉ!$DB$8:$DB$108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´ÖÓÎÉÇØÍÐÉ!$DD$8:$DD$108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0-EFA3-4BD0-ADE6-DB436CC2797F}"/>
            </c:ext>
          </c:extLst>
        </c:ser>
        <c:ser>
          <c:idx val="18"/>
          <c:order val="17"/>
          <c:spPr>
            <a:ln w="9525" cap="rnd">
              <a:solidFill>
                <a:schemeClr val="bg1">
                  <a:lumMod val="50000"/>
                </a:schemeClr>
              </a:solidFill>
              <a:round/>
            </a:ln>
            <a:effectLst/>
          </c:spPr>
          <c:marker>
            <c:symbol val="none"/>
          </c:marker>
          <c:xVal>
            <c:numRef>
              <c:f>´ÖÓÎÉÇØÍÐÉ!$DG$8:$DG$108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´ÖÓÎÉÇØÍÐÉ!$DI$8:$DI$108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1-EFA3-4BD0-ADE6-DB436CC2797F}"/>
            </c:ext>
          </c:extLst>
        </c:ser>
        <c:ser>
          <c:idx val="19"/>
          <c:order val="18"/>
          <c:spPr>
            <a:ln w="9525" cap="rnd">
              <a:solidFill>
                <a:schemeClr val="bg1">
                  <a:lumMod val="50000"/>
                </a:schemeClr>
              </a:solidFill>
              <a:round/>
            </a:ln>
            <a:effectLst/>
          </c:spPr>
          <c:marker>
            <c:symbol val="none"/>
          </c:marker>
          <c:xVal>
            <c:numRef>
              <c:f>´ÖÓÎÉÇØÍÐÉ!$DL$8:$DL$108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´ÖÓÎÉÇØÍÐÉ!$DN$8:$DN$108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2-EFA3-4BD0-ADE6-DB436CC2797F}"/>
            </c:ext>
          </c:extLst>
        </c:ser>
        <c:ser>
          <c:idx val="20"/>
          <c:order val="19"/>
          <c:spPr>
            <a:ln w="9525" cap="rnd">
              <a:solidFill>
                <a:schemeClr val="bg1">
                  <a:lumMod val="50000"/>
                </a:schemeClr>
              </a:solidFill>
              <a:round/>
            </a:ln>
            <a:effectLst/>
          </c:spPr>
          <c:marker>
            <c:symbol val="none"/>
          </c:marker>
          <c:xVal>
            <c:numRef>
              <c:f>´ÖÓÎÉÇØÍÐÉ!$DQ$8:$DQ$108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´ÖÓÎÉÇØÍÐÉ!$DS$8:$DS$108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3-EFA3-4BD0-ADE6-DB436CC2797F}"/>
            </c:ext>
          </c:extLst>
        </c:ser>
        <c:ser>
          <c:idx val="21"/>
          <c:order val="20"/>
          <c:spPr>
            <a:ln w="9525" cap="rnd">
              <a:solidFill>
                <a:schemeClr val="bg1">
                  <a:lumMod val="50000"/>
                </a:schemeClr>
              </a:solidFill>
              <a:round/>
            </a:ln>
            <a:effectLst/>
          </c:spPr>
          <c:marker>
            <c:symbol val="none"/>
          </c:marker>
          <c:xVal>
            <c:numRef>
              <c:f>´ÖÓÎÉÇØÍÐÉ!$DV$8:$DV$108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´ÖÓÎÉÇØÍÐÉ!$DX$8:$DX$108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4-EFA3-4BD0-ADE6-DB436CC2797F}"/>
            </c:ext>
          </c:extLst>
        </c:ser>
        <c:ser>
          <c:idx val="22"/>
          <c:order val="21"/>
          <c:spPr>
            <a:ln w="9525" cap="rnd">
              <a:solidFill>
                <a:schemeClr val="bg1">
                  <a:lumMod val="50000"/>
                </a:schemeClr>
              </a:solidFill>
              <a:round/>
            </a:ln>
            <a:effectLst/>
          </c:spPr>
          <c:marker>
            <c:symbol val="none"/>
          </c:marker>
          <c:xVal>
            <c:numRef>
              <c:f>´ÖÓÎÉÇØÍÐÉ!$EA$8:$EA$108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´ÖÓÎÉÇØÍÐÉ!$EC$8:$EC$108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5-EFA3-4BD0-ADE6-DB436CC2797F}"/>
            </c:ext>
          </c:extLst>
        </c:ser>
        <c:ser>
          <c:idx val="23"/>
          <c:order val="22"/>
          <c:spPr>
            <a:ln w="9525" cap="rnd">
              <a:solidFill>
                <a:schemeClr val="bg1">
                  <a:lumMod val="50000"/>
                </a:schemeClr>
              </a:solidFill>
              <a:round/>
            </a:ln>
            <a:effectLst/>
          </c:spPr>
          <c:marker>
            <c:symbol val="none"/>
          </c:marker>
          <c:xVal>
            <c:numRef>
              <c:f>´ÖÓÎÉÇØÍÐÉ!$EF$8:$EF$108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´ÖÓÎÉÇØÍÐÉ!$EH$8:$EH$108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6-EFA3-4BD0-ADE6-DB436CC2797F}"/>
            </c:ext>
          </c:extLst>
        </c:ser>
        <c:ser>
          <c:idx val="24"/>
          <c:order val="23"/>
          <c:spPr>
            <a:ln w="9525" cap="rnd">
              <a:solidFill>
                <a:schemeClr val="bg1">
                  <a:lumMod val="50000"/>
                </a:schemeClr>
              </a:solidFill>
              <a:round/>
            </a:ln>
            <a:effectLst/>
          </c:spPr>
          <c:marker>
            <c:symbol val="none"/>
          </c:marker>
          <c:xVal>
            <c:numRef>
              <c:f>´ÖÓÎÉÇØÍÐÉ!$EK$8:$EK$108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´ÖÓÎÉÇØÍÐÉ!$EM$8:$EM$108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7-EFA3-4BD0-ADE6-DB436CC2797F}"/>
            </c:ext>
          </c:extLst>
        </c:ser>
        <c:ser>
          <c:idx val="25"/>
          <c:order val="24"/>
          <c:spPr>
            <a:ln w="9525" cap="rnd">
              <a:solidFill>
                <a:schemeClr val="bg1">
                  <a:lumMod val="50000"/>
                </a:schemeClr>
              </a:solidFill>
              <a:round/>
            </a:ln>
            <a:effectLst/>
          </c:spPr>
          <c:marker>
            <c:symbol val="none"/>
          </c:marker>
          <c:xVal>
            <c:numRef>
              <c:f>´ÖÓÎÉÇØÍÐÉ!$EP$8:$EP$108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´ÖÓÎÉÇØÍÐÉ!$ER$8:$ER$108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8-EFA3-4BD0-ADE6-DB436CC2797F}"/>
            </c:ext>
          </c:extLst>
        </c:ser>
        <c:ser>
          <c:idx val="26"/>
          <c:order val="25"/>
          <c:spPr>
            <a:ln w="9525" cap="rnd">
              <a:solidFill>
                <a:schemeClr val="bg1">
                  <a:lumMod val="50000"/>
                </a:schemeClr>
              </a:solidFill>
              <a:round/>
            </a:ln>
            <a:effectLst/>
          </c:spPr>
          <c:marker>
            <c:symbol val="none"/>
          </c:marker>
          <c:xVal>
            <c:numRef>
              <c:f>´ÖÓÎÉÇØÍÐÉ!$EU$8:$EU$108</c:f>
              <c:numCache>
                <c:formatCode>0.000</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´ÖÓÎÉÇØÍÐÉ!$EW$8:$EW$108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9-EFA3-4BD0-ADE6-DB436CC2797F}"/>
            </c:ext>
          </c:extLst>
        </c:ser>
        <c:ser>
          <c:idx val="13"/>
          <c:order val="26"/>
          <c:spPr>
            <a:ln w="38100" cap="rnd">
              <a:solidFill>
                <a:schemeClr val="tx1"/>
              </a:solidFill>
              <a:round/>
            </a:ln>
            <a:effectLst/>
          </c:spPr>
          <c:marker>
            <c:symbol val="none"/>
          </c:marker>
          <c:xVal>
            <c:numRef>
              <c:f>´ÖÓÎÉÇØÍÐÉ!$CH$8:$CH$108</c:f>
              <c:numCache>
                <c:formatCode>General</c:formatCode>
                <c:ptCount val="101"/>
                <c:pt idx="0">
                  <c:v>0</c:v>
                </c:pt>
                <c:pt idx="1">
                  <c:v>1.9999999999999997E-2</c:v>
                </c:pt>
                <c:pt idx="2">
                  <c:v>3.9999999999999994E-2</c:v>
                </c:pt>
                <c:pt idx="3">
                  <c:v>5.9999999999999991E-2</c:v>
                </c:pt>
                <c:pt idx="4">
                  <c:v>7.9999999999999988E-2</c:v>
                </c:pt>
                <c:pt idx="5">
                  <c:v>9.9999999999999978E-2</c:v>
                </c:pt>
                <c:pt idx="6">
                  <c:v>0.11999999999999997</c:v>
                </c:pt>
                <c:pt idx="7">
                  <c:v>0.13999999999999996</c:v>
                </c:pt>
                <c:pt idx="8">
                  <c:v>0.15999999999999995</c:v>
                </c:pt>
                <c:pt idx="9">
                  <c:v>0.17999999999999994</c:v>
                </c:pt>
                <c:pt idx="10">
                  <c:v>0.19999999999999993</c:v>
                </c:pt>
                <c:pt idx="11">
                  <c:v>0.21999999999999992</c:v>
                </c:pt>
                <c:pt idx="12">
                  <c:v>0.23999999999999991</c:v>
                </c:pt>
                <c:pt idx="13">
                  <c:v>0.2599999999999999</c:v>
                </c:pt>
                <c:pt idx="14">
                  <c:v>0.27999999999999992</c:v>
                </c:pt>
                <c:pt idx="15">
                  <c:v>0.29999999999999993</c:v>
                </c:pt>
                <c:pt idx="16">
                  <c:v>0.31999999999999995</c:v>
                </c:pt>
                <c:pt idx="17">
                  <c:v>0.33999999999999997</c:v>
                </c:pt>
                <c:pt idx="18">
                  <c:v>0.36</c:v>
                </c:pt>
                <c:pt idx="19">
                  <c:v>0.38</c:v>
                </c:pt>
                <c:pt idx="20">
                  <c:v>0.4</c:v>
                </c:pt>
                <c:pt idx="21">
                  <c:v>0.42000000000000004</c:v>
                </c:pt>
                <c:pt idx="22">
                  <c:v>0.44000000000000006</c:v>
                </c:pt>
                <c:pt idx="23">
                  <c:v>0.46000000000000008</c:v>
                </c:pt>
                <c:pt idx="24">
                  <c:v>0.48000000000000009</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1.0000000000000004</c:v>
                </c:pt>
                <c:pt idx="51">
                  <c:v>1.0200000000000005</c:v>
                </c:pt>
                <c:pt idx="52">
                  <c:v>1.0400000000000005</c:v>
                </c:pt>
                <c:pt idx="53">
                  <c:v>1.0600000000000005</c:v>
                </c:pt>
                <c:pt idx="54">
                  <c:v>1.0800000000000005</c:v>
                </c:pt>
                <c:pt idx="55">
                  <c:v>1.1000000000000005</c:v>
                </c:pt>
                <c:pt idx="56">
                  <c:v>1.1200000000000006</c:v>
                </c:pt>
                <c:pt idx="57">
                  <c:v>1.1400000000000006</c:v>
                </c:pt>
                <c:pt idx="58">
                  <c:v>1.1600000000000006</c:v>
                </c:pt>
                <c:pt idx="59">
                  <c:v>1.1800000000000006</c:v>
                </c:pt>
                <c:pt idx="60">
                  <c:v>1.2000000000000006</c:v>
                </c:pt>
                <c:pt idx="61">
                  <c:v>1.2200000000000006</c:v>
                </c:pt>
                <c:pt idx="62">
                  <c:v>1.2400000000000007</c:v>
                </c:pt>
                <c:pt idx="63">
                  <c:v>1.2600000000000007</c:v>
                </c:pt>
                <c:pt idx="64">
                  <c:v>1.2800000000000007</c:v>
                </c:pt>
                <c:pt idx="65">
                  <c:v>1.3000000000000007</c:v>
                </c:pt>
                <c:pt idx="66">
                  <c:v>1.3200000000000007</c:v>
                </c:pt>
                <c:pt idx="67">
                  <c:v>1.3400000000000007</c:v>
                </c:pt>
                <c:pt idx="68">
                  <c:v>1.3600000000000008</c:v>
                </c:pt>
                <c:pt idx="69">
                  <c:v>1.3800000000000008</c:v>
                </c:pt>
                <c:pt idx="70">
                  <c:v>1.4000000000000008</c:v>
                </c:pt>
                <c:pt idx="71">
                  <c:v>1.4200000000000008</c:v>
                </c:pt>
                <c:pt idx="72">
                  <c:v>1.4400000000000008</c:v>
                </c:pt>
                <c:pt idx="73">
                  <c:v>1.4600000000000009</c:v>
                </c:pt>
                <c:pt idx="74">
                  <c:v>1.4800000000000009</c:v>
                </c:pt>
                <c:pt idx="75">
                  <c:v>1.5000000000000009</c:v>
                </c:pt>
                <c:pt idx="76">
                  <c:v>1.5200000000000009</c:v>
                </c:pt>
                <c:pt idx="77">
                  <c:v>1.5400000000000009</c:v>
                </c:pt>
                <c:pt idx="78">
                  <c:v>1.5600000000000009</c:v>
                </c:pt>
                <c:pt idx="79">
                  <c:v>1.580000000000001</c:v>
                </c:pt>
                <c:pt idx="80">
                  <c:v>1.600000000000001</c:v>
                </c:pt>
                <c:pt idx="81">
                  <c:v>1.620000000000001</c:v>
                </c:pt>
                <c:pt idx="82">
                  <c:v>1.640000000000001</c:v>
                </c:pt>
                <c:pt idx="83">
                  <c:v>1.660000000000001</c:v>
                </c:pt>
                <c:pt idx="84">
                  <c:v>1.680000000000001</c:v>
                </c:pt>
                <c:pt idx="85">
                  <c:v>1.7000000000000011</c:v>
                </c:pt>
                <c:pt idx="86">
                  <c:v>1.7200000000000011</c:v>
                </c:pt>
                <c:pt idx="87">
                  <c:v>1.7400000000000011</c:v>
                </c:pt>
                <c:pt idx="88">
                  <c:v>1.7600000000000011</c:v>
                </c:pt>
                <c:pt idx="89">
                  <c:v>1.7800000000000011</c:v>
                </c:pt>
                <c:pt idx="90">
                  <c:v>1.8000000000000012</c:v>
                </c:pt>
                <c:pt idx="91">
                  <c:v>1.8200000000000012</c:v>
                </c:pt>
                <c:pt idx="92">
                  <c:v>1.8400000000000012</c:v>
                </c:pt>
                <c:pt idx="93">
                  <c:v>1.8600000000000012</c:v>
                </c:pt>
                <c:pt idx="94">
                  <c:v>1.8800000000000012</c:v>
                </c:pt>
                <c:pt idx="95">
                  <c:v>1.9000000000000012</c:v>
                </c:pt>
                <c:pt idx="96">
                  <c:v>1.9200000000000013</c:v>
                </c:pt>
                <c:pt idx="97">
                  <c:v>1.9400000000000013</c:v>
                </c:pt>
                <c:pt idx="98">
                  <c:v>1.9600000000000013</c:v>
                </c:pt>
                <c:pt idx="99">
                  <c:v>1.9800000000000013</c:v>
                </c:pt>
                <c:pt idx="100">
                  <c:v>2.0000000000000013</c:v>
                </c:pt>
              </c:numCache>
            </c:numRef>
          </c:xVal>
          <c:yVal>
            <c:numRef>
              <c:f>´ÖÓÎÉÇØÍÐÉ!$CJ$8:$CJ$108</c:f>
              <c:numCache>
                <c:formatCode>0.00000</c:formatCode>
                <c:ptCount val="101"/>
                <c:pt idx="0">
                  <c:v>0.2</c:v>
                </c:pt>
                <c:pt idx="1">
                  <c:v>0.35607138002843064</c:v>
                </c:pt>
                <c:pt idx="2">
                  <c:v>0.50943424732901421</c:v>
                </c:pt>
                <c:pt idx="3">
                  <c:v>0.66008860190175067</c:v>
                </c:pt>
                <c:pt idx="4">
                  <c:v>0.80803444374664002</c:v>
                </c:pt>
                <c:pt idx="5">
                  <c:v>0.95327177286368237</c:v>
                </c:pt>
                <c:pt idx="6">
                  <c:v>1.0958005892528775</c:v>
                </c:pt>
                <c:pt idx="7">
                  <c:v>1.2356208929142256</c:v>
                </c:pt>
                <c:pt idx="8">
                  <c:v>1.3727326838477265</c:v>
                </c:pt>
                <c:pt idx="9">
                  <c:v>1.5071359620533804</c:v>
                </c:pt>
                <c:pt idx="10">
                  <c:v>1.6388307275311873</c:v>
                </c:pt>
                <c:pt idx="11">
                  <c:v>1.7678169802811472</c:v>
                </c:pt>
                <c:pt idx="12">
                  <c:v>1.8940947203032599</c:v>
                </c:pt>
                <c:pt idx="13">
                  <c:v>2.0176639475975255</c:v>
                </c:pt>
                <c:pt idx="14">
                  <c:v>2.1385246621639444</c:v>
                </c:pt>
                <c:pt idx="15">
                  <c:v>2.2566768640025159</c:v>
                </c:pt>
                <c:pt idx="16">
                  <c:v>2.3721205531132403</c:v>
                </c:pt>
                <c:pt idx="17">
                  <c:v>2.4848557294961178</c:v>
                </c:pt>
                <c:pt idx="18">
                  <c:v>2.5948823931511482</c:v>
                </c:pt>
                <c:pt idx="19">
                  <c:v>2.7022005440783312</c:v>
                </c:pt>
                <c:pt idx="20">
                  <c:v>2.8068101822776672</c:v>
                </c:pt>
                <c:pt idx="21">
                  <c:v>2.9087113077491571</c:v>
                </c:pt>
                <c:pt idx="22">
                  <c:v>3.0079039204927986</c:v>
                </c:pt>
                <c:pt idx="23">
                  <c:v>3.1043880205085936</c:v>
                </c:pt>
                <c:pt idx="24">
                  <c:v>3.1981636077965412</c:v>
                </c:pt>
                <c:pt idx="25">
                  <c:v>3.2892306823566422</c:v>
                </c:pt>
                <c:pt idx="26">
                  <c:v>3.3775892441888962</c:v>
                </c:pt>
                <c:pt idx="27">
                  <c:v>3.4632392932933023</c:v>
                </c:pt>
                <c:pt idx="28">
                  <c:v>3.5461808296698623</c:v>
                </c:pt>
                <c:pt idx="29">
                  <c:v>3.6264138533185739</c:v>
                </c:pt>
                <c:pt idx="30">
                  <c:v>3.7039383642394395</c:v>
                </c:pt>
                <c:pt idx="31">
                  <c:v>3.7787543624324571</c:v>
                </c:pt>
                <c:pt idx="32">
                  <c:v>3.8508618478976286</c:v>
                </c:pt>
                <c:pt idx="33">
                  <c:v>3.9202608206349523</c:v>
                </c:pt>
                <c:pt idx="34">
                  <c:v>3.9869512806444294</c:v>
                </c:pt>
                <c:pt idx="35">
                  <c:v>4.0509332279260599</c:v>
                </c:pt>
                <c:pt idx="36">
                  <c:v>4.1122066624798421</c:v>
                </c:pt>
                <c:pt idx="37">
                  <c:v>4.1707715843057773</c:v>
                </c:pt>
                <c:pt idx="38">
                  <c:v>4.2266279934038655</c:v>
                </c:pt>
                <c:pt idx="39">
                  <c:v>4.2797758897741076</c:v>
                </c:pt>
                <c:pt idx="40">
                  <c:v>4.3302152734165018</c:v>
                </c:pt>
                <c:pt idx="41">
                  <c:v>4.377946144331049</c:v>
                </c:pt>
                <c:pt idx="42">
                  <c:v>4.4229685025177492</c:v>
                </c:pt>
                <c:pt idx="43">
                  <c:v>4.4652823479766033</c:v>
                </c:pt>
                <c:pt idx="44">
                  <c:v>4.5048876807076086</c:v>
                </c:pt>
                <c:pt idx="45">
                  <c:v>4.5417845007107678</c:v>
                </c:pt>
                <c:pt idx="46">
                  <c:v>4.5759728079860791</c:v>
                </c:pt>
                <c:pt idx="47">
                  <c:v>4.6074526025335443</c:v>
                </c:pt>
                <c:pt idx="48">
                  <c:v>4.6362238843531625</c:v>
                </c:pt>
                <c:pt idx="49">
                  <c:v>4.6622866534449319</c:v>
                </c:pt>
                <c:pt idx="50">
                  <c:v>4.6856409098088561</c:v>
                </c:pt>
                <c:pt idx="51">
                  <c:v>4.7062866534449324</c:v>
                </c:pt>
                <c:pt idx="52">
                  <c:v>4.7242238843531625</c:v>
                </c:pt>
                <c:pt idx="53">
                  <c:v>4.7394526025335439</c:v>
                </c:pt>
                <c:pt idx="54">
                  <c:v>4.7519728079860784</c:v>
                </c:pt>
                <c:pt idx="55">
                  <c:v>4.7617845007107666</c:v>
                </c:pt>
                <c:pt idx="56">
                  <c:v>4.7688876807076088</c:v>
                </c:pt>
                <c:pt idx="57">
                  <c:v>4.7732823479766022</c:v>
                </c:pt>
                <c:pt idx="58">
                  <c:v>4.7749685025177477</c:v>
                </c:pt>
                <c:pt idx="59">
                  <c:v>4.773946144331048</c:v>
                </c:pt>
                <c:pt idx="60">
                  <c:v>4.7702152734165013</c:v>
                </c:pt>
                <c:pt idx="61">
                  <c:v>4.7637758897741067</c:v>
                </c:pt>
                <c:pt idx="62">
                  <c:v>4.7546279934038642</c:v>
                </c:pt>
                <c:pt idx="63">
                  <c:v>4.7427715843057765</c:v>
                </c:pt>
                <c:pt idx="64">
                  <c:v>4.72820666247984</c:v>
                </c:pt>
                <c:pt idx="65">
                  <c:v>4.7109332279260574</c:v>
                </c:pt>
                <c:pt idx="66">
                  <c:v>4.6909512806444269</c:v>
                </c:pt>
                <c:pt idx="67">
                  <c:v>4.6682608206349512</c:v>
                </c:pt>
                <c:pt idx="68">
                  <c:v>4.6428618478976267</c:v>
                </c:pt>
                <c:pt idx="69">
                  <c:v>4.6147543624324552</c:v>
                </c:pt>
                <c:pt idx="70">
                  <c:v>4.5839383642394385</c:v>
                </c:pt>
                <c:pt idx="71">
                  <c:v>4.550413853318573</c:v>
                </c:pt>
                <c:pt idx="72">
                  <c:v>4.5141808296698596</c:v>
                </c:pt>
                <c:pt idx="73">
                  <c:v>4.4752392932933001</c:v>
                </c:pt>
                <c:pt idx="74">
                  <c:v>4.4335892441888944</c:v>
                </c:pt>
                <c:pt idx="75">
                  <c:v>4.38923068235664</c:v>
                </c:pt>
                <c:pt idx="76">
                  <c:v>4.3421636077965386</c:v>
                </c:pt>
                <c:pt idx="77">
                  <c:v>4.2923880205085885</c:v>
                </c:pt>
                <c:pt idx="78">
                  <c:v>4.2399039204927975</c:v>
                </c:pt>
                <c:pt idx="79">
                  <c:v>4.1847113077491533</c:v>
                </c:pt>
                <c:pt idx="80">
                  <c:v>4.1268101822776631</c:v>
                </c:pt>
                <c:pt idx="81">
                  <c:v>4.0662005440783302</c:v>
                </c:pt>
                <c:pt idx="82">
                  <c:v>4.0028823931511459</c:v>
                </c:pt>
                <c:pt idx="83">
                  <c:v>3.9368557294961137</c:v>
                </c:pt>
                <c:pt idx="84">
                  <c:v>3.8681205531132354</c:v>
                </c:pt>
                <c:pt idx="85">
                  <c:v>3.7966768640025128</c:v>
                </c:pt>
                <c:pt idx="86">
                  <c:v>3.7225246621639405</c:v>
                </c:pt>
                <c:pt idx="87">
                  <c:v>3.6456639475975221</c:v>
                </c:pt>
                <c:pt idx="88">
                  <c:v>3.5660947203032576</c:v>
                </c:pt>
                <c:pt idx="89">
                  <c:v>3.4838169802811434</c:v>
                </c:pt>
                <c:pt idx="90">
                  <c:v>3.3988307275311831</c:v>
                </c:pt>
                <c:pt idx="91">
                  <c:v>3.3111359620533767</c:v>
                </c:pt>
                <c:pt idx="92">
                  <c:v>3.2207326838477224</c:v>
                </c:pt>
                <c:pt idx="93">
                  <c:v>3.1276208929142202</c:v>
                </c:pt>
                <c:pt idx="94">
                  <c:v>3.0318005892528701</c:v>
                </c:pt>
                <c:pt idx="95">
                  <c:v>2.9332717728636775</c:v>
                </c:pt>
                <c:pt idx="96">
                  <c:v>2.8320344437466334</c:v>
                </c:pt>
                <c:pt idx="97">
                  <c:v>2.728088601901745</c:v>
                </c:pt>
                <c:pt idx="98">
                  <c:v>2.6214342473290069</c:v>
                </c:pt>
                <c:pt idx="99">
                  <c:v>2.5120713800284244</c:v>
                </c:pt>
                <c:pt idx="100">
                  <c:v>2.3999999999999941</c:v>
                </c:pt>
              </c:numCache>
            </c:numRef>
          </c:yVal>
          <c:smooth val="1"/>
          <c:extLst xmlns:c16r2="http://schemas.microsoft.com/office/drawing/2015/06/chart">
            <c:ext xmlns:c16="http://schemas.microsoft.com/office/drawing/2014/chart" uri="{C3380CC4-5D6E-409C-BE32-E72D297353CC}">
              <c16:uniqueId val="{0000001A-EFA3-4BD0-ADE6-DB436CC2797F}"/>
            </c:ext>
          </c:extLst>
        </c:ser>
        <c:ser>
          <c:idx val="27"/>
          <c:order val="27"/>
          <c:spPr>
            <a:ln w="19050" cap="rnd">
              <a:noFill/>
              <a:round/>
            </a:ln>
            <a:effectLst/>
          </c:spPr>
          <c:marker>
            <c:symbol val="none"/>
          </c:marker>
          <c:xVal>
            <c:numRef>
              <c:f>´ÖÓÎÉÇØÍÐÉ!$N$14:$N$15</c:f>
              <c:numCache>
                <c:formatCode>0.000</c:formatCode>
                <c:ptCount val="2"/>
                <c:pt idx="0">
                  <c:v>4.7749685025177477</c:v>
                </c:pt>
                <c:pt idx="1">
                  <c:v>0</c:v>
                </c:pt>
              </c:numCache>
            </c:numRef>
          </c:xVal>
          <c:yVal>
            <c:numRef>
              <c:f>´ÖÓÎÉÇØÍÐÉ!$N$14:$N$15</c:f>
              <c:numCache>
                <c:formatCode>0.000</c:formatCode>
                <c:ptCount val="2"/>
                <c:pt idx="0">
                  <c:v>4.7749685025177477</c:v>
                </c:pt>
                <c:pt idx="1">
                  <c:v>0</c:v>
                </c:pt>
              </c:numCache>
            </c:numRef>
          </c:yVal>
          <c:smooth val="1"/>
          <c:extLst xmlns:c16r2="http://schemas.microsoft.com/office/drawing/2015/06/chart">
            <c:ext xmlns:c16="http://schemas.microsoft.com/office/drawing/2014/chart" uri="{C3380CC4-5D6E-409C-BE32-E72D297353CC}">
              <c16:uniqueId val="{0000001B-EFA3-4BD0-ADE6-DB436CC2797F}"/>
            </c:ext>
          </c:extLst>
        </c:ser>
        <c:dLbls>
          <c:showLegendKey val="0"/>
          <c:showVal val="0"/>
          <c:showCatName val="0"/>
          <c:showSerName val="0"/>
          <c:showPercent val="0"/>
          <c:showBubbleSize val="0"/>
        </c:dLbls>
        <c:axId val="131008384"/>
        <c:axId val="131009920"/>
      </c:scatterChart>
      <c:valAx>
        <c:axId val="13100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9920"/>
        <c:crosses val="autoZero"/>
        <c:crossBetween val="midCat"/>
      </c:valAx>
      <c:valAx>
        <c:axId val="1310099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8384"/>
        <c:crosses val="autoZero"/>
        <c:crossBetween val="midCat"/>
      </c:valAx>
      <c:spPr>
        <a:noFill/>
        <a:ln>
          <a:noFill/>
        </a:ln>
        <a:effectLst/>
      </c:spPr>
    </c:plotArea>
    <c:plotVisOnly val="0"/>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marker>
            <c:symbol val="none"/>
          </c:marker>
          <c:xVal>
            <c:numRef>
              <c:f>´ÒÉÙÑÅØÍÇ×!$C$42:$C$192</c:f>
              <c:numCache>
                <c:formatCode>General</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numCache>
            </c:numRef>
          </c:xVal>
          <c:yVal>
            <c:numRef>
              <c:f>´ÒÉÙÑÅØÍÇ×!$D$42:$D$192</c:f>
              <c:numCache>
                <c:formatCode>General</c:formatCode>
                <c:ptCount val="151"/>
                <c:pt idx="0">
                  <c:v>120</c:v>
                </c:pt>
                <c:pt idx="1">
                  <c:v>120</c:v>
                </c:pt>
                <c:pt idx="2">
                  <c:v>120</c:v>
                </c:pt>
                <c:pt idx="3">
                  <c:v>120</c:v>
                </c:pt>
                <c:pt idx="4">
                  <c:v>120</c:v>
                </c:pt>
                <c:pt idx="5">
                  <c:v>120</c:v>
                </c:pt>
                <c:pt idx="6">
                  <c:v>120</c:v>
                </c:pt>
                <c:pt idx="7">
                  <c:v>120</c:v>
                </c:pt>
                <c:pt idx="8">
                  <c:v>109.08156303205513</c:v>
                </c:pt>
                <c:pt idx="9">
                  <c:v>109.08156303205513</c:v>
                </c:pt>
                <c:pt idx="10">
                  <c:v>109.08156303205513</c:v>
                </c:pt>
                <c:pt idx="11">
                  <c:v>109.08156303205513</c:v>
                </c:pt>
                <c:pt idx="12">
                  <c:v>109.08156303205513</c:v>
                </c:pt>
                <c:pt idx="13">
                  <c:v>98.163126064110259</c:v>
                </c:pt>
                <c:pt idx="14">
                  <c:v>98.163126064110259</c:v>
                </c:pt>
                <c:pt idx="15">
                  <c:v>98.163126064110259</c:v>
                </c:pt>
                <c:pt idx="16">
                  <c:v>98.163126064110259</c:v>
                </c:pt>
                <c:pt idx="17">
                  <c:v>98.163126064110259</c:v>
                </c:pt>
                <c:pt idx="18">
                  <c:v>87.244689096165388</c:v>
                </c:pt>
                <c:pt idx="19">
                  <c:v>88.527986924391286</c:v>
                </c:pt>
                <c:pt idx="20">
                  <c:v>89.802301667795874</c:v>
                </c:pt>
                <c:pt idx="21">
                  <c:v>91.068530467660537</c:v>
                </c:pt>
                <c:pt idx="22">
                  <c:v>92.327567235021306</c:v>
                </c:pt>
                <c:pt idx="23">
                  <c:v>82.661867456384414</c:v>
                </c:pt>
                <c:pt idx="24">
                  <c:v>83.9838272434678</c:v>
                </c:pt>
                <c:pt idx="25">
                  <c:v>85.293609684515431</c:v>
                </c:pt>
                <c:pt idx="26">
                  <c:v>86.592136037876287</c:v>
                </c:pt>
                <c:pt idx="27">
                  <c:v>87.880318771454668</c:v>
                </c:pt>
                <c:pt idx="28">
                  <c:v>78.240626079871873</c:v>
                </c:pt>
                <c:pt idx="29">
                  <c:v>79.608993478200574</c:v>
                </c:pt>
                <c:pt idx="30">
                  <c:v>80.962091651381911</c:v>
                </c:pt>
                <c:pt idx="31">
                  <c:v>82.300879990123875</c:v>
                </c:pt>
                <c:pt idx="32">
                  <c:v>83.626304809277485</c:v>
                </c:pt>
                <c:pt idx="33">
                  <c:v>74.020863593186405</c:v>
                </c:pt>
                <c:pt idx="34">
                  <c:v>75.441115513536474</c:v>
                </c:pt>
                <c:pt idx="35">
                  <c:v>76.843121500355622</c:v>
                </c:pt>
                <c:pt idx="36">
                  <c:v>78.227886642792441</c:v>
                </c:pt>
                <c:pt idx="37">
                  <c:v>79.596399891793965</c:v>
                </c:pt>
                <c:pt idx="38">
                  <c:v>70.031198003295373</c:v>
                </c:pt>
                <c:pt idx="39">
                  <c:v>71.506679859895073</c:v>
                </c:pt>
                <c:pt idx="40">
                  <c:v>72.961075839275168</c:v>
                </c:pt>
                <c:pt idx="41">
                  <c:v>74.395438846752256</c:v>
                </c:pt>
                <c:pt idx="42">
                  <c:v>75.810803814385707</c:v>
                </c:pt>
                <c:pt idx="43">
                  <c:v>66.289751279810872</c:v>
                </c:pt>
                <c:pt idx="44">
                  <c:v>67.821941275338204</c:v>
                </c:pt>
                <c:pt idx="45">
                  <c:v>69.33036586279573</c:v>
                </c:pt>
                <c:pt idx="46">
                  <c:v>70.816123583508002</c:v>
                </c:pt>
                <c:pt idx="47">
                  <c:v>72.280294403366881</c:v>
                </c:pt>
                <c:pt idx="48">
                  <c:v>62.805502847263789</c:v>
                </c:pt>
                <c:pt idx="49">
                  <c:v>64.39434001672339</c:v>
                </c:pt>
                <c:pt idx="50">
                  <c:v>65.956913195193408</c:v>
                </c:pt>
                <c:pt idx="51">
                  <c:v>67.494361283289422</c:v>
                </c:pt>
                <c:pt idx="52">
                  <c:v>69.007805210068724</c:v>
                </c:pt>
                <c:pt idx="53">
                  <c:v>59.579910537623476</c:v>
                </c:pt>
                <c:pt idx="54">
                  <c:v>61.224135968549959</c:v>
                </c:pt>
                <c:pt idx="55">
                  <c:v>62.83979414591473</c:v>
                </c:pt>
                <c:pt idx="56">
                  <c:v>64.428057098940442</c:v>
                </c:pt>
                <c:pt idx="57">
                  <c:v>65.990080622392497</c:v>
                </c:pt>
                <c:pt idx="58">
                  <c:v>56.608566270688932</c:v>
                </c:pt>
                <c:pt idx="59">
                  <c:v>58.306042979049145</c:v>
                </c:pt>
                <c:pt idx="60">
                  <c:v>59.972851587740188</c:v>
                </c:pt>
                <c:pt idx="61">
                  <c:v>61.61018906411325</c:v>
                </c:pt>
                <c:pt idx="62">
                  <c:v>63.219238894513779</c:v>
                </c:pt>
                <c:pt idx="63">
                  <c:v>53.882732399419588</c:v>
                </c:pt>
                <c:pt idx="64">
                  <c:v>55.63072428684567</c:v>
                </c:pt>
                <c:pt idx="65">
                  <c:v>57.34614976056384</c:v>
                </c:pt>
                <c:pt idx="66">
                  <c:v>59.030222368791151</c:v>
                </c:pt>
                <c:pt idx="67">
                  <c:v>60.684145798819365</c:v>
                </c:pt>
                <c:pt idx="68">
                  <c:v>51.390674461253397</c:v>
                </c:pt>
                <c:pt idx="69">
                  <c:v>53.186076421693876</c:v>
                </c:pt>
                <c:pt idx="70">
                  <c:v>54.947210441932825</c:v>
                </c:pt>
                <c:pt idx="71">
                  <c:v>56.675298704316916</c:v>
                </c:pt>
                <c:pt idx="72">
                  <c:v>58.371557849184079</c:v>
                </c:pt>
                <c:pt idx="73">
                  <c:v>49.118758794579755</c:v>
                </c:pt>
                <c:pt idx="74">
                  <c:v>50.958277901891968</c:v>
                </c:pt>
                <c:pt idx="75">
                  <c:v>52.762014185779925</c:v>
                </c:pt>
                <c:pt idx="76">
                  <c:v>54.531191303008903</c:v>
                </c:pt>
                <c:pt idx="77">
                  <c:v>56.267032214486051</c:v>
                </c:pt>
                <c:pt idx="78">
                  <c:v>47.052318224798796</c:v>
                </c:pt>
                <c:pt idx="79">
                  <c:v>48.932610501231125</c:v>
                </c:pt>
                <c:pt idx="80">
                  <c:v>50.775778639220896</c:v>
                </c:pt>
                <c:pt idx="81">
                  <c:v>52.583041605187283</c:v>
                </c:pt>
                <c:pt idx="82">
                  <c:v>54.355622879152051</c:v>
                </c:pt>
                <c:pt idx="83">
                  <c:v>45.176308714655498</c:v>
                </c:pt>
                <c:pt idx="84">
                  <c:v>47.094078096955378</c:v>
                </c:pt>
                <c:pt idx="85">
                  <c:v>48.973540877915184</c:v>
                </c:pt>
                <c:pt idx="86">
                  <c:v>50.815906241922846</c:v>
                </c:pt>
                <c:pt idx="87">
                  <c:v>52.622393311405922</c:v>
                </c:pt>
                <c:pt idx="88">
                  <c:v>43.475788641340934</c:v>
                </c:pt>
                <c:pt idx="89">
                  <c:v>45.427855268632982</c:v>
                </c:pt>
                <c:pt idx="90">
                  <c:v>47.340576357748084</c:v>
                </c:pt>
                <c:pt idx="91">
                  <c:v>49.215147278565013</c:v>
                </c:pt>
                <c:pt idx="92">
                  <c:v>51.052778850161666</c:v>
                </c:pt>
                <c:pt idx="93">
                  <c:v>41.936254094944175</c:v>
                </c:pt>
                <c:pt idx="94">
                  <c:v>43.919598620300121</c:v>
                </c:pt>
                <c:pt idx="95">
                  <c:v>45.862687022915424</c:v>
                </c:pt>
                <c:pt idx="96">
                  <c:v>47.766697811567646</c:v>
                </c:pt>
                <c:pt idx="97">
                  <c:v>49.632830435636627</c:v>
                </c:pt>
                <c:pt idx="98">
                  <c:v>40.543861331892707</c:v>
                </c:pt>
                <c:pt idx="99">
                  <c:v>42.555651088029734</c:v>
                </c:pt>
                <c:pt idx="100">
                  <c:v>44.526387988858765</c:v>
                </c:pt>
                <c:pt idx="101">
                  <c:v>46.457231514280011</c:v>
                </c:pt>
                <c:pt idx="102">
                  <c:v>48.349367471416251</c:v>
                </c:pt>
                <c:pt idx="103">
                  <c:v>39.285563372579091</c:v>
                </c:pt>
                <c:pt idx="104">
                  <c:v>41.323165206252149</c:v>
                </c:pt>
                <c:pt idx="105">
                  <c:v>43.319017801176905</c:v>
                </c:pt>
                <c:pt idx="106">
                  <c:v>45.274260197469204</c:v>
                </c:pt>
                <c:pt idx="107">
                  <c:v>47.190062979112234</c:v>
                </c:pt>
                <c:pt idx="108">
                  <c:v>38.149183024940221</c:v>
                </c:pt>
                <c:pt idx="109">
                  <c:v>40.210166627612885</c:v>
                </c:pt>
                <c:pt idx="110">
                  <c:v>42.228792624568044</c:v>
                </c:pt>
                <c:pt idx="111">
                  <c:v>44.206178838206341</c:v>
                </c:pt>
                <c:pt idx="112">
                  <c:v>46.143479633780942</c:v>
                </c:pt>
                <c:pt idx="113">
                  <c:v>37.123440086803178</c:v>
                </c:pt>
                <c:pt idx="114">
                  <c:v>39.205574775794609</c:v>
                </c:pt>
                <c:pt idx="115">
                  <c:v>41.244820409713441</c:v>
                </c:pt>
                <c:pt idx="116">
                  <c:v>43.242273330648146</c:v>
                </c:pt>
                <c:pt idx="117">
                  <c:v>45.199071172085574</c:v>
                </c:pt>
                <c:pt idx="118">
                  <c:v>36.197946486342111</c:v>
                </c:pt>
                <c:pt idx="119">
                  <c:v>38.299193661159563</c:v>
                </c:pt>
                <c:pt idx="120">
                  <c:v>40.357087373113202</c:v>
                </c:pt>
                <c:pt idx="121">
                  <c:v>42.372702629990613</c:v>
                </c:pt>
                <c:pt idx="122">
                  <c:v>44.347160208612969</c:v>
                </c:pt>
                <c:pt idx="123">
                  <c:v>35.363179785075438</c:v>
                </c:pt>
                <c:pt idx="124">
                  <c:v>37.481682698019526</c:v>
                </c:pt>
                <c:pt idx="125">
                  <c:v>39.556426069996085</c:v>
                </c:pt>
                <c:pt idx="126">
                  <c:v>41.588464035482367</c:v>
                </c:pt>
                <c:pt idx="127">
                  <c:v>43.578900694136394</c:v>
                </c:pt>
                <c:pt idx="128">
                  <c:v>34.610442785084189</c:v>
                </c:pt>
                <c:pt idx="129">
                  <c:v>36.744514808607903</c:v>
                </c:pt>
                <c:pt idx="130">
                  <c:v>38.834471908718704</c:v>
                </c:pt>
                <c:pt idx="131">
                  <c:v>40.881348042547742</c:v>
                </c:pt>
                <c:pt idx="132">
                  <c:v>42.886231044238258</c:v>
                </c:pt>
                <c:pt idx="133">
                  <c:v>33.931814882484524</c:v>
                </c:pt>
                <c:pt idx="134">
                  <c:v>36.079927107786659</c:v>
                </c:pt>
                <c:pt idx="135">
                  <c:v>38.183613066830688</c:v>
                </c:pt>
                <c:pt idx="136">
                  <c:v>40.243887403454558</c:v>
                </c:pt>
                <c:pt idx="137">
                  <c:v>42.261822269106005</c:v>
                </c:pt>
                <c:pt idx="138">
                  <c:v>33.320099200506633</c:v>
                </c:pt>
                <c:pt idx="139">
                  <c:v>35.48086794154375</c:v>
                </c:pt>
                <c:pt idx="140">
                  <c:v>37.596937331164874</c:v>
                </c:pt>
                <c:pt idx="141">
                  <c:v>39.669303677205775</c:v>
                </c:pt>
                <c:pt idx="142">
                  <c:v>41.699024151931859</c:v>
                </c:pt>
                <c:pt idx="143">
                  <c:v>43.687205292158055</c:v>
                </c:pt>
                <c:pt idx="144">
                  <c:v>45.634992706170848</c:v>
                </c:pt>
                <c:pt idx="145">
                  <c:v>47.543561919863478</c:v>
                </c:pt>
                <c:pt idx="146">
                  <c:v>49.414110289070159</c:v>
                </c:pt>
                <c:pt idx="147">
                  <c:v>51.247849902263063</c:v>
                </c:pt>
                <c:pt idx="148">
                  <c:v>53.046001397042815</c:v>
                </c:pt>
                <c:pt idx="149">
                  <c:v>54.809788614759931</c:v>
                </c:pt>
                <c:pt idx="150">
                  <c:v>56.540434019763524</c:v>
                </c:pt>
              </c:numCache>
            </c:numRef>
          </c:yVal>
          <c:smooth val="1"/>
          <c:extLst xmlns:c16r2="http://schemas.microsoft.com/office/drawing/2015/06/chart">
            <c:ext xmlns:c16="http://schemas.microsoft.com/office/drawing/2014/chart" uri="{C3380CC4-5D6E-409C-BE32-E72D297353CC}">
              <c16:uniqueId val="{00000000-D476-4711-A018-0628A6869420}"/>
            </c:ext>
          </c:extLst>
        </c:ser>
        <c:ser>
          <c:idx val="1"/>
          <c:order val="1"/>
          <c:spPr>
            <a:ln w="19050">
              <a:prstDash val="sysDash"/>
            </a:ln>
          </c:spPr>
          <c:marker>
            <c:symbol val="none"/>
          </c:marker>
          <c:xVal>
            <c:numLit>
              <c:formatCode>General</c:formatCode>
              <c:ptCount val="2"/>
              <c:pt idx="0">
                <c:v>0</c:v>
              </c:pt>
              <c:pt idx="1">
                <c:v>150</c:v>
              </c:pt>
            </c:numLit>
          </c:xVal>
          <c:yVal>
            <c:numRef>
              <c:f>(´ÒÉÙÑÅØÍÇ×!$I$40,´ÒÉÙÑÅØÍÇ×!$I$40)</c:f>
              <c:numCache>
                <c:formatCode>0</c:formatCode>
                <c:ptCount val="2"/>
                <c:pt idx="0">
                  <c:v>40</c:v>
                </c:pt>
                <c:pt idx="1">
                  <c:v>40</c:v>
                </c:pt>
              </c:numCache>
            </c:numRef>
          </c:yVal>
          <c:smooth val="1"/>
          <c:extLst xmlns:c16r2="http://schemas.microsoft.com/office/drawing/2015/06/chart">
            <c:ext xmlns:c16="http://schemas.microsoft.com/office/drawing/2014/chart" uri="{C3380CC4-5D6E-409C-BE32-E72D297353CC}">
              <c16:uniqueId val="{00000001-D476-4711-A018-0628A6869420}"/>
            </c:ext>
          </c:extLst>
        </c:ser>
        <c:dLbls>
          <c:showLegendKey val="0"/>
          <c:showVal val="0"/>
          <c:showCatName val="0"/>
          <c:showSerName val="0"/>
          <c:showPercent val="0"/>
          <c:showBubbleSize val="0"/>
        </c:dLbls>
        <c:axId val="115655424"/>
        <c:axId val="115657344"/>
      </c:scatterChart>
      <c:valAx>
        <c:axId val="115655424"/>
        <c:scaling>
          <c:orientation val="minMax"/>
        </c:scaling>
        <c:delete val="0"/>
        <c:axPos val="b"/>
        <c:title>
          <c:tx>
            <c:rich>
              <a:bodyPr/>
              <a:lstStyle/>
              <a:p>
                <a:pPr>
                  <a:defRPr/>
                </a:pPr>
                <a:r>
                  <a:rPr lang="en-US"/>
                  <a:t>Time (s)</a:t>
                </a:r>
              </a:p>
            </c:rich>
          </c:tx>
          <c:overlay val="0"/>
        </c:title>
        <c:numFmt formatCode="General" sourceLinked="1"/>
        <c:majorTickMark val="out"/>
        <c:minorTickMark val="none"/>
        <c:tickLblPos val="nextTo"/>
        <c:crossAx val="115657344"/>
        <c:crosses val="autoZero"/>
        <c:crossBetween val="midCat"/>
      </c:valAx>
      <c:valAx>
        <c:axId val="115657344"/>
        <c:scaling>
          <c:orientation val="minMax"/>
        </c:scaling>
        <c:delete val="0"/>
        <c:axPos val="l"/>
        <c:majorGridlines/>
        <c:title>
          <c:tx>
            <c:rich>
              <a:bodyPr rot="-5400000" vert="horz"/>
              <a:lstStyle/>
              <a:p>
                <a:pPr>
                  <a:defRPr/>
                </a:pPr>
                <a:r>
                  <a:rPr lang="en-US"/>
                  <a:t>Pressure (psig)</a:t>
                </a:r>
              </a:p>
            </c:rich>
          </c:tx>
          <c:overlay val="0"/>
        </c:title>
        <c:numFmt formatCode="General" sourceLinked="1"/>
        <c:majorTickMark val="out"/>
        <c:minorTickMark val="none"/>
        <c:tickLblPos val="nextTo"/>
        <c:crossAx val="115655424"/>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10"/>
          <c:order val="0"/>
          <c:spPr>
            <a:ln>
              <a:solidFill>
                <a:schemeClr val="tx1">
                  <a:lumMod val="50000"/>
                  <a:lumOff val="50000"/>
                </a:schemeClr>
              </a:solidFill>
              <a:prstDash val="sysDash"/>
            </a:ln>
          </c:spPr>
          <c:marker>
            <c:symbol val="none"/>
          </c:marker>
          <c:xVal>
            <c:numRef>
              <c:f>(´ÒÉÙ°ÍÒÏÅËÉ!$K$41,´ÒÉÙ°ÍÒÏÅËÉ!$K$41)</c:f>
              <c:numCache>
                <c:formatCode>General</c:formatCode>
                <c:ptCount val="2"/>
                <c:pt idx="0">
                  <c:v>0</c:v>
                </c:pt>
                <c:pt idx="1">
                  <c:v>0</c:v>
                </c:pt>
              </c:numCache>
            </c:numRef>
          </c:xVal>
          <c:yVal>
            <c:numRef>
              <c:f>(´ÒÉÙ°ÍÒÏÅËÉ!$L$41,´ÒÉÙ°ÍÒÏÅËÉ!$M$41)</c:f>
              <c:numCache>
                <c:formatCode>General</c:formatCode>
                <c:ptCount val="2"/>
                <c:pt idx="0">
                  <c:v>-34.382339178052213</c:v>
                </c:pt>
                <c:pt idx="1">
                  <c:v>197.24655022216564</c:v>
                </c:pt>
              </c:numCache>
            </c:numRef>
          </c:yVal>
          <c:smooth val="0"/>
          <c:extLst xmlns:c16r2="http://schemas.microsoft.com/office/drawing/2015/06/chart">
            <c:ext xmlns:c16="http://schemas.microsoft.com/office/drawing/2014/chart" uri="{C3380CC4-5D6E-409C-BE32-E72D297353CC}">
              <c16:uniqueId val="{00000000-FC70-4A5C-AD4D-8730D49AA23E}"/>
            </c:ext>
          </c:extLst>
        </c:ser>
        <c:ser>
          <c:idx val="11"/>
          <c:order val="1"/>
          <c:spPr>
            <a:ln>
              <a:solidFill>
                <a:schemeClr val="tx1">
                  <a:lumMod val="50000"/>
                  <a:lumOff val="50000"/>
                </a:schemeClr>
              </a:solidFill>
              <a:prstDash val="sysDash"/>
            </a:ln>
          </c:spPr>
          <c:marker>
            <c:symbol val="none"/>
          </c:marker>
          <c:xVal>
            <c:numRef>
              <c:f>(´ÒÉÙ°ÍÒÏÅËÉ!$L$41,´ÒÉÙ°ÍÒÏÅËÉ!$M$41)</c:f>
              <c:numCache>
                <c:formatCode>General</c:formatCode>
                <c:ptCount val="2"/>
                <c:pt idx="0">
                  <c:v>-34.382339178052213</c:v>
                </c:pt>
                <c:pt idx="1">
                  <c:v>197.24655022216564</c:v>
                </c:pt>
              </c:numCache>
            </c:numRef>
          </c:xVal>
          <c:yVal>
            <c:numRef>
              <c:f>(´ÒÉÙ°ÍÒÏÅËÉ!$K$41,´ÒÉÙ°ÍÒÏÅËÉ!$K$41)</c:f>
              <c:numCache>
                <c:formatCode>General</c:formatCode>
                <c:ptCount val="2"/>
                <c:pt idx="0">
                  <c:v>0</c:v>
                </c:pt>
                <c:pt idx="1">
                  <c:v>0</c:v>
                </c:pt>
              </c:numCache>
            </c:numRef>
          </c:yVal>
          <c:smooth val="0"/>
          <c:extLst xmlns:c16r2="http://schemas.microsoft.com/office/drawing/2015/06/chart">
            <c:ext xmlns:c16="http://schemas.microsoft.com/office/drawing/2014/chart" uri="{C3380CC4-5D6E-409C-BE32-E72D297353CC}">
              <c16:uniqueId val="{00000001-FC70-4A5C-AD4D-8730D49AA23E}"/>
            </c:ext>
          </c:extLst>
        </c:ser>
        <c:ser>
          <c:idx val="0"/>
          <c:order val="2"/>
          <c:spPr>
            <a:ln>
              <a:solidFill>
                <a:schemeClr val="tx1"/>
              </a:solidFill>
            </a:ln>
          </c:spPr>
          <c:marker>
            <c:symbol val="none"/>
          </c:marker>
          <c:xVal>
            <c:numRef>
              <c:f>(´ÒÉÙ°ÍÒÏÅËÉ!$K$35,´ÒÉÙ°ÍÒÏÅËÉ!$M$35)</c:f>
              <c:numCache>
                <c:formatCode>General</c:formatCode>
                <c:ptCount val="2"/>
                <c:pt idx="0">
                  <c:v>0</c:v>
                </c:pt>
                <c:pt idx="1">
                  <c:v>-15.688033694578483</c:v>
                </c:pt>
              </c:numCache>
            </c:numRef>
          </c:xVal>
          <c:yVal>
            <c:numRef>
              <c:f>(´ÒÉÙ°ÍÒÏÅËÉ!$L$35,´ÒÉÙ°ÍÒÏÅËÉ!$N$35)</c:f>
              <c:numCache>
                <c:formatCode>General</c:formatCode>
                <c:ptCount val="2"/>
                <c:pt idx="0">
                  <c:v>0</c:v>
                </c:pt>
                <c:pt idx="1">
                  <c:v>179.3150456565142</c:v>
                </c:pt>
              </c:numCache>
            </c:numRef>
          </c:yVal>
          <c:smooth val="0"/>
          <c:extLst xmlns:c16r2="http://schemas.microsoft.com/office/drawing/2015/06/chart">
            <c:ext xmlns:c16="http://schemas.microsoft.com/office/drawing/2014/chart" uri="{C3380CC4-5D6E-409C-BE32-E72D297353CC}">
              <c16:uniqueId val="{00000002-FC70-4A5C-AD4D-8730D49AA23E}"/>
            </c:ext>
          </c:extLst>
        </c:ser>
        <c:ser>
          <c:idx val="1"/>
          <c:order val="3"/>
          <c:spPr>
            <a:ln>
              <a:solidFill>
                <a:schemeClr val="tx1"/>
              </a:solidFill>
            </a:ln>
          </c:spPr>
          <c:marker>
            <c:symbol val="none"/>
          </c:marker>
          <c:xVal>
            <c:numRef>
              <c:f>(´ÒÉÙ°ÍÒÏÅËÉ!$K$36,´ÒÉÙ°ÍÒÏÅËÉ!$M$36)</c:f>
              <c:numCache>
                <c:formatCode>General</c:formatCode>
                <c:ptCount val="2"/>
                <c:pt idx="0">
                  <c:v>-10.458689129718989</c:v>
                </c:pt>
                <c:pt idx="1">
                  <c:v>-20.420636110636444</c:v>
                </c:pt>
              </c:numCache>
            </c:numRef>
          </c:xVal>
          <c:yVal>
            <c:numRef>
              <c:f>(´ÒÉÙ°ÍÒÏÅËÉ!$L$36,´ÒÉÙ°ÍÒÏÅËÉ!$N$36)</c:f>
              <c:numCache>
                <c:formatCode>General</c:formatCode>
                <c:ptCount val="2"/>
                <c:pt idx="0">
                  <c:v>119.54336377100947</c:v>
                </c:pt>
                <c:pt idx="1">
                  <c:v>118.67180634353288</c:v>
                </c:pt>
              </c:numCache>
            </c:numRef>
          </c:yVal>
          <c:smooth val="0"/>
          <c:extLst xmlns:c16r2="http://schemas.microsoft.com/office/drawing/2015/06/chart">
            <c:ext xmlns:c16="http://schemas.microsoft.com/office/drawing/2014/chart" uri="{C3380CC4-5D6E-409C-BE32-E72D297353CC}">
              <c16:uniqueId val="{00000003-FC70-4A5C-AD4D-8730D49AA23E}"/>
            </c:ext>
          </c:extLst>
        </c:ser>
        <c:ser>
          <c:idx val="2"/>
          <c:order val="4"/>
          <c:spPr>
            <a:ln w="127000" cap="sq">
              <a:solidFill>
                <a:schemeClr val="tx1"/>
              </a:solidFill>
            </a:ln>
          </c:spPr>
          <c:marker>
            <c:symbol val="none"/>
          </c:marker>
          <c:dPt>
            <c:idx val="1"/>
            <c:bubble3D val="0"/>
            <c:spPr>
              <a:ln w="127000" cap="sq">
                <a:solidFill>
                  <a:schemeClr val="tx1">
                    <a:lumMod val="65000"/>
                    <a:lumOff val="35000"/>
                  </a:schemeClr>
                </a:solidFill>
              </a:ln>
            </c:spPr>
            <c:extLst xmlns:c16r2="http://schemas.microsoft.com/office/drawing/2015/06/chart">
              <c:ext xmlns:c16="http://schemas.microsoft.com/office/drawing/2014/chart" uri="{C3380CC4-5D6E-409C-BE32-E72D297353CC}">
                <c16:uniqueId val="{00000005-FC70-4A5C-AD4D-8730D49AA23E}"/>
              </c:ext>
            </c:extLst>
          </c:dPt>
          <c:xVal>
            <c:numRef>
              <c:f>(´ÒÉÙ°ÍÒÏÅËÉ!$K$37,´ÒÉÙ°ÍÒÏÅËÉ!$M$37)</c:f>
              <c:numCache>
                <c:formatCode>General</c:formatCode>
                <c:ptCount val="2"/>
                <c:pt idx="0" formatCode="0.0">
                  <c:v>-27.079710328018926</c:v>
                </c:pt>
                <c:pt idx="1">
                  <c:v>-21.086543532374691</c:v>
                </c:pt>
              </c:numCache>
            </c:numRef>
          </c:xVal>
          <c:yVal>
            <c:numRef>
              <c:f>(´ÒÉÙ°ÍÒÏÅËÉ!$L$37,´ÒÉÙ°ÍÒÏÅËÉ!$N$37)</c:f>
              <c:numCache>
                <c:formatCode>General</c:formatCode>
                <c:ptCount val="2"/>
                <c:pt idx="0" formatCode="0.0">
                  <c:v>18.893769027862092</c:v>
                </c:pt>
                <c:pt idx="1">
                  <c:v>108.6940026119658</c:v>
                </c:pt>
              </c:numCache>
            </c:numRef>
          </c:yVal>
          <c:smooth val="0"/>
          <c:extLst xmlns:c16r2="http://schemas.microsoft.com/office/drawing/2015/06/chart">
            <c:ext xmlns:c16="http://schemas.microsoft.com/office/drawing/2014/chart" uri="{C3380CC4-5D6E-409C-BE32-E72D297353CC}">
              <c16:uniqueId val="{00000006-FC70-4A5C-AD4D-8730D49AA23E}"/>
            </c:ext>
          </c:extLst>
        </c:ser>
        <c:ser>
          <c:idx val="3"/>
          <c:order val="5"/>
          <c:spPr>
            <a:ln>
              <a:solidFill>
                <a:schemeClr val="tx1"/>
              </a:solidFill>
            </a:ln>
          </c:spPr>
          <c:marker>
            <c:symbol val="none"/>
          </c:marker>
          <c:xVal>
            <c:numRef>
              <c:f>(´ÒÉÙ°ÍÒÏÅËÉ!$K$38,´ÒÉÙ°ÍÒÏÅËÉ!$M$38)</c:f>
              <c:numCache>
                <c:formatCode>General</c:formatCode>
                <c:ptCount val="2"/>
                <c:pt idx="0">
                  <c:v>0</c:v>
                </c:pt>
                <c:pt idx="1">
                  <c:v>177.26539554219744</c:v>
                </c:pt>
              </c:numCache>
            </c:numRef>
          </c:xVal>
          <c:yVal>
            <c:numRef>
              <c:f>(´ÒÉÙ°ÍÒÏÅËÉ!$L$38,´ÒÉÙ°ÍÒÏÅËÉ!$N$38)</c:f>
              <c:numCache>
                <c:formatCode>General</c:formatCode>
                <c:ptCount val="2"/>
                <c:pt idx="0">
                  <c:v>0</c:v>
                </c:pt>
                <c:pt idx="1">
                  <c:v>-31.256671980047461</c:v>
                </c:pt>
              </c:numCache>
            </c:numRef>
          </c:yVal>
          <c:smooth val="0"/>
          <c:extLst xmlns:c16r2="http://schemas.microsoft.com/office/drawing/2015/06/chart">
            <c:ext xmlns:c16="http://schemas.microsoft.com/office/drawing/2014/chart" uri="{C3380CC4-5D6E-409C-BE32-E72D297353CC}">
              <c16:uniqueId val="{00000007-FC70-4A5C-AD4D-8730D49AA23E}"/>
            </c:ext>
          </c:extLst>
        </c:ser>
        <c:ser>
          <c:idx val="4"/>
          <c:order val="6"/>
          <c:spPr>
            <a:ln>
              <a:solidFill>
                <a:schemeClr val="tx1"/>
              </a:solidFill>
            </a:ln>
          </c:spPr>
          <c:marker>
            <c:symbol val="none"/>
          </c:marker>
          <c:xVal>
            <c:numRef>
              <c:f>(´ÒÉÙ°ÍÒÏÅËÉ!$K$39,´ÒÉÙ°ÍÒÏÅËÉ!$M$39)</c:f>
              <c:numCache>
                <c:formatCode>General</c:formatCode>
                <c:ptCount val="2"/>
                <c:pt idx="0">
                  <c:v>118.17693036146497</c:v>
                </c:pt>
                <c:pt idx="1">
                  <c:v>119.91341213813428</c:v>
                </c:pt>
              </c:numCache>
            </c:numRef>
          </c:xVal>
          <c:yVal>
            <c:numRef>
              <c:f>(´ÒÉÙ°ÍÒÏÅËÉ!$L$39,´ÒÉÙ°ÍÒÏÅËÉ!$N$39)</c:f>
              <c:numCache>
                <c:formatCode>General</c:formatCode>
                <c:ptCount val="2"/>
                <c:pt idx="0">
                  <c:v>-20.837781320031638</c:v>
                </c:pt>
                <c:pt idx="1">
                  <c:v>-10.989703789909559</c:v>
                </c:pt>
              </c:numCache>
            </c:numRef>
          </c:yVal>
          <c:smooth val="0"/>
          <c:extLst xmlns:c16r2="http://schemas.microsoft.com/office/drawing/2015/06/chart">
            <c:ext xmlns:c16="http://schemas.microsoft.com/office/drawing/2014/chart" uri="{C3380CC4-5D6E-409C-BE32-E72D297353CC}">
              <c16:uniqueId val="{00000008-FC70-4A5C-AD4D-8730D49AA23E}"/>
            </c:ext>
          </c:extLst>
        </c:ser>
        <c:ser>
          <c:idx val="5"/>
          <c:order val="7"/>
          <c:spPr>
            <a:ln w="127000" cap="sq">
              <a:solidFill>
                <a:schemeClr val="tx1">
                  <a:lumMod val="65000"/>
                  <a:lumOff val="35000"/>
                </a:schemeClr>
              </a:solidFill>
            </a:ln>
          </c:spPr>
          <c:marker>
            <c:symbol val="none"/>
          </c:marker>
          <c:xVal>
            <c:numRef>
              <c:f>(´ÒÉÙ°ÍÒÏÅËÉ!$K$40,´ÒÉÙ°ÍÒÏÅËÉ!$M$40)</c:f>
              <c:numCache>
                <c:formatCode>General</c:formatCode>
                <c:ptCount val="2"/>
                <c:pt idx="0" formatCode="0.0">
                  <c:v>-27.079710328018926</c:v>
                </c:pt>
                <c:pt idx="1">
                  <c:v>61.116163151673</c:v>
                </c:pt>
              </c:numCache>
            </c:numRef>
          </c:xVal>
          <c:yVal>
            <c:numRef>
              <c:f>(´ÒÉÙ°ÍÒÏÅËÉ!$L$40,´ÒÉÙ°ÍÒÏÅËÉ!$N$40)</c:f>
              <c:numCache>
                <c:formatCode>General</c:formatCode>
                <c:ptCount val="2"/>
                <c:pt idx="0" formatCode="0.0">
                  <c:v>18.893769027862092</c:v>
                </c:pt>
                <c:pt idx="1">
                  <c:v>0.96368533719910232</c:v>
                </c:pt>
              </c:numCache>
            </c:numRef>
          </c:yVal>
          <c:smooth val="0"/>
          <c:extLst xmlns:c16r2="http://schemas.microsoft.com/office/drawing/2015/06/chart">
            <c:ext xmlns:c16="http://schemas.microsoft.com/office/drawing/2014/chart" uri="{C3380CC4-5D6E-409C-BE32-E72D297353CC}">
              <c16:uniqueId val="{00000009-FC70-4A5C-AD4D-8730D49AA23E}"/>
            </c:ext>
          </c:extLst>
        </c:ser>
        <c:ser>
          <c:idx val="6"/>
          <c:order val="8"/>
          <c:marker>
            <c:symbol val="circle"/>
            <c:size val="13"/>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A-FC70-4A5C-AD4D-8730D49AA23E}"/>
              </c:ext>
            </c:extLst>
          </c:dPt>
          <c:xVal>
            <c:numRef>
              <c:f>´ÒÉÙ°ÍÒÏÅËÉ!$K$35</c:f>
              <c:numCache>
                <c:formatCode>General</c:formatCode>
                <c:ptCount val="1"/>
                <c:pt idx="0">
                  <c:v>0</c:v>
                </c:pt>
              </c:numCache>
            </c:numRef>
          </c:xVal>
          <c:yVal>
            <c:numRef>
              <c:f>´ÒÉÙ°ÍÒÏÅËÉ!$L$35</c:f>
              <c:numCache>
                <c:formatCode>General</c:formatCode>
                <c:ptCount val="1"/>
                <c:pt idx="0">
                  <c:v>0</c:v>
                </c:pt>
              </c:numCache>
            </c:numRef>
          </c:yVal>
          <c:smooth val="0"/>
          <c:extLst xmlns:c16r2="http://schemas.microsoft.com/office/drawing/2015/06/chart">
            <c:ext xmlns:c16="http://schemas.microsoft.com/office/drawing/2014/chart" uri="{C3380CC4-5D6E-409C-BE32-E72D297353CC}">
              <c16:uniqueId val="{0000000B-FC70-4A5C-AD4D-8730D49AA23E}"/>
            </c:ext>
          </c:extLst>
        </c:ser>
        <c:ser>
          <c:idx val="14"/>
          <c:order val="9"/>
          <c:spPr>
            <a:ln w="60325">
              <a:solidFill>
                <a:schemeClr val="tx1">
                  <a:lumMod val="65000"/>
                  <a:lumOff val="35000"/>
                </a:schemeClr>
              </a:solidFill>
            </a:ln>
          </c:spPr>
          <c:marker>
            <c:symbol val="none"/>
          </c:marker>
          <c:xVal>
            <c:numRef>
              <c:f>(´ÒÉÙ°ÍÒÏÅËÉ!$M$37,´ÒÉÙ°ÍÒÏÅËÉ!$M$36)</c:f>
              <c:numCache>
                <c:formatCode>General</c:formatCode>
                <c:ptCount val="2"/>
                <c:pt idx="0">
                  <c:v>-21.086543532374691</c:v>
                </c:pt>
                <c:pt idx="1">
                  <c:v>-20.420636110636444</c:v>
                </c:pt>
              </c:numCache>
            </c:numRef>
          </c:xVal>
          <c:yVal>
            <c:numRef>
              <c:f>(´ÒÉÙ°ÍÒÏÅËÉ!$N$37,´ÒÉÙ°ÍÒÏÅËÉ!$N$36)</c:f>
              <c:numCache>
                <c:formatCode>General</c:formatCode>
                <c:ptCount val="2"/>
                <c:pt idx="0">
                  <c:v>108.6940026119658</c:v>
                </c:pt>
                <c:pt idx="1">
                  <c:v>118.67180634353288</c:v>
                </c:pt>
              </c:numCache>
            </c:numRef>
          </c:yVal>
          <c:smooth val="0"/>
          <c:extLst xmlns:c16r2="http://schemas.microsoft.com/office/drawing/2015/06/chart">
            <c:ext xmlns:c16="http://schemas.microsoft.com/office/drawing/2014/chart" uri="{C3380CC4-5D6E-409C-BE32-E72D297353CC}">
              <c16:uniqueId val="{0000000C-FC70-4A5C-AD4D-8730D49AA23E}"/>
            </c:ext>
          </c:extLst>
        </c:ser>
        <c:ser>
          <c:idx val="7"/>
          <c:order val="10"/>
          <c:spPr>
            <a:ln>
              <a:solidFill>
                <a:schemeClr val="tx1"/>
              </a:solidFill>
            </a:ln>
          </c:spPr>
          <c:marker>
            <c:symbol val="circle"/>
            <c:size val="13"/>
            <c:spPr>
              <a:solidFill>
                <a:schemeClr val="tx1"/>
              </a:solidFill>
              <a:ln>
                <a:noFill/>
              </a:ln>
            </c:spPr>
          </c:marker>
          <c:xVal>
            <c:numRef>
              <c:f>´ÒÉÙ°ÍÒÏÅËÉ!$P$37</c:f>
              <c:numCache>
                <c:formatCode>0.0</c:formatCode>
                <c:ptCount val="1"/>
                <c:pt idx="0">
                  <c:v>-27.079710328018926</c:v>
                </c:pt>
              </c:numCache>
            </c:numRef>
          </c:xVal>
          <c:yVal>
            <c:numRef>
              <c:f>´ÒÉÙ°ÍÒÏÅËÉ!$Q$37</c:f>
              <c:numCache>
                <c:formatCode>0.0</c:formatCode>
                <c:ptCount val="1"/>
                <c:pt idx="0">
                  <c:v>18.893769027862092</c:v>
                </c:pt>
              </c:numCache>
            </c:numRef>
          </c:yVal>
          <c:smooth val="0"/>
          <c:extLst xmlns:c16r2="http://schemas.microsoft.com/office/drawing/2015/06/chart">
            <c:ext xmlns:c16="http://schemas.microsoft.com/office/drawing/2014/chart" uri="{C3380CC4-5D6E-409C-BE32-E72D297353CC}">
              <c16:uniqueId val="{0000000D-FC70-4A5C-AD4D-8730D49AA23E}"/>
            </c:ext>
          </c:extLst>
        </c:ser>
        <c:ser>
          <c:idx val="8"/>
          <c:order val="11"/>
          <c:marker>
            <c:symbol val="circle"/>
            <c:size val="9"/>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0E-FC70-4A5C-AD4D-8730D49AA23E}"/>
              </c:ext>
            </c:extLst>
          </c:dPt>
          <c:xVal>
            <c:numRef>
              <c:f>´ÒÉÙ°ÍÒÏÅËÉ!$M$36</c:f>
              <c:numCache>
                <c:formatCode>General</c:formatCode>
                <c:ptCount val="1"/>
                <c:pt idx="0">
                  <c:v>-20.420636110636444</c:v>
                </c:pt>
              </c:numCache>
            </c:numRef>
          </c:xVal>
          <c:yVal>
            <c:numRef>
              <c:f>´ÒÉÙ°ÍÒÏÅËÉ!$N$36</c:f>
              <c:numCache>
                <c:formatCode>General</c:formatCode>
                <c:ptCount val="1"/>
                <c:pt idx="0">
                  <c:v>118.67180634353288</c:v>
                </c:pt>
              </c:numCache>
            </c:numRef>
          </c:yVal>
          <c:smooth val="0"/>
          <c:extLst xmlns:c16r2="http://schemas.microsoft.com/office/drawing/2015/06/chart">
            <c:ext xmlns:c16="http://schemas.microsoft.com/office/drawing/2014/chart" uri="{C3380CC4-5D6E-409C-BE32-E72D297353CC}">
              <c16:uniqueId val="{0000000F-FC70-4A5C-AD4D-8730D49AA23E}"/>
            </c:ext>
          </c:extLst>
        </c:ser>
        <c:ser>
          <c:idx val="13"/>
          <c:order val="12"/>
          <c:spPr>
            <a:ln w="60325">
              <a:solidFill>
                <a:schemeClr val="tx1">
                  <a:lumMod val="65000"/>
                  <a:lumOff val="35000"/>
                </a:schemeClr>
              </a:solidFill>
            </a:ln>
          </c:spPr>
          <c:marker>
            <c:symbol val="none"/>
          </c:marker>
          <c:xVal>
            <c:numRef>
              <c:f>(´ÒÉÙ°ÍÒÏÅËÉ!$M$40,´ÒÉÙ°ÍÒÏÅËÉ!$M$39)</c:f>
              <c:numCache>
                <c:formatCode>General</c:formatCode>
                <c:ptCount val="2"/>
                <c:pt idx="0">
                  <c:v>61.116163151673</c:v>
                </c:pt>
                <c:pt idx="1">
                  <c:v>119.91341213813428</c:v>
                </c:pt>
              </c:numCache>
            </c:numRef>
          </c:xVal>
          <c:yVal>
            <c:numRef>
              <c:f>(´ÒÉÙ°ÍÒÏÅËÉ!$N$40,´ÒÉÙ°ÍÒÏÅËÉ!$N$39)</c:f>
              <c:numCache>
                <c:formatCode>General</c:formatCode>
                <c:ptCount val="2"/>
                <c:pt idx="0">
                  <c:v>0.96368533719910232</c:v>
                </c:pt>
                <c:pt idx="1">
                  <c:v>-10.989703789909559</c:v>
                </c:pt>
              </c:numCache>
            </c:numRef>
          </c:yVal>
          <c:smooth val="0"/>
          <c:extLst xmlns:c16r2="http://schemas.microsoft.com/office/drawing/2015/06/chart">
            <c:ext xmlns:c16="http://schemas.microsoft.com/office/drawing/2014/chart" uri="{C3380CC4-5D6E-409C-BE32-E72D297353CC}">
              <c16:uniqueId val="{00000010-FC70-4A5C-AD4D-8730D49AA23E}"/>
            </c:ext>
          </c:extLst>
        </c:ser>
        <c:ser>
          <c:idx val="9"/>
          <c:order val="13"/>
          <c:marker>
            <c:symbol val="circle"/>
            <c:size val="9"/>
            <c:spPr>
              <a:ln>
                <a:noFill/>
              </a:ln>
            </c:spPr>
          </c:marker>
          <c:dPt>
            <c:idx val="0"/>
            <c:marker>
              <c:spPr>
                <a:solidFill>
                  <a:schemeClr val="tx1"/>
                </a:solidFill>
                <a:ln>
                  <a:noFill/>
                </a:ln>
              </c:spPr>
            </c:marker>
            <c:bubble3D val="0"/>
            <c:extLst xmlns:c16r2="http://schemas.microsoft.com/office/drawing/2015/06/chart">
              <c:ext xmlns:c16="http://schemas.microsoft.com/office/drawing/2014/chart" uri="{C3380CC4-5D6E-409C-BE32-E72D297353CC}">
                <c16:uniqueId val="{00000011-FC70-4A5C-AD4D-8730D49AA23E}"/>
              </c:ext>
            </c:extLst>
          </c:dPt>
          <c:xVal>
            <c:numRef>
              <c:f>´ÒÉÙ°ÍÒÏÅËÉ!$M$39</c:f>
              <c:numCache>
                <c:formatCode>General</c:formatCode>
                <c:ptCount val="1"/>
                <c:pt idx="0">
                  <c:v>119.91341213813428</c:v>
                </c:pt>
              </c:numCache>
            </c:numRef>
          </c:xVal>
          <c:yVal>
            <c:numRef>
              <c:f>´ÒÉÙ°ÍÒÏÅËÉ!$N$39</c:f>
              <c:numCache>
                <c:formatCode>General</c:formatCode>
                <c:ptCount val="1"/>
                <c:pt idx="0">
                  <c:v>-10.989703789909559</c:v>
                </c:pt>
              </c:numCache>
            </c:numRef>
          </c:yVal>
          <c:smooth val="0"/>
          <c:extLst xmlns:c16r2="http://schemas.microsoft.com/office/drawing/2015/06/chart">
            <c:ext xmlns:c16="http://schemas.microsoft.com/office/drawing/2014/chart" uri="{C3380CC4-5D6E-409C-BE32-E72D297353CC}">
              <c16:uniqueId val="{00000012-FC70-4A5C-AD4D-8730D49AA23E}"/>
            </c:ext>
          </c:extLst>
        </c:ser>
        <c:ser>
          <c:idx val="12"/>
          <c:order val="14"/>
          <c:marker>
            <c:symbol val="none"/>
          </c:marker>
          <c:xVal>
            <c:numRef>
              <c:f>´ÒÉÙ°ÍÒÏÅËÉ!$M$41</c:f>
              <c:numCache>
                <c:formatCode>General</c:formatCode>
                <c:ptCount val="1"/>
                <c:pt idx="0">
                  <c:v>197.24655022216564</c:v>
                </c:pt>
              </c:numCache>
            </c:numRef>
          </c:xVal>
          <c:yVal>
            <c:numRef>
              <c:f>´ÒÉÙ°ÍÒÏÅËÉ!$M$41</c:f>
              <c:numCache>
                <c:formatCode>General</c:formatCode>
                <c:ptCount val="1"/>
                <c:pt idx="0">
                  <c:v>197.24655022216564</c:v>
                </c:pt>
              </c:numCache>
            </c:numRef>
          </c:yVal>
          <c:smooth val="0"/>
          <c:extLst xmlns:c16r2="http://schemas.microsoft.com/office/drawing/2015/06/chart">
            <c:ext xmlns:c16="http://schemas.microsoft.com/office/drawing/2014/chart" uri="{C3380CC4-5D6E-409C-BE32-E72D297353CC}">
              <c16:uniqueId val="{00000013-FC70-4A5C-AD4D-8730D49AA23E}"/>
            </c:ext>
          </c:extLst>
        </c:ser>
        <c:dLbls>
          <c:showLegendKey val="0"/>
          <c:showVal val="0"/>
          <c:showCatName val="0"/>
          <c:showSerName val="0"/>
          <c:showPercent val="0"/>
          <c:showBubbleSize val="0"/>
        </c:dLbls>
        <c:axId val="131252224"/>
        <c:axId val="131253760"/>
      </c:scatterChart>
      <c:valAx>
        <c:axId val="131252224"/>
        <c:scaling>
          <c:orientation val="minMax"/>
        </c:scaling>
        <c:delete val="1"/>
        <c:axPos val="b"/>
        <c:numFmt formatCode="General" sourceLinked="1"/>
        <c:majorTickMark val="out"/>
        <c:minorTickMark val="none"/>
        <c:tickLblPos val="nextTo"/>
        <c:crossAx val="131253760"/>
        <c:crosses val="autoZero"/>
        <c:crossBetween val="midCat"/>
      </c:valAx>
      <c:valAx>
        <c:axId val="131253760"/>
        <c:scaling>
          <c:orientation val="minMax"/>
        </c:scaling>
        <c:delete val="1"/>
        <c:axPos val="l"/>
        <c:numFmt formatCode="General" sourceLinked="1"/>
        <c:majorTickMark val="out"/>
        <c:minorTickMark val="none"/>
        <c:tickLblPos val="nextTo"/>
        <c:crossAx val="131252224"/>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B$4" lockText="1" noThreeD="1"/>
</file>

<file path=xl/ctrlProps/ctrlProp14.xml><?xml version="1.0" encoding="utf-8"?>
<formControlPr xmlns="http://schemas.microsoft.com/office/spreadsheetml/2009/9/main" objectType="CheckBox" fmlaLink="$B$4" lockText="1" noThreeD="1"/>
</file>

<file path=xl/ctrlProps/ctrlProp15.xml><?xml version="1.0" encoding="utf-8"?>
<formControlPr xmlns="http://schemas.microsoft.com/office/spreadsheetml/2009/9/main" objectType="CheckBox" fmlaLink="$B$4" lockText="1" noThreeD="1"/>
</file>

<file path=xl/ctrlProps/ctrlProp16.xml><?xml version="1.0" encoding="utf-8"?>
<formControlPr xmlns="http://schemas.microsoft.com/office/spreadsheetml/2009/9/main" objectType="CheckBox" fmlaLink="$D$23" lockText="1" noThreeD="1"/>
</file>

<file path=xl/ctrlProps/ctrlProp17.xml><?xml version="1.0" encoding="utf-8"?>
<formControlPr xmlns="http://schemas.microsoft.com/office/spreadsheetml/2009/9/main" objectType="CheckBox" fmlaLink="$D$24" lockText="1" noThreeD="1"/>
</file>

<file path=xl/ctrlProps/ctrlProp18.xml><?xml version="1.0" encoding="utf-8"?>
<formControlPr xmlns="http://schemas.microsoft.com/office/spreadsheetml/2009/9/main" objectType="CheckBox" fmlaLink="$B$4" lockText="1" noThreeD="1"/>
</file>

<file path=xl/ctrlProps/ctrlProp19.xml><?xml version="1.0" encoding="utf-8"?>
<formControlPr xmlns="http://schemas.microsoft.com/office/spreadsheetml/2009/9/main" objectType="CheckBox" checked="Checked" fmlaLink="$B$4" lockText="1" noThreeD="1"/>
</file>

<file path=xl/ctrlProps/ctrlProp20.xml><?xml version="1.0" encoding="utf-8"?>
<formControlPr xmlns="http://schemas.microsoft.com/office/spreadsheetml/2009/9/main" objectType="CheckBox" checked="Checked" fmlaLink="$B$4" lockText="1" noThreeD="1"/>
</file>

<file path=xl/ctrlProps/ctrlProp21.xml><?xml version="1.0" encoding="utf-8"?>
<formControlPr xmlns="http://schemas.microsoft.com/office/spreadsheetml/2009/9/main" objectType="CheckBox" checked="Checked" fmlaLink="$B$4" lockText="1" noThreeD="1"/>
</file>

<file path=xl/ctrlProps/ctrlProp22.xml><?xml version="1.0" encoding="utf-8"?>
<formControlPr xmlns="http://schemas.microsoft.com/office/spreadsheetml/2009/9/main" objectType="CheckBox" fmlaLink="$B$4" lockText="1" noThreeD="1"/>
</file>

<file path=xl/ctrlProps/ctrlProp23.xml><?xml version="1.0" encoding="utf-8"?>
<formControlPr xmlns="http://schemas.microsoft.com/office/spreadsheetml/2009/9/main" objectType="CheckBox" fmlaLink="$B$4" lockText="1" noThreeD="1"/>
</file>

<file path=xl/ctrlProps/ctrlProp24.xml><?xml version="1.0" encoding="utf-8"?>
<formControlPr xmlns="http://schemas.microsoft.com/office/spreadsheetml/2009/9/main" objectType="CheckBox" checked="Checked" fmlaLink="M3" lockText="1" noThreeD="1"/>
</file>

<file path=xl/ctrlProps/ctrlProp25.xml><?xml version="1.0" encoding="utf-8"?>
<formControlPr xmlns="http://schemas.microsoft.com/office/spreadsheetml/2009/9/main" objectType="CheckBox" checked="Checked" fmlaLink="O3" lockText="1" noThreeD="1"/>
</file>

<file path=xl/ctrlProps/ctrlProp26.xml><?xml version="1.0" encoding="utf-8"?>
<formControlPr xmlns="http://schemas.microsoft.com/office/spreadsheetml/2009/9/main" objectType="CheckBox" fmlaLink="$B$4" lockText="1" noThreeD="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6.JP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11</xdr:row>
          <xdr:rowOff>0</xdr:rowOff>
        </xdr:from>
        <xdr:to>
          <xdr:col>5</xdr:col>
          <xdr:colOff>0</xdr:colOff>
          <xdr:row>14</xdr:row>
          <xdr:rowOff>0</xdr:rowOff>
        </xdr:to>
        <xdr:sp macro="" textlink="">
          <xdr:nvSpPr>
            <xdr:cNvPr id="16385" name="Button 1" hidden="1">
              <a:extLst>
                <a:ext uri="{63B3BB69-23CF-44E3-9099-C40C66FF867C}">
                  <a14:compatExt spid="_x0000_s16385"/>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15</xdr:row>
          <xdr:rowOff>0</xdr:rowOff>
        </xdr:from>
        <xdr:to>
          <xdr:col>5</xdr:col>
          <xdr:colOff>0</xdr:colOff>
          <xdr:row>17</xdr:row>
          <xdr:rowOff>0</xdr:rowOff>
        </xdr:to>
        <xdr:sp macro="" textlink="">
          <xdr:nvSpPr>
            <xdr:cNvPr id="16386" name="Button 2" hidden="1">
              <a:extLst>
                <a:ext uri="{63B3BB69-23CF-44E3-9099-C40C66FF867C}">
                  <a14:compatExt spid="_x0000_s1638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18</xdr:row>
          <xdr:rowOff>0</xdr:rowOff>
        </xdr:from>
        <xdr:to>
          <xdr:col>5</xdr:col>
          <xdr:colOff>0</xdr:colOff>
          <xdr:row>20</xdr:row>
          <xdr:rowOff>0</xdr:rowOff>
        </xdr:to>
        <xdr:sp macro="" textlink="">
          <xdr:nvSpPr>
            <xdr:cNvPr id="16387" name="Button 3" hidden="1">
              <a:extLst>
                <a:ext uri="{63B3BB69-23CF-44E3-9099-C40C66FF867C}">
                  <a14:compatExt spid="_x0000_s16387"/>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21</xdr:row>
          <xdr:rowOff>0</xdr:rowOff>
        </xdr:from>
        <xdr:to>
          <xdr:col>5</xdr:col>
          <xdr:colOff>0</xdr:colOff>
          <xdr:row>23</xdr:row>
          <xdr:rowOff>0</xdr:rowOff>
        </xdr:to>
        <xdr:sp macro="" textlink="">
          <xdr:nvSpPr>
            <xdr:cNvPr id="16388" name="Button 4" hidden="1">
              <a:extLst>
                <a:ext uri="{63B3BB69-23CF-44E3-9099-C40C66FF867C}">
                  <a14:compatExt spid="_x0000_s16388"/>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24</xdr:row>
          <xdr:rowOff>0</xdr:rowOff>
        </xdr:from>
        <xdr:to>
          <xdr:col>5</xdr:col>
          <xdr:colOff>0</xdr:colOff>
          <xdr:row>26</xdr:row>
          <xdr:rowOff>0</xdr:rowOff>
        </xdr:to>
        <xdr:sp macro="" textlink="">
          <xdr:nvSpPr>
            <xdr:cNvPr id="16389" name="Button 5" hidden="1">
              <a:extLst>
                <a:ext uri="{63B3BB69-23CF-44E3-9099-C40C66FF867C}">
                  <a14:compatExt spid="_x0000_s16389"/>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27</xdr:row>
          <xdr:rowOff>0</xdr:rowOff>
        </xdr:from>
        <xdr:to>
          <xdr:col>5</xdr:col>
          <xdr:colOff>0</xdr:colOff>
          <xdr:row>29</xdr:row>
          <xdr:rowOff>0</xdr:rowOff>
        </xdr:to>
        <xdr:sp macro="" textlink="">
          <xdr:nvSpPr>
            <xdr:cNvPr id="16390" name="Button 6" hidden="1">
              <a:extLst>
                <a:ext uri="{63B3BB69-23CF-44E3-9099-C40C66FF867C}">
                  <a14:compatExt spid="_x0000_s16390"/>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30</xdr:row>
          <xdr:rowOff>0</xdr:rowOff>
        </xdr:from>
        <xdr:to>
          <xdr:col>5</xdr:col>
          <xdr:colOff>0</xdr:colOff>
          <xdr:row>32</xdr:row>
          <xdr:rowOff>0</xdr:rowOff>
        </xdr:to>
        <xdr:sp macro="" textlink="">
          <xdr:nvSpPr>
            <xdr:cNvPr id="16391" name="Button 7" hidden="1">
              <a:extLst>
                <a:ext uri="{63B3BB69-23CF-44E3-9099-C40C66FF867C}">
                  <a14:compatExt spid="_x0000_s16391"/>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33</xdr:row>
          <xdr:rowOff>0</xdr:rowOff>
        </xdr:from>
        <xdr:to>
          <xdr:col>5</xdr:col>
          <xdr:colOff>0</xdr:colOff>
          <xdr:row>35</xdr:row>
          <xdr:rowOff>0</xdr:rowOff>
        </xdr:to>
        <xdr:sp macro="" textlink="">
          <xdr:nvSpPr>
            <xdr:cNvPr id="16392" name="Button 8" hidden="1">
              <a:extLst>
                <a:ext uri="{63B3BB69-23CF-44E3-9099-C40C66FF867C}">
                  <a14:compatExt spid="_x0000_s16392"/>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36</xdr:row>
          <xdr:rowOff>0</xdr:rowOff>
        </xdr:from>
        <xdr:to>
          <xdr:col>5</xdr:col>
          <xdr:colOff>0</xdr:colOff>
          <xdr:row>38</xdr:row>
          <xdr:rowOff>0</xdr:rowOff>
        </xdr:to>
        <xdr:sp macro="" textlink="">
          <xdr:nvSpPr>
            <xdr:cNvPr id="16393" name="Button 9" hidden="1">
              <a:extLst>
                <a:ext uri="{63B3BB69-23CF-44E3-9099-C40C66FF867C}">
                  <a14:compatExt spid="_x0000_s16393"/>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39</xdr:row>
          <xdr:rowOff>0</xdr:rowOff>
        </xdr:from>
        <xdr:to>
          <xdr:col>5</xdr:col>
          <xdr:colOff>0</xdr:colOff>
          <xdr:row>41</xdr:row>
          <xdr:rowOff>0</xdr:rowOff>
        </xdr:to>
        <xdr:sp macro="" textlink="">
          <xdr:nvSpPr>
            <xdr:cNvPr id="16394" name="Button 10" hidden="1">
              <a:extLst>
                <a:ext uri="{63B3BB69-23CF-44E3-9099-C40C66FF867C}">
                  <a14:compatExt spid="_x0000_s16394"/>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5</xdr:row>
          <xdr:rowOff>180975</xdr:rowOff>
        </xdr:from>
        <xdr:to>
          <xdr:col>7</xdr:col>
          <xdr:colOff>514350</xdr:colOff>
          <xdr:row>9</xdr:row>
          <xdr:rowOff>180975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rPr>
                <a:t>ADD ALL</a:t>
              </a:r>
            </a:p>
            <a:p>
              <a:pPr algn="ctr" rtl="0">
                <a:defRPr sz="1000"/>
              </a:pPr>
              <a:r>
                <a:rPr lang="en-US" sz="2000" b="1" i="0" u="none" strike="noStrike" baseline="0">
                  <a:solidFill>
                    <a:srgbClr val="000000"/>
                  </a:solidFill>
                  <a:latin typeface="Calibri"/>
                </a:rPr>
                <a:t>WORKSHEETS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42</xdr:row>
          <xdr:rowOff>0</xdr:rowOff>
        </xdr:from>
        <xdr:to>
          <xdr:col>5</xdr:col>
          <xdr:colOff>0</xdr:colOff>
          <xdr:row>44</xdr:row>
          <xdr:rowOff>0</xdr:rowOff>
        </xdr:to>
        <xdr:sp macro="" textlink="">
          <xdr:nvSpPr>
            <xdr:cNvPr id="16396" name="Button 12" hidden="1">
              <a:extLst>
                <a:ext uri="{63B3BB69-23CF-44E3-9099-C40C66FF867C}">
                  <a14:compatExt spid="_x0000_s16396"/>
                </a:ext>
              </a:extLst>
            </xdr:cNvPr>
            <xdr:cNvSpPr/>
          </xdr:nvSpPr>
          <xdr:spPr>
            <a:xfrm>
              <a:off x="0" y="0"/>
              <a:ext cx="0" cy="0"/>
            </a:xfrm>
            <a:prstGeom prst="rect">
              <a:avLst/>
            </a:prstGeom>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rPr>
                <a:t>ADD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2</xdr:col>
          <xdr:colOff>9525</xdr:colOff>
          <xdr:row>4</xdr:row>
          <xdr:rowOff>9525</xdr:rowOff>
        </xdr:to>
        <xdr:sp macro="" textlink="">
          <xdr:nvSpPr>
            <xdr:cNvPr id="1025" name="Metric" hidden="1">
              <a:extLst>
                <a:ext uri="{63B3BB69-23CF-44E3-9099-C40C66FF867C}">
                  <a14:compatExt spid="_x0000_s1025"/>
                </a:ext>
              </a:extLst>
            </xdr:cNvPr>
            <xdr:cNvSpPr/>
          </xdr:nvSpPr>
          <xdr:spPr>
            <a:xfrm>
              <a:off x="0" y="0"/>
              <a:ext cx="0" cy="0"/>
            </a:xfrm>
            <a:prstGeom prst="rect">
              <a:avLst/>
            </a:prstGeom>
          </xdr:spPr>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3073" name="Metric" hidden="1">
              <a:extLst>
                <a:ext uri="{63B3BB69-23CF-44E3-9099-C40C66FF867C}">
                  <a14:compatExt spid="_x0000_s307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171450</xdr:rowOff>
        </xdr:from>
        <xdr:to>
          <xdr:col>2</xdr:col>
          <xdr:colOff>9525</xdr:colOff>
          <xdr:row>4</xdr:row>
          <xdr:rowOff>0</xdr:rowOff>
        </xdr:to>
        <xdr:sp macro="" textlink="">
          <xdr:nvSpPr>
            <xdr:cNvPr id="5121" name="Metric" hidden="1">
              <a:extLst>
                <a:ext uri="{63B3BB69-23CF-44E3-9099-C40C66FF867C}">
                  <a14:compatExt spid="_x0000_s5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3</xdr:col>
          <xdr:colOff>228600</xdr:colOff>
          <xdr:row>23</xdr:row>
          <xdr:rowOff>0</xdr:rowOff>
        </xdr:to>
        <xdr:sp macro="" textlink="">
          <xdr:nvSpPr>
            <xdr:cNvPr id="5126" name="Shifting" hidden="1">
              <a:extLst>
                <a:ext uri="{63B3BB69-23CF-44E3-9099-C40C66FF867C}">
                  <a14:compatExt spid="_x0000_s5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3</xdr:col>
          <xdr:colOff>228600</xdr:colOff>
          <xdr:row>24</xdr:row>
          <xdr:rowOff>0</xdr:rowOff>
        </xdr:to>
        <xdr:sp macro="" textlink="">
          <xdr:nvSpPr>
            <xdr:cNvPr id="5127" name="2Wheels" hidden="1">
              <a:extLst>
                <a:ext uri="{63B3BB69-23CF-44E3-9099-C40C66FF867C}">
                  <a14:compatExt spid="_x0000_s5127"/>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6145" name="Metric" hidden="1">
              <a:extLst>
                <a:ext uri="{63B3BB69-23CF-44E3-9099-C40C66FF867C}">
                  <a14:compatExt spid="_x0000_s6145"/>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209550</xdr:colOff>
          <xdr:row>3</xdr:row>
          <xdr:rowOff>171450</xdr:rowOff>
        </xdr:to>
        <xdr:sp macro="" textlink="">
          <xdr:nvSpPr>
            <xdr:cNvPr id="29697" name="Metric" hidden="1">
              <a:extLst>
                <a:ext uri="{63B3BB69-23CF-44E3-9099-C40C66FF867C}">
                  <a14:compatExt spid="_x0000_s29697"/>
                </a:ext>
              </a:extLst>
            </xdr:cNvPr>
            <xdr:cNvSpPr/>
          </xdr:nvSpPr>
          <xdr:spPr>
            <a:xfrm>
              <a:off x="0" y="0"/>
              <a:ext cx="0" cy="0"/>
            </a:xfrm>
            <a:prstGeom prst="rect">
              <a:avLst/>
            </a:prstGeom>
          </xdr:spPr>
        </xdr:sp>
        <xdr:clientData fLocksWithSheet="0"/>
      </xdr:twoCellAnchor>
    </mc:Choice>
    <mc:Fallback/>
  </mc:AlternateContent>
  <xdr:twoCellAnchor>
    <xdr:from>
      <xdr:col>8</xdr:col>
      <xdr:colOff>0</xdr:colOff>
      <xdr:row>3</xdr:row>
      <xdr:rowOff>7620</xdr:rowOff>
    </xdr:from>
    <xdr:to>
      <xdr:col>18</xdr:col>
      <xdr:colOff>160020</xdr:colOff>
      <xdr:row>35</xdr:row>
      <xdr:rowOff>0</xdr:rowOff>
    </xdr:to>
    <xdr:graphicFrame macro="">
      <xdr:nvGraphicFramePr>
        <xdr:cNvPr id="3" name="Chart 2">
          <a:extLst>
            <a:ext uri="{FF2B5EF4-FFF2-40B4-BE49-F238E27FC236}">
              <a16:creationId xmlns=""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9217" name="Metric" hidden="1">
              <a:extLst>
                <a:ext uri="{63B3BB69-23CF-44E3-9099-C40C66FF867C}">
                  <a14:compatExt spid="_x0000_s9217"/>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0241" name="Metric" hidden="1">
              <a:extLst>
                <a:ext uri="{63B3BB69-23CF-44E3-9099-C40C66FF867C}">
                  <a14:compatExt spid="_x0000_s10241"/>
                </a:ext>
              </a:extLst>
            </xdr:cNvPr>
            <xdr:cNvSpPr/>
          </xdr:nvSpPr>
          <xdr:spPr>
            <a:xfrm>
              <a:off x="0" y="0"/>
              <a:ext cx="0" cy="0"/>
            </a:xfrm>
            <a:prstGeom prst="rect">
              <a:avLst/>
            </a:prstGeom>
          </xdr:spPr>
        </xdr:sp>
        <xdr:clientData fLocksWithSheet="0"/>
      </xdr:twoCellAnchor>
    </mc:Choice>
    <mc:Fallback/>
  </mc:AlternateContent>
  <xdr:twoCellAnchor editAs="oneCell">
    <xdr:from>
      <xdr:col>5</xdr:col>
      <xdr:colOff>0</xdr:colOff>
      <xdr:row>12</xdr:row>
      <xdr:rowOff>133350</xdr:rowOff>
    </xdr:from>
    <xdr:to>
      <xdr:col>8</xdr:col>
      <xdr:colOff>482882</xdr:colOff>
      <xdr:row>33</xdr:row>
      <xdr:rowOff>133350</xdr:rowOff>
    </xdr:to>
    <xdr:pic>
      <xdr:nvPicPr>
        <xdr:cNvPr id="3" name="Picture 2">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2775" y="2676525"/>
          <a:ext cx="2997482" cy="4000500"/>
        </a:xfrm>
        <a:prstGeom prst="rect">
          <a:avLst/>
        </a:prstGeom>
        <a:ln w="19050">
          <a:solidFill>
            <a:sysClr val="windowText" lastClr="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2289" name="Metric" hidden="1">
              <a:extLst>
                <a:ext uri="{63B3BB69-23CF-44E3-9099-C40C66FF867C}">
                  <a14:compatExt spid="_x0000_s12289"/>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180975</xdr:rowOff>
        </xdr:from>
        <xdr:to>
          <xdr:col>1</xdr:col>
          <xdr:colOff>209550</xdr:colOff>
          <xdr:row>3</xdr:row>
          <xdr:rowOff>180975</xdr:rowOff>
        </xdr:to>
        <xdr:sp macro="" textlink="">
          <xdr:nvSpPr>
            <xdr:cNvPr id="14337" name="Metric" hidden="1">
              <a:extLst>
                <a:ext uri="{63B3BB69-23CF-44E3-9099-C40C66FF867C}">
                  <a14:compatExt spid="_x0000_s14337"/>
                </a:ext>
              </a:extLst>
            </xdr:cNvPr>
            <xdr:cNvSpPr/>
          </xdr:nvSpPr>
          <xdr:spPr>
            <a:xfrm>
              <a:off x="0" y="0"/>
              <a:ext cx="0" cy="0"/>
            </a:xfrm>
            <a:prstGeom prst="rect">
              <a:avLst/>
            </a:prstGeom>
          </xdr:spPr>
        </xdr:sp>
        <xdr:clientData fLocksWithSheet="0"/>
      </xdr:twoCellAnchor>
    </mc:Choice>
    <mc:Fallback/>
  </mc:AlternateContent>
  <xdr:twoCellAnchor>
    <xdr:from>
      <xdr:col>1</xdr:col>
      <xdr:colOff>219074</xdr:colOff>
      <xdr:row>17</xdr:row>
      <xdr:rowOff>0</xdr:rowOff>
    </xdr:from>
    <xdr:to>
      <xdr:col>10</xdr:col>
      <xdr:colOff>723899</xdr:colOff>
      <xdr:row>38</xdr:row>
      <xdr:rowOff>0</xdr:rowOff>
    </xdr:to>
    <xdr:graphicFrame macro="">
      <xdr:nvGraphicFramePr>
        <xdr:cNvPr id="2" name="Chart 1">
          <a:extLst>
            <a:ext uri="{FF2B5EF4-FFF2-40B4-BE49-F238E27FC236}">
              <a16:creationId xmlns=""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9525</xdr:colOff>
      <xdr:row>14</xdr:row>
      <xdr:rowOff>9127</xdr:rowOff>
    </xdr:from>
    <xdr:to>
      <xdr:col>8</xdr:col>
      <xdr:colOff>1276350</xdr:colOff>
      <xdr:row>34</xdr:row>
      <xdr:rowOff>129920</xdr:rowOff>
    </xdr:to>
    <xdr:pic>
      <xdr:nvPicPr>
        <xdr:cNvPr id="2" name="Picture 1">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4850" y="2933302"/>
          <a:ext cx="5391150" cy="3930793"/>
        </a:xfrm>
        <a:prstGeom prst="rect">
          <a:avLst/>
        </a:prstGeom>
      </xdr:spPr>
    </xdr:pic>
    <xdr:clientData/>
  </xdr:twoCellAnchor>
  <xdr:twoCellAnchor>
    <xdr:from>
      <xdr:col>10</xdr:col>
      <xdr:colOff>0</xdr:colOff>
      <xdr:row>3</xdr:row>
      <xdr:rowOff>0</xdr:rowOff>
    </xdr:from>
    <xdr:to>
      <xdr:col>18</xdr:col>
      <xdr:colOff>123825</xdr:colOff>
      <xdr:row>29</xdr:row>
      <xdr:rowOff>0</xdr:rowOff>
    </xdr:to>
    <xdr:graphicFrame macro="">
      <xdr:nvGraphicFramePr>
        <xdr:cNvPr id="3" name="Chart 2">
          <a:extLst>
            <a:ext uri="{FF2B5EF4-FFF2-40B4-BE49-F238E27FC236}">
              <a16:creationId xmlns=""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9525</xdr:rowOff>
        </xdr:from>
        <xdr:to>
          <xdr:col>13</xdr:col>
          <xdr:colOff>409575</xdr:colOff>
          <xdr:row>2</xdr:row>
          <xdr:rowOff>180975</xdr:rowOff>
        </xdr:to>
        <xdr:sp macro="" textlink="">
          <xdr:nvSpPr>
            <xdr:cNvPr id="26626" name="Check Box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Retracted?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409575</xdr:colOff>
          <xdr:row>2</xdr:row>
          <xdr:rowOff>9525</xdr:rowOff>
        </xdr:from>
        <xdr:to>
          <xdr:col>15</xdr:col>
          <xdr:colOff>209550</xdr:colOff>
          <xdr:row>2</xdr:row>
          <xdr:rowOff>180975</xdr:rowOff>
        </xdr:to>
        <xdr:sp macro="" textlink="">
          <xdr:nvSpPr>
            <xdr:cNvPr id="26627" name="Check Box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Extended?</a:t>
              </a:r>
            </a:p>
          </xdr:txBody>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9525</xdr:colOff>
          <xdr:row>4</xdr:row>
          <xdr:rowOff>9525</xdr:rowOff>
        </xdr:to>
        <xdr:sp macro="" textlink="">
          <xdr:nvSpPr>
            <xdr:cNvPr id="28674" name="Metric" hidden="1">
              <a:extLst>
                <a:ext uri="{63B3BB69-23CF-44E3-9099-C40C66FF867C}">
                  <a14:compatExt spid="_x0000_s28674"/>
                </a:ext>
              </a:extLst>
            </xdr:cNvPr>
            <xdr:cNvSpPr/>
          </xdr:nvSpPr>
          <xdr:spPr>
            <a:xfrm>
              <a:off x="0" y="0"/>
              <a:ext cx="0" cy="0"/>
            </a:xfrm>
            <a:prstGeom prst="rect">
              <a:avLst/>
            </a:prstGeom>
          </xdr:spPr>
        </xdr:sp>
        <xdr:clientData fLock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www.chiefdelphi.com/t/paper-simple-motor-calculator/108165"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www.chiefdelphi.com/t/paper-chain-belt-calculator/168971"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chiefdelphi.com/t/paper-jvns-mechanical-design-calculator-2016/146281" TargetMode="External"/><Relationship Id="rId6" Type="http://schemas.openxmlformats.org/officeDocument/2006/relationships/hyperlink" Target="https://www.chiefdelphi.com/t/versa-planetary-configuration-tool/335646" TargetMode="External"/><Relationship Id="rId11" Type="http://schemas.openxmlformats.org/officeDocument/2006/relationships/ctrlProp" Target="../ctrlProps/ctrlProp2.xml"/><Relationship Id="rId5" Type="http://schemas.openxmlformats.org/officeDocument/2006/relationships/hyperlink" Target="https://fac.ksu.edu.sa/sites/default/files/mechanical-disgin-shigley.pdf" TargetMode="External"/><Relationship Id="rId15" Type="http://schemas.openxmlformats.org/officeDocument/2006/relationships/ctrlProp" Target="../ctrlProps/ctrlProp6.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chiefdelphi.com/t/paper-pneumatic-system-simulator/168272"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2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2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E52"/>
  <sheetViews>
    <sheetView tabSelected="1" workbookViewId="0"/>
  </sheetViews>
  <sheetFormatPr defaultColWidth="9.140625" defaultRowHeight="15" x14ac:dyDescent="0.25"/>
  <cols>
    <col min="1" max="1" width="9.140625" style="79"/>
    <col min="2" max="2" width="2.7109375" style="79" customWidth="1"/>
    <col min="3" max="3" width="70.7109375" style="79" customWidth="1"/>
    <col min="4" max="4" width="9.140625" style="79"/>
    <col min="5" max="5" width="8.5703125" style="79" customWidth="1"/>
    <col min="6" max="16384" width="9.140625" style="79"/>
  </cols>
  <sheetData>
    <row r="2" spans="2:5" ht="31.15" x14ac:dyDescent="0.6">
      <c r="C2" s="80" t="s">
        <v>179</v>
      </c>
    </row>
    <row r="3" spans="2:5" ht="15.6" x14ac:dyDescent="0.3">
      <c r="C3" s="81" t="s">
        <v>362</v>
      </c>
    </row>
    <row r="4" spans="2:5" ht="15.6" x14ac:dyDescent="0.3">
      <c r="C4" s="81" t="s">
        <v>180</v>
      </c>
    </row>
    <row r="5" spans="2:5" x14ac:dyDescent="0.25">
      <c r="D5" s="187" t="s">
        <v>212</v>
      </c>
      <c r="E5" s="188"/>
    </row>
    <row r="6" spans="2:5" ht="15" customHeight="1" x14ac:dyDescent="0.25">
      <c r="C6" s="82" t="s">
        <v>181</v>
      </c>
      <c r="D6" s="189"/>
      <c r="E6" s="190"/>
    </row>
    <row r="7" spans="2:5" ht="15" customHeight="1" x14ac:dyDescent="0.25">
      <c r="B7" s="83" t="s">
        <v>169</v>
      </c>
      <c r="C7" s="79" t="s">
        <v>182</v>
      </c>
      <c r="D7" s="189"/>
      <c r="E7" s="190"/>
    </row>
    <row r="8" spans="2:5" ht="15" customHeight="1" x14ac:dyDescent="0.25">
      <c r="B8" s="106" t="s">
        <v>169</v>
      </c>
      <c r="C8" s="79" t="s">
        <v>183</v>
      </c>
      <c r="D8" s="189"/>
      <c r="E8" s="190"/>
    </row>
    <row r="9" spans="2:5" ht="15" customHeight="1" x14ac:dyDescent="0.25">
      <c r="B9" s="107" t="s">
        <v>169</v>
      </c>
      <c r="C9" s="79" t="s">
        <v>184</v>
      </c>
      <c r="D9" s="189"/>
      <c r="E9" s="190"/>
    </row>
    <row r="10" spans="2:5" ht="15" customHeight="1" x14ac:dyDescent="0.25">
      <c r="B10" s="108" t="s">
        <v>169</v>
      </c>
      <c r="C10" s="84" t="s">
        <v>185</v>
      </c>
      <c r="D10" s="191"/>
      <c r="E10" s="192"/>
    </row>
    <row r="12" spans="2:5" ht="14.45" x14ac:dyDescent="0.3">
      <c r="C12" s="85" t="s">
        <v>187</v>
      </c>
    </row>
    <row r="13" spans="2:5" ht="60.75" customHeight="1" x14ac:dyDescent="0.3">
      <c r="C13" s="134" t="s">
        <v>203</v>
      </c>
    </row>
    <row r="14" spans="2:5" ht="14.45" x14ac:dyDescent="0.3">
      <c r="C14" s="86"/>
    </row>
    <row r="15" spans="2:5" ht="14.45" x14ac:dyDescent="0.3">
      <c r="C15" s="85" t="s">
        <v>198</v>
      </c>
    </row>
    <row r="16" spans="2:5" ht="96" customHeight="1" x14ac:dyDescent="0.3">
      <c r="C16" s="134" t="s">
        <v>199</v>
      </c>
    </row>
    <row r="17" spans="3:3" ht="14.45" x14ac:dyDescent="0.3">
      <c r="C17" s="86"/>
    </row>
    <row r="18" spans="3:3" ht="14.45" x14ac:dyDescent="0.3">
      <c r="C18" s="85" t="s">
        <v>186</v>
      </c>
    </row>
    <row r="19" spans="3:3" ht="78" customHeight="1" x14ac:dyDescent="0.3">
      <c r="C19" s="134" t="s">
        <v>202</v>
      </c>
    </row>
    <row r="20" spans="3:3" ht="14.45" x14ac:dyDescent="0.3">
      <c r="C20" s="86"/>
    </row>
    <row r="21" spans="3:3" ht="14.45" x14ac:dyDescent="0.3">
      <c r="C21" s="85" t="s">
        <v>200</v>
      </c>
    </row>
    <row r="22" spans="3:3" ht="75" x14ac:dyDescent="0.25">
      <c r="C22" s="134" t="s">
        <v>201</v>
      </c>
    </row>
    <row r="23" spans="3:3" x14ac:dyDescent="0.25">
      <c r="C23" s="86"/>
    </row>
    <row r="24" spans="3:3" x14ac:dyDescent="0.25">
      <c r="C24" s="85" t="s">
        <v>94</v>
      </c>
    </row>
    <row r="25" spans="3:3" ht="120" x14ac:dyDescent="0.25">
      <c r="C25" s="134" t="s">
        <v>332</v>
      </c>
    </row>
    <row r="26" spans="3:3" x14ac:dyDescent="0.25">
      <c r="C26" s="86"/>
    </row>
    <row r="27" spans="3:3" x14ac:dyDescent="0.25">
      <c r="C27" s="85" t="s">
        <v>188</v>
      </c>
    </row>
    <row r="28" spans="3:3" ht="90" x14ac:dyDescent="0.25">
      <c r="C28" s="134" t="s">
        <v>361</v>
      </c>
    </row>
    <row r="29" spans="3:3" x14ac:dyDescent="0.25">
      <c r="C29" s="86"/>
    </row>
    <row r="30" spans="3:3" x14ac:dyDescent="0.25">
      <c r="C30" s="85" t="s">
        <v>204</v>
      </c>
    </row>
    <row r="31" spans="3:3" ht="45" x14ac:dyDescent="0.25">
      <c r="C31" s="134" t="s">
        <v>205</v>
      </c>
    </row>
    <row r="32" spans="3:3" x14ac:dyDescent="0.25">
      <c r="C32" s="86"/>
    </row>
    <row r="33" spans="3:3" x14ac:dyDescent="0.25">
      <c r="C33" s="85" t="s">
        <v>211</v>
      </c>
    </row>
    <row r="34" spans="3:3" ht="33.75" customHeight="1" x14ac:dyDescent="0.25">
      <c r="C34" s="134" t="s">
        <v>206</v>
      </c>
    </row>
    <row r="35" spans="3:3" x14ac:dyDescent="0.25">
      <c r="C35" s="86"/>
    </row>
    <row r="36" spans="3:3" x14ac:dyDescent="0.25">
      <c r="C36" s="85" t="s">
        <v>189</v>
      </c>
    </row>
    <row r="37" spans="3:3" ht="105" x14ac:dyDescent="0.25">
      <c r="C37" s="134" t="s">
        <v>190</v>
      </c>
    </row>
    <row r="38" spans="3:3" x14ac:dyDescent="0.25">
      <c r="C38" s="86"/>
    </row>
    <row r="39" spans="3:3" x14ac:dyDescent="0.25">
      <c r="C39" s="85" t="s">
        <v>207</v>
      </c>
    </row>
    <row r="40" spans="3:3" ht="75" x14ac:dyDescent="0.25">
      <c r="C40" s="134" t="s">
        <v>208</v>
      </c>
    </row>
    <row r="41" spans="3:3" x14ac:dyDescent="0.25">
      <c r="C41" s="86"/>
    </row>
    <row r="42" spans="3:3" x14ac:dyDescent="0.25">
      <c r="C42" s="85" t="s">
        <v>321</v>
      </c>
    </row>
    <row r="43" spans="3:3" ht="47.25" customHeight="1" x14ac:dyDescent="0.25">
      <c r="C43" s="134" t="s">
        <v>360</v>
      </c>
    </row>
    <row r="44" spans="3:3" x14ac:dyDescent="0.25">
      <c r="C44" s="86"/>
    </row>
    <row r="46" spans="3:3" x14ac:dyDescent="0.25">
      <c r="C46" s="136" t="s">
        <v>191</v>
      </c>
    </row>
    <row r="47" spans="3:3" x14ac:dyDescent="0.25">
      <c r="C47" s="137" t="s">
        <v>192</v>
      </c>
    </row>
    <row r="48" spans="3:3" x14ac:dyDescent="0.25">
      <c r="C48" s="137" t="s">
        <v>193</v>
      </c>
    </row>
    <row r="49" spans="2:3" x14ac:dyDescent="0.25">
      <c r="C49" s="137" t="s">
        <v>194</v>
      </c>
    </row>
    <row r="50" spans="2:3" x14ac:dyDescent="0.25">
      <c r="B50" s="135"/>
      <c r="C50" s="138" t="s">
        <v>195</v>
      </c>
    </row>
    <row r="51" spans="2:3" x14ac:dyDescent="0.25">
      <c r="B51" s="135"/>
      <c r="C51" s="138" t="s">
        <v>196</v>
      </c>
    </row>
    <row r="52" spans="2:3" x14ac:dyDescent="0.25">
      <c r="C52" s="139" t="s">
        <v>333</v>
      </c>
    </row>
  </sheetData>
  <mergeCells count="1">
    <mergeCell ref="D5:E10"/>
  </mergeCells>
  <hyperlinks>
    <hyperlink ref="C47" r:id="rId1"/>
    <hyperlink ref="C49" r:id="rId2"/>
    <hyperlink ref="C48" r:id="rId3"/>
    <hyperlink ref="C50" r:id="rId4"/>
    <hyperlink ref="C51" r:id="rId5"/>
    <hyperlink ref="C52" r:id="rId6"/>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16385" r:id="rId10" name="Button 1">
              <controlPr defaultSize="0" print="0" autoFill="0" autoPict="0" macro="[0]!Add_MechanismRatio">
                <anchor moveWithCells="1" sizeWithCells="1">
                  <from>
                    <xdr:col>3</xdr:col>
                    <xdr:colOff>28575</xdr:colOff>
                    <xdr:row>11</xdr:row>
                    <xdr:rowOff>0</xdr:rowOff>
                  </from>
                  <to>
                    <xdr:col>5</xdr:col>
                    <xdr:colOff>0</xdr:colOff>
                    <xdr:row>14</xdr:row>
                    <xdr:rowOff>0</xdr:rowOff>
                  </to>
                </anchor>
              </controlPr>
            </control>
          </mc:Choice>
        </mc:AlternateContent>
        <mc:AlternateContent xmlns:mc="http://schemas.openxmlformats.org/markup-compatibility/2006">
          <mc:Choice Requires="x14">
            <control shapeId="16386" r:id="rId11" name="Button 2">
              <controlPr defaultSize="0" print="0" autoFill="0" autoPict="0" macro="[0]!Add_LeadScrew">
                <anchor moveWithCells="1" sizeWithCells="1">
                  <from>
                    <xdr:col>3</xdr:col>
                    <xdr:colOff>28575</xdr:colOff>
                    <xdr:row>15</xdr:row>
                    <xdr:rowOff>0</xdr:rowOff>
                  </from>
                  <to>
                    <xdr:col>5</xdr:col>
                    <xdr:colOff>0</xdr:colOff>
                    <xdr:row>17</xdr:row>
                    <xdr:rowOff>0</xdr:rowOff>
                  </to>
                </anchor>
              </controlPr>
            </control>
          </mc:Choice>
        </mc:AlternateContent>
        <mc:AlternateContent xmlns:mc="http://schemas.openxmlformats.org/markup-compatibility/2006">
          <mc:Choice Requires="x14">
            <control shapeId="16387" r:id="rId12" name="Button 3">
              <controlPr defaultSize="0" print="0" autoFill="0" autoPict="0" macro="[0]!Add_Drivetrain">
                <anchor moveWithCells="1" sizeWithCells="1">
                  <from>
                    <xdr:col>3</xdr:col>
                    <xdr:colOff>28575</xdr:colOff>
                    <xdr:row>18</xdr:row>
                    <xdr:rowOff>0</xdr:rowOff>
                  </from>
                  <to>
                    <xdr:col>5</xdr:col>
                    <xdr:colOff>0</xdr:colOff>
                    <xdr:row>20</xdr:row>
                    <xdr:rowOff>0</xdr:rowOff>
                  </to>
                </anchor>
              </controlPr>
            </control>
          </mc:Choice>
        </mc:AlternateContent>
        <mc:AlternateContent xmlns:mc="http://schemas.openxmlformats.org/markup-compatibility/2006">
          <mc:Choice Requires="x14">
            <control shapeId="16388" r:id="rId13" name="Button 4">
              <controlPr defaultSize="0" print="0" autoFill="0" autoPict="0" macro="[0]!Add_BeamBend">
                <anchor moveWithCells="1" sizeWithCells="1">
                  <from>
                    <xdr:col>3</xdr:col>
                    <xdr:colOff>28575</xdr:colOff>
                    <xdr:row>21</xdr:row>
                    <xdr:rowOff>0</xdr:rowOff>
                  </from>
                  <to>
                    <xdr:col>5</xdr:col>
                    <xdr:colOff>0</xdr:colOff>
                    <xdr:row>23</xdr:row>
                    <xdr:rowOff>0</xdr:rowOff>
                  </to>
                </anchor>
              </controlPr>
            </control>
          </mc:Choice>
        </mc:AlternateContent>
        <mc:AlternateContent xmlns:mc="http://schemas.openxmlformats.org/markup-compatibility/2006">
          <mc:Choice Requires="x14">
            <control shapeId="16389" r:id="rId14" name="Button 5">
              <controlPr defaultSize="0" print="0" autoFill="0" autoPict="0" macro="[0]!Add_Projectile">
                <anchor moveWithCells="1" sizeWithCells="1">
                  <from>
                    <xdr:col>3</xdr:col>
                    <xdr:colOff>28575</xdr:colOff>
                    <xdr:row>24</xdr:row>
                    <xdr:rowOff>0</xdr:rowOff>
                  </from>
                  <to>
                    <xdr:col>5</xdr:col>
                    <xdr:colOff>0</xdr:colOff>
                    <xdr:row>26</xdr:row>
                    <xdr:rowOff>0</xdr:rowOff>
                  </to>
                </anchor>
              </controlPr>
            </control>
          </mc:Choice>
        </mc:AlternateContent>
        <mc:AlternateContent xmlns:mc="http://schemas.openxmlformats.org/markup-compatibility/2006">
          <mc:Choice Requires="x14">
            <control shapeId="16390" r:id="rId15" name="Button 6">
              <controlPr defaultSize="0" print="0" autoFill="0" autoPict="0" macro="[0]!Add_ChainBelt">
                <anchor moveWithCells="1" sizeWithCells="1">
                  <from>
                    <xdr:col>3</xdr:col>
                    <xdr:colOff>28575</xdr:colOff>
                    <xdr:row>27</xdr:row>
                    <xdr:rowOff>0</xdr:rowOff>
                  </from>
                  <to>
                    <xdr:col>5</xdr:col>
                    <xdr:colOff>0</xdr:colOff>
                    <xdr:row>29</xdr:row>
                    <xdr:rowOff>0</xdr:rowOff>
                  </to>
                </anchor>
              </controlPr>
            </control>
          </mc:Choice>
        </mc:AlternateContent>
        <mc:AlternateContent xmlns:mc="http://schemas.openxmlformats.org/markup-compatibility/2006">
          <mc:Choice Requires="x14">
            <control shapeId="16391" r:id="rId16" name="Button 7">
              <controlPr defaultSize="0" print="0" autoFill="0" autoPict="0" macro="[0]!Add_GearClear">
                <anchor moveWithCells="1" sizeWithCells="1">
                  <from>
                    <xdr:col>3</xdr:col>
                    <xdr:colOff>28575</xdr:colOff>
                    <xdr:row>30</xdr:row>
                    <xdr:rowOff>0</xdr:rowOff>
                  </from>
                  <to>
                    <xdr:col>5</xdr:col>
                    <xdr:colOff>0</xdr:colOff>
                    <xdr:row>32</xdr:row>
                    <xdr:rowOff>0</xdr:rowOff>
                  </to>
                </anchor>
              </controlPr>
            </control>
          </mc:Choice>
        </mc:AlternateContent>
        <mc:AlternateContent xmlns:mc="http://schemas.openxmlformats.org/markup-compatibility/2006">
          <mc:Choice Requires="x14">
            <control shapeId="16392" r:id="rId17" name="Button 8">
              <controlPr defaultSize="0" print="0" autoFill="0" autoPict="0" macro="[0]!Add_RatioDist">
                <anchor moveWithCells="1" sizeWithCells="1">
                  <from>
                    <xdr:col>3</xdr:col>
                    <xdr:colOff>28575</xdr:colOff>
                    <xdr:row>33</xdr:row>
                    <xdr:rowOff>0</xdr:rowOff>
                  </from>
                  <to>
                    <xdr:col>5</xdr:col>
                    <xdr:colOff>0</xdr:colOff>
                    <xdr:row>35</xdr:row>
                    <xdr:rowOff>0</xdr:rowOff>
                  </to>
                </anchor>
              </controlPr>
            </control>
          </mc:Choice>
        </mc:AlternateContent>
        <mc:AlternateContent xmlns:mc="http://schemas.openxmlformats.org/markup-compatibility/2006">
          <mc:Choice Requires="x14">
            <control shapeId="16393" r:id="rId18" name="Button 9">
              <controlPr defaultSize="0" print="0" autoFill="0" autoPict="0" macro="[0]!Add_Pneumatics">
                <anchor moveWithCells="1" sizeWithCells="1">
                  <from>
                    <xdr:col>3</xdr:col>
                    <xdr:colOff>28575</xdr:colOff>
                    <xdr:row>36</xdr:row>
                    <xdr:rowOff>0</xdr:rowOff>
                  </from>
                  <to>
                    <xdr:col>5</xdr:col>
                    <xdr:colOff>0</xdr:colOff>
                    <xdr:row>38</xdr:row>
                    <xdr:rowOff>0</xdr:rowOff>
                  </to>
                </anchor>
              </controlPr>
            </control>
          </mc:Choice>
        </mc:AlternateContent>
        <mc:AlternateContent xmlns:mc="http://schemas.openxmlformats.org/markup-compatibility/2006">
          <mc:Choice Requires="x14">
            <control shapeId="16394" r:id="rId19" name="Button 10">
              <controlPr defaultSize="0" print="0" autoFill="0" autoPict="0" macro="[0]!Add_PneuLinkage">
                <anchor moveWithCells="1" sizeWithCells="1">
                  <from>
                    <xdr:col>3</xdr:col>
                    <xdr:colOff>28575</xdr:colOff>
                    <xdr:row>39</xdr:row>
                    <xdr:rowOff>0</xdr:rowOff>
                  </from>
                  <to>
                    <xdr:col>5</xdr:col>
                    <xdr:colOff>0</xdr:colOff>
                    <xdr:row>41</xdr:row>
                    <xdr:rowOff>0</xdr:rowOff>
                  </to>
                </anchor>
              </controlPr>
            </control>
          </mc:Choice>
        </mc:AlternateContent>
        <mc:AlternateContent xmlns:mc="http://schemas.openxmlformats.org/markup-compatibility/2006">
          <mc:Choice Requires="x14">
            <control shapeId="16395" r:id="rId20" name="Button 11">
              <controlPr defaultSize="0" print="0" autoFill="0" autoPict="0" macro="[0]!Add_All">
                <anchor moveWithCells="1" sizeWithCells="1">
                  <from>
                    <xdr:col>5</xdr:col>
                    <xdr:colOff>123825</xdr:colOff>
                    <xdr:row>5</xdr:row>
                    <xdr:rowOff>180975</xdr:rowOff>
                  </from>
                  <to>
                    <xdr:col>7</xdr:col>
                    <xdr:colOff>514350</xdr:colOff>
                    <xdr:row>9</xdr:row>
                    <xdr:rowOff>180975</xdr:rowOff>
                  </to>
                </anchor>
              </controlPr>
            </control>
          </mc:Choice>
        </mc:AlternateContent>
        <mc:AlternateContent xmlns:mc="http://schemas.openxmlformats.org/markup-compatibility/2006">
          <mc:Choice Requires="x14">
            <control shapeId="16396" r:id="rId21" name="Button 12">
              <controlPr defaultSize="0" print="0" autoFill="0" autoPict="0" macro="[0]!Add_VersaPlanetary">
                <anchor moveWithCells="1" sizeWithCells="1">
                  <from>
                    <xdr:col>3</xdr:col>
                    <xdr:colOff>28575</xdr:colOff>
                    <xdr:row>42</xdr:row>
                    <xdr:rowOff>0</xdr:rowOff>
                  </from>
                  <to>
                    <xdr:col>5</xdr:col>
                    <xdr:colOff>0</xdr:colOff>
                    <xdr:row>44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27"/>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 style="1" customWidth="1"/>
    <col min="8" max="15" width="11.42578125" style="1" customWidth="1"/>
    <col min="16" max="16" width="12" style="1" customWidth="1"/>
    <col min="17" max="16384" width="9.140625" style="1"/>
  </cols>
  <sheetData>
    <row r="2" spans="2:16" ht="31.15" x14ac:dyDescent="0.3">
      <c r="C2" s="2" t="s">
        <v>197</v>
      </c>
    </row>
    <row r="4" spans="2:16" ht="14.45" x14ac:dyDescent="0.3">
      <c r="B4" s="8" t="b">
        <v>0</v>
      </c>
      <c r="C4" s="1" t="s">
        <v>0</v>
      </c>
    </row>
    <row r="6" spans="2:16" ht="14.45" x14ac:dyDescent="0.3">
      <c r="C6" s="202" t="s">
        <v>256</v>
      </c>
      <c r="D6" s="203"/>
      <c r="E6" s="22" t="s">
        <v>30</v>
      </c>
      <c r="G6" s="90"/>
      <c r="H6" s="91" t="s">
        <v>39</v>
      </c>
      <c r="I6" s="91" t="s">
        <v>40</v>
      </c>
      <c r="J6" s="91" t="s">
        <v>41</v>
      </c>
      <c r="K6" s="91" t="s">
        <v>42</v>
      </c>
      <c r="L6" s="91" t="s">
        <v>43</v>
      </c>
      <c r="M6" s="91" t="s">
        <v>44</v>
      </c>
      <c r="N6" s="91" t="s">
        <v>45</v>
      </c>
      <c r="O6" s="91" t="s">
        <v>46</v>
      </c>
      <c r="P6" s="91" t="s">
        <v>47</v>
      </c>
    </row>
    <row r="7" spans="2:16" ht="14.45" x14ac:dyDescent="0.3">
      <c r="C7" s="24" t="s">
        <v>1</v>
      </c>
      <c r="D7" s="25">
        <f>VLOOKUP($C$6, MotorSpecs, 2, FALSE)</f>
        <v>18730</v>
      </c>
      <c r="E7" s="26">
        <f>D7*(D14/12)</f>
        <v>18730</v>
      </c>
      <c r="G7" s="92" t="s">
        <v>34</v>
      </c>
      <c r="H7" s="93">
        <f>I17</f>
        <v>20</v>
      </c>
      <c r="I7" s="93">
        <f>$E$17*I13*IF($B$4, 2.205, 1)/$E$8*0.113</f>
        <v>31.830985915492949</v>
      </c>
      <c r="J7" s="93">
        <f>$E$17*$E$18/8.8507/((SQRT($E$9)*$E$8)/(SQRT($E$10)+SQRT($E$9)))</f>
        <v>236.08813694856494</v>
      </c>
      <c r="K7" s="93">
        <f>$E$17*K13*IF($B$4, 2.205, 1)/$E$8*0.113</f>
        <v>15.915492957746475</v>
      </c>
      <c r="L7" s="93">
        <f>($E$7*$E$8+SQRT(($E$7*$E$8)^2-27.119*$E$18*$E$17*L9*$E$7*$E$8))/(120*L9*$E$8)</f>
        <v>295.34533014462625</v>
      </c>
      <c r="M7" s="93">
        <f>($E$7*$E$8+SQRT(($E$7*$E$8)^2-27.119*$E$18*$E$17*M9*$E$7*$E$8))/(120*M9*$E$8)</f>
        <v>145.58183340641833</v>
      </c>
      <c r="N7" s="93">
        <f>($E$10-$E$9)/$E$8*$E$17*$E$18/$D$13/0.2248/39.37/(N12-$E$9/$D$13)</f>
        <v>72.400648903241759</v>
      </c>
      <c r="O7" s="93">
        <f>$E$17*O13*IF($B$4, 2.205, 1)/$E$8*0.113</f>
        <v>59.683098591549282</v>
      </c>
      <c r="P7" s="93">
        <f>12*0.113*$E$17*$E$18/($D$15*$D$8*$D$13*P14)</f>
        <v>19.098591549295772</v>
      </c>
    </row>
    <row r="8" spans="2:16" ht="14.45" x14ac:dyDescent="0.3">
      <c r="C8" s="30" t="s">
        <v>2</v>
      </c>
      <c r="D8" s="31">
        <f>VLOOKUP($C$6, MotorSpecs, 3, FALSE)</f>
        <v>0.71</v>
      </c>
      <c r="E8" s="32">
        <f>D8*D13*(D14/12)*D15</f>
        <v>1.1359999999999999</v>
      </c>
      <c r="G8" s="64" t="s">
        <v>35</v>
      </c>
      <c r="H8" s="94">
        <f t="shared" ref="H8:P8" si="0">$E$7/H7/60</f>
        <v>15.608333333333333</v>
      </c>
      <c r="I8" s="94">
        <f t="shared" si="0"/>
        <v>9.8070058997050182</v>
      </c>
      <c r="J8" s="94">
        <f t="shared" si="0"/>
        <v>1.3222463047123647</v>
      </c>
      <c r="K8" s="94">
        <f t="shared" si="0"/>
        <v>19.614011799410036</v>
      </c>
      <c r="L8" s="94">
        <f t="shared" si="0"/>
        <v>1.0569548078305597</v>
      </c>
      <c r="M8" s="94">
        <f t="shared" si="0"/>
        <v>2.1442693731929885</v>
      </c>
      <c r="N8" s="94">
        <f t="shared" si="0"/>
        <v>4.3116556466759697</v>
      </c>
      <c r="O8" s="94">
        <f t="shared" si="0"/>
        <v>5.2304031465093423</v>
      </c>
      <c r="P8" s="94">
        <f t="shared" si="0"/>
        <v>16.345009832841694</v>
      </c>
    </row>
    <row r="9" spans="2:16" ht="14.45" x14ac:dyDescent="0.3">
      <c r="C9" s="30" t="s">
        <v>3</v>
      </c>
      <c r="D9" s="33">
        <f>VLOOKUP($C$6, MotorSpecs, 4, FALSE)</f>
        <v>0.7</v>
      </c>
      <c r="E9" s="34">
        <f>D9*D13*(D14/12)</f>
        <v>1.4</v>
      </c>
      <c r="G9" s="64" t="s">
        <v>36</v>
      </c>
      <c r="H9" s="95">
        <f>H8*(1-$D$18/H13)</f>
        <v>3.1887660318326021</v>
      </c>
      <c r="I9" s="95">
        <f t="shared" ref="I9:K9" si="1">I8*(1-$D$18/I13)</f>
        <v>4.9035029498525091</v>
      </c>
      <c r="J9" s="95">
        <f t="shared" si="1"/>
        <v>1.2331174909274314</v>
      </c>
      <c r="K9" s="95">
        <f t="shared" si="1"/>
        <v>0</v>
      </c>
      <c r="L9" s="9">
        <v>1</v>
      </c>
      <c r="M9" s="95">
        <f>M11*IF($B$4, 3.281, 1)/$E$17/2/PI()*12</f>
        <v>1.909859317102744</v>
      </c>
      <c r="N9" s="95">
        <f>N8*(1-$D$18/N13)</f>
        <v>3.3639323875041325</v>
      </c>
      <c r="O9" s="95">
        <f>O8*(1-$D$18/O13)</f>
        <v>3.8356289741068514</v>
      </c>
      <c r="P9" s="95">
        <f>P8*(1-$D$18/P13)</f>
        <v>2.7254279533624839</v>
      </c>
    </row>
    <row r="10" spans="2:16" ht="14.45" x14ac:dyDescent="0.3">
      <c r="C10" s="30" t="s">
        <v>4</v>
      </c>
      <c r="D10" s="35">
        <f>VLOOKUP($C$6, MotorSpecs, 5, FALSE)</f>
        <v>134</v>
      </c>
      <c r="E10" s="36">
        <f>D10*D13*(D14/12)</f>
        <v>268</v>
      </c>
      <c r="G10" s="64" t="str">
        <f>"Free Lin. Speed (" &amp; IF($B$4, "m", "ft") &amp; "/s)"</f>
        <v>Free Lin. Speed (ft/s)</v>
      </c>
      <c r="H10" s="95">
        <f>H8*2*PI()*$E$17/12/IF($B$4, 3.281, 1)</f>
        <v>16.34500844492689</v>
      </c>
      <c r="I10" s="95">
        <f t="shared" ref="I10:L10" si="2">I8*2*PI()*$E$17/12/IF($B$4, 3.281, 1)</f>
        <v>10.269872562741678</v>
      </c>
      <c r="J10" s="95">
        <f t="shared" si="2"/>
        <v>1.3846530923735381</v>
      </c>
      <c r="K10" s="95">
        <f t="shared" si="2"/>
        <v>20.539745125483357</v>
      </c>
      <c r="L10" s="95">
        <f t="shared" si="2"/>
        <v>1.1068404864856325</v>
      </c>
      <c r="M10" s="95">
        <f t="shared" ref="M10" si="3">M8*2*PI()*$D$17/12/IF($B$4, 3.281, 1)</f>
        <v>2.2454736367135602</v>
      </c>
      <c r="N10" s="95">
        <f t="shared" ref="N10:P11" si="4">N8*2*PI()*$E$17/12/IF($B$4, 3.281, 1)</f>
        <v>4.5151552348020561</v>
      </c>
      <c r="O10" s="95">
        <f t="shared" si="4"/>
        <v>5.4772653667955602</v>
      </c>
      <c r="P10" s="95">
        <f t="shared" si="4"/>
        <v>17.116454271236126</v>
      </c>
    </row>
    <row r="11" spans="2:16" ht="14.45" x14ac:dyDescent="0.3">
      <c r="C11" s="37" t="s">
        <v>5</v>
      </c>
      <c r="D11" s="38">
        <f>VLOOKUP($C$6, MotorSpecs, 6, FALSE)</f>
        <v>348.14867987694288</v>
      </c>
      <c r="E11" s="39">
        <f>(E7/60*2*PI())*E8/4</f>
        <v>557.03788780310867</v>
      </c>
      <c r="G11" s="64" t="str">
        <f>"Loaded Lin. Speed (" &amp; IF($B$4, "m", "ft") &amp; "/s)"</f>
        <v>Loaded Lin. Speed (ft/s)</v>
      </c>
      <c r="H11" s="95">
        <f>H9*2*PI()*$E$17/12/IF($B$4, 3.281, 1)</f>
        <v>3.3392679798739917</v>
      </c>
      <c r="I11" s="95">
        <f t="shared" ref="I11:L11" si="5">I9*2*PI()*$E$17/12/IF($B$4, 3.281, 1)</f>
        <v>5.1349362813708392</v>
      </c>
      <c r="J11" s="95">
        <f t="shared" si="5"/>
        <v>1.2913176168368985</v>
      </c>
      <c r="K11" s="95">
        <f t="shared" si="5"/>
        <v>0</v>
      </c>
      <c r="L11" s="95">
        <f t="shared" si="5"/>
        <v>1.0471975511965974</v>
      </c>
      <c r="M11" s="9">
        <v>1.9999999999999996</v>
      </c>
      <c r="N11" s="95">
        <f t="shared" si="4"/>
        <v>3.5227017585852507</v>
      </c>
      <c r="O11" s="95">
        <f t="shared" si="4"/>
        <v>4.0166612689834116</v>
      </c>
      <c r="P11" s="95">
        <f t="shared" si="4"/>
        <v>2.8540614787239473</v>
      </c>
    </row>
    <row r="12" spans="2:16" ht="14.45" x14ac:dyDescent="0.3">
      <c r="G12" s="64" t="s">
        <v>37</v>
      </c>
      <c r="H12" s="75">
        <f t="shared" ref="H12:M12" si="6">($E$10-$E$9)/$E$8*$E$17*$E$18/H7/$D$13/0.2248/39.37 + $E$9/$D$13</f>
        <v>106.76695064324919</v>
      </c>
      <c r="I12" s="75">
        <f t="shared" si="6"/>
        <v>67.343836244873401</v>
      </c>
      <c r="J12" s="75">
        <f t="shared" si="6"/>
        <v>9.6853689401053895</v>
      </c>
      <c r="K12" s="75">
        <f t="shared" si="6"/>
        <v>133.98767248974679</v>
      </c>
      <c r="L12" s="75">
        <f t="shared" si="6"/>
        <v>7.8825717096193637</v>
      </c>
      <c r="M12" s="75">
        <f t="shared" si="6"/>
        <v>15.271454165870251</v>
      </c>
      <c r="N12" s="10">
        <v>30</v>
      </c>
      <c r="O12" s="75">
        <f t="shared" ref="O12:P12" si="7">($E$10-$E$9)/$E$8*$E$17*$E$18/O7/$D$13/0.2248/39.37 + $E$9/$D$13</f>
        <v>36.24337933059914</v>
      </c>
      <c r="P12" s="75">
        <f t="shared" si="7"/>
        <v>111.7730604081223</v>
      </c>
    </row>
    <row r="13" spans="2:16" ht="14.45" x14ac:dyDescent="0.3">
      <c r="C13" s="41" t="s">
        <v>31</v>
      </c>
      <c r="D13" s="11">
        <v>2</v>
      </c>
      <c r="G13" s="64" t="str">
        <f>"Stall Load (" &amp; IF($B$4, "kgf", "lbf") &amp; ")"</f>
        <v>Stall Load (lbf)</v>
      </c>
      <c r="H13" s="96">
        <f>$E$8*H7*39.37*0.2248/$E$17/IF($B$4, 2.205, 1)</f>
        <v>100.54027136000002</v>
      </c>
      <c r="I13" s="96">
        <f>2*D18</f>
        <v>160</v>
      </c>
      <c r="J13" s="96">
        <f>$E$8*J7*39.37*0.2248/$E$17/IF($B$4, 2.205, 1)</f>
        <v>1186.8182676842785</v>
      </c>
      <c r="K13" s="96">
        <f>D18</f>
        <v>80</v>
      </c>
      <c r="L13" s="96">
        <f>$E$8*L7*39.37*0.2248/$E$17/IF($B$4, 2.205, 1)</f>
        <v>1484.7049818824757</v>
      </c>
      <c r="M13" s="96">
        <f>$E$8*M7*39.37*0.2248/$E$17/IF($B$4, 2.205, 1)</f>
        <v>731.84185178838072</v>
      </c>
      <c r="N13" s="96">
        <f>$E$8*N7*39.37*0.2248/$E$17/IF($B$4, 2.205, 1)</f>
        <v>363.9590443686007</v>
      </c>
      <c r="O13" s="12">
        <v>300</v>
      </c>
      <c r="P13" s="96">
        <f>$E$8*P7*39.37*0.2248/$E$17/IF($B$4, 2.205, 1)</f>
        <v>96.008878847999995</v>
      </c>
    </row>
    <row r="14" spans="2:16" ht="14.45" x14ac:dyDescent="0.3">
      <c r="C14" s="41" t="s">
        <v>32</v>
      </c>
      <c r="D14" s="11">
        <v>12</v>
      </c>
      <c r="G14" s="65" t="s">
        <v>38</v>
      </c>
      <c r="H14" s="97">
        <f t="shared" ref="H14:O14" si="8">12*0.113*$E$17*$E$18/($D$15*$D$8*$D$13*H7)</f>
        <v>9.5492957746478861</v>
      </c>
      <c r="I14" s="97">
        <f t="shared" si="8"/>
        <v>6</v>
      </c>
      <c r="J14" s="97">
        <f t="shared" si="8"/>
        <v>0.8089602381612534</v>
      </c>
      <c r="K14" s="97">
        <f t="shared" si="8"/>
        <v>12</v>
      </c>
      <c r="L14" s="97">
        <f t="shared" si="8"/>
        <v>0.64665290424410882</v>
      </c>
      <c r="M14" s="97">
        <f t="shared" si="8"/>
        <v>1.3118801365812285</v>
      </c>
      <c r="N14" s="97">
        <f t="shared" ref="N14" si="9">12*0.113*$E$17*$E$18/($D$15*$D$8*$D$13*N7)</f>
        <v>2.6379033666976741</v>
      </c>
      <c r="O14" s="97">
        <f t="shared" si="8"/>
        <v>3.2</v>
      </c>
      <c r="P14" s="13">
        <v>10</v>
      </c>
    </row>
    <row r="15" spans="2:16" ht="14.45" x14ac:dyDescent="0.3">
      <c r="C15" s="41" t="s">
        <v>33</v>
      </c>
      <c r="D15" s="14">
        <v>0.8</v>
      </c>
    </row>
    <row r="17" spans="3:15" ht="14.45" x14ac:dyDescent="0.3">
      <c r="C17" s="41" t="str">
        <f>"Radius (" &amp; IF($B$4, "mm", "in") &amp; ")"</f>
        <v>Radius (in)</v>
      </c>
      <c r="D17" s="15">
        <v>1.9999999999999993</v>
      </c>
      <c r="E17" s="3">
        <f>D17/IF($B$4, 25.4, 1)</f>
        <v>1.9999999999999993</v>
      </c>
      <c r="H17" s="22" t="s">
        <v>48</v>
      </c>
      <c r="I17" s="98">
        <f>IF(PRODUCT(I18:I21)&gt;0,PRODUCT(I18:I21),1)/IF(PRODUCT(H18:H21)&gt;0,PRODUCT(H18:H21), 1)</f>
        <v>20</v>
      </c>
    </row>
    <row r="18" spans="3:15" ht="14.45" x14ac:dyDescent="0.3">
      <c r="C18" s="41" t="str">
        <f>"Load (" &amp; IF($B$4, "kgf", "lbf") &amp; ")"</f>
        <v>Load (lbf)</v>
      </c>
      <c r="D18" s="16">
        <v>80</v>
      </c>
      <c r="E18" s="3">
        <f>D18*IF($B$4, 2.205, 1)</f>
        <v>80</v>
      </c>
      <c r="H18" s="17"/>
      <c r="I18" s="18">
        <v>6</v>
      </c>
    </row>
    <row r="19" spans="3:15" ht="14.45" x14ac:dyDescent="0.3">
      <c r="H19" s="17">
        <v>18</v>
      </c>
      <c r="I19" s="18">
        <v>60</v>
      </c>
    </row>
    <row r="20" spans="3:15" ht="14.45" x14ac:dyDescent="0.3">
      <c r="H20" s="17"/>
      <c r="I20" s="18"/>
    </row>
    <row r="21" spans="3:15" ht="14.45" x14ac:dyDescent="0.3">
      <c r="H21" s="17"/>
      <c r="I21" s="18"/>
    </row>
    <row r="23" spans="3:15" thickBot="1" x14ac:dyDescent="0.35"/>
    <row r="24" spans="3:15" ht="18.75" customHeight="1" x14ac:dyDescent="0.3">
      <c r="D24" s="196" t="s">
        <v>49</v>
      </c>
      <c r="E24" s="197"/>
      <c r="F24" s="197"/>
      <c r="G24" s="197"/>
      <c r="H24" s="197"/>
      <c r="I24" s="197"/>
      <c r="J24" s="197"/>
      <c r="K24" s="197"/>
      <c r="L24" s="197"/>
      <c r="M24" s="197"/>
      <c r="N24" s="197"/>
      <c r="O24" s="198"/>
    </row>
    <row r="25" spans="3:15" ht="75" customHeight="1" x14ac:dyDescent="0.3">
      <c r="D25" s="199" t="s">
        <v>50</v>
      </c>
      <c r="E25" s="200"/>
      <c r="F25" s="200"/>
      <c r="G25" s="200"/>
      <c r="H25" s="200"/>
      <c r="I25" s="200"/>
      <c r="J25" s="200"/>
      <c r="K25" s="200"/>
      <c r="L25" s="200"/>
      <c r="M25" s="200"/>
      <c r="N25" s="200"/>
      <c r="O25" s="201"/>
    </row>
    <row r="26" spans="3:15" ht="72" customHeight="1" x14ac:dyDescent="0.3">
      <c r="D26" s="199" t="s">
        <v>51</v>
      </c>
      <c r="E26" s="200"/>
      <c r="F26" s="200"/>
      <c r="G26" s="200"/>
      <c r="H26" s="200"/>
      <c r="I26" s="200"/>
      <c r="J26" s="200"/>
      <c r="K26" s="200"/>
      <c r="L26" s="200"/>
      <c r="M26" s="200"/>
      <c r="N26" s="200"/>
      <c r="O26" s="201"/>
    </row>
    <row r="27" spans="3:15" ht="73.5" customHeight="1" thickBot="1" x14ac:dyDescent="0.35">
      <c r="D27" s="193" t="s">
        <v>52</v>
      </c>
      <c r="E27" s="194"/>
      <c r="F27" s="194"/>
      <c r="G27" s="194"/>
      <c r="H27" s="194"/>
      <c r="I27" s="194"/>
      <c r="J27" s="194"/>
      <c r="K27" s="194"/>
      <c r="L27" s="194"/>
      <c r="M27" s="194"/>
      <c r="N27" s="194"/>
      <c r="O27" s="195"/>
    </row>
  </sheetData>
  <sheetProtection sheet="1" objects="1" scenarios="1" formatCells="0" formatColumns="0" formatRows="0"/>
  <dataConsolidate/>
  <mergeCells count="5">
    <mergeCell ref="D27:O27"/>
    <mergeCell ref="D24:O24"/>
    <mergeCell ref="D25:O25"/>
    <mergeCell ref="D26:O26"/>
    <mergeCell ref="C6:D6"/>
  </mergeCells>
  <conditionalFormatting sqref="P14 O13 N12 M11 L9 D13:D15 D17:D18">
    <cfRule type="containsBlanks" dxfId="87" priority="26">
      <formula>LEN(TRIM(D9))=0</formula>
    </cfRule>
  </conditionalFormatting>
  <conditionalFormatting sqref="H18:I21">
    <cfRule type="expression" dxfId="86" priority="18">
      <formula>$I$17=1</formula>
    </cfRule>
  </conditionalFormatting>
  <conditionalFormatting sqref="D14">
    <cfRule type="cellIs" dxfId="85" priority="17" operator="greaterThan">
      <formula>12</formula>
    </cfRule>
  </conditionalFormatting>
  <conditionalFormatting sqref="P14">
    <cfRule type="cellIs" dxfId="84" priority="16" operator="greaterThan">
      <formula>$D$14</formula>
    </cfRule>
  </conditionalFormatting>
  <conditionalFormatting sqref="D15">
    <cfRule type="cellIs" dxfId="83" priority="15" operator="greaterThan">
      <formula>1</formula>
    </cfRule>
  </conditionalFormatting>
  <conditionalFormatting sqref="D13:D15 D17:D18 L9 M11 N12 O13 P14">
    <cfRule type="cellIs" dxfId="82" priority="14" operator="lessThanOrEqual">
      <formula>0</formula>
    </cfRule>
  </conditionalFormatting>
  <conditionalFormatting sqref="D13:D15 D17:D18 H18:I21 L9 M11 N12 O13 P14">
    <cfRule type="expression" dxfId="81" priority="8">
      <formula>ISTEXT(D9)</formula>
    </cfRule>
  </conditionalFormatting>
  <conditionalFormatting sqref="P7:P13">
    <cfRule type="expression" dxfId="80" priority="7">
      <formula>ISERROR($P$7)</formula>
    </cfRule>
  </conditionalFormatting>
  <conditionalFormatting sqref="O7:O12 O14">
    <cfRule type="expression" dxfId="79" priority="6">
      <formula>ISERROR($O$8)</formula>
    </cfRule>
  </conditionalFormatting>
  <conditionalFormatting sqref="N7:N11 N13:N14">
    <cfRule type="expression" dxfId="78" priority="4">
      <formula>$N$9&lt;0</formula>
    </cfRule>
  </conditionalFormatting>
  <conditionalFormatting sqref="M7:M10 M12:M14">
    <cfRule type="expression" dxfId="77" priority="3">
      <formula>ISERROR($M$7)</formula>
    </cfRule>
  </conditionalFormatting>
  <conditionalFormatting sqref="L7:L8 L10:L14">
    <cfRule type="expression" dxfId="76" priority="2">
      <formula>ISERROR($L$7)</formula>
    </cfRule>
  </conditionalFormatting>
  <conditionalFormatting sqref="H7:H14">
    <cfRule type="expression" dxfId="75" priority="1">
      <formula>$H$9&lt;=0</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ignoredErrors>
    <ignoredError sqref="I13 K13 M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25" r:id="rId4" name="Metric">
              <controlPr locked="0" defaultSize="0" autoFill="0" autoLine="0" autoPict="0" macro="[0]!MechanismRatio_Metric">
                <anchor moveWithCells="1">
                  <from>
                    <xdr:col>1</xdr:col>
                    <xdr:colOff>0</xdr:colOff>
                    <xdr:row>2</xdr:row>
                    <xdr:rowOff>180975</xdr:rowOff>
                  </from>
                  <to>
                    <xdr:col>2</xdr:col>
                    <xdr:colOff>9525</xdr:colOff>
                    <xdr:row>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J23"/>
  <sheetViews>
    <sheetView zoomScaleNormal="100" workbookViewId="0"/>
  </sheetViews>
  <sheetFormatPr defaultColWidth="9.140625" defaultRowHeight="15" x14ac:dyDescent="0.25"/>
  <cols>
    <col min="1" max="1" width="7.140625" style="1" customWidth="1"/>
    <col min="2" max="2" width="3.28515625" style="1" customWidth="1"/>
    <col min="3" max="3" width="19.42578125" style="1" customWidth="1"/>
    <col min="4" max="4" width="9.140625" style="1" customWidth="1"/>
    <col min="5" max="6" width="9.140625" style="1"/>
    <col min="7" max="7" width="22.7109375" style="1" customWidth="1"/>
    <col min="8" max="16384" width="9.140625" style="1"/>
  </cols>
  <sheetData>
    <row r="2" spans="2:10" ht="31.15" x14ac:dyDescent="0.3">
      <c r="C2" s="2" t="s">
        <v>53</v>
      </c>
    </row>
    <row r="4" spans="2:10" ht="14.45" x14ac:dyDescent="0.3">
      <c r="B4" s="8" t="b">
        <v>0</v>
      </c>
      <c r="C4" s="1" t="s">
        <v>0</v>
      </c>
    </row>
    <row r="6" spans="2:10" ht="14.45" x14ac:dyDescent="0.3">
      <c r="C6" s="99" t="str">
        <f>"Diameter (" &amp; IF($B$4,"mm","in") &amp; ")"</f>
        <v>Diameter (in)</v>
      </c>
      <c r="D6" s="105">
        <v>0.37499999999999994</v>
      </c>
      <c r="G6" s="88" t="s">
        <v>62</v>
      </c>
      <c r="H6" s="100">
        <f>(D7*D8/(PI()*(D6-D7/2)))/((PI()*(D6-D7/2)*D14+D7*D8*COS(0.5*RADIANS(D9)))/(PI()*(D6-D7/2)*COS(0.5*RADIANS(D9))-D14*D7*D8))</f>
        <v>0.41621760320185974</v>
      </c>
    </row>
    <row r="7" spans="2:10" ht="14.45" x14ac:dyDescent="0.3">
      <c r="C7" s="99" t="str">
        <f>"Pitch (" &amp; IF($B$4, "mm", "in") &amp; "/rev)"</f>
        <v>Pitch (in/rev)</v>
      </c>
      <c r="D7" s="105">
        <v>0.1</v>
      </c>
      <c r="G7" s="88" t="str">
        <f>"Equivalent Radius (" &amp; IF($B$4, "mm", "in") &amp; ")"</f>
        <v>Equivalent Radius (in)</v>
      </c>
      <c r="H7" s="42">
        <f>D7*D8/(2*PI())</f>
        <v>1.5915494309189534E-2</v>
      </c>
    </row>
    <row r="8" spans="2:10" ht="14.45" x14ac:dyDescent="0.3">
      <c r="C8" s="99" t="s">
        <v>54</v>
      </c>
      <c r="D8" s="18">
        <v>1</v>
      </c>
    </row>
    <row r="9" spans="2:10" x14ac:dyDescent="0.25">
      <c r="C9" s="99" t="s">
        <v>55</v>
      </c>
      <c r="D9" s="18">
        <v>29</v>
      </c>
      <c r="G9" s="63" t="str">
        <f>"Applied Force (" &amp; IF($B$4, "N", "lbf") &amp; ")"</f>
        <v>Applied Force (lbf)</v>
      </c>
      <c r="H9" s="19">
        <v>900</v>
      </c>
      <c r="I9" s="101">
        <f>I10/(($D$6-$D$7/2)/2*((PI()*($D$6-$D$7/2)*$D$14+$D$7*$D$8*COS(0.5*RADIANS($D$9)))/(PI()*($D$6-$D$7/2)*COS(0.5*RADIANS($D$9))-$D$14*$D$7*$D$8)))</f>
        <v>52.30344658054856</v>
      </c>
      <c r="J9" s="101">
        <f>J11/(($D$6-$D$7/2)/2*((PI()*$D$14*($D$6-$D$7/2)-$D$7*$D$8*COS(0.5*RADIANS($D$9)))/(PI()*($D$6-$D$7/2)*COS(0.5*RADIANS($D$9))+$D$14*$D$7*$D$8)))</f>
        <v>51.476689418112571</v>
      </c>
    </row>
    <row r="10" spans="2:10" ht="14.45" x14ac:dyDescent="0.3">
      <c r="G10" s="64" t="str">
        <f>"Raise Torque (" &amp; IF($B$4, "Nmm", "in-lb") &amp; ")"</f>
        <v>Raise Torque (in-lb)</v>
      </c>
      <c r="H10" s="75">
        <f>H9*($D$6-$D$7/2)/2*((PI()*($D$6-$D$7/2)*$D$14+$D$7*$D$8*COS(0.5*RADIANS($D$9)))/(PI()*($D$6-$D$7/2)*COS(0.5*RADIANS($D$9))-$D$14*$D$7*$D$8))</f>
        <v>34.414558077505596</v>
      </c>
      <c r="I10" s="10">
        <v>2</v>
      </c>
      <c r="J10" s="75">
        <f>J9*($D$6-$D$7/2)/2*((PI()*($D$6-$D$7/2)*$D$14+$D$7*$D$8*COS(0.5*RADIANS($D$9)))/(PI()*($D$6-$D$7/2)*COS(0.5*RADIANS($D$9))-$D$14*$D$7*$D$8))</f>
        <v>1.9683861306859476</v>
      </c>
    </row>
    <row r="11" spans="2:10" ht="14.45" x14ac:dyDescent="0.3">
      <c r="C11" s="99" t="s">
        <v>56</v>
      </c>
      <c r="D11" s="18" t="s">
        <v>59</v>
      </c>
      <c r="G11" s="64" t="str">
        <f>"Lower Torque (" &amp; IF($B$4, "Nmm", "in-lb") &amp; ")"</f>
        <v>Lower Torque (in-lb)</v>
      </c>
      <c r="H11" s="75">
        <f>H9*($D$6-$D$7/2)/2*((PI()*$D$14*($D$6-$D$7/2)-$D$7*$D$8*COS(0.5*RADIANS($D$9)))/(PI()*($D$6-$D$7/2)*COS(0.5*RADIANS($D$9))+$D$14*$D$7*$D$8))</f>
        <v>5.2450925467828915</v>
      </c>
      <c r="I11" s="75">
        <f>I9*($D$6-$D$7/2)/2*((PI()*$D$14*($D$6-$D$7/2)-$D$7*$D$8*COS(0.5*RADIANS($D$9)))/(PI()*($D$6-$D$7/2)*COS(0.5*RADIANS($D$9))+$D$14*$D$7*$D$8))</f>
        <v>0.30481824203410263</v>
      </c>
      <c r="J11" s="10">
        <v>0.3</v>
      </c>
    </row>
    <row r="12" spans="2:10" ht="14.45" x14ac:dyDescent="0.3">
      <c r="C12" s="99" t="s">
        <v>57</v>
      </c>
      <c r="D12" s="18" t="s">
        <v>64</v>
      </c>
      <c r="G12" s="64" t="str">
        <f>"Eq. Raise Load (" &amp; IF($B$4, "kgf", "lbf") &amp; ")"</f>
        <v>Eq. Raise Load (lbf)</v>
      </c>
      <c r="H12" s="75">
        <f t="shared" ref="H12:J13" si="0">H10/$H$7/9.8</f>
        <v>220.64596496496091</v>
      </c>
      <c r="I12" s="75">
        <f t="shared" si="0"/>
        <v>12.822827157509359</v>
      </c>
      <c r="J12" s="75">
        <f t="shared" si="0"/>
        <v>12.620137566512268</v>
      </c>
    </row>
    <row r="13" spans="2:10" ht="14.45" x14ac:dyDescent="0.3">
      <c r="C13" s="99" t="s">
        <v>58</v>
      </c>
      <c r="D13" s="18" t="s">
        <v>60</v>
      </c>
      <c r="G13" s="65" t="str">
        <f>"Eq. Lower Load (" &amp; IF($B$4, "kgf", "lbf") &amp; ")"</f>
        <v>Eq. Lower Load (lbf)</v>
      </c>
      <c r="H13" s="97">
        <f t="shared" si="0"/>
        <v>33.628457576268794</v>
      </c>
      <c r="I13" s="97">
        <f t="shared" si="0"/>
        <v>1.9543158160295759</v>
      </c>
      <c r="J13" s="97">
        <f t="shared" si="0"/>
        <v>1.9234240736264039</v>
      </c>
    </row>
    <row r="14" spans="2:10" ht="14.45" x14ac:dyDescent="0.3">
      <c r="D14" s="3">
        <f>IF($D$11="Steel", IF($D$13="No",IF($D$12="Steel",0.2,IF($D$12="Bronze",0.19,IF($D$12="Brass",0.17,0.2))), IF($D$12="Steel",0.14,IF($D$12="Bronze",0.13,IF($D$12="Brass",0.13,0.14)))), IF($D$12="Steel",0.1,IF($D$12="Bronze",0.05,IF($D$12="Brass",0.05,0.08))))</f>
        <v>0.13</v>
      </c>
    </row>
    <row r="15" spans="2:10" ht="14.45" x14ac:dyDescent="0.3">
      <c r="G15" s="63" t="s">
        <v>63</v>
      </c>
      <c r="H15" s="20">
        <v>5000</v>
      </c>
      <c r="I15" s="102">
        <f>I16*60/$D$7/$D$8*IF($B$4, 1000, 12)</f>
        <v>7199.9999999999973</v>
      </c>
    </row>
    <row r="16" spans="2:10" ht="14.45" x14ac:dyDescent="0.3">
      <c r="C16" s="99" t="s">
        <v>61</v>
      </c>
      <c r="D16" s="103" t="b">
        <f>((PI()*$D$14*($D$6-$D$7/2)-$D$7*$D$8*COS(0.5*RADIANS($D$9)))/(PI()*($D$6-$D$7/2)*COS(0.5*RADIANS($D$9))+$D$14*$D$7*$D$8))&lt;0</f>
        <v>0</v>
      </c>
      <c r="G16" s="65" t="str">
        <f>"Linear Speed (" &amp; IF($B$4, "m", "ft") &amp; "/s)"</f>
        <v>Linear Speed (ft/s)</v>
      </c>
      <c r="H16" s="104">
        <f>H15/60*$D$7*$D$8/IF($B$4, 1000, 12)</f>
        <v>0.69444444444444453</v>
      </c>
      <c r="I16" s="21">
        <v>0.99999999999999978</v>
      </c>
    </row>
    <row r="19" spans="3:10" ht="43.5" customHeight="1" x14ac:dyDescent="0.3">
      <c r="C19" s="204" t="s">
        <v>65</v>
      </c>
      <c r="D19" s="205"/>
      <c r="E19" s="205"/>
      <c r="F19" s="205"/>
      <c r="G19" s="205"/>
      <c r="H19" s="205"/>
      <c r="I19" s="205"/>
      <c r="J19" s="206"/>
    </row>
    <row r="20" spans="3:10" ht="14.45" x14ac:dyDescent="0.3">
      <c r="C20" s="207" t="s">
        <v>66</v>
      </c>
      <c r="D20" s="208"/>
      <c r="E20" s="208"/>
      <c r="F20" s="208"/>
      <c r="G20" s="208"/>
      <c r="H20" s="208"/>
      <c r="I20" s="208"/>
      <c r="J20" s="209"/>
    </row>
    <row r="22" spans="3:10" ht="43.5" customHeight="1" x14ac:dyDescent="0.3">
      <c r="C22" s="204" t="s">
        <v>67</v>
      </c>
      <c r="D22" s="205"/>
      <c r="E22" s="205"/>
      <c r="F22" s="205"/>
      <c r="G22" s="205"/>
      <c r="H22" s="205"/>
      <c r="I22" s="205"/>
      <c r="J22" s="206"/>
    </row>
    <row r="23" spans="3:10" ht="29.25" customHeight="1" x14ac:dyDescent="0.3">
      <c r="C23" s="207" t="s">
        <v>68</v>
      </c>
      <c r="D23" s="208"/>
      <c r="E23" s="208"/>
      <c r="F23" s="208"/>
      <c r="G23" s="208"/>
      <c r="H23" s="208"/>
      <c r="I23" s="208"/>
      <c r="J23" s="209"/>
    </row>
  </sheetData>
  <sheetProtection sheet="1" objects="1" scenarios="1" formatCells="0" formatColumns="0" formatRows="0"/>
  <mergeCells count="4">
    <mergeCell ref="C19:J19"/>
    <mergeCell ref="C20:J20"/>
    <mergeCell ref="C22:J22"/>
    <mergeCell ref="C23:J23"/>
  </mergeCells>
  <conditionalFormatting sqref="J9:J10 J12:J13">
    <cfRule type="expression" dxfId="74" priority="6">
      <formula>$J$9&lt;0</formula>
    </cfRule>
  </conditionalFormatting>
  <conditionalFormatting sqref="I9 I11:I13">
    <cfRule type="expression" dxfId="73" priority="5">
      <formula>$I$9&lt;0</formula>
    </cfRule>
  </conditionalFormatting>
  <conditionalFormatting sqref="H9 I10 I16 H15 D6:D9">
    <cfRule type="cellIs" dxfId="72" priority="4" operator="lessThan">
      <formula>0</formula>
    </cfRule>
  </conditionalFormatting>
  <conditionalFormatting sqref="J11 I10 H9 I16 H15 D6:D9 D11:D13">
    <cfRule type="containsBlanks" dxfId="71" priority="3">
      <formula>LEN(TRIM(D6))=0</formula>
    </cfRule>
  </conditionalFormatting>
  <conditionalFormatting sqref="D9">
    <cfRule type="cellIs" dxfId="70" priority="2" operator="greaterThan">
      <formula>90</formula>
    </cfRule>
  </conditionalFormatting>
  <conditionalFormatting sqref="D6:D9 H9 I10 J11 H15 I16">
    <cfRule type="expression" dxfId="69" priority="1">
      <formula>ISTEXT(D6)</formula>
    </cfRule>
  </conditionalFormatting>
  <dataValidations count="4">
    <dataValidation type="list" allowBlank="1" showInputMessage="1" prompt="You can choose a common thread angle or enter a custom angle" sqref="D9">
      <formula1>"29,30,90"</formula1>
    </dataValidation>
    <dataValidation type="list" allowBlank="1" showInputMessage="1" showErrorMessage="1" sqref="D11">
      <formula1>"Steel,Bronze"</formula1>
    </dataValidation>
    <dataValidation type="list" allowBlank="1" showInputMessage="1" showErrorMessage="1" sqref="D12">
      <formula1>"Steel,Bronze,Brass,Cast Iron"</formula1>
    </dataValidation>
    <dataValidation type="list" allowBlank="1" showInputMessage="1" showErrorMessage="1" sqref="D13">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Metric">
              <controlPr locked="0" defaultSize="0" autoFill="0" autoLine="0" autoPict="0" macro="[0]!LeadScrew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N27"/>
  <sheetViews>
    <sheetView zoomScaleNormal="100" workbookViewId="0"/>
  </sheetViews>
  <sheetFormatPr defaultColWidth="9.140625" defaultRowHeight="15" x14ac:dyDescent="0.25"/>
  <cols>
    <col min="1" max="1" width="7.140625" style="1" customWidth="1"/>
    <col min="2" max="2" width="3.28515625" style="1" customWidth="1"/>
    <col min="3" max="3" width="21.5703125" style="1" customWidth="1"/>
    <col min="4" max="4" width="9.140625" style="1" customWidth="1"/>
    <col min="5" max="5" width="9.140625" style="1"/>
    <col min="6" max="6" width="14.28515625" style="1" customWidth="1"/>
    <col min="7" max="8" width="11.42578125" style="1" customWidth="1"/>
    <col min="9" max="9" width="9.140625" style="1" customWidth="1"/>
    <col min="10" max="10" width="13.28515625" style="1" customWidth="1"/>
    <col min="11" max="11" width="8.140625" style="1" customWidth="1"/>
    <col min="12" max="12" width="9.140625" style="1" customWidth="1"/>
    <col min="13" max="13" width="25.5703125" style="1" customWidth="1"/>
    <col min="14" max="16384" width="9.140625" style="1"/>
  </cols>
  <sheetData>
    <row r="2" spans="2:14" ht="31.15" x14ac:dyDescent="0.3">
      <c r="C2" s="2" t="s">
        <v>69</v>
      </c>
    </row>
    <row r="4" spans="2:14" ht="14.45" x14ac:dyDescent="0.3">
      <c r="B4" s="8" t="b">
        <v>0</v>
      </c>
      <c r="C4" s="1" t="s">
        <v>0</v>
      </c>
    </row>
    <row r="5" spans="2:14" ht="18" x14ac:dyDescent="0.3">
      <c r="G5" s="55" t="s">
        <v>95</v>
      </c>
      <c r="H5" s="55"/>
      <c r="M5" s="55" t="s">
        <v>98</v>
      </c>
    </row>
    <row r="6" spans="2:14" ht="14.45" x14ac:dyDescent="0.3">
      <c r="C6" s="202" t="s">
        <v>6</v>
      </c>
      <c r="D6" s="214"/>
      <c r="E6" s="22" t="s">
        <v>30</v>
      </c>
      <c r="G6" s="88" t="s">
        <v>75</v>
      </c>
      <c r="H6" s="89" t="s">
        <v>76</v>
      </c>
      <c r="I6" s="89" t="s">
        <v>77</v>
      </c>
      <c r="J6" s="23" t="str">
        <f>"C-C dist. (" &amp; IF($B$4, "mm", "in") &amp; ")"</f>
        <v>C-C dist. (in)</v>
      </c>
      <c r="M6" s="41" t="s">
        <v>352</v>
      </c>
      <c r="N6" s="11">
        <v>7</v>
      </c>
    </row>
    <row r="7" spans="2:14" ht="14.45" x14ac:dyDescent="0.3">
      <c r="C7" s="24" t="s">
        <v>1</v>
      </c>
      <c r="D7" s="25">
        <f>VLOOKUP($C$6, MotorSpecs, 2, FALSE)</f>
        <v>5330</v>
      </c>
      <c r="E7" s="26">
        <f>D7*(D14/12)</f>
        <v>5330</v>
      </c>
      <c r="G7" s="27">
        <v>12</v>
      </c>
      <c r="H7" s="28">
        <v>54</v>
      </c>
      <c r="I7" s="28">
        <v>20</v>
      </c>
      <c r="J7" s="29">
        <f>IF(COUNTBLANK(G7:I7)&gt;0, "", ((G7+H7)/(2*I7)+0.003)*IF($B$4, 25.4, 1))</f>
        <v>1.6529999999999998</v>
      </c>
      <c r="M7" s="41" t="s">
        <v>353</v>
      </c>
      <c r="N7" s="11">
        <v>12.7</v>
      </c>
    </row>
    <row r="8" spans="2:14" x14ac:dyDescent="0.25">
      <c r="C8" s="30" t="s">
        <v>2</v>
      </c>
      <c r="D8" s="31">
        <f>VLOOKUP($C$6, MotorSpecs, 3, FALSE)</f>
        <v>2.41</v>
      </c>
      <c r="E8" s="32">
        <f>D8*D13*(D14/12)*D15</f>
        <v>7.7120000000000006</v>
      </c>
      <c r="G8" s="27">
        <v>18</v>
      </c>
      <c r="H8" s="28">
        <v>50</v>
      </c>
      <c r="I8" s="28">
        <v>20</v>
      </c>
      <c r="J8" s="29">
        <f t="shared" ref="J8:J10" si="0">IF(COUNTBLANK(G8:I8)&gt;0, "", ((G8+H8)/(2*I8)+0.003)*IF($B$4, 25.4, 1))</f>
        <v>1.7029999999999998</v>
      </c>
      <c r="M8" s="41" t="s">
        <v>355</v>
      </c>
      <c r="N8" s="11">
        <v>20</v>
      </c>
    </row>
    <row r="9" spans="2:14" x14ac:dyDescent="0.25">
      <c r="C9" s="30" t="s">
        <v>3</v>
      </c>
      <c r="D9" s="33">
        <f>VLOOKUP($C$6, MotorSpecs, 4, FALSE)</f>
        <v>2.7</v>
      </c>
      <c r="E9" s="34">
        <f>D9*D13*(D14/12)</f>
        <v>10.8</v>
      </c>
      <c r="G9" s="27"/>
      <c r="H9" s="28"/>
      <c r="I9" s="28"/>
      <c r="J9" s="29" t="str">
        <f t="shared" si="0"/>
        <v/>
      </c>
      <c r="M9" s="41" t="s">
        <v>354</v>
      </c>
      <c r="N9" s="11">
        <v>1</v>
      </c>
    </row>
    <row r="10" spans="2:14" ht="14.45" x14ac:dyDescent="0.3">
      <c r="C10" s="30" t="s">
        <v>4</v>
      </c>
      <c r="D10" s="35">
        <f>VLOOKUP($C$6, MotorSpecs, 5, FALSE)</f>
        <v>131</v>
      </c>
      <c r="E10" s="36">
        <f>D10*D13*(D14/12)</f>
        <v>524</v>
      </c>
      <c r="G10" s="27"/>
      <c r="H10" s="28"/>
      <c r="I10" s="28"/>
      <c r="J10" s="29" t="str">
        <f t="shared" si="0"/>
        <v/>
      </c>
    </row>
    <row r="11" spans="2:14" ht="14.45" x14ac:dyDescent="0.3">
      <c r="C11" s="37" t="s">
        <v>5</v>
      </c>
      <c r="D11" s="38">
        <f>VLOOKUP($C$6, MotorSpecs, 6, FALSE)</f>
        <v>336.28916760964142</v>
      </c>
      <c r="E11" s="39">
        <f>(E7/60*2*PI())*E8/4</f>
        <v>1076.1253363508526</v>
      </c>
      <c r="M11" s="159" t="s">
        <v>356</v>
      </c>
      <c r="N11" s="43">
        <f>(N7-N6)/((N8+N9/D13)/1000)</f>
        <v>281.48148148148141</v>
      </c>
    </row>
    <row r="12" spans="2:14" ht="14.45" x14ac:dyDescent="0.3">
      <c r="G12" s="212" t="s">
        <v>78</v>
      </c>
      <c r="H12" s="213"/>
      <c r="I12" s="40">
        <f>IF(COUNTBLANK($H$7:$H$10)&lt;4, PRODUCT($H$7:$H$10), 1)/IF(COUNTBLANK($G$7:$G$10)&lt;4, PRODUCT($G$7:$G$10), 1)</f>
        <v>12.5</v>
      </c>
      <c r="M12" s="159" t="s">
        <v>357</v>
      </c>
      <c r="N12" s="40">
        <f>(E10-E9)/E8*(D19/IF($B$4,1,2.205))*9.8*D17*D21*(D20/2*IF($B$4,0.001,0.0254))/(N11-E9)</f>
        <v>9.4027671677063012</v>
      </c>
    </row>
    <row r="13" spans="2:14" ht="14.45" x14ac:dyDescent="0.3">
      <c r="C13" s="41" t="s">
        <v>80</v>
      </c>
      <c r="D13" s="11">
        <v>4</v>
      </c>
      <c r="G13" s="212" t="str">
        <f>"Adjusted Speed (" &amp; IF($B$4, "m", "ft") &amp; "/s)"</f>
        <v>Adjusted Speed (ft/s)</v>
      </c>
      <c r="H13" s="213"/>
      <c r="I13" s="42">
        <f>I14*$D$16</f>
        <v>6.6234546981483993</v>
      </c>
      <c r="M13" s="159" t="str">
        <f>"Free Speed (" &amp; IF($B$4, "m", "ft") &amp; "/s)"</f>
        <v>Free Speed (ft/s)</v>
      </c>
      <c r="N13" s="42">
        <f>($E$7/60)/N12*((D20/IF($B$4,25.4,1))*PI()/12)/IF($B$4, 3.281, 1)</f>
        <v>9.8934757685795578</v>
      </c>
    </row>
    <row r="14" spans="2:14" ht="14.45" x14ac:dyDescent="0.3">
      <c r="C14" s="41" t="s">
        <v>32</v>
      </c>
      <c r="D14" s="11">
        <v>12</v>
      </c>
      <c r="G14" s="212" t="str">
        <f>"Free Speed (" &amp; IF($B$4, "m", "ft") &amp; "/s)"</f>
        <v>Free Speed (ft/s)</v>
      </c>
      <c r="H14" s="213"/>
      <c r="I14" s="42">
        <f>($E$7/60)/I12*((D20/IF($B$4,25.4,1))*PI()/12)/IF($B$4, 3.281, 1)</f>
        <v>7.4420839305038191</v>
      </c>
      <c r="M14" s="159" t="str">
        <f>"Adjusted Speed (" &amp; IF($B$4, "m", "ft") &amp; "/s)"</f>
        <v>Adjusted Speed (ft/s)</v>
      </c>
      <c r="N14" s="42">
        <f>N13*D16</f>
        <v>8.8051934340358073</v>
      </c>
    </row>
    <row r="15" spans="2:14" ht="14.45" x14ac:dyDescent="0.3">
      <c r="C15" s="41" t="s">
        <v>70</v>
      </c>
      <c r="D15" s="14">
        <v>0.8</v>
      </c>
      <c r="G15" s="212" t="s">
        <v>79</v>
      </c>
      <c r="H15" s="213"/>
      <c r="I15" s="43">
        <f>(($E$10-$E$9)/$E$8)*($D$19*IF($B$4,2.205,1))*$D$17*D21/$D$13*((D20/IF($B$4,25.4,1))/2)/I12*4.448*0.0254 + $E$9/$D$13</f>
        <v>53.643821418755174</v>
      </c>
    </row>
    <row r="16" spans="2:14" ht="14.45" x14ac:dyDescent="0.3">
      <c r="C16" s="41" t="s">
        <v>71</v>
      </c>
      <c r="D16" s="14">
        <v>0.89</v>
      </c>
    </row>
    <row r="17" spans="3:12" ht="14.45" x14ac:dyDescent="0.3">
      <c r="C17" s="41" t="s">
        <v>72</v>
      </c>
      <c r="D17" s="14">
        <v>1</v>
      </c>
      <c r="E17" s="3"/>
      <c r="G17" s="44" t="s">
        <v>75</v>
      </c>
      <c r="H17" s="45" t="s">
        <v>76</v>
      </c>
      <c r="J17" s="215" t="s">
        <v>78</v>
      </c>
      <c r="K17" s="216"/>
      <c r="L17" s="40">
        <f>IF(COUNTBLANK($H$7:$H$10)&lt;4, PRODUCT($H$7:$H$10), 1)*IF(ISBLANK(H18), 1, H18) / (IF(COUNTBLANK($G$7:$G$10)&lt;4, PRODUCT($G$7:$G$10), 1)*IF(ISBLANK(G18), 1, G18))</f>
        <v>15.625</v>
      </c>
    </row>
    <row r="18" spans="3:12" ht="14.45" x14ac:dyDescent="0.3">
      <c r="D18" s="5"/>
      <c r="E18" s="3"/>
      <c r="G18" s="46">
        <v>12</v>
      </c>
      <c r="H18" s="47">
        <v>15</v>
      </c>
      <c r="J18" s="215" t="str">
        <f>"Adjusted Speed (" &amp; IF($B$4, "m", "ft") &amp; "/s)"</f>
        <v>Adjusted Speed (ft/s)</v>
      </c>
      <c r="K18" s="216"/>
      <c r="L18" s="42">
        <f>L19*$D$16</f>
        <v>5.2987637585187191</v>
      </c>
    </row>
    <row r="19" spans="3:12" ht="14.45" x14ac:dyDescent="0.3">
      <c r="C19" s="41" t="str">
        <f>"Robot Weight  (" &amp; IF($B$4, "kg", "lbs") &amp; ")"</f>
        <v>Robot Weight  (lbs)</v>
      </c>
      <c r="D19" s="48">
        <v>154</v>
      </c>
      <c r="G19" s="49" t="s">
        <v>77</v>
      </c>
      <c r="H19" s="50"/>
      <c r="J19" s="215" t="str">
        <f>"Free Speed (" &amp; IF($B$4, "m", "ft") &amp; "/s)"</f>
        <v>Free Speed (ft/s)</v>
      </c>
      <c r="K19" s="216"/>
      <c r="L19" s="42">
        <f>($E$7/60)/L17*((D20/IF($B$4,25.4,1))*PI()/12)/IF($B$4, 3.281, 1)</f>
        <v>5.9536671444030551</v>
      </c>
    </row>
    <row r="20" spans="3:12" ht="14.45" x14ac:dyDescent="0.3">
      <c r="C20" s="41" t="str">
        <f>"Wheel Diam. (" &amp; IF($B$4, "mm", "in") &amp; ")"</f>
        <v>Wheel Diam. (in)</v>
      </c>
      <c r="D20" s="51">
        <v>3.9999999999999987</v>
      </c>
      <c r="G20" s="52" t="str">
        <f>"C-C (" &amp; IF($B$4, "mm", "in") &amp; ")"</f>
        <v>C-C (in)</v>
      </c>
      <c r="H20" s="53" t="str">
        <f>IF(COUNTBLANK(G18:H19)&gt;0, "", ((G18+H18)/(2*H19)+0.003)*IF($B$4, 25.4, 1))</f>
        <v/>
      </c>
      <c r="J20" s="215" t="s">
        <v>79</v>
      </c>
      <c r="K20" s="216"/>
      <c r="L20" s="43">
        <f>(($E$10-$E$9)/$E$8)*($D$19*IF($B$4,2.205,1))*$D$17*D21/$D$13*((D20/IF($B$4,25.4,1))/2)/L17*4.448*0.0254 + $E$9/$D$13</f>
        <v>43.455057135004139</v>
      </c>
    </row>
    <row r="21" spans="3:12" ht="14.45" x14ac:dyDescent="0.3">
      <c r="C21" s="41" t="s">
        <v>73</v>
      </c>
      <c r="D21" s="51">
        <v>1.1000000000000001</v>
      </c>
    </row>
    <row r="22" spans="3:12" ht="14.45" x14ac:dyDescent="0.3">
      <c r="G22" s="44" t="s">
        <v>75</v>
      </c>
      <c r="H22" s="45" t="s">
        <v>76</v>
      </c>
      <c r="J22" s="210" t="s">
        <v>78</v>
      </c>
      <c r="K22" s="211"/>
      <c r="L22" s="40">
        <f>IF(COUNTBLANK($H$7:$H$10)&lt;4, PRODUCT($H$7:$H$10), 1)*IF(ISBLANK(H23), 1, H23) / (IF(COUNTBLANK($G$7:$G$10)&lt;4, PRODUCT($G$7:$G$10), 1)*IF(ISBLANK(G23), 1, G23))</f>
        <v>25</v>
      </c>
    </row>
    <row r="23" spans="3:12" ht="14.45" x14ac:dyDescent="0.3">
      <c r="C23" s="54" t="s">
        <v>74</v>
      </c>
      <c r="D23" s="8" t="b">
        <v>0</v>
      </c>
      <c r="G23" s="46"/>
      <c r="H23" s="47">
        <v>2</v>
      </c>
      <c r="J23" s="210" t="str">
        <f>"Adjusted Speed (" &amp; IF($B$4, "m", "ft") &amp; "/s)"</f>
        <v>Adjusted Speed (ft/s)</v>
      </c>
      <c r="K23" s="211"/>
      <c r="L23" s="42">
        <f>L24*$D$16</f>
        <v>3.3117273490741996</v>
      </c>
    </row>
    <row r="24" spans="3:12" ht="14.45" x14ac:dyDescent="0.3">
      <c r="C24" s="54" t="s">
        <v>214</v>
      </c>
      <c r="D24" s="8" t="b">
        <v>0</v>
      </c>
      <c r="G24" s="49" t="s">
        <v>77</v>
      </c>
      <c r="H24" s="50"/>
      <c r="J24" s="210" t="str">
        <f>"Free Speed (" &amp; IF($B$4, "m", "ft") &amp; "/s)"</f>
        <v>Free Speed (ft/s)</v>
      </c>
      <c r="K24" s="211"/>
      <c r="L24" s="42">
        <f>($E$7/60)/L22*((IF(D24,D26,D20)/IF($B$4,25.4,1))*PI()/12)/IF($B$4, 3.281, 1)</f>
        <v>3.7210419652519096</v>
      </c>
    </row>
    <row r="25" spans="3:12" ht="14.45" x14ac:dyDescent="0.3">
      <c r="G25" s="52" t="str">
        <f>"C-C (" &amp; IF($B$4, "mm", "in") &amp; ")"</f>
        <v>C-C (in)</v>
      </c>
      <c r="H25" s="53" t="str">
        <f>IF(COUNTBLANK(G23:H24)&gt;0, "", ((G23+H23)/(2*H24)+0.003)*IF($B$4, 25.4, 1))</f>
        <v/>
      </c>
      <c r="J25" s="210" t="s">
        <v>79</v>
      </c>
      <c r="K25" s="211"/>
      <c r="L25" s="43">
        <f>(($E$10-$E$9)/$E$8)*($D$19*IF($B$4,2.205,1))*$D$17*IF(D24,D27,D21)/$D$13*((IF(D24,D26,D20)/IF($B$4,25.4,1))/2)/L22*4.448*0.0254 + $E$9/$D$13</f>
        <v>28.171910709377585</v>
      </c>
    </row>
    <row r="26" spans="3:12" ht="14.45" x14ac:dyDescent="0.3">
      <c r="C26" s="87" t="str">
        <f>"2nd Wheel Diam. (" &amp; IF($B$4, "mm", "in") &amp; ")"</f>
        <v>2nd Wheel Diam. (in)</v>
      </c>
      <c r="D26" s="51">
        <v>5.9999999999999991</v>
      </c>
    </row>
    <row r="27" spans="3:12" ht="14.45" x14ac:dyDescent="0.3">
      <c r="C27" s="87" t="s">
        <v>100</v>
      </c>
      <c r="D27" s="11">
        <v>1.2</v>
      </c>
    </row>
  </sheetData>
  <sheetProtection sheet="1" objects="1" scenarios="1" formatCells="0" formatColumns="0" formatRows="0"/>
  <dataConsolidate/>
  <mergeCells count="13">
    <mergeCell ref="C6:D6"/>
    <mergeCell ref="J20:K20"/>
    <mergeCell ref="G13:H13"/>
    <mergeCell ref="G14:H14"/>
    <mergeCell ref="G15:H15"/>
    <mergeCell ref="J18:K18"/>
    <mergeCell ref="J17:K17"/>
    <mergeCell ref="J19:K19"/>
    <mergeCell ref="J25:K25"/>
    <mergeCell ref="J22:K22"/>
    <mergeCell ref="J24:K24"/>
    <mergeCell ref="G12:H12"/>
    <mergeCell ref="J23:K23"/>
  </mergeCells>
  <conditionalFormatting sqref="D14">
    <cfRule type="cellIs" dxfId="68" priority="38" operator="greaterThan">
      <formula>12</formula>
    </cfRule>
  </conditionalFormatting>
  <conditionalFormatting sqref="D13:D17 D19:D21 N8:N9">
    <cfRule type="cellIs" dxfId="67" priority="35" operator="lessThanOrEqual">
      <formula>0</formula>
    </cfRule>
  </conditionalFormatting>
  <conditionalFormatting sqref="D15:D17">
    <cfRule type="cellIs" dxfId="66" priority="28" operator="greaterThan">
      <formula>1</formula>
    </cfRule>
  </conditionalFormatting>
  <conditionalFormatting sqref="D13:D17 D19:D21 N6:N9">
    <cfRule type="containsBlanks" dxfId="65" priority="24">
      <formula>LEN(TRIM(D6))=0</formula>
    </cfRule>
  </conditionalFormatting>
  <conditionalFormatting sqref="G7:I10 G18:H18 H19 D26:D27 G23:H23 H24">
    <cfRule type="cellIs" dxfId="64" priority="22" operator="lessThan">
      <formula>0</formula>
    </cfRule>
  </conditionalFormatting>
  <conditionalFormatting sqref="C26:D27">
    <cfRule type="expression" dxfId="63" priority="39">
      <formula>NOT($D$24)</formula>
    </cfRule>
  </conditionalFormatting>
  <conditionalFormatting sqref="G17:L25">
    <cfRule type="expression" dxfId="62" priority="40">
      <formula>NOT($D$23)</formula>
    </cfRule>
  </conditionalFormatting>
  <conditionalFormatting sqref="G12:I15">
    <cfRule type="expression" dxfId="61" priority="17">
      <formula>$D$23</formula>
    </cfRule>
  </conditionalFormatting>
  <conditionalFormatting sqref="D13:D17 D19:D21 G7:I10 G18:H18 H19 G23:H23 H24 N6:N9">
    <cfRule type="expression" dxfId="60" priority="16">
      <formula>ISTEXT(D6)</formula>
    </cfRule>
  </conditionalFormatting>
  <conditionalFormatting sqref="N11:N14">
    <cfRule type="expression" dxfId="59" priority="2">
      <formula>$N$6&gt;=$N$7</formula>
    </cfRule>
  </conditionalFormatting>
  <conditionalFormatting sqref="N6:N7">
    <cfRule type="expression" dxfId="58" priority="1">
      <formula>$N$6&gt;=$N$7</formula>
    </cfRule>
  </conditionalFormatting>
  <dataValidations count="1">
    <dataValidation type="list" allowBlank="1" showErrorMessage="1" errorTitle="Error" error="Not a valid motor." sqref="C6:D6">
      <formula1>Motors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Metric">
              <controlPr locked="0" defaultSize="0" autoFill="0" autoLine="0" autoPict="0" macro="[0]!Drivetrain_Metric">
                <anchor moveWithCells="1">
                  <from>
                    <xdr:col>1</xdr:col>
                    <xdr:colOff>0</xdr:colOff>
                    <xdr:row>2</xdr:row>
                    <xdr:rowOff>171450</xdr:rowOff>
                  </from>
                  <to>
                    <xdr:col>2</xdr:col>
                    <xdr:colOff>9525</xdr:colOff>
                    <xdr:row>4</xdr:row>
                    <xdr:rowOff>0</xdr:rowOff>
                  </to>
                </anchor>
              </controlPr>
            </control>
          </mc:Choice>
        </mc:AlternateContent>
        <mc:AlternateContent xmlns:mc="http://schemas.openxmlformats.org/markup-compatibility/2006">
          <mc:Choice Requires="x14">
            <control shapeId="5126" r:id="rId5" name="Shifting">
              <controlPr locked="0" defaultSize="0" autoFill="0" autoLine="0" autoPict="0" macro="[0]!Drivetrain_Shifting">
                <anchor moveWithCells="1">
                  <from>
                    <xdr:col>3</xdr:col>
                    <xdr:colOff>0</xdr:colOff>
                    <xdr:row>22</xdr:row>
                    <xdr:rowOff>0</xdr:rowOff>
                  </from>
                  <to>
                    <xdr:col>3</xdr:col>
                    <xdr:colOff>228600</xdr:colOff>
                    <xdr:row>23</xdr:row>
                    <xdr:rowOff>0</xdr:rowOff>
                  </to>
                </anchor>
              </controlPr>
            </control>
          </mc:Choice>
        </mc:AlternateContent>
        <mc:AlternateContent xmlns:mc="http://schemas.openxmlformats.org/markup-compatibility/2006">
          <mc:Choice Requires="x14">
            <control shapeId="5127" r:id="rId6" name="2Wheels">
              <controlPr locked="0" defaultSize="0" autoFill="0" autoLine="0" autoPict="0" macro="[0]!Drivetrain_2Wheels">
                <anchor moveWithCells="1">
                  <from>
                    <xdr:col>3</xdr:col>
                    <xdr:colOff>0</xdr:colOff>
                    <xdr:row>23</xdr:row>
                    <xdr:rowOff>0</xdr:rowOff>
                  </from>
                  <to>
                    <xdr:col>3</xdr:col>
                    <xdr:colOff>228600</xdr:colOff>
                    <xdr:row>24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P23"/>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10.7109375" style="1" customWidth="1"/>
    <col min="5" max="5" width="12.85546875" style="1" customWidth="1"/>
    <col min="6" max="6" width="24.28515625" style="1" customWidth="1"/>
    <col min="7" max="7" width="9.140625" style="1"/>
    <col min="8" max="8" width="9.140625" style="1" customWidth="1"/>
    <col min="9" max="9" width="24.28515625" style="1" customWidth="1"/>
    <col min="10" max="10" width="9.140625" style="1"/>
    <col min="11" max="11" width="9.140625" style="1" customWidth="1"/>
    <col min="12" max="12" width="19.85546875" style="1" customWidth="1"/>
    <col min="13" max="13" width="9.140625" style="1"/>
    <col min="14" max="14" width="9.140625" style="1" customWidth="1"/>
    <col min="15" max="15" width="24.28515625" style="1" customWidth="1"/>
    <col min="16" max="16384" width="9.140625" style="1"/>
  </cols>
  <sheetData>
    <row r="2" spans="2:16" ht="31.15" x14ac:dyDescent="0.3">
      <c r="C2" s="2" t="s">
        <v>81</v>
      </c>
    </row>
    <row r="4" spans="2:16" ht="14.45" x14ac:dyDescent="0.3">
      <c r="B4" s="8" t="b">
        <v>0</v>
      </c>
      <c r="C4" s="1" t="s">
        <v>0</v>
      </c>
    </row>
    <row r="6" spans="2:16" ht="18.75" x14ac:dyDescent="0.25">
      <c r="D6" s="5"/>
      <c r="F6" s="217" t="s">
        <v>86</v>
      </c>
      <c r="G6" s="217"/>
      <c r="I6" s="217" t="s">
        <v>85</v>
      </c>
      <c r="J6" s="217"/>
      <c r="L6" s="217" t="s">
        <v>87</v>
      </c>
      <c r="M6" s="217"/>
      <c r="O6" s="55" t="s">
        <v>88</v>
      </c>
      <c r="P6" s="55"/>
    </row>
    <row r="7" spans="2:16" ht="14.45" x14ac:dyDescent="0.3">
      <c r="D7" s="5"/>
    </row>
    <row r="8" spans="2:16" ht="14.45" x14ac:dyDescent="0.3">
      <c r="C8" s="88" t="s">
        <v>84</v>
      </c>
      <c r="D8" s="11" t="s">
        <v>220</v>
      </c>
      <c r="F8" s="88" t="str">
        <f>"Load Force (" &amp; IF($B$4, "kgf", "lbf") &amp; ")"</f>
        <v>Load Force (lbf)</v>
      </c>
      <c r="G8" s="51">
        <v>160</v>
      </c>
      <c r="I8" s="88" t="str">
        <f>"Load Force (" &amp; IF($B$4, "kgf", "lbf") &amp; ")"</f>
        <v>Load Force (lbf)</v>
      </c>
      <c r="J8" s="51">
        <v>160</v>
      </c>
      <c r="L8" s="88" t="str">
        <f>"Length (" &amp; IF($B$4, "mm", "in") &amp; ")"</f>
        <v>Length (in)</v>
      </c>
      <c r="M8" s="51">
        <v>20</v>
      </c>
      <c r="O8" s="88" t="str">
        <f>"Torque (" &amp; IF($B$4, "Nmm", "in-lbs") &amp; ")"</f>
        <v>Torque (in-lbs)</v>
      </c>
      <c r="P8" s="51">
        <v>1500</v>
      </c>
    </row>
    <row r="9" spans="2:16" ht="14.45" x14ac:dyDescent="0.3">
      <c r="D9" s="56"/>
      <c r="F9" s="88" t="str">
        <f>"Distance To Support (" &amp; IF($B$4, "mm", "in") &amp; ")"</f>
        <v>Distance To Support (in)</v>
      </c>
      <c r="G9" s="51">
        <v>8</v>
      </c>
      <c r="H9" s="57"/>
      <c r="I9" s="88" t="str">
        <f>"Distance To Support (" &amp; IF($B$4, "mm", "in") &amp; ")"</f>
        <v>Distance To Support (in)</v>
      </c>
      <c r="J9" s="51">
        <v>3</v>
      </c>
      <c r="K9" s="57"/>
      <c r="L9" s="88" t="s">
        <v>219</v>
      </c>
      <c r="M9" s="16">
        <v>0.8</v>
      </c>
      <c r="N9" s="57"/>
      <c r="O9" s="88" t="str">
        <f>"Distance To Support (" &amp; IF($B$4, "mm", "in") &amp; ")"</f>
        <v>Distance To Support (in)</v>
      </c>
      <c r="P9" s="51">
        <v>3</v>
      </c>
    </row>
    <row r="10" spans="2:16" ht="14.45" x14ac:dyDescent="0.3">
      <c r="C10" s="88" t="s">
        <v>82</v>
      </c>
      <c r="D10" s="11" t="s">
        <v>83</v>
      </c>
      <c r="F10" s="88" t="str">
        <f>"Dist. Btwn. Supports (" &amp; IF($B$4, "mm", "in") &amp; ")"</f>
        <v>Dist. Btwn. Supports (in)</v>
      </c>
      <c r="G10" s="51">
        <v>20</v>
      </c>
      <c r="I10" s="88" t="str">
        <f>"Length (" &amp; IF($B$4, "mm", "in") &amp; ")"</f>
        <v>Length (in)</v>
      </c>
      <c r="J10" s="51">
        <v>10</v>
      </c>
    </row>
    <row r="11" spans="2:16" ht="14.45" x14ac:dyDescent="0.3">
      <c r="C11" s="88" t="str">
        <f>CHOOSE(MATCH($D$10,{"Hex","Round","Round Tube","Square","Rect. Tube"},0), "Size","Diameter","Outside Diam.","Size","║ Size") &amp; " (" &amp; IF($B$4,"mm","in") &amp; ")"</f>
        <v>Size (in)</v>
      </c>
      <c r="D11" s="15">
        <v>0.49999999999999983</v>
      </c>
    </row>
    <row r="12" spans="2:16" ht="14.45" x14ac:dyDescent="0.3">
      <c r="C12" s="88" t="str">
        <f>CHOOSE(MATCH($D$10,{"Hex","Round","Round Tube","Square","Rect. Tube"},0), "","","Wall Thick. ("&amp;IF($B$4,"in","mm")&amp;")","","┴ Size ("&amp;IF($B$4,"mm","in")&amp;")")</f>
        <v/>
      </c>
      <c r="D12" s="15">
        <v>0.11811023622047244</v>
      </c>
    </row>
    <row r="13" spans="2:16" x14ac:dyDescent="0.25">
      <c r="C13" s="88" t="str">
        <f>CHOOSE(MATCH($D$10,{"Hex","Round","Round Tube","Square","Rect. Tube"},0), "","","","","Wall Thick. ("&amp;IF($B$4,"mm","in")&amp;")")</f>
        <v/>
      </c>
      <c r="D13" s="15">
        <v>0</v>
      </c>
      <c r="F13" s="88" t="str">
        <f>"Displacement (" &amp; IF($B$4, "mm", "in") &amp; ")"</f>
        <v>Displacement (in)</v>
      </c>
      <c r="G13" s="7">
        <f>4*G8*IF($B$4, 9.8, 1)*(MAX(G9,G10-G9))^3*(MIN(G9,G10-G9))^2 / (3*D20*D22*(3*MAX(G9,G10-G9)+MIN(G9,G10-G9))^2)</f>
        <v>0.31197632003203801</v>
      </c>
      <c r="I13" s="88" t="str">
        <f>"Displacement (" &amp; IF($B$4, "mm", "in") &amp; ")"</f>
        <v>Displacement (in)</v>
      </c>
      <c r="J13" s="42">
        <f>(J8*IF($B$4, 9.8, 1))*J9^2/(6*D22*D20)*(3*J10-J9)</f>
        <v>0.16588975220453583</v>
      </c>
      <c r="L13" s="88" t="str">
        <f>"Max. Force (" &amp; IF($B$4, "kgf", "lbf") &amp; ")"</f>
        <v>Max. Force (lbf)</v>
      </c>
      <c r="M13" s="6">
        <f>PI()^2*D22*D20/(M8*M9)^2 / IF($B$4, 9.8, 1)</f>
        <v>1505.9662099835457</v>
      </c>
      <c r="O13" s="88" t="s">
        <v>89</v>
      </c>
      <c r="P13" s="42">
        <f>DEGREES(P8*P9/(D23*D21))</f>
        <v>9.162526370559771</v>
      </c>
    </row>
    <row r="14" spans="2:16" ht="14.45" x14ac:dyDescent="0.3">
      <c r="G14" s="56"/>
    </row>
    <row r="15" spans="2:16" ht="15" customHeight="1" x14ac:dyDescent="0.25">
      <c r="C15" s="218" t="s">
        <v>213</v>
      </c>
      <c r="D15" s="219"/>
    </row>
    <row r="16" spans="2:16" ht="15" customHeight="1" x14ac:dyDescent="0.25">
      <c r="C16" s="220"/>
      <c r="D16" s="221"/>
    </row>
    <row r="17" spans="3:4" ht="15" customHeight="1" x14ac:dyDescent="0.25">
      <c r="C17" s="220"/>
      <c r="D17" s="221"/>
    </row>
    <row r="18" spans="3:4" x14ac:dyDescent="0.25">
      <c r="C18" s="222"/>
      <c r="D18" s="223"/>
    </row>
    <row r="20" spans="3:4" ht="14.45" x14ac:dyDescent="0.3">
      <c r="C20" s="58" t="s">
        <v>90</v>
      </c>
      <c r="D20" s="59">
        <f>CHOOSE(MATCH($D$10,{"Hex","Round","Round Tube","Square","Rect. Tube"},0), 0.0601*$D$11^4, PI()/64*$D$11^4, PI()/8*$D$11^3*$D$12, $D$11^4/12, $D$11^2*$D$12*$D$13/3)</f>
        <v>3.7562499999999948E-3</v>
      </c>
    </row>
    <row r="21" spans="3:4" ht="14.45" x14ac:dyDescent="0.3">
      <c r="C21" s="58" t="s">
        <v>91</v>
      </c>
      <c r="D21" s="59">
        <f>CHOOSE(MATCH($D$10,{"Hex","Round","Round Tube","Square","Rect. Tube"},0), 0.1154*$D$11^4, PI()/32*$D$11^4, PI()/4*$D$11^3*$D$12, 9/64*$D$11^4, (2*$D$13^2*($D$12-$D$13)^2*($D$11-$D$13)^2)/($D$11*$D$13+$D$12*$D$13-2*$D$13^2))</f>
        <v>7.2124999999999906E-3</v>
      </c>
    </row>
    <row r="22" spans="3:4" ht="14.45" x14ac:dyDescent="0.3">
      <c r="C22" s="58" t="s">
        <v>92</v>
      </c>
      <c r="D22" s="3">
        <f>VLOOKUP($D$8, MaterialSpecs, 2, 0)*IF($B$4, 1, 145.038)</f>
        <v>10399224.600000001</v>
      </c>
    </row>
    <row r="23" spans="3:4" ht="14.45" x14ac:dyDescent="0.3">
      <c r="C23" s="58" t="s">
        <v>93</v>
      </c>
      <c r="D23" s="3">
        <f>VLOOKUP($D$8, MaterialSpecs, 3, 0)*IF($B$4, 1, 145.038)</f>
        <v>3901522.2</v>
      </c>
    </row>
  </sheetData>
  <sheetProtection sheet="1" objects="1" scenarios="1" formatCells="0" formatColumns="0" formatRows="0"/>
  <mergeCells count="4">
    <mergeCell ref="L6:M6"/>
    <mergeCell ref="F6:G6"/>
    <mergeCell ref="I6:J6"/>
    <mergeCell ref="C15:D18"/>
  </mergeCells>
  <conditionalFormatting sqref="C13:D13">
    <cfRule type="expression" dxfId="57" priority="4">
      <formula>NOT($D$10="Rect. Tube")</formula>
    </cfRule>
  </conditionalFormatting>
  <conditionalFormatting sqref="C12:D13">
    <cfRule type="expression" dxfId="56" priority="7">
      <formula>NOT(OR($D$10="Round Tube", $D$10="Rect. Tube"))</formula>
    </cfRule>
  </conditionalFormatting>
  <conditionalFormatting sqref="D11:D13 G8:G10 J8:J10 M8:M9 P8:P9">
    <cfRule type="cellIs" dxfId="55" priority="8" operator="lessThanOrEqual">
      <formula>0</formula>
    </cfRule>
  </conditionalFormatting>
  <conditionalFormatting sqref="G9">
    <cfRule type="cellIs" dxfId="54" priority="3" operator="greaterThanOrEqual">
      <formula>$G$10</formula>
    </cfRule>
  </conditionalFormatting>
  <conditionalFormatting sqref="D11 G8:G10 J8:J10 M8:M9 P8:P9">
    <cfRule type="expression" dxfId="53" priority="2">
      <formula>ISTEXT(D8)</formula>
    </cfRule>
  </conditionalFormatting>
  <conditionalFormatting sqref="D11">
    <cfRule type="containsBlanks" dxfId="52" priority="1">
      <formula>LEN(TRIM(D11))=0</formula>
    </cfRule>
  </conditionalFormatting>
  <dataValidations count="3">
    <dataValidation type="list" allowBlank="1" showInputMessage="1" showErrorMessage="1" sqref="D10">
      <formula1>"Hex,Round,Round Tube,Square,Rect. Tube"</formula1>
    </dataValidation>
    <dataValidation type="list" allowBlank="1" showInputMessage="1" showErrorMessage="1" sqref="D8">
      <formula1>Materials</formula1>
    </dataValidation>
    <dataValidation type="list" allowBlank="1" showInputMessage="1" showErrorMessage="1" prompt="Select a common value from the list or write in a custom value." sqref="M9">
      <formula1>"0.65,0.80,1.20,1.00,2.10,2.00"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Metric">
              <controlPr locked="0" defaultSize="0" autoFill="0" autoLine="0" autoPict="0" macro="[0]!BeamBend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EZ121"/>
  <sheetViews>
    <sheetView zoomScaleNormal="100" workbookViewId="0"/>
  </sheetViews>
  <sheetFormatPr defaultColWidth="9.140625" defaultRowHeight="15" x14ac:dyDescent="0.25"/>
  <cols>
    <col min="1" max="1" width="7.140625" style="160" customWidth="1"/>
    <col min="2" max="2" width="3.28515625" style="160" customWidth="1"/>
    <col min="3" max="3" width="21.140625" style="160" customWidth="1"/>
    <col min="4" max="4" width="10.28515625" style="160" customWidth="1"/>
    <col min="5" max="5" width="9.140625" style="160" customWidth="1"/>
    <col min="6" max="6" width="21.140625" style="160" customWidth="1"/>
    <col min="7" max="7" width="10.28515625" style="160" customWidth="1"/>
    <col min="8" max="8" width="9.140625" style="160"/>
    <col min="9" max="9" width="9.140625" style="160" customWidth="1"/>
    <col min="10" max="10" width="1.5703125" style="160" customWidth="1"/>
    <col min="11" max="19" width="9.140625" style="160"/>
    <col min="20" max="154" width="9.140625" style="162" hidden="1" customWidth="1"/>
    <col min="155" max="16384" width="9.140625" style="160"/>
  </cols>
  <sheetData>
    <row r="2" spans="2:156" ht="31.15" x14ac:dyDescent="0.3">
      <c r="C2" s="161" t="s">
        <v>94</v>
      </c>
    </row>
    <row r="3" spans="2:156" ht="14.45" x14ac:dyDescent="0.3">
      <c r="I3" s="202" t="s">
        <v>98</v>
      </c>
      <c r="J3" s="203"/>
    </row>
    <row r="4" spans="2:156" ht="14.45" x14ac:dyDescent="0.3">
      <c r="B4" s="8" t="b">
        <v>1</v>
      </c>
      <c r="C4" s="160" t="s">
        <v>0</v>
      </c>
      <c r="V4" s="163"/>
      <c r="W4" s="164"/>
      <c r="Y4" s="165"/>
      <c r="Z4" s="164"/>
    </row>
    <row r="5" spans="2:156" ht="14.45" x14ac:dyDescent="0.3">
      <c r="T5" s="162">
        <f>IF($I$3="Forward",D7,G7)</f>
        <v>0.29999999999999993</v>
      </c>
      <c r="V5" s="166">
        <f>MAX(CI8:CI108)*2</f>
        <v>9.5499370050354955</v>
      </c>
      <c r="W5" s="164"/>
      <c r="Y5" s="165"/>
      <c r="Z5" s="164"/>
    </row>
    <row r="6" spans="2:156" ht="18" x14ac:dyDescent="0.3">
      <c r="C6" s="233" t="s">
        <v>95</v>
      </c>
      <c r="D6" s="233"/>
      <c r="F6" s="233" t="s">
        <v>98</v>
      </c>
      <c r="G6" s="233"/>
    </row>
    <row r="7" spans="2:156" ht="14.45" x14ac:dyDescent="0.3">
      <c r="C7" s="167" t="str">
        <f>"Release Height (" &amp; IF($B$4, "m", "ft") &amp; ")"</f>
        <v>Release Height (m)</v>
      </c>
      <c r="D7" s="51">
        <v>0.2</v>
      </c>
      <c r="F7" s="167" t="str">
        <f>"Release Height (" &amp; IF($B$4, "m", "ft") &amp; ")"</f>
        <v>Release Height (m)</v>
      </c>
      <c r="G7" s="51">
        <v>0.29999999999999993</v>
      </c>
      <c r="T7" s="163">
        <f>IF($I$3="Forward", $D$8-$D$9, $G$8-$G$9)</f>
        <v>1.9999999999999998</v>
      </c>
      <c r="U7" s="163">
        <f>$G$10-$G$11</f>
        <v>2.5</v>
      </c>
      <c r="V7" s="163">
        <f>$G$12-$G$13</f>
        <v>-80</v>
      </c>
      <c r="W7" s="163">
        <f>IF($I$3="Forward", $D$10*(1-$D$11), SQRT((IF($B$4, 9.807, 32.174)*T7)/(ABS(TAN(RADIANS(X7))-TAN(RADIANS(V7)))))/COS(RADIANS(X7)))</f>
        <v>9.5489346835634272</v>
      </c>
      <c r="X7" s="164">
        <f>IF($I$3="Forward", $D$12-$D$13, DEGREES(ATAN(2*(U7-$T$5)/T7-TAN(RADIANS(V7)))))</f>
        <v>82.759695716411017</v>
      </c>
      <c r="Y7" s="163">
        <f>IF($I$3="Forward", $D$8, $G$8)</f>
        <v>1.9999999999999998</v>
      </c>
      <c r="Z7" s="163">
        <f>$G$10-$G$11</f>
        <v>2.5</v>
      </c>
      <c r="AA7" s="163">
        <f>$G$12-$G$13</f>
        <v>-80</v>
      </c>
      <c r="AB7" s="163">
        <f>IF($I$3="Forward", $D$10*(1-$D$11), SQRT((IF($B$4, 9.807, 32.174)*Y7)/(ABS(TAN(RADIANS(AC7))-TAN(RADIANS(AA7)))))/COS(RADIANS(AC7)))</f>
        <v>9.5489346835634272</v>
      </c>
      <c r="AC7" s="164">
        <f>IF($I$3="Forward", $D$12-$D$13, DEGREES(ATAN(2*(Z7-$T$5)/Y7-TAN(RADIANS(AA7)))))</f>
        <v>82.759695716411017</v>
      </c>
      <c r="AD7" s="163">
        <f>IF($I$3="Forward", $D$8+$D$9, $G$8+$G$9)</f>
        <v>1.9999999999999998</v>
      </c>
      <c r="AE7" s="163">
        <f>$G$10-$G$11</f>
        <v>2.5</v>
      </c>
      <c r="AF7" s="163">
        <f>$G$12-$G$13</f>
        <v>-80</v>
      </c>
      <c r="AG7" s="163">
        <f>IF($I$3="Forward", $D$10*(1-$D$11), SQRT((IF($B$4, 9.807, 32.174)*AD7)/(ABS(TAN(RADIANS(AH7))-TAN(RADIANS(AF7)))))/COS(RADIANS(AH7)))</f>
        <v>9.5489346835634272</v>
      </c>
      <c r="AH7" s="164">
        <f>IF($I$3="Forward", $D$12-$D$13, DEGREES(ATAN(2*(AE7-$T$5)/AD7-TAN(RADIANS(AF7)))))</f>
        <v>82.759695716411017</v>
      </c>
      <c r="AI7" s="163">
        <f>IF($I$3="Forward", $D$8-$D$9, $G$8-$G$9)</f>
        <v>1.9999999999999998</v>
      </c>
      <c r="AJ7" s="163">
        <f>$G$10</f>
        <v>2.5</v>
      </c>
      <c r="AK7" s="163">
        <f>$G$12-$G$13</f>
        <v>-80</v>
      </c>
      <c r="AL7" s="163">
        <f>IF($I$3="Forward", $D$10, SQRT((IF($B$4, 9.807, 32.174)*AI7)/(ABS(TAN(RADIANS(AM7))-TAN(RADIANS(AK7)))))/COS(RADIANS(AM7)))</f>
        <v>9.5489346835634272</v>
      </c>
      <c r="AM7" s="164">
        <f>IF($I$3="Forward", $D$12-$D$13, DEGREES(ATAN(2*(AJ7-$T$5)/AI7-TAN(RADIANS(AK7)))))</f>
        <v>82.759695716411017</v>
      </c>
      <c r="AN7" s="163">
        <f>IF($I$3="Forward", $D$8, $G$8)</f>
        <v>1.9999999999999998</v>
      </c>
      <c r="AO7" s="163">
        <f>$G$10</f>
        <v>2.5</v>
      </c>
      <c r="AP7" s="163">
        <f>$G$12-$G$13</f>
        <v>-80</v>
      </c>
      <c r="AQ7" s="163">
        <f>IF($I$3="Forward", $D$10, SQRT((IF($B$4, 9.807, 32.174)*AN7)/(ABS(TAN(RADIANS(AR7))-TAN(RADIANS(AP7)))))/COS(RADIANS(AR7)))</f>
        <v>9.5489346835634272</v>
      </c>
      <c r="AR7" s="164">
        <f>IF($I$3="Forward", $D$12-$D$13, DEGREES(ATAN(2*(AO7-$T$5)/AN7-TAN(RADIANS(AP7)))))</f>
        <v>82.759695716411017</v>
      </c>
      <c r="AS7" s="163">
        <f>IF($I$3="Forward", $D$8+$D$9, $G$8+$G$9)</f>
        <v>1.9999999999999998</v>
      </c>
      <c r="AT7" s="163">
        <f>$G$10</f>
        <v>2.5</v>
      </c>
      <c r="AU7" s="163">
        <f>$G$12-$G$13</f>
        <v>-80</v>
      </c>
      <c r="AV7" s="163">
        <f>IF($I$3="Forward", $D$10, SQRT((IF($B$4, 9.807, 32.174)*AS7)/(ABS(TAN(RADIANS(AW7))-TAN(RADIANS(AU7)))))/COS(RADIANS(AW7)))</f>
        <v>9.5489346835634272</v>
      </c>
      <c r="AW7" s="164">
        <f>IF($I$3="Forward", $D$12-$D$13, DEGREES(ATAN(2*(AT7-$T$5)/AS7-TAN(RADIANS(AU7)))))</f>
        <v>82.759695716411017</v>
      </c>
      <c r="AX7" s="163">
        <f>IF($I$3="Forward", $D$8-$D$9, $G$8-$G$9)</f>
        <v>1.9999999999999998</v>
      </c>
      <c r="AY7" s="163">
        <f>$G$10+$G$11</f>
        <v>2.5</v>
      </c>
      <c r="AZ7" s="163">
        <f>$G$12-$G$13</f>
        <v>-80</v>
      </c>
      <c r="BA7" s="163">
        <f>IF($I$3="Forward", $D$10*(1+$D$11), SQRT((IF($B$4, 9.807, 32.174)*AX7)/(ABS(TAN(RADIANS(BB7))-TAN(RADIANS(AZ7)))))/COS(RADIANS(BB7)))</f>
        <v>9.5489346835634272</v>
      </c>
      <c r="BB7" s="164">
        <f>IF($I$3="Forward", $D$12-$D$13, DEGREES(ATAN(2*(AY7-$T$5)/AX7-TAN(RADIANS(AZ7)))))</f>
        <v>82.759695716411017</v>
      </c>
      <c r="BC7" s="163">
        <f>IF($I$3="Forward", $D$8, $G$8)</f>
        <v>1.9999999999999998</v>
      </c>
      <c r="BD7" s="163">
        <f>$G$10+$G$11</f>
        <v>2.5</v>
      </c>
      <c r="BE7" s="163">
        <f>$G$12-$G$13</f>
        <v>-80</v>
      </c>
      <c r="BF7" s="163">
        <f>IF($I$3="Forward", $D$10*(1+$D$11), SQRT((IF($B$4, 9.807, 32.174)*BC7)/(ABS(TAN(RADIANS(BG7))-TAN(RADIANS(BE7)))))/COS(RADIANS(BG7)))</f>
        <v>9.5489346835634272</v>
      </c>
      <c r="BG7" s="164">
        <f>IF($I$3="Forward", $D$12-$D$13, DEGREES(ATAN(2*(BD7-$T$5)/BC7-TAN(RADIANS(BE7)))))</f>
        <v>82.759695716411017</v>
      </c>
      <c r="BH7" s="163">
        <f>IF($I$3="Forward", $D$8+$D$9, $G$8+$G$9)</f>
        <v>1.9999999999999998</v>
      </c>
      <c r="BI7" s="163">
        <f>$G$10+$G$11</f>
        <v>2.5</v>
      </c>
      <c r="BJ7" s="163">
        <f>$G$12-$G$13</f>
        <v>-80</v>
      </c>
      <c r="BK7" s="163">
        <f>IF($I$3="Forward", $D$10*(1+$D$11), SQRT((IF($B$4, 9.807, 32.174)*BH7)/(ABS(TAN(RADIANS(BL7))-TAN(RADIANS(BJ7)))))/COS(RADIANS(BL7)))</f>
        <v>9.5489346835634272</v>
      </c>
      <c r="BL7" s="164">
        <f>IF($I$3="Forward", $D$12-$D$13, DEGREES(ATAN(2*(BI7-$T$5)/BH7-TAN(RADIANS(BJ7)))))</f>
        <v>82.759695716411017</v>
      </c>
      <c r="BM7" s="163">
        <f>IF($I$3="Forward", $D$8-$D$9, $G$8-$G$9)</f>
        <v>1.9999999999999998</v>
      </c>
      <c r="BN7" s="163">
        <f>$G$10-$G$11</f>
        <v>2.5</v>
      </c>
      <c r="BO7" s="163">
        <f>$G$12</f>
        <v>-80</v>
      </c>
      <c r="BP7" s="163">
        <f>IF($I$3="Forward", $D$10*(1-$D$11), SQRT((IF($B$4, 9.807, 32.174)*BM7)/(ABS(TAN(RADIANS(BQ7))-TAN(RADIANS(BO7)))))/COS(RADIANS(BQ7)))</f>
        <v>9.5489346835634272</v>
      </c>
      <c r="BQ7" s="164">
        <f>IF($I$3="Forward", $D$12, DEGREES(ATAN(2*(BN7-$T$5)/BM7-TAN(RADIANS(BO7)))))</f>
        <v>82.759695716411017</v>
      </c>
      <c r="BR7" s="163">
        <f>IF($I$3="Forward", $D$8, $G$8)</f>
        <v>1.9999999999999998</v>
      </c>
      <c r="BS7" s="163">
        <f>$G$10-$G$11</f>
        <v>2.5</v>
      </c>
      <c r="BT7" s="163">
        <f>$G$12</f>
        <v>-80</v>
      </c>
      <c r="BU7" s="163">
        <f>IF($I$3="Forward", $D$10*(1-$D$11), SQRT((IF($B$4, 9.807, 32.174)*BR7)/(ABS(TAN(RADIANS(BV7))-TAN(RADIANS(BT7)))))/COS(RADIANS(BV7)))</f>
        <v>9.5489346835634272</v>
      </c>
      <c r="BV7" s="164">
        <f>IF($I$3="Forward", $D$12, DEGREES(ATAN(2*(BS7-$T$5)/BR7-TAN(RADIANS(BT7)))))</f>
        <v>82.759695716411017</v>
      </c>
      <c r="BW7" s="163">
        <f>IF($I$3="Forward", $D$8+$D$9, $G$8+$G$9)</f>
        <v>1.9999999999999998</v>
      </c>
      <c r="BX7" s="163">
        <f>$G$10-$G$11</f>
        <v>2.5</v>
      </c>
      <c r="BY7" s="163">
        <f>$G$12</f>
        <v>-80</v>
      </c>
      <c r="BZ7" s="163">
        <f>IF($I$3="Forward", $D$10*(1-$D$11), SQRT((IF($B$4, 9.807, 32.174)*BW7)/(ABS(TAN(RADIANS(CA7))-TAN(RADIANS(BY7)))))/COS(RADIANS(CA7)))</f>
        <v>9.5489346835634272</v>
      </c>
      <c r="CA7" s="164">
        <f>IF($I$3="Forward", $D$12, DEGREES(ATAN(2*(BX7-$T$5)/BW7-TAN(RADIANS(BY7)))))</f>
        <v>82.759695716411017</v>
      </c>
      <c r="CB7" s="163">
        <f>IF($I$3="Forward", $D$8-$D$9, $G$8-$G$9)</f>
        <v>1.9999999999999998</v>
      </c>
      <c r="CC7" s="163">
        <f>$G$10</f>
        <v>2.5</v>
      </c>
      <c r="CD7" s="163">
        <f>$G$12</f>
        <v>-80</v>
      </c>
      <c r="CE7" s="163">
        <f>IF($I$3="Forward", $D$10, SQRT((IF($B$4, 9.807, 32.174)*CB7)/(ABS(TAN(RADIANS(CF7))-TAN(RADIANS(CD7)))))/COS(RADIANS(CF7)))</f>
        <v>9.5489346835634272</v>
      </c>
      <c r="CF7" s="164">
        <f>IF($I$3="Forward", $D$12, DEGREES(ATAN(2*(CC7-$T$5)/CB7-TAN(RADIANS(CD7)))))</f>
        <v>82.759695716411017</v>
      </c>
      <c r="CG7" s="166">
        <f>IF($I$3="Forward", $D$8, $G$8)</f>
        <v>1.9999999999999998</v>
      </c>
      <c r="CH7" s="166">
        <f>$G$10</f>
        <v>2.5</v>
      </c>
      <c r="CI7" s="166">
        <f>$G$12</f>
        <v>-80</v>
      </c>
      <c r="CJ7" s="166">
        <f>IF($I$3="Forward", $D$10, SQRT((IF($B$4, 9.807, 32.174)*CG7)/(ABS(TAN(RADIANS(CK7))-TAN(RADIANS(CI7)))))/COS(RADIANS(CK7)))</f>
        <v>9.5489346835634272</v>
      </c>
      <c r="CK7" s="168">
        <f>IF($I$3="Forward", $D$12, DEGREES(ATAN(2*(CH7-$T$5)/CG7-TAN(RADIANS(CI7)))))</f>
        <v>82.759695716411017</v>
      </c>
      <c r="CL7" s="163">
        <f>IF($I$3="Forward", $D$8+$D$9, $G$8+$G$9)</f>
        <v>1.9999999999999998</v>
      </c>
      <c r="CM7" s="163">
        <f>$G$10</f>
        <v>2.5</v>
      </c>
      <c r="CN7" s="163">
        <f>$G$12</f>
        <v>-80</v>
      </c>
      <c r="CO7" s="163">
        <f>IF($I$3="Forward", $D$10, SQRT((IF($B$4, 9.807, 32.174)*CL7)/(ABS(TAN(RADIANS(CP7))-TAN(RADIANS(CN7)))))/COS(RADIANS(CP7)))</f>
        <v>9.5489346835634272</v>
      </c>
      <c r="CP7" s="164">
        <f>IF($I$3="Forward", $D$12, DEGREES(ATAN(2*(CM7-$T$5)/CL7-TAN(RADIANS(CN7)))))</f>
        <v>82.759695716411017</v>
      </c>
      <c r="CQ7" s="163">
        <f>IF($I$3="Forward", $D$8-$D$9, $G$8-$G$9)</f>
        <v>1.9999999999999998</v>
      </c>
      <c r="CR7" s="163">
        <f>$G$10+$G$11</f>
        <v>2.5</v>
      </c>
      <c r="CS7" s="163">
        <f>$G$12</f>
        <v>-80</v>
      </c>
      <c r="CT7" s="163">
        <f>IF($I$3="Forward", $D$10*(1+$D$11), SQRT((IF($B$4, 9.807, 32.174)*CQ7)/(ABS(TAN(RADIANS(CU7))-TAN(RADIANS(CS7)))))/COS(RADIANS(CU7)))</f>
        <v>9.5489346835634272</v>
      </c>
      <c r="CU7" s="164">
        <f>IF($I$3="Forward", $D$12, DEGREES(ATAN(2*(CR7-$T$5)/CQ7-TAN(RADIANS(CS7)))))</f>
        <v>82.759695716411017</v>
      </c>
      <c r="CV7" s="163">
        <f>IF($I$3="Forward", $D$8, $G$8)</f>
        <v>1.9999999999999998</v>
      </c>
      <c r="CW7" s="163">
        <f>$G$10+$G$11</f>
        <v>2.5</v>
      </c>
      <c r="CX7" s="163">
        <f>$G$12</f>
        <v>-80</v>
      </c>
      <c r="CY7" s="163">
        <f>IF($I$3="Forward", $D$10*(1+$D$11), SQRT((IF($B$4, 9.807, 32.174)*CV7)/(ABS(TAN(RADIANS(CZ7))-TAN(RADIANS(CX7)))))/COS(RADIANS(CZ7)))</f>
        <v>9.5489346835634272</v>
      </c>
      <c r="CZ7" s="164">
        <f>IF($I$3="Forward", $D$12, DEGREES(ATAN(2*(CW7-$T$5)/CV7-TAN(RADIANS(CX7)))))</f>
        <v>82.759695716411017</v>
      </c>
      <c r="DA7" s="163">
        <f>IF($I$3="Forward", $D$8+$D$9, $G$8+$G$9)</f>
        <v>1.9999999999999998</v>
      </c>
      <c r="DB7" s="163">
        <f>$G$10+$G$11</f>
        <v>2.5</v>
      </c>
      <c r="DC7" s="163">
        <f>$G$12</f>
        <v>-80</v>
      </c>
      <c r="DD7" s="163">
        <f>IF($I$3="Forward", $D$10*(1+$D$11), SQRT((IF($B$4, 9.807, 32.174)*DA7)/(ABS(TAN(RADIANS(DE7))-TAN(RADIANS(DC7)))))/COS(RADIANS(DE7)))</f>
        <v>9.5489346835634272</v>
      </c>
      <c r="DE7" s="164">
        <f>IF($I$3="Forward", $D$12, DEGREES(ATAN(2*(DB7-$T$5)/DA7-TAN(RADIANS(DC7)))))</f>
        <v>82.759695716411017</v>
      </c>
      <c r="DF7" s="163">
        <f>IF($I$3="Forward", $D$8-$D$9, $G$8-$G$9)</f>
        <v>1.9999999999999998</v>
      </c>
      <c r="DG7" s="163">
        <f>$G$10-$G$11</f>
        <v>2.5</v>
      </c>
      <c r="DH7" s="163">
        <f>$G$12+$G$13</f>
        <v>-80</v>
      </c>
      <c r="DI7" s="163">
        <f>IF($I$3="Forward", $D$10*(1-$D$11), SQRT((IF($B$4, 9.807, 32.174)*DF7)/(ABS(TAN(RADIANS(DJ7))-TAN(RADIANS(DH7)))))/COS(RADIANS(DJ7)))</f>
        <v>9.5489346835634272</v>
      </c>
      <c r="DJ7" s="164">
        <f>IF($I$3="Forward", $D$12+$D$13, DEGREES(ATAN(2*(DG7-$T$5)/DF7-TAN(RADIANS(DH7)))))</f>
        <v>82.759695716411017</v>
      </c>
      <c r="DK7" s="163">
        <f>IF($I$3="Forward", $D$8, $G$8)</f>
        <v>1.9999999999999998</v>
      </c>
      <c r="DL7" s="163">
        <f>$G$10-$G$11</f>
        <v>2.5</v>
      </c>
      <c r="DM7" s="163">
        <f>$G$12+$G$13</f>
        <v>-80</v>
      </c>
      <c r="DN7" s="163">
        <f>IF($I$3="Forward", $D$10*(1-$D$11), SQRT((IF($B$4, 9.807, 32.174)*DK7)/(ABS(TAN(RADIANS(DO7))-TAN(RADIANS(DM7)))))/COS(RADIANS(DO7)))</f>
        <v>9.5489346835634272</v>
      </c>
      <c r="DO7" s="164">
        <f>IF($I$3="Forward", $D$12+$D$13, DEGREES(ATAN(2*(DL7-$T$5)/DK7-TAN(RADIANS(DM7)))))</f>
        <v>82.759695716411017</v>
      </c>
      <c r="DP7" s="163">
        <f>IF($I$3="Forward", $D$8+$D$9, $G$8+$G$9)</f>
        <v>1.9999999999999998</v>
      </c>
      <c r="DQ7" s="163">
        <f>$G$10-$G$11</f>
        <v>2.5</v>
      </c>
      <c r="DR7" s="163">
        <f>$G$12+$G$13</f>
        <v>-80</v>
      </c>
      <c r="DS7" s="163">
        <f>IF($I$3="Forward", $D$10*(1-$D$11), SQRT((IF($B$4, 9.807, 32.174)*DP7)/(ABS(TAN(RADIANS(DT7))-TAN(RADIANS(DR7)))))/COS(RADIANS(DT7)))</f>
        <v>9.5489346835634272</v>
      </c>
      <c r="DT7" s="164">
        <f>IF($I$3="Forward", $D$12+$D$13, DEGREES(ATAN(2*(DQ7-$T$5)/DP7-TAN(RADIANS(DR7)))))</f>
        <v>82.759695716411017</v>
      </c>
      <c r="DU7" s="163">
        <f>IF($I$3="Forward", $D$8-$D$9, $G$8-$G$9)</f>
        <v>1.9999999999999998</v>
      </c>
      <c r="DV7" s="163">
        <f>$G$10</f>
        <v>2.5</v>
      </c>
      <c r="DW7" s="163">
        <f>$G$12+$G$13</f>
        <v>-80</v>
      </c>
      <c r="DX7" s="163">
        <f>IF($I$3="Forward", $D$10, SQRT((IF($B$4, 9.807, 32.174)*DU7)/(ABS(TAN(RADIANS(DY7))-TAN(RADIANS(DW7)))))/COS(RADIANS(DY7)))</f>
        <v>9.5489346835634272</v>
      </c>
      <c r="DY7" s="164">
        <f>IF($I$3="Forward", $D$12+$D$13, DEGREES(ATAN(2*(DV7-$T$5)/DU7-TAN(RADIANS(DW7)))))</f>
        <v>82.759695716411017</v>
      </c>
      <c r="DZ7" s="163">
        <f>IF($I$3="Forward", $D$8, $G$8)</f>
        <v>1.9999999999999998</v>
      </c>
      <c r="EA7" s="163">
        <f>$G$10</f>
        <v>2.5</v>
      </c>
      <c r="EB7" s="163">
        <f>$G$12+$G$13</f>
        <v>-80</v>
      </c>
      <c r="EC7" s="163">
        <f>IF($I$3="Forward", $D$10, SQRT((IF($B$4, 9.807, 32.174)*DZ7)/(ABS(TAN(RADIANS(ED7))-TAN(RADIANS(EB7)))))/COS(RADIANS(ED7)))</f>
        <v>9.5489346835634272</v>
      </c>
      <c r="ED7" s="164">
        <f>IF($I$3="Forward", $D$12+$D$13, DEGREES(ATAN(2*(EA7-$T$5)/DZ7-TAN(RADIANS(EB7)))))</f>
        <v>82.759695716411017</v>
      </c>
      <c r="EE7" s="163">
        <f>IF($I$3="Forward", $D$8+$D$9, $G$8+$G$9)</f>
        <v>1.9999999999999998</v>
      </c>
      <c r="EF7" s="163">
        <f>$G$10</f>
        <v>2.5</v>
      </c>
      <c r="EG7" s="163">
        <f>$G$12+$G$13</f>
        <v>-80</v>
      </c>
      <c r="EH7" s="163">
        <f>IF($I$3="Forward", $D$10, SQRT((IF($B$4, 9.807, 32.174)*EE7)/(ABS(TAN(RADIANS(EI7))-TAN(RADIANS(EG7)))))/COS(RADIANS(EI7)))</f>
        <v>9.5489346835634272</v>
      </c>
      <c r="EI7" s="164">
        <f>IF($I$3="Forward", $D$12+$D$13, DEGREES(ATAN(2*(EF7-$T$5)/EE7-TAN(RADIANS(EG7)))))</f>
        <v>82.759695716411017</v>
      </c>
      <c r="EJ7" s="163">
        <f>IF($I$3="Forward", $D$8-$D$9, $G$8-$G$9)</f>
        <v>1.9999999999999998</v>
      </c>
      <c r="EK7" s="163">
        <f>$G$10+$G$11</f>
        <v>2.5</v>
      </c>
      <c r="EL7" s="163">
        <f>$G$12+$G$13</f>
        <v>-80</v>
      </c>
      <c r="EM7" s="163">
        <f>IF($I$3="Forward", $D$10*(1+$D$11), SQRT((IF($B$4, 9.807, 32.174)*EJ7)/(ABS(TAN(RADIANS(EN7))-TAN(RADIANS(EL7)))))/COS(RADIANS(EN7)))</f>
        <v>9.5489346835634272</v>
      </c>
      <c r="EN7" s="164">
        <f>IF($I$3="Forward", $D$12+$D$13, DEGREES(ATAN(2*(EK7-$T$5)/EJ7-TAN(RADIANS(EL7)))))</f>
        <v>82.759695716411017</v>
      </c>
      <c r="EO7" s="163">
        <f>IF($I$3="Forward", $D$8, $G$8)</f>
        <v>1.9999999999999998</v>
      </c>
      <c r="EP7" s="163">
        <f>$G$10+$G$11</f>
        <v>2.5</v>
      </c>
      <c r="EQ7" s="163">
        <f>$G$12+$G$13</f>
        <v>-80</v>
      </c>
      <c r="ER7" s="163">
        <f>IF($I$3="Forward", $D$10*(1+$D$11), SQRT((IF($B$4, 9.807, 32.174)*EO7)/(ABS(TAN(RADIANS(ES7))-TAN(RADIANS(EQ7)))))/COS(RADIANS(ES7)))</f>
        <v>9.5489346835634272</v>
      </c>
      <c r="ES7" s="164">
        <f>IF($I$3="Forward", $D$12+$D$13, DEGREES(ATAN(2*(EP7-$T$5)/EO7-TAN(RADIANS(EQ7)))))</f>
        <v>82.759695716411017</v>
      </c>
      <c r="ET7" s="163">
        <f>IF($I$3="Forward", $D$8+$D$9, $G$8+$G$9)</f>
        <v>1.9999999999999998</v>
      </c>
      <c r="EU7" s="163">
        <f>$G$10+$G$11</f>
        <v>2.5</v>
      </c>
      <c r="EV7" s="163">
        <f>$G$12+$G$13</f>
        <v>-80</v>
      </c>
      <c r="EW7" s="163">
        <f>IF($I$3="Forward", $D$10*(1+$D$11), SQRT((IF($B$4, 9.807, 32.174)*ET7)/(ABS(TAN(RADIANS(EX7))-TAN(RADIANS(EV7)))))/COS(RADIANS(EX7)))</f>
        <v>9.5489346835634272</v>
      </c>
      <c r="EX7" s="164">
        <f>IF($I$3="Forward", $D$12+$D$13, DEGREES(ATAN(2*(EU7-$T$5)/ET7-TAN(RADIANS(EV7)))))</f>
        <v>82.759695716411017</v>
      </c>
    </row>
    <row r="8" spans="2:156" ht="14.45" x14ac:dyDescent="0.3">
      <c r="C8" s="167" t="str">
        <f>"Distance to Target (" &amp; IF($B$4, "m", "ft") &amp; ")"</f>
        <v>Distance to Target (m)</v>
      </c>
      <c r="D8" s="51">
        <v>10</v>
      </c>
      <c r="F8" s="167" t="str">
        <f>"Distance to Target (" &amp; IF($B$4, "m", "ft") &amp; ")"</f>
        <v>Distance to Target (m)</v>
      </c>
      <c r="G8" s="51">
        <v>1.9999999999999998</v>
      </c>
      <c r="I8" s="169"/>
      <c r="J8" s="169">
        <v>0</v>
      </c>
      <c r="L8" s="169"/>
      <c r="M8" s="169"/>
      <c r="O8" s="169"/>
      <c r="P8" s="169"/>
      <c r="T8" s="162">
        <f>0</f>
        <v>0</v>
      </c>
      <c r="U8" s="170">
        <f>T8+IF($I$3="Forward", $D$9, $G$9)</f>
        <v>0</v>
      </c>
      <c r="V8" s="162">
        <f t="shared" ref="V8:V71" si="0">T8*TAN(RADIANS(X$7))-(IF($B$4, 9.807, 32.174)*T8^2)/(2*W$7^2*COS(RADIANS(X$7))^2)+$D$7</f>
        <v>0.2</v>
      </c>
      <c r="W8" s="171">
        <f>MIN($V$5,V8)</f>
        <v>0.2</v>
      </c>
      <c r="Y8" s="162">
        <f>0</f>
        <v>0</v>
      </c>
      <c r="Z8" s="162">
        <f>Y8</f>
        <v>0</v>
      </c>
      <c r="AA8" s="162">
        <f t="shared" ref="AA8:AA71" si="1">Y8*TAN(RADIANS(AC$7))-(IF($B$4, 9.807, 32.174)*Y8^2)/(2*AB$7^2*COS(RADIANS(AC$7))^2)+$D$7</f>
        <v>0.2</v>
      </c>
      <c r="AB8" s="171">
        <f>MIN($V$5,AA8)</f>
        <v>0.2</v>
      </c>
      <c r="AD8" s="162">
        <f>0</f>
        <v>0</v>
      </c>
      <c r="AE8" s="170">
        <f>AD8-IF($I$3="Forward", $D$9, $G$9)</f>
        <v>0</v>
      </c>
      <c r="AF8" s="162">
        <f t="shared" ref="AF8:AF71" si="2">AD8*TAN(RADIANS(AH$7))-(IF($B$4, 9.807, 32.174)*AD8^2)/(2*AG$7^2*COS(RADIANS(AH$7))^2)+$D$7</f>
        <v>0.2</v>
      </c>
      <c r="AG8" s="171">
        <f>MIN($V$5,AF8)</f>
        <v>0.2</v>
      </c>
      <c r="AI8" s="162">
        <f>0</f>
        <v>0</v>
      </c>
      <c r="AJ8" s="170">
        <f>AI8+IF($I$3="Forward", $D$9, $G$9)</f>
        <v>0</v>
      </c>
      <c r="AK8" s="162">
        <f t="shared" ref="AK8:AK71" si="3">AI8*TAN(RADIANS(AM$7))-(IF($B$4, 9.807, 32.174)*AI8^2)/(2*AL$7^2*COS(RADIANS(AM$7))^2)+$D$7</f>
        <v>0.2</v>
      </c>
      <c r="AL8" s="171">
        <f>MIN($V$5,AK8)</f>
        <v>0.2</v>
      </c>
      <c r="AN8" s="162">
        <f>0</f>
        <v>0</v>
      </c>
      <c r="AO8" s="162">
        <f>AN8</f>
        <v>0</v>
      </c>
      <c r="AP8" s="162">
        <f t="shared" ref="AP8:AP71" si="4">AN8*TAN(RADIANS(AR$7))-(IF($B$4, 9.807, 32.174)*AN8^2)/(2*AQ$7^2*COS(RADIANS(AR$7))^2)+$D$7</f>
        <v>0.2</v>
      </c>
      <c r="AQ8" s="171">
        <f>MIN($V$5,AP8)</f>
        <v>0.2</v>
      </c>
      <c r="AS8" s="162">
        <f>0</f>
        <v>0</v>
      </c>
      <c r="AT8" s="170">
        <f>AS8-IF($I$3="Forward", $D$9, $G$9)</f>
        <v>0</v>
      </c>
      <c r="AU8" s="162">
        <f t="shared" ref="AU8:AU71" si="5">AS8*TAN(RADIANS(AW$7))-(IF($B$4, 9.807, 32.174)*AS8^2)/(2*AV$7^2*COS(RADIANS(AW$7))^2)+$D$7</f>
        <v>0.2</v>
      </c>
      <c r="AV8" s="171">
        <f>MIN($V$5,AU8)</f>
        <v>0.2</v>
      </c>
      <c r="AX8" s="162">
        <f>0</f>
        <v>0</v>
      </c>
      <c r="AY8" s="170">
        <f>AX8+IF($I$3="Forward", $D$9, $G$9)</f>
        <v>0</v>
      </c>
      <c r="AZ8" s="162">
        <f t="shared" ref="AZ8:AZ71" si="6">AX8*TAN(RADIANS(BB$7))-(IF($B$4, 9.807, 32.174)*AX8^2)/(2*BA$7^2*COS(RADIANS(BB$7))^2)+$D$7</f>
        <v>0.2</v>
      </c>
      <c r="BA8" s="171">
        <f>MIN($V$5,AZ8)</f>
        <v>0.2</v>
      </c>
      <c r="BC8" s="162">
        <f>0</f>
        <v>0</v>
      </c>
      <c r="BD8" s="162">
        <f>BC8</f>
        <v>0</v>
      </c>
      <c r="BE8" s="162">
        <f t="shared" ref="BE8:BE71" si="7">BC8*TAN(RADIANS(BG$7))-(IF($B$4, 9.807, 32.174)*BC8^2)/(2*BF$7^2*COS(RADIANS(BG$7))^2)+$D$7</f>
        <v>0.2</v>
      </c>
      <c r="BF8" s="171">
        <f>MIN($V$5,BE8)</f>
        <v>0.2</v>
      </c>
      <c r="BH8" s="162">
        <f>0</f>
        <v>0</v>
      </c>
      <c r="BI8" s="170">
        <f>BH8-IF($I$3="Forward", $D$9, $G$9)</f>
        <v>0</v>
      </c>
      <c r="BJ8" s="162">
        <f t="shared" ref="BJ8:BJ71" si="8">BH8*TAN(RADIANS(BL$7))-(IF($B$4, 9.807, 32.174)*BH8^2)/(2*BK$7^2*COS(RADIANS(BL$7))^2)+$D$7</f>
        <v>0.2</v>
      </c>
      <c r="BK8" s="171">
        <f>MIN($V$5,BJ8)</f>
        <v>0.2</v>
      </c>
      <c r="BM8" s="162">
        <f>0</f>
        <v>0</v>
      </c>
      <c r="BN8" s="170">
        <f>BM8+IF($I$3="Forward", $D$9, $G$9)</f>
        <v>0</v>
      </c>
      <c r="BO8" s="162">
        <f t="shared" ref="BO8:BO71" si="9">BM8*TAN(RADIANS(BQ$7))-(IF($B$4, 9.807, 32.174)*BM8^2)/(2*BP$7^2*COS(RADIANS(BQ$7))^2)+$D$7</f>
        <v>0.2</v>
      </c>
      <c r="BP8" s="171">
        <f>MIN($V$5,BO8)</f>
        <v>0.2</v>
      </c>
      <c r="BR8" s="162">
        <f>0</f>
        <v>0</v>
      </c>
      <c r="BS8" s="162">
        <f>BR8</f>
        <v>0</v>
      </c>
      <c r="BT8" s="162">
        <f t="shared" ref="BT8:BT71" si="10">BR8*TAN(RADIANS(BV$7))-(IF($B$4, 9.807, 32.174)*BR8^2)/(2*BU$7^2*COS(RADIANS(BV$7))^2)+$D$7</f>
        <v>0.2</v>
      </c>
      <c r="BU8" s="171">
        <f>MIN($V$5,BT8)</f>
        <v>0.2</v>
      </c>
      <c r="BW8" s="162">
        <f>0</f>
        <v>0</v>
      </c>
      <c r="BX8" s="170">
        <f>BW8-IF($I$3="Forward", $D$9, $G$9)</f>
        <v>0</v>
      </c>
      <c r="BY8" s="162">
        <f t="shared" ref="BY8:BY71" si="11">BW8*TAN(RADIANS(CA$7))-(IF($B$4, 9.807, 32.174)*BW8^2)/(2*BZ$7^2*COS(RADIANS(CA$7))^2)+$D$7</f>
        <v>0.2</v>
      </c>
      <c r="BZ8" s="171">
        <f>MIN($V$5,BY8)</f>
        <v>0.2</v>
      </c>
      <c r="CB8" s="162">
        <f>0</f>
        <v>0</v>
      </c>
      <c r="CC8" s="170">
        <f>CB8+IF($I$3="Forward", $D$9, $G$9)</f>
        <v>0</v>
      </c>
      <c r="CD8" s="162">
        <f t="shared" ref="CD8:CD71" si="12">CB8*TAN(RADIANS(CF$7))-(IF($B$4, 9.807, 32.174)*CB8^2)/(2*CE$7^2*COS(RADIANS(CF$7))^2)+$D$7</f>
        <v>0.2</v>
      </c>
      <c r="CE8" s="171">
        <f>MIN($V$5,CD8)</f>
        <v>0.2</v>
      </c>
      <c r="CG8" s="172">
        <f>0</f>
        <v>0</v>
      </c>
      <c r="CH8" s="172">
        <f>CG8</f>
        <v>0</v>
      </c>
      <c r="CI8" s="172">
        <f t="shared" ref="CI8:CI71" si="13">CG8*TAN(RADIANS(CK$7))-(IF($B$4, 9.807, 32.174)*CG8^2)/(2*CJ$7^2*COS(RADIANS(CK$7))^2)+$D$7</f>
        <v>0.2</v>
      </c>
      <c r="CJ8" s="171">
        <f>MIN($V$5,CI8)</f>
        <v>0.2</v>
      </c>
      <c r="CK8" s="172"/>
      <c r="CL8" s="162">
        <f>0</f>
        <v>0</v>
      </c>
      <c r="CM8" s="170">
        <f>CL8-IF($I$3="Forward", $D$9, $G$9)</f>
        <v>0</v>
      </c>
      <c r="CN8" s="162">
        <f t="shared" ref="CN8:CN71" si="14">CL8*TAN(RADIANS(CP$7))-(IF($B$4, 9.807, 32.174)*CL8^2)/(2*CO$7^2*COS(RADIANS(CP$7))^2)+$D$7</f>
        <v>0.2</v>
      </c>
      <c r="CO8" s="171">
        <f>MIN($V$5,CN8)</f>
        <v>0.2</v>
      </c>
      <c r="CQ8" s="162">
        <f>0</f>
        <v>0</v>
      </c>
      <c r="CR8" s="170">
        <f>CQ8+IF($I$3="Forward", $D$9, $G$9)</f>
        <v>0</v>
      </c>
      <c r="CS8" s="162">
        <f t="shared" ref="CS8:CS71" si="15">CQ8*TAN(RADIANS(CU$7))-(IF($B$4, 9.807, 32.174)*CQ8^2)/(2*CT$7^2*COS(RADIANS(CU$7))^2)+$D$7</f>
        <v>0.2</v>
      </c>
      <c r="CT8" s="171">
        <f>MIN($V$5,CS8)</f>
        <v>0.2</v>
      </c>
      <c r="CV8" s="162">
        <f>0</f>
        <v>0</v>
      </c>
      <c r="CW8" s="162">
        <f>CV8</f>
        <v>0</v>
      </c>
      <c r="CX8" s="162">
        <f t="shared" ref="CX8:CX71" si="16">CV8*TAN(RADIANS(CZ$7))-(IF($B$4, 9.807, 32.174)*CV8^2)/(2*CY$7^2*COS(RADIANS(CZ$7))^2)+$D$7</f>
        <v>0.2</v>
      </c>
      <c r="CY8" s="171">
        <f>MIN($V$5,CX8)</f>
        <v>0.2</v>
      </c>
      <c r="DA8" s="162">
        <f>0</f>
        <v>0</v>
      </c>
      <c r="DB8" s="170">
        <f>DA8-IF($I$3="Forward", $D$9, $G$9)</f>
        <v>0</v>
      </c>
      <c r="DC8" s="162">
        <f t="shared" ref="DC8:DC71" si="17">DA8*TAN(RADIANS(DE$7))-(IF($B$4, 9.807, 32.174)*DA8^2)/(2*DD$7^2*COS(RADIANS(DE$7))^2)+$D$7</f>
        <v>0.2</v>
      </c>
      <c r="DD8" s="171">
        <f>MIN($V$5,DC8)</f>
        <v>0.2</v>
      </c>
      <c r="DF8" s="162">
        <f>0</f>
        <v>0</v>
      </c>
      <c r="DG8" s="170">
        <f>DF8+IF($I$3="Forward", $D$9, $G$9)</f>
        <v>0</v>
      </c>
      <c r="DH8" s="162">
        <f t="shared" ref="DH8:DH71" si="18">DF8*TAN(RADIANS(DJ$7))-(IF($B$4, 9.807, 32.174)*DF8^2)/(2*DI$7^2*COS(RADIANS(DJ$7))^2)+$D$7</f>
        <v>0.2</v>
      </c>
      <c r="DI8" s="171">
        <f>MIN($V$5,DH8)</f>
        <v>0.2</v>
      </c>
      <c r="DK8" s="162">
        <f>0</f>
        <v>0</v>
      </c>
      <c r="DL8" s="162">
        <f>DK8</f>
        <v>0</v>
      </c>
      <c r="DM8" s="162">
        <f t="shared" ref="DM8:DM71" si="19">DK8*TAN(RADIANS(DO$7))-(IF($B$4, 9.807, 32.174)*DK8^2)/(2*DN$7^2*COS(RADIANS(DO$7))^2)+$D$7</f>
        <v>0.2</v>
      </c>
      <c r="DN8" s="171">
        <f>MIN($V$5,DM8)</f>
        <v>0.2</v>
      </c>
      <c r="DP8" s="162">
        <f>0</f>
        <v>0</v>
      </c>
      <c r="DQ8" s="170">
        <f>DP8-IF($I$3="Forward", $D$9, $G$9)</f>
        <v>0</v>
      </c>
      <c r="DR8" s="162">
        <f t="shared" ref="DR8:DR71" si="20">DP8*TAN(RADIANS(DT$7))-(IF($B$4, 9.807, 32.174)*DP8^2)/(2*DS$7^2*COS(RADIANS(DT$7))^2)+$D$7</f>
        <v>0.2</v>
      </c>
      <c r="DS8" s="171">
        <f>MIN($V$5,DR8)</f>
        <v>0.2</v>
      </c>
      <c r="DU8" s="162">
        <f>0</f>
        <v>0</v>
      </c>
      <c r="DV8" s="170">
        <f>DU8+IF($I$3="Forward", $D$9, $G$9)</f>
        <v>0</v>
      </c>
      <c r="DW8" s="162">
        <f t="shared" ref="DW8:DW71" si="21">DU8*TAN(RADIANS(DY$7))-(IF($B$4, 9.807, 32.174)*DU8^2)/(2*DX$7^2*COS(RADIANS(DY$7))^2)+$D$7</f>
        <v>0.2</v>
      </c>
      <c r="DX8" s="171">
        <f>MIN($V$5,DW8)</f>
        <v>0.2</v>
      </c>
      <c r="DZ8" s="162">
        <f>0</f>
        <v>0</v>
      </c>
      <c r="EA8" s="162">
        <f>DZ8</f>
        <v>0</v>
      </c>
      <c r="EB8" s="162">
        <f t="shared" ref="EB8:EB71" si="22">DZ8*TAN(RADIANS(ED$7))-(IF($B$4, 9.807, 32.174)*DZ8^2)/(2*EC$7^2*COS(RADIANS(ED$7))^2)+$D$7</f>
        <v>0.2</v>
      </c>
      <c r="EC8" s="171">
        <f>MIN($V$5,EB8)</f>
        <v>0.2</v>
      </c>
      <c r="EE8" s="162">
        <f>0</f>
        <v>0</v>
      </c>
      <c r="EF8" s="170">
        <f>EE8-IF($I$3="Forward", $D$9, $G$9)</f>
        <v>0</v>
      </c>
      <c r="EG8" s="162">
        <f t="shared" ref="EG8:EG71" si="23">EE8*TAN(RADIANS(EI$7))-(IF($B$4, 9.807, 32.174)*EE8^2)/(2*EH$7^2*COS(RADIANS(EI$7))^2)+$D$7</f>
        <v>0.2</v>
      </c>
      <c r="EH8" s="171">
        <f>MIN($V$5,EG8)</f>
        <v>0.2</v>
      </c>
      <c r="EJ8" s="162">
        <f>0</f>
        <v>0</v>
      </c>
      <c r="EK8" s="170">
        <f>EJ8+IF($I$3="Forward", $D$9, $G$9)</f>
        <v>0</v>
      </c>
      <c r="EL8" s="162">
        <f t="shared" ref="EL8:EL71" si="24">EJ8*TAN(RADIANS(EN$7))-(IF($B$4, 9.807, 32.174)*EJ8^2)/(2*EM$7^2*COS(RADIANS(EN$7))^2)+$D$7</f>
        <v>0.2</v>
      </c>
      <c r="EM8" s="171">
        <f>MIN($V$5,EL8)</f>
        <v>0.2</v>
      </c>
      <c r="EO8" s="162">
        <f>0</f>
        <v>0</v>
      </c>
      <c r="EP8" s="162">
        <f>EO8</f>
        <v>0</v>
      </c>
      <c r="EQ8" s="162">
        <f t="shared" ref="EQ8:EQ71" si="25">EO8*TAN(RADIANS(ES$7))-(IF($B$4, 9.807, 32.174)*EO8^2)/(2*ER$7^2*COS(RADIANS(ES$7))^2)+$D$7</f>
        <v>0.2</v>
      </c>
      <c r="ER8" s="171">
        <f>MIN($V$5,EQ8)</f>
        <v>0.2</v>
      </c>
      <c r="ET8" s="162">
        <f>0</f>
        <v>0</v>
      </c>
      <c r="EU8" s="170">
        <f>ET8-IF($I$3="Forward", $D$9, $G$9)</f>
        <v>0</v>
      </c>
      <c r="EV8" s="162">
        <f t="shared" ref="EV8:EV71" si="26">ET8*TAN(RADIANS(EX$7))-(IF($B$4, 9.807, 32.174)*ET8^2)/(2*EW$7^2*COS(RADIANS(EX$7))^2)+$D$7</f>
        <v>0.2</v>
      </c>
      <c r="EW8" s="171">
        <f>MIN($V$5,EV8)</f>
        <v>0.2</v>
      </c>
      <c r="EZ8" s="169"/>
    </row>
    <row r="9" spans="2:156" ht="14.45" x14ac:dyDescent="0.3">
      <c r="C9" s="167" t="str">
        <f>"     ^ Tolerance (" &amp; IF($B$4, "m", "ft") &amp; ")"</f>
        <v xml:space="preserve">     ^ Tolerance (m)</v>
      </c>
      <c r="D9" s="173">
        <v>0</v>
      </c>
      <c r="F9" s="167" t="str">
        <f>"     ^ Tolerance (" &amp; IF($B$4, "m", "ft") &amp; ")"</f>
        <v xml:space="preserve">     ^ Tolerance (m)</v>
      </c>
      <c r="G9" s="173">
        <v>0</v>
      </c>
      <c r="I9" s="169"/>
      <c r="J9" s="169">
        <v>0</v>
      </c>
      <c r="O9" s="169"/>
      <c r="P9" s="169"/>
      <c r="T9" s="162">
        <f t="shared" ref="T9:T72" si="27">T8+T$7/100</f>
        <v>1.9999999999999997E-2</v>
      </c>
      <c r="U9" s="170">
        <f t="shared" ref="U9:U72" si="28">T9+IF($I$3="Forward", $D$9, $G$9)</f>
        <v>1.9999999999999997E-2</v>
      </c>
      <c r="V9" s="162">
        <f t="shared" si="0"/>
        <v>0.35607138002843064</v>
      </c>
      <c r="W9" s="171">
        <f t="shared" ref="W9:W72" si="29">MIN($V$5,V9)</f>
        <v>0.35607138002843064</v>
      </c>
      <c r="Y9" s="162">
        <f t="shared" ref="Y9:Y72" si="30">Y8+Y$7/100</f>
        <v>1.9999999999999997E-2</v>
      </c>
      <c r="Z9" s="162">
        <f t="shared" ref="Z9:Z72" si="31">Y9</f>
        <v>1.9999999999999997E-2</v>
      </c>
      <c r="AA9" s="162">
        <f t="shared" si="1"/>
        <v>0.35607138002843064</v>
      </c>
      <c r="AB9" s="171">
        <f t="shared" ref="AB9:AB72" si="32">MIN($V$5,AA9)</f>
        <v>0.35607138002843064</v>
      </c>
      <c r="AD9" s="162">
        <f t="shared" ref="AD9:AD72" si="33">AD8+AD$7/100</f>
        <v>1.9999999999999997E-2</v>
      </c>
      <c r="AE9" s="170">
        <f t="shared" ref="AE9:AE72" si="34">AD9-IF($I$3="Forward", $D$9, $G$9)</f>
        <v>1.9999999999999997E-2</v>
      </c>
      <c r="AF9" s="162">
        <f t="shared" si="2"/>
        <v>0.35607138002843064</v>
      </c>
      <c r="AG9" s="171">
        <f t="shared" ref="AG9:AG72" si="35">MIN($V$5,AF9)</f>
        <v>0.35607138002843064</v>
      </c>
      <c r="AI9" s="162">
        <f t="shared" ref="AI9:AI72" si="36">AI8+AI$7/100</f>
        <v>1.9999999999999997E-2</v>
      </c>
      <c r="AJ9" s="170">
        <f t="shared" ref="AJ9:AJ72" si="37">AI9+IF($I$3="Forward", $D$9, $G$9)</f>
        <v>1.9999999999999997E-2</v>
      </c>
      <c r="AK9" s="162">
        <f t="shared" si="3"/>
        <v>0.35607138002843064</v>
      </c>
      <c r="AL9" s="171">
        <f t="shared" ref="AL9:AL72" si="38">MIN($V$5,AK9)</f>
        <v>0.35607138002843064</v>
      </c>
      <c r="AN9" s="162">
        <f t="shared" ref="AN9:AN72" si="39">AN8+AN$7/100</f>
        <v>1.9999999999999997E-2</v>
      </c>
      <c r="AO9" s="162">
        <f t="shared" ref="AO9:AO72" si="40">AN9</f>
        <v>1.9999999999999997E-2</v>
      </c>
      <c r="AP9" s="162">
        <f t="shared" si="4"/>
        <v>0.35607138002843064</v>
      </c>
      <c r="AQ9" s="171">
        <f t="shared" ref="AQ9:AQ72" si="41">MIN($V$5,AP9)</f>
        <v>0.35607138002843064</v>
      </c>
      <c r="AS9" s="162">
        <f t="shared" ref="AS9:AS72" si="42">AS8+AS$7/100</f>
        <v>1.9999999999999997E-2</v>
      </c>
      <c r="AT9" s="170">
        <f t="shared" ref="AT9:AT72" si="43">AS9-IF($I$3="Forward", $D$9, $G$9)</f>
        <v>1.9999999999999997E-2</v>
      </c>
      <c r="AU9" s="162">
        <f t="shared" si="5"/>
        <v>0.35607138002843064</v>
      </c>
      <c r="AV9" s="171">
        <f t="shared" ref="AV9:AV72" si="44">MIN($V$5,AU9)</f>
        <v>0.35607138002843064</v>
      </c>
      <c r="AX9" s="162">
        <f t="shared" ref="AX9:AX72" si="45">AX8+AX$7/100</f>
        <v>1.9999999999999997E-2</v>
      </c>
      <c r="AY9" s="170">
        <f t="shared" ref="AY9:AY72" si="46">AX9+IF($I$3="Forward", $D$9, $G$9)</f>
        <v>1.9999999999999997E-2</v>
      </c>
      <c r="AZ9" s="162">
        <f t="shared" si="6"/>
        <v>0.35607138002843064</v>
      </c>
      <c r="BA9" s="171">
        <f t="shared" ref="BA9:BA72" si="47">MIN($V$5,AZ9)</f>
        <v>0.35607138002843064</v>
      </c>
      <c r="BC9" s="162">
        <f t="shared" ref="BC9:BC72" si="48">BC8+BC$7/100</f>
        <v>1.9999999999999997E-2</v>
      </c>
      <c r="BD9" s="162">
        <f t="shared" ref="BD9:BD72" si="49">BC9</f>
        <v>1.9999999999999997E-2</v>
      </c>
      <c r="BE9" s="162">
        <f t="shared" si="7"/>
        <v>0.35607138002843064</v>
      </c>
      <c r="BF9" s="171">
        <f t="shared" ref="BF9:BF72" si="50">MIN($V$5,BE9)</f>
        <v>0.35607138002843064</v>
      </c>
      <c r="BH9" s="162">
        <f t="shared" ref="BH9:BH72" si="51">BH8+BH$7/100</f>
        <v>1.9999999999999997E-2</v>
      </c>
      <c r="BI9" s="170">
        <f t="shared" ref="BI9:BI72" si="52">BH9-IF($I$3="Forward", $D$9, $G$9)</f>
        <v>1.9999999999999997E-2</v>
      </c>
      <c r="BJ9" s="162">
        <f t="shared" si="8"/>
        <v>0.35607138002843064</v>
      </c>
      <c r="BK9" s="171">
        <f t="shared" ref="BK9:BK72" si="53">MIN($V$5,BJ9)</f>
        <v>0.35607138002843064</v>
      </c>
      <c r="BM9" s="162">
        <f t="shared" ref="BM9:BM72" si="54">BM8+BM$7/100</f>
        <v>1.9999999999999997E-2</v>
      </c>
      <c r="BN9" s="170">
        <f t="shared" ref="BN9:BN72" si="55">BM9+IF($I$3="Forward", $D$9, $G$9)</f>
        <v>1.9999999999999997E-2</v>
      </c>
      <c r="BO9" s="162">
        <f t="shared" si="9"/>
        <v>0.35607138002843064</v>
      </c>
      <c r="BP9" s="171">
        <f t="shared" ref="BP9:BP72" si="56">MIN($V$5,BO9)</f>
        <v>0.35607138002843064</v>
      </c>
      <c r="BR9" s="162">
        <f t="shared" ref="BR9:BR72" si="57">BR8+BR$7/100</f>
        <v>1.9999999999999997E-2</v>
      </c>
      <c r="BS9" s="162">
        <f t="shared" ref="BS9:BS72" si="58">BR9</f>
        <v>1.9999999999999997E-2</v>
      </c>
      <c r="BT9" s="162">
        <f t="shared" si="10"/>
        <v>0.35607138002843064</v>
      </c>
      <c r="BU9" s="171">
        <f t="shared" ref="BU9:BU72" si="59">MIN($V$5,BT9)</f>
        <v>0.35607138002843064</v>
      </c>
      <c r="BW9" s="162">
        <f t="shared" ref="BW9:BW72" si="60">BW8+BW$7/100</f>
        <v>1.9999999999999997E-2</v>
      </c>
      <c r="BX9" s="170">
        <f t="shared" ref="BX9:BX72" si="61">BW9-IF($I$3="Forward", $D$9, $G$9)</f>
        <v>1.9999999999999997E-2</v>
      </c>
      <c r="BY9" s="162">
        <f t="shared" si="11"/>
        <v>0.35607138002843064</v>
      </c>
      <c r="BZ9" s="171">
        <f t="shared" ref="BZ9:BZ72" si="62">MIN($V$5,BY9)</f>
        <v>0.35607138002843064</v>
      </c>
      <c r="CB9" s="162">
        <f t="shared" ref="CB9:CB72" si="63">CB8+CB$7/100</f>
        <v>1.9999999999999997E-2</v>
      </c>
      <c r="CC9" s="170">
        <f t="shared" ref="CC9:CC72" si="64">CB9+IF($I$3="Forward", $D$9, $G$9)</f>
        <v>1.9999999999999997E-2</v>
      </c>
      <c r="CD9" s="162">
        <f t="shared" si="12"/>
        <v>0.35607138002843064</v>
      </c>
      <c r="CE9" s="171">
        <f t="shared" ref="CE9:CE72" si="65">MIN($V$5,CD9)</f>
        <v>0.35607138002843064</v>
      </c>
      <c r="CG9" s="172">
        <f t="shared" ref="CG9:CG72" si="66">CG8+CG$7/100</f>
        <v>1.9999999999999997E-2</v>
      </c>
      <c r="CH9" s="172">
        <f t="shared" ref="CH9:CH72" si="67">CG9</f>
        <v>1.9999999999999997E-2</v>
      </c>
      <c r="CI9" s="172">
        <f t="shared" si="13"/>
        <v>0.35607138002843064</v>
      </c>
      <c r="CJ9" s="171">
        <f t="shared" ref="CJ9:CJ72" si="68">MIN($V$5,CI9)</f>
        <v>0.35607138002843064</v>
      </c>
      <c r="CK9" s="172"/>
      <c r="CL9" s="162">
        <f t="shared" ref="CL9:CL72" si="69">CL8+CL$7/100</f>
        <v>1.9999999999999997E-2</v>
      </c>
      <c r="CM9" s="170">
        <f t="shared" ref="CM9:CM72" si="70">CL9-IF($I$3="Forward", $D$9, $G$9)</f>
        <v>1.9999999999999997E-2</v>
      </c>
      <c r="CN9" s="162">
        <f t="shared" si="14"/>
        <v>0.35607138002843064</v>
      </c>
      <c r="CO9" s="171">
        <f t="shared" ref="CO9:CO72" si="71">MIN($V$5,CN9)</f>
        <v>0.35607138002843064</v>
      </c>
      <c r="CQ9" s="162">
        <f t="shared" ref="CQ9:CQ72" si="72">CQ8+CQ$7/100</f>
        <v>1.9999999999999997E-2</v>
      </c>
      <c r="CR9" s="170">
        <f t="shared" ref="CR9:CR72" si="73">CQ9+IF($I$3="Forward", $D$9, $G$9)</f>
        <v>1.9999999999999997E-2</v>
      </c>
      <c r="CS9" s="162">
        <f t="shared" si="15"/>
        <v>0.35607138002843064</v>
      </c>
      <c r="CT9" s="171">
        <f t="shared" ref="CT9:CT72" si="74">MIN($V$5,CS9)</f>
        <v>0.35607138002843064</v>
      </c>
      <c r="CV9" s="162">
        <f t="shared" ref="CV9:CV72" si="75">CV8+CV$7/100</f>
        <v>1.9999999999999997E-2</v>
      </c>
      <c r="CW9" s="162">
        <f t="shared" ref="CW9:CW72" si="76">CV9</f>
        <v>1.9999999999999997E-2</v>
      </c>
      <c r="CX9" s="162">
        <f t="shared" si="16"/>
        <v>0.35607138002843064</v>
      </c>
      <c r="CY9" s="171">
        <f t="shared" ref="CY9:CY72" si="77">MIN($V$5,CX9)</f>
        <v>0.35607138002843064</v>
      </c>
      <c r="DA9" s="162">
        <f t="shared" ref="DA9:DA72" si="78">DA8+DA$7/100</f>
        <v>1.9999999999999997E-2</v>
      </c>
      <c r="DB9" s="170">
        <f t="shared" ref="DB9:DB72" si="79">DA9-IF($I$3="Forward", $D$9, $G$9)</f>
        <v>1.9999999999999997E-2</v>
      </c>
      <c r="DC9" s="162">
        <f t="shared" si="17"/>
        <v>0.35607138002843064</v>
      </c>
      <c r="DD9" s="171">
        <f t="shared" ref="DD9:DD72" si="80">MIN($V$5,DC9)</f>
        <v>0.35607138002843064</v>
      </c>
      <c r="DF9" s="162">
        <f t="shared" ref="DF9:DF72" si="81">DF8+DF$7/100</f>
        <v>1.9999999999999997E-2</v>
      </c>
      <c r="DG9" s="170">
        <f t="shared" ref="DG9:DG72" si="82">DF9+IF($I$3="Forward", $D$9, $G$9)</f>
        <v>1.9999999999999997E-2</v>
      </c>
      <c r="DH9" s="162">
        <f t="shared" si="18"/>
        <v>0.35607138002843064</v>
      </c>
      <c r="DI9" s="171">
        <f t="shared" ref="DI9:DI72" si="83">MIN($V$5,DH9)</f>
        <v>0.35607138002843064</v>
      </c>
      <c r="DK9" s="162">
        <f t="shared" ref="DK9:DK72" si="84">DK8+DK$7/100</f>
        <v>1.9999999999999997E-2</v>
      </c>
      <c r="DL9" s="162">
        <f t="shared" ref="DL9:DL72" si="85">DK9</f>
        <v>1.9999999999999997E-2</v>
      </c>
      <c r="DM9" s="162">
        <f t="shared" si="19"/>
        <v>0.35607138002843064</v>
      </c>
      <c r="DN9" s="171">
        <f t="shared" ref="DN9:DN72" si="86">MIN($V$5,DM9)</f>
        <v>0.35607138002843064</v>
      </c>
      <c r="DP9" s="162">
        <f t="shared" ref="DP9:DP72" si="87">DP8+DP$7/100</f>
        <v>1.9999999999999997E-2</v>
      </c>
      <c r="DQ9" s="170">
        <f t="shared" ref="DQ9:DQ72" si="88">DP9-IF($I$3="Forward", $D$9, $G$9)</f>
        <v>1.9999999999999997E-2</v>
      </c>
      <c r="DR9" s="162">
        <f t="shared" si="20"/>
        <v>0.35607138002843064</v>
      </c>
      <c r="DS9" s="171">
        <f t="shared" ref="DS9:DS72" si="89">MIN($V$5,DR9)</f>
        <v>0.35607138002843064</v>
      </c>
      <c r="DU9" s="162">
        <f t="shared" ref="DU9:DU72" si="90">DU8+DU$7/100</f>
        <v>1.9999999999999997E-2</v>
      </c>
      <c r="DV9" s="170">
        <f t="shared" ref="DV9:DV72" si="91">DU9+IF($I$3="Forward", $D$9, $G$9)</f>
        <v>1.9999999999999997E-2</v>
      </c>
      <c r="DW9" s="162">
        <f t="shared" si="21"/>
        <v>0.35607138002843064</v>
      </c>
      <c r="DX9" s="171">
        <f t="shared" ref="DX9:DX72" si="92">MIN($V$5,DW9)</f>
        <v>0.35607138002843064</v>
      </c>
      <c r="DZ9" s="162">
        <f t="shared" ref="DZ9:DZ72" si="93">DZ8+DZ$7/100</f>
        <v>1.9999999999999997E-2</v>
      </c>
      <c r="EA9" s="162">
        <f t="shared" ref="EA9:EA72" si="94">DZ9</f>
        <v>1.9999999999999997E-2</v>
      </c>
      <c r="EB9" s="162">
        <f t="shared" si="22"/>
        <v>0.35607138002843064</v>
      </c>
      <c r="EC9" s="171">
        <f t="shared" ref="EC9:EC72" si="95">MIN($V$5,EB9)</f>
        <v>0.35607138002843064</v>
      </c>
      <c r="EE9" s="162">
        <f t="shared" ref="EE9:EE72" si="96">EE8+EE$7/100</f>
        <v>1.9999999999999997E-2</v>
      </c>
      <c r="EF9" s="170">
        <f t="shared" ref="EF9:EF72" si="97">EE9-IF($I$3="Forward", $D$9, $G$9)</f>
        <v>1.9999999999999997E-2</v>
      </c>
      <c r="EG9" s="162">
        <f t="shared" si="23"/>
        <v>0.35607138002843064</v>
      </c>
      <c r="EH9" s="171">
        <f t="shared" ref="EH9:EH72" si="98">MIN($V$5,EG9)</f>
        <v>0.35607138002843064</v>
      </c>
      <c r="EJ9" s="162">
        <f t="shared" ref="EJ9:EJ72" si="99">EJ8+EJ$7/100</f>
        <v>1.9999999999999997E-2</v>
      </c>
      <c r="EK9" s="170">
        <f t="shared" ref="EK9:EK72" si="100">EJ9+IF($I$3="Forward", $D$9, $G$9)</f>
        <v>1.9999999999999997E-2</v>
      </c>
      <c r="EL9" s="162">
        <f t="shared" si="24"/>
        <v>0.35607138002843064</v>
      </c>
      <c r="EM9" s="171">
        <f t="shared" ref="EM9:EM72" si="101">MIN($V$5,EL9)</f>
        <v>0.35607138002843064</v>
      </c>
      <c r="EO9" s="162">
        <f t="shared" ref="EO9:EO72" si="102">EO8+EO$7/100</f>
        <v>1.9999999999999997E-2</v>
      </c>
      <c r="EP9" s="162">
        <f t="shared" ref="EP9:EP72" si="103">EO9</f>
        <v>1.9999999999999997E-2</v>
      </c>
      <c r="EQ9" s="162">
        <f t="shared" si="25"/>
        <v>0.35607138002843064</v>
      </c>
      <c r="ER9" s="171">
        <f t="shared" ref="ER9:ER72" si="104">MIN($V$5,EQ9)</f>
        <v>0.35607138002843064</v>
      </c>
      <c r="ET9" s="162">
        <f t="shared" ref="ET9:ET72" si="105">ET8+ET$7/100</f>
        <v>1.9999999999999997E-2</v>
      </c>
      <c r="EU9" s="170">
        <f t="shared" ref="EU9:EU72" si="106">ET9-IF($I$3="Forward", $D$9, $G$9)</f>
        <v>1.9999999999999997E-2</v>
      </c>
      <c r="EV9" s="162">
        <f t="shared" si="26"/>
        <v>0.35607138002843064</v>
      </c>
      <c r="EW9" s="171">
        <f t="shared" ref="EW9:EW72" si="107">MIN($V$5,EV9)</f>
        <v>0.35607138002843064</v>
      </c>
    </row>
    <row r="10" spans="2:156" ht="14.45" x14ac:dyDescent="0.3">
      <c r="C10" s="167" t="str">
        <f>"Release Velocity (" &amp; IF($B$4, "m", "ft") &amp; "/s)"</f>
        <v>Release Velocity (m/s)</v>
      </c>
      <c r="D10" s="51">
        <v>20</v>
      </c>
      <c r="F10" s="167" t="str">
        <f>"Target Height (" &amp; IF($B$4, "m", "ft") &amp; ")"</f>
        <v>Target Height (m)</v>
      </c>
      <c r="G10" s="51">
        <v>2.5</v>
      </c>
      <c r="I10" s="174"/>
      <c r="J10" s="169">
        <v>0</v>
      </c>
      <c r="T10" s="162">
        <f t="shared" si="27"/>
        <v>3.9999999999999994E-2</v>
      </c>
      <c r="U10" s="170">
        <f t="shared" si="28"/>
        <v>3.9999999999999994E-2</v>
      </c>
      <c r="V10" s="162">
        <f t="shared" si="0"/>
        <v>0.50943424732901421</v>
      </c>
      <c r="W10" s="171">
        <f t="shared" si="29"/>
        <v>0.50943424732901421</v>
      </c>
      <c r="Y10" s="162">
        <f t="shared" si="30"/>
        <v>3.9999999999999994E-2</v>
      </c>
      <c r="Z10" s="162">
        <f t="shared" si="31"/>
        <v>3.9999999999999994E-2</v>
      </c>
      <c r="AA10" s="162">
        <f t="shared" si="1"/>
        <v>0.50943424732901421</v>
      </c>
      <c r="AB10" s="171">
        <f t="shared" si="32"/>
        <v>0.50943424732901421</v>
      </c>
      <c r="AD10" s="162">
        <f t="shared" si="33"/>
        <v>3.9999999999999994E-2</v>
      </c>
      <c r="AE10" s="170">
        <f t="shared" si="34"/>
        <v>3.9999999999999994E-2</v>
      </c>
      <c r="AF10" s="162">
        <f t="shared" si="2"/>
        <v>0.50943424732901421</v>
      </c>
      <c r="AG10" s="171">
        <f t="shared" si="35"/>
        <v>0.50943424732901421</v>
      </c>
      <c r="AI10" s="162">
        <f t="shared" si="36"/>
        <v>3.9999999999999994E-2</v>
      </c>
      <c r="AJ10" s="170">
        <f t="shared" si="37"/>
        <v>3.9999999999999994E-2</v>
      </c>
      <c r="AK10" s="162">
        <f t="shared" si="3"/>
        <v>0.50943424732901421</v>
      </c>
      <c r="AL10" s="171">
        <f t="shared" si="38"/>
        <v>0.50943424732901421</v>
      </c>
      <c r="AN10" s="162">
        <f t="shared" si="39"/>
        <v>3.9999999999999994E-2</v>
      </c>
      <c r="AO10" s="162">
        <f t="shared" si="40"/>
        <v>3.9999999999999994E-2</v>
      </c>
      <c r="AP10" s="162">
        <f t="shared" si="4"/>
        <v>0.50943424732901421</v>
      </c>
      <c r="AQ10" s="171">
        <f t="shared" si="41"/>
        <v>0.50943424732901421</v>
      </c>
      <c r="AS10" s="162">
        <f t="shared" si="42"/>
        <v>3.9999999999999994E-2</v>
      </c>
      <c r="AT10" s="170">
        <f t="shared" si="43"/>
        <v>3.9999999999999994E-2</v>
      </c>
      <c r="AU10" s="162">
        <f t="shared" si="5"/>
        <v>0.50943424732901421</v>
      </c>
      <c r="AV10" s="171">
        <f t="shared" si="44"/>
        <v>0.50943424732901421</v>
      </c>
      <c r="AX10" s="162">
        <f t="shared" si="45"/>
        <v>3.9999999999999994E-2</v>
      </c>
      <c r="AY10" s="170">
        <f t="shared" si="46"/>
        <v>3.9999999999999994E-2</v>
      </c>
      <c r="AZ10" s="162">
        <f t="shared" si="6"/>
        <v>0.50943424732901421</v>
      </c>
      <c r="BA10" s="171">
        <f t="shared" si="47"/>
        <v>0.50943424732901421</v>
      </c>
      <c r="BC10" s="162">
        <f t="shared" si="48"/>
        <v>3.9999999999999994E-2</v>
      </c>
      <c r="BD10" s="162">
        <f t="shared" si="49"/>
        <v>3.9999999999999994E-2</v>
      </c>
      <c r="BE10" s="162">
        <f t="shared" si="7"/>
        <v>0.50943424732901421</v>
      </c>
      <c r="BF10" s="171">
        <f t="shared" si="50"/>
        <v>0.50943424732901421</v>
      </c>
      <c r="BH10" s="162">
        <f t="shared" si="51"/>
        <v>3.9999999999999994E-2</v>
      </c>
      <c r="BI10" s="170">
        <f t="shared" si="52"/>
        <v>3.9999999999999994E-2</v>
      </c>
      <c r="BJ10" s="162">
        <f t="shared" si="8"/>
        <v>0.50943424732901421</v>
      </c>
      <c r="BK10" s="171">
        <f t="shared" si="53"/>
        <v>0.50943424732901421</v>
      </c>
      <c r="BM10" s="162">
        <f t="shared" si="54"/>
        <v>3.9999999999999994E-2</v>
      </c>
      <c r="BN10" s="170">
        <f t="shared" si="55"/>
        <v>3.9999999999999994E-2</v>
      </c>
      <c r="BO10" s="162">
        <f t="shared" si="9"/>
        <v>0.50943424732901421</v>
      </c>
      <c r="BP10" s="171">
        <f t="shared" si="56"/>
        <v>0.50943424732901421</v>
      </c>
      <c r="BR10" s="162">
        <f t="shared" si="57"/>
        <v>3.9999999999999994E-2</v>
      </c>
      <c r="BS10" s="162">
        <f t="shared" si="58"/>
        <v>3.9999999999999994E-2</v>
      </c>
      <c r="BT10" s="162">
        <f t="shared" si="10"/>
        <v>0.50943424732901421</v>
      </c>
      <c r="BU10" s="171">
        <f t="shared" si="59"/>
        <v>0.50943424732901421</v>
      </c>
      <c r="BW10" s="162">
        <f t="shared" si="60"/>
        <v>3.9999999999999994E-2</v>
      </c>
      <c r="BX10" s="170">
        <f t="shared" si="61"/>
        <v>3.9999999999999994E-2</v>
      </c>
      <c r="BY10" s="162">
        <f t="shared" si="11"/>
        <v>0.50943424732901421</v>
      </c>
      <c r="BZ10" s="171">
        <f t="shared" si="62"/>
        <v>0.50943424732901421</v>
      </c>
      <c r="CB10" s="162">
        <f t="shared" si="63"/>
        <v>3.9999999999999994E-2</v>
      </c>
      <c r="CC10" s="170">
        <f t="shared" si="64"/>
        <v>3.9999999999999994E-2</v>
      </c>
      <c r="CD10" s="162">
        <f t="shared" si="12"/>
        <v>0.50943424732901421</v>
      </c>
      <c r="CE10" s="171">
        <f t="shared" si="65"/>
        <v>0.50943424732901421</v>
      </c>
      <c r="CG10" s="172">
        <f t="shared" si="66"/>
        <v>3.9999999999999994E-2</v>
      </c>
      <c r="CH10" s="172">
        <f t="shared" si="67"/>
        <v>3.9999999999999994E-2</v>
      </c>
      <c r="CI10" s="172">
        <f t="shared" si="13"/>
        <v>0.50943424732901421</v>
      </c>
      <c r="CJ10" s="171">
        <f t="shared" si="68"/>
        <v>0.50943424732901421</v>
      </c>
      <c r="CK10" s="172"/>
      <c r="CL10" s="162">
        <f t="shared" si="69"/>
        <v>3.9999999999999994E-2</v>
      </c>
      <c r="CM10" s="170">
        <f t="shared" si="70"/>
        <v>3.9999999999999994E-2</v>
      </c>
      <c r="CN10" s="162">
        <f t="shared" si="14"/>
        <v>0.50943424732901421</v>
      </c>
      <c r="CO10" s="171">
        <f t="shared" si="71"/>
        <v>0.50943424732901421</v>
      </c>
      <c r="CQ10" s="162">
        <f t="shared" si="72"/>
        <v>3.9999999999999994E-2</v>
      </c>
      <c r="CR10" s="170">
        <f t="shared" si="73"/>
        <v>3.9999999999999994E-2</v>
      </c>
      <c r="CS10" s="162">
        <f t="shared" si="15"/>
        <v>0.50943424732901421</v>
      </c>
      <c r="CT10" s="171">
        <f t="shared" si="74"/>
        <v>0.50943424732901421</v>
      </c>
      <c r="CV10" s="162">
        <f t="shared" si="75"/>
        <v>3.9999999999999994E-2</v>
      </c>
      <c r="CW10" s="162">
        <f t="shared" si="76"/>
        <v>3.9999999999999994E-2</v>
      </c>
      <c r="CX10" s="162">
        <f t="shared" si="16"/>
        <v>0.50943424732901421</v>
      </c>
      <c r="CY10" s="171">
        <f t="shared" si="77"/>
        <v>0.50943424732901421</v>
      </c>
      <c r="DA10" s="162">
        <f t="shared" si="78"/>
        <v>3.9999999999999994E-2</v>
      </c>
      <c r="DB10" s="170">
        <f t="shared" si="79"/>
        <v>3.9999999999999994E-2</v>
      </c>
      <c r="DC10" s="162">
        <f t="shared" si="17"/>
        <v>0.50943424732901421</v>
      </c>
      <c r="DD10" s="171">
        <f t="shared" si="80"/>
        <v>0.50943424732901421</v>
      </c>
      <c r="DF10" s="162">
        <f t="shared" si="81"/>
        <v>3.9999999999999994E-2</v>
      </c>
      <c r="DG10" s="170">
        <f t="shared" si="82"/>
        <v>3.9999999999999994E-2</v>
      </c>
      <c r="DH10" s="162">
        <f t="shared" si="18"/>
        <v>0.50943424732901421</v>
      </c>
      <c r="DI10" s="171">
        <f t="shared" si="83"/>
        <v>0.50943424732901421</v>
      </c>
      <c r="DK10" s="162">
        <f t="shared" si="84"/>
        <v>3.9999999999999994E-2</v>
      </c>
      <c r="DL10" s="162">
        <f t="shared" si="85"/>
        <v>3.9999999999999994E-2</v>
      </c>
      <c r="DM10" s="162">
        <f t="shared" si="19"/>
        <v>0.50943424732901421</v>
      </c>
      <c r="DN10" s="171">
        <f t="shared" si="86"/>
        <v>0.50943424732901421</v>
      </c>
      <c r="DP10" s="162">
        <f t="shared" si="87"/>
        <v>3.9999999999999994E-2</v>
      </c>
      <c r="DQ10" s="170">
        <f t="shared" si="88"/>
        <v>3.9999999999999994E-2</v>
      </c>
      <c r="DR10" s="162">
        <f t="shared" si="20"/>
        <v>0.50943424732901421</v>
      </c>
      <c r="DS10" s="171">
        <f t="shared" si="89"/>
        <v>0.50943424732901421</v>
      </c>
      <c r="DU10" s="162">
        <f t="shared" si="90"/>
        <v>3.9999999999999994E-2</v>
      </c>
      <c r="DV10" s="170">
        <f t="shared" si="91"/>
        <v>3.9999999999999994E-2</v>
      </c>
      <c r="DW10" s="162">
        <f t="shared" si="21"/>
        <v>0.50943424732901421</v>
      </c>
      <c r="DX10" s="171">
        <f t="shared" si="92"/>
        <v>0.50943424732901421</v>
      </c>
      <c r="DZ10" s="162">
        <f t="shared" si="93"/>
        <v>3.9999999999999994E-2</v>
      </c>
      <c r="EA10" s="162">
        <f t="shared" si="94"/>
        <v>3.9999999999999994E-2</v>
      </c>
      <c r="EB10" s="162">
        <f t="shared" si="22"/>
        <v>0.50943424732901421</v>
      </c>
      <c r="EC10" s="171">
        <f t="shared" si="95"/>
        <v>0.50943424732901421</v>
      </c>
      <c r="EE10" s="162">
        <f t="shared" si="96"/>
        <v>3.9999999999999994E-2</v>
      </c>
      <c r="EF10" s="170">
        <f t="shared" si="97"/>
        <v>3.9999999999999994E-2</v>
      </c>
      <c r="EG10" s="162">
        <f t="shared" si="23"/>
        <v>0.50943424732901421</v>
      </c>
      <c r="EH10" s="171">
        <f t="shared" si="98"/>
        <v>0.50943424732901421</v>
      </c>
      <c r="EJ10" s="162">
        <f t="shared" si="99"/>
        <v>3.9999999999999994E-2</v>
      </c>
      <c r="EK10" s="170">
        <f t="shared" si="100"/>
        <v>3.9999999999999994E-2</v>
      </c>
      <c r="EL10" s="162">
        <f t="shared" si="24"/>
        <v>0.50943424732901421</v>
      </c>
      <c r="EM10" s="171">
        <f t="shared" si="101"/>
        <v>0.50943424732901421</v>
      </c>
      <c r="EO10" s="162">
        <f t="shared" si="102"/>
        <v>3.9999999999999994E-2</v>
      </c>
      <c r="EP10" s="162">
        <f t="shared" si="103"/>
        <v>3.9999999999999994E-2</v>
      </c>
      <c r="EQ10" s="162">
        <f t="shared" si="25"/>
        <v>0.50943424732901421</v>
      </c>
      <c r="ER10" s="171">
        <f t="shared" si="104"/>
        <v>0.50943424732901421</v>
      </c>
      <c r="ET10" s="162">
        <f t="shared" si="105"/>
        <v>3.9999999999999994E-2</v>
      </c>
      <c r="EU10" s="170">
        <f t="shared" si="106"/>
        <v>3.9999999999999994E-2</v>
      </c>
      <c r="EV10" s="162">
        <f t="shared" si="26"/>
        <v>0.50943424732901421</v>
      </c>
      <c r="EW10" s="171">
        <f t="shared" si="107"/>
        <v>0.50943424732901421</v>
      </c>
    </row>
    <row r="11" spans="2:156" ht="14.45" x14ac:dyDescent="0.3">
      <c r="C11" s="167" t="s">
        <v>347</v>
      </c>
      <c r="D11" s="175">
        <v>0</v>
      </c>
      <c r="F11" s="167" t="str">
        <f>"     ^ Tolerance (" &amp; IF($B$4, "m", "ft") &amp; ")"</f>
        <v xml:space="preserve">     ^ Tolerance (m)</v>
      </c>
      <c r="G11" s="173">
        <v>0</v>
      </c>
      <c r="T11" s="162">
        <f t="shared" si="27"/>
        <v>5.9999999999999991E-2</v>
      </c>
      <c r="U11" s="170">
        <f t="shared" si="28"/>
        <v>5.9999999999999991E-2</v>
      </c>
      <c r="V11" s="162">
        <f t="shared" si="0"/>
        <v>0.66008860190175067</v>
      </c>
      <c r="W11" s="171">
        <f t="shared" si="29"/>
        <v>0.66008860190175067</v>
      </c>
      <c r="Y11" s="162">
        <f t="shared" si="30"/>
        <v>5.9999999999999991E-2</v>
      </c>
      <c r="Z11" s="162">
        <f t="shared" si="31"/>
        <v>5.9999999999999991E-2</v>
      </c>
      <c r="AA11" s="162">
        <f t="shared" si="1"/>
        <v>0.66008860190175067</v>
      </c>
      <c r="AB11" s="171">
        <f t="shared" si="32"/>
        <v>0.66008860190175067</v>
      </c>
      <c r="AD11" s="162">
        <f t="shared" si="33"/>
        <v>5.9999999999999991E-2</v>
      </c>
      <c r="AE11" s="170">
        <f t="shared" si="34"/>
        <v>5.9999999999999991E-2</v>
      </c>
      <c r="AF11" s="162">
        <f t="shared" si="2"/>
        <v>0.66008860190175067</v>
      </c>
      <c r="AG11" s="171">
        <f t="shared" si="35"/>
        <v>0.66008860190175067</v>
      </c>
      <c r="AI11" s="162">
        <f t="shared" si="36"/>
        <v>5.9999999999999991E-2</v>
      </c>
      <c r="AJ11" s="170">
        <f t="shared" si="37"/>
        <v>5.9999999999999991E-2</v>
      </c>
      <c r="AK11" s="162">
        <f t="shared" si="3"/>
        <v>0.66008860190175067</v>
      </c>
      <c r="AL11" s="171">
        <f t="shared" si="38"/>
        <v>0.66008860190175067</v>
      </c>
      <c r="AN11" s="162">
        <f t="shared" si="39"/>
        <v>5.9999999999999991E-2</v>
      </c>
      <c r="AO11" s="162">
        <f t="shared" si="40"/>
        <v>5.9999999999999991E-2</v>
      </c>
      <c r="AP11" s="162">
        <f t="shared" si="4"/>
        <v>0.66008860190175067</v>
      </c>
      <c r="AQ11" s="171">
        <f t="shared" si="41"/>
        <v>0.66008860190175067</v>
      </c>
      <c r="AS11" s="162">
        <f t="shared" si="42"/>
        <v>5.9999999999999991E-2</v>
      </c>
      <c r="AT11" s="170">
        <f t="shared" si="43"/>
        <v>5.9999999999999991E-2</v>
      </c>
      <c r="AU11" s="162">
        <f t="shared" si="5"/>
        <v>0.66008860190175067</v>
      </c>
      <c r="AV11" s="171">
        <f t="shared" si="44"/>
        <v>0.66008860190175067</v>
      </c>
      <c r="AX11" s="162">
        <f t="shared" si="45"/>
        <v>5.9999999999999991E-2</v>
      </c>
      <c r="AY11" s="170">
        <f t="shared" si="46"/>
        <v>5.9999999999999991E-2</v>
      </c>
      <c r="AZ11" s="162">
        <f t="shared" si="6"/>
        <v>0.66008860190175067</v>
      </c>
      <c r="BA11" s="171">
        <f t="shared" si="47"/>
        <v>0.66008860190175067</v>
      </c>
      <c r="BC11" s="162">
        <f t="shared" si="48"/>
        <v>5.9999999999999991E-2</v>
      </c>
      <c r="BD11" s="162">
        <f t="shared" si="49"/>
        <v>5.9999999999999991E-2</v>
      </c>
      <c r="BE11" s="162">
        <f t="shared" si="7"/>
        <v>0.66008860190175067</v>
      </c>
      <c r="BF11" s="171">
        <f t="shared" si="50"/>
        <v>0.66008860190175067</v>
      </c>
      <c r="BH11" s="162">
        <f t="shared" si="51"/>
        <v>5.9999999999999991E-2</v>
      </c>
      <c r="BI11" s="170">
        <f t="shared" si="52"/>
        <v>5.9999999999999991E-2</v>
      </c>
      <c r="BJ11" s="162">
        <f t="shared" si="8"/>
        <v>0.66008860190175067</v>
      </c>
      <c r="BK11" s="171">
        <f t="shared" si="53"/>
        <v>0.66008860190175067</v>
      </c>
      <c r="BM11" s="162">
        <f t="shared" si="54"/>
        <v>5.9999999999999991E-2</v>
      </c>
      <c r="BN11" s="170">
        <f t="shared" si="55"/>
        <v>5.9999999999999991E-2</v>
      </c>
      <c r="BO11" s="162">
        <f t="shared" si="9"/>
        <v>0.66008860190175067</v>
      </c>
      <c r="BP11" s="171">
        <f t="shared" si="56"/>
        <v>0.66008860190175067</v>
      </c>
      <c r="BR11" s="162">
        <f t="shared" si="57"/>
        <v>5.9999999999999991E-2</v>
      </c>
      <c r="BS11" s="162">
        <f t="shared" si="58"/>
        <v>5.9999999999999991E-2</v>
      </c>
      <c r="BT11" s="162">
        <f t="shared" si="10"/>
        <v>0.66008860190175067</v>
      </c>
      <c r="BU11" s="171">
        <f t="shared" si="59"/>
        <v>0.66008860190175067</v>
      </c>
      <c r="BW11" s="162">
        <f t="shared" si="60"/>
        <v>5.9999999999999991E-2</v>
      </c>
      <c r="BX11" s="170">
        <f t="shared" si="61"/>
        <v>5.9999999999999991E-2</v>
      </c>
      <c r="BY11" s="162">
        <f t="shared" si="11"/>
        <v>0.66008860190175067</v>
      </c>
      <c r="BZ11" s="171">
        <f t="shared" si="62"/>
        <v>0.66008860190175067</v>
      </c>
      <c r="CB11" s="162">
        <f t="shared" si="63"/>
        <v>5.9999999999999991E-2</v>
      </c>
      <c r="CC11" s="170">
        <f t="shared" si="64"/>
        <v>5.9999999999999991E-2</v>
      </c>
      <c r="CD11" s="162">
        <f t="shared" si="12"/>
        <v>0.66008860190175067</v>
      </c>
      <c r="CE11" s="171">
        <f t="shared" si="65"/>
        <v>0.66008860190175067</v>
      </c>
      <c r="CG11" s="172">
        <f t="shared" si="66"/>
        <v>5.9999999999999991E-2</v>
      </c>
      <c r="CH11" s="172">
        <f t="shared" si="67"/>
        <v>5.9999999999999991E-2</v>
      </c>
      <c r="CI11" s="172">
        <f t="shared" si="13"/>
        <v>0.66008860190175067</v>
      </c>
      <c r="CJ11" s="171">
        <f t="shared" si="68"/>
        <v>0.66008860190175067</v>
      </c>
      <c r="CK11" s="172"/>
      <c r="CL11" s="162">
        <f t="shared" si="69"/>
        <v>5.9999999999999991E-2</v>
      </c>
      <c r="CM11" s="170">
        <f t="shared" si="70"/>
        <v>5.9999999999999991E-2</v>
      </c>
      <c r="CN11" s="162">
        <f t="shared" si="14"/>
        <v>0.66008860190175067</v>
      </c>
      <c r="CO11" s="171">
        <f t="shared" si="71"/>
        <v>0.66008860190175067</v>
      </c>
      <c r="CQ11" s="162">
        <f t="shared" si="72"/>
        <v>5.9999999999999991E-2</v>
      </c>
      <c r="CR11" s="170">
        <f t="shared" si="73"/>
        <v>5.9999999999999991E-2</v>
      </c>
      <c r="CS11" s="162">
        <f t="shared" si="15"/>
        <v>0.66008860190175067</v>
      </c>
      <c r="CT11" s="171">
        <f t="shared" si="74"/>
        <v>0.66008860190175067</v>
      </c>
      <c r="CV11" s="162">
        <f t="shared" si="75"/>
        <v>5.9999999999999991E-2</v>
      </c>
      <c r="CW11" s="162">
        <f t="shared" si="76"/>
        <v>5.9999999999999991E-2</v>
      </c>
      <c r="CX11" s="162">
        <f t="shared" si="16"/>
        <v>0.66008860190175067</v>
      </c>
      <c r="CY11" s="171">
        <f t="shared" si="77"/>
        <v>0.66008860190175067</v>
      </c>
      <c r="DA11" s="162">
        <f t="shared" si="78"/>
        <v>5.9999999999999991E-2</v>
      </c>
      <c r="DB11" s="170">
        <f t="shared" si="79"/>
        <v>5.9999999999999991E-2</v>
      </c>
      <c r="DC11" s="162">
        <f t="shared" si="17"/>
        <v>0.66008860190175067</v>
      </c>
      <c r="DD11" s="171">
        <f t="shared" si="80"/>
        <v>0.66008860190175067</v>
      </c>
      <c r="DF11" s="162">
        <f t="shared" si="81"/>
        <v>5.9999999999999991E-2</v>
      </c>
      <c r="DG11" s="170">
        <f t="shared" si="82"/>
        <v>5.9999999999999991E-2</v>
      </c>
      <c r="DH11" s="162">
        <f t="shared" si="18"/>
        <v>0.66008860190175067</v>
      </c>
      <c r="DI11" s="171">
        <f t="shared" si="83"/>
        <v>0.66008860190175067</v>
      </c>
      <c r="DK11" s="162">
        <f t="shared" si="84"/>
        <v>5.9999999999999991E-2</v>
      </c>
      <c r="DL11" s="162">
        <f t="shared" si="85"/>
        <v>5.9999999999999991E-2</v>
      </c>
      <c r="DM11" s="162">
        <f t="shared" si="19"/>
        <v>0.66008860190175067</v>
      </c>
      <c r="DN11" s="171">
        <f t="shared" si="86"/>
        <v>0.66008860190175067</v>
      </c>
      <c r="DP11" s="162">
        <f t="shared" si="87"/>
        <v>5.9999999999999991E-2</v>
      </c>
      <c r="DQ11" s="170">
        <f t="shared" si="88"/>
        <v>5.9999999999999991E-2</v>
      </c>
      <c r="DR11" s="162">
        <f t="shared" si="20"/>
        <v>0.66008860190175067</v>
      </c>
      <c r="DS11" s="171">
        <f t="shared" si="89"/>
        <v>0.66008860190175067</v>
      </c>
      <c r="DU11" s="162">
        <f t="shared" si="90"/>
        <v>5.9999999999999991E-2</v>
      </c>
      <c r="DV11" s="170">
        <f t="shared" si="91"/>
        <v>5.9999999999999991E-2</v>
      </c>
      <c r="DW11" s="162">
        <f t="shared" si="21"/>
        <v>0.66008860190175067</v>
      </c>
      <c r="DX11" s="171">
        <f t="shared" si="92"/>
        <v>0.66008860190175067</v>
      </c>
      <c r="DZ11" s="162">
        <f t="shared" si="93"/>
        <v>5.9999999999999991E-2</v>
      </c>
      <c r="EA11" s="162">
        <f t="shared" si="94"/>
        <v>5.9999999999999991E-2</v>
      </c>
      <c r="EB11" s="162">
        <f t="shared" si="22"/>
        <v>0.66008860190175067</v>
      </c>
      <c r="EC11" s="171">
        <f t="shared" si="95"/>
        <v>0.66008860190175067</v>
      </c>
      <c r="EE11" s="162">
        <f t="shared" si="96"/>
        <v>5.9999999999999991E-2</v>
      </c>
      <c r="EF11" s="170">
        <f t="shared" si="97"/>
        <v>5.9999999999999991E-2</v>
      </c>
      <c r="EG11" s="162">
        <f t="shared" si="23"/>
        <v>0.66008860190175067</v>
      </c>
      <c r="EH11" s="171">
        <f t="shared" si="98"/>
        <v>0.66008860190175067</v>
      </c>
      <c r="EJ11" s="162">
        <f t="shared" si="99"/>
        <v>5.9999999999999991E-2</v>
      </c>
      <c r="EK11" s="170">
        <f t="shared" si="100"/>
        <v>5.9999999999999991E-2</v>
      </c>
      <c r="EL11" s="162">
        <f t="shared" si="24"/>
        <v>0.66008860190175067</v>
      </c>
      <c r="EM11" s="171">
        <f t="shared" si="101"/>
        <v>0.66008860190175067</v>
      </c>
      <c r="EO11" s="162">
        <f t="shared" si="102"/>
        <v>5.9999999999999991E-2</v>
      </c>
      <c r="EP11" s="162">
        <f t="shared" si="103"/>
        <v>5.9999999999999991E-2</v>
      </c>
      <c r="EQ11" s="162">
        <f t="shared" si="25"/>
        <v>0.66008860190175067</v>
      </c>
      <c r="ER11" s="171">
        <f t="shared" si="104"/>
        <v>0.66008860190175067</v>
      </c>
      <c r="ET11" s="162">
        <f t="shared" si="105"/>
        <v>5.9999999999999991E-2</v>
      </c>
      <c r="EU11" s="170">
        <f t="shared" si="106"/>
        <v>5.9999999999999991E-2</v>
      </c>
      <c r="EV11" s="162">
        <f t="shared" si="26"/>
        <v>0.66008860190175067</v>
      </c>
      <c r="EW11" s="171">
        <f t="shared" si="107"/>
        <v>0.66008860190175067</v>
      </c>
    </row>
    <row r="12" spans="2:156" x14ac:dyDescent="0.25">
      <c r="C12" s="167" t="s">
        <v>96</v>
      </c>
      <c r="D12" s="72">
        <v>80</v>
      </c>
      <c r="F12" s="167" t="s">
        <v>99</v>
      </c>
      <c r="G12" s="72">
        <v>-80</v>
      </c>
      <c r="T12" s="162">
        <f t="shared" si="27"/>
        <v>7.9999999999999988E-2</v>
      </c>
      <c r="U12" s="170">
        <f t="shared" si="28"/>
        <v>7.9999999999999988E-2</v>
      </c>
      <c r="V12" s="162">
        <f t="shared" si="0"/>
        <v>0.80803444374664002</v>
      </c>
      <c r="W12" s="171">
        <f t="shared" si="29"/>
        <v>0.80803444374664002</v>
      </c>
      <c r="Y12" s="162">
        <f t="shared" si="30"/>
        <v>7.9999999999999988E-2</v>
      </c>
      <c r="Z12" s="162">
        <f t="shared" si="31"/>
        <v>7.9999999999999988E-2</v>
      </c>
      <c r="AA12" s="162">
        <f t="shared" si="1"/>
        <v>0.80803444374664002</v>
      </c>
      <c r="AB12" s="171">
        <f t="shared" si="32"/>
        <v>0.80803444374664002</v>
      </c>
      <c r="AD12" s="162">
        <f t="shared" si="33"/>
        <v>7.9999999999999988E-2</v>
      </c>
      <c r="AE12" s="170">
        <f t="shared" si="34"/>
        <v>7.9999999999999988E-2</v>
      </c>
      <c r="AF12" s="162">
        <f t="shared" si="2"/>
        <v>0.80803444374664002</v>
      </c>
      <c r="AG12" s="171">
        <f t="shared" si="35"/>
        <v>0.80803444374664002</v>
      </c>
      <c r="AI12" s="162">
        <f t="shared" si="36"/>
        <v>7.9999999999999988E-2</v>
      </c>
      <c r="AJ12" s="170">
        <f t="shared" si="37"/>
        <v>7.9999999999999988E-2</v>
      </c>
      <c r="AK12" s="162">
        <f t="shared" si="3"/>
        <v>0.80803444374664002</v>
      </c>
      <c r="AL12" s="171">
        <f t="shared" si="38"/>
        <v>0.80803444374664002</v>
      </c>
      <c r="AN12" s="162">
        <f t="shared" si="39"/>
        <v>7.9999999999999988E-2</v>
      </c>
      <c r="AO12" s="162">
        <f t="shared" si="40"/>
        <v>7.9999999999999988E-2</v>
      </c>
      <c r="AP12" s="162">
        <f t="shared" si="4"/>
        <v>0.80803444374664002</v>
      </c>
      <c r="AQ12" s="171">
        <f t="shared" si="41"/>
        <v>0.80803444374664002</v>
      </c>
      <c r="AS12" s="162">
        <f t="shared" si="42"/>
        <v>7.9999999999999988E-2</v>
      </c>
      <c r="AT12" s="170">
        <f t="shared" si="43"/>
        <v>7.9999999999999988E-2</v>
      </c>
      <c r="AU12" s="162">
        <f t="shared" si="5"/>
        <v>0.80803444374664002</v>
      </c>
      <c r="AV12" s="171">
        <f t="shared" si="44"/>
        <v>0.80803444374664002</v>
      </c>
      <c r="AX12" s="162">
        <f t="shared" si="45"/>
        <v>7.9999999999999988E-2</v>
      </c>
      <c r="AY12" s="170">
        <f t="shared" si="46"/>
        <v>7.9999999999999988E-2</v>
      </c>
      <c r="AZ12" s="162">
        <f t="shared" si="6"/>
        <v>0.80803444374664002</v>
      </c>
      <c r="BA12" s="171">
        <f t="shared" si="47"/>
        <v>0.80803444374664002</v>
      </c>
      <c r="BC12" s="162">
        <f t="shared" si="48"/>
        <v>7.9999999999999988E-2</v>
      </c>
      <c r="BD12" s="162">
        <f t="shared" si="49"/>
        <v>7.9999999999999988E-2</v>
      </c>
      <c r="BE12" s="162">
        <f t="shared" si="7"/>
        <v>0.80803444374664002</v>
      </c>
      <c r="BF12" s="171">
        <f t="shared" si="50"/>
        <v>0.80803444374664002</v>
      </c>
      <c r="BH12" s="162">
        <f t="shared" si="51"/>
        <v>7.9999999999999988E-2</v>
      </c>
      <c r="BI12" s="170">
        <f t="shared" si="52"/>
        <v>7.9999999999999988E-2</v>
      </c>
      <c r="BJ12" s="162">
        <f t="shared" si="8"/>
        <v>0.80803444374664002</v>
      </c>
      <c r="BK12" s="171">
        <f t="shared" si="53"/>
        <v>0.80803444374664002</v>
      </c>
      <c r="BM12" s="162">
        <f t="shared" si="54"/>
        <v>7.9999999999999988E-2</v>
      </c>
      <c r="BN12" s="170">
        <f t="shared" si="55"/>
        <v>7.9999999999999988E-2</v>
      </c>
      <c r="BO12" s="162">
        <f t="shared" si="9"/>
        <v>0.80803444374664002</v>
      </c>
      <c r="BP12" s="171">
        <f t="shared" si="56"/>
        <v>0.80803444374664002</v>
      </c>
      <c r="BR12" s="162">
        <f t="shared" si="57"/>
        <v>7.9999999999999988E-2</v>
      </c>
      <c r="BS12" s="162">
        <f t="shared" si="58"/>
        <v>7.9999999999999988E-2</v>
      </c>
      <c r="BT12" s="162">
        <f t="shared" si="10"/>
        <v>0.80803444374664002</v>
      </c>
      <c r="BU12" s="171">
        <f t="shared" si="59"/>
        <v>0.80803444374664002</v>
      </c>
      <c r="BW12" s="162">
        <f t="shared" si="60"/>
        <v>7.9999999999999988E-2</v>
      </c>
      <c r="BX12" s="170">
        <f t="shared" si="61"/>
        <v>7.9999999999999988E-2</v>
      </c>
      <c r="BY12" s="162">
        <f t="shared" si="11"/>
        <v>0.80803444374664002</v>
      </c>
      <c r="BZ12" s="171">
        <f t="shared" si="62"/>
        <v>0.80803444374664002</v>
      </c>
      <c r="CB12" s="162">
        <f t="shared" si="63"/>
        <v>7.9999999999999988E-2</v>
      </c>
      <c r="CC12" s="170">
        <f t="shared" si="64"/>
        <v>7.9999999999999988E-2</v>
      </c>
      <c r="CD12" s="162">
        <f t="shared" si="12"/>
        <v>0.80803444374664002</v>
      </c>
      <c r="CE12" s="171">
        <f t="shared" si="65"/>
        <v>0.80803444374664002</v>
      </c>
      <c r="CG12" s="172">
        <f t="shared" si="66"/>
        <v>7.9999999999999988E-2</v>
      </c>
      <c r="CH12" s="172">
        <f t="shared" si="67"/>
        <v>7.9999999999999988E-2</v>
      </c>
      <c r="CI12" s="172">
        <f t="shared" si="13"/>
        <v>0.80803444374664002</v>
      </c>
      <c r="CJ12" s="171">
        <f t="shared" si="68"/>
        <v>0.80803444374664002</v>
      </c>
      <c r="CK12" s="172"/>
      <c r="CL12" s="162">
        <f t="shared" si="69"/>
        <v>7.9999999999999988E-2</v>
      </c>
      <c r="CM12" s="170">
        <f t="shared" si="70"/>
        <v>7.9999999999999988E-2</v>
      </c>
      <c r="CN12" s="162">
        <f t="shared" si="14"/>
        <v>0.80803444374664002</v>
      </c>
      <c r="CO12" s="171">
        <f t="shared" si="71"/>
        <v>0.80803444374664002</v>
      </c>
      <c r="CQ12" s="162">
        <f t="shared" si="72"/>
        <v>7.9999999999999988E-2</v>
      </c>
      <c r="CR12" s="170">
        <f t="shared" si="73"/>
        <v>7.9999999999999988E-2</v>
      </c>
      <c r="CS12" s="162">
        <f t="shared" si="15"/>
        <v>0.80803444374664002</v>
      </c>
      <c r="CT12" s="171">
        <f t="shared" si="74"/>
        <v>0.80803444374664002</v>
      </c>
      <c r="CV12" s="162">
        <f t="shared" si="75"/>
        <v>7.9999999999999988E-2</v>
      </c>
      <c r="CW12" s="162">
        <f t="shared" si="76"/>
        <v>7.9999999999999988E-2</v>
      </c>
      <c r="CX12" s="162">
        <f t="shared" si="16"/>
        <v>0.80803444374664002</v>
      </c>
      <c r="CY12" s="171">
        <f t="shared" si="77"/>
        <v>0.80803444374664002</v>
      </c>
      <c r="DA12" s="162">
        <f t="shared" si="78"/>
        <v>7.9999999999999988E-2</v>
      </c>
      <c r="DB12" s="170">
        <f t="shared" si="79"/>
        <v>7.9999999999999988E-2</v>
      </c>
      <c r="DC12" s="162">
        <f t="shared" si="17"/>
        <v>0.80803444374664002</v>
      </c>
      <c r="DD12" s="171">
        <f t="shared" si="80"/>
        <v>0.80803444374664002</v>
      </c>
      <c r="DF12" s="162">
        <f t="shared" si="81"/>
        <v>7.9999999999999988E-2</v>
      </c>
      <c r="DG12" s="170">
        <f t="shared" si="82"/>
        <v>7.9999999999999988E-2</v>
      </c>
      <c r="DH12" s="162">
        <f t="shared" si="18"/>
        <v>0.80803444374664002</v>
      </c>
      <c r="DI12" s="171">
        <f t="shared" si="83"/>
        <v>0.80803444374664002</v>
      </c>
      <c r="DK12" s="162">
        <f t="shared" si="84"/>
        <v>7.9999999999999988E-2</v>
      </c>
      <c r="DL12" s="162">
        <f t="shared" si="85"/>
        <v>7.9999999999999988E-2</v>
      </c>
      <c r="DM12" s="162">
        <f t="shared" si="19"/>
        <v>0.80803444374664002</v>
      </c>
      <c r="DN12" s="171">
        <f t="shared" si="86"/>
        <v>0.80803444374664002</v>
      </c>
      <c r="DP12" s="162">
        <f t="shared" si="87"/>
        <v>7.9999999999999988E-2</v>
      </c>
      <c r="DQ12" s="170">
        <f t="shared" si="88"/>
        <v>7.9999999999999988E-2</v>
      </c>
      <c r="DR12" s="162">
        <f t="shared" si="20"/>
        <v>0.80803444374664002</v>
      </c>
      <c r="DS12" s="171">
        <f t="shared" si="89"/>
        <v>0.80803444374664002</v>
      </c>
      <c r="DU12" s="162">
        <f t="shared" si="90"/>
        <v>7.9999999999999988E-2</v>
      </c>
      <c r="DV12" s="170">
        <f t="shared" si="91"/>
        <v>7.9999999999999988E-2</v>
      </c>
      <c r="DW12" s="162">
        <f t="shared" si="21"/>
        <v>0.80803444374664002</v>
      </c>
      <c r="DX12" s="171">
        <f t="shared" si="92"/>
        <v>0.80803444374664002</v>
      </c>
      <c r="DZ12" s="162">
        <f t="shared" si="93"/>
        <v>7.9999999999999988E-2</v>
      </c>
      <c r="EA12" s="162">
        <f t="shared" si="94"/>
        <v>7.9999999999999988E-2</v>
      </c>
      <c r="EB12" s="162">
        <f t="shared" si="22"/>
        <v>0.80803444374664002</v>
      </c>
      <c r="EC12" s="171">
        <f t="shared" si="95"/>
        <v>0.80803444374664002</v>
      </c>
      <c r="EE12" s="162">
        <f t="shared" si="96"/>
        <v>7.9999999999999988E-2</v>
      </c>
      <c r="EF12" s="170">
        <f t="shared" si="97"/>
        <v>7.9999999999999988E-2</v>
      </c>
      <c r="EG12" s="162">
        <f t="shared" si="23"/>
        <v>0.80803444374664002</v>
      </c>
      <c r="EH12" s="171">
        <f t="shared" si="98"/>
        <v>0.80803444374664002</v>
      </c>
      <c r="EJ12" s="162">
        <f t="shared" si="99"/>
        <v>7.9999999999999988E-2</v>
      </c>
      <c r="EK12" s="170">
        <f t="shared" si="100"/>
        <v>7.9999999999999988E-2</v>
      </c>
      <c r="EL12" s="162">
        <f t="shared" si="24"/>
        <v>0.80803444374664002</v>
      </c>
      <c r="EM12" s="171">
        <f t="shared" si="101"/>
        <v>0.80803444374664002</v>
      </c>
      <c r="EO12" s="162">
        <f t="shared" si="102"/>
        <v>7.9999999999999988E-2</v>
      </c>
      <c r="EP12" s="162">
        <f t="shared" si="103"/>
        <v>7.9999999999999988E-2</v>
      </c>
      <c r="EQ12" s="162">
        <f t="shared" si="25"/>
        <v>0.80803444374664002</v>
      </c>
      <c r="ER12" s="171">
        <f t="shared" si="104"/>
        <v>0.80803444374664002</v>
      </c>
      <c r="ET12" s="162">
        <f t="shared" si="105"/>
        <v>7.9999999999999988E-2</v>
      </c>
      <c r="EU12" s="170">
        <f t="shared" si="106"/>
        <v>7.9999999999999988E-2</v>
      </c>
      <c r="EV12" s="162">
        <f t="shared" si="26"/>
        <v>0.80803444374664002</v>
      </c>
      <c r="EW12" s="171">
        <f t="shared" si="107"/>
        <v>0.80803444374664002</v>
      </c>
    </row>
    <row r="13" spans="2:156" x14ac:dyDescent="0.25">
      <c r="C13" s="167" t="s">
        <v>348</v>
      </c>
      <c r="D13" s="176">
        <v>0</v>
      </c>
      <c r="F13" s="167" t="s">
        <v>348</v>
      </c>
      <c r="G13" s="176">
        <v>0</v>
      </c>
      <c r="T13" s="162">
        <f t="shared" si="27"/>
        <v>9.9999999999999978E-2</v>
      </c>
      <c r="U13" s="170">
        <f t="shared" si="28"/>
        <v>9.9999999999999978E-2</v>
      </c>
      <c r="V13" s="162">
        <f t="shared" si="0"/>
        <v>0.95327177286368237</v>
      </c>
      <c r="W13" s="171">
        <f t="shared" si="29"/>
        <v>0.95327177286368237</v>
      </c>
      <c r="Y13" s="162">
        <f t="shared" si="30"/>
        <v>9.9999999999999978E-2</v>
      </c>
      <c r="Z13" s="162">
        <f t="shared" si="31"/>
        <v>9.9999999999999978E-2</v>
      </c>
      <c r="AA13" s="162">
        <f t="shared" si="1"/>
        <v>0.95327177286368237</v>
      </c>
      <c r="AB13" s="171">
        <f t="shared" si="32"/>
        <v>0.95327177286368237</v>
      </c>
      <c r="AD13" s="162">
        <f t="shared" si="33"/>
        <v>9.9999999999999978E-2</v>
      </c>
      <c r="AE13" s="170">
        <f t="shared" si="34"/>
        <v>9.9999999999999978E-2</v>
      </c>
      <c r="AF13" s="162">
        <f t="shared" si="2"/>
        <v>0.95327177286368237</v>
      </c>
      <c r="AG13" s="171">
        <f t="shared" si="35"/>
        <v>0.95327177286368237</v>
      </c>
      <c r="AI13" s="162">
        <f t="shared" si="36"/>
        <v>9.9999999999999978E-2</v>
      </c>
      <c r="AJ13" s="170">
        <f t="shared" si="37"/>
        <v>9.9999999999999978E-2</v>
      </c>
      <c r="AK13" s="162">
        <f t="shared" si="3"/>
        <v>0.95327177286368237</v>
      </c>
      <c r="AL13" s="171">
        <f t="shared" si="38"/>
        <v>0.95327177286368237</v>
      </c>
      <c r="AN13" s="162">
        <f t="shared" si="39"/>
        <v>9.9999999999999978E-2</v>
      </c>
      <c r="AO13" s="162">
        <f t="shared" si="40"/>
        <v>9.9999999999999978E-2</v>
      </c>
      <c r="AP13" s="162">
        <f t="shared" si="4"/>
        <v>0.95327177286368237</v>
      </c>
      <c r="AQ13" s="171">
        <f t="shared" si="41"/>
        <v>0.95327177286368237</v>
      </c>
      <c r="AS13" s="162">
        <f t="shared" si="42"/>
        <v>9.9999999999999978E-2</v>
      </c>
      <c r="AT13" s="170">
        <f t="shared" si="43"/>
        <v>9.9999999999999978E-2</v>
      </c>
      <c r="AU13" s="162">
        <f t="shared" si="5"/>
        <v>0.95327177286368237</v>
      </c>
      <c r="AV13" s="171">
        <f t="shared" si="44"/>
        <v>0.95327177286368237</v>
      </c>
      <c r="AX13" s="162">
        <f t="shared" si="45"/>
        <v>9.9999999999999978E-2</v>
      </c>
      <c r="AY13" s="170">
        <f t="shared" si="46"/>
        <v>9.9999999999999978E-2</v>
      </c>
      <c r="AZ13" s="162">
        <f t="shared" si="6"/>
        <v>0.95327177286368237</v>
      </c>
      <c r="BA13" s="171">
        <f t="shared" si="47"/>
        <v>0.95327177286368237</v>
      </c>
      <c r="BC13" s="162">
        <f t="shared" si="48"/>
        <v>9.9999999999999978E-2</v>
      </c>
      <c r="BD13" s="162">
        <f t="shared" si="49"/>
        <v>9.9999999999999978E-2</v>
      </c>
      <c r="BE13" s="162">
        <f t="shared" si="7"/>
        <v>0.95327177286368237</v>
      </c>
      <c r="BF13" s="171">
        <f t="shared" si="50"/>
        <v>0.95327177286368237</v>
      </c>
      <c r="BH13" s="162">
        <f t="shared" si="51"/>
        <v>9.9999999999999978E-2</v>
      </c>
      <c r="BI13" s="170">
        <f t="shared" si="52"/>
        <v>9.9999999999999978E-2</v>
      </c>
      <c r="BJ13" s="162">
        <f t="shared" si="8"/>
        <v>0.95327177286368237</v>
      </c>
      <c r="BK13" s="171">
        <f t="shared" si="53"/>
        <v>0.95327177286368237</v>
      </c>
      <c r="BM13" s="162">
        <f t="shared" si="54"/>
        <v>9.9999999999999978E-2</v>
      </c>
      <c r="BN13" s="170">
        <f t="shared" si="55"/>
        <v>9.9999999999999978E-2</v>
      </c>
      <c r="BO13" s="162">
        <f t="shared" si="9"/>
        <v>0.95327177286368237</v>
      </c>
      <c r="BP13" s="171">
        <f t="shared" si="56"/>
        <v>0.95327177286368237</v>
      </c>
      <c r="BR13" s="162">
        <f t="shared" si="57"/>
        <v>9.9999999999999978E-2</v>
      </c>
      <c r="BS13" s="162">
        <f t="shared" si="58"/>
        <v>9.9999999999999978E-2</v>
      </c>
      <c r="BT13" s="162">
        <f t="shared" si="10"/>
        <v>0.95327177286368237</v>
      </c>
      <c r="BU13" s="171">
        <f t="shared" si="59"/>
        <v>0.95327177286368237</v>
      </c>
      <c r="BW13" s="162">
        <f t="shared" si="60"/>
        <v>9.9999999999999978E-2</v>
      </c>
      <c r="BX13" s="170">
        <f t="shared" si="61"/>
        <v>9.9999999999999978E-2</v>
      </c>
      <c r="BY13" s="162">
        <f t="shared" si="11"/>
        <v>0.95327177286368237</v>
      </c>
      <c r="BZ13" s="171">
        <f t="shared" si="62"/>
        <v>0.95327177286368237</v>
      </c>
      <c r="CB13" s="162">
        <f t="shared" si="63"/>
        <v>9.9999999999999978E-2</v>
      </c>
      <c r="CC13" s="170">
        <f t="shared" si="64"/>
        <v>9.9999999999999978E-2</v>
      </c>
      <c r="CD13" s="162">
        <f t="shared" si="12"/>
        <v>0.95327177286368237</v>
      </c>
      <c r="CE13" s="171">
        <f t="shared" si="65"/>
        <v>0.95327177286368237</v>
      </c>
      <c r="CG13" s="172">
        <f t="shared" si="66"/>
        <v>9.9999999999999978E-2</v>
      </c>
      <c r="CH13" s="172">
        <f t="shared" si="67"/>
        <v>9.9999999999999978E-2</v>
      </c>
      <c r="CI13" s="172">
        <f t="shared" si="13"/>
        <v>0.95327177286368237</v>
      </c>
      <c r="CJ13" s="171">
        <f t="shared" si="68"/>
        <v>0.95327177286368237</v>
      </c>
      <c r="CK13" s="172"/>
      <c r="CL13" s="162">
        <f t="shared" si="69"/>
        <v>9.9999999999999978E-2</v>
      </c>
      <c r="CM13" s="170">
        <f t="shared" si="70"/>
        <v>9.9999999999999978E-2</v>
      </c>
      <c r="CN13" s="162">
        <f t="shared" si="14"/>
        <v>0.95327177286368237</v>
      </c>
      <c r="CO13" s="171">
        <f t="shared" si="71"/>
        <v>0.95327177286368237</v>
      </c>
      <c r="CQ13" s="162">
        <f t="shared" si="72"/>
        <v>9.9999999999999978E-2</v>
      </c>
      <c r="CR13" s="170">
        <f t="shared" si="73"/>
        <v>9.9999999999999978E-2</v>
      </c>
      <c r="CS13" s="162">
        <f t="shared" si="15"/>
        <v>0.95327177286368237</v>
      </c>
      <c r="CT13" s="171">
        <f t="shared" si="74"/>
        <v>0.95327177286368237</v>
      </c>
      <c r="CV13" s="162">
        <f t="shared" si="75"/>
        <v>9.9999999999999978E-2</v>
      </c>
      <c r="CW13" s="162">
        <f t="shared" si="76"/>
        <v>9.9999999999999978E-2</v>
      </c>
      <c r="CX13" s="162">
        <f t="shared" si="16"/>
        <v>0.95327177286368237</v>
      </c>
      <c r="CY13" s="171">
        <f t="shared" si="77"/>
        <v>0.95327177286368237</v>
      </c>
      <c r="DA13" s="162">
        <f t="shared" si="78"/>
        <v>9.9999999999999978E-2</v>
      </c>
      <c r="DB13" s="170">
        <f t="shared" si="79"/>
        <v>9.9999999999999978E-2</v>
      </c>
      <c r="DC13" s="162">
        <f t="shared" si="17"/>
        <v>0.95327177286368237</v>
      </c>
      <c r="DD13" s="171">
        <f t="shared" si="80"/>
        <v>0.95327177286368237</v>
      </c>
      <c r="DF13" s="162">
        <f t="shared" si="81"/>
        <v>9.9999999999999978E-2</v>
      </c>
      <c r="DG13" s="170">
        <f t="shared" si="82"/>
        <v>9.9999999999999978E-2</v>
      </c>
      <c r="DH13" s="162">
        <f t="shared" si="18"/>
        <v>0.95327177286368237</v>
      </c>
      <c r="DI13" s="171">
        <f t="shared" si="83"/>
        <v>0.95327177286368237</v>
      </c>
      <c r="DK13" s="162">
        <f t="shared" si="84"/>
        <v>9.9999999999999978E-2</v>
      </c>
      <c r="DL13" s="162">
        <f t="shared" si="85"/>
        <v>9.9999999999999978E-2</v>
      </c>
      <c r="DM13" s="162">
        <f t="shared" si="19"/>
        <v>0.95327177286368237</v>
      </c>
      <c r="DN13" s="171">
        <f t="shared" si="86"/>
        <v>0.95327177286368237</v>
      </c>
      <c r="DP13" s="162">
        <f t="shared" si="87"/>
        <v>9.9999999999999978E-2</v>
      </c>
      <c r="DQ13" s="170">
        <f t="shared" si="88"/>
        <v>9.9999999999999978E-2</v>
      </c>
      <c r="DR13" s="162">
        <f t="shared" si="20"/>
        <v>0.95327177286368237</v>
      </c>
      <c r="DS13" s="171">
        <f t="shared" si="89"/>
        <v>0.95327177286368237</v>
      </c>
      <c r="DU13" s="162">
        <f t="shared" si="90"/>
        <v>9.9999999999999978E-2</v>
      </c>
      <c r="DV13" s="170">
        <f t="shared" si="91"/>
        <v>9.9999999999999978E-2</v>
      </c>
      <c r="DW13" s="162">
        <f t="shared" si="21"/>
        <v>0.95327177286368237</v>
      </c>
      <c r="DX13" s="171">
        <f t="shared" si="92"/>
        <v>0.95327177286368237</v>
      </c>
      <c r="DZ13" s="162">
        <f t="shared" si="93"/>
        <v>9.9999999999999978E-2</v>
      </c>
      <c r="EA13" s="162">
        <f t="shared" si="94"/>
        <v>9.9999999999999978E-2</v>
      </c>
      <c r="EB13" s="162">
        <f t="shared" si="22"/>
        <v>0.95327177286368237</v>
      </c>
      <c r="EC13" s="171">
        <f t="shared" si="95"/>
        <v>0.95327177286368237</v>
      </c>
      <c r="EE13" s="162">
        <f t="shared" si="96"/>
        <v>9.9999999999999978E-2</v>
      </c>
      <c r="EF13" s="170">
        <f t="shared" si="97"/>
        <v>9.9999999999999978E-2</v>
      </c>
      <c r="EG13" s="162">
        <f t="shared" si="23"/>
        <v>0.95327177286368237</v>
      </c>
      <c r="EH13" s="171">
        <f t="shared" si="98"/>
        <v>0.95327177286368237</v>
      </c>
      <c r="EJ13" s="162">
        <f t="shared" si="99"/>
        <v>9.9999999999999978E-2</v>
      </c>
      <c r="EK13" s="170">
        <f t="shared" si="100"/>
        <v>9.9999999999999978E-2</v>
      </c>
      <c r="EL13" s="162">
        <f t="shared" si="24"/>
        <v>0.95327177286368237</v>
      </c>
      <c r="EM13" s="171">
        <f t="shared" si="101"/>
        <v>0.95327177286368237</v>
      </c>
      <c r="EO13" s="162">
        <f t="shared" si="102"/>
        <v>9.9999999999999978E-2</v>
      </c>
      <c r="EP13" s="162">
        <f t="shared" si="103"/>
        <v>9.9999999999999978E-2</v>
      </c>
      <c r="EQ13" s="162">
        <f t="shared" si="25"/>
        <v>0.95327177286368237</v>
      </c>
      <c r="ER13" s="171">
        <f t="shared" si="104"/>
        <v>0.95327177286368237</v>
      </c>
      <c r="ET13" s="162">
        <f t="shared" si="105"/>
        <v>9.9999999999999978E-2</v>
      </c>
      <c r="EU13" s="170">
        <f t="shared" si="106"/>
        <v>9.9999999999999978E-2</v>
      </c>
      <c r="EV13" s="162">
        <f t="shared" si="26"/>
        <v>0.95327177286368237</v>
      </c>
      <c r="EW13" s="171">
        <f t="shared" si="107"/>
        <v>0.95327177286368237</v>
      </c>
    </row>
    <row r="14" spans="2:156" ht="14.45" x14ac:dyDescent="0.3">
      <c r="D14" s="177"/>
      <c r="N14" s="177">
        <f>MAX(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4.7749685025177477</v>
      </c>
      <c r="T14" s="162">
        <f t="shared" si="27"/>
        <v>0.11999999999999997</v>
      </c>
      <c r="U14" s="170">
        <f t="shared" si="28"/>
        <v>0.11999999999999997</v>
      </c>
      <c r="V14" s="162">
        <f t="shared" si="0"/>
        <v>1.0958005892528775</v>
      </c>
      <c r="W14" s="171">
        <f t="shared" si="29"/>
        <v>1.0958005892528775</v>
      </c>
      <c r="Y14" s="162">
        <f t="shared" si="30"/>
        <v>0.11999999999999997</v>
      </c>
      <c r="Z14" s="162">
        <f t="shared" si="31"/>
        <v>0.11999999999999997</v>
      </c>
      <c r="AA14" s="162">
        <f t="shared" si="1"/>
        <v>1.0958005892528775</v>
      </c>
      <c r="AB14" s="171">
        <f t="shared" si="32"/>
        <v>1.0958005892528775</v>
      </c>
      <c r="AD14" s="162">
        <f t="shared" si="33"/>
        <v>0.11999999999999997</v>
      </c>
      <c r="AE14" s="170">
        <f t="shared" si="34"/>
        <v>0.11999999999999997</v>
      </c>
      <c r="AF14" s="162">
        <f t="shared" si="2"/>
        <v>1.0958005892528775</v>
      </c>
      <c r="AG14" s="171">
        <f t="shared" si="35"/>
        <v>1.0958005892528775</v>
      </c>
      <c r="AI14" s="162">
        <f t="shared" si="36"/>
        <v>0.11999999999999997</v>
      </c>
      <c r="AJ14" s="170">
        <f t="shared" si="37"/>
        <v>0.11999999999999997</v>
      </c>
      <c r="AK14" s="162">
        <f t="shared" si="3"/>
        <v>1.0958005892528775</v>
      </c>
      <c r="AL14" s="171">
        <f t="shared" si="38"/>
        <v>1.0958005892528775</v>
      </c>
      <c r="AN14" s="162">
        <f t="shared" si="39"/>
        <v>0.11999999999999997</v>
      </c>
      <c r="AO14" s="162">
        <f t="shared" si="40"/>
        <v>0.11999999999999997</v>
      </c>
      <c r="AP14" s="162">
        <f t="shared" si="4"/>
        <v>1.0958005892528775</v>
      </c>
      <c r="AQ14" s="171">
        <f t="shared" si="41"/>
        <v>1.0958005892528775</v>
      </c>
      <c r="AS14" s="162">
        <f t="shared" si="42"/>
        <v>0.11999999999999997</v>
      </c>
      <c r="AT14" s="170">
        <f t="shared" si="43"/>
        <v>0.11999999999999997</v>
      </c>
      <c r="AU14" s="162">
        <f t="shared" si="5"/>
        <v>1.0958005892528775</v>
      </c>
      <c r="AV14" s="171">
        <f t="shared" si="44"/>
        <v>1.0958005892528775</v>
      </c>
      <c r="AX14" s="162">
        <f t="shared" si="45"/>
        <v>0.11999999999999997</v>
      </c>
      <c r="AY14" s="170">
        <f t="shared" si="46"/>
        <v>0.11999999999999997</v>
      </c>
      <c r="AZ14" s="162">
        <f t="shared" si="6"/>
        <v>1.0958005892528775</v>
      </c>
      <c r="BA14" s="171">
        <f t="shared" si="47"/>
        <v>1.0958005892528775</v>
      </c>
      <c r="BC14" s="162">
        <f t="shared" si="48"/>
        <v>0.11999999999999997</v>
      </c>
      <c r="BD14" s="162">
        <f t="shared" si="49"/>
        <v>0.11999999999999997</v>
      </c>
      <c r="BE14" s="162">
        <f t="shared" si="7"/>
        <v>1.0958005892528775</v>
      </c>
      <c r="BF14" s="171">
        <f t="shared" si="50"/>
        <v>1.0958005892528775</v>
      </c>
      <c r="BH14" s="162">
        <f t="shared" si="51"/>
        <v>0.11999999999999997</v>
      </c>
      <c r="BI14" s="170">
        <f t="shared" si="52"/>
        <v>0.11999999999999997</v>
      </c>
      <c r="BJ14" s="162">
        <f t="shared" si="8"/>
        <v>1.0958005892528775</v>
      </c>
      <c r="BK14" s="171">
        <f t="shared" si="53"/>
        <v>1.0958005892528775</v>
      </c>
      <c r="BM14" s="162">
        <f t="shared" si="54"/>
        <v>0.11999999999999997</v>
      </c>
      <c r="BN14" s="170">
        <f t="shared" si="55"/>
        <v>0.11999999999999997</v>
      </c>
      <c r="BO14" s="162">
        <f t="shared" si="9"/>
        <v>1.0958005892528775</v>
      </c>
      <c r="BP14" s="171">
        <f t="shared" si="56"/>
        <v>1.0958005892528775</v>
      </c>
      <c r="BR14" s="162">
        <f t="shared" si="57"/>
        <v>0.11999999999999997</v>
      </c>
      <c r="BS14" s="162">
        <f t="shared" si="58"/>
        <v>0.11999999999999997</v>
      </c>
      <c r="BT14" s="162">
        <f t="shared" si="10"/>
        <v>1.0958005892528775</v>
      </c>
      <c r="BU14" s="171">
        <f t="shared" si="59"/>
        <v>1.0958005892528775</v>
      </c>
      <c r="BW14" s="162">
        <f t="shared" si="60"/>
        <v>0.11999999999999997</v>
      </c>
      <c r="BX14" s="170">
        <f t="shared" si="61"/>
        <v>0.11999999999999997</v>
      </c>
      <c r="BY14" s="162">
        <f t="shared" si="11"/>
        <v>1.0958005892528775</v>
      </c>
      <c r="BZ14" s="171">
        <f t="shared" si="62"/>
        <v>1.0958005892528775</v>
      </c>
      <c r="CB14" s="162">
        <f t="shared" si="63"/>
        <v>0.11999999999999997</v>
      </c>
      <c r="CC14" s="170">
        <f t="shared" si="64"/>
        <v>0.11999999999999997</v>
      </c>
      <c r="CD14" s="162">
        <f t="shared" si="12"/>
        <v>1.0958005892528775</v>
      </c>
      <c r="CE14" s="171">
        <f t="shared" si="65"/>
        <v>1.0958005892528775</v>
      </c>
      <c r="CG14" s="172">
        <f t="shared" si="66"/>
        <v>0.11999999999999997</v>
      </c>
      <c r="CH14" s="172">
        <f t="shared" si="67"/>
        <v>0.11999999999999997</v>
      </c>
      <c r="CI14" s="172">
        <f t="shared" si="13"/>
        <v>1.0958005892528775</v>
      </c>
      <c r="CJ14" s="171">
        <f t="shared" si="68"/>
        <v>1.0958005892528775</v>
      </c>
      <c r="CK14" s="172"/>
      <c r="CL14" s="162">
        <f t="shared" si="69"/>
        <v>0.11999999999999997</v>
      </c>
      <c r="CM14" s="170">
        <f t="shared" si="70"/>
        <v>0.11999999999999997</v>
      </c>
      <c r="CN14" s="162">
        <f t="shared" si="14"/>
        <v>1.0958005892528775</v>
      </c>
      <c r="CO14" s="171">
        <f t="shared" si="71"/>
        <v>1.0958005892528775</v>
      </c>
      <c r="CQ14" s="162">
        <f t="shared" si="72"/>
        <v>0.11999999999999997</v>
      </c>
      <c r="CR14" s="170">
        <f t="shared" si="73"/>
        <v>0.11999999999999997</v>
      </c>
      <c r="CS14" s="162">
        <f t="shared" si="15"/>
        <v>1.0958005892528775</v>
      </c>
      <c r="CT14" s="171">
        <f t="shared" si="74"/>
        <v>1.0958005892528775</v>
      </c>
      <c r="CV14" s="162">
        <f t="shared" si="75"/>
        <v>0.11999999999999997</v>
      </c>
      <c r="CW14" s="162">
        <f t="shared" si="76"/>
        <v>0.11999999999999997</v>
      </c>
      <c r="CX14" s="162">
        <f t="shared" si="16"/>
        <v>1.0958005892528775</v>
      </c>
      <c r="CY14" s="171">
        <f t="shared" si="77"/>
        <v>1.0958005892528775</v>
      </c>
      <c r="DA14" s="162">
        <f t="shared" si="78"/>
        <v>0.11999999999999997</v>
      </c>
      <c r="DB14" s="170">
        <f t="shared" si="79"/>
        <v>0.11999999999999997</v>
      </c>
      <c r="DC14" s="162">
        <f t="shared" si="17"/>
        <v>1.0958005892528775</v>
      </c>
      <c r="DD14" s="171">
        <f t="shared" si="80"/>
        <v>1.0958005892528775</v>
      </c>
      <c r="DF14" s="162">
        <f t="shared" si="81"/>
        <v>0.11999999999999997</v>
      </c>
      <c r="DG14" s="170">
        <f t="shared" si="82"/>
        <v>0.11999999999999997</v>
      </c>
      <c r="DH14" s="162">
        <f t="shared" si="18"/>
        <v>1.0958005892528775</v>
      </c>
      <c r="DI14" s="171">
        <f t="shared" si="83"/>
        <v>1.0958005892528775</v>
      </c>
      <c r="DK14" s="162">
        <f t="shared" si="84"/>
        <v>0.11999999999999997</v>
      </c>
      <c r="DL14" s="162">
        <f t="shared" si="85"/>
        <v>0.11999999999999997</v>
      </c>
      <c r="DM14" s="162">
        <f t="shared" si="19"/>
        <v>1.0958005892528775</v>
      </c>
      <c r="DN14" s="171">
        <f t="shared" si="86"/>
        <v>1.0958005892528775</v>
      </c>
      <c r="DP14" s="162">
        <f t="shared" si="87"/>
        <v>0.11999999999999997</v>
      </c>
      <c r="DQ14" s="170">
        <f t="shared" si="88"/>
        <v>0.11999999999999997</v>
      </c>
      <c r="DR14" s="162">
        <f t="shared" si="20"/>
        <v>1.0958005892528775</v>
      </c>
      <c r="DS14" s="171">
        <f t="shared" si="89"/>
        <v>1.0958005892528775</v>
      </c>
      <c r="DU14" s="162">
        <f t="shared" si="90"/>
        <v>0.11999999999999997</v>
      </c>
      <c r="DV14" s="170">
        <f t="shared" si="91"/>
        <v>0.11999999999999997</v>
      </c>
      <c r="DW14" s="162">
        <f t="shared" si="21"/>
        <v>1.0958005892528775</v>
      </c>
      <c r="DX14" s="171">
        <f t="shared" si="92"/>
        <v>1.0958005892528775</v>
      </c>
      <c r="DZ14" s="162">
        <f t="shared" si="93"/>
        <v>0.11999999999999997</v>
      </c>
      <c r="EA14" s="162">
        <f t="shared" si="94"/>
        <v>0.11999999999999997</v>
      </c>
      <c r="EB14" s="162">
        <f t="shared" si="22"/>
        <v>1.0958005892528775</v>
      </c>
      <c r="EC14" s="171">
        <f t="shared" si="95"/>
        <v>1.0958005892528775</v>
      </c>
      <c r="EE14" s="162">
        <f t="shared" si="96"/>
        <v>0.11999999999999997</v>
      </c>
      <c r="EF14" s="170">
        <f t="shared" si="97"/>
        <v>0.11999999999999997</v>
      </c>
      <c r="EG14" s="162">
        <f t="shared" si="23"/>
        <v>1.0958005892528775</v>
      </c>
      <c r="EH14" s="171">
        <f t="shared" si="98"/>
        <v>1.0958005892528775</v>
      </c>
      <c r="EJ14" s="162">
        <f t="shared" si="99"/>
        <v>0.11999999999999997</v>
      </c>
      <c r="EK14" s="170">
        <f t="shared" si="100"/>
        <v>0.11999999999999997</v>
      </c>
      <c r="EL14" s="162">
        <f t="shared" si="24"/>
        <v>1.0958005892528775</v>
      </c>
      <c r="EM14" s="171">
        <f t="shared" si="101"/>
        <v>1.0958005892528775</v>
      </c>
      <c r="EO14" s="162">
        <f t="shared" si="102"/>
        <v>0.11999999999999997</v>
      </c>
      <c r="EP14" s="162">
        <f t="shared" si="103"/>
        <v>0.11999999999999997</v>
      </c>
      <c r="EQ14" s="162">
        <f t="shared" si="25"/>
        <v>1.0958005892528775</v>
      </c>
      <c r="ER14" s="171">
        <f t="shared" si="104"/>
        <v>1.0958005892528775</v>
      </c>
      <c r="ET14" s="162">
        <f t="shared" si="105"/>
        <v>0.11999999999999997</v>
      </c>
      <c r="EU14" s="170">
        <f t="shared" si="106"/>
        <v>0.11999999999999997</v>
      </c>
      <c r="EV14" s="162">
        <f t="shared" si="26"/>
        <v>1.0958005892528775</v>
      </c>
      <c r="EW14" s="171">
        <f t="shared" si="107"/>
        <v>1.0958005892528775</v>
      </c>
    </row>
    <row r="15" spans="2:156" ht="14.45" x14ac:dyDescent="0.3">
      <c r="N15" s="177">
        <f>MIN(U8:U108,W8:W108,Z8:Z108,AB8:AB108,AE8:AE108,AG8:AG108,AJ8:AJ108,AL8:AL108,AO8:AO108,AQ8:AQ108,AT8:AT108,AV8:AV108,AY8:AY108,BA8:BA108,BD8:BD108,BF8:BF108,BI8:BI108,BK8:BK108,BN8:BN108,BP8:BP108,BS8:BS108,BU8:BU108,BX8:BX108,BZ8:BZ108,CC8:CC108,CE8:CE108,CH8:CH108,CJ8:CJ108,CM8:CM108,CO8:CO108,CR8:CR108,CT8:CT108,CW8:CW108,CY8:CY108,DB8:DB108,DD8:DD108,DG8:DG108,DI8:DI108,DL8:DL108,DN8:DN108,DQ8:DQ108,DS8:DS108,DV8:DV108,DX8:DX108,EA8:EA108,EC8:EC108,EF8:EF108,EH8:EH108,EK8:EK108,EM8:EM108,EP8:EP108,ER8:ER108,EU8:EU108,EW8:EW108)</f>
        <v>0</v>
      </c>
      <c r="T15" s="162">
        <f t="shared" si="27"/>
        <v>0.13999999999999996</v>
      </c>
      <c r="U15" s="170">
        <f t="shared" si="28"/>
        <v>0.13999999999999996</v>
      </c>
      <c r="V15" s="162">
        <f t="shared" si="0"/>
        <v>1.2356208929142256</v>
      </c>
      <c r="W15" s="171">
        <f t="shared" si="29"/>
        <v>1.2356208929142256</v>
      </c>
      <c r="Y15" s="162">
        <f t="shared" si="30"/>
        <v>0.13999999999999996</v>
      </c>
      <c r="Z15" s="162">
        <f t="shared" si="31"/>
        <v>0.13999999999999996</v>
      </c>
      <c r="AA15" s="162">
        <f t="shared" si="1"/>
        <v>1.2356208929142256</v>
      </c>
      <c r="AB15" s="171">
        <f t="shared" si="32"/>
        <v>1.2356208929142256</v>
      </c>
      <c r="AD15" s="162">
        <f t="shared" si="33"/>
        <v>0.13999999999999996</v>
      </c>
      <c r="AE15" s="170">
        <f t="shared" si="34"/>
        <v>0.13999999999999996</v>
      </c>
      <c r="AF15" s="162">
        <f t="shared" si="2"/>
        <v>1.2356208929142256</v>
      </c>
      <c r="AG15" s="171">
        <f t="shared" si="35"/>
        <v>1.2356208929142256</v>
      </c>
      <c r="AI15" s="162">
        <f t="shared" si="36"/>
        <v>0.13999999999999996</v>
      </c>
      <c r="AJ15" s="170">
        <f t="shared" si="37"/>
        <v>0.13999999999999996</v>
      </c>
      <c r="AK15" s="162">
        <f t="shared" si="3"/>
        <v>1.2356208929142256</v>
      </c>
      <c r="AL15" s="171">
        <f t="shared" si="38"/>
        <v>1.2356208929142256</v>
      </c>
      <c r="AN15" s="162">
        <f t="shared" si="39"/>
        <v>0.13999999999999996</v>
      </c>
      <c r="AO15" s="162">
        <f t="shared" si="40"/>
        <v>0.13999999999999996</v>
      </c>
      <c r="AP15" s="162">
        <f t="shared" si="4"/>
        <v>1.2356208929142256</v>
      </c>
      <c r="AQ15" s="171">
        <f t="shared" si="41"/>
        <v>1.2356208929142256</v>
      </c>
      <c r="AS15" s="162">
        <f t="shared" si="42"/>
        <v>0.13999999999999996</v>
      </c>
      <c r="AT15" s="170">
        <f t="shared" si="43"/>
        <v>0.13999999999999996</v>
      </c>
      <c r="AU15" s="162">
        <f t="shared" si="5"/>
        <v>1.2356208929142256</v>
      </c>
      <c r="AV15" s="171">
        <f t="shared" si="44"/>
        <v>1.2356208929142256</v>
      </c>
      <c r="AX15" s="162">
        <f t="shared" si="45"/>
        <v>0.13999999999999996</v>
      </c>
      <c r="AY15" s="170">
        <f t="shared" si="46"/>
        <v>0.13999999999999996</v>
      </c>
      <c r="AZ15" s="162">
        <f t="shared" si="6"/>
        <v>1.2356208929142256</v>
      </c>
      <c r="BA15" s="171">
        <f t="shared" si="47"/>
        <v>1.2356208929142256</v>
      </c>
      <c r="BC15" s="162">
        <f t="shared" si="48"/>
        <v>0.13999999999999996</v>
      </c>
      <c r="BD15" s="162">
        <f t="shared" si="49"/>
        <v>0.13999999999999996</v>
      </c>
      <c r="BE15" s="162">
        <f t="shared" si="7"/>
        <v>1.2356208929142256</v>
      </c>
      <c r="BF15" s="171">
        <f t="shared" si="50"/>
        <v>1.2356208929142256</v>
      </c>
      <c r="BH15" s="162">
        <f t="shared" si="51"/>
        <v>0.13999999999999996</v>
      </c>
      <c r="BI15" s="170">
        <f t="shared" si="52"/>
        <v>0.13999999999999996</v>
      </c>
      <c r="BJ15" s="162">
        <f t="shared" si="8"/>
        <v>1.2356208929142256</v>
      </c>
      <c r="BK15" s="171">
        <f t="shared" si="53"/>
        <v>1.2356208929142256</v>
      </c>
      <c r="BM15" s="162">
        <f t="shared" si="54"/>
        <v>0.13999999999999996</v>
      </c>
      <c r="BN15" s="170">
        <f t="shared" si="55"/>
        <v>0.13999999999999996</v>
      </c>
      <c r="BO15" s="162">
        <f t="shared" si="9"/>
        <v>1.2356208929142256</v>
      </c>
      <c r="BP15" s="171">
        <f t="shared" si="56"/>
        <v>1.2356208929142256</v>
      </c>
      <c r="BR15" s="162">
        <f t="shared" si="57"/>
        <v>0.13999999999999996</v>
      </c>
      <c r="BS15" s="162">
        <f t="shared" si="58"/>
        <v>0.13999999999999996</v>
      </c>
      <c r="BT15" s="162">
        <f t="shared" si="10"/>
        <v>1.2356208929142256</v>
      </c>
      <c r="BU15" s="171">
        <f t="shared" si="59"/>
        <v>1.2356208929142256</v>
      </c>
      <c r="BW15" s="162">
        <f t="shared" si="60"/>
        <v>0.13999999999999996</v>
      </c>
      <c r="BX15" s="170">
        <f t="shared" si="61"/>
        <v>0.13999999999999996</v>
      </c>
      <c r="BY15" s="162">
        <f t="shared" si="11"/>
        <v>1.2356208929142256</v>
      </c>
      <c r="BZ15" s="171">
        <f t="shared" si="62"/>
        <v>1.2356208929142256</v>
      </c>
      <c r="CB15" s="162">
        <f t="shared" si="63"/>
        <v>0.13999999999999996</v>
      </c>
      <c r="CC15" s="170">
        <f t="shared" si="64"/>
        <v>0.13999999999999996</v>
      </c>
      <c r="CD15" s="162">
        <f t="shared" si="12"/>
        <v>1.2356208929142256</v>
      </c>
      <c r="CE15" s="171">
        <f t="shared" si="65"/>
        <v>1.2356208929142256</v>
      </c>
      <c r="CG15" s="172">
        <f t="shared" si="66"/>
        <v>0.13999999999999996</v>
      </c>
      <c r="CH15" s="172">
        <f t="shared" si="67"/>
        <v>0.13999999999999996</v>
      </c>
      <c r="CI15" s="172">
        <f t="shared" si="13"/>
        <v>1.2356208929142256</v>
      </c>
      <c r="CJ15" s="171">
        <f t="shared" si="68"/>
        <v>1.2356208929142256</v>
      </c>
      <c r="CK15" s="172"/>
      <c r="CL15" s="162">
        <f t="shared" si="69"/>
        <v>0.13999999999999996</v>
      </c>
      <c r="CM15" s="170">
        <f t="shared" si="70"/>
        <v>0.13999999999999996</v>
      </c>
      <c r="CN15" s="162">
        <f t="shared" si="14"/>
        <v>1.2356208929142256</v>
      </c>
      <c r="CO15" s="171">
        <f t="shared" si="71"/>
        <v>1.2356208929142256</v>
      </c>
      <c r="CQ15" s="162">
        <f t="shared" si="72"/>
        <v>0.13999999999999996</v>
      </c>
      <c r="CR15" s="170">
        <f t="shared" si="73"/>
        <v>0.13999999999999996</v>
      </c>
      <c r="CS15" s="162">
        <f t="shared" si="15"/>
        <v>1.2356208929142256</v>
      </c>
      <c r="CT15" s="171">
        <f t="shared" si="74"/>
        <v>1.2356208929142256</v>
      </c>
      <c r="CV15" s="162">
        <f t="shared" si="75"/>
        <v>0.13999999999999996</v>
      </c>
      <c r="CW15" s="162">
        <f t="shared" si="76"/>
        <v>0.13999999999999996</v>
      </c>
      <c r="CX15" s="162">
        <f t="shared" si="16"/>
        <v>1.2356208929142256</v>
      </c>
      <c r="CY15" s="171">
        <f t="shared" si="77"/>
        <v>1.2356208929142256</v>
      </c>
      <c r="DA15" s="162">
        <f t="shared" si="78"/>
        <v>0.13999999999999996</v>
      </c>
      <c r="DB15" s="170">
        <f t="shared" si="79"/>
        <v>0.13999999999999996</v>
      </c>
      <c r="DC15" s="162">
        <f t="shared" si="17"/>
        <v>1.2356208929142256</v>
      </c>
      <c r="DD15" s="171">
        <f t="shared" si="80"/>
        <v>1.2356208929142256</v>
      </c>
      <c r="DF15" s="162">
        <f t="shared" si="81"/>
        <v>0.13999999999999996</v>
      </c>
      <c r="DG15" s="170">
        <f t="shared" si="82"/>
        <v>0.13999999999999996</v>
      </c>
      <c r="DH15" s="162">
        <f t="shared" si="18"/>
        <v>1.2356208929142256</v>
      </c>
      <c r="DI15" s="171">
        <f t="shared" si="83"/>
        <v>1.2356208929142256</v>
      </c>
      <c r="DK15" s="162">
        <f t="shared" si="84"/>
        <v>0.13999999999999996</v>
      </c>
      <c r="DL15" s="162">
        <f t="shared" si="85"/>
        <v>0.13999999999999996</v>
      </c>
      <c r="DM15" s="162">
        <f t="shared" si="19"/>
        <v>1.2356208929142256</v>
      </c>
      <c r="DN15" s="171">
        <f t="shared" si="86"/>
        <v>1.2356208929142256</v>
      </c>
      <c r="DP15" s="162">
        <f t="shared" si="87"/>
        <v>0.13999999999999996</v>
      </c>
      <c r="DQ15" s="170">
        <f t="shared" si="88"/>
        <v>0.13999999999999996</v>
      </c>
      <c r="DR15" s="162">
        <f t="shared" si="20"/>
        <v>1.2356208929142256</v>
      </c>
      <c r="DS15" s="171">
        <f t="shared" si="89"/>
        <v>1.2356208929142256</v>
      </c>
      <c r="DU15" s="162">
        <f t="shared" si="90"/>
        <v>0.13999999999999996</v>
      </c>
      <c r="DV15" s="170">
        <f t="shared" si="91"/>
        <v>0.13999999999999996</v>
      </c>
      <c r="DW15" s="162">
        <f t="shared" si="21"/>
        <v>1.2356208929142256</v>
      </c>
      <c r="DX15" s="171">
        <f t="shared" si="92"/>
        <v>1.2356208929142256</v>
      </c>
      <c r="DZ15" s="162">
        <f t="shared" si="93"/>
        <v>0.13999999999999996</v>
      </c>
      <c r="EA15" s="162">
        <f t="shared" si="94"/>
        <v>0.13999999999999996</v>
      </c>
      <c r="EB15" s="162">
        <f t="shared" si="22"/>
        <v>1.2356208929142256</v>
      </c>
      <c r="EC15" s="171">
        <f t="shared" si="95"/>
        <v>1.2356208929142256</v>
      </c>
      <c r="EE15" s="162">
        <f t="shared" si="96"/>
        <v>0.13999999999999996</v>
      </c>
      <c r="EF15" s="170">
        <f t="shared" si="97"/>
        <v>0.13999999999999996</v>
      </c>
      <c r="EG15" s="162">
        <f t="shared" si="23"/>
        <v>1.2356208929142256</v>
      </c>
      <c r="EH15" s="171">
        <f t="shared" si="98"/>
        <v>1.2356208929142256</v>
      </c>
      <c r="EJ15" s="162">
        <f t="shared" si="99"/>
        <v>0.13999999999999996</v>
      </c>
      <c r="EK15" s="170">
        <f t="shared" si="100"/>
        <v>0.13999999999999996</v>
      </c>
      <c r="EL15" s="162">
        <f t="shared" si="24"/>
        <v>1.2356208929142256</v>
      </c>
      <c r="EM15" s="171">
        <f t="shared" si="101"/>
        <v>1.2356208929142256</v>
      </c>
      <c r="EO15" s="162">
        <f t="shared" si="102"/>
        <v>0.13999999999999996</v>
      </c>
      <c r="EP15" s="162">
        <f t="shared" si="103"/>
        <v>0.13999999999999996</v>
      </c>
      <c r="EQ15" s="162">
        <f t="shared" si="25"/>
        <v>1.2356208929142256</v>
      </c>
      <c r="ER15" s="171">
        <f t="shared" si="104"/>
        <v>1.2356208929142256</v>
      </c>
      <c r="ET15" s="162">
        <f t="shared" si="105"/>
        <v>0.13999999999999996</v>
      </c>
      <c r="EU15" s="170">
        <f t="shared" si="106"/>
        <v>0.13999999999999996</v>
      </c>
      <c r="EV15" s="162">
        <f t="shared" si="26"/>
        <v>1.2356208929142256</v>
      </c>
      <c r="EW15" s="171">
        <f t="shared" si="107"/>
        <v>1.2356208929142256</v>
      </c>
    </row>
    <row r="16" spans="2:156" ht="14.45" x14ac:dyDescent="0.3">
      <c r="C16" s="167" t="str">
        <f>"Final Height (" &amp; IF($B$4, "m", "ft") &amp; ")"</f>
        <v>Final Height (m)</v>
      </c>
      <c r="D16" s="178">
        <f>$D$8*TAN(RADIANS($D$12))-(IF($B$4, 9.807, 32.174)*$D$8^2)/(2*$D$10^2*COS(RADIANS($D$12))^2)+$D$7</f>
        <v>16.258589278414473</v>
      </c>
      <c r="F16" s="167" t="str">
        <f>"Release Velocity (" &amp; IF($B$4, "m", "ft") &amp; "/s)"</f>
        <v>Release Velocity (m/s)</v>
      </c>
      <c r="G16" s="178">
        <f>SQRT((IF($B$4, 9.807, 32.174)*G8)/(ABS(TAN(RADIANS(G18))-TAN(RADIANS(G12)))))/COS(RADIANS(G18))</f>
        <v>9.5489346835634272</v>
      </c>
      <c r="T16" s="162">
        <f t="shared" si="27"/>
        <v>0.15999999999999995</v>
      </c>
      <c r="U16" s="170">
        <f t="shared" si="28"/>
        <v>0.15999999999999995</v>
      </c>
      <c r="V16" s="162">
        <f t="shared" si="0"/>
        <v>1.3727326838477265</v>
      </c>
      <c r="W16" s="171">
        <f t="shared" si="29"/>
        <v>1.3727326838477265</v>
      </c>
      <c r="Y16" s="162">
        <f t="shared" si="30"/>
        <v>0.15999999999999995</v>
      </c>
      <c r="Z16" s="162">
        <f t="shared" si="31"/>
        <v>0.15999999999999995</v>
      </c>
      <c r="AA16" s="162">
        <f t="shared" si="1"/>
        <v>1.3727326838477265</v>
      </c>
      <c r="AB16" s="171">
        <f t="shared" si="32"/>
        <v>1.3727326838477265</v>
      </c>
      <c r="AD16" s="162">
        <f t="shared" si="33"/>
        <v>0.15999999999999995</v>
      </c>
      <c r="AE16" s="170">
        <f t="shared" si="34"/>
        <v>0.15999999999999995</v>
      </c>
      <c r="AF16" s="162">
        <f t="shared" si="2"/>
        <v>1.3727326838477265</v>
      </c>
      <c r="AG16" s="171">
        <f t="shared" si="35"/>
        <v>1.3727326838477265</v>
      </c>
      <c r="AI16" s="162">
        <f t="shared" si="36"/>
        <v>0.15999999999999995</v>
      </c>
      <c r="AJ16" s="170">
        <f t="shared" si="37"/>
        <v>0.15999999999999995</v>
      </c>
      <c r="AK16" s="162">
        <f t="shared" si="3"/>
        <v>1.3727326838477265</v>
      </c>
      <c r="AL16" s="171">
        <f t="shared" si="38"/>
        <v>1.3727326838477265</v>
      </c>
      <c r="AN16" s="162">
        <f t="shared" si="39"/>
        <v>0.15999999999999995</v>
      </c>
      <c r="AO16" s="162">
        <f t="shared" si="40"/>
        <v>0.15999999999999995</v>
      </c>
      <c r="AP16" s="162">
        <f t="shared" si="4"/>
        <v>1.3727326838477265</v>
      </c>
      <c r="AQ16" s="171">
        <f t="shared" si="41"/>
        <v>1.3727326838477265</v>
      </c>
      <c r="AS16" s="162">
        <f t="shared" si="42"/>
        <v>0.15999999999999995</v>
      </c>
      <c r="AT16" s="170">
        <f t="shared" si="43"/>
        <v>0.15999999999999995</v>
      </c>
      <c r="AU16" s="162">
        <f t="shared" si="5"/>
        <v>1.3727326838477265</v>
      </c>
      <c r="AV16" s="171">
        <f t="shared" si="44"/>
        <v>1.3727326838477265</v>
      </c>
      <c r="AX16" s="162">
        <f t="shared" si="45"/>
        <v>0.15999999999999995</v>
      </c>
      <c r="AY16" s="170">
        <f t="shared" si="46"/>
        <v>0.15999999999999995</v>
      </c>
      <c r="AZ16" s="162">
        <f t="shared" si="6"/>
        <v>1.3727326838477265</v>
      </c>
      <c r="BA16" s="171">
        <f t="shared" si="47"/>
        <v>1.3727326838477265</v>
      </c>
      <c r="BC16" s="162">
        <f t="shared" si="48"/>
        <v>0.15999999999999995</v>
      </c>
      <c r="BD16" s="162">
        <f t="shared" si="49"/>
        <v>0.15999999999999995</v>
      </c>
      <c r="BE16" s="162">
        <f t="shared" si="7"/>
        <v>1.3727326838477265</v>
      </c>
      <c r="BF16" s="171">
        <f t="shared" si="50"/>
        <v>1.3727326838477265</v>
      </c>
      <c r="BH16" s="162">
        <f t="shared" si="51"/>
        <v>0.15999999999999995</v>
      </c>
      <c r="BI16" s="170">
        <f t="shared" si="52"/>
        <v>0.15999999999999995</v>
      </c>
      <c r="BJ16" s="162">
        <f t="shared" si="8"/>
        <v>1.3727326838477265</v>
      </c>
      <c r="BK16" s="171">
        <f t="shared" si="53"/>
        <v>1.3727326838477265</v>
      </c>
      <c r="BM16" s="162">
        <f t="shared" si="54"/>
        <v>0.15999999999999995</v>
      </c>
      <c r="BN16" s="170">
        <f t="shared" si="55"/>
        <v>0.15999999999999995</v>
      </c>
      <c r="BO16" s="162">
        <f t="shared" si="9"/>
        <v>1.3727326838477265</v>
      </c>
      <c r="BP16" s="171">
        <f t="shared" si="56"/>
        <v>1.3727326838477265</v>
      </c>
      <c r="BR16" s="162">
        <f t="shared" si="57"/>
        <v>0.15999999999999995</v>
      </c>
      <c r="BS16" s="162">
        <f t="shared" si="58"/>
        <v>0.15999999999999995</v>
      </c>
      <c r="BT16" s="162">
        <f t="shared" si="10"/>
        <v>1.3727326838477265</v>
      </c>
      <c r="BU16" s="171">
        <f t="shared" si="59"/>
        <v>1.3727326838477265</v>
      </c>
      <c r="BW16" s="162">
        <f t="shared" si="60"/>
        <v>0.15999999999999995</v>
      </c>
      <c r="BX16" s="170">
        <f t="shared" si="61"/>
        <v>0.15999999999999995</v>
      </c>
      <c r="BY16" s="162">
        <f t="shared" si="11"/>
        <v>1.3727326838477265</v>
      </c>
      <c r="BZ16" s="171">
        <f t="shared" si="62"/>
        <v>1.3727326838477265</v>
      </c>
      <c r="CB16" s="162">
        <f t="shared" si="63"/>
        <v>0.15999999999999995</v>
      </c>
      <c r="CC16" s="170">
        <f t="shared" si="64"/>
        <v>0.15999999999999995</v>
      </c>
      <c r="CD16" s="162">
        <f t="shared" si="12"/>
        <v>1.3727326838477265</v>
      </c>
      <c r="CE16" s="171">
        <f t="shared" si="65"/>
        <v>1.3727326838477265</v>
      </c>
      <c r="CG16" s="172">
        <f t="shared" si="66"/>
        <v>0.15999999999999995</v>
      </c>
      <c r="CH16" s="172">
        <f t="shared" si="67"/>
        <v>0.15999999999999995</v>
      </c>
      <c r="CI16" s="172">
        <f t="shared" si="13"/>
        <v>1.3727326838477265</v>
      </c>
      <c r="CJ16" s="171">
        <f t="shared" si="68"/>
        <v>1.3727326838477265</v>
      </c>
      <c r="CK16" s="172"/>
      <c r="CL16" s="162">
        <f t="shared" si="69"/>
        <v>0.15999999999999995</v>
      </c>
      <c r="CM16" s="170">
        <f t="shared" si="70"/>
        <v>0.15999999999999995</v>
      </c>
      <c r="CN16" s="162">
        <f t="shared" si="14"/>
        <v>1.3727326838477265</v>
      </c>
      <c r="CO16" s="171">
        <f t="shared" si="71"/>
        <v>1.3727326838477265</v>
      </c>
      <c r="CQ16" s="162">
        <f t="shared" si="72"/>
        <v>0.15999999999999995</v>
      </c>
      <c r="CR16" s="170">
        <f t="shared" si="73"/>
        <v>0.15999999999999995</v>
      </c>
      <c r="CS16" s="162">
        <f t="shared" si="15"/>
        <v>1.3727326838477265</v>
      </c>
      <c r="CT16" s="171">
        <f t="shared" si="74"/>
        <v>1.3727326838477265</v>
      </c>
      <c r="CV16" s="162">
        <f t="shared" si="75"/>
        <v>0.15999999999999995</v>
      </c>
      <c r="CW16" s="162">
        <f t="shared" si="76"/>
        <v>0.15999999999999995</v>
      </c>
      <c r="CX16" s="162">
        <f t="shared" si="16"/>
        <v>1.3727326838477265</v>
      </c>
      <c r="CY16" s="171">
        <f t="shared" si="77"/>
        <v>1.3727326838477265</v>
      </c>
      <c r="DA16" s="162">
        <f t="shared" si="78"/>
        <v>0.15999999999999995</v>
      </c>
      <c r="DB16" s="170">
        <f t="shared" si="79"/>
        <v>0.15999999999999995</v>
      </c>
      <c r="DC16" s="162">
        <f t="shared" si="17"/>
        <v>1.3727326838477265</v>
      </c>
      <c r="DD16" s="171">
        <f t="shared" si="80"/>
        <v>1.3727326838477265</v>
      </c>
      <c r="DF16" s="162">
        <f t="shared" si="81"/>
        <v>0.15999999999999995</v>
      </c>
      <c r="DG16" s="170">
        <f t="shared" si="82"/>
        <v>0.15999999999999995</v>
      </c>
      <c r="DH16" s="162">
        <f t="shared" si="18"/>
        <v>1.3727326838477265</v>
      </c>
      <c r="DI16" s="171">
        <f t="shared" si="83"/>
        <v>1.3727326838477265</v>
      </c>
      <c r="DK16" s="162">
        <f t="shared" si="84"/>
        <v>0.15999999999999995</v>
      </c>
      <c r="DL16" s="162">
        <f t="shared" si="85"/>
        <v>0.15999999999999995</v>
      </c>
      <c r="DM16" s="162">
        <f t="shared" si="19"/>
        <v>1.3727326838477265</v>
      </c>
      <c r="DN16" s="171">
        <f t="shared" si="86"/>
        <v>1.3727326838477265</v>
      </c>
      <c r="DP16" s="162">
        <f t="shared" si="87"/>
        <v>0.15999999999999995</v>
      </c>
      <c r="DQ16" s="170">
        <f t="shared" si="88"/>
        <v>0.15999999999999995</v>
      </c>
      <c r="DR16" s="162">
        <f t="shared" si="20"/>
        <v>1.3727326838477265</v>
      </c>
      <c r="DS16" s="171">
        <f t="shared" si="89"/>
        <v>1.3727326838477265</v>
      </c>
      <c r="DU16" s="162">
        <f t="shared" si="90"/>
        <v>0.15999999999999995</v>
      </c>
      <c r="DV16" s="170">
        <f t="shared" si="91"/>
        <v>0.15999999999999995</v>
      </c>
      <c r="DW16" s="162">
        <f t="shared" si="21"/>
        <v>1.3727326838477265</v>
      </c>
      <c r="DX16" s="171">
        <f t="shared" si="92"/>
        <v>1.3727326838477265</v>
      </c>
      <c r="DZ16" s="162">
        <f t="shared" si="93"/>
        <v>0.15999999999999995</v>
      </c>
      <c r="EA16" s="162">
        <f t="shared" si="94"/>
        <v>0.15999999999999995</v>
      </c>
      <c r="EB16" s="162">
        <f t="shared" si="22"/>
        <v>1.3727326838477265</v>
      </c>
      <c r="EC16" s="171">
        <f t="shared" si="95"/>
        <v>1.3727326838477265</v>
      </c>
      <c r="EE16" s="162">
        <f t="shared" si="96"/>
        <v>0.15999999999999995</v>
      </c>
      <c r="EF16" s="170">
        <f t="shared" si="97"/>
        <v>0.15999999999999995</v>
      </c>
      <c r="EG16" s="162">
        <f t="shared" si="23"/>
        <v>1.3727326838477265</v>
      </c>
      <c r="EH16" s="171">
        <f t="shared" si="98"/>
        <v>1.3727326838477265</v>
      </c>
      <c r="EJ16" s="162">
        <f t="shared" si="99"/>
        <v>0.15999999999999995</v>
      </c>
      <c r="EK16" s="170">
        <f t="shared" si="100"/>
        <v>0.15999999999999995</v>
      </c>
      <c r="EL16" s="162">
        <f t="shared" si="24"/>
        <v>1.3727326838477265</v>
      </c>
      <c r="EM16" s="171">
        <f t="shared" si="101"/>
        <v>1.3727326838477265</v>
      </c>
      <c r="EO16" s="162">
        <f t="shared" si="102"/>
        <v>0.15999999999999995</v>
      </c>
      <c r="EP16" s="162">
        <f t="shared" si="103"/>
        <v>0.15999999999999995</v>
      </c>
      <c r="EQ16" s="162">
        <f t="shared" si="25"/>
        <v>1.3727326838477265</v>
      </c>
      <c r="ER16" s="171">
        <f t="shared" si="104"/>
        <v>1.3727326838477265</v>
      </c>
      <c r="ET16" s="162">
        <f t="shared" si="105"/>
        <v>0.15999999999999995</v>
      </c>
      <c r="EU16" s="170">
        <f t="shared" si="106"/>
        <v>0.15999999999999995</v>
      </c>
      <c r="EV16" s="162">
        <f t="shared" si="26"/>
        <v>1.3727326838477265</v>
      </c>
      <c r="EW16" s="171">
        <f t="shared" si="107"/>
        <v>1.3727326838477265</v>
      </c>
    </row>
    <row r="17" spans="3:154" s="181" customFormat="1" ht="14.45" x14ac:dyDescent="0.3">
      <c r="C17" s="167" t="str">
        <f>"     ^ Range (" &amp; IF($B$4, "m", "ft") &amp; ")"</f>
        <v xml:space="preserve">     ^ Range (m)</v>
      </c>
      <c r="D17" s="179" t="str">
        <f>IF(MAX(T114:AT114)=MIN(T114:AT114), "----", TEXT(MAX(T114:AT114), "0.0") &amp; " – " &amp; TEXT(MIN(T114:AT114), "0.0"))</f>
        <v>----</v>
      </c>
      <c r="E17" s="160"/>
      <c r="F17" s="167" t="str">
        <f>"     ^ Range (" &amp; IF($B$4, "m", "ft") &amp; "/s)"</f>
        <v xml:space="preserve">     ^ Range (m/s)</v>
      </c>
      <c r="G17" s="180" t="str">
        <f>IF(MAX(T120:AT120)=MIN(T120:AT120), "----", TEXT(MAX(T120:AT120), "0.0") &amp; " – " &amp; TEXT(MIN(T120:AT120), "0.0"))</f>
        <v>----</v>
      </c>
      <c r="H17" s="160"/>
      <c r="I17" s="160"/>
      <c r="J17" s="160"/>
      <c r="K17" s="160"/>
      <c r="L17" s="160"/>
      <c r="M17" s="160"/>
      <c r="N17" s="160"/>
      <c r="O17" s="160"/>
      <c r="P17" s="160"/>
      <c r="Q17" s="160"/>
      <c r="R17" s="160"/>
      <c r="S17" s="160"/>
      <c r="T17" s="162">
        <f t="shared" si="27"/>
        <v>0.17999999999999994</v>
      </c>
      <c r="U17" s="170">
        <f t="shared" si="28"/>
        <v>0.17999999999999994</v>
      </c>
      <c r="V17" s="162">
        <f t="shared" si="0"/>
        <v>1.5071359620533804</v>
      </c>
      <c r="W17" s="171">
        <f t="shared" si="29"/>
        <v>1.5071359620533804</v>
      </c>
      <c r="X17" s="162"/>
      <c r="Y17" s="162">
        <f t="shared" si="30"/>
        <v>0.17999999999999994</v>
      </c>
      <c r="Z17" s="162">
        <f t="shared" si="31"/>
        <v>0.17999999999999994</v>
      </c>
      <c r="AA17" s="162">
        <f t="shared" si="1"/>
        <v>1.5071359620533804</v>
      </c>
      <c r="AB17" s="171">
        <f t="shared" si="32"/>
        <v>1.5071359620533804</v>
      </c>
      <c r="AC17" s="162"/>
      <c r="AD17" s="162">
        <f t="shared" si="33"/>
        <v>0.17999999999999994</v>
      </c>
      <c r="AE17" s="170">
        <f t="shared" si="34"/>
        <v>0.17999999999999994</v>
      </c>
      <c r="AF17" s="162">
        <f t="shared" si="2"/>
        <v>1.5071359620533804</v>
      </c>
      <c r="AG17" s="171">
        <f t="shared" si="35"/>
        <v>1.5071359620533804</v>
      </c>
      <c r="AH17" s="162"/>
      <c r="AI17" s="162">
        <f t="shared" si="36"/>
        <v>0.17999999999999994</v>
      </c>
      <c r="AJ17" s="170">
        <f t="shared" si="37"/>
        <v>0.17999999999999994</v>
      </c>
      <c r="AK17" s="162">
        <f t="shared" si="3"/>
        <v>1.5071359620533804</v>
      </c>
      <c r="AL17" s="171">
        <f t="shared" si="38"/>
        <v>1.5071359620533804</v>
      </c>
      <c r="AM17" s="162"/>
      <c r="AN17" s="162">
        <f t="shared" si="39"/>
        <v>0.17999999999999994</v>
      </c>
      <c r="AO17" s="162">
        <f t="shared" si="40"/>
        <v>0.17999999999999994</v>
      </c>
      <c r="AP17" s="162">
        <f t="shared" si="4"/>
        <v>1.5071359620533804</v>
      </c>
      <c r="AQ17" s="171">
        <f t="shared" si="41"/>
        <v>1.5071359620533804</v>
      </c>
      <c r="AR17" s="162"/>
      <c r="AS17" s="162">
        <f t="shared" si="42"/>
        <v>0.17999999999999994</v>
      </c>
      <c r="AT17" s="170">
        <f t="shared" si="43"/>
        <v>0.17999999999999994</v>
      </c>
      <c r="AU17" s="162">
        <f t="shared" si="5"/>
        <v>1.5071359620533804</v>
      </c>
      <c r="AV17" s="171">
        <f t="shared" si="44"/>
        <v>1.5071359620533804</v>
      </c>
      <c r="AW17" s="162"/>
      <c r="AX17" s="162">
        <f t="shared" si="45"/>
        <v>0.17999999999999994</v>
      </c>
      <c r="AY17" s="170">
        <f t="shared" si="46"/>
        <v>0.17999999999999994</v>
      </c>
      <c r="AZ17" s="162">
        <f t="shared" si="6"/>
        <v>1.5071359620533804</v>
      </c>
      <c r="BA17" s="171">
        <f t="shared" si="47"/>
        <v>1.5071359620533804</v>
      </c>
      <c r="BB17" s="162"/>
      <c r="BC17" s="162">
        <f t="shared" si="48"/>
        <v>0.17999999999999994</v>
      </c>
      <c r="BD17" s="162">
        <f t="shared" si="49"/>
        <v>0.17999999999999994</v>
      </c>
      <c r="BE17" s="162">
        <f t="shared" si="7"/>
        <v>1.5071359620533804</v>
      </c>
      <c r="BF17" s="171">
        <f t="shared" si="50"/>
        <v>1.5071359620533804</v>
      </c>
      <c r="BG17" s="162"/>
      <c r="BH17" s="162">
        <f t="shared" si="51"/>
        <v>0.17999999999999994</v>
      </c>
      <c r="BI17" s="170">
        <f t="shared" si="52"/>
        <v>0.17999999999999994</v>
      </c>
      <c r="BJ17" s="162">
        <f t="shared" si="8"/>
        <v>1.5071359620533804</v>
      </c>
      <c r="BK17" s="171">
        <f t="shared" si="53"/>
        <v>1.5071359620533804</v>
      </c>
      <c r="BL17" s="162"/>
      <c r="BM17" s="162">
        <f t="shared" si="54"/>
        <v>0.17999999999999994</v>
      </c>
      <c r="BN17" s="170">
        <f t="shared" si="55"/>
        <v>0.17999999999999994</v>
      </c>
      <c r="BO17" s="162">
        <f t="shared" si="9"/>
        <v>1.5071359620533804</v>
      </c>
      <c r="BP17" s="171">
        <f t="shared" si="56"/>
        <v>1.5071359620533804</v>
      </c>
      <c r="BQ17" s="162"/>
      <c r="BR17" s="162">
        <f t="shared" si="57"/>
        <v>0.17999999999999994</v>
      </c>
      <c r="BS17" s="162">
        <f t="shared" si="58"/>
        <v>0.17999999999999994</v>
      </c>
      <c r="BT17" s="162">
        <f t="shared" si="10"/>
        <v>1.5071359620533804</v>
      </c>
      <c r="BU17" s="171">
        <f t="shared" si="59"/>
        <v>1.5071359620533804</v>
      </c>
      <c r="BV17" s="162"/>
      <c r="BW17" s="162">
        <f t="shared" si="60"/>
        <v>0.17999999999999994</v>
      </c>
      <c r="BX17" s="170">
        <f t="shared" si="61"/>
        <v>0.17999999999999994</v>
      </c>
      <c r="BY17" s="162">
        <f t="shared" si="11"/>
        <v>1.5071359620533804</v>
      </c>
      <c r="BZ17" s="171">
        <f t="shared" si="62"/>
        <v>1.5071359620533804</v>
      </c>
      <c r="CA17" s="162"/>
      <c r="CB17" s="162">
        <f t="shared" si="63"/>
        <v>0.17999999999999994</v>
      </c>
      <c r="CC17" s="170">
        <f t="shared" si="64"/>
        <v>0.17999999999999994</v>
      </c>
      <c r="CD17" s="162">
        <f t="shared" si="12"/>
        <v>1.5071359620533804</v>
      </c>
      <c r="CE17" s="171">
        <f t="shared" si="65"/>
        <v>1.5071359620533804</v>
      </c>
      <c r="CF17" s="162"/>
      <c r="CG17" s="172">
        <f t="shared" si="66"/>
        <v>0.17999999999999994</v>
      </c>
      <c r="CH17" s="172">
        <f t="shared" si="67"/>
        <v>0.17999999999999994</v>
      </c>
      <c r="CI17" s="172">
        <f t="shared" si="13"/>
        <v>1.5071359620533804</v>
      </c>
      <c r="CJ17" s="171">
        <f t="shared" si="68"/>
        <v>1.5071359620533804</v>
      </c>
      <c r="CK17" s="172"/>
      <c r="CL17" s="162">
        <f t="shared" si="69"/>
        <v>0.17999999999999994</v>
      </c>
      <c r="CM17" s="170">
        <f t="shared" si="70"/>
        <v>0.17999999999999994</v>
      </c>
      <c r="CN17" s="162">
        <f t="shared" si="14"/>
        <v>1.5071359620533804</v>
      </c>
      <c r="CO17" s="171">
        <f t="shared" si="71"/>
        <v>1.5071359620533804</v>
      </c>
      <c r="CP17" s="162"/>
      <c r="CQ17" s="162">
        <f t="shared" si="72"/>
        <v>0.17999999999999994</v>
      </c>
      <c r="CR17" s="170">
        <f t="shared" si="73"/>
        <v>0.17999999999999994</v>
      </c>
      <c r="CS17" s="162">
        <f t="shared" si="15"/>
        <v>1.5071359620533804</v>
      </c>
      <c r="CT17" s="171">
        <f t="shared" si="74"/>
        <v>1.5071359620533804</v>
      </c>
      <c r="CU17" s="162"/>
      <c r="CV17" s="162">
        <f t="shared" si="75"/>
        <v>0.17999999999999994</v>
      </c>
      <c r="CW17" s="162">
        <f t="shared" si="76"/>
        <v>0.17999999999999994</v>
      </c>
      <c r="CX17" s="162">
        <f t="shared" si="16"/>
        <v>1.5071359620533804</v>
      </c>
      <c r="CY17" s="171">
        <f t="shared" si="77"/>
        <v>1.5071359620533804</v>
      </c>
      <c r="CZ17" s="162"/>
      <c r="DA17" s="162">
        <f t="shared" si="78"/>
        <v>0.17999999999999994</v>
      </c>
      <c r="DB17" s="170">
        <f t="shared" si="79"/>
        <v>0.17999999999999994</v>
      </c>
      <c r="DC17" s="162">
        <f t="shared" si="17"/>
        <v>1.5071359620533804</v>
      </c>
      <c r="DD17" s="171">
        <f t="shared" si="80"/>
        <v>1.5071359620533804</v>
      </c>
      <c r="DE17" s="162"/>
      <c r="DF17" s="162">
        <f t="shared" si="81"/>
        <v>0.17999999999999994</v>
      </c>
      <c r="DG17" s="170">
        <f t="shared" si="82"/>
        <v>0.17999999999999994</v>
      </c>
      <c r="DH17" s="162">
        <f t="shared" si="18"/>
        <v>1.5071359620533804</v>
      </c>
      <c r="DI17" s="171">
        <f t="shared" si="83"/>
        <v>1.5071359620533804</v>
      </c>
      <c r="DJ17" s="162"/>
      <c r="DK17" s="162">
        <f t="shared" si="84"/>
        <v>0.17999999999999994</v>
      </c>
      <c r="DL17" s="162">
        <f t="shared" si="85"/>
        <v>0.17999999999999994</v>
      </c>
      <c r="DM17" s="162">
        <f t="shared" si="19"/>
        <v>1.5071359620533804</v>
      </c>
      <c r="DN17" s="171">
        <f t="shared" si="86"/>
        <v>1.5071359620533804</v>
      </c>
      <c r="DO17" s="162"/>
      <c r="DP17" s="162">
        <f t="shared" si="87"/>
        <v>0.17999999999999994</v>
      </c>
      <c r="DQ17" s="170">
        <f t="shared" si="88"/>
        <v>0.17999999999999994</v>
      </c>
      <c r="DR17" s="162">
        <f t="shared" si="20"/>
        <v>1.5071359620533804</v>
      </c>
      <c r="DS17" s="171">
        <f t="shared" si="89"/>
        <v>1.5071359620533804</v>
      </c>
      <c r="DT17" s="162"/>
      <c r="DU17" s="162">
        <f t="shared" si="90"/>
        <v>0.17999999999999994</v>
      </c>
      <c r="DV17" s="170">
        <f t="shared" si="91"/>
        <v>0.17999999999999994</v>
      </c>
      <c r="DW17" s="162">
        <f t="shared" si="21"/>
        <v>1.5071359620533804</v>
      </c>
      <c r="DX17" s="171">
        <f t="shared" si="92"/>
        <v>1.5071359620533804</v>
      </c>
      <c r="DY17" s="162"/>
      <c r="DZ17" s="162">
        <f t="shared" si="93"/>
        <v>0.17999999999999994</v>
      </c>
      <c r="EA17" s="162">
        <f t="shared" si="94"/>
        <v>0.17999999999999994</v>
      </c>
      <c r="EB17" s="162">
        <f t="shared" si="22"/>
        <v>1.5071359620533804</v>
      </c>
      <c r="EC17" s="171">
        <f t="shared" si="95"/>
        <v>1.5071359620533804</v>
      </c>
      <c r="ED17" s="162"/>
      <c r="EE17" s="162">
        <f t="shared" si="96"/>
        <v>0.17999999999999994</v>
      </c>
      <c r="EF17" s="170">
        <f t="shared" si="97"/>
        <v>0.17999999999999994</v>
      </c>
      <c r="EG17" s="162">
        <f t="shared" si="23"/>
        <v>1.5071359620533804</v>
      </c>
      <c r="EH17" s="171">
        <f t="shared" si="98"/>
        <v>1.5071359620533804</v>
      </c>
      <c r="EI17" s="162"/>
      <c r="EJ17" s="162">
        <f t="shared" si="99"/>
        <v>0.17999999999999994</v>
      </c>
      <c r="EK17" s="170">
        <f t="shared" si="100"/>
        <v>0.17999999999999994</v>
      </c>
      <c r="EL17" s="162">
        <f t="shared" si="24"/>
        <v>1.5071359620533804</v>
      </c>
      <c r="EM17" s="171">
        <f t="shared" si="101"/>
        <v>1.5071359620533804</v>
      </c>
      <c r="EN17" s="162"/>
      <c r="EO17" s="162">
        <f t="shared" si="102"/>
        <v>0.17999999999999994</v>
      </c>
      <c r="EP17" s="162">
        <f t="shared" si="103"/>
        <v>0.17999999999999994</v>
      </c>
      <c r="EQ17" s="162">
        <f t="shared" si="25"/>
        <v>1.5071359620533804</v>
      </c>
      <c r="ER17" s="171">
        <f t="shared" si="104"/>
        <v>1.5071359620533804</v>
      </c>
      <c r="ES17" s="162"/>
      <c r="ET17" s="162">
        <f t="shared" si="105"/>
        <v>0.17999999999999994</v>
      </c>
      <c r="EU17" s="170">
        <f t="shared" si="106"/>
        <v>0.17999999999999994</v>
      </c>
      <c r="EV17" s="162">
        <f t="shared" si="26"/>
        <v>1.5071359620533804</v>
      </c>
      <c r="EW17" s="171">
        <f t="shared" si="107"/>
        <v>1.5071359620533804</v>
      </c>
      <c r="EX17" s="162"/>
    </row>
    <row r="18" spans="3:154" s="181" customFormat="1" x14ac:dyDescent="0.25">
      <c r="C18" s="167" t="s">
        <v>97</v>
      </c>
      <c r="D18" s="182">
        <f>DEGREES(ATAN(2*($D$16-$D$7)/$D$8-TAN(RADIANS($D$12))))</f>
        <v>-67.874514601509873</v>
      </c>
      <c r="E18" s="160"/>
      <c r="F18" s="167" t="s">
        <v>96</v>
      </c>
      <c r="G18" s="182">
        <f>DEGREES(ATAN(2*(G10-G7)/G8-TAN(RADIANS(G12))))</f>
        <v>82.759695716411017</v>
      </c>
      <c r="H18" s="160"/>
      <c r="I18" s="160"/>
      <c r="J18" s="160"/>
      <c r="K18" s="160"/>
      <c r="L18" s="160"/>
      <c r="M18" s="160"/>
      <c r="N18" s="160"/>
      <c r="O18" s="160"/>
      <c r="P18" s="160"/>
      <c r="Q18" s="160"/>
      <c r="R18" s="160"/>
      <c r="S18" s="160"/>
      <c r="T18" s="162">
        <f t="shared" si="27"/>
        <v>0.19999999999999993</v>
      </c>
      <c r="U18" s="170">
        <f t="shared" si="28"/>
        <v>0.19999999999999993</v>
      </c>
      <c r="V18" s="162">
        <f t="shared" si="0"/>
        <v>1.6388307275311873</v>
      </c>
      <c r="W18" s="171">
        <f t="shared" si="29"/>
        <v>1.6388307275311873</v>
      </c>
      <c r="X18" s="162"/>
      <c r="Y18" s="162">
        <f t="shared" si="30"/>
        <v>0.19999999999999993</v>
      </c>
      <c r="Z18" s="162">
        <f t="shared" si="31"/>
        <v>0.19999999999999993</v>
      </c>
      <c r="AA18" s="162">
        <f t="shared" si="1"/>
        <v>1.6388307275311873</v>
      </c>
      <c r="AB18" s="171">
        <f t="shared" si="32"/>
        <v>1.6388307275311873</v>
      </c>
      <c r="AC18" s="162"/>
      <c r="AD18" s="162">
        <f t="shared" si="33"/>
        <v>0.19999999999999993</v>
      </c>
      <c r="AE18" s="170">
        <f t="shared" si="34"/>
        <v>0.19999999999999993</v>
      </c>
      <c r="AF18" s="162">
        <f t="shared" si="2"/>
        <v>1.6388307275311873</v>
      </c>
      <c r="AG18" s="171">
        <f t="shared" si="35"/>
        <v>1.6388307275311873</v>
      </c>
      <c r="AH18" s="162"/>
      <c r="AI18" s="162">
        <f t="shared" si="36"/>
        <v>0.19999999999999993</v>
      </c>
      <c r="AJ18" s="170">
        <f t="shared" si="37"/>
        <v>0.19999999999999993</v>
      </c>
      <c r="AK18" s="162">
        <f t="shared" si="3"/>
        <v>1.6388307275311873</v>
      </c>
      <c r="AL18" s="171">
        <f t="shared" si="38"/>
        <v>1.6388307275311873</v>
      </c>
      <c r="AM18" s="162"/>
      <c r="AN18" s="162">
        <f t="shared" si="39"/>
        <v>0.19999999999999993</v>
      </c>
      <c r="AO18" s="162">
        <f t="shared" si="40"/>
        <v>0.19999999999999993</v>
      </c>
      <c r="AP18" s="162">
        <f t="shared" si="4"/>
        <v>1.6388307275311873</v>
      </c>
      <c r="AQ18" s="171">
        <f t="shared" si="41"/>
        <v>1.6388307275311873</v>
      </c>
      <c r="AR18" s="162"/>
      <c r="AS18" s="162">
        <f t="shared" si="42"/>
        <v>0.19999999999999993</v>
      </c>
      <c r="AT18" s="170">
        <f t="shared" si="43"/>
        <v>0.19999999999999993</v>
      </c>
      <c r="AU18" s="162">
        <f t="shared" si="5"/>
        <v>1.6388307275311873</v>
      </c>
      <c r="AV18" s="171">
        <f t="shared" si="44"/>
        <v>1.6388307275311873</v>
      </c>
      <c r="AW18" s="162"/>
      <c r="AX18" s="162">
        <f t="shared" si="45"/>
        <v>0.19999999999999993</v>
      </c>
      <c r="AY18" s="170">
        <f t="shared" si="46"/>
        <v>0.19999999999999993</v>
      </c>
      <c r="AZ18" s="162">
        <f t="shared" si="6"/>
        <v>1.6388307275311873</v>
      </c>
      <c r="BA18" s="171">
        <f t="shared" si="47"/>
        <v>1.6388307275311873</v>
      </c>
      <c r="BB18" s="162"/>
      <c r="BC18" s="162">
        <f t="shared" si="48"/>
        <v>0.19999999999999993</v>
      </c>
      <c r="BD18" s="162">
        <f t="shared" si="49"/>
        <v>0.19999999999999993</v>
      </c>
      <c r="BE18" s="162">
        <f t="shared" si="7"/>
        <v>1.6388307275311873</v>
      </c>
      <c r="BF18" s="171">
        <f t="shared" si="50"/>
        <v>1.6388307275311873</v>
      </c>
      <c r="BG18" s="162"/>
      <c r="BH18" s="162">
        <f t="shared" si="51"/>
        <v>0.19999999999999993</v>
      </c>
      <c r="BI18" s="170">
        <f t="shared" si="52"/>
        <v>0.19999999999999993</v>
      </c>
      <c r="BJ18" s="162">
        <f t="shared" si="8"/>
        <v>1.6388307275311873</v>
      </c>
      <c r="BK18" s="171">
        <f t="shared" si="53"/>
        <v>1.6388307275311873</v>
      </c>
      <c r="BL18" s="162"/>
      <c r="BM18" s="162">
        <f t="shared" si="54"/>
        <v>0.19999999999999993</v>
      </c>
      <c r="BN18" s="170">
        <f t="shared" si="55"/>
        <v>0.19999999999999993</v>
      </c>
      <c r="BO18" s="162">
        <f t="shared" si="9"/>
        <v>1.6388307275311873</v>
      </c>
      <c r="BP18" s="171">
        <f t="shared" si="56"/>
        <v>1.6388307275311873</v>
      </c>
      <c r="BQ18" s="162"/>
      <c r="BR18" s="162">
        <f t="shared" si="57"/>
        <v>0.19999999999999993</v>
      </c>
      <c r="BS18" s="162">
        <f t="shared" si="58"/>
        <v>0.19999999999999993</v>
      </c>
      <c r="BT18" s="162">
        <f t="shared" si="10"/>
        <v>1.6388307275311873</v>
      </c>
      <c r="BU18" s="171">
        <f t="shared" si="59"/>
        <v>1.6388307275311873</v>
      </c>
      <c r="BV18" s="162"/>
      <c r="BW18" s="162">
        <f t="shared" si="60"/>
        <v>0.19999999999999993</v>
      </c>
      <c r="BX18" s="170">
        <f t="shared" si="61"/>
        <v>0.19999999999999993</v>
      </c>
      <c r="BY18" s="162">
        <f t="shared" si="11"/>
        <v>1.6388307275311873</v>
      </c>
      <c r="BZ18" s="171">
        <f t="shared" si="62"/>
        <v>1.6388307275311873</v>
      </c>
      <c r="CA18" s="162"/>
      <c r="CB18" s="162">
        <f t="shared" si="63"/>
        <v>0.19999999999999993</v>
      </c>
      <c r="CC18" s="170">
        <f t="shared" si="64"/>
        <v>0.19999999999999993</v>
      </c>
      <c r="CD18" s="162">
        <f t="shared" si="12"/>
        <v>1.6388307275311873</v>
      </c>
      <c r="CE18" s="171">
        <f t="shared" si="65"/>
        <v>1.6388307275311873</v>
      </c>
      <c r="CF18" s="162"/>
      <c r="CG18" s="172">
        <f t="shared" si="66"/>
        <v>0.19999999999999993</v>
      </c>
      <c r="CH18" s="172">
        <f t="shared" si="67"/>
        <v>0.19999999999999993</v>
      </c>
      <c r="CI18" s="172">
        <f t="shared" si="13"/>
        <v>1.6388307275311873</v>
      </c>
      <c r="CJ18" s="171">
        <f t="shared" si="68"/>
        <v>1.6388307275311873</v>
      </c>
      <c r="CK18" s="172"/>
      <c r="CL18" s="162">
        <f t="shared" si="69"/>
        <v>0.19999999999999993</v>
      </c>
      <c r="CM18" s="170">
        <f t="shared" si="70"/>
        <v>0.19999999999999993</v>
      </c>
      <c r="CN18" s="162">
        <f t="shared" si="14"/>
        <v>1.6388307275311873</v>
      </c>
      <c r="CO18" s="171">
        <f t="shared" si="71"/>
        <v>1.6388307275311873</v>
      </c>
      <c r="CP18" s="162"/>
      <c r="CQ18" s="162">
        <f t="shared" si="72"/>
        <v>0.19999999999999993</v>
      </c>
      <c r="CR18" s="170">
        <f t="shared" si="73"/>
        <v>0.19999999999999993</v>
      </c>
      <c r="CS18" s="162">
        <f t="shared" si="15"/>
        <v>1.6388307275311873</v>
      </c>
      <c r="CT18" s="171">
        <f t="shared" si="74"/>
        <v>1.6388307275311873</v>
      </c>
      <c r="CU18" s="162"/>
      <c r="CV18" s="162">
        <f t="shared" si="75"/>
        <v>0.19999999999999993</v>
      </c>
      <c r="CW18" s="162">
        <f t="shared" si="76"/>
        <v>0.19999999999999993</v>
      </c>
      <c r="CX18" s="162">
        <f t="shared" si="16"/>
        <v>1.6388307275311873</v>
      </c>
      <c r="CY18" s="171">
        <f t="shared" si="77"/>
        <v>1.6388307275311873</v>
      </c>
      <c r="CZ18" s="162"/>
      <c r="DA18" s="162">
        <f t="shared" si="78"/>
        <v>0.19999999999999993</v>
      </c>
      <c r="DB18" s="170">
        <f t="shared" si="79"/>
        <v>0.19999999999999993</v>
      </c>
      <c r="DC18" s="162">
        <f t="shared" si="17"/>
        <v>1.6388307275311873</v>
      </c>
      <c r="DD18" s="171">
        <f t="shared" si="80"/>
        <v>1.6388307275311873</v>
      </c>
      <c r="DE18" s="162"/>
      <c r="DF18" s="162">
        <f t="shared" si="81"/>
        <v>0.19999999999999993</v>
      </c>
      <c r="DG18" s="170">
        <f t="shared" si="82"/>
        <v>0.19999999999999993</v>
      </c>
      <c r="DH18" s="162">
        <f t="shared" si="18"/>
        <v>1.6388307275311873</v>
      </c>
      <c r="DI18" s="171">
        <f t="shared" si="83"/>
        <v>1.6388307275311873</v>
      </c>
      <c r="DJ18" s="162"/>
      <c r="DK18" s="162">
        <f t="shared" si="84"/>
        <v>0.19999999999999993</v>
      </c>
      <c r="DL18" s="162">
        <f t="shared" si="85"/>
        <v>0.19999999999999993</v>
      </c>
      <c r="DM18" s="162">
        <f t="shared" si="19"/>
        <v>1.6388307275311873</v>
      </c>
      <c r="DN18" s="171">
        <f t="shared" si="86"/>
        <v>1.6388307275311873</v>
      </c>
      <c r="DO18" s="162"/>
      <c r="DP18" s="162">
        <f t="shared" si="87"/>
        <v>0.19999999999999993</v>
      </c>
      <c r="DQ18" s="170">
        <f t="shared" si="88"/>
        <v>0.19999999999999993</v>
      </c>
      <c r="DR18" s="162">
        <f t="shared" si="20"/>
        <v>1.6388307275311873</v>
      </c>
      <c r="DS18" s="171">
        <f t="shared" si="89"/>
        <v>1.6388307275311873</v>
      </c>
      <c r="DT18" s="162"/>
      <c r="DU18" s="162">
        <f t="shared" si="90"/>
        <v>0.19999999999999993</v>
      </c>
      <c r="DV18" s="170">
        <f t="shared" si="91"/>
        <v>0.19999999999999993</v>
      </c>
      <c r="DW18" s="162">
        <f t="shared" si="21"/>
        <v>1.6388307275311873</v>
      </c>
      <c r="DX18" s="171">
        <f t="shared" si="92"/>
        <v>1.6388307275311873</v>
      </c>
      <c r="DY18" s="162"/>
      <c r="DZ18" s="162">
        <f t="shared" si="93"/>
        <v>0.19999999999999993</v>
      </c>
      <c r="EA18" s="162">
        <f t="shared" si="94"/>
        <v>0.19999999999999993</v>
      </c>
      <c r="EB18" s="162">
        <f t="shared" si="22"/>
        <v>1.6388307275311873</v>
      </c>
      <c r="EC18" s="171">
        <f t="shared" si="95"/>
        <v>1.6388307275311873</v>
      </c>
      <c r="ED18" s="162"/>
      <c r="EE18" s="162">
        <f t="shared" si="96"/>
        <v>0.19999999999999993</v>
      </c>
      <c r="EF18" s="170">
        <f t="shared" si="97"/>
        <v>0.19999999999999993</v>
      </c>
      <c r="EG18" s="162">
        <f t="shared" si="23"/>
        <v>1.6388307275311873</v>
      </c>
      <c r="EH18" s="171">
        <f t="shared" si="98"/>
        <v>1.6388307275311873</v>
      </c>
      <c r="EI18" s="162"/>
      <c r="EJ18" s="162">
        <f t="shared" si="99"/>
        <v>0.19999999999999993</v>
      </c>
      <c r="EK18" s="170">
        <f t="shared" si="100"/>
        <v>0.19999999999999993</v>
      </c>
      <c r="EL18" s="162">
        <f t="shared" si="24"/>
        <v>1.6388307275311873</v>
      </c>
      <c r="EM18" s="171">
        <f t="shared" si="101"/>
        <v>1.6388307275311873</v>
      </c>
      <c r="EN18" s="162"/>
      <c r="EO18" s="162">
        <f t="shared" si="102"/>
        <v>0.19999999999999993</v>
      </c>
      <c r="EP18" s="162">
        <f t="shared" si="103"/>
        <v>0.19999999999999993</v>
      </c>
      <c r="EQ18" s="162">
        <f t="shared" si="25"/>
        <v>1.6388307275311873</v>
      </c>
      <c r="ER18" s="171">
        <f t="shared" si="104"/>
        <v>1.6388307275311873</v>
      </c>
      <c r="ES18" s="162"/>
      <c r="ET18" s="162">
        <f t="shared" si="105"/>
        <v>0.19999999999999993</v>
      </c>
      <c r="EU18" s="170">
        <f t="shared" si="106"/>
        <v>0.19999999999999993</v>
      </c>
      <c r="EV18" s="162">
        <f t="shared" si="26"/>
        <v>1.6388307275311873</v>
      </c>
      <c r="EW18" s="171">
        <f t="shared" si="107"/>
        <v>1.6388307275311873</v>
      </c>
      <c r="EX18" s="162"/>
    </row>
    <row r="19" spans="3:154" s="181" customFormat="1" x14ac:dyDescent="0.25">
      <c r="C19" s="167" t="s">
        <v>349</v>
      </c>
      <c r="D19" s="179" t="str">
        <f>IF(MAX(T115:AT115)=MIN(T115:AT115), "----", TEXT(MAX(T115:AT115), "0°") &amp; " – " &amp; TEXT(MIN(T115:AT115), "0°"))</f>
        <v>----</v>
      </c>
      <c r="E19" s="160"/>
      <c r="F19" s="167" t="s">
        <v>349</v>
      </c>
      <c r="G19" s="183" t="str">
        <f>IF(MAX(T121:AT121)=MIN(T121:AT121), "----", TEXT(MAX(T121:AT121), "0°") &amp; " – " &amp; TEXT(MIN(T121:AT121), "0°"))</f>
        <v>----</v>
      </c>
      <c r="H19" s="160"/>
      <c r="I19" s="160"/>
      <c r="J19" s="160"/>
      <c r="K19" s="160"/>
      <c r="L19" s="160"/>
      <c r="M19" s="160"/>
      <c r="N19" s="160"/>
      <c r="O19" s="160"/>
      <c r="P19" s="160"/>
      <c r="Q19" s="160"/>
      <c r="R19" s="160"/>
      <c r="S19" s="160"/>
      <c r="T19" s="162">
        <f t="shared" si="27"/>
        <v>0.21999999999999992</v>
      </c>
      <c r="U19" s="170">
        <f t="shared" si="28"/>
        <v>0.21999999999999992</v>
      </c>
      <c r="V19" s="162">
        <f t="shared" si="0"/>
        <v>1.7678169802811472</v>
      </c>
      <c r="W19" s="171">
        <f t="shared" si="29"/>
        <v>1.7678169802811472</v>
      </c>
      <c r="X19" s="162"/>
      <c r="Y19" s="162">
        <f t="shared" si="30"/>
        <v>0.21999999999999992</v>
      </c>
      <c r="Z19" s="162">
        <f t="shared" si="31"/>
        <v>0.21999999999999992</v>
      </c>
      <c r="AA19" s="162">
        <f t="shared" si="1"/>
        <v>1.7678169802811472</v>
      </c>
      <c r="AB19" s="171">
        <f t="shared" si="32"/>
        <v>1.7678169802811472</v>
      </c>
      <c r="AC19" s="162"/>
      <c r="AD19" s="162">
        <f t="shared" si="33"/>
        <v>0.21999999999999992</v>
      </c>
      <c r="AE19" s="170">
        <f t="shared" si="34"/>
        <v>0.21999999999999992</v>
      </c>
      <c r="AF19" s="162">
        <f t="shared" si="2"/>
        <v>1.7678169802811472</v>
      </c>
      <c r="AG19" s="171">
        <f t="shared" si="35"/>
        <v>1.7678169802811472</v>
      </c>
      <c r="AH19" s="162"/>
      <c r="AI19" s="162">
        <f t="shared" si="36"/>
        <v>0.21999999999999992</v>
      </c>
      <c r="AJ19" s="170">
        <f t="shared" si="37"/>
        <v>0.21999999999999992</v>
      </c>
      <c r="AK19" s="162">
        <f t="shared" si="3"/>
        <v>1.7678169802811472</v>
      </c>
      <c r="AL19" s="171">
        <f t="shared" si="38"/>
        <v>1.7678169802811472</v>
      </c>
      <c r="AM19" s="162"/>
      <c r="AN19" s="162">
        <f t="shared" si="39"/>
        <v>0.21999999999999992</v>
      </c>
      <c r="AO19" s="162">
        <f t="shared" si="40"/>
        <v>0.21999999999999992</v>
      </c>
      <c r="AP19" s="162">
        <f t="shared" si="4"/>
        <v>1.7678169802811472</v>
      </c>
      <c r="AQ19" s="171">
        <f t="shared" si="41"/>
        <v>1.7678169802811472</v>
      </c>
      <c r="AR19" s="162"/>
      <c r="AS19" s="162">
        <f t="shared" si="42"/>
        <v>0.21999999999999992</v>
      </c>
      <c r="AT19" s="170">
        <f t="shared" si="43"/>
        <v>0.21999999999999992</v>
      </c>
      <c r="AU19" s="162">
        <f t="shared" si="5"/>
        <v>1.7678169802811472</v>
      </c>
      <c r="AV19" s="171">
        <f t="shared" si="44"/>
        <v>1.7678169802811472</v>
      </c>
      <c r="AW19" s="162"/>
      <c r="AX19" s="162">
        <f t="shared" si="45"/>
        <v>0.21999999999999992</v>
      </c>
      <c r="AY19" s="170">
        <f t="shared" si="46"/>
        <v>0.21999999999999992</v>
      </c>
      <c r="AZ19" s="162">
        <f t="shared" si="6"/>
        <v>1.7678169802811472</v>
      </c>
      <c r="BA19" s="171">
        <f t="shared" si="47"/>
        <v>1.7678169802811472</v>
      </c>
      <c r="BB19" s="162"/>
      <c r="BC19" s="162">
        <f t="shared" si="48"/>
        <v>0.21999999999999992</v>
      </c>
      <c r="BD19" s="162">
        <f t="shared" si="49"/>
        <v>0.21999999999999992</v>
      </c>
      <c r="BE19" s="162">
        <f t="shared" si="7"/>
        <v>1.7678169802811472</v>
      </c>
      <c r="BF19" s="171">
        <f t="shared" si="50"/>
        <v>1.7678169802811472</v>
      </c>
      <c r="BG19" s="162"/>
      <c r="BH19" s="162">
        <f t="shared" si="51"/>
        <v>0.21999999999999992</v>
      </c>
      <c r="BI19" s="170">
        <f t="shared" si="52"/>
        <v>0.21999999999999992</v>
      </c>
      <c r="BJ19" s="162">
        <f t="shared" si="8"/>
        <v>1.7678169802811472</v>
      </c>
      <c r="BK19" s="171">
        <f t="shared" si="53"/>
        <v>1.7678169802811472</v>
      </c>
      <c r="BL19" s="162"/>
      <c r="BM19" s="162">
        <f t="shared" si="54"/>
        <v>0.21999999999999992</v>
      </c>
      <c r="BN19" s="170">
        <f t="shared" si="55"/>
        <v>0.21999999999999992</v>
      </c>
      <c r="BO19" s="162">
        <f t="shared" si="9"/>
        <v>1.7678169802811472</v>
      </c>
      <c r="BP19" s="171">
        <f t="shared" si="56"/>
        <v>1.7678169802811472</v>
      </c>
      <c r="BQ19" s="162"/>
      <c r="BR19" s="162">
        <f t="shared" si="57"/>
        <v>0.21999999999999992</v>
      </c>
      <c r="BS19" s="162">
        <f t="shared" si="58"/>
        <v>0.21999999999999992</v>
      </c>
      <c r="BT19" s="162">
        <f t="shared" si="10"/>
        <v>1.7678169802811472</v>
      </c>
      <c r="BU19" s="171">
        <f t="shared" si="59"/>
        <v>1.7678169802811472</v>
      </c>
      <c r="BV19" s="162"/>
      <c r="BW19" s="162">
        <f t="shared" si="60"/>
        <v>0.21999999999999992</v>
      </c>
      <c r="BX19" s="170">
        <f t="shared" si="61"/>
        <v>0.21999999999999992</v>
      </c>
      <c r="BY19" s="162">
        <f t="shared" si="11"/>
        <v>1.7678169802811472</v>
      </c>
      <c r="BZ19" s="171">
        <f t="shared" si="62"/>
        <v>1.7678169802811472</v>
      </c>
      <c r="CA19" s="162"/>
      <c r="CB19" s="162">
        <f t="shared" si="63"/>
        <v>0.21999999999999992</v>
      </c>
      <c r="CC19" s="170">
        <f t="shared" si="64"/>
        <v>0.21999999999999992</v>
      </c>
      <c r="CD19" s="162">
        <f t="shared" si="12"/>
        <v>1.7678169802811472</v>
      </c>
      <c r="CE19" s="171">
        <f t="shared" si="65"/>
        <v>1.7678169802811472</v>
      </c>
      <c r="CF19" s="162"/>
      <c r="CG19" s="172">
        <f t="shared" si="66"/>
        <v>0.21999999999999992</v>
      </c>
      <c r="CH19" s="172">
        <f t="shared" si="67"/>
        <v>0.21999999999999992</v>
      </c>
      <c r="CI19" s="172">
        <f t="shared" si="13"/>
        <v>1.7678169802811472</v>
      </c>
      <c r="CJ19" s="171">
        <f t="shared" si="68"/>
        <v>1.7678169802811472</v>
      </c>
      <c r="CK19" s="172"/>
      <c r="CL19" s="162">
        <f t="shared" si="69"/>
        <v>0.21999999999999992</v>
      </c>
      <c r="CM19" s="170">
        <f t="shared" si="70"/>
        <v>0.21999999999999992</v>
      </c>
      <c r="CN19" s="162">
        <f t="shared" si="14"/>
        <v>1.7678169802811472</v>
      </c>
      <c r="CO19" s="171">
        <f t="shared" si="71"/>
        <v>1.7678169802811472</v>
      </c>
      <c r="CP19" s="162"/>
      <c r="CQ19" s="162">
        <f t="shared" si="72"/>
        <v>0.21999999999999992</v>
      </c>
      <c r="CR19" s="170">
        <f t="shared" si="73"/>
        <v>0.21999999999999992</v>
      </c>
      <c r="CS19" s="162">
        <f t="shared" si="15"/>
        <v>1.7678169802811472</v>
      </c>
      <c r="CT19" s="171">
        <f t="shared" si="74"/>
        <v>1.7678169802811472</v>
      </c>
      <c r="CU19" s="162"/>
      <c r="CV19" s="162">
        <f t="shared" si="75"/>
        <v>0.21999999999999992</v>
      </c>
      <c r="CW19" s="162">
        <f t="shared" si="76"/>
        <v>0.21999999999999992</v>
      </c>
      <c r="CX19" s="162">
        <f t="shared" si="16"/>
        <v>1.7678169802811472</v>
      </c>
      <c r="CY19" s="171">
        <f t="shared" si="77"/>
        <v>1.7678169802811472</v>
      </c>
      <c r="CZ19" s="162"/>
      <c r="DA19" s="162">
        <f t="shared" si="78"/>
        <v>0.21999999999999992</v>
      </c>
      <c r="DB19" s="170">
        <f t="shared" si="79"/>
        <v>0.21999999999999992</v>
      </c>
      <c r="DC19" s="162">
        <f t="shared" si="17"/>
        <v>1.7678169802811472</v>
      </c>
      <c r="DD19" s="171">
        <f t="shared" si="80"/>
        <v>1.7678169802811472</v>
      </c>
      <c r="DE19" s="162"/>
      <c r="DF19" s="162">
        <f t="shared" si="81"/>
        <v>0.21999999999999992</v>
      </c>
      <c r="DG19" s="170">
        <f t="shared" si="82"/>
        <v>0.21999999999999992</v>
      </c>
      <c r="DH19" s="162">
        <f t="shared" si="18"/>
        <v>1.7678169802811472</v>
      </c>
      <c r="DI19" s="171">
        <f t="shared" si="83"/>
        <v>1.7678169802811472</v>
      </c>
      <c r="DJ19" s="162"/>
      <c r="DK19" s="162">
        <f t="shared" si="84"/>
        <v>0.21999999999999992</v>
      </c>
      <c r="DL19" s="162">
        <f t="shared" si="85"/>
        <v>0.21999999999999992</v>
      </c>
      <c r="DM19" s="162">
        <f t="shared" si="19"/>
        <v>1.7678169802811472</v>
      </c>
      <c r="DN19" s="171">
        <f t="shared" si="86"/>
        <v>1.7678169802811472</v>
      </c>
      <c r="DO19" s="162"/>
      <c r="DP19" s="162">
        <f t="shared" si="87"/>
        <v>0.21999999999999992</v>
      </c>
      <c r="DQ19" s="170">
        <f t="shared" si="88"/>
        <v>0.21999999999999992</v>
      </c>
      <c r="DR19" s="162">
        <f t="shared" si="20"/>
        <v>1.7678169802811472</v>
      </c>
      <c r="DS19" s="171">
        <f t="shared" si="89"/>
        <v>1.7678169802811472</v>
      </c>
      <c r="DT19" s="162"/>
      <c r="DU19" s="162">
        <f t="shared" si="90"/>
        <v>0.21999999999999992</v>
      </c>
      <c r="DV19" s="170">
        <f t="shared" si="91"/>
        <v>0.21999999999999992</v>
      </c>
      <c r="DW19" s="162">
        <f t="shared" si="21"/>
        <v>1.7678169802811472</v>
      </c>
      <c r="DX19" s="171">
        <f t="shared" si="92"/>
        <v>1.7678169802811472</v>
      </c>
      <c r="DY19" s="162"/>
      <c r="DZ19" s="162">
        <f t="shared" si="93"/>
        <v>0.21999999999999992</v>
      </c>
      <c r="EA19" s="162">
        <f t="shared" si="94"/>
        <v>0.21999999999999992</v>
      </c>
      <c r="EB19" s="162">
        <f t="shared" si="22"/>
        <v>1.7678169802811472</v>
      </c>
      <c r="EC19" s="171">
        <f t="shared" si="95"/>
        <v>1.7678169802811472</v>
      </c>
      <c r="ED19" s="162"/>
      <c r="EE19" s="162">
        <f t="shared" si="96"/>
        <v>0.21999999999999992</v>
      </c>
      <c r="EF19" s="170">
        <f t="shared" si="97"/>
        <v>0.21999999999999992</v>
      </c>
      <c r="EG19" s="162">
        <f t="shared" si="23"/>
        <v>1.7678169802811472</v>
      </c>
      <c r="EH19" s="171">
        <f t="shared" si="98"/>
        <v>1.7678169802811472</v>
      </c>
      <c r="EI19" s="162"/>
      <c r="EJ19" s="162">
        <f t="shared" si="99"/>
        <v>0.21999999999999992</v>
      </c>
      <c r="EK19" s="170">
        <f t="shared" si="100"/>
        <v>0.21999999999999992</v>
      </c>
      <c r="EL19" s="162">
        <f t="shared" si="24"/>
        <v>1.7678169802811472</v>
      </c>
      <c r="EM19" s="171">
        <f t="shared" si="101"/>
        <v>1.7678169802811472</v>
      </c>
      <c r="EN19" s="162"/>
      <c r="EO19" s="162">
        <f t="shared" si="102"/>
        <v>0.21999999999999992</v>
      </c>
      <c r="EP19" s="162">
        <f t="shared" si="103"/>
        <v>0.21999999999999992</v>
      </c>
      <c r="EQ19" s="162">
        <f t="shared" si="25"/>
        <v>1.7678169802811472</v>
      </c>
      <c r="ER19" s="171">
        <f t="shared" si="104"/>
        <v>1.7678169802811472</v>
      </c>
      <c r="ES19" s="162"/>
      <c r="ET19" s="162">
        <f t="shared" si="105"/>
        <v>0.21999999999999992</v>
      </c>
      <c r="EU19" s="170">
        <f t="shared" si="106"/>
        <v>0.21999999999999992</v>
      </c>
      <c r="EV19" s="162">
        <f t="shared" si="26"/>
        <v>1.7678169802811472</v>
      </c>
      <c r="EW19" s="171">
        <f t="shared" si="107"/>
        <v>1.7678169802811472</v>
      </c>
      <c r="EX19" s="162"/>
    </row>
    <row r="20" spans="3:154" s="181" customFormat="1" ht="14.45" x14ac:dyDescent="0.3">
      <c r="C20" s="160"/>
      <c r="D20" s="160"/>
      <c r="E20" s="160"/>
      <c r="F20" s="160"/>
      <c r="G20" s="160"/>
      <c r="H20" s="160"/>
      <c r="I20" s="160"/>
      <c r="J20" s="160"/>
      <c r="K20" s="160"/>
      <c r="L20" s="160"/>
      <c r="M20" s="160"/>
      <c r="N20" s="160"/>
      <c r="O20" s="160"/>
      <c r="P20" s="160"/>
      <c r="Q20" s="160"/>
      <c r="R20" s="160"/>
      <c r="S20" s="160"/>
      <c r="T20" s="162">
        <f t="shared" si="27"/>
        <v>0.23999999999999991</v>
      </c>
      <c r="U20" s="170">
        <f t="shared" si="28"/>
        <v>0.23999999999999991</v>
      </c>
      <c r="V20" s="162">
        <f t="shared" si="0"/>
        <v>1.8940947203032599</v>
      </c>
      <c r="W20" s="171">
        <f t="shared" si="29"/>
        <v>1.8940947203032599</v>
      </c>
      <c r="X20" s="162"/>
      <c r="Y20" s="162">
        <f t="shared" si="30"/>
        <v>0.23999999999999991</v>
      </c>
      <c r="Z20" s="162">
        <f t="shared" si="31"/>
        <v>0.23999999999999991</v>
      </c>
      <c r="AA20" s="162">
        <f t="shared" si="1"/>
        <v>1.8940947203032599</v>
      </c>
      <c r="AB20" s="171">
        <f t="shared" si="32"/>
        <v>1.8940947203032599</v>
      </c>
      <c r="AC20" s="162"/>
      <c r="AD20" s="162">
        <f t="shared" si="33"/>
        <v>0.23999999999999991</v>
      </c>
      <c r="AE20" s="170">
        <f t="shared" si="34"/>
        <v>0.23999999999999991</v>
      </c>
      <c r="AF20" s="162">
        <f t="shared" si="2"/>
        <v>1.8940947203032599</v>
      </c>
      <c r="AG20" s="171">
        <f t="shared" si="35"/>
        <v>1.8940947203032599</v>
      </c>
      <c r="AH20" s="162"/>
      <c r="AI20" s="162">
        <f t="shared" si="36"/>
        <v>0.23999999999999991</v>
      </c>
      <c r="AJ20" s="170">
        <f t="shared" si="37"/>
        <v>0.23999999999999991</v>
      </c>
      <c r="AK20" s="162">
        <f t="shared" si="3"/>
        <v>1.8940947203032599</v>
      </c>
      <c r="AL20" s="171">
        <f t="shared" si="38"/>
        <v>1.8940947203032599</v>
      </c>
      <c r="AM20" s="162"/>
      <c r="AN20" s="162">
        <f t="shared" si="39"/>
        <v>0.23999999999999991</v>
      </c>
      <c r="AO20" s="162">
        <f t="shared" si="40"/>
        <v>0.23999999999999991</v>
      </c>
      <c r="AP20" s="162">
        <f t="shared" si="4"/>
        <v>1.8940947203032599</v>
      </c>
      <c r="AQ20" s="171">
        <f t="shared" si="41"/>
        <v>1.8940947203032599</v>
      </c>
      <c r="AR20" s="162"/>
      <c r="AS20" s="162">
        <f t="shared" si="42"/>
        <v>0.23999999999999991</v>
      </c>
      <c r="AT20" s="170">
        <f t="shared" si="43"/>
        <v>0.23999999999999991</v>
      </c>
      <c r="AU20" s="162">
        <f t="shared" si="5"/>
        <v>1.8940947203032599</v>
      </c>
      <c r="AV20" s="171">
        <f t="shared" si="44"/>
        <v>1.8940947203032599</v>
      </c>
      <c r="AW20" s="162"/>
      <c r="AX20" s="162">
        <f t="shared" si="45"/>
        <v>0.23999999999999991</v>
      </c>
      <c r="AY20" s="170">
        <f t="shared" si="46"/>
        <v>0.23999999999999991</v>
      </c>
      <c r="AZ20" s="162">
        <f t="shared" si="6"/>
        <v>1.8940947203032599</v>
      </c>
      <c r="BA20" s="171">
        <f t="shared" si="47"/>
        <v>1.8940947203032599</v>
      </c>
      <c r="BB20" s="162"/>
      <c r="BC20" s="162">
        <f t="shared" si="48"/>
        <v>0.23999999999999991</v>
      </c>
      <c r="BD20" s="162">
        <f t="shared" si="49"/>
        <v>0.23999999999999991</v>
      </c>
      <c r="BE20" s="162">
        <f t="shared" si="7"/>
        <v>1.8940947203032599</v>
      </c>
      <c r="BF20" s="171">
        <f t="shared" si="50"/>
        <v>1.8940947203032599</v>
      </c>
      <c r="BG20" s="162"/>
      <c r="BH20" s="162">
        <f t="shared" si="51"/>
        <v>0.23999999999999991</v>
      </c>
      <c r="BI20" s="170">
        <f t="shared" si="52"/>
        <v>0.23999999999999991</v>
      </c>
      <c r="BJ20" s="162">
        <f t="shared" si="8"/>
        <v>1.8940947203032599</v>
      </c>
      <c r="BK20" s="171">
        <f t="shared" si="53"/>
        <v>1.8940947203032599</v>
      </c>
      <c r="BL20" s="162"/>
      <c r="BM20" s="162">
        <f t="shared" si="54"/>
        <v>0.23999999999999991</v>
      </c>
      <c r="BN20" s="170">
        <f t="shared" si="55"/>
        <v>0.23999999999999991</v>
      </c>
      <c r="BO20" s="162">
        <f t="shared" si="9"/>
        <v>1.8940947203032599</v>
      </c>
      <c r="BP20" s="171">
        <f t="shared" si="56"/>
        <v>1.8940947203032599</v>
      </c>
      <c r="BQ20" s="162"/>
      <c r="BR20" s="162">
        <f t="shared" si="57"/>
        <v>0.23999999999999991</v>
      </c>
      <c r="BS20" s="162">
        <f t="shared" si="58"/>
        <v>0.23999999999999991</v>
      </c>
      <c r="BT20" s="162">
        <f t="shared" si="10"/>
        <v>1.8940947203032599</v>
      </c>
      <c r="BU20" s="171">
        <f t="shared" si="59"/>
        <v>1.8940947203032599</v>
      </c>
      <c r="BV20" s="162"/>
      <c r="BW20" s="162">
        <f t="shared" si="60"/>
        <v>0.23999999999999991</v>
      </c>
      <c r="BX20" s="170">
        <f t="shared" si="61"/>
        <v>0.23999999999999991</v>
      </c>
      <c r="BY20" s="162">
        <f t="shared" si="11"/>
        <v>1.8940947203032599</v>
      </c>
      <c r="BZ20" s="171">
        <f t="shared" si="62"/>
        <v>1.8940947203032599</v>
      </c>
      <c r="CA20" s="162"/>
      <c r="CB20" s="162">
        <f t="shared" si="63"/>
        <v>0.23999999999999991</v>
      </c>
      <c r="CC20" s="170">
        <f t="shared" si="64"/>
        <v>0.23999999999999991</v>
      </c>
      <c r="CD20" s="162">
        <f t="shared" si="12"/>
        <v>1.8940947203032599</v>
      </c>
      <c r="CE20" s="171">
        <f t="shared" si="65"/>
        <v>1.8940947203032599</v>
      </c>
      <c r="CF20" s="162"/>
      <c r="CG20" s="172">
        <f t="shared" si="66"/>
        <v>0.23999999999999991</v>
      </c>
      <c r="CH20" s="172">
        <f t="shared" si="67"/>
        <v>0.23999999999999991</v>
      </c>
      <c r="CI20" s="172">
        <f t="shared" si="13"/>
        <v>1.8940947203032599</v>
      </c>
      <c r="CJ20" s="171">
        <f t="shared" si="68"/>
        <v>1.8940947203032599</v>
      </c>
      <c r="CK20" s="172"/>
      <c r="CL20" s="162">
        <f t="shared" si="69"/>
        <v>0.23999999999999991</v>
      </c>
      <c r="CM20" s="170">
        <f t="shared" si="70"/>
        <v>0.23999999999999991</v>
      </c>
      <c r="CN20" s="162">
        <f t="shared" si="14"/>
        <v>1.8940947203032599</v>
      </c>
      <c r="CO20" s="171">
        <f t="shared" si="71"/>
        <v>1.8940947203032599</v>
      </c>
      <c r="CP20" s="162"/>
      <c r="CQ20" s="162">
        <f t="shared" si="72"/>
        <v>0.23999999999999991</v>
      </c>
      <c r="CR20" s="170">
        <f t="shared" si="73"/>
        <v>0.23999999999999991</v>
      </c>
      <c r="CS20" s="162">
        <f t="shared" si="15"/>
        <v>1.8940947203032599</v>
      </c>
      <c r="CT20" s="171">
        <f t="shared" si="74"/>
        <v>1.8940947203032599</v>
      </c>
      <c r="CU20" s="162"/>
      <c r="CV20" s="162">
        <f t="shared" si="75"/>
        <v>0.23999999999999991</v>
      </c>
      <c r="CW20" s="162">
        <f t="shared" si="76"/>
        <v>0.23999999999999991</v>
      </c>
      <c r="CX20" s="162">
        <f t="shared" si="16"/>
        <v>1.8940947203032599</v>
      </c>
      <c r="CY20" s="171">
        <f t="shared" si="77"/>
        <v>1.8940947203032599</v>
      </c>
      <c r="CZ20" s="162"/>
      <c r="DA20" s="162">
        <f t="shared" si="78"/>
        <v>0.23999999999999991</v>
      </c>
      <c r="DB20" s="170">
        <f t="shared" si="79"/>
        <v>0.23999999999999991</v>
      </c>
      <c r="DC20" s="162">
        <f t="shared" si="17"/>
        <v>1.8940947203032599</v>
      </c>
      <c r="DD20" s="171">
        <f t="shared" si="80"/>
        <v>1.8940947203032599</v>
      </c>
      <c r="DE20" s="162"/>
      <c r="DF20" s="162">
        <f t="shared" si="81"/>
        <v>0.23999999999999991</v>
      </c>
      <c r="DG20" s="170">
        <f t="shared" si="82"/>
        <v>0.23999999999999991</v>
      </c>
      <c r="DH20" s="162">
        <f t="shared" si="18"/>
        <v>1.8940947203032599</v>
      </c>
      <c r="DI20" s="171">
        <f t="shared" si="83"/>
        <v>1.8940947203032599</v>
      </c>
      <c r="DJ20" s="162"/>
      <c r="DK20" s="162">
        <f t="shared" si="84"/>
        <v>0.23999999999999991</v>
      </c>
      <c r="DL20" s="162">
        <f t="shared" si="85"/>
        <v>0.23999999999999991</v>
      </c>
      <c r="DM20" s="162">
        <f t="shared" si="19"/>
        <v>1.8940947203032599</v>
      </c>
      <c r="DN20" s="171">
        <f t="shared" si="86"/>
        <v>1.8940947203032599</v>
      </c>
      <c r="DO20" s="162"/>
      <c r="DP20" s="162">
        <f t="shared" si="87"/>
        <v>0.23999999999999991</v>
      </c>
      <c r="DQ20" s="170">
        <f t="shared" si="88"/>
        <v>0.23999999999999991</v>
      </c>
      <c r="DR20" s="162">
        <f t="shared" si="20"/>
        <v>1.8940947203032599</v>
      </c>
      <c r="DS20" s="171">
        <f t="shared" si="89"/>
        <v>1.8940947203032599</v>
      </c>
      <c r="DT20" s="162"/>
      <c r="DU20" s="162">
        <f t="shared" si="90"/>
        <v>0.23999999999999991</v>
      </c>
      <c r="DV20" s="170">
        <f t="shared" si="91"/>
        <v>0.23999999999999991</v>
      </c>
      <c r="DW20" s="162">
        <f t="shared" si="21"/>
        <v>1.8940947203032599</v>
      </c>
      <c r="DX20" s="171">
        <f t="shared" si="92"/>
        <v>1.8940947203032599</v>
      </c>
      <c r="DY20" s="162"/>
      <c r="DZ20" s="162">
        <f t="shared" si="93"/>
        <v>0.23999999999999991</v>
      </c>
      <c r="EA20" s="162">
        <f t="shared" si="94"/>
        <v>0.23999999999999991</v>
      </c>
      <c r="EB20" s="162">
        <f t="shared" si="22"/>
        <v>1.8940947203032599</v>
      </c>
      <c r="EC20" s="171">
        <f t="shared" si="95"/>
        <v>1.8940947203032599</v>
      </c>
      <c r="ED20" s="162"/>
      <c r="EE20" s="162">
        <f t="shared" si="96"/>
        <v>0.23999999999999991</v>
      </c>
      <c r="EF20" s="170">
        <f t="shared" si="97"/>
        <v>0.23999999999999991</v>
      </c>
      <c r="EG20" s="162">
        <f t="shared" si="23"/>
        <v>1.8940947203032599</v>
      </c>
      <c r="EH20" s="171">
        <f t="shared" si="98"/>
        <v>1.8940947203032599</v>
      </c>
      <c r="EI20" s="162"/>
      <c r="EJ20" s="162">
        <f t="shared" si="99"/>
        <v>0.23999999999999991</v>
      </c>
      <c r="EK20" s="170">
        <f t="shared" si="100"/>
        <v>0.23999999999999991</v>
      </c>
      <c r="EL20" s="162">
        <f t="shared" si="24"/>
        <v>1.8940947203032599</v>
      </c>
      <c r="EM20" s="171">
        <f t="shared" si="101"/>
        <v>1.8940947203032599</v>
      </c>
      <c r="EN20" s="162"/>
      <c r="EO20" s="162">
        <f t="shared" si="102"/>
        <v>0.23999999999999991</v>
      </c>
      <c r="EP20" s="162">
        <f t="shared" si="103"/>
        <v>0.23999999999999991</v>
      </c>
      <c r="EQ20" s="162">
        <f t="shared" si="25"/>
        <v>1.8940947203032599</v>
      </c>
      <c r="ER20" s="171">
        <f t="shared" si="104"/>
        <v>1.8940947203032599</v>
      </c>
      <c r="ES20" s="162"/>
      <c r="ET20" s="162">
        <f t="shared" si="105"/>
        <v>0.23999999999999991</v>
      </c>
      <c r="EU20" s="170">
        <f t="shared" si="106"/>
        <v>0.23999999999999991</v>
      </c>
      <c r="EV20" s="162">
        <f t="shared" si="26"/>
        <v>1.8940947203032599</v>
      </c>
      <c r="EW20" s="171">
        <f t="shared" si="107"/>
        <v>1.8940947203032599</v>
      </c>
      <c r="EX20" s="162"/>
    </row>
    <row r="21" spans="3:154" s="181" customFormat="1" x14ac:dyDescent="0.25">
      <c r="C21" s="160"/>
      <c r="D21" s="184"/>
      <c r="E21" s="160"/>
      <c r="F21" s="160"/>
      <c r="G21" s="160"/>
      <c r="H21" s="160"/>
      <c r="I21" s="160"/>
      <c r="J21" s="160"/>
      <c r="K21" s="160"/>
      <c r="L21" s="160"/>
      <c r="M21" s="160"/>
      <c r="N21" s="160"/>
      <c r="O21" s="160"/>
      <c r="P21" s="160"/>
      <c r="Q21" s="160"/>
      <c r="R21" s="160"/>
      <c r="S21" s="160"/>
      <c r="T21" s="162">
        <f t="shared" si="27"/>
        <v>0.2599999999999999</v>
      </c>
      <c r="U21" s="170">
        <f t="shared" si="28"/>
        <v>0.2599999999999999</v>
      </c>
      <c r="V21" s="162">
        <f t="shared" si="0"/>
        <v>2.0176639475975255</v>
      </c>
      <c r="W21" s="171">
        <f t="shared" si="29"/>
        <v>2.0176639475975255</v>
      </c>
      <c r="X21" s="162"/>
      <c r="Y21" s="162">
        <f t="shared" si="30"/>
        <v>0.2599999999999999</v>
      </c>
      <c r="Z21" s="162">
        <f t="shared" si="31"/>
        <v>0.2599999999999999</v>
      </c>
      <c r="AA21" s="162">
        <f t="shared" si="1"/>
        <v>2.0176639475975255</v>
      </c>
      <c r="AB21" s="171">
        <f t="shared" si="32"/>
        <v>2.0176639475975255</v>
      </c>
      <c r="AC21" s="162"/>
      <c r="AD21" s="162">
        <f t="shared" si="33"/>
        <v>0.2599999999999999</v>
      </c>
      <c r="AE21" s="170">
        <f t="shared" si="34"/>
        <v>0.2599999999999999</v>
      </c>
      <c r="AF21" s="162">
        <f t="shared" si="2"/>
        <v>2.0176639475975255</v>
      </c>
      <c r="AG21" s="171">
        <f t="shared" si="35"/>
        <v>2.0176639475975255</v>
      </c>
      <c r="AH21" s="162"/>
      <c r="AI21" s="162">
        <f t="shared" si="36"/>
        <v>0.2599999999999999</v>
      </c>
      <c r="AJ21" s="170">
        <f t="shared" si="37"/>
        <v>0.2599999999999999</v>
      </c>
      <c r="AK21" s="162">
        <f t="shared" si="3"/>
        <v>2.0176639475975255</v>
      </c>
      <c r="AL21" s="171">
        <f t="shared" si="38"/>
        <v>2.0176639475975255</v>
      </c>
      <c r="AM21" s="162"/>
      <c r="AN21" s="162">
        <f t="shared" si="39"/>
        <v>0.2599999999999999</v>
      </c>
      <c r="AO21" s="162">
        <f t="shared" si="40"/>
        <v>0.2599999999999999</v>
      </c>
      <c r="AP21" s="162">
        <f t="shared" si="4"/>
        <v>2.0176639475975255</v>
      </c>
      <c r="AQ21" s="171">
        <f t="shared" si="41"/>
        <v>2.0176639475975255</v>
      </c>
      <c r="AR21" s="162"/>
      <c r="AS21" s="162">
        <f t="shared" si="42"/>
        <v>0.2599999999999999</v>
      </c>
      <c r="AT21" s="170">
        <f t="shared" si="43"/>
        <v>0.2599999999999999</v>
      </c>
      <c r="AU21" s="162">
        <f t="shared" si="5"/>
        <v>2.0176639475975255</v>
      </c>
      <c r="AV21" s="171">
        <f t="shared" si="44"/>
        <v>2.0176639475975255</v>
      </c>
      <c r="AW21" s="162"/>
      <c r="AX21" s="162">
        <f t="shared" si="45"/>
        <v>0.2599999999999999</v>
      </c>
      <c r="AY21" s="170">
        <f t="shared" si="46"/>
        <v>0.2599999999999999</v>
      </c>
      <c r="AZ21" s="162">
        <f t="shared" si="6"/>
        <v>2.0176639475975255</v>
      </c>
      <c r="BA21" s="171">
        <f t="shared" si="47"/>
        <v>2.0176639475975255</v>
      </c>
      <c r="BB21" s="162"/>
      <c r="BC21" s="162">
        <f t="shared" si="48"/>
        <v>0.2599999999999999</v>
      </c>
      <c r="BD21" s="162">
        <f t="shared" si="49"/>
        <v>0.2599999999999999</v>
      </c>
      <c r="BE21" s="162">
        <f t="shared" si="7"/>
        <v>2.0176639475975255</v>
      </c>
      <c r="BF21" s="171">
        <f t="shared" si="50"/>
        <v>2.0176639475975255</v>
      </c>
      <c r="BG21" s="162"/>
      <c r="BH21" s="162">
        <f t="shared" si="51"/>
        <v>0.2599999999999999</v>
      </c>
      <c r="BI21" s="170">
        <f t="shared" si="52"/>
        <v>0.2599999999999999</v>
      </c>
      <c r="BJ21" s="162">
        <f t="shared" si="8"/>
        <v>2.0176639475975255</v>
      </c>
      <c r="BK21" s="171">
        <f t="shared" si="53"/>
        <v>2.0176639475975255</v>
      </c>
      <c r="BL21" s="162"/>
      <c r="BM21" s="162">
        <f t="shared" si="54"/>
        <v>0.2599999999999999</v>
      </c>
      <c r="BN21" s="170">
        <f t="shared" si="55"/>
        <v>0.2599999999999999</v>
      </c>
      <c r="BO21" s="162">
        <f t="shared" si="9"/>
        <v>2.0176639475975255</v>
      </c>
      <c r="BP21" s="171">
        <f t="shared" si="56"/>
        <v>2.0176639475975255</v>
      </c>
      <c r="BQ21" s="162"/>
      <c r="BR21" s="162">
        <f t="shared" si="57"/>
        <v>0.2599999999999999</v>
      </c>
      <c r="BS21" s="162">
        <f t="shared" si="58"/>
        <v>0.2599999999999999</v>
      </c>
      <c r="BT21" s="162">
        <f t="shared" si="10"/>
        <v>2.0176639475975255</v>
      </c>
      <c r="BU21" s="171">
        <f t="shared" si="59"/>
        <v>2.0176639475975255</v>
      </c>
      <c r="BV21" s="162"/>
      <c r="BW21" s="162">
        <f t="shared" si="60"/>
        <v>0.2599999999999999</v>
      </c>
      <c r="BX21" s="170">
        <f t="shared" si="61"/>
        <v>0.2599999999999999</v>
      </c>
      <c r="BY21" s="162">
        <f t="shared" si="11"/>
        <v>2.0176639475975255</v>
      </c>
      <c r="BZ21" s="171">
        <f t="shared" si="62"/>
        <v>2.0176639475975255</v>
      </c>
      <c r="CA21" s="162"/>
      <c r="CB21" s="162">
        <f t="shared" si="63"/>
        <v>0.2599999999999999</v>
      </c>
      <c r="CC21" s="170">
        <f t="shared" si="64"/>
        <v>0.2599999999999999</v>
      </c>
      <c r="CD21" s="162">
        <f t="shared" si="12"/>
        <v>2.0176639475975255</v>
      </c>
      <c r="CE21" s="171">
        <f t="shared" si="65"/>
        <v>2.0176639475975255</v>
      </c>
      <c r="CF21" s="162"/>
      <c r="CG21" s="172">
        <f t="shared" si="66"/>
        <v>0.2599999999999999</v>
      </c>
      <c r="CH21" s="172">
        <f t="shared" si="67"/>
        <v>0.2599999999999999</v>
      </c>
      <c r="CI21" s="172">
        <f t="shared" si="13"/>
        <v>2.0176639475975255</v>
      </c>
      <c r="CJ21" s="171">
        <f t="shared" si="68"/>
        <v>2.0176639475975255</v>
      </c>
      <c r="CK21" s="172"/>
      <c r="CL21" s="162">
        <f t="shared" si="69"/>
        <v>0.2599999999999999</v>
      </c>
      <c r="CM21" s="170">
        <f t="shared" si="70"/>
        <v>0.2599999999999999</v>
      </c>
      <c r="CN21" s="162">
        <f t="shared" si="14"/>
        <v>2.0176639475975255</v>
      </c>
      <c r="CO21" s="171">
        <f t="shared" si="71"/>
        <v>2.0176639475975255</v>
      </c>
      <c r="CP21" s="162"/>
      <c r="CQ21" s="162">
        <f t="shared" si="72"/>
        <v>0.2599999999999999</v>
      </c>
      <c r="CR21" s="170">
        <f t="shared" si="73"/>
        <v>0.2599999999999999</v>
      </c>
      <c r="CS21" s="162">
        <f t="shared" si="15"/>
        <v>2.0176639475975255</v>
      </c>
      <c r="CT21" s="171">
        <f t="shared" si="74"/>
        <v>2.0176639475975255</v>
      </c>
      <c r="CU21" s="162"/>
      <c r="CV21" s="162">
        <f t="shared" si="75"/>
        <v>0.2599999999999999</v>
      </c>
      <c r="CW21" s="162">
        <f t="shared" si="76"/>
        <v>0.2599999999999999</v>
      </c>
      <c r="CX21" s="162">
        <f t="shared" si="16"/>
        <v>2.0176639475975255</v>
      </c>
      <c r="CY21" s="171">
        <f t="shared" si="77"/>
        <v>2.0176639475975255</v>
      </c>
      <c r="CZ21" s="162"/>
      <c r="DA21" s="162">
        <f t="shared" si="78"/>
        <v>0.2599999999999999</v>
      </c>
      <c r="DB21" s="170">
        <f t="shared" si="79"/>
        <v>0.2599999999999999</v>
      </c>
      <c r="DC21" s="162">
        <f t="shared" si="17"/>
        <v>2.0176639475975255</v>
      </c>
      <c r="DD21" s="171">
        <f t="shared" si="80"/>
        <v>2.0176639475975255</v>
      </c>
      <c r="DE21" s="162"/>
      <c r="DF21" s="162">
        <f t="shared" si="81"/>
        <v>0.2599999999999999</v>
      </c>
      <c r="DG21" s="170">
        <f t="shared" si="82"/>
        <v>0.2599999999999999</v>
      </c>
      <c r="DH21" s="162">
        <f t="shared" si="18"/>
        <v>2.0176639475975255</v>
      </c>
      <c r="DI21" s="171">
        <f t="shared" si="83"/>
        <v>2.0176639475975255</v>
      </c>
      <c r="DJ21" s="162"/>
      <c r="DK21" s="162">
        <f t="shared" si="84"/>
        <v>0.2599999999999999</v>
      </c>
      <c r="DL21" s="162">
        <f t="shared" si="85"/>
        <v>0.2599999999999999</v>
      </c>
      <c r="DM21" s="162">
        <f t="shared" si="19"/>
        <v>2.0176639475975255</v>
      </c>
      <c r="DN21" s="171">
        <f t="shared" si="86"/>
        <v>2.0176639475975255</v>
      </c>
      <c r="DO21" s="162"/>
      <c r="DP21" s="162">
        <f t="shared" si="87"/>
        <v>0.2599999999999999</v>
      </c>
      <c r="DQ21" s="170">
        <f t="shared" si="88"/>
        <v>0.2599999999999999</v>
      </c>
      <c r="DR21" s="162">
        <f t="shared" si="20"/>
        <v>2.0176639475975255</v>
      </c>
      <c r="DS21" s="171">
        <f t="shared" si="89"/>
        <v>2.0176639475975255</v>
      </c>
      <c r="DT21" s="162"/>
      <c r="DU21" s="162">
        <f t="shared" si="90"/>
        <v>0.2599999999999999</v>
      </c>
      <c r="DV21" s="170">
        <f t="shared" si="91"/>
        <v>0.2599999999999999</v>
      </c>
      <c r="DW21" s="162">
        <f t="shared" si="21"/>
        <v>2.0176639475975255</v>
      </c>
      <c r="DX21" s="171">
        <f t="shared" si="92"/>
        <v>2.0176639475975255</v>
      </c>
      <c r="DY21" s="162"/>
      <c r="DZ21" s="162">
        <f t="shared" si="93"/>
        <v>0.2599999999999999</v>
      </c>
      <c r="EA21" s="162">
        <f t="shared" si="94"/>
        <v>0.2599999999999999</v>
      </c>
      <c r="EB21" s="162">
        <f t="shared" si="22"/>
        <v>2.0176639475975255</v>
      </c>
      <c r="EC21" s="171">
        <f t="shared" si="95"/>
        <v>2.0176639475975255</v>
      </c>
      <c r="ED21" s="162"/>
      <c r="EE21" s="162">
        <f t="shared" si="96"/>
        <v>0.2599999999999999</v>
      </c>
      <c r="EF21" s="170">
        <f t="shared" si="97"/>
        <v>0.2599999999999999</v>
      </c>
      <c r="EG21" s="162">
        <f t="shared" si="23"/>
        <v>2.0176639475975255</v>
      </c>
      <c r="EH21" s="171">
        <f t="shared" si="98"/>
        <v>2.0176639475975255</v>
      </c>
      <c r="EI21" s="162"/>
      <c r="EJ21" s="162">
        <f t="shared" si="99"/>
        <v>0.2599999999999999</v>
      </c>
      <c r="EK21" s="170">
        <f t="shared" si="100"/>
        <v>0.2599999999999999</v>
      </c>
      <c r="EL21" s="162">
        <f t="shared" si="24"/>
        <v>2.0176639475975255</v>
      </c>
      <c r="EM21" s="171">
        <f t="shared" si="101"/>
        <v>2.0176639475975255</v>
      </c>
      <c r="EN21" s="162"/>
      <c r="EO21" s="162">
        <f t="shared" si="102"/>
        <v>0.2599999999999999</v>
      </c>
      <c r="EP21" s="162">
        <f t="shared" si="103"/>
        <v>0.2599999999999999</v>
      </c>
      <c r="EQ21" s="162">
        <f t="shared" si="25"/>
        <v>2.0176639475975255</v>
      </c>
      <c r="ER21" s="171">
        <f t="shared" si="104"/>
        <v>2.0176639475975255</v>
      </c>
      <c r="ES21" s="162"/>
      <c r="ET21" s="162">
        <f t="shared" si="105"/>
        <v>0.2599999999999999</v>
      </c>
      <c r="EU21" s="170">
        <f t="shared" si="106"/>
        <v>0.2599999999999999</v>
      </c>
      <c r="EV21" s="162">
        <f t="shared" si="26"/>
        <v>2.0176639475975255</v>
      </c>
      <c r="EW21" s="171">
        <f t="shared" si="107"/>
        <v>2.0176639475975255</v>
      </c>
      <c r="EX21" s="162"/>
    </row>
    <row r="22" spans="3:154" s="181" customFormat="1" ht="15" customHeight="1" x14ac:dyDescent="0.25">
      <c r="C22" s="224" t="s">
        <v>359</v>
      </c>
      <c r="D22" s="225"/>
      <c r="E22" s="225"/>
      <c r="F22" s="225"/>
      <c r="G22" s="226"/>
      <c r="H22" s="160"/>
      <c r="I22" s="160"/>
      <c r="J22" s="160"/>
      <c r="K22" s="160"/>
      <c r="L22" s="160"/>
      <c r="M22" s="160"/>
      <c r="N22" s="160"/>
      <c r="O22" s="160"/>
      <c r="P22" s="160"/>
      <c r="Q22" s="160"/>
      <c r="R22" s="160"/>
      <c r="S22" s="160"/>
      <c r="T22" s="162">
        <f t="shared" si="27"/>
        <v>0.27999999999999992</v>
      </c>
      <c r="U22" s="170">
        <f t="shared" si="28"/>
        <v>0.27999999999999992</v>
      </c>
      <c r="V22" s="162">
        <f t="shared" si="0"/>
        <v>2.1385246621639444</v>
      </c>
      <c r="W22" s="171">
        <f t="shared" si="29"/>
        <v>2.1385246621639444</v>
      </c>
      <c r="X22" s="162"/>
      <c r="Y22" s="162">
        <f t="shared" si="30"/>
        <v>0.27999999999999992</v>
      </c>
      <c r="Z22" s="162">
        <f t="shared" si="31"/>
        <v>0.27999999999999992</v>
      </c>
      <c r="AA22" s="162">
        <f t="shared" si="1"/>
        <v>2.1385246621639444</v>
      </c>
      <c r="AB22" s="171">
        <f t="shared" si="32"/>
        <v>2.1385246621639444</v>
      </c>
      <c r="AC22" s="162"/>
      <c r="AD22" s="162">
        <f t="shared" si="33"/>
        <v>0.27999999999999992</v>
      </c>
      <c r="AE22" s="170">
        <f t="shared" si="34"/>
        <v>0.27999999999999992</v>
      </c>
      <c r="AF22" s="162">
        <f t="shared" si="2"/>
        <v>2.1385246621639444</v>
      </c>
      <c r="AG22" s="171">
        <f t="shared" si="35"/>
        <v>2.1385246621639444</v>
      </c>
      <c r="AH22" s="162"/>
      <c r="AI22" s="162">
        <f t="shared" si="36"/>
        <v>0.27999999999999992</v>
      </c>
      <c r="AJ22" s="170">
        <f t="shared" si="37"/>
        <v>0.27999999999999992</v>
      </c>
      <c r="AK22" s="162">
        <f t="shared" si="3"/>
        <v>2.1385246621639444</v>
      </c>
      <c r="AL22" s="171">
        <f t="shared" si="38"/>
        <v>2.1385246621639444</v>
      </c>
      <c r="AM22" s="162"/>
      <c r="AN22" s="162">
        <f t="shared" si="39"/>
        <v>0.27999999999999992</v>
      </c>
      <c r="AO22" s="162">
        <f t="shared" si="40"/>
        <v>0.27999999999999992</v>
      </c>
      <c r="AP22" s="162">
        <f t="shared" si="4"/>
        <v>2.1385246621639444</v>
      </c>
      <c r="AQ22" s="171">
        <f t="shared" si="41"/>
        <v>2.1385246621639444</v>
      </c>
      <c r="AR22" s="162"/>
      <c r="AS22" s="162">
        <f t="shared" si="42"/>
        <v>0.27999999999999992</v>
      </c>
      <c r="AT22" s="170">
        <f t="shared" si="43"/>
        <v>0.27999999999999992</v>
      </c>
      <c r="AU22" s="162">
        <f t="shared" si="5"/>
        <v>2.1385246621639444</v>
      </c>
      <c r="AV22" s="171">
        <f t="shared" si="44"/>
        <v>2.1385246621639444</v>
      </c>
      <c r="AW22" s="162"/>
      <c r="AX22" s="162">
        <f t="shared" si="45"/>
        <v>0.27999999999999992</v>
      </c>
      <c r="AY22" s="170">
        <f t="shared" si="46"/>
        <v>0.27999999999999992</v>
      </c>
      <c r="AZ22" s="162">
        <f t="shared" si="6"/>
        <v>2.1385246621639444</v>
      </c>
      <c r="BA22" s="171">
        <f t="shared" si="47"/>
        <v>2.1385246621639444</v>
      </c>
      <c r="BB22" s="162"/>
      <c r="BC22" s="162">
        <f t="shared" si="48"/>
        <v>0.27999999999999992</v>
      </c>
      <c r="BD22" s="162">
        <f t="shared" si="49"/>
        <v>0.27999999999999992</v>
      </c>
      <c r="BE22" s="162">
        <f t="shared" si="7"/>
        <v>2.1385246621639444</v>
      </c>
      <c r="BF22" s="171">
        <f t="shared" si="50"/>
        <v>2.1385246621639444</v>
      </c>
      <c r="BG22" s="162"/>
      <c r="BH22" s="162">
        <f t="shared" si="51"/>
        <v>0.27999999999999992</v>
      </c>
      <c r="BI22" s="170">
        <f t="shared" si="52"/>
        <v>0.27999999999999992</v>
      </c>
      <c r="BJ22" s="162">
        <f t="shared" si="8"/>
        <v>2.1385246621639444</v>
      </c>
      <c r="BK22" s="171">
        <f t="shared" si="53"/>
        <v>2.1385246621639444</v>
      </c>
      <c r="BL22" s="162"/>
      <c r="BM22" s="162">
        <f t="shared" si="54"/>
        <v>0.27999999999999992</v>
      </c>
      <c r="BN22" s="170">
        <f t="shared" si="55"/>
        <v>0.27999999999999992</v>
      </c>
      <c r="BO22" s="162">
        <f t="shared" si="9"/>
        <v>2.1385246621639444</v>
      </c>
      <c r="BP22" s="171">
        <f t="shared" si="56"/>
        <v>2.1385246621639444</v>
      </c>
      <c r="BQ22" s="162"/>
      <c r="BR22" s="162">
        <f t="shared" si="57"/>
        <v>0.27999999999999992</v>
      </c>
      <c r="BS22" s="162">
        <f t="shared" si="58"/>
        <v>0.27999999999999992</v>
      </c>
      <c r="BT22" s="162">
        <f t="shared" si="10"/>
        <v>2.1385246621639444</v>
      </c>
      <c r="BU22" s="171">
        <f t="shared" si="59"/>
        <v>2.1385246621639444</v>
      </c>
      <c r="BV22" s="162"/>
      <c r="BW22" s="162">
        <f t="shared" si="60"/>
        <v>0.27999999999999992</v>
      </c>
      <c r="BX22" s="170">
        <f t="shared" si="61"/>
        <v>0.27999999999999992</v>
      </c>
      <c r="BY22" s="162">
        <f t="shared" si="11"/>
        <v>2.1385246621639444</v>
      </c>
      <c r="BZ22" s="171">
        <f t="shared" si="62"/>
        <v>2.1385246621639444</v>
      </c>
      <c r="CA22" s="162"/>
      <c r="CB22" s="162">
        <f t="shared" si="63"/>
        <v>0.27999999999999992</v>
      </c>
      <c r="CC22" s="170">
        <f t="shared" si="64"/>
        <v>0.27999999999999992</v>
      </c>
      <c r="CD22" s="162">
        <f t="shared" si="12"/>
        <v>2.1385246621639444</v>
      </c>
      <c r="CE22" s="171">
        <f t="shared" si="65"/>
        <v>2.1385246621639444</v>
      </c>
      <c r="CF22" s="162"/>
      <c r="CG22" s="172">
        <f t="shared" si="66"/>
        <v>0.27999999999999992</v>
      </c>
      <c r="CH22" s="172">
        <f t="shared" si="67"/>
        <v>0.27999999999999992</v>
      </c>
      <c r="CI22" s="172">
        <f t="shared" si="13"/>
        <v>2.1385246621639444</v>
      </c>
      <c r="CJ22" s="171">
        <f t="shared" si="68"/>
        <v>2.1385246621639444</v>
      </c>
      <c r="CK22" s="172"/>
      <c r="CL22" s="162">
        <f t="shared" si="69"/>
        <v>0.27999999999999992</v>
      </c>
      <c r="CM22" s="170">
        <f t="shared" si="70"/>
        <v>0.27999999999999992</v>
      </c>
      <c r="CN22" s="162">
        <f t="shared" si="14"/>
        <v>2.1385246621639444</v>
      </c>
      <c r="CO22" s="171">
        <f t="shared" si="71"/>
        <v>2.1385246621639444</v>
      </c>
      <c r="CP22" s="162"/>
      <c r="CQ22" s="162">
        <f t="shared" si="72"/>
        <v>0.27999999999999992</v>
      </c>
      <c r="CR22" s="170">
        <f t="shared" si="73"/>
        <v>0.27999999999999992</v>
      </c>
      <c r="CS22" s="162">
        <f t="shared" si="15"/>
        <v>2.1385246621639444</v>
      </c>
      <c r="CT22" s="171">
        <f t="shared" si="74"/>
        <v>2.1385246621639444</v>
      </c>
      <c r="CU22" s="162"/>
      <c r="CV22" s="162">
        <f t="shared" si="75"/>
        <v>0.27999999999999992</v>
      </c>
      <c r="CW22" s="162">
        <f t="shared" si="76"/>
        <v>0.27999999999999992</v>
      </c>
      <c r="CX22" s="162">
        <f t="shared" si="16"/>
        <v>2.1385246621639444</v>
      </c>
      <c r="CY22" s="171">
        <f t="shared" si="77"/>
        <v>2.1385246621639444</v>
      </c>
      <c r="CZ22" s="162"/>
      <c r="DA22" s="162">
        <f t="shared" si="78"/>
        <v>0.27999999999999992</v>
      </c>
      <c r="DB22" s="170">
        <f t="shared" si="79"/>
        <v>0.27999999999999992</v>
      </c>
      <c r="DC22" s="162">
        <f t="shared" si="17"/>
        <v>2.1385246621639444</v>
      </c>
      <c r="DD22" s="171">
        <f t="shared" si="80"/>
        <v>2.1385246621639444</v>
      </c>
      <c r="DE22" s="162"/>
      <c r="DF22" s="162">
        <f t="shared" si="81"/>
        <v>0.27999999999999992</v>
      </c>
      <c r="DG22" s="170">
        <f t="shared" si="82"/>
        <v>0.27999999999999992</v>
      </c>
      <c r="DH22" s="162">
        <f t="shared" si="18"/>
        <v>2.1385246621639444</v>
      </c>
      <c r="DI22" s="171">
        <f t="shared" si="83"/>
        <v>2.1385246621639444</v>
      </c>
      <c r="DJ22" s="162"/>
      <c r="DK22" s="162">
        <f t="shared" si="84"/>
        <v>0.27999999999999992</v>
      </c>
      <c r="DL22" s="162">
        <f t="shared" si="85"/>
        <v>0.27999999999999992</v>
      </c>
      <c r="DM22" s="162">
        <f t="shared" si="19"/>
        <v>2.1385246621639444</v>
      </c>
      <c r="DN22" s="171">
        <f t="shared" si="86"/>
        <v>2.1385246621639444</v>
      </c>
      <c r="DO22" s="162"/>
      <c r="DP22" s="162">
        <f t="shared" si="87"/>
        <v>0.27999999999999992</v>
      </c>
      <c r="DQ22" s="170">
        <f t="shared" si="88"/>
        <v>0.27999999999999992</v>
      </c>
      <c r="DR22" s="162">
        <f t="shared" si="20"/>
        <v>2.1385246621639444</v>
      </c>
      <c r="DS22" s="171">
        <f t="shared" si="89"/>
        <v>2.1385246621639444</v>
      </c>
      <c r="DT22" s="162"/>
      <c r="DU22" s="162">
        <f t="shared" si="90"/>
        <v>0.27999999999999992</v>
      </c>
      <c r="DV22" s="170">
        <f t="shared" si="91"/>
        <v>0.27999999999999992</v>
      </c>
      <c r="DW22" s="162">
        <f t="shared" si="21"/>
        <v>2.1385246621639444</v>
      </c>
      <c r="DX22" s="171">
        <f t="shared" si="92"/>
        <v>2.1385246621639444</v>
      </c>
      <c r="DY22" s="162"/>
      <c r="DZ22" s="162">
        <f t="shared" si="93"/>
        <v>0.27999999999999992</v>
      </c>
      <c r="EA22" s="162">
        <f t="shared" si="94"/>
        <v>0.27999999999999992</v>
      </c>
      <c r="EB22" s="162">
        <f t="shared" si="22"/>
        <v>2.1385246621639444</v>
      </c>
      <c r="EC22" s="171">
        <f t="shared" si="95"/>
        <v>2.1385246621639444</v>
      </c>
      <c r="ED22" s="162"/>
      <c r="EE22" s="162">
        <f t="shared" si="96"/>
        <v>0.27999999999999992</v>
      </c>
      <c r="EF22" s="170">
        <f t="shared" si="97"/>
        <v>0.27999999999999992</v>
      </c>
      <c r="EG22" s="162">
        <f t="shared" si="23"/>
        <v>2.1385246621639444</v>
      </c>
      <c r="EH22" s="171">
        <f t="shared" si="98"/>
        <v>2.1385246621639444</v>
      </c>
      <c r="EI22" s="162"/>
      <c r="EJ22" s="162">
        <f t="shared" si="99"/>
        <v>0.27999999999999992</v>
      </c>
      <c r="EK22" s="170">
        <f t="shared" si="100"/>
        <v>0.27999999999999992</v>
      </c>
      <c r="EL22" s="162">
        <f t="shared" si="24"/>
        <v>2.1385246621639444</v>
      </c>
      <c r="EM22" s="171">
        <f t="shared" si="101"/>
        <v>2.1385246621639444</v>
      </c>
      <c r="EN22" s="162"/>
      <c r="EO22" s="162">
        <f t="shared" si="102"/>
        <v>0.27999999999999992</v>
      </c>
      <c r="EP22" s="162">
        <f t="shared" si="103"/>
        <v>0.27999999999999992</v>
      </c>
      <c r="EQ22" s="162">
        <f t="shared" si="25"/>
        <v>2.1385246621639444</v>
      </c>
      <c r="ER22" s="171">
        <f t="shared" si="104"/>
        <v>2.1385246621639444</v>
      </c>
      <c r="ES22" s="162"/>
      <c r="ET22" s="162">
        <f t="shared" si="105"/>
        <v>0.27999999999999992</v>
      </c>
      <c r="EU22" s="170">
        <f t="shared" si="106"/>
        <v>0.27999999999999992</v>
      </c>
      <c r="EV22" s="162">
        <f t="shared" si="26"/>
        <v>2.1385246621639444</v>
      </c>
      <c r="EW22" s="171">
        <f t="shared" si="107"/>
        <v>2.1385246621639444</v>
      </c>
      <c r="EX22" s="162"/>
    </row>
    <row r="23" spans="3:154" s="181" customFormat="1" ht="15" customHeight="1" x14ac:dyDescent="0.25">
      <c r="C23" s="227"/>
      <c r="D23" s="228"/>
      <c r="E23" s="228"/>
      <c r="F23" s="228"/>
      <c r="G23" s="229"/>
      <c r="H23" s="160"/>
      <c r="I23" s="160"/>
      <c r="J23" s="160"/>
      <c r="K23" s="160"/>
      <c r="L23" s="160"/>
      <c r="M23" s="160"/>
      <c r="N23" s="160"/>
      <c r="O23" s="160"/>
      <c r="P23" s="160"/>
      <c r="Q23" s="160"/>
      <c r="R23" s="160"/>
      <c r="S23" s="160"/>
      <c r="T23" s="162">
        <f t="shared" si="27"/>
        <v>0.29999999999999993</v>
      </c>
      <c r="U23" s="170">
        <f t="shared" si="28"/>
        <v>0.29999999999999993</v>
      </c>
      <c r="V23" s="162">
        <f t="shared" si="0"/>
        <v>2.2566768640025159</v>
      </c>
      <c r="W23" s="171">
        <f t="shared" si="29"/>
        <v>2.2566768640025159</v>
      </c>
      <c r="X23" s="162"/>
      <c r="Y23" s="162">
        <f t="shared" si="30"/>
        <v>0.29999999999999993</v>
      </c>
      <c r="Z23" s="162">
        <f t="shared" si="31"/>
        <v>0.29999999999999993</v>
      </c>
      <c r="AA23" s="162">
        <f t="shared" si="1"/>
        <v>2.2566768640025159</v>
      </c>
      <c r="AB23" s="171">
        <f t="shared" si="32"/>
        <v>2.2566768640025159</v>
      </c>
      <c r="AC23" s="162"/>
      <c r="AD23" s="162">
        <f t="shared" si="33"/>
        <v>0.29999999999999993</v>
      </c>
      <c r="AE23" s="170">
        <f t="shared" si="34"/>
        <v>0.29999999999999993</v>
      </c>
      <c r="AF23" s="162">
        <f t="shared" si="2"/>
        <v>2.2566768640025159</v>
      </c>
      <c r="AG23" s="171">
        <f t="shared" si="35"/>
        <v>2.2566768640025159</v>
      </c>
      <c r="AH23" s="162"/>
      <c r="AI23" s="162">
        <f t="shared" si="36"/>
        <v>0.29999999999999993</v>
      </c>
      <c r="AJ23" s="170">
        <f t="shared" si="37"/>
        <v>0.29999999999999993</v>
      </c>
      <c r="AK23" s="162">
        <f t="shared" si="3"/>
        <v>2.2566768640025159</v>
      </c>
      <c r="AL23" s="171">
        <f t="shared" si="38"/>
        <v>2.2566768640025159</v>
      </c>
      <c r="AM23" s="162"/>
      <c r="AN23" s="162">
        <f t="shared" si="39"/>
        <v>0.29999999999999993</v>
      </c>
      <c r="AO23" s="162">
        <f t="shared" si="40"/>
        <v>0.29999999999999993</v>
      </c>
      <c r="AP23" s="162">
        <f t="shared" si="4"/>
        <v>2.2566768640025159</v>
      </c>
      <c r="AQ23" s="171">
        <f t="shared" si="41"/>
        <v>2.2566768640025159</v>
      </c>
      <c r="AR23" s="162"/>
      <c r="AS23" s="162">
        <f t="shared" si="42"/>
        <v>0.29999999999999993</v>
      </c>
      <c r="AT23" s="170">
        <f t="shared" si="43"/>
        <v>0.29999999999999993</v>
      </c>
      <c r="AU23" s="162">
        <f t="shared" si="5"/>
        <v>2.2566768640025159</v>
      </c>
      <c r="AV23" s="171">
        <f t="shared" si="44"/>
        <v>2.2566768640025159</v>
      </c>
      <c r="AW23" s="162"/>
      <c r="AX23" s="162">
        <f t="shared" si="45"/>
        <v>0.29999999999999993</v>
      </c>
      <c r="AY23" s="170">
        <f t="shared" si="46"/>
        <v>0.29999999999999993</v>
      </c>
      <c r="AZ23" s="162">
        <f t="shared" si="6"/>
        <v>2.2566768640025159</v>
      </c>
      <c r="BA23" s="171">
        <f t="shared" si="47"/>
        <v>2.2566768640025159</v>
      </c>
      <c r="BB23" s="162"/>
      <c r="BC23" s="162">
        <f t="shared" si="48"/>
        <v>0.29999999999999993</v>
      </c>
      <c r="BD23" s="162">
        <f t="shared" si="49"/>
        <v>0.29999999999999993</v>
      </c>
      <c r="BE23" s="162">
        <f t="shared" si="7"/>
        <v>2.2566768640025159</v>
      </c>
      <c r="BF23" s="171">
        <f t="shared" si="50"/>
        <v>2.2566768640025159</v>
      </c>
      <c r="BG23" s="162"/>
      <c r="BH23" s="162">
        <f t="shared" si="51"/>
        <v>0.29999999999999993</v>
      </c>
      <c r="BI23" s="170">
        <f t="shared" si="52"/>
        <v>0.29999999999999993</v>
      </c>
      <c r="BJ23" s="162">
        <f t="shared" si="8"/>
        <v>2.2566768640025159</v>
      </c>
      <c r="BK23" s="171">
        <f t="shared" si="53"/>
        <v>2.2566768640025159</v>
      </c>
      <c r="BL23" s="162"/>
      <c r="BM23" s="162">
        <f t="shared" si="54"/>
        <v>0.29999999999999993</v>
      </c>
      <c r="BN23" s="170">
        <f t="shared" si="55"/>
        <v>0.29999999999999993</v>
      </c>
      <c r="BO23" s="162">
        <f t="shared" si="9"/>
        <v>2.2566768640025159</v>
      </c>
      <c r="BP23" s="171">
        <f t="shared" si="56"/>
        <v>2.2566768640025159</v>
      </c>
      <c r="BQ23" s="162"/>
      <c r="BR23" s="162">
        <f t="shared" si="57"/>
        <v>0.29999999999999993</v>
      </c>
      <c r="BS23" s="162">
        <f t="shared" si="58"/>
        <v>0.29999999999999993</v>
      </c>
      <c r="BT23" s="162">
        <f t="shared" si="10"/>
        <v>2.2566768640025159</v>
      </c>
      <c r="BU23" s="171">
        <f t="shared" si="59"/>
        <v>2.2566768640025159</v>
      </c>
      <c r="BV23" s="162"/>
      <c r="BW23" s="162">
        <f t="shared" si="60"/>
        <v>0.29999999999999993</v>
      </c>
      <c r="BX23" s="170">
        <f t="shared" si="61"/>
        <v>0.29999999999999993</v>
      </c>
      <c r="BY23" s="162">
        <f t="shared" si="11"/>
        <v>2.2566768640025159</v>
      </c>
      <c r="BZ23" s="171">
        <f t="shared" si="62"/>
        <v>2.2566768640025159</v>
      </c>
      <c r="CA23" s="162"/>
      <c r="CB23" s="162">
        <f t="shared" si="63"/>
        <v>0.29999999999999993</v>
      </c>
      <c r="CC23" s="170">
        <f t="shared" si="64"/>
        <v>0.29999999999999993</v>
      </c>
      <c r="CD23" s="162">
        <f t="shared" si="12"/>
        <v>2.2566768640025159</v>
      </c>
      <c r="CE23" s="171">
        <f t="shared" si="65"/>
        <v>2.2566768640025159</v>
      </c>
      <c r="CF23" s="162"/>
      <c r="CG23" s="172">
        <f t="shared" si="66"/>
        <v>0.29999999999999993</v>
      </c>
      <c r="CH23" s="172">
        <f t="shared" si="67"/>
        <v>0.29999999999999993</v>
      </c>
      <c r="CI23" s="172">
        <f t="shared" si="13"/>
        <v>2.2566768640025159</v>
      </c>
      <c r="CJ23" s="171">
        <f t="shared" si="68"/>
        <v>2.2566768640025159</v>
      </c>
      <c r="CK23" s="172"/>
      <c r="CL23" s="162">
        <f t="shared" si="69"/>
        <v>0.29999999999999993</v>
      </c>
      <c r="CM23" s="170">
        <f t="shared" si="70"/>
        <v>0.29999999999999993</v>
      </c>
      <c r="CN23" s="162">
        <f t="shared" si="14"/>
        <v>2.2566768640025159</v>
      </c>
      <c r="CO23" s="171">
        <f t="shared" si="71"/>
        <v>2.2566768640025159</v>
      </c>
      <c r="CP23" s="162"/>
      <c r="CQ23" s="162">
        <f t="shared" si="72"/>
        <v>0.29999999999999993</v>
      </c>
      <c r="CR23" s="170">
        <f t="shared" si="73"/>
        <v>0.29999999999999993</v>
      </c>
      <c r="CS23" s="162">
        <f t="shared" si="15"/>
        <v>2.2566768640025159</v>
      </c>
      <c r="CT23" s="171">
        <f t="shared" si="74"/>
        <v>2.2566768640025159</v>
      </c>
      <c r="CU23" s="162"/>
      <c r="CV23" s="162">
        <f t="shared" si="75"/>
        <v>0.29999999999999993</v>
      </c>
      <c r="CW23" s="162">
        <f t="shared" si="76"/>
        <v>0.29999999999999993</v>
      </c>
      <c r="CX23" s="162">
        <f t="shared" si="16"/>
        <v>2.2566768640025159</v>
      </c>
      <c r="CY23" s="171">
        <f t="shared" si="77"/>
        <v>2.2566768640025159</v>
      </c>
      <c r="CZ23" s="162"/>
      <c r="DA23" s="162">
        <f t="shared" si="78"/>
        <v>0.29999999999999993</v>
      </c>
      <c r="DB23" s="170">
        <f t="shared" si="79"/>
        <v>0.29999999999999993</v>
      </c>
      <c r="DC23" s="162">
        <f t="shared" si="17"/>
        <v>2.2566768640025159</v>
      </c>
      <c r="DD23" s="171">
        <f t="shared" si="80"/>
        <v>2.2566768640025159</v>
      </c>
      <c r="DE23" s="162"/>
      <c r="DF23" s="162">
        <f t="shared" si="81"/>
        <v>0.29999999999999993</v>
      </c>
      <c r="DG23" s="170">
        <f t="shared" si="82"/>
        <v>0.29999999999999993</v>
      </c>
      <c r="DH23" s="162">
        <f t="shared" si="18"/>
        <v>2.2566768640025159</v>
      </c>
      <c r="DI23" s="171">
        <f t="shared" si="83"/>
        <v>2.2566768640025159</v>
      </c>
      <c r="DJ23" s="162"/>
      <c r="DK23" s="162">
        <f t="shared" si="84"/>
        <v>0.29999999999999993</v>
      </c>
      <c r="DL23" s="162">
        <f t="shared" si="85"/>
        <v>0.29999999999999993</v>
      </c>
      <c r="DM23" s="162">
        <f t="shared" si="19"/>
        <v>2.2566768640025159</v>
      </c>
      <c r="DN23" s="171">
        <f t="shared" si="86"/>
        <v>2.2566768640025159</v>
      </c>
      <c r="DO23" s="162"/>
      <c r="DP23" s="162">
        <f t="shared" si="87"/>
        <v>0.29999999999999993</v>
      </c>
      <c r="DQ23" s="170">
        <f t="shared" si="88"/>
        <v>0.29999999999999993</v>
      </c>
      <c r="DR23" s="162">
        <f t="shared" si="20"/>
        <v>2.2566768640025159</v>
      </c>
      <c r="DS23" s="171">
        <f t="shared" si="89"/>
        <v>2.2566768640025159</v>
      </c>
      <c r="DT23" s="162"/>
      <c r="DU23" s="162">
        <f t="shared" si="90"/>
        <v>0.29999999999999993</v>
      </c>
      <c r="DV23" s="170">
        <f t="shared" si="91"/>
        <v>0.29999999999999993</v>
      </c>
      <c r="DW23" s="162">
        <f t="shared" si="21"/>
        <v>2.2566768640025159</v>
      </c>
      <c r="DX23" s="171">
        <f t="shared" si="92"/>
        <v>2.2566768640025159</v>
      </c>
      <c r="DY23" s="162"/>
      <c r="DZ23" s="162">
        <f t="shared" si="93"/>
        <v>0.29999999999999993</v>
      </c>
      <c r="EA23" s="162">
        <f t="shared" si="94"/>
        <v>0.29999999999999993</v>
      </c>
      <c r="EB23" s="162">
        <f t="shared" si="22"/>
        <v>2.2566768640025159</v>
      </c>
      <c r="EC23" s="171">
        <f t="shared" si="95"/>
        <v>2.2566768640025159</v>
      </c>
      <c r="ED23" s="162"/>
      <c r="EE23" s="162">
        <f t="shared" si="96"/>
        <v>0.29999999999999993</v>
      </c>
      <c r="EF23" s="170">
        <f t="shared" si="97"/>
        <v>0.29999999999999993</v>
      </c>
      <c r="EG23" s="162">
        <f t="shared" si="23"/>
        <v>2.2566768640025159</v>
      </c>
      <c r="EH23" s="171">
        <f t="shared" si="98"/>
        <v>2.2566768640025159</v>
      </c>
      <c r="EI23" s="162"/>
      <c r="EJ23" s="162">
        <f t="shared" si="99"/>
        <v>0.29999999999999993</v>
      </c>
      <c r="EK23" s="170">
        <f t="shared" si="100"/>
        <v>0.29999999999999993</v>
      </c>
      <c r="EL23" s="162">
        <f t="shared" si="24"/>
        <v>2.2566768640025159</v>
      </c>
      <c r="EM23" s="171">
        <f t="shared" si="101"/>
        <v>2.2566768640025159</v>
      </c>
      <c r="EN23" s="162"/>
      <c r="EO23" s="162">
        <f t="shared" si="102"/>
        <v>0.29999999999999993</v>
      </c>
      <c r="EP23" s="162">
        <f t="shared" si="103"/>
        <v>0.29999999999999993</v>
      </c>
      <c r="EQ23" s="162">
        <f t="shared" si="25"/>
        <v>2.2566768640025159</v>
      </c>
      <c r="ER23" s="171">
        <f t="shared" si="104"/>
        <v>2.2566768640025159</v>
      </c>
      <c r="ES23" s="162"/>
      <c r="ET23" s="162">
        <f t="shared" si="105"/>
        <v>0.29999999999999993</v>
      </c>
      <c r="EU23" s="170">
        <f t="shared" si="106"/>
        <v>0.29999999999999993</v>
      </c>
      <c r="EV23" s="162">
        <f t="shared" si="26"/>
        <v>2.2566768640025159</v>
      </c>
      <c r="EW23" s="171">
        <f t="shared" si="107"/>
        <v>2.2566768640025159</v>
      </c>
      <c r="EX23" s="162"/>
    </row>
    <row r="24" spans="3:154" s="181" customFormat="1" ht="15" customHeight="1" x14ac:dyDescent="0.25">
      <c r="C24" s="227"/>
      <c r="D24" s="228"/>
      <c r="E24" s="228"/>
      <c r="F24" s="228"/>
      <c r="G24" s="229"/>
      <c r="H24" s="160"/>
      <c r="I24" s="160"/>
      <c r="J24" s="160"/>
      <c r="K24" s="160"/>
      <c r="L24" s="160"/>
      <c r="M24" s="160"/>
      <c r="N24" s="160"/>
      <c r="O24" s="160"/>
      <c r="P24" s="160"/>
      <c r="Q24" s="160"/>
      <c r="R24" s="160"/>
      <c r="S24" s="160"/>
      <c r="T24" s="162">
        <f t="shared" si="27"/>
        <v>0.31999999999999995</v>
      </c>
      <c r="U24" s="170">
        <f t="shared" si="28"/>
        <v>0.31999999999999995</v>
      </c>
      <c r="V24" s="162">
        <f t="shared" si="0"/>
        <v>2.3721205531132403</v>
      </c>
      <c r="W24" s="171">
        <f t="shared" si="29"/>
        <v>2.3721205531132403</v>
      </c>
      <c r="X24" s="162"/>
      <c r="Y24" s="162">
        <f t="shared" si="30"/>
        <v>0.31999999999999995</v>
      </c>
      <c r="Z24" s="162">
        <f t="shared" si="31"/>
        <v>0.31999999999999995</v>
      </c>
      <c r="AA24" s="162">
        <f t="shared" si="1"/>
        <v>2.3721205531132403</v>
      </c>
      <c r="AB24" s="171">
        <f t="shared" si="32"/>
        <v>2.3721205531132403</v>
      </c>
      <c r="AC24" s="162"/>
      <c r="AD24" s="162">
        <f t="shared" si="33"/>
        <v>0.31999999999999995</v>
      </c>
      <c r="AE24" s="170">
        <f t="shared" si="34"/>
        <v>0.31999999999999995</v>
      </c>
      <c r="AF24" s="162">
        <f t="shared" si="2"/>
        <v>2.3721205531132403</v>
      </c>
      <c r="AG24" s="171">
        <f t="shared" si="35"/>
        <v>2.3721205531132403</v>
      </c>
      <c r="AH24" s="162"/>
      <c r="AI24" s="162">
        <f t="shared" si="36"/>
        <v>0.31999999999999995</v>
      </c>
      <c r="AJ24" s="170">
        <f t="shared" si="37"/>
        <v>0.31999999999999995</v>
      </c>
      <c r="AK24" s="162">
        <f t="shared" si="3"/>
        <v>2.3721205531132403</v>
      </c>
      <c r="AL24" s="171">
        <f t="shared" si="38"/>
        <v>2.3721205531132403</v>
      </c>
      <c r="AM24" s="162"/>
      <c r="AN24" s="162">
        <f t="shared" si="39"/>
        <v>0.31999999999999995</v>
      </c>
      <c r="AO24" s="162">
        <f t="shared" si="40"/>
        <v>0.31999999999999995</v>
      </c>
      <c r="AP24" s="162">
        <f t="shared" si="4"/>
        <v>2.3721205531132403</v>
      </c>
      <c r="AQ24" s="171">
        <f t="shared" si="41"/>
        <v>2.3721205531132403</v>
      </c>
      <c r="AR24" s="162"/>
      <c r="AS24" s="162">
        <f t="shared" si="42"/>
        <v>0.31999999999999995</v>
      </c>
      <c r="AT24" s="170">
        <f t="shared" si="43"/>
        <v>0.31999999999999995</v>
      </c>
      <c r="AU24" s="162">
        <f t="shared" si="5"/>
        <v>2.3721205531132403</v>
      </c>
      <c r="AV24" s="171">
        <f t="shared" si="44"/>
        <v>2.3721205531132403</v>
      </c>
      <c r="AW24" s="162"/>
      <c r="AX24" s="162">
        <f t="shared" si="45"/>
        <v>0.31999999999999995</v>
      </c>
      <c r="AY24" s="170">
        <f t="shared" si="46"/>
        <v>0.31999999999999995</v>
      </c>
      <c r="AZ24" s="162">
        <f t="shared" si="6"/>
        <v>2.3721205531132403</v>
      </c>
      <c r="BA24" s="171">
        <f t="shared" si="47"/>
        <v>2.3721205531132403</v>
      </c>
      <c r="BB24" s="162"/>
      <c r="BC24" s="162">
        <f t="shared" si="48"/>
        <v>0.31999999999999995</v>
      </c>
      <c r="BD24" s="162">
        <f t="shared" si="49"/>
        <v>0.31999999999999995</v>
      </c>
      <c r="BE24" s="162">
        <f t="shared" si="7"/>
        <v>2.3721205531132403</v>
      </c>
      <c r="BF24" s="171">
        <f t="shared" si="50"/>
        <v>2.3721205531132403</v>
      </c>
      <c r="BG24" s="162"/>
      <c r="BH24" s="162">
        <f t="shared" si="51"/>
        <v>0.31999999999999995</v>
      </c>
      <c r="BI24" s="170">
        <f t="shared" si="52"/>
        <v>0.31999999999999995</v>
      </c>
      <c r="BJ24" s="162">
        <f t="shared" si="8"/>
        <v>2.3721205531132403</v>
      </c>
      <c r="BK24" s="171">
        <f t="shared" si="53"/>
        <v>2.3721205531132403</v>
      </c>
      <c r="BL24" s="162"/>
      <c r="BM24" s="162">
        <f t="shared" si="54"/>
        <v>0.31999999999999995</v>
      </c>
      <c r="BN24" s="170">
        <f t="shared" si="55"/>
        <v>0.31999999999999995</v>
      </c>
      <c r="BO24" s="162">
        <f t="shared" si="9"/>
        <v>2.3721205531132403</v>
      </c>
      <c r="BP24" s="171">
        <f t="shared" si="56"/>
        <v>2.3721205531132403</v>
      </c>
      <c r="BQ24" s="162"/>
      <c r="BR24" s="162">
        <f t="shared" si="57"/>
        <v>0.31999999999999995</v>
      </c>
      <c r="BS24" s="162">
        <f t="shared" si="58"/>
        <v>0.31999999999999995</v>
      </c>
      <c r="BT24" s="162">
        <f t="shared" si="10"/>
        <v>2.3721205531132403</v>
      </c>
      <c r="BU24" s="171">
        <f t="shared" si="59"/>
        <v>2.3721205531132403</v>
      </c>
      <c r="BV24" s="162"/>
      <c r="BW24" s="162">
        <f t="shared" si="60"/>
        <v>0.31999999999999995</v>
      </c>
      <c r="BX24" s="170">
        <f t="shared" si="61"/>
        <v>0.31999999999999995</v>
      </c>
      <c r="BY24" s="162">
        <f t="shared" si="11"/>
        <v>2.3721205531132403</v>
      </c>
      <c r="BZ24" s="171">
        <f t="shared" si="62"/>
        <v>2.3721205531132403</v>
      </c>
      <c r="CA24" s="162"/>
      <c r="CB24" s="162">
        <f t="shared" si="63"/>
        <v>0.31999999999999995</v>
      </c>
      <c r="CC24" s="170">
        <f t="shared" si="64"/>
        <v>0.31999999999999995</v>
      </c>
      <c r="CD24" s="162">
        <f t="shared" si="12"/>
        <v>2.3721205531132403</v>
      </c>
      <c r="CE24" s="171">
        <f t="shared" si="65"/>
        <v>2.3721205531132403</v>
      </c>
      <c r="CF24" s="162"/>
      <c r="CG24" s="172">
        <f t="shared" si="66"/>
        <v>0.31999999999999995</v>
      </c>
      <c r="CH24" s="172">
        <f t="shared" si="67"/>
        <v>0.31999999999999995</v>
      </c>
      <c r="CI24" s="172">
        <f t="shared" si="13"/>
        <v>2.3721205531132403</v>
      </c>
      <c r="CJ24" s="171">
        <f t="shared" si="68"/>
        <v>2.3721205531132403</v>
      </c>
      <c r="CK24" s="172"/>
      <c r="CL24" s="162">
        <f t="shared" si="69"/>
        <v>0.31999999999999995</v>
      </c>
      <c r="CM24" s="170">
        <f t="shared" si="70"/>
        <v>0.31999999999999995</v>
      </c>
      <c r="CN24" s="162">
        <f t="shared" si="14"/>
        <v>2.3721205531132403</v>
      </c>
      <c r="CO24" s="171">
        <f t="shared" si="71"/>
        <v>2.3721205531132403</v>
      </c>
      <c r="CP24" s="162"/>
      <c r="CQ24" s="162">
        <f t="shared" si="72"/>
        <v>0.31999999999999995</v>
      </c>
      <c r="CR24" s="170">
        <f t="shared" si="73"/>
        <v>0.31999999999999995</v>
      </c>
      <c r="CS24" s="162">
        <f t="shared" si="15"/>
        <v>2.3721205531132403</v>
      </c>
      <c r="CT24" s="171">
        <f t="shared" si="74"/>
        <v>2.3721205531132403</v>
      </c>
      <c r="CU24" s="162"/>
      <c r="CV24" s="162">
        <f t="shared" si="75"/>
        <v>0.31999999999999995</v>
      </c>
      <c r="CW24" s="162">
        <f t="shared" si="76"/>
        <v>0.31999999999999995</v>
      </c>
      <c r="CX24" s="162">
        <f t="shared" si="16"/>
        <v>2.3721205531132403</v>
      </c>
      <c r="CY24" s="171">
        <f t="shared" si="77"/>
        <v>2.3721205531132403</v>
      </c>
      <c r="CZ24" s="162"/>
      <c r="DA24" s="162">
        <f t="shared" si="78"/>
        <v>0.31999999999999995</v>
      </c>
      <c r="DB24" s="170">
        <f t="shared" si="79"/>
        <v>0.31999999999999995</v>
      </c>
      <c r="DC24" s="162">
        <f t="shared" si="17"/>
        <v>2.3721205531132403</v>
      </c>
      <c r="DD24" s="171">
        <f t="shared" si="80"/>
        <v>2.3721205531132403</v>
      </c>
      <c r="DE24" s="162"/>
      <c r="DF24" s="162">
        <f t="shared" si="81"/>
        <v>0.31999999999999995</v>
      </c>
      <c r="DG24" s="170">
        <f t="shared" si="82"/>
        <v>0.31999999999999995</v>
      </c>
      <c r="DH24" s="162">
        <f t="shared" si="18"/>
        <v>2.3721205531132403</v>
      </c>
      <c r="DI24" s="171">
        <f t="shared" si="83"/>
        <v>2.3721205531132403</v>
      </c>
      <c r="DJ24" s="162"/>
      <c r="DK24" s="162">
        <f t="shared" si="84"/>
        <v>0.31999999999999995</v>
      </c>
      <c r="DL24" s="162">
        <f t="shared" si="85"/>
        <v>0.31999999999999995</v>
      </c>
      <c r="DM24" s="162">
        <f t="shared" si="19"/>
        <v>2.3721205531132403</v>
      </c>
      <c r="DN24" s="171">
        <f t="shared" si="86"/>
        <v>2.3721205531132403</v>
      </c>
      <c r="DO24" s="162"/>
      <c r="DP24" s="162">
        <f t="shared" si="87"/>
        <v>0.31999999999999995</v>
      </c>
      <c r="DQ24" s="170">
        <f t="shared" si="88"/>
        <v>0.31999999999999995</v>
      </c>
      <c r="DR24" s="162">
        <f t="shared" si="20"/>
        <v>2.3721205531132403</v>
      </c>
      <c r="DS24" s="171">
        <f t="shared" si="89"/>
        <v>2.3721205531132403</v>
      </c>
      <c r="DT24" s="162"/>
      <c r="DU24" s="162">
        <f t="shared" si="90"/>
        <v>0.31999999999999995</v>
      </c>
      <c r="DV24" s="170">
        <f t="shared" si="91"/>
        <v>0.31999999999999995</v>
      </c>
      <c r="DW24" s="162">
        <f t="shared" si="21"/>
        <v>2.3721205531132403</v>
      </c>
      <c r="DX24" s="171">
        <f t="shared" si="92"/>
        <v>2.3721205531132403</v>
      </c>
      <c r="DY24" s="162"/>
      <c r="DZ24" s="162">
        <f t="shared" si="93"/>
        <v>0.31999999999999995</v>
      </c>
      <c r="EA24" s="162">
        <f t="shared" si="94"/>
        <v>0.31999999999999995</v>
      </c>
      <c r="EB24" s="162">
        <f t="shared" si="22"/>
        <v>2.3721205531132403</v>
      </c>
      <c r="EC24" s="171">
        <f t="shared" si="95"/>
        <v>2.3721205531132403</v>
      </c>
      <c r="ED24" s="162"/>
      <c r="EE24" s="162">
        <f t="shared" si="96"/>
        <v>0.31999999999999995</v>
      </c>
      <c r="EF24" s="170">
        <f t="shared" si="97"/>
        <v>0.31999999999999995</v>
      </c>
      <c r="EG24" s="162">
        <f t="shared" si="23"/>
        <v>2.3721205531132403</v>
      </c>
      <c r="EH24" s="171">
        <f t="shared" si="98"/>
        <v>2.3721205531132403</v>
      </c>
      <c r="EI24" s="162"/>
      <c r="EJ24" s="162">
        <f t="shared" si="99"/>
        <v>0.31999999999999995</v>
      </c>
      <c r="EK24" s="170">
        <f t="shared" si="100"/>
        <v>0.31999999999999995</v>
      </c>
      <c r="EL24" s="162">
        <f t="shared" si="24"/>
        <v>2.3721205531132403</v>
      </c>
      <c r="EM24" s="171">
        <f t="shared" si="101"/>
        <v>2.3721205531132403</v>
      </c>
      <c r="EN24" s="162"/>
      <c r="EO24" s="162">
        <f t="shared" si="102"/>
        <v>0.31999999999999995</v>
      </c>
      <c r="EP24" s="162">
        <f t="shared" si="103"/>
        <v>0.31999999999999995</v>
      </c>
      <c r="EQ24" s="162">
        <f t="shared" si="25"/>
        <v>2.3721205531132403</v>
      </c>
      <c r="ER24" s="171">
        <f t="shared" si="104"/>
        <v>2.3721205531132403</v>
      </c>
      <c r="ES24" s="162"/>
      <c r="ET24" s="162">
        <f t="shared" si="105"/>
        <v>0.31999999999999995</v>
      </c>
      <c r="EU24" s="170">
        <f t="shared" si="106"/>
        <v>0.31999999999999995</v>
      </c>
      <c r="EV24" s="162">
        <f t="shared" si="26"/>
        <v>2.3721205531132403</v>
      </c>
      <c r="EW24" s="171">
        <f t="shared" si="107"/>
        <v>2.3721205531132403</v>
      </c>
      <c r="EX24" s="162"/>
    </row>
    <row r="25" spans="3:154" s="181" customFormat="1" ht="14.45" customHeight="1" x14ac:dyDescent="0.25">
      <c r="C25" s="230"/>
      <c r="D25" s="231"/>
      <c r="E25" s="231"/>
      <c r="F25" s="231"/>
      <c r="G25" s="232"/>
      <c r="H25" s="160"/>
      <c r="I25" s="160"/>
      <c r="J25" s="160"/>
      <c r="K25" s="160"/>
      <c r="L25" s="160"/>
      <c r="M25" s="160"/>
      <c r="N25" s="160"/>
      <c r="O25" s="160"/>
      <c r="P25" s="160"/>
      <c r="Q25" s="160"/>
      <c r="R25" s="160"/>
      <c r="S25" s="160"/>
      <c r="T25" s="162">
        <f t="shared" si="27"/>
        <v>0.33999999999999997</v>
      </c>
      <c r="U25" s="170">
        <f t="shared" si="28"/>
        <v>0.33999999999999997</v>
      </c>
      <c r="V25" s="162">
        <f t="shared" si="0"/>
        <v>2.4848557294961178</v>
      </c>
      <c r="W25" s="171">
        <f t="shared" si="29"/>
        <v>2.4848557294961178</v>
      </c>
      <c r="X25" s="162"/>
      <c r="Y25" s="162">
        <f t="shared" si="30"/>
        <v>0.33999999999999997</v>
      </c>
      <c r="Z25" s="162">
        <f t="shared" si="31"/>
        <v>0.33999999999999997</v>
      </c>
      <c r="AA25" s="162">
        <f t="shared" si="1"/>
        <v>2.4848557294961178</v>
      </c>
      <c r="AB25" s="171">
        <f t="shared" si="32"/>
        <v>2.4848557294961178</v>
      </c>
      <c r="AC25" s="162"/>
      <c r="AD25" s="162">
        <f t="shared" si="33"/>
        <v>0.33999999999999997</v>
      </c>
      <c r="AE25" s="170">
        <f t="shared" si="34"/>
        <v>0.33999999999999997</v>
      </c>
      <c r="AF25" s="162">
        <f t="shared" si="2"/>
        <v>2.4848557294961178</v>
      </c>
      <c r="AG25" s="171">
        <f t="shared" si="35"/>
        <v>2.4848557294961178</v>
      </c>
      <c r="AH25" s="162"/>
      <c r="AI25" s="162">
        <f t="shared" si="36"/>
        <v>0.33999999999999997</v>
      </c>
      <c r="AJ25" s="170">
        <f t="shared" si="37"/>
        <v>0.33999999999999997</v>
      </c>
      <c r="AK25" s="162">
        <f t="shared" si="3"/>
        <v>2.4848557294961178</v>
      </c>
      <c r="AL25" s="171">
        <f t="shared" si="38"/>
        <v>2.4848557294961178</v>
      </c>
      <c r="AM25" s="162"/>
      <c r="AN25" s="162">
        <f t="shared" si="39"/>
        <v>0.33999999999999997</v>
      </c>
      <c r="AO25" s="162">
        <f t="shared" si="40"/>
        <v>0.33999999999999997</v>
      </c>
      <c r="AP25" s="162">
        <f t="shared" si="4"/>
        <v>2.4848557294961178</v>
      </c>
      <c r="AQ25" s="171">
        <f t="shared" si="41"/>
        <v>2.4848557294961178</v>
      </c>
      <c r="AR25" s="162"/>
      <c r="AS25" s="162">
        <f t="shared" si="42"/>
        <v>0.33999999999999997</v>
      </c>
      <c r="AT25" s="170">
        <f t="shared" si="43"/>
        <v>0.33999999999999997</v>
      </c>
      <c r="AU25" s="162">
        <f t="shared" si="5"/>
        <v>2.4848557294961178</v>
      </c>
      <c r="AV25" s="171">
        <f t="shared" si="44"/>
        <v>2.4848557294961178</v>
      </c>
      <c r="AW25" s="162"/>
      <c r="AX25" s="162">
        <f t="shared" si="45"/>
        <v>0.33999999999999997</v>
      </c>
      <c r="AY25" s="170">
        <f t="shared" si="46"/>
        <v>0.33999999999999997</v>
      </c>
      <c r="AZ25" s="162">
        <f t="shared" si="6"/>
        <v>2.4848557294961178</v>
      </c>
      <c r="BA25" s="171">
        <f t="shared" si="47"/>
        <v>2.4848557294961178</v>
      </c>
      <c r="BB25" s="162"/>
      <c r="BC25" s="162">
        <f t="shared" si="48"/>
        <v>0.33999999999999997</v>
      </c>
      <c r="BD25" s="162">
        <f t="shared" si="49"/>
        <v>0.33999999999999997</v>
      </c>
      <c r="BE25" s="162">
        <f t="shared" si="7"/>
        <v>2.4848557294961178</v>
      </c>
      <c r="BF25" s="171">
        <f t="shared" si="50"/>
        <v>2.4848557294961178</v>
      </c>
      <c r="BG25" s="162"/>
      <c r="BH25" s="162">
        <f t="shared" si="51"/>
        <v>0.33999999999999997</v>
      </c>
      <c r="BI25" s="170">
        <f t="shared" si="52"/>
        <v>0.33999999999999997</v>
      </c>
      <c r="BJ25" s="162">
        <f t="shared" si="8"/>
        <v>2.4848557294961178</v>
      </c>
      <c r="BK25" s="171">
        <f t="shared" si="53"/>
        <v>2.4848557294961178</v>
      </c>
      <c r="BL25" s="162"/>
      <c r="BM25" s="162">
        <f t="shared" si="54"/>
        <v>0.33999999999999997</v>
      </c>
      <c r="BN25" s="170">
        <f t="shared" si="55"/>
        <v>0.33999999999999997</v>
      </c>
      <c r="BO25" s="162">
        <f t="shared" si="9"/>
        <v>2.4848557294961178</v>
      </c>
      <c r="BP25" s="171">
        <f t="shared" si="56"/>
        <v>2.4848557294961178</v>
      </c>
      <c r="BQ25" s="162"/>
      <c r="BR25" s="162">
        <f t="shared" si="57"/>
        <v>0.33999999999999997</v>
      </c>
      <c r="BS25" s="162">
        <f t="shared" si="58"/>
        <v>0.33999999999999997</v>
      </c>
      <c r="BT25" s="162">
        <f t="shared" si="10"/>
        <v>2.4848557294961178</v>
      </c>
      <c r="BU25" s="171">
        <f t="shared" si="59"/>
        <v>2.4848557294961178</v>
      </c>
      <c r="BV25" s="162"/>
      <c r="BW25" s="162">
        <f t="shared" si="60"/>
        <v>0.33999999999999997</v>
      </c>
      <c r="BX25" s="170">
        <f t="shared" si="61"/>
        <v>0.33999999999999997</v>
      </c>
      <c r="BY25" s="162">
        <f t="shared" si="11"/>
        <v>2.4848557294961178</v>
      </c>
      <c r="BZ25" s="171">
        <f t="shared" si="62"/>
        <v>2.4848557294961178</v>
      </c>
      <c r="CA25" s="162"/>
      <c r="CB25" s="162">
        <f t="shared" si="63"/>
        <v>0.33999999999999997</v>
      </c>
      <c r="CC25" s="170">
        <f t="shared" si="64"/>
        <v>0.33999999999999997</v>
      </c>
      <c r="CD25" s="162">
        <f t="shared" si="12"/>
        <v>2.4848557294961178</v>
      </c>
      <c r="CE25" s="171">
        <f t="shared" si="65"/>
        <v>2.4848557294961178</v>
      </c>
      <c r="CF25" s="162"/>
      <c r="CG25" s="172">
        <f t="shared" si="66"/>
        <v>0.33999999999999997</v>
      </c>
      <c r="CH25" s="172">
        <f t="shared" si="67"/>
        <v>0.33999999999999997</v>
      </c>
      <c r="CI25" s="172">
        <f t="shared" si="13"/>
        <v>2.4848557294961178</v>
      </c>
      <c r="CJ25" s="171">
        <f t="shared" si="68"/>
        <v>2.4848557294961178</v>
      </c>
      <c r="CK25" s="172"/>
      <c r="CL25" s="162">
        <f t="shared" si="69"/>
        <v>0.33999999999999997</v>
      </c>
      <c r="CM25" s="170">
        <f t="shared" si="70"/>
        <v>0.33999999999999997</v>
      </c>
      <c r="CN25" s="162">
        <f t="shared" si="14"/>
        <v>2.4848557294961178</v>
      </c>
      <c r="CO25" s="171">
        <f t="shared" si="71"/>
        <v>2.4848557294961178</v>
      </c>
      <c r="CP25" s="162"/>
      <c r="CQ25" s="162">
        <f t="shared" si="72"/>
        <v>0.33999999999999997</v>
      </c>
      <c r="CR25" s="170">
        <f t="shared" si="73"/>
        <v>0.33999999999999997</v>
      </c>
      <c r="CS25" s="162">
        <f t="shared" si="15"/>
        <v>2.4848557294961178</v>
      </c>
      <c r="CT25" s="171">
        <f t="shared" si="74"/>
        <v>2.4848557294961178</v>
      </c>
      <c r="CU25" s="162"/>
      <c r="CV25" s="162">
        <f t="shared" si="75"/>
        <v>0.33999999999999997</v>
      </c>
      <c r="CW25" s="162">
        <f t="shared" si="76"/>
        <v>0.33999999999999997</v>
      </c>
      <c r="CX25" s="162">
        <f t="shared" si="16"/>
        <v>2.4848557294961178</v>
      </c>
      <c r="CY25" s="171">
        <f t="shared" si="77"/>
        <v>2.4848557294961178</v>
      </c>
      <c r="CZ25" s="162"/>
      <c r="DA25" s="162">
        <f t="shared" si="78"/>
        <v>0.33999999999999997</v>
      </c>
      <c r="DB25" s="170">
        <f t="shared" si="79"/>
        <v>0.33999999999999997</v>
      </c>
      <c r="DC25" s="162">
        <f t="shared" si="17"/>
        <v>2.4848557294961178</v>
      </c>
      <c r="DD25" s="171">
        <f t="shared" si="80"/>
        <v>2.4848557294961178</v>
      </c>
      <c r="DE25" s="162"/>
      <c r="DF25" s="162">
        <f t="shared" si="81"/>
        <v>0.33999999999999997</v>
      </c>
      <c r="DG25" s="170">
        <f t="shared" si="82"/>
        <v>0.33999999999999997</v>
      </c>
      <c r="DH25" s="162">
        <f t="shared" si="18"/>
        <v>2.4848557294961178</v>
      </c>
      <c r="DI25" s="171">
        <f t="shared" si="83"/>
        <v>2.4848557294961178</v>
      </c>
      <c r="DJ25" s="162"/>
      <c r="DK25" s="162">
        <f t="shared" si="84"/>
        <v>0.33999999999999997</v>
      </c>
      <c r="DL25" s="162">
        <f t="shared" si="85"/>
        <v>0.33999999999999997</v>
      </c>
      <c r="DM25" s="162">
        <f t="shared" si="19"/>
        <v>2.4848557294961178</v>
      </c>
      <c r="DN25" s="171">
        <f t="shared" si="86"/>
        <v>2.4848557294961178</v>
      </c>
      <c r="DO25" s="162"/>
      <c r="DP25" s="162">
        <f t="shared" si="87"/>
        <v>0.33999999999999997</v>
      </c>
      <c r="DQ25" s="170">
        <f t="shared" si="88"/>
        <v>0.33999999999999997</v>
      </c>
      <c r="DR25" s="162">
        <f t="shared" si="20"/>
        <v>2.4848557294961178</v>
      </c>
      <c r="DS25" s="171">
        <f t="shared" si="89"/>
        <v>2.4848557294961178</v>
      </c>
      <c r="DT25" s="162"/>
      <c r="DU25" s="162">
        <f t="shared" si="90"/>
        <v>0.33999999999999997</v>
      </c>
      <c r="DV25" s="170">
        <f t="shared" si="91"/>
        <v>0.33999999999999997</v>
      </c>
      <c r="DW25" s="162">
        <f t="shared" si="21"/>
        <v>2.4848557294961178</v>
      </c>
      <c r="DX25" s="171">
        <f t="shared" si="92"/>
        <v>2.4848557294961178</v>
      </c>
      <c r="DY25" s="162"/>
      <c r="DZ25" s="162">
        <f t="shared" si="93"/>
        <v>0.33999999999999997</v>
      </c>
      <c r="EA25" s="162">
        <f t="shared" si="94"/>
        <v>0.33999999999999997</v>
      </c>
      <c r="EB25" s="162">
        <f t="shared" si="22"/>
        <v>2.4848557294961178</v>
      </c>
      <c r="EC25" s="171">
        <f t="shared" si="95"/>
        <v>2.4848557294961178</v>
      </c>
      <c r="ED25" s="162"/>
      <c r="EE25" s="162">
        <f t="shared" si="96"/>
        <v>0.33999999999999997</v>
      </c>
      <c r="EF25" s="170">
        <f t="shared" si="97"/>
        <v>0.33999999999999997</v>
      </c>
      <c r="EG25" s="162">
        <f t="shared" si="23"/>
        <v>2.4848557294961178</v>
      </c>
      <c r="EH25" s="171">
        <f t="shared" si="98"/>
        <v>2.4848557294961178</v>
      </c>
      <c r="EI25" s="162"/>
      <c r="EJ25" s="162">
        <f t="shared" si="99"/>
        <v>0.33999999999999997</v>
      </c>
      <c r="EK25" s="170">
        <f t="shared" si="100"/>
        <v>0.33999999999999997</v>
      </c>
      <c r="EL25" s="162">
        <f t="shared" si="24"/>
        <v>2.4848557294961178</v>
      </c>
      <c r="EM25" s="171">
        <f t="shared" si="101"/>
        <v>2.4848557294961178</v>
      </c>
      <c r="EN25" s="162"/>
      <c r="EO25" s="162">
        <f t="shared" si="102"/>
        <v>0.33999999999999997</v>
      </c>
      <c r="EP25" s="162">
        <f t="shared" si="103"/>
        <v>0.33999999999999997</v>
      </c>
      <c r="EQ25" s="162">
        <f t="shared" si="25"/>
        <v>2.4848557294961178</v>
      </c>
      <c r="ER25" s="171">
        <f t="shared" si="104"/>
        <v>2.4848557294961178</v>
      </c>
      <c r="ES25" s="162"/>
      <c r="ET25" s="162">
        <f t="shared" si="105"/>
        <v>0.33999999999999997</v>
      </c>
      <c r="EU25" s="170">
        <f t="shared" si="106"/>
        <v>0.33999999999999997</v>
      </c>
      <c r="EV25" s="162">
        <f t="shared" si="26"/>
        <v>2.4848557294961178</v>
      </c>
      <c r="EW25" s="171">
        <f t="shared" si="107"/>
        <v>2.4848557294961178</v>
      </c>
      <c r="EX25" s="162"/>
    </row>
    <row r="26" spans="3:154" s="181" customFormat="1" ht="14.45" customHeight="1" x14ac:dyDescent="0.25">
      <c r="H26" s="160"/>
      <c r="I26" s="160"/>
      <c r="J26" s="160"/>
      <c r="K26" s="160"/>
      <c r="L26" s="160"/>
      <c r="M26" s="160"/>
      <c r="N26" s="160"/>
      <c r="O26" s="160"/>
      <c r="P26" s="160"/>
      <c r="Q26" s="160"/>
      <c r="R26" s="160"/>
      <c r="S26" s="160"/>
      <c r="T26" s="162">
        <f t="shared" si="27"/>
        <v>0.36</v>
      </c>
      <c r="U26" s="170">
        <f t="shared" si="28"/>
        <v>0.36</v>
      </c>
      <c r="V26" s="162">
        <f t="shared" si="0"/>
        <v>2.5948823931511482</v>
      </c>
      <c r="W26" s="171">
        <f t="shared" si="29"/>
        <v>2.5948823931511482</v>
      </c>
      <c r="X26" s="162"/>
      <c r="Y26" s="162">
        <f t="shared" si="30"/>
        <v>0.36</v>
      </c>
      <c r="Z26" s="162">
        <f t="shared" si="31"/>
        <v>0.36</v>
      </c>
      <c r="AA26" s="162">
        <f t="shared" si="1"/>
        <v>2.5948823931511482</v>
      </c>
      <c r="AB26" s="171">
        <f t="shared" si="32"/>
        <v>2.5948823931511482</v>
      </c>
      <c r="AC26" s="162"/>
      <c r="AD26" s="162">
        <f t="shared" si="33"/>
        <v>0.36</v>
      </c>
      <c r="AE26" s="170">
        <f t="shared" si="34"/>
        <v>0.36</v>
      </c>
      <c r="AF26" s="162">
        <f t="shared" si="2"/>
        <v>2.5948823931511482</v>
      </c>
      <c r="AG26" s="171">
        <f t="shared" si="35"/>
        <v>2.5948823931511482</v>
      </c>
      <c r="AH26" s="162"/>
      <c r="AI26" s="162">
        <f t="shared" si="36"/>
        <v>0.36</v>
      </c>
      <c r="AJ26" s="170">
        <f t="shared" si="37"/>
        <v>0.36</v>
      </c>
      <c r="AK26" s="162">
        <f t="shared" si="3"/>
        <v>2.5948823931511482</v>
      </c>
      <c r="AL26" s="171">
        <f t="shared" si="38"/>
        <v>2.5948823931511482</v>
      </c>
      <c r="AM26" s="162"/>
      <c r="AN26" s="162">
        <f t="shared" si="39"/>
        <v>0.36</v>
      </c>
      <c r="AO26" s="162">
        <f t="shared" si="40"/>
        <v>0.36</v>
      </c>
      <c r="AP26" s="162">
        <f t="shared" si="4"/>
        <v>2.5948823931511482</v>
      </c>
      <c r="AQ26" s="171">
        <f t="shared" si="41"/>
        <v>2.5948823931511482</v>
      </c>
      <c r="AR26" s="162"/>
      <c r="AS26" s="162">
        <f t="shared" si="42"/>
        <v>0.36</v>
      </c>
      <c r="AT26" s="170">
        <f t="shared" si="43"/>
        <v>0.36</v>
      </c>
      <c r="AU26" s="162">
        <f t="shared" si="5"/>
        <v>2.5948823931511482</v>
      </c>
      <c r="AV26" s="171">
        <f t="shared" si="44"/>
        <v>2.5948823931511482</v>
      </c>
      <c r="AW26" s="162"/>
      <c r="AX26" s="162">
        <f t="shared" si="45"/>
        <v>0.36</v>
      </c>
      <c r="AY26" s="170">
        <f t="shared" si="46"/>
        <v>0.36</v>
      </c>
      <c r="AZ26" s="162">
        <f t="shared" si="6"/>
        <v>2.5948823931511482</v>
      </c>
      <c r="BA26" s="171">
        <f t="shared" si="47"/>
        <v>2.5948823931511482</v>
      </c>
      <c r="BB26" s="162"/>
      <c r="BC26" s="162">
        <f t="shared" si="48"/>
        <v>0.36</v>
      </c>
      <c r="BD26" s="162">
        <f t="shared" si="49"/>
        <v>0.36</v>
      </c>
      <c r="BE26" s="162">
        <f t="shared" si="7"/>
        <v>2.5948823931511482</v>
      </c>
      <c r="BF26" s="171">
        <f t="shared" si="50"/>
        <v>2.5948823931511482</v>
      </c>
      <c r="BG26" s="162"/>
      <c r="BH26" s="162">
        <f t="shared" si="51"/>
        <v>0.36</v>
      </c>
      <c r="BI26" s="170">
        <f t="shared" si="52"/>
        <v>0.36</v>
      </c>
      <c r="BJ26" s="162">
        <f t="shared" si="8"/>
        <v>2.5948823931511482</v>
      </c>
      <c r="BK26" s="171">
        <f t="shared" si="53"/>
        <v>2.5948823931511482</v>
      </c>
      <c r="BL26" s="162"/>
      <c r="BM26" s="162">
        <f t="shared" si="54"/>
        <v>0.36</v>
      </c>
      <c r="BN26" s="170">
        <f t="shared" si="55"/>
        <v>0.36</v>
      </c>
      <c r="BO26" s="162">
        <f t="shared" si="9"/>
        <v>2.5948823931511482</v>
      </c>
      <c r="BP26" s="171">
        <f t="shared" si="56"/>
        <v>2.5948823931511482</v>
      </c>
      <c r="BQ26" s="162"/>
      <c r="BR26" s="162">
        <f t="shared" si="57"/>
        <v>0.36</v>
      </c>
      <c r="BS26" s="162">
        <f t="shared" si="58"/>
        <v>0.36</v>
      </c>
      <c r="BT26" s="162">
        <f t="shared" si="10"/>
        <v>2.5948823931511482</v>
      </c>
      <c r="BU26" s="171">
        <f t="shared" si="59"/>
        <v>2.5948823931511482</v>
      </c>
      <c r="BV26" s="162"/>
      <c r="BW26" s="162">
        <f t="shared" si="60"/>
        <v>0.36</v>
      </c>
      <c r="BX26" s="170">
        <f t="shared" si="61"/>
        <v>0.36</v>
      </c>
      <c r="BY26" s="162">
        <f t="shared" si="11"/>
        <v>2.5948823931511482</v>
      </c>
      <c r="BZ26" s="171">
        <f t="shared" si="62"/>
        <v>2.5948823931511482</v>
      </c>
      <c r="CA26" s="162"/>
      <c r="CB26" s="162">
        <f t="shared" si="63"/>
        <v>0.36</v>
      </c>
      <c r="CC26" s="170">
        <f t="shared" si="64"/>
        <v>0.36</v>
      </c>
      <c r="CD26" s="162">
        <f t="shared" si="12"/>
        <v>2.5948823931511482</v>
      </c>
      <c r="CE26" s="171">
        <f t="shared" si="65"/>
        <v>2.5948823931511482</v>
      </c>
      <c r="CF26" s="162"/>
      <c r="CG26" s="172">
        <f t="shared" si="66"/>
        <v>0.36</v>
      </c>
      <c r="CH26" s="172">
        <f t="shared" si="67"/>
        <v>0.36</v>
      </c>
      <c r="CI26" s="172">
        <f t="shared" si="13"/>
        <v>2.5948823931511482</v>
      </c>
      <c r="CJ26" s="171">
        <f t="shared" si="68"/>
        <v>2.5948823931511482</v>
      </c>
      <c r="CK26" s="172"/>
      <c r="CL26" s="162">
        <f t="shared" si="69"/>
        <v>0.36</v>
      </c>
      <c r="CM26" s="170">
        <f t="shared" si="70"/>
        <v>0.36</v>
      </c>
      <c r="CN26" s="162">
        <f t="shared" si="14"/>
        <v>2.5948823931511482</v>
      </c>
      <c r="CO26" s="171">
        <f t="shared" si="71"/>
        <v>2.5948823931511482</v>
      </c>
      <c r="CP26" s="162"/>
      <c r="CQ26" s="162">
        <f t="shared" si="72"/>
        <v>0.36</v>
      </c>
      <c r="CR26" s="170">
        <f t="shared" si="73"/>
        <v>0.36</v>
      </c>
      <c r="CS26" s="162">
        <f t="shared" si="15"/>
        <v>2.5948823931511482</v>
      </c>
      <c r="CT26" s="171">
        <f t="shared" si="74"/>
        <v>2.5948823931511482</v>
      </c>
      <c r="CU26" s="162"/>
      <c r="CV26" s="162">
        <f t="shared" si="75"/>
        <v>0.36</v>
      </c>
      <c r="CW26" s="162">
        <f t="shared" si="76"/>
        <v>0.36</v>
      </c>
      <c r="CX26" s="162">
        <f t="shared" si="16"/>
        <v>2.5948823931511482</v>
      </c>
      <c r="CY26" s="171">
        <f t="shared" si="77"/>
        <v>2.5948823931511482</v>
      </c>
      <c r="CZ26" s="162"/>
      <c r="DA26" s="162">
        <f t="shared" si="78"/>
        <v>0.36</v>
      </c>
      <c r="DB26" s="170">
        <f t="shared" si="79"/>
        <v>0.36</v>
      </c>
      <c r="DC26" s="162">
        <f t="shared" si="17"/>
        <v>2.5948823931511482</v>
      </c>
      <c r="DD26" s="171">
        <f t="shared" si="80"/>
        <v>2.5948823931511482</v>
      </c>
      <c r="DE26" s="162"/>
      <c r="DF26" s="162">
        <f t="shared" si="81"/>
        <v>0.36</v>
      </c>
      <c r="DG26" s="170">
        <f t="shared" si="82"/>
        <v>0.36</v>
      </c>
      <c r="DH26" s="162">
        <f t="shared" si="18"/>
        <v>2.5948823931511482</v>
      </c>
      <c r="DI26" s="171">
        <f t="shared" si="83"/>
        <v>2.5948823931511482</v>
      </c>
      <c r="DJ26" s="162"/>
      <c r="DK26" s="162">
        <f t="shared" si="84"/>
        <v>0.36</v>
      </c>
      <c r="DL26" s="162">
        <f t="shared" si="85"/>
        <v>0.36</v>
      </c>
      <c r="DM26" s="162">
        <f t="shared" si="19"/>
        <v>2.5948823931511482</v>
      </c>
      <c r="DN26" s="171">
        <f t="shared" si="86"/>
        <v>2.5948823931511482</v>
      </c>
      <c r="DO26" s="162"/>
      <c r="DP26" s="162">
        <f t="shared" si="87"/>
        <v>0.36</v>
      </c>
      <c r="DQ26" s="170">
        <f t="shared" si="88"/>
        <v>0.36</v>
      </c>
      <c r="DR26" s="162">
        <f t="shared" si="20"/>
        <v>2.5948823931511482</v>
      </c>
      <c r="DS26" s="171">
        <f t="shared" si="89"/>
        <v>2.5948823931511482</v>
      </c>
      <c r="DT26" s="162"/>
      <c r="DU26" s="162">
        <f t="shared" si="90"/>
        <v>0.36</v>
      </c>
      <c r="DV26" s="170">
        <f t="shared" si="91"/>
        <v>0.36</v>
      </c>
      <c r="DW26" s="162">
        <f t="shared" si="21"/>
        <v>2.5948823931511482</v>
      </c>
      <c r="DX26" s="171">
        <f t="shared" si="92"/>
        <v>2.5948823931511482</v>
      </c>
      <c r="DY26" s="162"/>
      <c r="DZ26" s="162">
        <f t="shared" si="93"/>
        <v>0.36</v>
      </c>
      <c r="EA26" s="162">
        <f t="shared" si="94"/>
        <v>0.36</v>
      </c>
      <c r="EB26" s="162">
        <f t="shared" si="22"/>
        <v>2.5948823931511482</v>
      </c>
      <c r="EC26" s="171">
        <f t="shared" si="95"/>
        <v>2.5948823931511482</v>
      </c>
      <c r="ED26" s="162"/>
      <c r="EE26" s="162">
        <f t="shared" si="96"/>
        <v>0.36</v>
      </c>
      <c r="EF26" s="170">
        <f t="shared" si="97"/>
        <v>0.36</v>
      </c>
      <c r="EG26" s="162">
        <f t="shared" si="23"/>
        <v>2.5948823931511482</v>
      </c>
      <c r="EH26" s="171">
        <f t="shared" si="98"/>
        <v>2.5948823931511482</v>
      </c>
      <c r="EI26" s="162"/>
      <c r="EJ26" s="162">
        <f t="shared" si="99"/>
        <v>0.36</v>
      </c>
      <c r="EK26" s="170">
        <f t="shared" si="100"/>
        <v>0.36</v>
      </c>
      <c r="EL26" s="162">
        <f t="shared" si="24"/>
        <v>2.5948823931511482</v>
      </c>
      <c r="EM26" s="171">
        <f t="shared" si="101"/>
        <v>2.5948823931511482</v>
      </c>
      <c r="EN26" s="162"/>
      <c r="EO26" s="162">
        <f t="shared" si="102"/>
        <v>0.36</v>
      </c>
      <c r="EP26" s="162">
        <f t="shared" si="103"/>
        <v>0.36</v>
      </c>
      <c r="EQ26" s="162">
        <f t="shared" si="25"/>
        <v>2.5948823931511482</v>
      </c>
      <c r="ER26" s="171">
        <f t="shared" si="104"/>
        <v>2.5948823931511482</v>
      </c>
      <c r="ES26" s="162"/>
      <c r="ET26" s="162">
        <f t="shared" si="105"/>
        <v>0.36</v>
      </c>
      <c r="EU26" s="170">
        <f t="shared" si="106"/>
        <v>0.36</v>
      </c>
      <c r="EV26" s="162">
        <f t="shared" si="26"/>
        <v>2.5948823931511482</v>
      </c>
      <c r="EW26" s="171">
        <f t="shared" si="107"/>
        <v>2.5948823931511482</v>
      </c>
      <c r="EX26" s="162"/>
    </row>
    <row r="27" spans="3:154" s="181" customFormat="1" ht="15" customHeight="1" x14ac:dyDescent="0.25">
      <c r="C27" s="224" t="s">
        <v>350</v>
      </c>
      <c r="D27" s="225"/>
      <c r="E27" s="225"/>
      <c r="F27" s="225"/>
      <c r="G27" s="226"/>
      <c r="H27" s="160"/>
      <c r="I27" s="160"/>
      <c r="J27" s="160"/>
      <c r="K27" s="160"/>
      <c r="L27" s="160"/>
      <c r="M27" s="160"/>
      <c r="N27" s="160"/>
      <c r="O27" s="160"/>
      <c r="P27" s="160"/>
      <c r="Q27" s="160"/>
      <c r="R27" s="160"/>
      <c r="S27" s="160"/>
      <c r="T27" s="162">
        <f t="shared" si="27"/>
        <v>0.38</v>
      </c>
      <c r="U27" s="170">
        <f t="shared" si="28"/>
        <v>0.38</v>
      </c>
      <c r="V27" s="162">
        <f t="shared" si="0"/>
        <v>2.7022005440783312</v>
      </c>
      <c r="W27" s="171">
        <f t="shared" si="29"/>
        <v>2.7022005440783312</v>
      </c>
      <c r="X27" s="162"/>
      <c r="Y27" s="162">
        <f t="shared" si="30"/>
        <v>0.38</v>
      </c>
      <c r="Z27" s="162">
        <f t="shared" si="31"/>
        <v>0.38</v>
      </c>
      <c r="AA27" s="162">
        <f t="shared" si="1"/>
        <v>2.7022005440783312</v>
      </c>
      <c r="AB27" s="171">
        <f t="shared" si="32"/>
        <v>2.7022005440783312</v>
      </c>
      <c r="AC27" s="162"/>
      <c r="AD27" s="162">
        <f t="shared" si="33"/>
        <v>0.38</v>
      </c>
      <c r="AE27" s="170">
        <f t="shared" si="34"/>
        <v>0.38</v>
      </c>
      <c r="AF27" s="162">
        <f t="shared" si="2"/>
        <v>2.7022005440783312</v>
      </c>
      <c r="AG27" s="171">
        <f t="shared" si="35"/>
        <v>2.7022005440783312</v>
      </c>
      <c r="AH27" s="162"/>
      <c r="AI27" s="162">
        <f t="shared" si="36"/>
        <v>0.38</v>
      </c>
      <c r="AJ27" s="170">
        <f t="shared" si="37"/>
        <v>0.38</v>
      </c>
      <c r="AK27" s="162">
        <f t="shared" si="3"/>
        <v>2.7022005440783312</v>
      </c>
      <c r="AL27" s="171">
        <f t="shared" si="38"/>
        <v>2.7022005440783312</v>
      </c>
      <c r="AM27" s="162"/>
      <c r="AN27" s="162">
        <f t="shared" si="39"/>
        <v>0.38</v>
      </c>
      <c r="AO27" s="162">
        <f t="shared" si="40"/>
        <v>0.38</v>
      </c>
      <c r="AP27" s="162">
        <f t="shared" si="4"/>
        <v>2.7022005440783312</v>
      </c>
      <c r="AQ27" s="171">
        <f t="shared" si="41"/>
        <v>2.7022005440783312</v>
      </c>
      <c r="AR27" s="162"/>
      <c r="AS27" s="162">
        <f t="shared" si="42"/>
        <v>0.38</v>
      </c>
      <c r="AT27" s="170">
        <f t="shared" si="43"/>
        <v>0.38</v>
      </c>
      <c r="AU27" s="162">
        <f t="shared" si="5"/>
        <v>2.7022005440783312</v>
      </c>
      <c r="AV27" s="171">
        <f t="shared" si="44"/>
        <v>2.7022005440783312</v>
      </c>
      <c r="AW27" s="162"/>
      <c r="AX27" s="162">
        <f t="shared" si="45"/>
        <v>0.38</v>
      </c>
      <c r="AY27" s="170">
        <f t="shared" si="46"/>
        <v>0.38</v>
      </c>
      <c r="AZ27" s="162">
        <f t="shared" si="6"/>
        <v>2.7022005440783312</v>
      </c>
      <c r="BA27" s="171">
        <f t="shared" si="47"/>
        <v>2.7022005440783312</v>
      </c>
      <c r="BB27" s="162"/>
      <c r="BC27" s="162">
        <f t="shared" si="48"/>
        <v>0.38</v>
      </c>
      <c r="BD27" s="162">
        <f t="shared" si="49"/>
        <v>0.38</v>
      </c>
      <c r="BE27" s="162">
        <f t="shared" si="7"/>
        <v>2.7022005440783312</v>
      </c>
      <c r="BF27" s="171">
        <f t="shared" si="50"/>
        <v>2.7022005440783312</v>
      </c>
      <c r="BG27" s="162"/>
      <c r="BH27" s="162">
        <f t="shared" si="51"/>
        <v>0.38</v>
      </c>
      <c r="BI27" s="170">
        <f t="shared" si="52"/>
        <v>0.38</v>
      </c>
      <c r="BJ27" s="162">
        <f t="shared" si="8"/>
        <v>2.7022005440783312</v>
      </c>
      <c r="BK27" s="171">
        <f t="shared" si="53"/>
        <v>2.7022005440783312</v>
      </c>
      <c r="BL27" s="162"/>
      <c r="BM27" s="162">
        <f t="shared" si="54"/>
        <v>0.38</v>
      </c>
      <c r="BN27" s="170">
        <f t="shared" si="55"/>
        <v>0.38</v>
      </c>
      <c r="BO27" s="162">
        <f t="shared" si="9"/>
        <v>2.7022005440783312</v>
      </c>
      <c r="BP27" s="171">
        <f t="shared" si="56"/>
        <v>2.7022005440783312</v>
      </c>
      <c r="BQ27" s="162"/>
      <c r="BR27" s="162">
        <f t="shared" si="57"/>
        <v>0.38</v>
      </c>
      <c r="BS27" s="162">
        <f t="shared" si="58"/>
        <v>0.38</v>
      </c>
      <c r="BT27" s="162">
        <f t="shared" si="10"/>
        <v>2.7022005440783312</v>
      </c>
      <c r="BU27" s="171">
        <f t="shared" si="59"/>
        <v>2.7022005440783312</v>
      </c>
      <c r="BV27" s="162"/>
      <c r="BW27" s="162">
        <f t="shared" si="60"/>
        <v>0.38</v>
      </c>
      <c r="BX27" s="170">
        <f t="shared" si="61"/>
        <v>0.38</v>
      </c>
      <c r="BY27" s="162">
        <f t="shared" si="11"/>
        <v>2.7022005440783312</v>
      </c>
      <c r="BZ27" s="171">
        <f t="shared" si="62"/>
        <v>2.7022005440783312</v>
      </c>
      <c r="CA27" s="162"/>
      <c r="CB27" s="162">
        <f t="shared" si="63"/>
        <v>0.38</v>
      </c>
      <c r="CC27" s="170">
        <f t="shared" si="64"/>
        <v>0.38</v>
      </c>
      <c r="CD27" s="162">
        <f t="shared" si="12"/>
        <v>2.7022005440783312</v>
      </c>
      <c r="CE27" s="171">
        <f t="shared" si="65"/>
        <v>2.7022005440783312</v>
      </c>
      <c r="CF27" s="162"/>
      <c r="CG27" s="172">
        <f t="shared" si="66"/>
        <v>0.38</v>
      </c>
      <c r="CH27" s="172">
        <f t="shared" si="67"/>
        <v>0.38</v>
      </c>
      <c r="CI27" s="172">
        <f t="shared" si="13"/>
        <v>2.7022005440783312</v>
      </c>
      <c r="CJ27" s="171">
        <f t="shared" si="68"/>
        <v>2.7022005440783312</v>
      </c>
      <c r="CK27" s="172"/>
      <c r="CL27" s="162">
        <f t="shared" si="69"/>
        <v>0.38</v>
      </c>
      <c r="CM27" s="170">
        <f t="shared" si="70"/>
        <v>0.38</v>
      </c>
      <c r="CN27" s="162">
        <f t="shared" si="14"/>
        <v>2.7022005440783312</v>
      </c>
      <c r="CO27" s="171">
        <f t="shared" si="71"/>
        <v>2.7022005440783312</v>
      </c>
      <c r="CP27" s="162"/>
      <c r="CQ27" s="162">
        <f t="shared" si="72"/>
        <v>0.38</v>
      </c>
      <c r="CR27" s="170">
        <f t="shared" si="73"/>
        <v>0.38</v>
      </c>
      <c r="CS27" s="162">
        <f t="shared" si="15"/>
        <v>2.7022005440783312</v>
      </c>
      <c r="CT27" s="171">
        <f t="shared" si="74"/>
        <v>2.7022005440783312</v>
      </c>
      <c r="CU27" s="162"/>
      <c r="CV27" s="162">
        <f t="shared" si="75"/>
        <v>0.38</v>
      </c>
      <c r="CW27" s="162">
        <f t="shared" si="76"/>
        <v>0.38</v>
      </c>
      <c r="CX27" s="162">
        <f t="shared" si="16"/>
        <v>2.7022005440783312</v>
      </c>
      <c r="CY27" s="171">
        <f t="shared" si="77"/>
        <v>2.7022005440783312</v>
      </c>
      <c r="CZ27" s="162"/>
      <c r="DA27" s="162">
        <f t="shared" si="78"/>
        <v>0.38</v>
      </c>
      <c r="DB27" s="170">
        <f t="shared" si="79"/>
        <v>0.38</v>
      </c>
      <c r="DC27" s="162">
        <f t="shared" si="17"/>
        <v>2.7022005440783312</v>
      </c>
      <c r="DD27" s="171">
        <f t="shared" si="80"/>
        <v>2.7022005440783312</v>
      </c>
      <c r="DE27" s="162"/>
      <c r="DF27" s="162">
        <f t="shared" si="81"/>
        <v>0.38</v>
      </c>
      <c r="DG27" s="170">
        <f t="shared" si="82"/>
        <v>0.38</v>
      </c>
      <c r="DH27" s="162">
        <f t="shared" si="18"/>
        <v>2.7022005440783312</v>
      </c>
      <c r="DI27" s="171">
        <f t="shared" si="83"/>
        <v>2.7022005440783312</v>
      </c>
      <c r="DJ27" s="162"/>
      <c r="DK27" s="162">
        <f t="shared" si="84"/>
        <v>0.38</v>
      </c>
      <c r="DL27" s="162">
        <f t="shared" si="85"/>
        <v>0.38</v>
      </c>
      <c r="DM27" s="162">
        <f t="shared" si="19"/>
        <v>2.7022005440783312</v>
      </c>
      <c r="DN27" s="171">
        <f t="shared" si="86"/>
        <v>2.7022005440783312</v>
      </c>
      <c r="DO27" s="162"/>
      <c r="DP27" s="162">
        <f t="shared" si="87"/>
        <v>0.38</v>
      </c>
      <c r="DQ27" s="170">
        <f t="shared" si="88"/>
        <v>0.38</v>
      </c>
      <c r="DR27" s="162">
        <f t="shared" si="20"/>
        <v>2.7022005440783312</v>
      </c>
      <c r="DS27" s="171">
        <f t="shared" si="89"/>
        <v>2.7022005440783312</v>
      </c>
      <c r="DT27" s="162"/>
      <c r="DU27" s="162">
        <f t="shared" si="90"/>
        <v>0.38</v>
      </c>
      <c r="DV27" s="170">
        <f t="shared" si="91"/>
        <v>0.38</v>
      </c>
      <c r="DW27" s="162">
        <f t="shared" si="21"/>
        <v>2.7022005440783312</v>
      </c>
      <c r="DX27" s="171">
        <f t="shared" si="92"/>
        <v>2.7022005440783312</v>
      </c>
      <c r="DY27" s="162"/>
      <c r="DZ27" s="162">
        <f t="shared" si="93"/>
        <v>0.38</v>
      </c>
      <c r="EA27" s="162">
        <f t="shared" si="94"/>
        <v>0.38</v>
      </c>
      <c r="EB27" s="162">
        <f t="shared" si="22"/>
        <v>2.7022005440783312</v>
      </c>
      <c r="EC27" s="171">
        <f t="shared" si="95"/>
        <v>2.7022005440783312</v>
      </c>
      <c r="ED27" s="162"/>
      <c r="EE27" s="162">
        <f t="shared" si="96"/>
        <v>0.38</v>
      </c>
      <c r="EF27" s="170">
        <f t="shared" si="97"/>
        <v>0.38</v>
      </c>
      <c r="EG27" s="162">
        <f t="shared" si="23"/>
        <v>2.7022005440783312</v>
      </c>
      <c r="EH27" s="171">
        <f t="shared" si="98"/>
        <v>2.7022005440783312</v>
      </c>
      <c r="EI27" s="162"/>
      <c r="EJ27" s="162">
        <f t="shared" si="99"/>
        <v>0.38</v>
      </c>
      <c r="EK27" s="170">
        <f t="shared" si="100"/>
        <v>0.38</v>
      </c>
      <c r="EL27" s="162">
        <f t="shared" si="24"/>
        <v>2.7022005440783312</v>
      </c>
      <c r="EM27" s="171">
        <f t="shared" si="101"/>
        <v>2.7022005440783312</v>
      </c>
      <c r="EN27" s="162"/>
      <c r="EO27" s="162">
        <f t="shared" si="102"/>
        <v>0.38</v>
      </c>
      <c r="EP27" s="162">
        <f t="shared" si="103"/>
        <v>0.38</v>
      </c>
      <c r="EQ27" s="162">
        <f t="shared" si="25"/>
        <v>2.7022005440783312</v>
      </c>
      <c r="ER27" s="171">
        <f t="shared" si="104"/>
        <v>2.7022005440783312</v>
      </c>
      <c r="ES27" s="162"/>
      <c r="ET27" s="162">
        <f t="shared" si="105"/>
        <v>0.38</v>
      </c>
      <c r="EU27" s="170">
        <f t="shared" si="106"/>
        <v>0.38</v>
      </c>
      <c r="EV27" s="162">
        <f t="shared" si="26"/>
        <v>2.7022005440783312</v>
      </c>
      <c r="EW27" s="171">
        <f t="shared" si="107"/>
        <v>2.7022005440783312</v>
      </c>
      <c r="EX27" s="162"/>
    </row>
    <row r="28" spans="3:154" s="181" customFormat="1" ht="15" customHeight="1" x14ac:dyDescent="0.25">
      <c r="C28" s="227"/>
      <c r="D28" s="234"/>
      <c r="E28" s="234"/>
      <c r="F28" s="234"/>
      <c r="G28" s="229"/>
      <c r="H28" s="160"/>
      <c r="I28" s="160"/>
      <c r="J28" s="160"/>
      <c r="K28" s="160"/>
      <c r="L28" s="160"/>
      <c r="M28" s="160"/>
      <c r="N28" s="160"/>
      <c r="O28" s="160"/>
      <c r="P28" s="160"/>
      <c r="Q28" s="160"/>
      <c r="R28" s="160"/>
      <c r="S28" s="160"/>
      <c r="T28" s="162">
        <f t="shared" si="27"/>
        <v>0.4</v>
      </c>
      <c r="U28" s="170">
        <f t="shared" si="28"/>
        <v>0.4</v>
      </c>
      <c r="V28" s="162">
        <f t="shared" si="0"/>
        <v>2.8068101822776672</v>
      </c>
      <c r="W28" s="171">
        <f t="shared" si="29"/>
        <v>2.8068101822776672</v>
      </c>
      <c r="X28" s="162"/>
      <c r="Y28" s="162">
        <f t="shared" si="30"/>
        <v>0.4</v>
      </c>
      <c r="Z28" s="162">
        <f t="shared" si="31"/>
        <v>0.4</v>
      </c>
      <c r="AA28" s="162">
        <f t="shared" si="1"/>
        <v>2.8068101822776672</v>
      </c>
      <c r="AB28" s="171">
        <f t="shared" si="32"/>
        <v>2.8068101822776672</v>
      </c>
      <c r="AC28" s="162"/>
      <c r="AD28" s="162">
        <f t="shared" si="33"/>
        <v>0.4</v>
      </c>
      <c r="AE28" s="170">
        <f t="shared" si="34"/>
        <v>0.4</v>
      </c>
      <c r="AF28" s="162">
        <f t="shared" si="2"/>
        <v>2.8068101822776672</v>
      </c>
      <c r="AG28" s="171">
        <f t="shared" si="35"/>
        <v>2.8068101822776672</v>
      </c>
      <c r="AH28" s="162"/>
      <c r="AI28" s="162">
        <f t="shared" si="36"/>
        <v>0.4</v>
      </c>
      <c r="AJ28" s="170">
        <f t="shared" si="37"/>
        <v>0.4</v>
      </c>
      <c r="AK28" s="162">
        <f t="shared" si="3"/>
        <v>2.8068101822776672</v>
      </c>
      <c r="AL28" s="171">
        <f t="shared" si="38"/>
        <v>2.8068101822776672</v>
      </c>
      <c r="AM28" s="162"/>
      <c r="AN28" s="162">
        <f t="shared" si="39"/>
        <v>0.4</v>
      </c>
      <c r="AO28" s="162">
        <f t="shared" si="40"/>
        <v>0.4</v>
      </c>
      <c r="AP28" s="162">
        <f t="shared" si="4"/>
        <v>2.8068101822776672</v>
      </c>
      <c r="AQ28" s="171">
        <f t="shared" si="41"/>
        <v>2.8068101822776672</v>
      </c>
      <c r="AR28" s="162"/>
      <c r="AS28" s="162">
        <f t="shared" si="42"/>
        <v>0.4</v>
      </c>
      <c r="AT28" s="170">
        <f t="shared" si="43"/>
        <v>0.4</v>
      </c>
      <c r="AU28" s="162">
        <f t="shared" si="5"/>
        <v>2.8068101822776672</v>
      </c>
      <c r="AV28" s="171">
        <f t="shared" si="44"/>
        <v>2.8068101822776672</v>
      </c>
      <c r="AW28" s="162"/>
      <c r="AX28" s="162">
        <f t="shared" si="45"/>
        <v>0.4</v>
      </c>
      <c r="AY28" s="170">
        <f t="shared" si="46"/>
        <v>0.4</v>
      </c>
      <c r="AZ28" s="162">
        <f t="shared" si="6"/>
        <v>2.8068101822776672</v>
      </c>
      <c r="BA28" s="171">
        <f t="shared" si="47"/>
        <v>2.8068101822776672</v>
      </c>
      <c r="BB28" s="162"/>
      <c r="BC28" s="162">
        <f t="shared" si="48"/>
        <v>0.4</v>
      </c>
      <c r="BD28" s="162">
        <f t="shared" si="49"/>
        <v>0.4</v>
      </c>
      <c r="BE28" s="162">
        <f t="shared" si="7"/>
        <v>2.8068101822776672</v>
      </c>
      <c r="BF28" s="171">
        <f t="shared" si="50"/>
        <v>2.8068101822776672</v>
      </c>
      <c r="BG28" s="162"/>
      <c r="BH28" s="162">
        <f t="shared" si="51"/>
        <v>0.4</v>
      </c>
      <c r="BI28" s="170">
        <f t="shared" si="52"/>
        <v>0.4</v>
      </c>
      <c r="BJ28" s="162">
        <f t="shared" si="8"/>
        <v>2.8068101822776672</v>
      </c>
      <c r="BK28" s="171">
        <f t="shared" si="53"/>
        <v>2.8068101822776672</v>
      </c>
      <c r="BL28" s="162"/>
      <c r="BM28" s="162">
        <f t="shared" si="54"/>
        <v>0.4</v>
      </c>
      <c r="BN28" s="170">
        <f t="shared" si="55"/>
        <v>0.4</v>
      </c>
      <c r="BO28" s="162">
        <f t="shared" si="9"/>
        <v>2.8068101822776672</v>
      </c>
      <c r="BP28" s="171">
        <f t="shared" si="56"/>
        <v>2.8068101822776672</v>
      </c>
      <c r="BQ28" s="162"/>
      <c r="BR28" s="162">
        <f t="shared" si="57"/>
        <v>0.4</v>
      </c>
      <c r="BS28" s="162">
        <f t="shared" si="58"/>
        <v>0.4</v>
      </c>
      <c r="BT28" s="162">
        <f t="shared" si="10"/>
        <v>2.8068101822776672</v>
      </c>
      <c r="BU28" s="171">
        <f t="shared" si="59"/>
        <v>2.8068101822776672</v>
      </c>
      <c r="BV28" s="162"/>
      <c r="BW28" s="162">
        <f t="shared" si="60"/>
        <v>0.4</v>
      </c>
      <c r="BX28" s="170">
        <f t="shared" si="61"/>
        <v>0.4</v>
      </c>
      <c r="BY28" s="162">
        <f t="shared" si="11"/>
        <v>2.8068101822776672</v>
      </c>
      <c r="BZ28" s="171">
        <f t="shared" si="62"/>
        <v>2.8068101822776672</v>
      </c>
      <c r="CA28" s="162"/>
      <c r="CB28" s="162">
        <f t="shared" si="63"/>
        <v>0.4</v>
      </c>
      <c r="CC28" s="170">
        <f t="shared" si="64"/>
        <v>0.4</v>
      </c>
      <c r="CD28" s="162">
        <f t="shared" si="12"/>
        <v>2.8068101822776672</v>
      </c>
      <c r="CE28" s="171">
        <f t="shared" si="65"/>
        <v>2.8068101822776672</v>
      </c>
      <c r="CF28" s="162"/>
      <c r="CG28" s="172">
        <f t="shared" si="66"/>
        <v>0.4</v>
      </c>
      <c r="CH28" s="172">
        <f t="shared" si="67"/>
        <v>0.4</v>
      </c>
      <c r="CI28" s="172">
        <f t="shared" si="13"/>
        <v>2.8068101822776672</v>
      </c>
      <c r="CJ28" s="171">
        <f t="shared" si="68"/>
        <v>2.8068101822776672</v>
      </c>
      <c r="CK28" s="172"/>
      <c r="CL28" s="162">
        <f t="shared" si="69"/>
        <v>0.4</v>
      </c>
      <c r="CM28" s="170">
        <f t="shared" si="70"/>
        <v>0.4</v>
      </c>
      <c r="CN28" s="162">
        <f t="shared" si="14"/>
        <v>2.8068101822776672</v>
      </c>
      <c r="CO28" s="171">
        <f t="shared" si="71"/>
        <v>2.8068101822776672</v>
      </c>
      <c r="CP28" s="162"/>
      <c r="CQ28" s="162">
        <f t="shared" si="72"/>
        <v>0.4</v>
      </c>
      <c r="CR28" s="170">
        <f t="shared" si="73"/>
        <v>0.4</v>
      </c>
      <c r="CS28" s="162">
        <f t="shared" si="15"/>
        <v>2.8068101822776672</v>
      </c>
      <c r="CT28" s="171">
        <f t="shared" si="74"/>
        <v>2.8068101822776672</v>
      </c>
      <c r="CU28" s="162"/>
      <c r="CV28" s="162">
        <f t="shared" si="75"/>
        <v>0.4</v>
      </c>
      <c r="CW28" s="162">
        <f t="shared" si="76"/>
        <v>0.4</v>
      </c>
      <c r="CX28" s="162">
        <f t="shared" si="16"/>
        <v>2.8068101822776672</v>
      </c>
      <c r="CY28" s="171">
        <f t="shared" si="77"/>
        <v>2.8068101822776672</v>
      </c>
      <c r="CZ28" s="162"/>
      <c r="DA28" s="162">
        <f t="shared" si="78"/>
        <v>0.4</v>
      </c>
      <c r="DB28" s="170">
        <f t="shared" si="79"/>
        <v>0.4</v>
      </c>
      <c r="DC28" s="162">
        <f t="shared" si="17"/>
        <v>2.8068101822776672</v>
      </c>
      <c r="DD28" s="171">
        <f t="shared" si="80"/>
        <v>2.8068101822776672</v>
      </c>
      <c r="DE28" s="162"/>
      <c r="DF28" s="162">
        <f t="shared" si="81"/>
        <v>0.4</v>
      </c>
      <c r="DG28" s="170">
        <f t="shared" si="82"/>
        <v>0.4</v>
      </c>
      <c r="DH28" s="162">
        <f t="shared" si="18"/>
        <v>2.8068101822776672</v>
      </c>
      <c r="DI28" s="171">
        <f t="shared" si="83"/>
        <v>2.8068101822776672</v>
      </c>
      <c r="DJ28" s="162"/>
      <c r="DK28" s="162">
        <f t="shared" si="84"/>
        <v>0.4</v>
      </c>
      <c r="DL28" s="162">
        <f t="shared" si="85"/>
        <v>0.4</v>
      </c>
      <c r="DM28" s="162">
        <f t="shared" si="19"/>
        <v>2.8068101822776672</v>
      </c>
      <c r="DN28" s="171">
        <f t="shared" si="86"/>
        <v>2.8068101822776672</v>
      </c>
      <c r="DO28" s="162"/>
      <c r="DP28" s="162">
        <f t="shared" si="87"/>
        <v>0.4</v>
      </c>
      <c r="DQ28" s="170">
        <f t="shared" si="88"/>
        <v>0.4</v>
      </c>
      <c r="DR28" s="162">
        <f t="shared" si="20"/>
        <v>2.8068101822776672</v>
      </c>
      <c r="DS28" s="171">
        <f t="shared" si="89"/>
        <v>2.8068101822776672</v>
      </c>
      <c r="DT28" s="162"/>
      <c r="DU28" s="162">
        <f t="shared" si="90"/>
        <v>0.4</v>
      </c>
      <c r="DV28" s="170">
        <f t="shared" si="91"/>
        <v>0.4</v>
      </c>
      <c r="DW28" s="162">
        <f t="shared" si="21"/>
        <v>2.8068101822776672</v>
      </c>
      <c r="DX28" s="171">
        <f t="shared" si="92"/>
        <v>2.8068101822776672</v>
      </c>
      <c r="DY28" s="162"/>
      <c r="DZ28" s="162">
        <f t="shared" si="93"/>
        <v>0.4</v>
      </c>
      <c r="EA28" s="162">
        <f t="shared" si="94"/>
        <v>0.4</v>
      </c>
      <c r="EB28" s="162">
        <f t="shared" si="22"/>
        <v>2.8068101822776672</v>
      </c>
      <c r="EC28" s="171">
        <f t="shared" si="95"/>
        <v>2.8068101822776672</v>
      </c>
      <c r="ED28" s="162"/>
      <c r="EE28" s="162">
        <f t="shared" si="96"/>
        <v>0.4</v>
      </c>
      <c r="EF28" s="170">
        <f t="shared" si="97"/>
        <v>0.4</v>
      </c>
      <c r="EG28" s="162">
        <f t="shared" si="23"/>
        <v>2.8068101822776672</v>
      </c>
      <c r="EH28" s="171">
        <f t="shared" si="98"/>
        <v>2.8068101822776672</v>
      </c>
      <c r="EI28" s="162"/>
      <c r="EJ28" s="162">
        <f t="shared" si="99"/>
        <v>0.4</v>
      </c>
      <c r="EK28" s="170">
        <f t="shared" si="100"/>
        <v>0.4</v>
      </c>
      <c r="EL28" s="162">
        <f t="shared" si="24"/>
        <v>2.8068101822776672</v>
      </c>
      <c r="EM28" s="171">
        <f t="shared" si="101"/>
        <v>2.8068101822776672</v>
      </c>
      <c r="EN28" s="162"/>
      <c r="EO28" s="162">
        <f t="shared" si="102"/>
        <v>0.4</v>
      </c>
      <c r="EP28" s="162">
        <f t="shared" si="103"/>
        <v>0.4</v>
      </c>
      <c r="EQ28" s="162">
        <f t="shared" si="25"/>
        <v>2.8068101822776672</v>
      </c>
      <c r="ER28" s="171">
        <f t="shared" si="104"/>
        <v>2.8068101822776672</v>
      </c>
      <c r="ES28" s="162"/>
      <c r="ET28" s="162">
        <f t="shared" si="105"/>
        <v>0.4</v>
      </c>
      <c r="EU28" s="170">
        <f t="shared" si="106"/>
        <v>0.4</v>
      </c>
      <c r="EV28" s="162">
        <f t="shared" si="26"/>
        <v>2.8068101822776672</v>
      </c>
      <c r="EW28" s="171">
        <f t="shared" si="107"/>
        <v>2.8068101822776672</v>
      </c>
      <c r="EX28" s="162"/>
    </row>
    <row r="29" spans="3:154" s="181" customFormat="1" ht="15" customHeight="1" x14ac:dyDescent="0.25">
      <c r="C29" s="230"/>
      <c r="D29" s="231"/>
      <c r="E29" s="231"/>
      <c r="F29" s="231"/>
      <c r="G29" s="232"/>
      <c r="H29" s="160"/>
      <c r="I29" s="160"/>
      <c r="J29" s="160"/>
      <c r="K29" s="160"/>
      <c r="L29" s="160"/>
      <c r="M29" s="160"/>
      <c r="N29" s="160"/>
      <c r="O29" s="160"/>
      <c r="P29" s="160"/>
      <c r="Q29" s="160"/>
      <c r="R29" s="160"/>
      <c r="S29" s="160"/>
      <c r="T29" s="162">
        <f t="shared" si="27"/>
        <v>0.42000000000000004</v>
      </c>
      <c r="U29" s="170">
        <f t="shared" si="28"/>
        <v>0.42000000000000004</v>
      </c>
      <c r="V29" s="162">
        <f t="shared" si="0"/>
        <v>2.9087113077491571</v>
      </c>
      <c r="W29" s="171">
        <f t="shared" si="29"/>
        <v>2.9087113077491571</v>
      </c>
      <c r="X29" s="162"/>
      <c r="Y29" s="162">
        <f t="shared" si="30"/>
        <v>0.42000000000000004</v>
      </c>
      <c r="Z29" s="162">
        <f t="shared" si="31"/>
        <v>0.42000000000000004</v>
      </c>
      <c r="AA29" s="162">
        <f t="shared" si="1"/>
        <v>2.9087113077491571</v>
      </c>
      <c r="AB29" s="171">
        <f t="shared" si="32"/>
        <v>2.9087113077491571</v>
      </c>
      <c r="AC29" s="162"/>
      <c r="AD29" s="162">
        <f t="shared" si="33"/>
        <v>0.42000000000000004</v>
      </c>
      <c r="AE29" s="170">
        <f t="shared" si="34"/>
        <v>0.42000000000000004</v>
      </c>
      <c r="AF29" s="162">
        <f t="shared" si="2"/>
        <v>2.9087113077491571</v>
      </c>
      <c r="AG29" s="171">
        <f t="shared" si="35"/>
        <v>2.9087113077491571</v>
      </c>
      <c r="AH29" s="162"/>
      <c r="AI29" s="162">
        <f t="shared" si="36"/>
        <v>0.42000000000000004</v>
      </c>
      <c r="AJ29" s="170">
        <f t="shared" si="37"/>
        <v>0.42000000000000004</v>
      </c>
      <c r="AK29" s="162">
        <f t="shared" si="3"/>
        <v>2.9087113077491571</v>
      </c>
      <c r="AL29" s="171">
        <f t="shared" si="38"/>
        <v>2.9087113077491571</v>
      </c>
      <c r="AM29" s="162"/>
      <c r="AN29" s="162">
        <f t="shared" si="39"/>
        <v>0.42000000000000004</v>
      </c>
      <c r="AO29" s="162">
        <f t="shared" si="40"/>
        <v>0.42000000000000004</v>
      </c>
      <c r="AP29" s="162">
        <f t="shared" si="4"/>
        <v>2.9087113077491571</v>
      </c>
      <c r="AQ29" s="171">
        <f t="shared" si="41"/>
        <v>2.9087113077491571</v>
      </c>
      <c r="AR29" s="162"/>
      <c r="AS29" s="162">
        <f t="shared" si="42"/>
        <v>0.42000000000000004</v>
      </c>
      <c r="AT29" s="170">
        <f t="shared" si="43"/>
        <v>0.42000000000000004</v>
      </c>
      <c r="AU29" s="162">
        <f t="shared" si="5"/>
        <v>2.9087113077491571</v>
      </c>
      <c r="AV29" s="171">
        <f t="shared" si="44"/>
        <v>2.9087113077491571</v>
      </c>
      <c r="AW29" s="162"/>
      <c r="AX29" s="162">
        <f t="shared" si="45"/>
        <v>0.42000000000000004</v>
      </c>
      <c r="AY29" s="170">
        <f t="shared" si="46"/>
        <v>0.42000000000000004</v>
      </c>
      <c r="AZ29" s="162">
        <f t="shared" si="6"/>
        <v>2.9087113077491571</v>
      </c>
      <c r="BA29" s="171">
        <f t="shared" si="47"/>
        <v>2.9087113077491571</v>
      </c>
      <c r="BB29" s="162"/>
      <c r="BC29" s="162">
        <f t="shared" si="48"/>
        <v>0.42000000000000004</v>
      </c>
      <c r="BD29" s="162">
        <f t="shared" si="49"/>
        <v>0.42000000000000004</v>
      </c>
      <c r="BE29" s="162">
        <f t="shared" si="7"/>
        <v>2.9087113077491571</v>
      </c>
      <c r="BF29" s="171">
        <f t="shared" si="50"/>
        <v>2.9087113077491571</v>
      </c>
      <c r="BG29" s="162"/>
      <c r="BH29" s="162">
        <f t="shared" si="51"/>
        <v>0.42000000000000004</v>
      </c>
      <c r="BI29" s="170">
        <f t="shared" si="52"/>
        <v>0.42000000000000004</v>
      </c>
      <c r="BJ29" s="162">
        <f t="shared" si="8"/>
        <v>2.9087113077491571</v>
      </c>
      <c r="BK29" s="171">
        <f t="shared" si="53"/>
        <v>2.9087113077491571</v>
      </c>
      <c r="BL29" s="162"/>
      <c r="BM29" s="162">
        <f t="shared" si="54"/>
        <v>0.42000000000000004</v>
      </c>
      <c r="BN29" s="170">
        <f t="shared" si="55"/>
        <v>0.42000000000000004</v>
      </c>
      <c r="BO29" s="162">
        <f t="shared" si="9"/>
        <v>2.9087113077491571</v>
      </c>
      <c r="BP29" s="171">
        <f t="shared" si="56"/>
        <v>2.9087113077491571</v>
      </c>
      <c r="BQ29" s="162"/>
      <c r="BR29" s="162">
        <f t="shared" si="57"/>
        <v>0.42000000000000004</v>
      </c>
      <c r="BS29" s="162">
        <f t="shared" si="58"/>
        <v>0.42000000000000004</v>
      </c>
      <c r="BT29" s="162">
        <f t="shared" si="10"/>
        <v>2.9087113077491571</v>
      </c>
      <c r="BU29" s="171">
        <f t="shared" si="59"/>
        <v>2.9087113077491571</v>
      </c>
      <c r="BV29" s="162"/>
      <c r="BW29" s="162">
        <f t="shared" si="60"/>
        <v>0.42000000000000004</v>
      </c>
      <c r="BX29" s="170">
        <f t="shared" si="61"/>
        <v>0.42000000000000004</v>
      </c>
      <c r="BY29" s="162">
        <f t="shared" si="11"/>
        <v>2.9087113077491571</v>
      </c>
      <c r="BZ29" s="171">
        <f t="shared" si="62"/>
        <v>2.9087113077491571</v>
      </c>
      <c r="CA29" s="162"/>
      <c r="CB29" s="162">
        <f t="shared" si="63"/>
        <v>0.42000000000000004</v>
      </c>
      <c r="CC29" s="170">
        <f t="shared" si="64"/>
        <v>0.42000000000000004</v>
      </c>
      <c r="CD29" s="162">
        <f t="shared" si="12"/>
        <v>2.9087113077491571</v>
      </c>
      <c r="CE29" s="171">
        <f t="shared" si="65"/>
        <v>2.9087113077491571</v>
      </c>
      <c r="CF29" s="162"/>
      <c r="CG29" s="172">
        <f t="shared" si="66"/>
        <v>0.42000000000000004</v>
      </c>
      <c r="CH29" s="172">
        <f t="shared" si="67"/>
        <v>0.42000000000000004</v>
      </c>
      <c r="CI29" s="172">
        <f t="shared" si="13"/>
        <v>2.9087113077491571</v>
      </c>
      <c r="CJ29" s="171">
        <f t="shared" si="68"/>
        <v>2.9087113077491571</v>
      </c>
      <c r="CK29" s="172"/>
      <c r="CL29" s="162">
        <f t="shared" si="69"/>
        <v>0.42000000000000004</v>
      </c>
      <c r="CM29" s="170">
        <f t="shared" si="70"/>
        <v>0.42000000000000004</v>
      </c>
      <c r="CN29" s="162">
        <f t="shared" si="14"/>
        <v>2.9087113077491571</v>
      </c>
      <c r="CO29" s="171">
        <f t="shared" si="71"/>
        <v>2.9087113077491571</v>
      </c>
      <c r="CP29" s="162"/>
      <c r="CQ29" s="162">
        <f t="shared" si="72"/>
        <v>0.42000000000000004</v>
      </c>
      <c r="CR29" s="170">
        <f t="shared" si="73"/>
        <v>0.42000000000000004</v>
      </c>
      <c r="CS29" s="162">
        <f t="shared" si="15"/>
        <v>2.9087113077491571</v>
      </c>
      <c r="CT29" s="171">
        <f t="shared" si="74"/>
        <v>2.9087113077491571</v>
      </c>
      <c r="CU29" s="162"/>
      <c r="CV29" s="162">
        <f t="shared" si="75"/>
        <v>0.42000000000000004</v>
      </c>
      <c r="CW29" s="162">
        <f t="shared" si="76"/>
        <v>0.42000000000000004</v>
      </c>
      <c r="CX29" s="162">
        <f t="shared" si="16"/>
        <v>2.9087113077491571</v>
      </c>
      <c r="CY29" s="171">
        <f t="shared" si="77"/>
        <v>2.9087113077491571</v>
      </c>
      <c r="CZ29" s="162"/>
      <c r="DA29" s="162">
        <f t="shared" si="78"/>
        <v>0.42000000000000004</v>
      </c>
      <c r="DB29" s="170">
        <f t="shared" si="79"/>
        <v>0.42000000000000004</v>
      </c>
      <c r="DC29" s="162">
        <f t="shared" si="17"/>
        <v>2.9087113077491571</v>
      </c>
      <c r="DD29" s="171">
        <f t="shared" si="80"/>
        <v>2.9087113077491571</v>
      </c>
      <c r="DE29" s="162"/>
      <c r="DF29" s="162">
        <f t="shared" si="81"/>
        <v>0.42000000000000004</v>
      </c>
      <c r="DG29" s="170">
        <f t="shared" si="82"/>
        <v>0.42000000000000004</v>
      </c>
      <c r="DH29" s="162">
        <f t="shared" si="18"/>
        <v>2.9087113077491571</v>
      </c>
      <c r="DI29" s="171">
        <f t="shared" si="83"/>
        <v>2.9087113077491571</v>
      </c>
      <c r="DJ29" s="162"/>
      <c r="DK29" s="162">
        <f t="shared" si="84"/>
        <v>0.42000000000000004</v>
      </c>
      <c r="DL29" s="162">
        <f t="shared" si="85"/>
        <v>0.42000000000000004</v>
      </c>
      <c r="DM29" s="162">
        <f t="shared" si="19"/>
        <v>2.9087113077491571</v>
      </c>
      <c r="DN29" s="171">
        <f t="shared" si="86"/>
        <v>2.9087113077491571</v>
      </c>
      <c r="DO29" s="162"/>
      <c r="DP29" s="162">
        <f t="shared" si="87"/>
        <v>0.42000000000000004</v>
      </c>
      <c r="DQ29" s="170">
        <f t="shared" si="88"/>
        <v>0.42000000000000004</v>
      </c>
      <c r="DR29" s="162">
        <f t="shared" si="20"/>
        <v>2.9087113077491571</v>
      </c>
      <c r="DS29" s="171">
        <f t="shared" si="89"/>
        <v>2.9087113077491571</v>
      </c>
      <c r="DT29" s="162"/>
      <c r="DU29" s="162">
        <f t="shared" si="90"/>
        <v>0.42000000000000004</v>
      </c>
      <c r="DV29" s="170">
        <f t="shared" si="91"/>
        <v>0.42000000000000004</v>
      </c>
      <c r="DW29" s="162">
        <f t="shared" si="21"/>
        <v>2.9087113077491571</v>
      </c>
      <c r="DX29" s="171">
        <f t="shared" si="92"/>
        <v>2.9087113077491571</v>
      </c>
      <c r="DY29" s="162"/>
      <c r="DZ29" s="162">
        <f t="shared" si="93"/>
        <v>0.42000000000000004</v>
      </c>
      <c r="EA29" s="162">
        <f t="shared" si="94"/>
        <v>0.42000000000000004</v>
      </c>
      <c r="EB29" s="162">
        <f t="shared" si="22"/>
        <v>2.9087113077491571</v>
      </c>
      <c r="EC29" s="171">
        <f t="shared" si="95"/>
        <v>2.9087113077491571</v>
      </c>
      <c r="ED29" s="162"/>
      <c r="EE29" s="162">
        <f t="shared" si="96"/>
        <v>0.42000000000000004</v>
      </c>
      <c r="EF29" s="170">
        <f t="shared" si="97"/>
        <v>0.42000000000000004</v>
      </c>
      <c r="EG29" s="162">
        <f t="shared" si="23"/>
        <v>2.9087113077491571</v>
      </c>
      <c r="EH29" s="171">
        <f t="shared" si="98"/>
        <v>2.9087113077491571</v>
      </c>
      <c r="EI29" s="162"/>
      <c r="EJ29" s="162">
        <f t="shared" si="99"/>
        <v>0.42000000000000004</v>
      </c>
      <c r="EK29" s="170">
        <f t="shared" si="100"/>
        <v>0.42000000000000004</v>
      </c>
      <c r="EL29" s="162">
        <f t="shared" si="24"/>
        <v>2.9087113077491571</v>
      </c>
      <c r="EM29" s="171">
        <f t="shared" si="101"/>
        <v>2.9087113077491571</v>
      </c>
      <c r="EN29" s="162"/>
      <c r="EO29" s="162">
        <f t="shared" si="102"/>
        <v>0.42000000000000004</v>
      </c>
      <c r="EP29" s="162">
        <f t="shared" si="103"/>
        <v>0.42000000000000004</v>
      </c>
      <c r="EQ29" s="162">
        <f t="shared" si="25"/>
        <v>2.9087113077491571</v>
      </c>
      <c r="ER29" s="171">
        <f t="shared" si="104"/>
        <v>2.9087113077491571</v>
      </c>
      <c r="ES29" s="162"/>
      <c r="ET29" s="162">
        <f t="shared" si="105"/>
        <v>0.42000000000000004</v>
      </c>
      <c r="EU29" s="170">
        <f t="shared" si="106"/>
        <v>0.42000000000000004</v>
      </c>
      <c r="EV29" s="162">
        <f t="shared" si="26"/>
        <v>2.9087113077491571</v>
      </c>
      <c r="EW29" s="171">
        <f t="shared" si="107"/>
        <v>2.9087113077491571</v>
      </c>
      <c r="EX29" s="162"/>
    </row>
    <row r="30" spans="3:154" s="181" customFormat="1" ht="14.45" customHeight="1" x14ac:dyDescent="0.25">
      <c r="C30" s="160"/>
      <c r="D30" s="160"/>
      <c r="E30" s="160"/>
      <c r="F30" s="160"/>
      <c r="G30" s="160"/>
      <c r="H30" s="160"/>
      <c r="I30" s="160"/>
      <c r="J30" s="160"/>
      <c r="K30" s="160"/>
      <c r="L30" s="160"/>
      <c r="M30" s="160"/>
      <c r="N30" s="160"/>
      <c r="O30" s="160"/>
      <c r="P30" s="160"/>
      <c r="Q30" s="160"/>
      <c r="R30" s="160"/>
      <c r="S30" s="160"/>
      <c r="T30" s="162">
        <f t="shared" si="27"/>
        <v>0.44000000000000006</v>
      </c>
      <c r="U30" s="170">
        <f t="shared" si="28"/>
        <v>0.44000000000000006</v>
      </c>
      <c r="V30" s="162">
        <f t="shared" si="0"/>
        <v>3.0079039204927986</v>
      </c>
      <c r="W30" s="171">
        <f t="shared" si="29"/>
        <v>3.0079039204927986</v>
      </c>
      <c r="X30" s="162"/>
      <c r="Y30" s="162">
        <f t="shared" si="30"/>
        <v>0.44000000000000006</v>
      </c>
      <c r="Z30" s="162">
        <f t="shared" si="31"/>
        <v>0.44000000000000006</v>
      </c>
      <c r="AA30" s="162">
        <f t="shared" si="1"/>
        <v>3.0079039204927986</v>
      </c>
      <c r="AB30" s="171">
        <f t="shared" si="32"/>
        <v>3.0079039204927986</v>
      </c>
      <c r="AC30" s="162"/>
      <c r="AD30" s="162">
        <f t="shared" si="33"/>
        <v>0.44000000000000006</v>
      </c>
      <c r="AE30" s="170">
        <f t="shared" si="34"/>
        <v>0.44000000000000006</v>
      </c>
      <c r="AF30" s="162">
        <f t="shared" si="2"/>
        <v>3.0079039204927986</v>
      </c>
      <c r="AG30" s="171">
        <f t="shared" si="35"/>
        <v>3.0079039204927986</v>
      </c>
      <c r="AH30" s="162"/>
      <c r="AI30" s="162">
        <f t="shared" si="36"/>
        <v>0.44000000000000006</v>
      </c>
      <c r="AJ30" s="170">
        <f t="shared" si="37"/>
        <v>0.44000000000000006</v>
      </c>
      <c r="AK30" s="162">
        <f t="shared" si="3"/>
        <v>3.0079039204927986</v>
      </c>
      <c r="AL30" s="171">
        <f t="shared" si="38"/>
        <v>3.0079039204927986</v>
      </c>
      <c r="AM30" s="162"/>
      <c r="AN30" s="162">
        <f t="shared" si="39"/>
        <v>0.44000000000000006</v>
      </c>
      <c r="AO30" s="162">
        <f t="shared" si="40"/>
        <v>0.44000000000000006</v>
      </c>
      <c r="AP30" s="162">
        <f t="shared" si="4"/>
        <v>3.0079039204927986</v>
      </c>
      <c r="AQ30" s="171">
        <f t="shared" si="41"/>
        <v>3.0079039204927986</v>
      </c>
      <c r="AR30" s="162"/>
      <c r="AS30" s="162">
        <f t="shared" si="42"/>
        <v>0.44000000000000006</v>
      </c>
      <c r="AT30" s="170">
        <f t="shared" si="43"/>
        <v>0.44000000000000006</v>
      </c>
      <c r="AU30" s="162">
        <f t="shared" si="5"/>
        <v>3.0079039204927986</v>
      </c>
      <c r="AV30" s="171">
        <f t="shared" si="44"/>
        <v>3.0079039204927986</v>
      </c>
      <c r="AW30" s="162"/>
      <c r="AX30" s="162">
        <f t="shared" si="45"/>
        <v>0.44000000000000006</v>
      </c>
      <c r="AY30" s="170">
        <f t="shared" si="46"/>
        <v>0.44000000000000006</v>
      </c>
      <c r="AZ30" s="162">
        <f t="shared" si="6"/>
        <v>3.0079039204927986</v>
      </c>
      <c r="BA30" s="171">
        <f t="shared" si="47"/>
        <v>3.0079039204927986</v>
      </c>
      <c r="BB30" s="162"/>
      <c r="BC30" s="162">
        <f t="shared" si="48"/>
        <v>0.44000000000000006</v>
      </c>
      <c r="BD30" s="162">
        <f t="shared" si="49"/>
        <v>0.44000000000000006</v>
      </c>
      <c r="BE30" s="162">
        <f t="shared" si="7"/>
        <v>3.0079039204927986</v>
      </c>
      <c r="BF30" s="171">
        <f t="shared" si="50"/>
        <v>3.0079039204927986</v>
      </c>
      <c r="BG30" s="162"/>
      <c r="BH30" s="162">
        <f t="shared" si="51"/>
        <v>0.44000000000000006</v>
      </c>
      <c r="BI30" s="170">
        <f t="shared" si="52"/>
        <v>0.44000000000000006</v>
      </c>
      <c r="BJ30" s="162">
        <f t="shared" si="8"/>
        <v>3.0079039204927986</v>
      </c>
      <c r="BK30" s="171">
        <f t="shared" si="53"/>
        <v>3.0079039204927986</v>
      </c>
      <c r="BL30" s="162"/>
      <c r="BM30" s="162">
        <f t="shared" si="54"/>
        <v>0.44000000000000006</v>
      </c>
      <c r="BN30" s="170">
        <f t="shared" si="55"/>
        <v>0.44000000000000006</v>
      </c>
      <c r="BO30" s="162">
        <f t="shared" si="9"/>
        <v>3.0079039204927986</v>
      </c>
      <c r="BP30" s="171">
        <f t="shared" si="56"/>
        <v>3.0079039204927986</v>
      </c>
      <c r="BQ30" s="162"/>
      <c r="BR30" s="162">
        <f t="shared" si="57"/>
        <v>0.44000000000000006</v>
      </c>
      <c r="BS30" s="162">
        <f t="shared" si="58"/>
        <v>0.44000000000000006</v>
      </c>
      <c r="BT30" s="162">
        <f t="shared" si="10"/>
        <v>3.0079039204927986</v>
      </c>
      <c r="BU30" s="171">
        <f t="shared" si="59"/>
        <v>3.0079039204927986</v>
      </c>
      <c r="BV30" s="162"/>
      <c r="BW30" s="162">
        <f t="shared" si="60"/>
        <v>0.44000000000000006</v>
      </c>
      <c r="BX30" s="170">
        <f t="shared" si="61"/>
        <v>0.44000000000000006</v>
      </c>
      <c r="BY30" s="162">
        <f t="shared" si="11"/>
        <v>3.0079039204927986</v>
      </c>
      <c r="BZ30" s="171">
        <f t="shared" si="62"/>
        <v>3.0079039204927986</v>
      </c>
      <c r="CA30" s="162"/>
      <c r="CB30" s="162">
        <f t="shared" si="63"/>
        <v>0.44000000000000006</v>
      </c>
      <c r="CC30" s="170">
        <f t="shared" si="64"/>
        <v>0.44000000000000006</v>
      </c>
      <c r="CD30" s="162">
        <f t="shared" si="12"/>
        <v>3.0079039204927986</v>
      </c>
      <c r="CE30" s="171">
        <f t="shared" si="65"/>
        <v>3.0079039204927986</v>
      </c>
      <c r="CF30" s="162"/>
      <c r="CG30" s="172">
        <f t="shared" si="66"/>
        <v>0.44000000000000006</v>
      </c>
      <c r="CH30" s="172">
        <f t="shared" si="67"/>
        <v>0.44000000000000006</v>
      </c>
      <c r="CI30" s="172">
        <f t="shared" si="13"/>
        <v>3.0079039204927986</v>
      </c>
      <c r="CJ30" s="171">
        <f t="shared" si="68"/>
        <v>3.0079039204927986</v>
      </c>
      <c r="CK30" s="172"/>
      <c r="CL30" s="162">
        <f t="shared" si="69"/>
        <v>0.44000000000000006</v>
      </c>
      <c r="CM30" s="170">
        <f t="shared" si="70"/>
        <v>0.44000000000000006</v>
      </c>
      <c r="CN30" s="162">
        <f t="shared" si="14"/>
        <v>3.0079039204927986</v>
      </c>
      <c r="CO30" s="171">
        <f t="shared" si="71"/>
        <v>3.0079039204927986</v>
      </c>
      <c r="CP30" s="162"/>
      <c r="CQ30" s="162">
        <f t="shared" si="72"/>
        <v>0.44000000000000006</v>
      </c>
      <c r="CR30" s="170">
        <f t="shared" si="73"/>
        <v>0.44000000000000006</v>
      </c>
      <c r="CS30" s="162">
        <f t="shared" si="15"/>
        <v>3.0079039204927986</v>
      </c>
      <c r="CT30" s="171">
        <f t="shared" si="74"/>
        <v>3.0079039204927986</v>
      </c>
      <c r="CU30" s="162"/>
      <c r="CV30" s="162">
        <f t="shared" si="75"/>
        <v>0.44000000000000006</v>
      </c>
      <c r="CW30" s="162">
        <f t="shared" si="76"/>
        <v>0.44000000000000006</v>
      </c>
      <c r="CX30" s="162">
        <f t="shared" si="16"/>
        <v>3.0079039204927986</v>
      </c>
      <c r="CY30" s="171">
        <f t="shared" si="77"/>
        <v>3.0079039204927986</v>
      </c>
      <c r="CZ30" s="162"/>
      <c r="DA30" s="162">
        <f t="shared" si="78"/>
        <v>0.44000000000000006</v>
      </c>
      <c r="DB30" s="170">
        <f t="shared" si="79"/>
        <v>0.44000000000000006</v>
      </c>
      <c r="DC30" s="162">
        <f t="shared" si="17"/>
        <v>3.0079039204927986</v>
      </c>
      <c r="DD30" s="171">
        <f t="shared" si="80"/>
        <v>3.0079039204927986</v>
      </c>
      <c r="DE30" s="162"/>
      <c r="DF30" s="162">
        <f t="shared" si="81"/>
        <v>0.44000000000000006</v>
      </c>
      <c r="DG30" s="170">
        <f t="shared" si="82"/>
        <v>0.44000000000000006</v>
      </c>
      <c r="DH30" s="162">
        <f t="shared" si="18"/>
        <v>3.0079039204927986</v>
      </c>
      <c r="DI30" s="171">
        <f t="shared" si="83"/>
        <v>3.0079039204927986</v>
      </c>
      <c r="DJ30" s="162"/>
      <c r="DK30" s="162">
        <f t="shared" si="84"/>
        <v>0.44000000000000006</v>
      </c>
      <c r="DL30" s="162">
        <f t="shared" si="85"/>
        <v>0.44000000000000006</v>
      </c>
      <c r="DM30" s="162">
        <f t="shared" si="19"/>
        <v>3.0079039204927986</v>
      </c>
      <c r="DN30" s="171">
        <f t="shared" si="86"/>
        <v>3.0079039204927986</v>
      </c>
      <c r="DO30" s="162"/>
      <c r="DP30" s="162">
        <f t="shared" si="87"/>
        <v>0.44000000000000006</v>
      </c>
      <c r="DQ30" s="170">
        <f t="shared" si="88"/>
        <v>0.44000000000000006</v>
      </c>
      <c r="DR30" s="162">
        <f t="shared" si="20"/>
        <v>3.0079039204927986</v>
      </c>
      <c r="DS30" s="171">
        <f t="shared" si="89"/>
        <v>3.0079039204927986</v>
      </c>
      <c r="DT30" s="162"/>
      <c r="DU30" s="162">
        <f t="shared" si="90"/>
        <v>0.44000000000000006</v>
      </c>
      <c r="DV30" s="170">
        <f t="shared" si="91"/>
        <v>0.44000000000000006</v>
      </c>
      <c r="DW30" s="162">
        <f t="shared" si="21"/>
        <v>3.0079039204927986</v>
      </c>
      <c r="DX30" s="171">
        <f t="shared" si="92"/>
        <v>3.0079039204927986</v>
      </c>
      <c r="DY30" s="162"/>
      <c r="DZ30" s="162">
        <f t="shared" si="93"/>
        <v>0.44000000000000006</v>
      </c>
      <c r="EA30" s="162">
        <f t="shared" si="94"/>
        <v>0.44000000000000006</v>
      </c>
      <c r="EB30" s="162">
        <f t="shared" si="22"/>
        <v>3.0079039204927986</v>
      </c>
      <c r="EC30" s="171">
        <f t="shared" si="95"/>
        <v>3.0079039204927986</v>
      </c>
      <c r="ED30" s="162"/>
      <c r="EE30" s="162">
        <f t="shared" si="96"/>
        <v>0.44000000000000006</v>
      </c>
      <c r="EF30" s="170">
        <f t="shared" si="97"/>
        <v>0.44000000000000006</v>
      </c>
      <c r="EG30" s="162">
        <f t="shared" si="23"/>
        <v>3.0079039204927986</v>
      </c>
      <c r="EH30" s="171">
        <f t="shared" si="98"/>
        <v>3.0079039204927986</v>
      </c>
      <c r="EI30" s="162"/>
      <c r="EJ30" s="162">
        <f t="shared" si="99"/>
        <v>0.44000000000000006</v>
      </c>
      <c r="EK30" s="170">
        <f t="shared" si="100"/>
        <v>0.44000000000000006</v>
      </c>
      <c r="EL30" s="162">
        <f t="shared" si="24"/>
        <v>3.0079039204927986</v>
      </c>
      <c r="EM30" s="171">
        <f t="shared" si="101"/>
        <v>3.0079039204927986</v>
      </c>
      <c r="EN30" s="162"/>
      <c r="EO30" s="162">
        <f t="shared" si="102"/>
        <v>0.44000000000000006</v>
      </c>
      <c r="EP30" s="162">
        <f t="shared" si="103"/>
        <v>0.44000000000000006</v>
      </c>
      <c r="EQ30" s="162">
        <f t="shared" si="25"/>
        <v>3.0079039204927986</v>
      </c>
      <c r="ER30" s="171">
        <f t="shared" si="104"/>
        <v>3.0079039204927986</v>
      </c>
      <c r="ES30" s="162"/>
      <c r="ET30" s="162">
        <f t="shared" si="105"/>
        <v>0.44000000000000006</v>
      </c>
      <c r="EU30" s="170">
        <f t="shared" si="106"/>
        <v>0.44000000000000006</v>
      </c>
      <c r="EV30" s="162">
        <f t="shared" si="26"/>
        <v>3.0079039204927986</v>
      </c>
      <c r="EW30" s="171">
        <f t="shared" si="107"/>
        <v>3.0079039204927986</v>
      </c>
      <c r="EX30" s="162"/>
    </row>
    <row r="31" spans="3:154" s="181" customFormat="1" ht="14.45" customHeight="1" x14ac:dyDescent="0.25">
      <c r="C31" s="224" t="s">
        <v>351</v>
      </c>
      <c r="D31" s="225"/>
      <c r="E31" s="225"/>
      <c r="F31" s="225"/>
      <c r="G31" s="226"/>
      <c r="H31" s="160"/>
      <c r="I31" s="160"/>
      <c r="J31" s="160"/>
      <c r="K31" s="160"/>
      <c r="L31" s="160"/>
      <c r="M31" s="160"/>
      <c r="N31" s="160"/>
      <c r="O31" s="160"/>
      <c r="P31" s="160"/>
      <c r="Q31" s="160"/>
      <c r="R31" s="160"/>
      <c r="S31" s="160"/>
      <c r="T31" s="162">
        <f t="shared" si="27"/>
        <v>0.46000000000000008</v>
      </c>
      <c r="U31" s="170">
        <f t="shared" si="28"/>
        <v>0.46000000000000008</v>
      </c>
      <c r="V31" s="162">
        <f t="shared" si="0"/>
        <v>3.1043880205085936</v>
      </c>
      <c r="W31" s="171">
        <f t="shared" si="29"/>
        <v>3.1043880205085936</v>
      </c>
      <c r="X31" s="162"/>
      <c r="Y31" s="162">
        <f t="shared" si="30"/>
        <v>0.46000000000000008</v>
      </c>
      <c r="Z31" s="162">
        <f t="shared" si="31"/>
        <v>0.46000000000000008</v>
      </c>
      <c r="AA31" s="162">
        <f t="shared" si="1"/>
        <v>3.1043880205085936</v>
      </c>
      <c r="AB31" s="171">
        <f t="shared" si="32"/>
        <v>3.1043880205085936</v>
      </c>
      <c r="AC31" s="162"/>
      <c r="AD31" s="162">
        <f t="shared" si="33"/>
        <v>0.46000000000000008</v>
      </c>
      <c r="AE31" s="170">
        <f t="shared" si="34"/>
        <v>0.46000000000000008</v>
      </c>
      <c r="AF31" s="162">
        <f t="shared" si="2"/>
        <v>3.1043880205085936</v>
      </c>
      <c r="AG31" s="171">
        <f t="shared" si="35"/>
        <v>3.1043880205085936</v>
      </c>
      <c r="AH31" s="162"/>
      <c r="AI31" s="162">
        <f t="shared" si="36"/>
        <v>0.46000000000000008</v>
      </c>
      <c r="AJ31" s="170">
        <f t="shared" si="37"/>
        <v>0.46000000000000008</v>
      </c>
      <c r="AK31" s="162">
        <f t="shared" si="3"/>
        <v>3.1043880205085936</v>
      </c>
      <c r="AL31" s="171">
        <f t="shared" si="38"/>
        <v>3.1043880205085936</v>
      </c>
      <c r="AM31" s="162"/>
      <c r="AN31" s="162">
        <f t="shared" si="39"/>
        <v>0.46000000000000008</v>
      </c>
      <c r="AO31" s="162">
        <f t="shared" si="40"/>
        <v>0.46000000000000008</v>
      </c>
      <c r="AP31" s="162">
        <f t="shared" si="4"/>
        <v>3.1043880205085936</v>
      </c>
      <c r="AQ31" s="171">
        <f t="shared" si="41"/>
        <v>3.1043880205085936</v>
      </c>
      <c r="AR31" s="162"/>
      <c r="AS31" s="162">
        <f t="shared" si="42"/>
        <v>0.46000000000000008</v>
      </c>
      <c r="AT31" s="170">
        <f t="shared" si="43"/>
        <v>0.46000000000000008</v>
      </c>
      <c r="AU31" s="162">
        <f t="shared" si="5"/>
        <v>3.1043880205085936</v>
      </c>
      <c r="AV31" s="171">
        <f t="shared" si="44"/>
        <v>3.1043880205085936</v>
      </c>
      <c r="AW31" s="162"/>
      <c r="AX31" s="162">
        <f t="shared" si="45"/>
        <v>0.46000000000000008</v>
      </c>
      <c r="AY31" s="170">
        <f t="shared" si="46"/>
        <v>0.46000000000000008</v>
      </c>
      <c r="AZ31" s="162">
        <f t="shared" si="6"/>
        <v>3.1043880205085936</v>
      </c>
      <c r="BA31" s="171">
        <f t="shared" si="47"/>
        <v>3.1043880205085936</v>
      </c>
      <c r="BB31" s="162"/>
      <c r="BC31" s="162">
        <f t="shared" si="48"/>
        <v>0.46000000000000008</v>
      </c>
      <c r="BD31" s="162">
        <f t="shared" si="49"/>
        <v>0.46000000000000008</v>
      </c>
      <c r="BE31" s="162">
        <f t="shared" si="7"/>
        <v>3.1043880205085936</v>
      </c>
      <c r="BF31" s="171">
        <f t="shared" si="50"/>
        <v>3.1043880205085936</v>
      </c>
      <c r="BG31" s="162"/>
      <c r="BH31" s="162">
        <f t="shared" si="51"/>
        <v>0.46000000000000008</v>
      </c>
      <c r="BI31" s="170">
        <f t="shared" si="52"/>
        <v>0.46000000000000008</v>
      </c>
      <c r="BJ31" s="162">
        <f t="shared" si="8"/>
        <v>3.1043880205085936</v>
      </c>
      <c r="BK31" s="171">
        <f t="shared" si="53"/>
        <v>3.1043880205085936</v>
      </c>
      <c r="BL31" s="162"/>
      <c r="BM31" s="162">
        <f t="shared" si="54"/>
        <v>0.46000000000000008</v>
      </c>
      <c r="BN31" s="170">
        <f t="shared" si="55"/>
        <v>0.46000000000000008</v>
      </c>
      <c r="BO31" s="162">
        <f t="shared" si="9"/>
        <v>3.1043880205085936</v>
      </c>
      <c r="BP31" s="171">
        <f t="shared" si="56"/>
        <v>3.1043880205085936</v>
      </c>
      <c r="BQ31" s="162"/>
      <c r="BR31" s="162">
        <f t="shared" si="57"/>
        <v>0.46000000000000008</v>
      </c>
      <c r="BS31" s="162">
        <f t="shared" si="58"/>
        <v>0.46000000000000008</v>
      </c>
      <c r="BT31" s="162">
        <f t="shared" si="10"/>
        <v>3.1043880205085936</v>
      </c>
      <c r="BU31" s="171">
        <f t="shared" si="59"/>
        <v>3.1043880205085936</v>
      </c>
      <c r="BV31" s="162"/>
      <c r="BW31" s="162">
        <f t="shared" si="60"/>
        <v>0.46000000000000008</v>
      </c>
      <c r="BX31" s="170">
        <f t="shared" si="61"/>
        <v>0.46000000000000008</v>
      </c>
      <c r="BY31" s="162">
        <f t="shared" si="11"/>
        <v>3.1043880205085936</v>
      </c>
      <c r="BZ31" s="171">
        <f t="shared" si="62"/>
        <v>3.1043880205085936</v>
      </c>
      <c r="CA31" s="162"/>
      <c r="CB31" s="162">
        <f t="shared" si="63"/>
        <v>0.46000000000000008</v>
      </c>
      <c r="CC31" s="170">
        <f t="shared" si="64"/>
        <v>0.46000000000000008</v>
      </c>
      <c r="CD31" s="162">
        <f t="shared" si="12"/>
        <v>3.1043880205085936</v>
      </c>
      <c r="CE31" s="171">
        <f t="shared" si="65"/>
        <v>3.1043880205085936</v>
      </c>
      <c r="CF31" s="162"/>
      <c r="CG31" s="172">
        <f t="shared" si="66"/>
        <v>0.46000000000000008</v>
      </c>
      <c r="CH31" s="172">
        <f t="shared" si="67"/>
        <v>0.46000000000000008</v>
      </c>
      <c r="CI31" s="172">
        <f t="shared" si="13"/>
        <v>3.1043880205085936</v>
      </c>
      <c r="CJ31" s="171">
        <f t="shared" si="68"/>
        <v>3.1043880205085936</v>
      </c>
      <c r="CK31" s="172"/>
      <c r="CL31" s="162">
        <f t="shared" si="69"/>
        <v>0.46000000000000008</v>
      </c>
      <c r="CM31" s="170">
        <f t="shared" si="70"/>
        <v>0.46000000000000008</v>
      </c>
      <c r="CN31" s="162">
        <f t="shared" si="14"/>
        <v>3.1043880205085936</v>
      </c>
      <c r="CO31" s="171">
        <f t="shared" si="71"/>
        <v>3.1043880205085936</v>
      </c>
      <c r="CP31" s="162"/>
      <c r="CQ31" s="162">
        <f t="shared" si="72"/>
        <v>0.46000000000000008</v>
      </c>
      <c r="CR31" s="170">
        <f t="shared" si="73"/>
        <v>0.46000000000000008</v>
      </c>
      <c r="CS31" s="162">
        <f t="shared" si="15"/>
        <v>3.1043880205085936</v>
      </c>
      <c r="CT31" s="171">
        <f t="shared" si="74"/>
        <v>3.1043880205085936</v>
      </c>
      <c r="CU31" s="162"/>
      <c r="CV31" s="162">
        <f t="shared" si="75"/>
        <v>0.46000000000000008</v>
      </c>
      <c r="CW31" s="162">
        <f t="shared" si="76"/>
        <v>0.46000000000000008</v>
      </c>
      <c r="CX31" s="162">
        <f t="shared" si="16"/>
        <v>3.1043880205085936</v>
      </c>
      <c r="CY31" s="171">
        <f t="shared" si="77"/>
        <v>3.1043880205085936</v>
      </c>
      <c r="CZ31" s="162"/>
      <c r="DA31" s="162">
        <f t="shared" si="78"/>
        <v>0.46000000000000008</v>
      </c>
      <c r="DB31" s="170">
        <f t="shared" si="79"/>
        <v>0.46000000000000008</v>
      </c>
      <c r="DC31" s="162">
        <f t="shared" si="17"/>
        <v>3.1043880205085936</v>
      </c>
      <c r="DD31" s="171">
        <f t="shared" si="80"/>
        <v>3.1043880205085936</v>
      </c>
      <c r="DE31" s="162"/>
      <c r="DF31" s="162">
        <f t="shared" si="81"/>
        <v>0.46000000000000008</v>
      </c>
      <c r="DG31" s="170">
        <f t="shared" si="82"/>
        <v>0.46000000000000008</v>
      </c>
      <c r="DH31" s="162">
        <f t="shared" si="18"/>
        <v>3.1043880205085936</v>
      </c>
      <c r="DI31" s="171">
        <f t="shared" si="83"/>
        <v>3.1043880205085936</v>
      </c>
      <c r="DJ31" s="162"/>
      <c r="DK31" s="162">
        <f t="shared" si="84"/>
        <v>0.46000000000000008</v>
      </c>
      <c r="DL31" s="162">
        <f t="shared" si="85"/>
        <v>0.46000000000000008</v>
      </c>
      <c r="DM31" s="162">
        <f t="shared" si="19"/>
        <v>3.1043880205085936</v>
      </c>
      <c r="DN31" s="171">
        <f t="shared" si="86"/>
        <v>3.1043880205085936</v>
      </c>
      <c r="DO31" s="162"/>
      <c r="DP31" s="162">
        <f t="shared" si="87"/>
        <v>0.46000000000000008</v>
      </c>
      <c r="DQ31" s="170">
        <f t="shared" si="88"/>
        <v>0.46000000000000008</v>
      </c>
      <c r="DR31" s="162">
        <f t="shared" si="20"/>
        <v>3.1043880205085936</v>
      </c>
      <c r="DS31" s="171">
        <f t="shared" si="89"/>
        <v>3.1043880205085936</v>
      </c>
      <c r="DT31" s="162"/>
      <c r="DU31" s="162">
        <f t="shared" si="90"/>
        <v>0.46000000000000008</v>
      </c>
      <c r="DV31" s="170">
        <f t="shared" si="91"/>
        <v>0.46000000000000008</v>
      </c>
      <c r="DW31" s="162">
        <f t="shared" si="21"/>
        <v>3.1043880205085936</v>
      </c>
      <c r="DX31" s="171">
        <f t="shared" si="92"/>
        <v>3.1043880205085936</v>
      </c>
      <c r="DY31" s="162"/>
      <c r="DZ31" s="162">
        <f t="shared" si="93"/>
        <v>0.46000000000000008</v>
      </c>
      <c r="EA31" s="162">
        <f t="shared" si="94"/>
        <v>0.46000000000000008</v>
      </c>
      <c r="EB31" s="162">
        <f t="shared" si="22"/>
        <v>3.1043880205085936</v>
      </c>
      <c r="EC31" s="171">
        <f t="shared" si="95"/>
        <v>3.1043880205085936</v>
      </c>
      <c r="ED31" s="162"/>
      <c r="EE31" s="162">
        <f t="shared" si="96"/>
        <v>0.46000000000000008</v>
      </c>
      <c r="EF31" s="170">
        <f t="shared" si="97"/>
        <v>0.46000000000000008</v>
      </c>
      <c r="EG31" s="162">
        <f t="shared" si="23"/>
        <v>3.1043880205085936</v>
      </c>
      <c r="EH31" s="171">
        <f t="shared" si="98"/>
        <v>3.1043880205085936</v>
      </c>
      <c r="EI31" s="162"/>
      <c r="EJ31" s="162">
        <f t="shared" si="99"/>
        <v>0.46000000000000008</v>
      </c>
      <c r="EK31" s="170">
        <f t="shared" si="100"/>
        <v>0.46000000000000008</v>
      </c>
      <c r="EL31" s="162">
        <f t="shared" si="24"/>
        <v>3.1043880205085936</v>
      </c>
      <c r="EM31" s="171">
        <f t="shared" si="101"/>
        <v>3.1043880205085936</v>
      </c>
      <c r="EN31" s="162"/>
      <c r="EO31" s="162">
        <f t="shared" si="102"/>
        <v>0.46000000000000008</v>
      </c>
      <c r="EP31" s="162">
        <f t="shared" si="103"/>
        <v>0.46000000000000008</v>
      </c>
      <c r="EQ31" s="162">
        <f t="shared" si="25"/>
        <v>3.1043880205085936</v>
      </c>
      <c r="ER31" s="171">
        <f t="shared" si="104"/>
        <v>3.1043880205085936</v>
      </c>
      <c r="ES31" s="162"/>
      <c r="ET31" s="162">
        <f t="shared" si="105"/>
        <v>0.46000000000000008</v>
      </c>
      <c r="EU31" s="170">
        <f t="shared" si="106"/>
        <v>0.46000000000000008</v>
      </c>
      <c r="EV31" s="162">
        <f t="shared" si="26"/>
        <v>3.1043880205085936</v>
      </c>
      <c r="EW31" s="171">
        <f t="shared" si="107"/>
        <v>3.1043880205085936</v>
      </c>
      <c r="EX31" s="162"/>
    </row>
    <row r="32" spans="3:154" s="181" customFormat="1" ht="14.45" customHeight="1" x14ac:dyDescent="0.25">
      <c r="C32" s="227"/>
      <c r="D32" s="228"/>
      <c r="E32" s="228"/>
      <c r="F32" s="228"/>
      <c r="G32" s="229"/>
      <c r="H32" s="160"/>
      <c r="I32" s="160"/>
      <c r="J32" s="160"/>
      <c r="K32" s="160"/>
      <c r="L32" s="160"/>
      <c r="M32" s="160"/>
      <c r="N32" s="160"/>
      <c r="O32" s="160"/>
      <c r="P32" s="160"/>
      <c r="Q32" s="160"/>
      <c r="R32" s="160"/>
      <c r="S32" s="160"/>
      <c r="T32" s="162">
        <f t="shared" si="27"/>
        <v>0.48000000000000009</v>
      </c>
      <c r="U32" s="170">
        <f t="shared" si="28"/>
        <v>0.48000000000000009</v>
      </c>
      <c r="V32" s="162">
        <f t="shared" si="0"/>
        <v>3.1981636077965412</v>
      </c>
      <c r="W32" s="171">
        <f t="shared" si="29"/>
        <v>3.1981636077965412</v>
      </c>
      <c r="X32" s="162"/>
      <c r="Y32" s="162">
        <f t="shared" si="30"/>
        <v>0.48000000000000009</v>
      </c>
      <c r="Z32" s="162">
        <f t="shared" si="31"/>
        <v>0.48000000000000009</v>
      </c>
      <c r="AA32" s="162">
        <f t="shared" si="1"/>
        <v>3.1981636077965412</v>
      </c>
      <c r="AB32" s="171">
        <f t="shared" si="32"/>
        <v>3.1981636077965412</v>
      </c>
      <c r="AC32" s="162"/>
      <c r="AD32" s="162">
        <f t="shared" si="33"/>
        <v>0.48000000000000009</v>
      </c>
      <c r="AE32" s="170">
        <f t="shared" si="34"/>
        <v>0.48000000000000009</v>
      </c>
      <c r="AF32" s="162">
        <f t="shared" si="2"/>
        <v>3.1981636077965412</v>
      </c>
      <c r="AG32" s="171">
        <f t="shared" si="35"/>
        <v>3.1981636077965412</v>
      </c>
      <c r="AH32" s="162"/>
      <c r="AI32" s="162">
        <f t="shared" si="36"/>
        <v>0.48000000000000009</v>
      </c>
      <c r="AJ32" s="170">
        <f t="shared" si="37"/>
        <v>0.48000000000000009</v>
      </c>
      <c r="AK32" s="162">
        <f t="shared" si="3"/>
        <v>3.1981636077965412</v>
      </c>
      <c r="AL32" s="171">
        <f t="shared" si="38"/>
        <v>3.1981636077965412</v>
      </c>
      <c r="AM32" s="162"/>
      <c r="AN32" s="162">
        <f t="shared" si="39"/>
        <v>0.48000000000000009</v>
      </c>
      <c r="AO32" s="162">
        <f t="shared" si="40"/>
        <v>0.48000000000000009</v>
      </c>
      <c r="AP32" s="162">
        <f t="shared" si="4"/>
        <v>3.1981636077965412</v>
      </c>
      <c r="AQ32" s="171">
        <f t="shared" si="41"/>
        <v>3.1981636077965412</v>
      </c>
      <c r="AR32" s="162"/>
      <c r="AS32" s="162">
        <f t="shared" si="42"/>
        <v>0.48000000000000009</v>
      </c>
      <c r="AT32" s="170">
        <f t="shared" si="43"/>
        <v>0.48000000000000009</v>
      </c>
      <c r="AU32" s="162">
        <f t="shared" si="5"/>
        <v>3.1981636077965412</v>
      </c>
      <c r="AV32" s="171">
        <f t="shared" si="44"/>
        <v>3.1981636077965412</v>
      </c>
      <c r="AW32" s="162"/>
      <c r="AX32" s="162">
        <f t="shared" si="45"/>
        <v>0.48000000000000009</v>
      </c>
      <c r="AY32" s="170">
        <f t="shared" si="46"/>
        <v>0.48000000000000009</v>
      </c>
      <c r="AZ32" s="162">
        <f t="shared" si="6"/>
        <v>3.1981636077965412</v>
      </c>
      <c r="BA32" s="171">
        <f t="shared" si="47"/>
        <v>3.1981636077965412</v>
      </c>
      <c r="BB32" s="162"/>
      <c r="BC32" s="162">
        <f t="shared" si="48"/>
        <v>0.48000000000000009</v>
      </c>
      <c r="BD32" s="162">
        <f t="shared" si="49"/>
        <v>0.48000000000000009</v>
      </c>
      <c r="BE32" s="162">
        <f t="shared" si="7"/>
        <v>3.1981636077965412</v>
      </c>
      <c r="BF32" s="171">
        <f t="shared" si="50"/>
        <v>3.1981636077965412</v>
      </c>
      <c r="BG32" s="162"/>
      <c r="BH32" s="162">
        <f t="shared" si="51"/>
        <v>0.48000000000000009</v>
      </c>
      <c r="BI32" s="170">
        <f t="shared" si="52"/>
        <v>0.48000000000000009</v>
      </c>
      <c r="BJ32" s="162">
        <f t="shared" si="8"/>
        <v>3.1981636077965412</v>
      </c>
      <c r="BK32" s="171">
        <f t="shared" si="53"/>
        <v>3.1981636077965412</v>
      </c>
      <c r="BL32" s="162"/>
      <c r="BM32" s="162">
        <f t="shared" si="54"/>
        <v>0.48000000000000009</v>
      </c>
      <c r="BN32" s="170">
        <f t="shared" si="55"/>
        <v>0.48000000000000009</v>
      </c>
      <c r="BO32" s="162">
        <f t="shared" si="9"/>
        <v>3.1981636077965412</v>
      </c>
      <c r="BP32" s="171">
        <f t="shared" si="56"/>
        <v>3.1981636077965412</v>
      </c>
      <c r="BQ32" s="162"/>
      <c r="BR32" s="162">
        <f t="shared" si="57"/>
        <v>0.48000000000000009</v>
      </c>
      <c r="BS32" s="162">
        <f t="shared" si="58"/>
        <v>0.48000000000000009</v>
      </c>
      <c r="BT32" s="162">
        <f t="shared" si="10"/>
        <v>3.1981636077965412</v>
      </c>
      <c r="BU32" s="171">
        <f t="shared" si="59"/>
        <v>3.1981636077965412</v>
      </c>
      <c r="BV32" s="162"/>
      <c r="BW32" s="162">
        <f t="shared" si="60"/>
        <v>0.48000000000000009</v>
      </c>
      <c r="BX32" s="170">
        <f t="shared" si="61"/>
        <v>0.48000000000000009</v>
      </c>
      <c r="BY32" s="162">
        <f t="shared" si="11"/>
        <v>3.1981636077965412</v>
      </c>
      <c r="BZ32" s="171">
        <f t="shared" si="62"/>
        <v>3.1981636077965412</v>
      </c>
      <c r="CA32" s="162"/>
      <c r="CB32" s="162">
        <f t="shared" si="63"/>
        <v>0.48000000000000009</v>
      </c>
      <c r="CC32" s="170">
        <f t="shared" si="64"/>
        <v>0.48000000000000009</v>
      </c>
      <c r="CD32" s="162">
        <f t="shared" si="12"/>
        <v>3.1981636077965412</v>
      </c>
      <c r="CE32" s="171">
        <f t="shared" si="65"/>
        <v>3.1981636077965412</v>
      </c>
      <c r="CF32" s="162"/>
      <c r="CG32" s="172">
        <f t="shared" si="66"/>
        <v>0.48000000000000009</v>
      </c>
      <c r="CH32" s="172">
        <f t="shared" si="67"/>
        <v>0.48000000000000009</v>
      </c>
      <c r="CI32" s="172">
        <f t="shared" si="13"/>
        <v>3.1981636077965412</v>
      </c>
      <c r="CJ32" s="171">
        <f t="shared" si="68"/>
        <v>3.1981636077965412</v>
      </c>
      <c r="CK32" s="172"/>
      <c r="CL32" s="162">
        <f t="shared" si="69"/>
        <v>0.48000000000000009</v>
      </c>
      <c r="CM32" s="170">
        <f t="shared" si="70"/>
        <v>0.48000000000000009</v>
      </c>
      <c r="CN32" s="162">
        <f t="shared" si="14"/>
        <v>3.1981636077965412</v>
      </c>
      <c r="CO32" s="171">
        <f t="shared" si="71"/>
        <v>3.1981636077965412</v>
      </c>
      <c r="CP32" s="162"/>
      <c r="CQ32" s="162">
        <f t="shared" si="72"/>
        <v>0.48000000000000009</v>
      </c>
      <c r="CR32" s="170">
        <f t="shared" si="73"/>
        <v>0.48000000000000009</v>
      </c>
      <c r="CS32" s="162">
        <f t="shared" si="15"/>
        <v>3.1981636077965412</v>
      </c>
      <c r="CT32" s="171">
        <f t="shared" si="74"/>
        <v>3.1981636077965412</v>
      </c>
      <c r="CU32" s="162"/>
      <c r="CV32" s="162">
        <f t="shared" si="75"/>
        <v>0.48000000000000009</v>
      </c>
      <c r="CW32" s="162">
        <f t="shared" si="76"/>
        <v>0.48000000000000009</v>
      </c>
      <c r="CX32" s="162">
        <f t="shared" si="16"/>
        <v>3.1981636077965412</v>
      </c>
      <c r="CY32" s="171">
        <f t="shared" si="77"/>
        <v>3.1981636077965412</v>
      </c>
      <c r="CZ32" s="162"/>
      <c r="DA32" s="162">
        <f t="shared" si="78"/>
        <v>0.48000000000000009</v>
      </c>
      <c r="DB32" s="170">
        <f t="shared" si="79"/>
        <v>0.48000000000000009</v>
      </c>
      <c r="DC32" s="162">
        <f t="shared" si="17"/>
        <v>3.1981636077965412</v>
      </c>
      <c r="DD32" s="171">
        <f t="shared" si="80"/>
        <v>3.1981636077965412</v>
      </c>
      <c r="DE32" s="162"/>
      <c r="DF32" s="162">
        <f t="shared" si="81"/>
        <v>0.48000000000000009</v>
      </c>
      <c r="DG32" s="170">
        <f t="shared" si="82"/>
        <v>0.48000000000000009</v>
      </c>
      <c r="DH32" s="162">
        <f t="shared" si="18"/>
        <v>3.1981636077965412</v>
      </c>
      <c r="DI32" s="171">
        <f t="shared" si="83"/>
        <v>3.1981636077965412</v>
      </c>
      <c r="DJ32" s="162"/>
      <c r="DK32" s="162">
        <f t="shared" si="84"/>
        <v>0.48000000000000009</v>
      </c>
      <c r="DL32" s="162">
        <f t="shared" si="85"/>
        <v>0.48000000000000009</v>
      </c>
      <c r="DM32" s="162">
        <f t="shared" si="19"/>
        <v>3.1981636077965412</v>
      </c>
      <c r="DN32" s="171">
        <f t="shared" si="86"/>
        <v>3.1981636077965412</v>
      </c>
      <c r="DO32" s="162"/>
      <c r="DP32" s="162">
        <f t="shared" si="87"/>
        <v>0.48000000000000009</v>
      </c>
      <c r="DQ32" s="170">
        <f t="shared" si="88"/>
        <v>0.48000000000000009</v>
      </c>
      <c r="DR32" s="162">
        <f t="shared" si="20"/>
        <v>3.1981636077965412</v>
      </c>
      <c r="DS32" s="171">
        <f t="shared" si="89"/>
        <v>3.1981636077965412</v>
      </c>
      <c r="DT32" s="162"/>
      <c r="DU32" s="162">
        <f t="shared" si="90"/>
        <v>0.48000000000000009</v>
      </c>
      <c r="DV32" s="170">
        <f t="shared" si="91"/>
        <v>0.48000000000000009</v>
      </c>
      <c r="DW32" s="162">
        <f t="shared" si="21"/>
        <v>3.1981636077965412</v>
      </c>
      <c r="DX32" s="171">
        <f t="shared" si="92"/>
        <v>3.1981636077965412</v>
      </c>
      <c r="DY32" s="162"/>
      <c r="DZ32" s="162">
        <f t="shared" si="93"/>
        <v>0.48000000000000009</v>
      </c>
      <c r="EA32" s="162">
        <f t="shared" si="94"/>
        <v>0.48000000000000009</v>
      </c>
      <c r="EB32" s="162">
        <f t="shared" si="22"/>
        <v>3.1981636077965412</v>
      </c>
      <c r="EC32" s="171">
        <f t="shared" si="95"/>
        <v>3.1981636077965412</v>
      </c>
      <c r="ED32" s="162"/>
      <c r="EE32" s="162">
        <f t="shared" si="96"/>
        <v>0.48000000000000009</v>
      </c>
      <c r="EF32" s="170">
        <f t="shared" si="97"/>
        <v>0.48000000000000009</v>
      </c>
      <c r="EG32" s="162">
        <f t="shared" si="23"/>
        <v>3.1981636077965412</v>
      </c>
      <c r="EH32" s="171">
        <f t="shared" si="98"/>
        <v>3.1981636077965412</v>
      </c>
      <c r="EI32" s="162"/>
      <c r="EJ32" s="162">
        <f t="shared" si="99"/>
        <v>0.48000000000000009</v>
      </c>
      <c r="EK32" s="170">
        <f t="shared" si="100"/>
        <v>0.48000000000000009</v>
      </c>
      <c r="EL32" s="162">
        <f t="shared" si="24"/>
        <v>3.1981636077965412</v>
      </c>
      <c r="EM32" s="171">
        <f t="shared" si="101"/>
        <v>3.1981636077965412</v>
      </c>
      <c r="EN32" s="162"/>
      <c r="EO32" s="162">
        <f t="shared" si="102"/>
        <v>0.48000000000000009</v>
      </c>
      <c r="EP32" s="162">
        <f t="shared" si="103"/>
        <v>0.48000000000000009</v>
      </c>
      <c r="EQ32" s="162">
        <f t="shared" si="25"/>
        <v>3.1981636077965412</v>
      </c>
      <c r="ER32" s="171">
        <f t="shared" si="104"/>
        <v>3.1981636077965412</v>
      </c>
      <c r="ES32" s="162"/>
      <c r="ET32" s="162">
        <f t="shared" si="105"/>
        <v>0.48000000000000009</v>
      </c>
      <c r="EU32" s="170">
        <f t="shared" si="106"/>
        <v>0.48000000000000009</v>
      </c>
      <c r="EV32" s="162">
        <f t="shared" si="26"/>
        <v>3.1981636077965412</v>
      </c>
      <c r="EW32" s="171">
        <f t="shared" si="107"/>
        <v>3.1981636077965412</v>
      </c>
      <c r="EX32" s="162"/>
    </row>
    <row r="33" spans="3:154" s="181" customFormat="1" x14ac:dyDescent="0.25">
      <c r="C33" s="227"/>
      <c r="D33" s="228"/>
      <c r="E33" s="228"/>
      <c r="F33" s="228"/>
      <c r="G33" s="229"/>
      <c r="T33" s="162">
        <f t="shared" si="27"/>
        <v>0.50000000000000011</v>
      </c>
      <c r="U33" s="170">
        <f t="shared" si="28"/>
        <v>0.50000000000000011</v>
      </c>
      <c r="V33" s="162">
        <f t="shared" si="0"/>
        <v>3.2892306823566422</v>
      </c>
      <c r="W33" s="171">
        <f t="shared" si="29"/>
        <v>3.2892306823566422</v>
      </c>
      <c r="X33" s="162"/>
      <c r="Y33" s="162">
        <f t="shared" si="30"/>
        <v>0.50000000000000011</v>
      </c>
      <c r="Z33" s="162">
        <f t="shared" si="31"/>
        <v>0.50000000000000011</v>
      </c>
      <c r="AA33" s="162">
        <f t="shared" si="1"/>
        <v>3.2892306823566422</v>
      </c>
      <c r="AB33" s="171">
        <f t="shared" si="32"/>
        <v>3.2892306823566422</v>
      </c>
      <c r="AC33" s="162"/>
      <c r="AD33" s="162">
        <f t="shared" si="33"/>
        <v>0.50000000000000011</v>
      </c>
      <c r="AE33" s="170">
        <f t="shared" si="34"/>
        <v>0.50000000000000011</v>
      </c>
      <c r="AF33" s="162">
        <f t="shared" si="2"/>
        <v>3.2892306823566422</v>
      </c>
      <c r="AG33" s="171">
        <f t="shared" si="35"/>
        <v>3.2892306823566422</v>
      </c>
      <c r="AH33" s="162"/>
      <c r="AI33" s="162">
        <f t="shared" si="36"/>
        <v>0.50000000000000011</v>
      </c>
      <c r="AJ33" s="170">
        <f t="shared" si="37"/>
        <v>0.50000000000000011</v>
      </c>
      <c r="AK33" s="162">
        <f t="shared" si="3"/>
        <v>3.2892306823566422</v>
      </c>
      <c r="AL33" s="171">
        <f t="shared" si="38"/>
        <v>3.2892306823566422</v>
      </c>
      <c r="AM33" s="162"/>
      <c r="AN33" s="162">
        <f t="shared" si="39"/>
        <v>0.50000000000000011</v>
      </c>
      <c r="AO33" s="162">
        <f t="shared" si="40"/>
        <v>0.50000000000000011</v>
      </c>
      <c r="AP33" s="162">
        <f t="shared" si="4"/>
        <v>3.2892306823566422</v>
      </c>
      <c r="AQ33" s="171">
        <f t="shared" si="41"/>
        <v>3.2892306823566422</v>
      </c>
      <c r="AR33" s="162"/>
      <c r="AS33" s="162">
        <f t="shared" si="42"/>
        <v>0.50000000000000011</v>
      </c>
      <c r="AT33" s="170">
        <f t="shared" si="43"/>
        <v>0.50000000000000011</v>
      </c>
      <c r="AU33" s="162">
        <f t="shared" si="5"/>
        <v>3.2892306823566422</v>
      </c>
      <c r="AV33" s="171">
        <f t="shared" si="44"/>
        <v>3.2892306823566422</v>
      </c>
      <c r="AW33" s="162"/>
      <c r="AX33" s="162">
        <f t="shared" si="45"/>
        <v>0.50000000000000011</v>
      </c>
      <c r="AY33" s="170">
        <f t="shared" si="46"/>
        <v>0.50000000000000011</v>
      </c>
      <c r="AZ33" s="162">
        <f t="shared" si="6"/>
        <v>3.2892306823566422</v>
      </c>
      <c r="BA33" s="171">
        <f t="shared" si="47"/>
        <v>3.2892306823566422</v>
      </c>
      <c r="BB33" s="162"/>
      <c r="BC33" s="162">
        <f t="shared" si="48"/>
        <v>0.50000000000000011</v>
      </c>
      <c r="BD33" s="162">
        <f t="shared" si="49"/>
        <v>0.50000000000000011</v>
      </c>
      <c r="BE33" s="162">
        <f t="shared" si="7"/>
        <v>3.2892306823566422</v>
      </c>
      <c r="BF33" s="171">
        <f t="shared" si="50"/>
        <v>3.2892306823566422</v>
      </c>
      <c r="BG33" s="162"/>
      <c r="BH33" s="162">
        <f t="shared" si="51"/>
        <v>0.50000000000000011</v>
      </c>
      <c r="BI33" s="170">
        <f t="shared" si="52"/>
        <v>0.50000000000000011</v>
      </c>
      <c r="BJ33" s="162">
        <f t="shared" si="8"/>
        <v>3.2892306823566422</v>
      </c>
      <c r="BK33" s="171">
        <f t="shared" si="53"/>
        <v>3.2892306823566422</v>
      </c>
      <c r="BL33" s="162"/>
      <c r="BM33" s="162">
        <f t="shared" si="54"/>
        <v>0.50000000000000011</v>
      </c>
      <c r="BN33" s="170">
        <f t="shared" si="55"/>
        <v>0.50000000000000011</v>
      </c>
      <c r="BO33" s="162">
        <f t="shared" si="9"/>
        <v>3.2892306823566422</v>
      </c>
      <c r="BP33" s="171">
        <f t="shared" si="56"/>
        <v>3.2892306823566422</v>
      </c>
      <c r="BQ33" s="162"/>
      <c r="BR33" s="162">
        <f t="shared" si="57"/>
        <v>0.50000000000000011</v>
      </c>
      <c r="BS33" s="162">
        <f t="shared" si="58"/>
        <v>0.50000000000000011</v>
      </c>
      <c r="BT33" s="162">
        <f t="shared" si="10"/>
        <v>3.2892306823566422</v>
      </c>
      <c r="BU33" s="171">
        <f t="shared" si="59"/>
        <v>3.2892306823566422</v>
      </c>
      <c r="BV33" s="162"/>
      <c r="BW33" s="162">
        <f t="shared" si="60"/>
        <v>0.50000000000000011</v>
      </c>
      <c r="BX33" s="170">
        <f t="shared" si="61"/>
        <v>0.50000000000000011</v>
      </c>
      <c r="BY33" s="162">
        <f t="shared" si="11"/>
        <v>3.2892306823566422</v>
      </c>
      <c r="BZ33" s="171">
        <f t="shared" si="62"/>
        <v>3.2892306823566422</v>
      </c>
      <c r="CA33" s="162"/>
      <c r="CB33" s="162">
        <f t="shared" si="63"/>
        <v>0.50000000000000011</v>
      </c>
      <c r="CC33" s="170">
        <f t="shared" si="64"/>
        <v>0.50000000000000011</v>
      </c>
      <c r="CD33" s="162">
        <f t="shared" si="12"/>
        <v>3.2892306823566422</v>
      </c>
      <c r="CE33" s="171">
        <f t="shared" si="65"/>
        <v>3.2892306823566422</v>
      </c>
      <c r="CF33" s="162"/>
      <c r="CG33" s="172">
        <f t="shared" si="66"/>
        <v>0.50000000000000011</v>
      </c>
      <c r="CH33" s="172">
        <f t="shared" si="67"/>
        <v>0.50000000000000011</v>
      </c>
      <c r="CI33" s="172">
        <f t="shared" si="13"/>
        <v>3.2892306823566422</v>
      </c>
      <c r="CJ33" s="171">
        <f t="shared" si="68"/>
        <v>3.2892306823566422</v>
      </c>
      <c r="CK33" s="172"/>
      <c r="CL33" s="162">
        <f t="shared" si="69"/>
        <v>0.50000000000000011</v>
      </c>
      <c r="CM33" s="170">
        <f t="shared" si="70"/>
        <v>0.50000000000000011</v>
      </c>
      <c r="CN33" s="162">
        <f t="shared" si="14"/>
        <v>3.2892306823566422</v>
      </c>
      <c r="CO33" s="171">
        <f t="shared" si="71"/>
        <v>3.2892306823566422</v>
      </c>
      <c r="CP33" s="162"/>
      <c r="CQ33" s="162">
        <f t="shared" si="72"/>
        <v>0.50000000000000011</v>
      </c>
      <c r="CR33" s="170">
        <f t="shared" si="73"/>
        <v>0.50000000000000011</v>
      </c>
      <c r="CS33" s="162">
        <f t="shared" si="15"/>
        <v>3.2892306823566422</v>
      </c>
      <c r="CT33" s="171">
        <f t="shared" si="74"/>
        <v>3.2892306823566422</v>
      </c>
      <c r="CU33" s="162"/>
      <c r="CV33" s="162">
        <f t="shared" si="75"/>
        <v>0.50000000000000011</v>
      </c>
      <c r="CW33" s="162">
        <f t="shared" si="76"/>
        <v>0.50000000000000011</v>
      </c>
      <c r="CX33" s="162">
        <f t="shared" si="16"/>
        <v>3.2892306823566422</v>
      </c>
      <c r="CY33" s="171">
        <f t="shared" si="77"/>
        <v>3.2892306823566422</v>
      </c>
      <c r="CZ33" s="162"/>
      <c r="DA33" s="162">
        <f t="shared" si="78"/>
        <v>0.50000000000000011</v>
      </c>
      <c r="DB33" s="170">
        <f t="shared" si="79"/>
        <v>0.50000000000000011</v>
      </c>
      <c r="DC33" s="162">
        <f t="shared" si="17"/>
        <v>3.2892306823566422</v>
      </c>
      <c r="DD33" s="171">
        <f t="shared" si="80"/>
        <v>3.2892306823566422</v>
      </c>
      <c r="DE33" s="162"/>
      <c r="DF33" s="162">
        <f t="shared" si="81"/>
        <v>0.50000000000000011</v>
      </c>
      <c r="DG33" s="170">
        <f t="shared" si="82"/>
        <v>0.50000000000000011</v>
      </c>
      <c r="DH33" s="162">
        <f t="shared" si="18"/>
        <v>3.2892306823566422</v>
      </c>
      <c r="DI33" s="171">
        <f t="shared" si="83"/>
        <v>3.2892306823566422</v>
      </c>
      <c r="DJ33" s="162"/>
      <c r="DK33" s="162">
        <f t="shared" si="84"/>
        <v>0.50000000000000011</v>
      </c>
      <c r="DL33" s="162">
        <f t="shared" si="85"/>
        <v>0.50000000000000011</v>
      </c>
      <c r="DM33" s="162">
        <f t="shared" si="19"/>
        <v>3.2892306823566422</v>
      </c>
      <c r="DN33" s="171">
        <f t="shared" si="86"/>
        <v>3.2892306823566422</v>
      </c>
      <c r="DO33" s="162"/>
      <c r="DP33" s="162">
        <f t="shared" si="87"/>
        <v>0.50000000000000011</v>
      </c>
      <c r="DQ33" s="170">
        <f t="shared" si="88"/>
        <v>0.50000000000000011</v>
      </c>
      <c r="DR33" s="162">
        <f t="shared" si="20"/>
        <v>3.2892306823566422</v>
      </c>
      <c r="DS33" s="171">
        <f t="shared" si="89"/>
        <v>3.2892306823566422</v>
      </c>
      <c r="DT33" s="162"/>
      <c r="DU33" s="162">
        <f t="shared" si="90"/>
        <v>0.50000000000000011</v>
      </c>
      <c r="DV33" s="170">
        <f t="shared" si="91"/>
        <v>0.50000000000000011</v>
      </c>
      <c r="DW33" s="162">
        <f t="shared" si="21"/>
        <v>3.2892306823566422</v>
      </c>
      <c r="DX33" s="171">
        <f t="shared" si="92"/>
        <v>3.2892306823566422</v>
      </c>
      <c r="DY33" s="162"/>
      <c r="DZ33" s="162">
        <f t="shared" si="93"/>
        <v>0.50000000000000011</v>
      </c>
      <c r="EA33" s="162">
        <f t="shared" si="94"/>
        <v>0.50000000000000011</v>
      </c>
      <c r="EB33" s="162">
        <f t="shared" si="22"/>
        <v>3.2892306823566422</v>
      </c>
      <c r="EC33" s="171">
        <f t="shared" si="95"/>
        <v>3.2892306823566422</v>
      </c>
      <c r="ED33" s="162"/>
      <c r="EE33" s="162">
        <f t="shared" si="96"/>
        <v>0.50000000000000011</v>
      </c>
      <c r="EF33" s="170">
        <f t="shared" si="97"/>
        <v>0.50000000000000011</v>
      </c>
      <c r="EG33" s="162">
        <f t="shared" si="23"/>
        <v>3.2892306823566422</v>
      </c>
      <c r="EH33" s="171">
        <f t="shared" si="98"/>
        <v>3.2892306823566422</v>
      </c>
      <c r="EI33" s="162"/>
      <c r="EJ33" s="162">
        <f t="shared" si="99"/>
        <v>0.50000000000000011</v>
      </c>
      <c r="EK33" s="170">
        <f t="shared" si="100"/>
        <v>0.50000000000000011</v>
      </c>
      <c r="EL33" s="162">
        <f t="shared" si="24"/>
        <v>3.2892306823566422</v>
      </c>
      <c r="EM33" s="171">
        <f t="shared" si="101"/>
        <v>3.2892306823566422</v>
      </c>
      <c r="EN33" s="162"/>
      <c r="EO33" s="162">
        <f t="shared" si="102"/>
        <v>0.50000000000000011</v>
      </c>
      <c r="EP33" s="162">
        <f t="shared" si="103"/>
        <v>0.50000000000000011</v>
      </c>
      <c r="EQ33" s="162">
        <f t="shared" si="25"/>
        <v>3.2892306823566422</v>
      </c>
      <c r="ER33" s="171">
        <f t="shared" si="104"/>
        <v>3.2892306823566422</v>
      </c>
      <c r="ES33" s="162"/>
      <c r="ET33" s="162">
        <f t="shared" si="105"/>
        <v>0.50000000000000011</v>
      </c>
      <c r="EU33" s="170">
        <f t="shared" si="106"/>
        <v>0.50000000000000011</v>
      </c>
      <c r="EV33" s="162">
        <f t="shared" si="26"/>
        <v>3.2892306823566422</v>
      </c>
      <c r="EW33" s="171">
        <f t="shared" si="107"/>
        <v>3.2892306823566422</v>
      </c>
      <c r="EX33" s="162"/>
    </row>
    <row r="34" spans="3:154" s="181" customFormat="1" x14ac:dyDescent="0.25">
      <c r="C34" s="230"/>
      <c r="D34" s="231"/>
      <c r="E34" s="231"/>
      <c r="F34" s="231"/>
      <c r="G34" s="232"/>
      <c r="T34" s="162">
        <f t="shared" si="27"/>
        <v>0.52000000000000013</v>
      </c>
      <c r="U34" s="170">
        <f t="shared" si="28"/>
        <v>0.52000000000000013</v>
      </c>
      <c r="V34" s="162">
        <f t="shared" si="0"/>
        <v>3.3775892441888962</v>
      </c>
      <c r="W34" s="171">
        <f t="shared" si="29"/>
        <v>3.3775892441888962</v>
      </c>
      <c r="X34" s="162"/>
      <c r="Y34" s="162">
        <f t="shared" si="30"/>
        <v>0.52000000000000013</v>
      </c>
      <c r="Z34" s="162">
        <f t="shared" si="31"/>
        <v>0.52000000000000013</v>
      </c>
      <c r="AA34" s="162">
        <f t="shared" si="1"/>
        <v>3.3775892441888962</v>
      </c>
      <c r="AB34" s="171">
        <f t="shared" si="32"/>
        <v>3.3775892441888962</v>
      </c>
      <c r="AC34" s="162"/>
      <c r="AD34" s="162">
        <f t="shared" si="33"/>
        <v>0.52000000000000013</v>
      </c>
      <c r="AE34" s="170">
        <f t="shared" si="34"/>
        <v>0.52000000000000013</v>
      </c>
      <c r="AF34" s="162">
        <f t="shared" si="2"/>
        <v>3.3775892441888962</v>
      </c>
      <c r="AG34" s="171">
        <f t="shared" si="35"/>
        <v>3.3775892441888962</v>
      </c>
      <c r="AH34" s="162"/>
      <c r="AI34" s="162">
        <f t="shared" si="36"/>
        <v>0.52000000000000013</v>
      </c>
      <c r="AJ34" s="170">
        <f t="shared" si="37"/>
        <v>0.52000000000000013</v>
      </c>
      <c r="AK34" s="162">
        <f t="shared" si="3"/>
        <v>3.3775892441888962</v>
      </c>
      <c r="AL34" s="171">
        <f t="shared" si="38"/>
        <v>3.3775892441888962</v>
      </c>
      <c r="AM34" s="162"/>
      <c r="AN34" s="162">
        <f t="shared" si="39"/>
        <v>0.52000000000000013</v>
      </c>
      <c r="AO34" s="162">
        <f t="shared" si="40"/>
        <v>0.52000000000000013</v>
      </c>
      <c r="AP34" s="162">
        <f t="shared" si="4"/>
        <v>3.3775892441888962</v>
      </c>
      <c r="AQ34" s="171">
        <f t="shared" si="41"/>
        <v>3.3775892441888962</v>
      </c>
      <c r="AR34" s="162"/>
      <c r="AS34" s="162">
        <f t="shared" si="42"/>
        <v>0.52000000000000013</v>
      </c>
      <c r="AT34" s="170">
        <f t="shared" si="43"/>
        <v>0.52000000000000013</v>
      </c>
      <c r="AU34" s="162">
        <f t="shared" si="5"/>
        <v>3.3775892441888962</v>
      </c>
      <c r="AV34" s="171">
        <f t="shared" si="44"/>
        <v>3.3775892441888962</v>
      </c>
      <c r="AW34" s="162"/>
      <c r="AX34" s="162">
        <f t="shared" si="45"/>
        <v>0.52000000000000013</v>
      </c>
      <c r="AY34" s="170">
        <f t="shared" si="46"/>
        <v>0.52000000000000013</v>
      </c>
      <c r="AZ34" s="162">
        <f t="shared" si="6"/>
        <v>3.3775892441888962</v>
      </c>
      <c r="BA34" s="171">
        <f t="shared" si="47"/>
        <v>3.3775892441888962</v>
      </c>
      <c r="BB34" s="162"/>
      <c r="BC34" s="162">
        <f t="shared" si="48"/>
        <v>0.52000000000000013</v>
      </c>
      <c r="BD34" s="162">
        <f t="shared" si="49"/>
        <v>0.52000000000000013</v>
      </c>
      <c r="BE34" s="162">
        <f t="shared" si="7"/>
        <v>3.3775892441888962</v>
      </c>
      <c r="BF34" s="171">
        <f t="shared" si="50"/>
        <v>3.3775892441888962</v>
      </c>
      <c r="BG34" s="162"/>
      <c r="BH34" s="162">
        <f t="shared" si="51"/>
        <v>0.52000000000000013</v>
      </c>
      <c r="BI34" s="170">
        <f t="shared" si="52"/>
        <v>0.52000000000000013</v>
      </c>
      <c r="BJ34" s="162">
        <f t="shared" si="8"/>
        <v>3.3775892441888962</v>
      </c>
      <c r="BK34" s="171">
        <f t="shared" si="53"/>
        <v>3.3775892441888962</v>
      </c>
      <c r="BL34" s="162"/>
      <c r="BM34" s="162">
        <f t="shared" si="54"/>
        <v>0.52000000000000013</v>
      </c>
      <c r="BN34" s="170">
        <f t="shared" si="55"/>
        <v>0.52000000000000013</v>
      </c>
      <c r="BO34" s="162">
        <f t="shared" si="9"/>
        <v>3.3775892441888962</v>
      </c>
      <c r="BP34" s="171">
        <f t="shared" si="56"/>
        <v>3.3775892441888962</v>
      </c>
      <c r="BQ34" s="162"/>
      <c r="BR34" s="162">
        <f t="shared" si="57"/>
        <v>0.52000000000000013</v>
      </c>
      <c r="BS34" s="162">
        <f t="shared" si="58"/>
        <v>0.52000000000000013</v>
      </c>
      <c r="BT34" s="162">
        <f t="shared" si="10"/>
        <v>3.3775892441888962</v>
      </c>
      <c r="BU34" s="171">
        <f t="shared" si="59"/>
        <v>3.3775892441888962</v>
      </c>
      <c r="BV34" s="162"/>
      <c r="BW34" s="162">
        <f t="shared" si="60"/>
        <v>0.52000000000000013</v>
      </c>
      <c r="BX34" s="170">
        <f t="shared" si="61"/>
        <v>0.52000000000000013</v>
      </c>
      <c r="BY34" s="162">
        <f t="shared" si="11"/>
        <v>3.3775892441888962</v>
      </c>
      <c r="BZ34" s="171">
        <f t="shared" si="62"/>
        <v>3.3775892441888962</v>
      </c>
      <c r="CA34" s="162"/>
      <c r="CB34" s="162">
        <f t="shared" si="63"/>
        <v>0.52000000000000013</v>
      </c>
      <c r="CC34" s="170">
        <f t="shared" si="64"/>
        <v>0.52000000000000013</v>
      </c>
      <c r="CD34" s="162">
        <f t="shared" si="12"/>
        <v>3.3775892441888962</v>
      </c>
      <c r="CE34" s="171">
        <f t="shared" si="65"/>
        <v>3.3775892441888962</v>
      </c>
      <c r="CF34" s="162"/>
      <c r="CG34" s="172">
        <f t="shared" si="66"/>
        <v>0.52000000000000013</v>
      </c>
      <c r="CH34" s="172">
        <f t="shared" si="67"/>
        <v>0.52000000000000013</v>
      </c>
      <c r="CI34" s="172">
        <f t="shared" si="13"/>
        <v>3.3775892441888962</v>
      </c>
      <c r="CJ34" s="171">
        <f t="shared" si="68"/>
        <v>3.3775892441888962</v>
      </c>
      <c r="CK34" s="172"/>
      <c r="CL34" s="162">
        <f t="shared" si="69"/>
        <v>0.52000000000000013</v>
      </c>
      <c r="CM34" s="170">
        <f t="shared" si="70"/>
        <v>0.52000000000000013</v>
      </c>
      <c r="CN34" s="162">
        <f t="shared" si="14"/>
        <v>3.3775892441888962</v>
      </c>
      <c r="CO34" s="171">
        <f t="shared" si="71"/>
        <v>3.3775892441888962</v>
      </c>
      <c r="CP34" s="162"/>
      <c r="CQ34" s="162">
        <f t="shared" si="72"/>
        <v>0.52000000000000013</v>
      </c>
      <c r="CR34" s="170">
        <f t="shared" si="73"/>
        <v>0.52000000000000013</v>
      </c>
      <c r="CS34" s="162">
        <f t="shared" si="15"/>
        <v>3.3775892441888962</v>
      </c>
      <c r="CT34" s="171">
        <f t="shared" si="74"/>
        <v>3.3775892441888962</v>
      </c>
      <c r="CU34" s="162"/>
      <c r="CV34" s="162">
        <f t="shared" si="75"/>
        <v>0.52000000000000013</v>
      </c>
      <c r="CW34" s="162">
        <f t="shared" si="76"/>
        <v>0.52000000000000013</v>
      </c>
      <c r="CX34" s="162">
        <f t="shared" si="16"/>
        <v>3.3775892441888962</v>
      </c>
      <c r="CY34" s="171">
        <f t="shared" si="77"/>
        <v>3.3775892441888962</v>
      </c>
      <c r="CZ34" s="162"/>
      <c r="DA34" s="162">
        <f t="shared" si="78"/>
        <v>0.52000000000000013</v>
      </c>
      <c r="DB34" s="170">
        <f t="shared" si="79"/>
        <v>0.52000000000000013</v>
      </c>
      <c r="DC34" s="162">
        <f t="shared" si="17"/>
        <v>3.3775892441888962</v>
      </c>
      <c r="DD34" s="171">
        <f t="shared" si="80"/>
        <v>3.3775892441888962</v>
      </c>
      <c r="DE34" s="162"/>
      <c r="DF34" s="162">
        <f t="shared" si="81"/>
        <v>0.52000000000000013</v>
      </c>
      <c r="DG34" s="170">
        <f t="shared" si="82"/>
        <v>0.52000000000000013</v>
      </c>
      <c r="DH34" s="162">
        <f t="shared" si="18"/>
        <v>3.3775892441888962</v>
      </c>
      <c r="DI34" s="171">
        <f t="shared" si="83"/>
        <v>3.3775892441888962</v>
      </c>
      <c r="DJ34" s="162"/>
      <c r="DK34" s="162">
        <f t="shared" si="84"/>
        <v>0.52000000000000013</v>
      </c>
      <c r="DL34" s="162">
        <f t="shared" si="85"/>
        <v>0.52000000000000013</v>
      </c>
      <c r="DM34" s="162">
        <f t="shared" si="19"/>
        <v>3.3775892441888962</v>
      </c>
      <c r="DN34" s="171">
        <f t="shared" si="86"/>
        <v>3.3775892441888962</v>
      </c>
      <c r="DO34" s="162"/>
      <c r="DP34" s="162">
        <f t="shared" si="87"/>
        <v>0.52000000000000013</v>
      </c>
      <c r="DQ34" s="170">
        <f t="shared" si="88"/>
        <v>0.52000000000000013</v>
      </c>
      <c r="DR34" s="162">
        <f t="shared" si="20"/>
        <v>3.3775892441888962</v>
      </c>
      <c r="DS34" s="171">
        <f t="shared" si="89"/>
        <v>3.3775892441888962</v>
      </c>
      <c r="DT34" s="162"/>
      <c r="DU34" s="162">
        <f t="shared" si="90"/>
        <v>0.52000000000000013</v>
      </c>
      <c r="DV34" s="170">
        <f t="shared" si="91"/>
        <v>0.52000000000000013</v>
      </c>
      <c r="DW34" s="162">
        <f t="shared" si="21"/>
        <v>3.3775892441888962</v>
      </c>
      <c r="DX34" s="171">
        <f t="shared" si="92"/>
        <v>3.3775892441888962</v>
      </c>
      <c r="DY34" s="162"/>
      <c r="DZ34" s="162">
        <f t="shared" si="93"/>
        <v>0.52000000000000013</v>
      </c>
      <c r="EA34" s="162">
        <f t="shared" si="94"/>
        <v>0.52000000000000013</v>
      </c>
      <c r="EB34" s="162">
        <f t="shared" si="22"/>
        <v>3.3775892441888962</v>
      </c>
      <c r="EC34" s="171">
        <f t="shared" si="95"/>
        <v>3.3775892441888962</v>
      </c>
      <c r="ED34" s="162"/>
      <c r="EE34" s="162">
        <f t="shared" si="96"/>
        <v>0.52000000000000013</v>
      </c>
      <c r="EF34" s="170">
        <f t="shared" si="97"/>
        <v>0.52000000000000013</v>
      </c>
      <c r="EG34" s="162">
        <f t="shared" si="23"/>
        <v>3.3775892441888962</v>
      </c>
      <c r="EH34" s="171">
        <f t="shared" si="98"/>
        <v>3.3775892441888962</v>
      </c>
      <c r="EI34" s="162"/>
      <c r="EJ34" s="162">
        <f t="shared" si="99"/>
        <v>0.52000000000000013</v>
      </c>
      <c r="EK34" s="170">
        <f t="shared" si="100"/>
        <v>0.52000000000000013</v>
      </c>
      <c r="EL34" s="162">
        <f t="shared" si="24"/>
        <v>3.3775892441888962</v>
      </c>
      <c r="EM34" s="171">
        <f t="shared" si="101"/>
        <v>3.3775892441888962</v>
      </c>
      <c r="EN34" s="162"/>
      <c r="EO34" s="162">
        <f t="shared" si="102"/>
        <v>0.52000000000000013</v>
      </c>
      <c r="EP34" s="162">
        <f t="shared" si="103"/>
        <v>0.52000000000000013</v>
      </c>
      <c r="EQ34" s="162">
        <f t="shared" si="25"/>
        <v>3.3775892441888962</v>
      </c>
      <c r="ER34" s="171">
        <f t="shared" si="104"/>
        <v>3.3775892441888962</v>
      </c>
      <c r="ES34" s="162"/>
      <c r="ET34" s="162">
        <f t="shared" si="105"/>
        <v>0.52000000000000013</v>
      </c>
      <c r="EU34" s="170">
        <f t="shared" si="106"/>
        <v>0.52000000000000013</v>
      </c>
      <c r="EV34" s="162">
        <f t="shared" si="26"/>
        <v>3.3775892441888962</v>
      </c>
      <c r="EW34" s="171">
        <f t="shared" si="107"/>
        <v>3.3775892441888962</v>
      </c>
      <c r="EX34" s="162"/>
    </row>
    <row r="35" spans="3:154" s="181" customFormat="1" x14ac:dyDescent="0.25">
      <c r="T35" s="162">
        <f t="shared" si="27"/>
        <v>0.54000000000000015</v>
      </c>
      <c r="U35" s="170">
        <f t="shared" si="28"/>
        <v>0.54000000000000015</v>
      </c>
      <c r="V35" s="162">
        <f t="shared" si="0"/>
        <v>3.4632392932933023</v>
      </c>
      <c r="W35" s="171">
        <f t="shared" si="29"/>
        <v>3.4632392932933023</v>
      </c>
      <c r="X35" s="162"/>
      <c r="Y35" s="162">
        <f t="shared" si="30"/>
        <v>0.54000000000000015</v>
      </c>
      <c r="Z35" s="162">
        <f t="shared" si="31"/>
        <v>0.54000000000000015</v>
      </c>
      <c r="AA35" s="162">
        <f t="shared" si="1"/>
        <v>3.4632392932933023</v>
      </c>
      <c r="AB35" s="171">
        <f t="shared" si="32"/>
        <v>3.4632392932933023</v>
      </c>
      <c r="AC35" s="162"/>
      <c r="AD35" s="162">
        <f t="shared" si="33"/>
        <v>0.54000000000000015</v>
      </c>
      <c r="AE35" s="170">
        <f t="shared" si="34"/>
        <v>0.54000000000000015</v>
      </c>
      <c r="AF35" s="162">
        <f t="shared" si="2"/>
        <v>3.4632392932933023</v>
      </c>
      <c r="AG35" s="171">
        <f t="shared" si="35"/>
        <v>3.4632392932933023</v>
      </c>
      <c r="AH35" s="162"/>
      <c r="AI35" s="162">
        <f t="shared" si="36"/>
        <v>0.54000000000000015</v>
      </c>
      <c r="AJ35" s="170">
        <f t="shared" si="37"/>
        <v>0.54000000000000015</v>
      </c>
      <c r="AK35" s="162">
        <f t="shared" si="3"/>
        <v>3.4632392932933023</v>
      </c>
      <c r="AL35" s="171">
        <f t="shared" si="38"/>
        <v>3.4632392932933023</v>
      </c>
      <c r="AM35" s="162"/>
      <c r="AN35" s="162">
        <f t="shared" si="39"/>
        <v>0.54000000000000015</v>
      </c>
      <c r="AO35" s="162">
        <f t="shared" si="40"/>
        <v>0.54000000000000015</v>
      </c>
      <c r="AP35" s="162">
        <f t="shared" si="4"/>
        <v>3.4632392932933023</v>
      </c>
      <c r="AQ35" s="171">
        <f t="shared" si="41"/>
        <v>3.4632392932933023</v>
      </c>
      <c r="AR35" s="162"/>
      <c r="AS35" s="162">
        <f t="shared" si="42"/>
        <v>0.54000000000000015</v>
      </c>
      <c r="AT35" s="170">
        <f t="shared" si="43"/>
        <v>0.54000000000000015</v>
      </c>
      <c r="AU35" s="162">
        <f t="shared" si="5"/>
        <v>3.4632392932933023</v>
      </c>
      <c r="AV35" s="171">
        <f t="shared" si="44"/>
        <v>3.4632392932933023</v>
      </c>
      <c r="AW35" s="162"/>
      <c r="AX35" s="162">
        <f t="shared" si="45"/>
        <v>0.54000000000000015</v>
      </c>
      <c r="AY35" s="170">
        <f t="shared" si="46"/>
        <v>0.54000000000000015</v>
      </c>
      <c r="AZ35" s="162">
        <f t="shared" si="6"/>
        <v>3.4632392932933023</v>
      </c>
      <c r="BA35" s="171">
        <f t="shared" si="47"/>
        <v>3.4632392932933023</v>
      </c>
      <c r="BB35" s="162"/>
      <c r="BC35" s="162">
        <f t="shared" si="48"/>
        <v>0.54000000000000015</v>
      </c>
      <c r="BD35" s="162">
        <f t="shared" si="49"/>
        <v>0.54000000000000015</v>
      </c>
      <c r="BE35" s="162">
        <f t="shared" si="7"/>
        <v>3.4632392932933023</v>
      </c>
      <c r="BF35" s="171">
        <f t="shared" si="50"/>
        <v>3.4632392932933023</v>
      </c>
      <c r="BG35" s="162"/>
      <c r="BH35" s="162">
        <f t="shared" si="51"/>
        <v>0.54000000000000015</v>
      </c>
      <c r="BI35" s="170">
        <f t="shared" si="52"/>
        <v>0.54000000000000015</v>
      </c>
      <c r="BJ35" s="162">
        <f t="shared" si="8"/>
        <v>3.4632392932933023</v>
      </c>
      <c r="BK35" s="171">
        <f t="shared" si="53"/>
        <v>3.4632392932933023</v>
      </c>
      <c r="BL35" s="162"/>
      <c r="BM35" s="162">
        <f t="shared" si="54"/>
        <v>0.54000000000000015</v>
      </c>
      <c r="BN35" s="170">
        <f t="shared" si="55"/>
        <v>0.54000000000000015</v>
      </c>
      <c r="BO35" s="162">
        <f t="shared" si="9"/>
        <v>3.4632392932933023</v>
      </c>
      <c r="BP35" s="171">
        <f t="shared" si="56"/>
        <v>3.4632392932933023</v>
      </c>
      <c r="BQ35" s="162"/>
      <c r="BR35" s="162">
        <f t="shared" si="57"/>
        <v>0.54000000000000015</v>
      </c>
      <c r="BS35" s="162">
        <f t="shared" si="58"/>
        <v>0.54000000000000015</v>
      </c>
      <c r="BT35" s="162">
        <f t="shared" si="10"/>
        <v>3.4632392932933023</v>
      </c>
      <c r="BU35" s="171">
        <f t="shared" si="59"/>
        <v>3.4632392932933023</v>
      </c>
      <c r="BV35" s="162"/>
      <c r="BW35" s="162">
        <f t="shared" si="60"/>
        <v>0.54000000000000015</v>
      </c>
      <c r="BX35" s="170">
        <f t="shared" si="61"/>
        <v>0.54000000000000015</v>
      </c>
      <c r="BY35" s="162">
        <f t="shared" si="11"/>
        <v>3.4632392932933023</v>
      </c>
      <c r="BZ35" s="171">
        <f t="shared" si="62"/>
        <v>3.4632392932933023</v>
      </c>
      <c r="CA35" s="162"/>
      <c r="CB35" s="162">
        <f t="shared" si="63"/>
        <v>0.54000000000000015</v>
      </c>
      <c r="CC35" s="170">
        <f t="shared" si="64"/>
        <v>0.54000000000000015</v>
      </c>
      <c r="CD35" s="162">
        <f t="shared" si="12"/>
        <v>3.4632392932933023</v>
      </c>
      <c r="CE35" s="171">
        <f t="shared" si="65"/>
        <v>3.4632392932933023</v>
      </c>
      <c r="CF35" s="162"/>
      <c r="CG35" s="172">
        <f t="shared" si="66"/>
        <v>0.54000000000000015</v>
      </c>
      <c r="CH35" s="172">
        <f t="shared" si="67"/>
        <v>0.54000000000000015</v>
      </c>
      <c r="CI35" s="172">
        <f t="shared" si="13"/>
        <v>3.4632392932933023</v>
      </c>
      <c r="CJ35" s="171">
        <f t="shared" si="68"/>
        <v>3.4632392932933023</v>
      </c>
      <c r="CK35" s="172"/>
      <c r="CL35" s="162">
        <f t="shared" si="69"/>
        <v>0.54000000000000015</v>
      </c>
      <c r="CM35" s="170">
        <f t="shared" si="70"/>
        <v>0.54000000000000015</v>
      </c>
      <c r="CN35" s="162">
        <f t="shared" si="14"/>
        <v>3.4632392932933023</v>
      </c>
      <c r="CO35" s="171">
        <f t="shared" si="71"/>
        <v>3.4632392932933023</v>
      </c>
      <c r="CP35" s="162"/>
      <c r="CQ35" s="162">
        <f t="shared" si="72"/>
        <v>0.54000000000000015</v>
      </c>
      <c r="CR35" s="170">
        <f t="shared" si="73"/>
        <v>0.54000000000000015</v>
      </c>
      <c r="CS35" s="162">
        <f t="shared" si="15"/>
        <v>3.4632392932933023</v>
      </c>
      <c r="CT35" s="171">
        <f t="shared" si="74"/>
        <v>3.4632392932933023</v>
      </c>
      <c r="CU35" s="162"/>
      <c r="CV35" s="162">
        <f t="shared" si="75"/>
        <v>0.54000000000000015</v>
      </c>
      <c r="CW35" s="162">
        <f t="shared" si="76"/>
        <v>0.54000000000000015</v>
      </c>
      <c r="CX35" s="162">
        <f t="shared" si="16"/>
        <v>3.4632392932933023</v>
      </c>
      <c r="CY35" s="171">
        <f t="shared" si="77"/>
        <v>3.4632392932933023</v>
      </c>
      <c r="CZ35" s="162"/>
      <c r="DA35" s="162">
        <f t="shared" si="78"/>
        <v>0.54000000000000015</v>
      </c>
      <c r="DB35" s="170">
        <f t="shared" si="79"/>
        <v>0.54000000000000015</v>
      </c>
      <c r="DC35" s="162">
        <f t="shared" si="17"/>
        <v>3.4632392932933023</v>
      </c>
      <c r="DD35" s="171">
        <f t="shared" si="80"/>
        <v>3.4632392932933023</v>
      </c>
      <c r="DE35" s="162"/>
      <c r="DF35" s="162">
        <f t="shared" si="81"/>
        <v>0.54000000000000015</v>
      </c>
      <c r="DG35" s="170">
        <f t="shared" si="82"/>
        <v>0.54000000000000015</v>
      </c>
      <c r="DH35" s="162">
        <f t="shared" si="18"/>
        <v>3.4632392932933023</v>
      </c>
      <c r="DI35" s="171">
        <f t="shared" si="83"/>
        <v>3.4632392932933023</v>
      </c>
      <c r="DJ35" s="162"/>
      <c r="DK35" s="162">
        <f t="shared" si="84"/>
        <v>0.54000000000000015</v>
      </c>
      <c r="DL35" s="162">
        <f t="shared" si="85"/>
        <v>0.54000000000000015</v>
      </c>
      <c r="DM35" s="162">
        <f t="shared" si="19"/>
        <v>3.4632392932933023</v>
      </c>
      <c r="DN35" s="171">
        <f t="shared" si="86"/>
        <v>3.4632392932933023</v>
      </c>
      <c r="DO35" s="162"/>
      <c r="DP35" s="162">
        <f t="shared" si="87"/>
        <v>0.54000000000000015</v>
      </c>
      <c r="DQ35" s="170">
        <f t="shared" si="88"/>
        <v>0.54000000000000015</v>
      </c>
      <c r="DR35" s="162">
        <f t="shared" si="20"/>
        <v>3.4632392932933023</v>
      </c>
      <c r="DS35" s="171">
        <f t="shared" si="89"/>
        <v>3.4632392932933023</v>
      </c>
      <c r="DT35" s="162"/>
      <c r="DU35" s="162">
        <f t="shared" si="90"/>
        <v>0.54000000000000015</v>
      </c>
      <c r="DV35" s="170">
        <f t="shared" si="91"/>
        <v>0.54000000000000015</v>
      </c>
      <c r="DW35" s="162">
        <f t="shared" si="21"/>
        <v>3.4632392932933023</v>
      </c>
      <c r="DX35" s="171">
        <f t="shared" si="92"/>
        <v>3.4632392932933023</v>
      </c>
      <c r="DY35" s="162"/>
      <c r="DZ35" s="162">
        <f t="shared" si="93"/>
        <v>0.54000000000000015</v>
      </c>
      <c r="EA35" s="162">
        <f t="shared" si="94"/>
        <v>0.54000000000000015</v>
      </c>
      <c r="EB35" s="162">
        <f t="shared" si="22"/>
        <v>3.4632392932933023</v>
      </c>
      <c r="EC35" s="171">
        <f t="shared" si="95"/>
        <v>3.4632392932933023</v>
      </c>
      <c r="ED35" s="162"/>
      <c r="EE35" s="162">
        <f t="shared" si="96"/>
        <v>0.54000000000000015</v>
      </c>
      <c r="EF35" s="170">
        <f t="shared" si="97"/>
        <v>0.54000000000000015</v>
      </c>
      <c r="EG35" s="162">
        <f t="shared" si="23"/>
        <v>3.4632392932933023</v>
      </c>
      <c r="EH35" s="171">
        <f t="shared" si="98"/>
        <v>3.4632392932933023</v>
      </c>
      <c r="EI35" s="162"/>
      <c r="EJ35" s="162">
        <f t="shared" si="99"/>
        <v>0.54000000000000015</v>
      </c>
      <c r="EK35" s="170">
        <f t="shared" si="100"/>
        <v>0.54000000000000015</v>
      </c>
      <c r="EL35" s="162">
        <f t="shared" si="24"/>
        <v>3.4632392932933023</v>
      </c>
      <c r="EM35" s="171">
        <f t="shared" si="101"/>
        <v>3.4632392932933023</v>
      </c>
      <c r="EN35" s="162"/>
      <c r="EO35" s="162">
        <f t="shared" si="102"/>
        <v>0.54000000000000015</v>
      </c>
      <c r="EP35" s="162">
        <f t="shared" si="103"/>
        <v>0.54000000000000015</v>
      </c>
      <c r="EQ35" s="162">
        <f t="shared" si="25"/>
        <v>3.4632392932933023</v>
      </c>
      <c r="ER35" s="171">
        <f t="shared" si="104"/>
        <v>3.4632392932933023</v>
      </c>
      <c r="ES35" s="162"/>
      <c r="ET35" s="162">
        <f t="shared" si="105"/>
        <v>0.54000000000000015</v>
      </c>
      <c r="EU35" s="170">
        <f t="shared" si="106"/>
        <v>0.54000000000000015</v>
      </c>
      <c r="EV35" s="162">
        <f t="shared" si="26"/>
        <v>3.4632392932933023</v>
      </c>
      <c r="EW35" s="171">
        <f t="shared" si="107"/>
        <v>3.4632392932933023</v>
      </c>
      <c r="EX35" s="162"/>
    </row>
    <row r="36" spans="3:154" s="181" customFormat="1" x14ac:dyDescent="0.25">
      <c r="T36" s="162">
        <f t="shared" si="27"/>
        <v>0.56000000000000016</v>
      </c>
      <c r="U36" s="170">
        <f t="shared" si="28"/>
        <v>0.56000000000000016</v>
      </c>
      <c r="V36" s="162">
        <f t="shared" si="0"/>
        <v>3.5461808296698623</v>
      </c>
      <c r="W36" s="171">
        <f t="shared" si="29"/>
        <v>3.5461808296698623</v>
      </c>
      <c r="X36" s="162"/>
      <c r="Y36" s="162">
        <f t="shared" si="30"/>
        <v>0.56000000000000016</v>
      </c>
      <c r="Z36" s="162">
        <f t="shared" si="31"/>
        <v>0.56000000000000016</v>
      </c>
      <c r="AA36" s="162">
        <f t="shared" si="1"/>
        <v>3.5461808296698623</v>
      </c>
      <c r="AB36" s="171">
        <f t="shared" si="32"/>
        <v>3.5461808296698623</v>
      </c>
      <c r="AC36" s="162"/>
      <c r="AD36" s="162">
        <f t="shared" si="33"/>
        <v>0.56000000000000016</v>
      </c>
      <c r="AE36" s="170">
        <f t="shared" si="34"/>
        <v>0.56000000000000016</v>
      </c>
      <c r="AF36" s="162">
        <f t="shared" si="2"/>
        <v>3.5461808296698623</v>
      </c>
      <c r="AG36" s="171">
        <f t="shared" si="35"/>
        <v>3.5461808296698623</v>
      </c>
      <c r="AH36" s="162"/>
      <c r="AI36" s="162">
        <f t="shared" si="36"/>
        <v>0.56000000000000016</v>
      </c>
      <c r="AJ36" s="170">
        <f t="shared" si="37"/>
        <v>0.56000000000000016</v>
      </c>
      <c r="AK36" s="162">
        <f t="shared" si="3"/>
        <v>3.5461808296698623</v>
      </c>
      <c r="AL36" s="171">
        <f t="shared" si="38"/>
        <v>3.5461808296698623</v>
      </c>
      <c r="AM36" s="162"/>
      <c r="AN36" s="162">
        <f t="shared" si="39"/>
        <v>0.56000000000000016</v>
      </c>
      <c r="AO36" s="162">
        <f t="shared" si="40"/>
        <v>0.56000000000000016</v>
      </c>
      <c r="AP36" s="162">
        <f t="shared" si="4"/>
        <v>3.5461808296698623</v>
      </c>
      <c r="AQ36" s="171">
        <f t="shared" si="41"/>
        <v>3.5461808296698623</v>
      </c>
      <c r="AR36" s="162"/>
      <c r="AS36" s="162">
        <f t="shared" si="42"/>
        <v>0.56000000000000016</v>
      </c>
      <c r="AT36" s="170">
        <f t="shared" si="43"/>
        <v>0.56000000000000016</v>
      </c>
      <c r="AU36" s="162">
        <f t="shared" si="5"/>
        <v>3.5461808296698623</v>
      </c>
      <c r="AV36" s="171">
        <f t="shared" si="44"/>
        <v>3.5461808296698623</v>
      </c>
      <c r="AW36" s="162"/>
      <c r="AX36" s="162">
        <f t="shared" si="45"/>
        <v>0.56000000000000016</v>
      </c>
      <c r="AY36" s="170">
        <f t="shared" si="46"/>
        <v>0.56000000000000016</v>
      </c>
      <c r="AZ36" s="162">
        <f t="shared" si="6"/>
        <v>3.5461808296698623</v>
      </c>
      <c r="BA36" s="171">
        <f t="shared" si="47"/>
        <v>3.5461808296698623</v>
      </c>
      <c r="BB36" s="162"/>
      <c r="BC36" s="162">
        <f t="shared" si="48"/>
        <v>0.56000000000000016</v>
      </c>
      <c r="BD36" s="162">
        <f t="shared" si="49"/>
        <v>0.56000000000000016</v>
      </c>
      <c r="BE36" s="162">
        <f t="shared" si="7"/>
        <v>3.5461808296698623</v>
      </c>
      <c r="BF36" s="171">
        <f t="shared" si="50"/>
        <v>3.5461808296698623</v>
      </c>
      <c r="BG36" s="162"/>
      <c r="BH36" s="162">
        <f t="shared" si="51"/>
        <v>0.56000000000000016</v>
      </c>
      <c r="BI36" s="170">
        <f t="shared" si="52"/>
        <v>0.56000000000000016</v>
      </c>
      <c r="BJ36" s="162">
        <f t="shared" si="8"/>
        <v>3.5461808296698623</v>
      </c>
      <c r="BK36" s="171">
        <f t="shared" si="53"/>
        <v>3.5461808296698623</v>
      </c>
      <c r="BL36" s="162"/>
      <c r="BM36" s="162">
        <f t="shared" si="54"/>
        <v>0.56000000000000016</v>
      </c>
      <c r="BN36" s="170">
        <f t="shared" si="55"/>
        <v>0.56000000000000016</v>
      </c>
      <c r="BO36" s="162">
        <f t="shared" si="9"/>
        <v>3.5461808296698623</v>
      </c>
      <c r="BP36" s="171">
        <f t="shared" si="56"/>
        <v>3.5461808296698623</v>
      </c>
      <c r="BQ36" s="162"/>
      <c r="BR36" s="162">
        <f t="shared" si="57"/>
        <v>0.56000000000000016</v>
      </c>
      <c r="BS36" s="162">
        <f t="shared" si="58"/>
        <v>0.56000000000000016</v>
      </c>
      <c r="BT36" s="162">
        <f t="shared" si="10"/>
        <v>3.5461808296698623</v>
      </c>
      <c r="BU36" s="171">
        <f t="shared" si="59"/>
        <v>3.5461808296698623</v>
      </c>
      <c r="BV36" s="162"/>
      <c r="BW36" s="162">
        <f t="shared" si="60"/>
        <v>0.56000000000000016</v>
      </c>
      <c r="BX36" s="170">
        <f t="shared" si="61"/>
        <v>0.56000000000000016</v>
      </c>
      <c r="BY36" s="162">
        <f t="shared" si="11"/>
        <v>3.5461808296698623</v>
      </c>
      <c r="BZ36" s="171">
        <f t="shared" si="62"/>
        <v>3.5461808296698623</v>
      </c>
      <c r="CA36" s="162"/>
      <c r="CB36" s="162">
        <f t="shared" si="63"/>
        <v>0.56000000000000016</v>
      </c>
      <c r="CC36" s="170">
        <f t="shared" si="64"/>
        <v>0.56000000000000016</v>
      </c>
      <c r="CD36" s="162">
        <f t="shared" si="12"/>
        <v>3.5461808296698623</v>
      </c>
      <c r="CE36" s="171">
        <f t="shared" si="65"/>
        <v>3.5461808296698623</v>
      </c>
      <c r="CF36" s="162"/>
      <c r="CG36" s="172">
        <f t="shared" si="66"/>
        <v>0.56000000000000016</v>
      </c>
      <c r="CH36" s="172">
        <f t="shared" si="67"/>
        <v>0.56000000000000016</v>
      </c>
      <c r="CI36" s="172">
        <f t="shared" si="13"/>
        <v>3.5461808296698623</v>
      </c>
      <c r="CJ36" s="171">
        <f t="shared" si="68"/>
        <v>3.5461808296698623</v>
      </c>
      <c r="CK36" s="172"/>
      <c r="CL36" s="162">
        <f t="shared" si="69"/>
        <v>0.56000000000000016</v>
      </c>
      <c r="CM36" s="170">
        <f t="shared" si="70"/>
        <v>0.56000000000000016</v>
      </c>
      <c r="CN36" s="162">
        <f t="shared" si="14"/>
        <v>3.5461808296698623</v>
      </c>
      <c r="CO36" s="171">
        <f t="shared" si="71"/>
        <v>3.5461808296698623</v>
      </c>
      <c r="CP36" s="162"/>
      <c r="CQ36" s="162">
        <f t="shared" si="72"/>
        <v>0.56000000000000016</v>
      </c>
      <c r="CR36" s="170">
        <f t="shared" si="73"/>
        <v>0.56000000000000016</v>
      </c>
      <c r="CS36" s="162">
        <f t="shared" si="15"/>
        <v>3.5461808296698623</v>
      </c>
      <c r="CT36" s="171">
        <f t="shared" si="74"/>
        <v>3.5461808296698623</v>
      </c>
      <c r="CU36" s="162"/>
      <c r="CV36" s="162">
        <f t="shared" si="75"/>
        <v>0.56000000000000016</v>
      </c>
      <c r="CW36" s="162">
        <f t="shared" si="76"/>
        <v>0.56000000000000016</v>
      </c>
      <c r="CX36" s="162">
        <f t="shared" si="16"/>
        <v>3.5461808296698623</v>
      </c>
      <c r="CY36" s="171">
        <f t="shared" si="77"/>
        <v>3.5461808296698623</v>
      </c>
      <c r="CZ36" s="162"/>
      <c r="DA36" s="162">
        <f t="shared" si="78"/>
        <v>0.56000000000000016</v>
      </c>
      <c r="DB36" s="170">
        <f t="shared" si="79"/>
        <v>0.56000000000000016</v>
      </c>
      <c r="DC36" s="162">
        <f t="shared" si="17"/>
        <v>3.5461808296698623</v>
      </c>
      <c r="DD36" s="171">
        <f t="shared" si="80"/>
        <v>3.5461808296698623</v>
      </c>
      <c r="DE36" s="162"/>
      <c r="DF36" s="162">
        <f t="shared" si="81"/>
        <v>0.56000000000000016</v>
      </c>
      <c r="DG36" s="170">
        <f t="shared" si="82"/>
        <v>0.56000000000000016</v>
      </c>
      <c r="DH36" s="162">
        <f t="shared" si="18"/>
        <v>3.5461808296698623</v>
      </c>
      <c r="DI36" s="171">
        <f t="shared" si="83"/>
        <v>3.5461808296698623</v>
      </c>
      <c r="DJ36" s="162"/>
      <c r="DK36" s="162">
        <f t="shared" si="84"/>
        <v>0.56000000000000016</v>
      </c>
      <c r="DL36" s="162">
        <f t="shared" si="85"/>
        <v>0.56000000000000016</v>
      </c>
      <c r="DM36" s="162">
        <f t="shared" si="19"/>
        <v>3.5461808296698623</v>
      </c>
      <c r="DN36" s="171">
        <f t="shared" si="86"/>
        <v>3.5461808296698623</v>
      </c>
      <c r="DO36" s="162"/>
      <c r="DP36" s="162">
        <f t="shared" si="87"/>
        <v>0.56000000000000016</v>
      </c>
      <c r="DQ36" s="170">
        <f t="shared" si="88"/>
        <v>0.56000000000000016</v>
      </c>
      <c r="DR36" s="162">
        <f t="shared" si="20"/>
        <v>3.5461808296698623</v>
      </c>
      <c r="DS36" s="171">
        <f t="shared" si="89"/>
        <v>3.5461808296698623</v>
      </c>
      <c r="DT36" s="162"/>
      <c r="DU36" s="162">
        <f t="shared" si="90"/>
        <v>0.56000000000000016</v>
      </c>
      <c r="DV36" s="170">
        <f t="shared" si="91"/>
        <v>0.56000000000000016</v>
      </c>
      <c r="DW36" s="162">
        <f t="shared" si="21"/>
        <v>3.5461808296698623</v>
      </c>
      <c r="DX36" s="171">
        <f t="shared" si="92"/>
        <v>3.5461808296698623</v>
      </c>
      <c r="DY36" s="162"/>
      <c r="DZ36" s="162">
        <f t="shared" si="93"/>
        <v>0.56000000000000016</v>
      </c>
      <c r="EA36" s="162">
        <f t="shared" si="94"/>
        <v>0.56000000000000016</v>
      </c>
      <c r="EB36" s="162">
        <f t="shared" si="22"/>
        <v>3.5461808296698623</v>
      </c>
      <c r="EC36" s="171">
        <f t="shared" si="95"/>
        <v>3.5461808296698623</v>
      </c>
      <c r="ED36" s="162"/>
      <c r="EE36" s="162">
        <f t="shared" si="96"/>
        <v>0.56000000000000016</v>
      </c>
      <c r="EF36" s="170">
        <f t="shared" si="97"/>
        <v>0.56000000000000016</v>
      </c>
      <c r="EG36" s="162">
        <f t="shared" si="23"/>
        <v>3.5461808296698623</v>
      </c>
      <c r="EH36" s="171">
        <f t="shared" si="98"/>
        <v>3.5461808296698623</v>
      </c>
      <c r="EI36" s="162"/>
      <c r="EJ36" s="162">
        <f t="shared" si="99"/>
        <v>0.56000000000000016</v>
      </c>
      <c r="EK36" s="170">
        <f t="shared" si="100"/>
        <v>0.56000000000000016</v>
      </c>
      <c r="EL36" s="162">
        <f t="shared" si="24"/>
        <v>3.5461808296698623</v>
      </c>
      <c r="EM36" s="171">
        <f t="shared" si="101"/>
        <v>3.5461808296698623</v>
      </c>
      <c r="EN36" s="162"/>
      <c r="EO36" s="162">
        <f t="shared" si="102"/>
        <v>0.56000000000000016</v>
      </c>
      <c r="EP36" s="162">
        <f t="shared" si="103"/>
        <v>0.56000000000000016</v>
      </c>
      <c r="EQ36" s="162">
        <f t="shared" si="25"/>
        <v>3.5461808296698623</v>
      </c>
      <c r="ER36" s="171">
        <f t="shared" si="104"/>
        <v>3.5461808296698623</v>
      </c>
      <c r="ES36" s="162"/>
      <c r="ET36" s="162">
        <f t="shared" si="105"/>
        <v>0.56000000000000016</v>
      </c>
      <c r="EU36" s="170">
        <f t="shared" si="106"/>
        <v>0.56000000000000016</v>
      </c>
      <c r="EV36" s="162">
        <f t="shared" si="26"/>
        <v>3.5461808296698623</v>
      </c>
      <c r="EW36" s="171">
        <f t="shared" si="107"/>
        <v>3.5461808296698623</v>
      </c>
      <c r="EX36" s="162"/>
    </row>
    <row r="37" spans="3:154" s="181" customFormat="1" x14ac:dyDescent="0.25">
      <c r="T37" s="162">
        <f t="shared" si="27"/>
        <v>0.58000000000000018</v>
      </c>
      <c r="U37" s="170">
        <f t="shared" si="28"/>
        <v>0.58000000000000018</v>
      </c>
      <c r="V37" s="162">
        <f t="shared" si="0"/>
        <v>3.6264138533185739</v>
      </c>
      <c r="W37" s="171">
        <f t="shared" si="29"/>
        <v>3.6264138533185739</v>
      </c>
      <c r="X37" s="162"/>
      <c r="Y37" s="162">
        <f t="shared" si="30"/>
        <v>0.58000000000000018</v>
      </c>
      <c r="Z37" s="162">
        <f t="shared" si="31"/>
        <v>0.58000000000000018</v>
      </c>
      <c r="AA37" s="162">
        <f t="shared" si="1"/>
        <v>3.6264138533185739</v>
      </c>
      <c r="AB37" s="171">
        <f t="shared" si="32"/>
        <v>3.6264138533185739</v>
      </c>
      <c r="AC37" s="162"/>
      <c r="AD37" s="162">
        <f t="shared" si="33"/>
        <v>0.58000000000000018</v>
      </c>
      <c r="AE37" s="170">
        <f t="shared" si="34"/>
        <v>0.58000000000000018</v>
      </c>
      <c r="AF37" s="162">
        <f t="shared" si="2"/>
        <v>3.6264138533185739</v>
      </c>
      <c r="AG37" s="171">
        <f t="shared" si="35"/>
        <v>3.6264138533185739</v>
      </c>
      <c r="AH37" s="162"/>
      <c r="AI37" s="162">
        <f t="shared" si="36"/>
        <v>0.58000000000000018</v>
      </c>
      <c r="AJ37" s="170">
        <f t="shared" si="37"/>
        <v>0.58000000000000018</v>
      </c>
      <c r="AK37" s="162">
        <f t="shared" si="3"/>
        <v>3.6264138533185739</v>
      </c>
      <c r="AL37" s="171">
        <f t="shared" si="38"/>
        <v>3.6264138533185739</v>
      </c>
      <c r="AM37" s="162"/>
      <c r="AN37" s="162">
        <f t="shared" si="39"/>
        <v>0.58000000000000018</v>
      </c>
      <c r="AO37" s="162">
        <f t="shared" si="40"/>
        <v>0.58000000000000018</v>
      </c>
      <c r="AP37" s="162">
        <f t="shared" si="4"/>
        <v>3.6264138533185739</v>
      </c>
      <c r="AQ37" s="171">
        <f t="shared" si="41"/>
        <v>3.6264138533185739</v>
      </c>
      <c r="AR37" s="162"/>
      <c r="AS37" s="162">
        <f t="shared" si="42"/>
        <v>0.58000000000000018</v>
      </c>
      <c r="AT37" s="170">
        <f t="shared" si="43"/>
        <v>0.58000000000000018</v>
      </c>
      <c r="AU37" s="162">
        <f t="shared" si="5"/>
        <v>3.6264138533185739</v>
      </c>
      <c r="AV37" s="171">
        <f t="shared" si="44"/>
        <v>3.6264138533185739</v>
      </c>
      <c r="AW37" s="162"/>
      <c r="AX37" s="162">
        <f t="shared" si="45"/>
        <v>0.58000000000000018</v>
      </c>
      <c r="AY37" s="170">
        <f t="shared" si="46"/>
        <v>0.58000000000000018</v>
      </c>
      <c r="AZ37" s="162">
        <f t="shared" si="6"/>
        <v>3.6264138533185739</v>
      </c>
      <c r="BA37" s="171">
        <f t="shared" si="47"/>
        <v>3.6264138533185739</v>
      </c>
      <c r="BB37" s="162"/>
      <c r="BC37" s="162">
        <f t="shared" si="48"/>
        <v>0.58000000000000018</v>
      </c>
      <c r="BD37" s="162">
        <f t="shared" si="49"/>
        <v>0.58000000000000018</v>
      </c>
      <c r="BE37" s="162">
        <f t="shared" si="7"/>
        <v>3.6264138533185739</v>
      </c>
      <c r="BF37" s="171">
        <f t="shared" si="50"/>
        <v>3.6264138533185739</v>
      </c>
      <c r="BG37" s="162"/>
      <c r="BH37" s="162">
        <f t="shared" si="51"/>
        <v>0.58000000000000018</v>
      </c>
      <c r="BI37" s="170">
        <f t="shared" si="52"/>
        <v>0.58000000000000018</v>
      </c>
      <c r="BJ37" s="162">
        <f t="shared" si="8"/>
        <v>3.6264138533185739</v>
      </c>
      <c r="BK37" s="171">
        <f t="shared" si="53"/>
        <v>3.6264138533185739</v>
      </c>
      <c r="BL37" s="162"/>
      <c r="BM37" s="162">
        <f t="shared" si="54"/>
        <v>0.58000000000000018</v>
      </c>
      <c r="BN37" s="170">
        <f t="shared" si="55"/>
        <v>0.58000000000000018</v>
      </c>
      <c r="BO37" s="162">
        <f t="shared" si="9"/>
        <v>3.6264138533185739</v>
      </c>
      <c r="BP37" s="171">
        <f t="shared" si="56"/>
        <v>3.6264138533185739</v>
      </c>
      <c r="BQ37" s="162"/>
      <c r="BR37" s="162">
        <f t="shared" si="57"/>
        <v>0.58000000000000018</v>
      </c>
      <c r="BS37" s="162">
        <f t="shared" si="58"/>
        <v>0.58000000000000018</v>
      </c>
      <c r="BT37" s="162">
        <f t="shared" si="10"/>
        <v>3.6264138533185739</v>
      </c>
      <c r="BU37" s="171">
        <f t="shared" si="59"/>
        <v>3.6264138533185739</v>
      </c>
      <c r="BV37" s="162"/>
      <c r="BW37" s="162">
        <f t="shared" si="60"/>
        <v>0.58000000000000018</v>
      </c>
      <c r="BX37" s="170">
        <f t="shared" si="61"/>
        <v>0.58000000000000018</v>
      </c>
      <c r="BY37" s="162">
        <f t="shared" si="11"/>
        <v>3.6264138533185739</v>
      </c>
      <c r="BZ37" s="171">
        <f t="shared" si="62"/>
        <v>3.6264138533185739</v>
      </c>
      <c r="CA37" s="162"/>
      <c r="CB37" s="162">
        <f t="shared" si="63"/>
        <v>0.58000000000000018</v>
      </c>
      <c r="CC37" s="170">
        <f t="shared" si="64"/>
        <v>0.58000000000000018</v>
      </c>
      <c r="CD37" s="162">
        <f t="shared" si="12"/>
        <v>3.6264138533185739</v>
      </c>
      <c r="CE37" s="171">
        <f t="shared" si="65"/>
        <v>3.6264138533185739</v>
      </c>
      <c r="CF37" s="162"/>
      <c r="CG37" s="172">
        <f t="shared" si="66"/>
        <v>0.58000000000000018</v>
      </c>
      <c r="CH37" s="172">
        <f t="shared" si="67"/>
        <v>0.58000000000000018</v>
      </c>
      <c r="CI37" s="172">
        <f t="shared" si="13"/>
        <v>3.6264138533185739</v>
      </c>
      <c r="CJ37" s="171">
        <f t="shared" si="68"/>
        <v>3.6264138533185739</v>
      </c>
      <c r="CK37" s="172"/>
      <c r="CL37" s="162">
        <f t="shared" si="69"/>
        <v>0.58000000000000018</v>
      </c>
      <c r="CM37" s="170">
        <f t="shared" si="70"/>
        <v>0.58000000000000018</v>
      </c>
      <c r="CN37" s="162">
        <f t="shared" si="14"/>
        <v>3.6264138533185739</v>
      </c>
      <c r="CO37" s="171">
        <f t="shared" si="71"/>
        <v>3.6264138533185739</v>
      </c>
      <c r="CP37" s="162"/>
      <c r="CQ37" s="162">
        <f t="shared" si="72"/>
        <v>0.58000000000000018</v>
      </c>
      <c r="CR37" s="170">
        <f t="shared" si="73"/>
        <v>0.58000000000000018</v>
      </c>
      <c r="CS37" s="162">
        <f t="shared" si="15"/>
        <v>3.6264138533185739</v>
      </c>
      <c r="CT37" s="171">
        <f t="shared" si="74"/>
        <v>3.6264138533185739</v>
      </c>
      <c r="CU37" s="162"/>
      <c r="CV37" s="162">
        <f t="shared" si="75"/>
        <v>0.58000000000000018</v>
      </c>
      <c r="CW37" s="162">
        <f t="shared" si="76"/>
        <v>0.58000000000000018</v>
      </c>
      <c r="CX37" s="162">
        <f t="shared" si="16"/>
        <v>3.6264138533185739</v>
      </c>
      <c r="CY37" s="171">
        <f t="shared" si="77"/>
        <v>3.6264138533185739</v>
      </c>
      <c r="CZ37" s="162"/>
      <c r="DA37" s="162">
        <f t="shared" si="78"/>
        <v>0.58000000000000018</v>
      </c>
      <c r="DB37" s="170">
        <f t="shared" si="79"/>
        <v>0.58000000000000018</v>
      </c>
      <c r="DC37" s="162">
        <f t="shared" si="17"/>
        <v>3.6264138533185739</v>
      </c>
      <c r="DD37" s="171">
        <f t="shared" si="80"/>
        <v>3.6264138533185739</v>
      </c>
      <c r="DE37" s="162"/>
      <c r="DF37" s="162">
        <f t="shared" si="81"/>
        <v>0.58000000000000018</v>
      </c>
      <c r="DG37" s="170">
        <f t="shared" si="82"/>
        <v>0.58000000000000018</v>
      </c>
      <c r="DH37" s="162">
        <f t="shared" si="18"/>
        <v>3.6264138533185739</v>
      </c>
      <c r="DI37" s="171">
        <f t="shared" si="83"/>
        <v>3.6264138533185739</v>
      </c>
      <c r="DJ37" s="162"/>
      <c r="DK37" s="162">
        <f t="shared" si="84"/>
        <v>0.58000000000000018</v>
      </c>
      <c r="DL37" s="162">
        <f t="shared" si="85"/>
        <v>0.58000000000000018</v>
      </c>
      <c r="DM37" s="162">
        <f t="shared" si="19"/>
        <v>3.6264138533185739</v>
      </c>
      <c r="DN37" s="171">
        <f t="shared" si="86"/>
        <v>3.6264138533185739</v>
      </c>
      <c r="DO37" s="162"/>
      <c r="DP37" s="162">
        <f t="shared" si="87"/>
        <v>0.58000000000000018</v>
      </c>
      <c r="DQ37" s="170">
        <f t="shared" si="88"/>
        <v>0.58000000000000018</v>
      </c>
      <c r="DR37" s="162">
        <f t="shared" si="20"/>
        <v>3.6264138533185739</v>
      </c>
      <c r="DS37" s="171">
        <f t="shared" si="89"/>
        <v>3.6264138533185739</v>
      </c>
      <c r="DT37" s="162"/>
      <c r="DU37" s="162">
        <f t="shared" si="90"/>
        <v>0.58000000000000018</v>
      </c>
      <c r="DV37" s="170">
        <f t="shared" si="91"/>
        <v>0.58000000000000018</v>
      </c>
      <c r="DW37" s="162">
        <f t="shared" si="21"/>
        <v>3.6264138533185739</v>
      </c>
      <c r="DX37" s="171">
        <f t="shared" si="92"/>
        <v>3.6264138533185739</v>
      </c>
      <c r="DY37" s="162"/>
      <c r="DZ37" s="162">
        <f t="shared" si="93"/>
        <v>0.58000000000000018</v>
      </c>
      <c r="EA37" s="162">
        <f t="shared" si="94"/>
        <v>0.58000000000000018</v>
      </c>
      <c r="EB37" s="162">
        <f t="shared" si="22"/>
        <v>3.6264138533185739</v>
      </c>
      <c r="EC37" s="171">
        <f t="shared" si="95"/>
        <v>3.6264138533185739</v>
      </c>
      <c r="ED37" s="162"/>
      <c r="EE37" s="162">
        <f t="shared" si="96"/>
        <v>0.58000000000000018</v>
      </c>
      <c r="EF37" s="170">
        <f t="shared" si="97"/>
        <v>0.58000000000000018</v>
      </c>
      <c r="EG37" s="162">
        <f t="shared" si="23"/>
        <v>3.6264138533185739</v>
      </c>
      <c r="EH37" s="171">
        <f t="shared" si="98"/>
        <v>3.6264138533185739</v>
      </c>
      <c r="EI37" s="162"/>
      <c r="EJ37" s="162">
        <f t="shared" si="99"/>
        <v>0.58000000000000018</v>
      </c>
      <c r="EK37" s="170">
        <f t="shared" si="100"/>
        <v>0.58000000000000018</v>
      </c>
      <c r="EL37" s="162">
        <f t="shared" si="24"/>
        <v>3.6264138533185739</v>
      </c>
      <c r="EM37" s="171">
        <f t="shared" si="101"/>
        <v>3.6264138533185739</v>
      </c>
      <c r="EN37" s="162"/>
      <c r="EO37" s="162">
        <f t="shared" si="102"/>
        <v>0.58000000000000018</v>
      </c>
      <c r="EP37" s="162">
        <f t="shared" si="103"/>
        <v>0.58000000000000018</v>
      </c>
      <c r="EQ37" s="162">
        <f t="shared" si="25"/>
        <v>3.6264138533185739</v>
      </c>
      <c r="ER37" s="171">
        <f t="shared" si="104"/>
        <v>3.6264138533185739</v>
      </c>
      <c r="ES37" s="162"/>
      <c r="ET37" s="162">
        <f t="shared" si="105"/>
        <v>0.58000000000000018</v>
      </c>
      <c r="EU37" s="170">
        <f t="shared" si="106"/>
        <v>0.58000000000000018</v>
      </c>
      <c r="EV37" s="162">
        <f t="shared" si="26"/>
        <v>3.6264138533185739</v>
      </c>
      <c r="EW37" s="171">
        <f t="shared" si="107"/>
        <v>3.6264138533185739</v>
      </c>
      <c r="EX37" s="162"/>
    </row>
    <row r="38" spans="3:154" s="181" customFormat="1" x14ac:dyDescent="0.25">
      <c r="T38" s="162">
        <f t="shared" si="27"/>
        <v>0.6000000000000002</v>
      </c>
      <c r="U38" s="170">
        <f t="shared" si="28"/>
        <v>0.6000000000000002</v>
      </c>
      <c r="V38" s="162">
        <f t="shared" si="0"/>
        <v>3.7039383642394395</v>
      </c>
      <c r="W38" s="171">
        <f t="shared" si="29"/>
        <v>3.7039383642394395</v>
      </c>
      <c r="X38" s="162"/>
      <c r="Y38" s="162">
        <f t="shared" si="30"/>
        <v>0.6000000000000002</v>
      </c>
      <c r="Z38" s="162">
        <f t="shared" si="31"/>
        <v>0.6000000000000002</v>
      </c>
      <c r="AA38" s="162">
        <f t="shared" si="1"/>
        <v>3.7039383642394395</v>
      </c>
      <c r="AB38" s="171">
        <f t="shared" si="32"/>
        <v>3.7039383642394395</v>
      </c>
      <c r="AC38" s="162"/>
      <c r="AD38" s="162">
        <f t="shared" si="33"/>
        <v>0.6000000000000002</v>
      </c>
      <c r="AE38" s="170">
        <f t="shared" si="34"/>
        <v>0.6000000000000002</v>
      </c>
      <c r="AF38" s="162">
        <f t="shared" si="2"/>
        <v>3.7039383642394395</v>
      </c>
      <c r="AG38" s="171">
        <f t="shared" si="35"/>
        <v>3.7039383642394395</v>
      </c>
      <c r="AH38" s="162"/>
      <c r="AI38" s="162">
        <f t="shared" si="36"/>
        <v>0.6000000000000002</v>
      </c>
      <c r="AJ38" s="170">
        <f t="shared" si="37"/>
        <v>0.6000000000000002</v>
      </c>
      <c r="AK38" s="162">
        <f t="shared" si="3"/>
        <v>3.7039383642394395</v>
      </c>
      <c r="AL38" s="171">
        <f t="shared" si="38"/>
        <v>3.7039383642394395</v>
      </c>
      <c r="AM38" s="162"/>
      <c r="AN38" s="162">
        <f t="shared" si="39"/>
        <v>0.6000000000000002</v>
      </c>
      <c r="AO38" s="162">
        <f t="shared" si="40"/>
        <v>0.6000000000000002</v>
      </c>
      <c r="AP38" s="162">
        <f t="shared" si="4"/>
        <v>3.7039383642394395</v>
      </c>
      <c r="AQ38" s="171">
        <f t="shared" si="41"/>
        <v>3.7039383642394395</v>
      </c>
      <c r="AR38" s="162"/>
      <c r="AS38" s="162">
        <f t="shared" si="42"/>
        <v>0.6000000000000002</v>
      </c>
      <c r="AT38" s="170">
        <f t="shared" si="43"/>
        <v>0.6000000000000002</v>
      </c>
      <c r="AU38" s="162">
        <f t="shared" si="5"/>
        <v>3.7039383642394395</v>
      </c>
      <c r="AV38" s="171">
        <f t="shared" si="44"/>
        <v>3.7039383642394395</v>
      </c>
      <c r="AW38" s="162"/>
      <c r="AX38" s="162">
        <f t="shared" si="45"/>
        <v>0.6000000000000002</v>
      </c>
      <c r="AY38" s="170">
        <f t="shared" si="46"/>
        <v>0.6000000000000002</v>
      </c>
      <c r="AZ38" s="162">
        <f t="shared" si="6"/>
        <v>3.7039383642394395</v>
      </c>
      <c r="BA38" s="171">
        <f t="shared" si="47"/>
        <v>3.7039383642394395</v>
      </c>
      <c r="BB38" s="162"/>
      <c r="BC38" s="162">
        <f t="shared" si="48"/>
        <v>0.6000000000000002</v>
      </c>
      <c r="BD38" s="162">
        <f t="shared" si="49"/>
        <v>0.6000000000000002</v>
      </c>
      <c r="BE38" s="162">
        <f t="shared" si="7"/>
        <v>3.7039383642394395</v>
      </c>
      <c r="BF38" s="171">
        <f t="shared" si="50"/>
        <v>3.7039383642394395</v>
      </c>
      <c r="BG38" s="162"/>
      <c r="BH38" s="162">
        <f t="shared" si="51"/>
        <v>0.6000000000000002</v>
      </c>
      <c r="BI38" s="170">
        <f t="shared" si="52"/>
        <v>0.6000000000000002</v>
      </c>
      <c r="BJ38" s="162">
        <f t="shared" si="8"/>
        <v>3.7039383642394395</v>
      </c>
      <c r="BK38" s="171">
        <f t="shared" si="53"/>
        <v>3.7039383642394395</v>
      </c>
      <c r="BL38" s="162"/>
      <c r="BM38" s="162">
        <f t="shared" si="54"/>
        <v>0.6000000000000002</v>
      </c>
      <c r="BN38" s="170">
        <f t="shared" si="55"/>
        <v>0.6000000000000002</v>
      </c>
      <c r="BO38" s="162">
        <f t="shared" si="9"/>
        <v>3.7039383642394395</v>
      </c>
      <c r="BP38" s="171">
        <f t="shared" si="56"/>
        <v>3.7039383642394395</v>
      </c>
      <c r="BQ38" s="162"/>
      <c r="BR38" s="162">
        <f t="shared" si="57"/>
        <v>0.6000000000000002</v>
      </c>
      <c r="BS38" s="162">
        <f t="shared" si="58"/>
        <v>0.6000000000000002</v>
      </c>
      <c r="BT38" s="162">
        <f t="shared" si="10"/>
        <v>3.7039383642394395</v>
      </c>
      <c r="BU38" s="171">
        <f t="shared" si="59"/>
        <v>3.7039383642394395</v>
      </c>
      <c r="BV38" s="162"/>
      <c r="BW38" s="162">
        <f t="shared" si="60"/>
        <v>0.6000000000000002</v>
      </c>
      <c r="BX38" s="170">
        <f t="shared" si="61"/>
        <v>0.6000000000000002</v>
      </c>
      <c r="BY38" s="162">
        <f t="shared" si="11"/>
        <v>3.7039383642394395</v>
      </c>
      <c r="BZ38" s="171">
        <f t="shared" si="62"/>
        <v>3.7039383642394395</v>
      </c>
      <c r="CA38" s="162"/>
      <c r="CB38" s="162">
        <f t="shared" si="63"/>
        <v>0.6000000000000002</v>
      </c>
      <c r="CC38" s="170">
        <f t="shared" si="64"/>
        <v>0.6000000000000002</v>
      </c>
      <c r="CD38" s="162">
        <f t="shared" si="12"/>
        <v>3.7039383642394395</v>
      </c>
      <c r="CE38" s="171">
        <f t="shared" si="65"/>
        <v>3.7039383642394395</v>
      </c>
      <c r="CF38" s="162"/>
      <c r="CG38" s="172">
        <f t="shared" si="66"/>
        <v>0.6000000000000002</v>
      </c>
      <c r="CH38" s="172">
        <f t="shared" si="67"/>
        <v>0.6000000000000002</v>
      </c>
      <c r="CI38" s="172">
        <f t="shared" si="13"/>
        <v>3.7039383642394395</v>
      </c>
      <c r="CJ38" s="171">
        <f t="shared" si="68"/>
        <v>3.7039383642394395</v>
      </c>
      <c r="CK38" s="172"/>
      <c r="CL38" s="162">
        <f t="shared" si="69"/>
        <v>0.6000000000000002</v>
      </c>
      <c r="CM38" s="170">
        <f t="shared" si="70"/>
        <v>0.6000000000000002</v>
      </c>
      <c r="CN38" s="162">
        <f t="shared" si="14"/>
        <v>3.7039383642394395</v>
      </c>
      <c r="CO38" s="171">
        <f t="shared" si="71"/>
        <v>3.7039383642394395</v>
      </c>
      <c r="CP38" s="162"/>
      <c r="CQ38" s="162">
        <f t="shared" si="72"/>
        <v>0.6000000000000002</v>
      </c>
      <c r="CR38" s="170">
        <f t="shared" si="73"/>
        <v>0.6000000000000002</v>
      </c>
      <c r="CS38" s="162">
        <f t="shared" si="15"/>
        <v>3.7039383642394395</v>
      </c>
      <c r="CT38" s="171">
        <f t="shared" si="74"/>
        <v>3.7039383642394395</v>
      </c>
      <c r="CU38" s="162"/>
      <c r="CV38" s="162">
        <f t="shared" si="75"/>
        <v>0.6000000000000002</v>
      </c>
      <c r="CW38" s="162">
        <f t="shared" si="76"/>
        <v>0.6000000000000002</v>
      </c>
      <c r="CX38" s="162">
        <f t="shared" si="16"/>
        <v>3.7039383642394395</v>
      </c>
      <c r="CY38" s="171">
        <f t="shared" si="77"/>
        <v>3.7039383642394395</v>
      </c>
      <c r="CZ38" s="162"/>
      <c r="DA38" s="162">
        <f t="shared" si="78"/>
        <v>0.6000000000000002</v>
      </c>
      <c r="DB38" s="170">
        <f t="shared" si="79"/>
        <v>0.6000000000000002</v>
      </c>
      <c r="DC38" s="162">
        <f t="shared" si="17"/>
        <v>3.7039383642394395</v>
      </c>
      <c r="DD38" s="171">
        <f t="shared" si="80"/>
        <v>3.7039383642394395</v>
      </c>
      <c r="DE38" s="162"/>
      <c r="DF38" s="162">
        <f t="shared" si="81"/>
        <v>0.6000000000000002</v>
      </c>
      <c r="DG38" s="170">
        <f t="shared" si="82"/>
        <v>0.6000000000000002</v>
      </c>
      <c r="DH38" s="162">
        <f t="shared" si="18"/>
        <v>3.7039383642394395</v>
      </c>
      <c r="DI38" s="171">
        <f t="shared" si="83"/>
        <v>3.7039383642394395</v>
      </c>
      <c r="DJ38" s="162"/>
      <c r="DK38" s="162">
        <f t="shared" si="84"/>
        <v>0.6000000000000002</v>
      </c>
      <c r="DL38" s="162">
        <f t="shared" si="85"/>
        <v>0.6000000000000002</v>
      </c>
      <c r="DM38" s="162">
        <f t="shared" si="19"/>
        <v>3.7039383642394395</v>
      </c>
      <c r="DN38" s="171">
        <f t="shared" si="86"/>
        <v>3.7039383642394395</v>
      </c>
      <c r="DO38" s="162"/>
      <c r="DP38" s="162">
        <f t="shared" si="87"/>
        <v>0.6000000000000002</v>
      </c>
      <c r="DQ38" s="170">
        <f t="shared" si="88"/>
        <v>0.6000000000000002</v>
      </c>
      <c r="DR38" s="162">
        <f t="shared" si="20"/>
        <v>3.7039383642394395</v>
      </c>
      <c r="DS38" s="171">
        <f t="shared" si="89"/>
        <v>3.7039383642394395</v>
      </c>
      <c r="DT38" s="162"/>
      <c r="DU38" s="162">
        <f t="shared" si="90"/>
        <v>0.6000000000000002</v>
      </c>
      <c r="DV38" s="170">
        <f t="shared" si="91"/>
        <v>0.6000000000000002</v>
      </c>
      <c r="DW38" s="162">
        <f t="shared" si="21"/>
        <v>3.7039383642394395</v>
      </c>
      <c r="DX38" s="171">
        <f t="shared" si="92"/>
        <v>3.7039383642394395</v>
      </c>
      <c r="DY38" s="162"/>
      <c r="DZ38" s="162">
        <f t="shared" si="93"/>
        <v>0.6000000000000002</v>
      </c>
      <c r="EA38" s="162">
        <f t="shared" si="94"/>
        <v>0.6000000000000002</v>
      </c>
      <c r="EB38" s="162">
        <f t="shared" si="22"/>
        <v>3.7039383642394395</v>
      </c>
      <c r="EC38" s="171">
        <f t="shared" si="95"/>
        <v>3.7039383642394395</v>
      </c>
      <c r="ED38" s="162"/>
      <c r="EE38" s="162">
        <f t="shared" si="96"/>
        <v>0.6000000000000002</v>
      </c>
      <c r="EF38" s="170">
        <f t="shared" si="97"/>
        <v>0.6000000000000002</v>
      </c>
      <c r="EG38" s="162">
        <f t="shared" si="23"/>
        <v>3.7039383642394395</v>
      </c>
      <c r="EH38" s="171">
        <f t="shared" si="98"/>
        <v>3.7039383642394395</v>
      </c>
      <c r="EI38" s="162"/>
      <c r="EJ38" s="162">
        <f t="shared" si="99"/>
        <v>0.6000000000000002</v>
      </c>
      <c r="EK38" s="170">
        <f t="shared" si="100"/>
        <v>0.6000000000000002</v>
      </c>
      <c r="EL38" s="162">
        <f t="shared" si="24"/>
        <v>3.7039383642394395</v>
      </c>
      <c r="EM38" s="171">
        <f t="shared" si="101"/>
        <v>3.7039383642394395</v>
      </c>
      <c r="EN38" s="162"/>
      <c r="EO38" s="162">
        <f t="shared" si="102"/>
        <v>0.6000000000000002</v>
      </c>
      <c r="EP38" s="162">
        <f t="shared" si="103"/>
        <v>0.6000000000000002</v>
      </c>
      <c r="EQ38" s="162">
        <f t="shared" si="25"/>
        <v>3.7039383642394395</v>
      </c>
      <c r="ER38" s="171">
        <f t="shared" si="104"/>
        <v>3.7039383642394395</v>
      </c>
      <c r="ES38" s="162"/>
      <c r="ET38" s="162">
        <f t="shared" si="105"/>
        <v>0.6000000000000002</v>
      </c>
      <c r="EU38" s="170">
        <f t="shared" si="106"/>
        <v>0.6000000000000002</v>
      </c>
      <c r="EV38" s="162">
        <f t="shared" si="26"/>
        <v>3.7039383642394395</v>
      </c>
      <c r="EW38" s="171">
        <f t="shared" si="107"/>
        <v>3.7039383642394395</v>
      </c>
      <c r="EX38" s="162"/>
    </row>
    <row r="39" spans="3:154" s="181" customFormat="1" x14ac:dyDescent="0.25">
      <c r="T39" s="162">
        <f t="shared" si="27"/>
        <v>0.62000000000000022</v>
      </c>
      <c r="U39" s="170">
        <f t="shared" si="28"/>
        <v>0.62000000000000022</v>
      </c>
      <c r="V39" s="162">
        <f t="shared" si="0"/>
        <v>3.7787543624324571</v>
      </c>
      <c r="W39" s="171">
        <f t="shared" si="29"/>
        <v>3.7787543624324571</v>
      </c>
      <c r="X39" s="162"/>
      <c r="Y39" s="162">
        <f t="shared" si="30"/>
        <v>0.62000000000000022</v>
      </c>
      <c r="Z39" s="162">
        <f t="shared" si="31"/>
        <v>0.62000000000000022</v>
      </c>
      <c r="AA39" s="162">
        <f t="shared" si="1"/>
        <v>3.7787543624324571</v>
      </c>
      <c r="AB39" s="171">
        <f t="shared" si="32"/>
        <v>3.7787543624324571</v>
      </c>
      <c r="AC39" s="162"/>
      <c r="AD39" s="162">
        <f t="shared" si="33"/>
        <v>0.62000000000000022</v>
      </c>
      <c r="AE39" s="170">
        <f t="shared" si="34"/>
        <v>0.62000000000000022</v>
      </c>
      <c r="AF39" s="162">
        <f t="shared" si="2"/>
        <v>3.7787543624324571</v>
      </c>
      <c r="AG39" s="171">
        <f t="shared" si="35"/>
        <v>3.7787543624324571</v>
      </c>
      <c r="AH39" s="162"/>
      <c r="AI39" s="162">
        <f t="shared" si="36"/>
        <v>0.62000000000000022</v>
      </c>
      <c r="AJ39" s="170">
        <f t="shared" si="37"/>
        <v>0.62000000000000022</v>
      </c>
      <c r="AK39" s="162">
        <f t="shared" si="3"/>
        <v>3.7787543624324571</v>
      </c>
      <c r="AL39" s="171">
        <f t="shared" si="38"/>
        <v>3.7787543624324571</v>
      </c>
      <c r="AM39" s="162"/>
      <c r="AN39" s="162">
        <f t="shared" si="39"/>
        <v>0.62000000000000022</v>
      </c>
      <c r="AO39" s="162">
        <f t="shared" si="40"/>
        <v>0.62000000000000022</v>
      </c>
      <c r="AP39" s="162">
        <f t="shared" si="4"/>
        <v>3.7787543624324571</v>
      </c>
      <c r="AQ39" s="171">
        <f t="shared" si="41"/>
        <v>3.7787543624324571</v>
      </c>
      <c r="AR39" s="162"/>
      <c r="AS39" s="162">
        <f t="shared" si="42"/>
        <v>0.62000000000000022</v>
      </c>
      <c r="AT39" s="170">
        <f t="shared" si="43"/>
        <v>0.62000000000000022</v>
      </c>
      <c r="AU39" s="162">
        <f t="shared" si="5"/>
        <v>3.7787543624324571</v>
      </c>
      <c r="AV39" s="171">
        <f t="shared" si="44"/>
        <v>3.7787543624324571</v>
      </c>
      <c r="AW39" s="162"/>
      <c r="AX39" s="162">
        <f t="shared" si="45"/>
        <v>0.62000000000000022</v>
      </c>
      <c r="AY39" s="170">
        <f t="shared" si="46"/>
        <v>0.62000000000000022</v>
      </c>
      <c r="AZ39" s="162">
        <f t="shared" si="6"/>
        <v>3.7787543624324571</v>
      </c>
      <c r="BA39" s="171">
        <f t="shared" si="47"/>
        <v>3.7787543624324571</v>
      </c>
      <c r="BB39" s="162"/>
      <c r="BC39" s="162">
        <f t="shared" si="48"/>
        <v>0.62000000000000022</v>
      </c>
      <c r="BD39" s="162">
        <f t="shared" si="49"/>
        <v>0.62000000000000022</v>
      </c>
      <c r="BE39" s="162">
        <f t="shared" si="7"/>
        <v>3.7787543624324571</v>
      </c>
      <c r="BF39" s="171">
        <f t="shared" si="50"/>
        <v>3.7787543624324571</v>
      </c>
      <c r="BG39" s="162"/>
      <c r="BH39" s="162">
        <f t="shared" si="51"/>
        <v>0.62000000000000022</v>
      </c>
      <c r="BI39" s="170">
        <f t="shared" si="52"/>
        <v>0.62000000000000022</v>
      </c>
      <c r="BJ39" s="162">
        <f t="shared" si="8"/>
        <v>3.7787543624324571</v>
      </c>
      <c r="BK39" s="171">
        <f t="shared" si="53"/>
        <v>3.7787543624324571</v>
      </c>
      <c r="BL39" s="162"/>
      <c r="BM39" s="162">
        <f t="shared" si="54"/>
        <v>0.62000000000000022</v>
      </c>
      <c r="BN39" s="170">
        <f t="shared" si="55"/>
        <v>0.62000000000000022</v>
      </c>
      <c r="BO39" s="162">
        <f t="shared" si="9"/>
        <v>3.7787543624324571</v>
      </c>
      <c r="BP39" s="171">
        <f t="shared" si="56"/>
        <v>3.7787543624324571</v>
      </c>
      <c r="BQ39" s="162"/>
      <c r="BR39" s="162">
        <f t="shared" si="57"/>
        <v>0.62000000000000022</v>
      </c>
      <c r="BS39" s="162">
        <f t="shared" si="58"/>
        <v>0.62000000000000022</v>
      </c>
      <c r="BT39" s="162">
        <f t="shared" si="10"/>
        <v>3.7787543624324571</v>
      </c>
      <c r="BU39" s="171">
        <f t="shared" si="59"/>
        <v>3.7787543624324571</v>
      </c>
      <c r="BV39" s="162"/>
      <c r="BW39" s="162">
        <f t="shared" si="60"/>
        <v>0.62000000000000022</v>
      </c>
      <c r="BX39" s="170">
        <f t="shared" si="61"/>
        <v>0.62000000000000022</v>
      </c>
      <c r="BY39" s="162">
        <f t="shared" si="11"/>
        <v>3.7787543624324571</v>
      </c>
      <c r="BZ39" s="171">
        <f t="shared" si="62"/>
        <v>3.7787543624324571</v>
      </c>
      <c r="CA39" s="162"/>
      <c r="CB39" s="162">
        <f t="shared" si="63"/>
        <v>0.62000000000000022</v>
      </c>
      <c r="CC39" s="170">
        <f t="shared" si="64"/>
        <v>0.62000000000000022</v>
      </c>
      <c r="CD39" s="162">
        <f t="shared" si="12"/>
        <v>3.7787543624324571</v>
      </c>
      <c r="CE39" s="171">
        <f t="shared" si="65"/>
        <v>3.7787543624324571</v>
      </c>
      <c r="CF39" s="162"/>
      <c r="CG39" s="172">
        <f t="shared" si="66"/>
        <v>0.62000000000000022</v>
      </c>
      <c r="CH39" s="172">
        <f t="shared" si="67"/>
        <v>0.62000000000000022</v>
      </c>
      <c r="CI39" s="172">
        <f t="shared" si="13"/>
        <v>3.7787543624324571</v>
      </c>
      <c r="CJ39" s="171">
        <f t="shared" si="68"/>
        <v>3.7787543624324571</v>
      </c>
      <c r="CK39" s="172"/>
      <c r="CL39" s="162">
        <f t="shared" si="69"/>
        <v>0.62000000000000022</v>
      </c>
      <c r="CM39" s="170">
        <f t="shared" si="70"/>
        <v>0.62000000000000022</v>
      </c>
      <c r="CN39" s="162">
        <f t="shared" si="14"/>
        <v>3.7787543624324571</v>
      </c>
      <c r="CO39" s="171">
        <f t="shared" si="71"/>
        <v>3.7787543624324571</v>
      </c>
      <c r="CP39" s="162"/>
      <c r="CQ39" s="162">
        <f t="shared" si="72"/>
        <v>0.62000000000000022</v>
      </c>
      <c r="CR39" s="170">
        <f t="shared" si="73"/>
        <v>0.62000000000000022</v>
      </c>
      <c r="CS39" s="162">
        <f t="shared" si="15"/>
        <v>3.7787543624324571</v>
      </c>
      <c r="CT39" s="171">
        <f t="shared" si="74"/>
        <v>3.7787543624324571</v>
      </c>
      <c r="CU39" s="162"/>
      <c r="CV39" s="162">
        <f t="shared" si="75"/>
        <v>0.62000000000000022</v>
      </c>
      <c r="CW39" s="162">
        <f t="shared" si="76"/>
        <v>0.62000000000000022</v>
      </c>
      <c r="CX39" s="162">
        <f t="shared" si="16"/>
        <v>3.7787543624324571</v>
      </c>
      <c r="CY39" s="171">
        <f t="shared" si="77"/>
        <v>3.7787543624324571</v>
      </c>
      <c r="CZ39" s="162"/>
      <c r="DA39" s="162">
        <f t="shared" si="78"/>
        <v>0.62000000000000022</v>
      </c>
      <c r="DB39" s="170">
        <f t="shared" si="79"/>
        <v>0.62000000000000022</v>
      </c>
      <c r="DC39" s="162">
        <f t="shared" si="17"/>
        <v>3.7787543624324571</v>
      </c>
      <c r="DD39" s="171">
        <f t="shared" si="80"/>
        <v>3.7787543624324571</v>
      </c>
      <c r="DE39" s="162"/>
      <c r="DF39" s="162">
        <f t="shared" si="81"/>
        <v>0.62000000000000022</v>
      </c>
      <c r="DG39" s="170">
        <f t="shared" si="82"/>
        <v>0.62000000000000022</v>
      </c>
      <c r="DH39" s="162">
        <f t="shared" si="18"/>
        <v>3.7787543624324571</v>
      </c>
      <c r="DI39" s="171">
        <f t="shared" si="83"/>
        <v>3.7787543624324571</v>
      </c>
      <c r="DJ39" s="162"/>
      <c r="DK39" s="162">
        <f t="shared" si="84"/>
        <v>0.62000000000000022</v>
      </c>
      <c r="DL39" s="162">
        <f t="shared" si="85"/>
        <v>0.62000000000000022</v>
      </c>
      <c r="DM39" s="162">
        <f t="shared" si="19"/>
        <v>3.7787543624324571</v>
      </c>
      <c r="DN39" s="171">
        <f t="shared" si="86"/>
        <v>3.7787543624324571</v>
      </c>
      <c r="DO39" s="162"/>
      <c r="DP39" s="162">
        <f t="shared" si="87"/>
        <v>0.62000000000000022</v>
      </c>
      <c r="DQ39" s="170">
        <f t="shared" si="88"/>
        <v>0.62000000000000022</v>
      </c>
      <c r="DR39" s="162">
        <f t="shared" si="20"/>
        <v>3.7787543624324571</v>
      </c>
      <c r="DS39" s="171">
        <f t="shared" si="89"/>
        <v>3.7787543624324571</v>
      </c>
      <c r="DT39" s="162"/>
      <c r="DU39" s="162">
        <f t="shared" si="90"/>
        <v>0.62000000000000022</v>
      </c>
      <c r="DV39" s="170">
        <f t="shared" si="91"/>
        <v>0.62000000000000022</v>
      </c>
      <c r="DW39" s="162">
        <f t="shared" si="21"/>
        <v>3.7787543624324571</v>
      </c>
      <c r="DX39" s="171">
        <f t="shared" si="92"/>
        <v>3.7787543624324571</v>
      </c>
      <c r="DY39" s="162"/>
      <c r="DZ39" s="162">
        <f t="shared" si="93"/>
        <v>0.62000000000000022</v>
      </c>
      <c r="EA39" s="162">
        <f t="shared" si="94"/>
        <v>0.62000000000000022</v>
      </c>
      <c r="EB39" s="162">
        <f t="shared" si="22"/>
        <v>3.7787543624324571</v>
      </c>
      <c r="EC39" s="171">
        <f t="shared" si="95"/>
        <v>3.7787543624324571</v>
      </c>
      <c r="ED39" s="162"/>
      <c r="EE39" s="162">
        <f t="shared" si="96"/>
        <v>0.62000000000000022</v>
      </c>
      <c r="EF39" s="170">
        <f t="shared" si="97"/>
        <v>0.62000000000000022</v>
      </c>
      <c r="EG39" s="162">
        <f t="shared" si="23"/>
        <v>3.7787543624324571</v>
      </c>
      <c r="EH39" s="171">
        <f t="shared" si="98"/>
        <v>3.7787543624324571</v>
      </c>
      <c r="EI39" s="162"/>
      <c r="EJ39" s="162">
        <f t="shared" si="99"/>
        <v>0.62000000000000022</v>
      </c>
      <c r="EK39" s="170">
        <f t="shared" si="100"/>
        <v>0.62000000000000022</v>
      </c>
      <c r="EL39" s="162">
        <f t="shared" si="24"/>
        <v>3.7787543624324571</v>
      </c>
      <c r="EM39" s="171">
        <f t="shared" si="101"/>
        <v>3.7787543624324571</v>
      </c>
      <c r="EN39" s="162"/>
      <c r="EO39" s="162">
        <f t="shared" si="102"/>
        <v>0.62000000000000022</v>
      </c>
      <c r="EP39" s="162">
        <f t="shared" si="103"/>
        <v>0.62000000000000022</v>
      </c>
      <c r="EQ39" s="162">
        <f t="shared" si="25"/>
        <v>3.7787543624324571</v>
      </c>
      <c r="ER39" s="171">
        <f t="shared" si="104"/>
        <v>3.7787543624324571</v>
      </c>
      <c r="ES39" s="162"/>
      <c r="ET39" s="162">
        <f t="shared" si="105"/>
        <v>0.62000000000000022</v>
      </c>
      <c r="EU39" s="170">
        <f t="shared" si="106"/>
        <v>0.62000000000000022</v>
      </c>
      <c r="EV39" s="162">
        <f t="shared" si="26"/>
        <v>3.7787543624324571</v>
      </c>
      <c r="EW39" s="171">
        <f t="shared" si="107"/>
        <v>3.7787543624324571</v>
      </c>
      <c r="EX39" s="162"/>
    </row>
    <row r="40" spans="3:154" s="181" customFormat="1" x14ac:dyDescent="0.25">
      <c r="T40" s="162">
        <f t="shared" si="27"/>
        <v>0.64000000000000024</v>
      </c>
      <c r="U40" s="170">
        <f t="shared" si="28"/>
        <v>0.64000000000000024</v>
      </c>
      <c r="V40" s="162">
        <f t="shared" si="0"/>
        <v>3.8508618478976286</v>
      </c>
      <c r="W40" s="171">
        <f t="shared" si="29"/>
        <v>3.8508618478976286</v>
      </c>
      <c r="X40" s="162"/>
      <c r="Y40" s="162">
        <f t="shared" si="30"/>
        <v>0.64000000000000024</v>
      </c>
      <c r="Z40" s="162">
        <f t="shared" si="31"/>
        <v>0.64000000000000024</v>
      </c>
      <c r="AA40" s="162">
        <f t="shared" si="1"/>
        <v>3.8508618478976286</v>
      </c>
      <c r="AB40" s="171">
        <f t="shared" si="32"/>
        <v>3.8508618478976286</v>
      </c>
      <c r="AC40" s="162"/>
      <c r="AD40" s="162">
        <f t="shared" si="33"/>
        <v>0.64000000000000024</v>
      </c>
      <c r="AE40" s="170">
        <f t="shared" si="34"/>
        <v>0.64000000000000024</v>
      </c>
      <c r="AF40" s="162">
        <f t="shared" si="2"/>
        <v>3.8508618478976286</v>
      </c>
      <c r="AG40" s="171">
        <f t="shared" si="35"/>
        <v>3.8508618478976286</v>
      </c>
      <c r="AH40" s="162"/>
      <c r="AI40" s="162">
        <f t="shared" si="36"/>
        <v>0.64000000000000024</v>
      </c>
      <c r="AJ40" s="170">
        <f t="shared" si="37"/>
        <v>0.64000000000000024</v>
      </c>
      <c r="AK40" s="162">
        <f t="shared" si="3"/>
        <v>3.8508618478976286</v>
      </c>
      <c r="AL40" s="171">
        <f t="shared" si="38"/>
        <v>3.8508618478976286</v>
      </c>
      <c r="AM40" s="162"/>
      <c r="AN40" s="162">
        <f t="shared" si="39"/>
        <v>0.64000000000000024</v>
      </c>
      <c r="AO40" s="162">
        <f t="shared" si="40"/>
        <v>0.64000000000000024</v>
      </c>
      <c r="AP40" s="162">
        <f t="shared" si="4"/>
        <v>3.8508618478976286</v>
      </c>
      <c r="AQ40" s="171">
        <f t="shared" si="41"/>
        <v>3.8508618478976286</v>
      </c>
      <c r="AR40" s="162"/>
      <c r="AS40" s="162">
        <f t="shared" si="42"/>
        <v>0.64000000000000024</v>
      </c>
      <c r="AT40" s="170">
        <f t="shared" si="43"/>
        <v>0.64000000000000024</v>
      </c>
      <c r="AU40" s="162">
        <f t="shared" si="5"/>
        <v>3.8508618478976286</v>
      </c>
      <c r="AV40" s="171">
        <f t="shared" si="44"/>
        <v>3.8508618478976286</v>
      </c>
      <c r="AW40" s="162"/>
      <c r="AX40" s="162">
        <f t="shared" si="45"/>
        <v>0.64000000000000024</v>
      </c>
      <c r="AY40" s="170">
        <f t="shared" si="46"/>
        <v>0.64000000000000024</v>
      </c>
      <c r="AZ40" s="162">
        <f t="shared" si="6"/>
        <v>3.8508618478976286</v>
      </c>
      <c r="BA40" s="171">
        <f t="shared" si="47"/>
        <v>3.8508618478976286</v>
      </c>
      <c r="BB40" s="162"/>
      <c r="BC40" s="162">
        <f t="shared" si="48"/>
        <v>0.64000000000000024</v>
      </c>
      <c r="BD40" s="162">
        <f t="shared" si="49"/>
        <v>0.64000000000000024</v>
      </c>
      <c r="BE40" s="162">
        <f t="shared" si="7"/>
        <v>3.8508618478976286</v>
      </c>
      <c r="BF40" s="171">
        <f t="shared" si="50"/>
        <v>3.8508618478976286</v>
      </c>
      <c r="BG40" s="162"/>
      <c r="BH40" s="162">
        <f t="shared" si="51"/>
        <v>0.64000000000000024</v>
      </c>
      <c r="BI40" s="170">
        <f t="shared" si="52"/>
        <v>0.64000000000000024</v>
      </c>
      <c r="BJ40" s="162">
        <f t="shared" si="8"/>
        <v>3.8508618478976286</v>
      </c>
      <c r="BK40" s="171">
        <f t="shared" si="53"/>
        <v>3.8508618478976286</v>
      </c>
      <c r="BL40" s="162"/>
      <c r="BM40" s="162">
        <f t="shared" si="54"/>
        <v>0.64000000000000024</v>
      </c>
      <c r="BN40" s="170">
        <f t="shared" si="55"/>
        <v>0.64000000000000024</v>
      </c>
      <c r="BO40" s="162">
        <f t="shared" si="9"/>
        <v>3.8508618478976286</v>
      </c>
      <c r="BP40" s="171">
        <f t="shared" si="56"/>
        <v>3.8508618478976286</v>
      </c>
      <c r="BQ40" s="162"/>
      <c r="BR40" s="162">
        <f t="shared" si="57"/>
        <v>0.64000000000000024</v>
      </c>
      <c r="BS40" s="162">
        <f t="shared" si="58"/>
        <v>0.64000000000000024</v>
      </c>
      <c r="BT40" s="162">
        <f t="shared" si="10"/>
        <v>3.8508618478976286</v>
      </c>
      <c r="BU40" s="171">
        <f t="shared" si="59"/>
        <v>3.8508618478976286</v>
      </c>
      <c r="BV40" s="162"/>
      <c r="BW40" s="162">
        <f t="shared" si="60"/>
        <v>0.64000000000000024</v>
      </c>
      <c r="BX40" s="170">
        <f t="shared" si="61"/>
        <v>0.64000000000000024</v>
      </c>
      <c r="BY40" s="162">
        <f t="shared" si="11"/>
        <v>3.8508618478976286</v>
      </c>
      <c r="BZ40" s="171">
        <f t="shared" si="62"/>
        <v>3.8508618478976286</v>
      </c>
      <c r="CA40" s="162"/>
      <c r="CB40" s="162">
        <f t="shared" si="63"/>
        <v>0.64000000000000024</v>
      </c>
      <c r="CC40" s="170">
        <f t="shared" si="64"/>
        <v>0.64000000000000024</v>
      </c>
      <c r="CD40" s="162">
        <f t="shared" si="12"/>
        <v>3.8508618478976286</v>
      </c>
      <c r="CE40" s="171">
        <f t="shared" si="65"/>
        <v>3.8508618478976286</v>
      </c>
      <c r="CF40" s="162"/>
      <c r="CG40" s="172">
        <f t="shared" si="66"/>
        <v>0.64000000000000024</v>
      </c>
      <c r="CH40" s="172">
        <f t="shared" si="67"/>
        <v>0.64000000000000024</v>
      </c>
      <c r="CI40" s="172">
        <f t="shared" si="13"/>
        <v>3.8508618478976286</v>
      </c>
      <c r="CJ40" s="171">
        <f t="shared" si="68"/>
        <v>3.8508618478976286</v>
      </c>
      <c r="CK40" s="172"/>
      <c r="CL40" s="162">
        <f t="shared" si="69"/>
        <v>0.64000000000000024</v>
      </c>
      <c r="CM40" s="170">
        <f t="shared" si="70"/>
        <v>0.64000000000000024</v>
      </c>
      <c r="CN40" s="162">
        <f t="shared" si="14"/>
        <v>3.8508618478976286</v>
      </c>
      <c r="CO40" s="171">
        <f t="shared" si="71"/>
        <v>3.8508618478976286</v>
      </c>
      <c r="CP40" s="162"/>
      <c r="CQ40" s="162">
        <f t="shared" si="72"/>
        <v>0.64000000000000024</v>
      </c>
      <c r="CR40" s="170">
        <f t="shared" si="73"/>
        <v>0.64000000000000024</v>
      </c>
      <c r="CS40" s="162">
        <f t="shared" si="15"/>
        <v>3.8508618478976286</v>
      </c>
      <c r="CT40" s="171">
        <f t="shared" si="74"/>
        <v>3.8508618478976286</v>
      </c>
      <c r="CU40" s="162"/>
      <c r="CV40" s="162">
        <f t="shared" si="75"/>
        <v>0.64000000000000024</v>
      </c>
      <c r="CW40" s="162">
        <f t="shared" si="76"/>
        <v>0.64000000000000024</v>
      </c>
      <c r="CX40" s="162">
        <f t="shared" si="16"/>
        <v>3.8508618478976286</v>
      </c>
      <c r="CY40" s="171">
        <f t="shared" si="77"/>
        <v>3.8508618478976286</v>
      </c>
      <c r="CZ40" s="162"/>
      <c r="DA40" s="162">
        <f t="shared" si="78"/>
        <v>0.64000000000000024</v>
      </c>
      <c r="DB40" s="170">
        <f t="shared" si="79"/>
        <v>0.64000000000000024</v>
      </c>
      <c r="DC40" s="162">
        <f t="shared" si="17"/>
        <v>3.8508618478976286</v>
      </c>
      <c r="DD40" s="171">
        <f t="shared" si="80"/>
        <v>3.8508618478976286</v>
      </c>
      <c r="DE40" s="162"/>
      <c r="DF40" s="162">
        <f t="shared" si="81"/>
        <v>0.64000000000000024</v>
      </c>
      <c r="DG40" s="170">
        <f t="shared" si="82"/>
        <v>0.64000000000000024</v>
      </c>
      <c r="DH40" s="162">
        <f t="shared" si="18"/>
        <v>3.8508618478976286</v>
      </c>
      <c r="DI40" s="171">
        <f t="shared" si="83"/>
        <v>3.8508618478976286</v>
      </c>
      <c r="DJ40" s="162"/>
      <c r="DK40" s="162">
        <f t="shared" si="84"/>
        <v>0.64000000000000024</v>
      </c>
      <c r="DL40" s="162">
        <f t="shared" si="85"/>
        <v>0.64000000000000024</v>
      </c>
      <c r="DM40" s="162">
        <f t="shared" si="19"/>
        <v>3.8508618478976286</v>
      </c>
      <c r="DN40" s="171">
        <f t="shared" si="86"/>
        <v>3.8508618478976286</v>
      </c>
      <c r="DO40" s="162"/>
      <c r="DP40" s="162">
        <f t="shared" si="87"/>
        <v>0.64000000000000024</v>
      </c>
      <c r="DQ40" s="170">
        <f t="shared" si="88"/>
        <v>0.64000000000000024</v>
      </c>
      <c r="DR40" s="162">
        <f t="shared" si="20"/>
        <v>3.8508618478976286</v>
      </c>
      <c r="DS40" s="171">
        <f t="shared" si="89"/>
        <v>3.8508618478976286</v>
      </c>
      <c r="DT40" s="162"/>
      <c r="DU40" s="162">
        <f t="shared" si="90"/>
        <v>0.64000000000000024</v>
      </c>
      <c r="DV40" s="170">
        <f t="shared" si="91"/>
        <v>0.64000000000000024</v>
      </c>
      <c r="DW40" s="162">
        <f t="shared" si="21"/>
        <v>3.8508618478976286</v>
      </c>
      <c r="DX40" s="171">
        <f t="shared" si="92"/>
        <v>3.8508618478976286</v>
      </c>
      <c r="DY40" s="162"/>
      <c r="DZ40" s="162">
        <f t="shared" si="93"/>
        <v>0.64000000000000024</v>
      </c>
      <c r="EA40" s="162">
        <f t="shared" si="94"/>
        <v>0.64000000000000024</v>
      </c>
      <c r="EB40" s="162">
        <f t="shared" si="22"/>
        <v>3.8508618478976286</v>
      </c>
      <c r="EC40" s="171">
        <f t="shared" si="95"/>
        <v>3.8508618478976286</v>
      </c>
      <c r="ED40" s="162"/>
      <c r="EE40" s="162">
        <f t="shared" si="96"/>
        <v>0.64000000000000024</v>
      </c>
      <c r="EF40" s="170">
        <f t="shared" si="97"/>
        <v>0.64000000000000024</v>
      </c>
      <c r="EG40" s="162">
        <f t="shared" si="23"/>
        <v>3.8508618478976286</v>
      </c>
      <c r="EH40" s="171">
        <f t="shared" si="98"/>
        <v>3.8508618478976286</v>
      </c>
      <c r="EI40" s="162"/>
      <c r="EJ40" s="162">
        <f t="shared" si="99"/>
        <v>0.64000000000000024</v>
      </c>
      <c r="EK40" s="170">
        <f t="shared" si="100"/>
        <v>0.64000000000000024</v>
      </c>
      <c r="EL40" s="162">
        <f t="shared" si="24"/>
        <v>3.8508618478976286</v>
      </c>
      <c r="EM40" s="171">
        <f t="shared" si="101"/>
        <v>3.8508618478976286</v>
      </c>
      <c r="EN40" s="162"/>
      <c r="EO40" s="162">
        <f t="shared" si="102"/>
        <v>0.64000000000000024</v>
      </c>
      <c r="EP40" s="162">
        <f t="shared" si="103"/>
        <v>0.64000000000000024</v>
      </c>
      <c r="EQ40" s="162">
        <f t="shared" si="25"/>
        <v>3.8508618478976286</v>
      </c>
      <c r="ER40" s="171">
        <f t="shared" si="104"/>
        <v>3.8508618478976286</v>
      </c>
      <c r="ES40" s="162"/>
      <c r="ET40" s="162">
        <f t="shared" si="105"/>
        <v>0.64000000000000024</v>
      </c>
      <c r="EU40" s="170">
        <f t="shared" si="106"/>
        <v>0.64000000000000024</v>
      </c>
      <c r="EV40" s="162">
        <f t="shared" si="26"/>
        <v>3.8508618478976286</v>
      </c>
      <c r="EW40" s="171">
        <f t="shared" si="107"/>
        <v>3.8508618478976286</v>
      </c>
      <c r="EX40" s="162"/>
    </row>
    <row r="41" spans="3:154" s="181" customFormat="1" x14ac:dyDescent="0.25">
      <c r="T41" s="162">
        <f t="shared" si="27"/>
        <v>0.66000000000000025</v>
      </c>
      <c r="U41" s="170">
        <f t="shared" si="28"/>
        <v>0.66000000000000025</v>
      </c>
      <c r="V41" s="162">
        <f t="shared" si="0"/>
        <v>3.9202608206349523</v>
      </c>
      <c r="W41" s="171">
        <f t="shared" si="29"/>
        <v>3.9202608206349523</v>
      </c>
      <c r="X41" s="162"/>
      <c r="Y41" s="162">
        <f t="shared" si="30"/>
        <v>0.66000000000000025</v>
      </c>
      <c r="Z41" s="162">
        <f t="shared" si="31"/>
        <v>0.66000000000000025</v>
      </c>
      <c r="AA41" s="162">
        <f t="shared" si="1"/>
        <v>3.9202608206349523</v>
      </c>
      <c r="AB41" s="171">
        <f t="shared" si="32"/>
        <v>3.9202608206349523</v>
      </c>
      <c r="AC41" s="162"/>
      <c r="AD41" s="162">
        <f t="shared" si="33"/>
        <v>0.66000000000000025</v>
      </c>
      <c r="AE41" s="170">
        <f t="shared" si="34"/>
        <v>0.66000000000000025</v>
      </c>
      <c r="AF41" s="162">
        <f t="shared" si="2"/>
        <v>3.9202608206349523</v>
      </c>
      <c r="AG41" s="171">
        <f t="shared" si="35"/>
        <v>3.9202608206349523</v>
      </c>
      <c r="AH41" s="162"/>
      <c r="AI41" s="162">
        <f t="shared" si="36"/>
        <v>0.66000000000000025</v>
      </c>
      <c r="AJ41" s="170">
        <f t="shared" si="37"/>
        <v>0.66000000000000025</v>
      </c>
      <c r="AK41" s="162">
        <f t="shared" si="3"/>
        <v>3.9202608206349523</v>
      </c>
      <c r="AL41" s="171">
        <f t="shared" si="38"/>
        <v>3.9202608206349523</v>
      </c>
      <c r="AM41" s="162"/>
      <c r="AN41" s="162">
        <f t="shared" si="39"/>
        <v>0.66000000000000025</v>
      </c>
      <c r="AO41" s="162">
        <f t="shared" si="40"/>
        <v>0.66000000000000025</v>
      </c>
      <c r="AP41" s="162">
        <f t="shared" si="4"/>
        <v>3.9202608206349523</v>
      </c>
      <c r="AQ41" s="171">
        <f t="shared" si="41"/>
        <v>3.9202608206349523</v>
      </c>
      <c r="AR41" s="162"/>
      <c r="AS41" s="162">
        <f t="shared" si="42"/>
        <v>0.66000000000000025</v>
      </c>
      <c r="AT41" s="170">
        <f t="shared" si="43"/>
        <v>0.66000000000000025</v>
      </c>
      <c r="AU41" s="162">
        <f t="shared" si="5"/>
        <v>3.9202608206349523</v>
      </c>
      <c r="AV41" s="171">
        <f t="shared" si="44"/>
        <v>3.9202608206349523</v>
      </c>
      <c r="AW41" s="162"/>
      <c r="AX41" s="162">
        <f t="shared" si="45"/>
        <v>0.66000000000000025</v>
      </c>
      <c r="AY41" s="170">
        <f t="shared" si="46"/>
        <v>0.66000000000000025</v>
      </c>
      <c r="AZ41" s="162">
        <f t="shared" si="6"/>
        <v>3.9202608206349523</v>
      </c>
      <c r="BA41" s="171">
        <f t="shared" si="47"/>
        <v>3.9202608206349523</v>
      </c>
      <c r="BB41" s="162"/>
      <c r="BC41" s="162">
        <f t="shared" si="48"/>
        <v>0.66000000000000025</v>
      </c>
      <c r="BD41" s="162">
        <f t="shared" si="49"/>
        <v>0.66000000000000025</v>
      </c>
      <c r="BE41" s="162">
        <f t="shared" si="7"/>
        <v>3.9202608206349523</v>
      </c>
      <c r="BF41" s="171">
        <f t="shared" si="50"/>
        <v>3.9202608206349523</v>
      </c>
      <c r="BG41" s="162"/>
      <c r="BH41" s="162">
        <f t="shared" si="51"/>
        <v>0.66000000000000025</v>
      </c>
      <c r="BI41" s="170">
        <f t="shared" si="52"/>
        <v>0.66000000000000025</v>
      </c>
      <c r="BJ41" s="162">
        <f t="shared" si="8"/>
        <v>3.9202608206349523</v>
      </c>
      <c r="BK41" s="171">
        <f t="shared" si="53"/>
        <v>3.9202608206349523</v>
      </c>
      <c r="BL41" s="162"/>
      <c r="BM41" s="162">
        <f t="shared" si="54"/>
        <v>0.66000000000000025</v>
      </c>
      <c r="BN41" s="170">
        <f t="shared" si="55"/>
        <v>0.66000000000000025</v>
      </c>
      <c r="BO41" s="162">
        <f t="shared" si="9"/>
        <v>3.9202608206349523</v>
      </c>
      <c r="BP41" s="171">
        <f t="shared" si="56"/>
        <v>3.9202608206349523</v>
      </c>
      <c r="BQ41" s="162"/>
      <c r="BR41" s="162">
        <f t="shared" si="57"/>
        <v>0.66000000000000025</v>
      </c>
      <c r="BS41" s="162">
        <f t="shared" si="58"/>
        <v>0.66000000000000025</v>
      </c>
      <c r="BT41" s="162">
        <f t="shared" si="10"/>
        <v>3.9202608206349523</v>
      </c>
      <c r="BU41" s="171">
        <f t="shared" si="59"/>
        <v>3.9202608206349523</v>
      </c>
      <c r="BV41" s="162"/>
      <c r="BW41" s="162">
        <f t="shared" si="60"/>
        <v>0.66000000000000025</v>
      </c>
      <c r="BX41" s="170">
        <f t="shared" si="61"/>
        <v>0.66000000000000025</v>
      </c>
      <c r="BY41" s="162">
        <f t="shared" si="11"/>
        <v>3.9202608206349523</v>
      </c>
      <c r="BZ41" s="171">
        <f t="shared" si="62"/>
        <v>3.9202608206349523</v>
      </c>
      <c r="CA41" s="162"/>
      <c r="CB41" s="162">
        <f t="shared" si="63"/>
        <v>0.66000000000000025</v>
      </c>
      <c r="CC41" s="170">
        <f t="shared" si="64"/>
        <v>0.66000000000000025</v>
      </c>
      <c r="CD41" s="162">
        <f t="shared" si="12"/>
        <v>3.9202608206349523</v>
      </c>
      <c r="CE41" s="171">
        <f t="shared" si="65"/>
        <v>3.9202608206349523</v>
      </c>
      <c r="CF41" s="162"/>
      <c r="CG41" s="172">
        <f t="shared" si="66"/>
        <v>0.66000000000000025</v>
      </c>
      <c r="CH41" s="172">
        <f t="shared" si="67"/>
        <v>0.66000000000000025</v>
      </c>
      <c r="CI41" s="172">
        <f t="shared" si="13"/>
        <v>3.9202608206349523</v>
      </c>
      <c r="CJ41" s="171">
        <f t="shared" si="68"/>
        <v>3.9202608206349523</v>
      </c>
      <c r="CK41" s="172"/>
      <c r="CL41" s="162">
        <f t="shared" si="69"/>
        <v>0.66000000000000025</v>
      </c>
      <c r="CM41" s="170">
        <f t="shared" si="70"/>
        <v>0.66000000000000025</v>
      </c>
      <c r="CN41" s="162">
        <f t="shared" si="14"/>
        <v>3.9202608206349523</v>
      </c>
      <c r="CO41" s="171">
        <f t="shared" si="71"/>
        <v>3.9202608206349523</v>
      </c>
      <c r="CP41" s="162"/>
      <c r="CQ41" s="162">
        <f t="shared" si="72"/>
        <v>0.66000000000000025</v>
      </c>
      <c r="CR41" s="170">
        <f t="shared" si="73"/>
        <v>0.66000000000000025</v>
      </c>
      <c r="CS41" s="162">
        <f t="shared" si="15"/>
        <v>3.9202608206349523</v>
      </c>
      <c r="CT41" s="171">
        <f t="shared" si="74"/>
        <v>3.9202608206349523</v>
      </c>
      <c r="CU41" s="162"/>
      <c r="CV41" s="162">
        <f t="shared" si="75"/>
        <v>0.66000000000000025</v>
      </c>
      <c r="CW41" s="162">
        <f t="shared" si="76"/>
        <v>0.66000000000000025</v>
      </c>
      <c r="CX41" s="162">
        <f t="shared" si="16"/>
        <v>3.9202608206349523</v>
      </c>
      <c r="CY41" s="171">
        <f t="shared" si="77"/>
        <v>3.9202608206349523</v>
      </c>
      <c r="CZ41" s="162"/>
      <c r="DA41" s="162">
        <f t="shared" si="78"/>
        <v>0.66000000000000025</v>
      </c>
      <c r="DB41" s="170">
        <f t="shared" si="79"/>
        <v>0.66000000000000025</v>
      </c>
      <c r="DC41" s="162">
        <f t="shared" si="17"/>
        <v>3.9202608206349523</v>
      </c>
      <c r="DD41" s="171">
        <f t="shared" si="80"/>
        <v>3.9202608206349523</v>
      </c>
      <c r="DE41" s="162"/>
      <c r="DF41" s="162">
        <f t="shared" si="81"/>
        <v>0.66000000000000025</v>
      </c>
      <c r="DG41" s="170">
        <f t="shared" si="82"/>
        <v>0.66000000000000025</v>
      </c>
      <c r="DH41" s="162">
        <f t="shared" si="18"/>
        <v>3.9202608206349523</v>
      </c>
      <c r="DI41" s="171">
        <f t="shared" si="83"/>
        <v>3.9202608206349523</v>
      </c>
      <c r="DJ41" s="162"/>
      <c r="DK41" s="162">
        <f t="shared" si="84"/>
        <v>0.66000000000000025</v>
      </c>
      <c r="DL41" s="162">
        <f t="shared" si="85"/>
        <v>0.66000000000000025</v>
      </c>
      <c r="DM41" s="162">
        <f t="shared" si="19"/>
        <v>3.9202608206349523</v>
      </c>
      <c r="DN41" s="171">
        <f t="shared" si="86"/>
        <v>3.9202608206349523</v>
      </c>
      <c r="DO41" s="162"/>
      <c r="DP41" s="162">
        <f t="shared" si="87"/>
        <v>0.66000000000000025</v>
      </c>
      <c r="DQ41" s="170">
        <f t="shared" si="88"/>
        <v>0.66000000000000025</v>
      </c>
      <c r="DR41" s="162">
        <f t="shared" si="20"/>
        <v>3.9202608206349523</v>
      </c>
      <c r="DS41" s="171">
        <f t="shared" si="89"/>
        <v>3.9202608206349523</v>
      </c>
      <c r="DT41" s="162"/>
      <c r="DU41" s="162">
        <f t="shared" si="90"/>
        <v>0.66000000000000025</v>
      </c>
      <c r="DV41" s="170">
        <f t="shared" si="91"/>
        <v>0.66000000000000025</v>
      </c>
      <c r="DW41" s="162">
        <f t="shared" si="21"/>
        <v>3.9202608206349523</v>
      </c>
      <c r="DX41" s="171">
        <f t="shared" si="92"/>
        <v>3.9202608206349523</v>
      </c>
      <c r="DY41" s="162"/>
      <c r="DZ41" s="162">
        <f t="shared" si="93"/>
        <v>0.66000000000000025</v>
      </c>
      <c r="EA41" s="162">
        <f t="shared" si="94"/>
        <v>0.66000000000000025</v>
      </c>
      <c r="EB41" s="162">
        <f t="shared" si="22"/>
        <v>3.9202608206349523</v>
      </c>
      <c r="EC41" s="171">
        <f t="shared" si="95"/>
        <v>3.9202608206349523</v>
      </c>
      <c r="ED41" s="162"/>
      <c r="EE41" s="162">
        <f t="shared" si="96"/>
        <v>0.66000000000000025</v>
      </c>
      <c r="EF41" s="170">
        <f t="shared" si="97"/>
        <v>0.66000000000000025</v>
      </c>
      <c r="EG41" s="162">
        <f t="shared" si="23"/>
        <v>3.9202608206349523</v>
      </c>
      <c r="EH41" s="171">
        <f t="shared" si="98"/>
        <v>3.9202608206349523</v>
      </c>
      <c r="EI41" s="162"/>
      <c r="EJ41" s="162">
        <f t="shared" si="99"/>
        <v>0.66000000000000025</v>
      </c>
      <c r="EK41" s="170">
        <f t="shared" si="100"/>
        <v>0.66000000000000025</v>
      </c>
      <c r="EL41" s="162">
        <f t="shared" si="24"/>
        <v>3.9202608206349523</v>
      </c>
      <c r="EM41" s="171">
        <f t="shared" si="101"/>
        <v>3.9202608206349523</v>
      </c>
      <c r="EN41" s="162"/>
      <c r="EO41" s="162">
        <f t="shared" si="102"/>
        <v>0.66000000000000025</v>
      </c>
      <c r="EP41" s="162">
        <f t="shared" si="103"/>
        <v>0.66000000000000025</v>
      </c>
      <c r="EQ41" s="162">
        <f t="shared" si="25"/>
        <v>3.9202608206349523</v>
      </c>
      <c r="ER41" s="171">
        <f t="shared" si="104"/>
        <v>3.9202608206349523</v>
      </c>
      <c r="ES41" s="162"/>
      <c r="ET41" s="162">
        <f t="shared" si="105"/>
        <v>0.66000000000000025</v>
      </c>
      <c r="EU41" s="170">
        <f t="shared" si="106"/>
        <v>0.66000000000000025</v>
      </c>
      <c r="EV41" s="162">
        <f t="shared" si="26"/>
        <v>3.9202608206349523</v>
      </c>
      <c r="EW41" s="171">
        <f t="shared" si="107"/>
        <v>3.9202608206349523</v>
      </c>
      <c r="EX41" s="162"/>
    </row>
    <row r="42" spans="3:154" s="181" customFormat="1" x14ac:dyDescent="0.25">
      <c r="T42" s="162">
        <f t="shared" si="27"/>
        <v>0.68000000000000027</v>
      </c>
      <c r="U42" s="170">
        <f t="shared" si="28"/>
        <v>0.68000000000000027</v>
      </c>
      <c r="V42" s="162">
        <f t="shared" si="0"/>
        <v>3.9869512806444294</v>
      </c>
      <c r="W42" s="171">
        <f t="shared" si="29"/>
        <v>3.9869512806444294</v>
      </c>
      <c r="X42" s="162"/>
      <c r="Y42" s="162">
        <f t="shared" si="30"/>
        <v>0.68000000000000027</v>
      </c>
      <c r="Z42" s="162">
        <f t="shared" si="31"/>
        <v>0.68000000000000027</v>
      </c>
      <c r="AA42" s="162">
        <f t="shared" si="1"/>
        <v>3.9869512806444294</v>
      </c>
      <c r="AB42" s="171">
        <f t="shared" si="32"/>
        <v>3.9869512806444294</v>
      </c>
      <c r="AC42" s="162"/>
      <c r="AD42" s="162">
        <f t="shared" si="33"/>
        <v>0.68000000000000027</v>
      </c>
      <c r="AE42" s="170">
        <f t="shared" si="34"/>
        <v>0.68000000000000027</v>
      </c>
      <c r="AF42" s="162">
        <f t="shared" si="2"/>
        <v>3.9869512806444294</v>
      </c>
      <c r="AG42" s="171">
        <f t="shared" si="35"/>
        <v>3.9869512806444294</v>
      </c>
      <c r="AH42" s="162"/>
      <c r="AI42" s="162">
        <f t="shared" si="36"/>
        <v>0.68000000000000027</v>
      </c>
      <c r="AJ42" s="170">
        <f t="shared" si="37"/>
        <v>0.68000000000000027</v>
      </c>
      <c r="AK42" s="162">
        <f t="shared" si="3"/>
        <v>3.9869512806444294</v>
      </c>
      <c r="AL42" s="171">
        <f t="shared" si="38"/>
        <v>3.9869512806444294</v>
      </c>
      <c r="AM42" s="162"/>
      <c r="AN42" s="162">
        <f t="shared" si="39"/>
        <v>0.68000000000000027</v>
      </c>
      <c r="AO42" s="162">
        <f t="shared" si="40"/>
        <v>0.68000000000000027</v>
      </c>
      <c r="AP42" s="162">
        <f t="shared" si="4"/>
        <v>3.9869512806444294</v>
      </c>
      <c r="AQ42" s="171">
        <f t="shared" si="41"/>
        <v>3.9869512806444294</v>
      </c>
      <c r="AR42" s="162"/>
      <c r="AS42" s="162">
        <f t="shared" si="42"/>
        <v>0.68000000000000027</v>
      </c>
      <c r="AT42" s="170">
        <f t="shared" si="43"/>
        <v>0.68000000000000027</v>
      </c>
      <c r="AU42" s="162">
        <f t="shared" si="5"/>
        <v>3.9869512806444294</v>
      </c>
      <c r="AV42" s="171">
        <f t="shared" si="44"/>
        <v>3.9869512806444294</v>
      </c>
      <c r="AW42" s="162"/>
      <c r="AX42" s="162">
        <f t="shared" si="45"/>
        <v>0.68000000000000027</v>
      </c>
      <c r="AY42" s="170">
        <f t="shared" si="46"/>
        <v>0.68000000000000027</v>
      </c>
      <c r="AZ42" s="162">
        <f t="shared" si="6"/>
        <v>3.9869512806444294</v>
      </c>
      <c r="BA42" s="171">
        <f t="shared" si="47"/>
        <v>3.9869512806444294</v>
      </c>
      <c r="BB42" s="162"/>
      <c r="BC42" s="162">
        <f t="shared" si="48"/>
        <v>0.68000000000000027</v>
      </c>
      <c r="BD42" s="162">
        <f t="shared" si="49"/>
        <v>0.68000000000000027</v>
      </c>
      <c r="BE42" s="162">
        <f t="shared" si="7"/>
        <v>3.9869512806444294</v>
      </c>
      <c r="BF42" s="171">
        <f t="shared" si="50"/>
        <v>3.9869512806444294</v>
      </c>
      <c r="BG42" s="162"/>
      <c r="BH42" s="162">
        <f t="shared" si="51"/>
        <v>0.68000000000000027</v>
      </c>
      <c r="BI42" s="170">
        <f t="shared" si="52"/>
        <v>0.68000000000000027</v>
      </c>
      <c r="BJ42" s="162">
        <f t="shared" si="8"/>
        <v>3.9869512806444294</v>
      </c>
      <c r="BK42" s="171">
        <f t="shared" si="53"/>
        <v>3.9869512806444294</v>
      </c>
      <c r="BL42" s="162"/>
      <c r="BM42" s="162">
        <f t="shared" si="54"/>
        <v>0.68000000000000027</v>
      </c>
      <c r="BN42" s="170">
        <f t="shared" si="55"/>
        <v>0.68000000000000027</v>
      </c>
      <c r="BO42" s="162">
        <f t="shared" si="9"/>
        <v>3.9869512806444294</v>
      </c>
      <c r="BP42" s="171">
        <f t="shared" si="56"/>
        <v>3.9869512806444294</v>
      </c>
      <c r="BQ42" s="162"/>
      <c r="BR42" s="162">
        <f t="shared" si="57"/>
        <v>0.68000000000000027</v>
      </c>
      <c r="BS42" s="162">
        <f t="shared" si="58"/>
        <v>0.68000000000000027</v>
      </c>
      <c r="BT42" s="162">
        <f t="shared" si="10"/>
        <v>3.9869512806444294</v>
      </c>
      <c r="BU42" s="171">
        <f t="shared" si="59"/>
        <v>3.9869512806444294</v>
      </c>
      <c r="BV42" s="162"/>
      <c r="BW42" s="162">
        <f t="shared" si="60"/>
        <v>0.68000000000000027</v>
      </c>
      <c r="BX42" s="170">
        <f t="shared" si="61"/>
        <v>0.68000000000000027</v>
      </c>
      <c r="BY42" s="162">
        <f t="shared" si="11"/>
        <v>3.9869512806444294</v>
      </c>
      <c r="BZ42" s="171">
        <f t="shared" si="62"/>
        <v>3.9869512806444294</v>
      </c>
      <c r="CA42" s="162"/>
      <c r="CB42" s="162">
        <f t="shared" si="63"/>
        <v>0.68000000000000027</v>
      </c>
      <c r="CC42" s="170">
        <f t="shared" si="64"/>
        <v>0.68000000000000027</v>
      </c>
      <c r="CD42" s="162">
        <f t="shared" si="12"/>
        <v>3.9869512806444294</v>
      </c>
      <c r="CE42" s="171">
        <f t="shared" si="65"/>
        <v>3.9869512806444294</v>
      </c>
      <c r="CF42" s="162"/>
      <c r="CG42" s="172">
        <f t="shared" si="66"/>
        <v>0.68000000000000027</v>
      </c>
      <c r="CH42" s="172">
        <f t="shared" si="67"/>
        <v>0.68000000000000027</v>
      </c>
      <c r="CI42" s="172">
        <f t="shared" si="13"/>
        <v>3.9869512806444294</v>
      </c>
      <c r="CJ42" s="171">
        <f t="shared" si="68"/>
        <v>3.9869512806444294</v>
      </c>
      <c r="CK42" s="172"/>
      <c r="CL42" s="162">
        <f t="shared" si="69"/>
        <v>0.68000000000000027</v>
      </c>
      <c r="CM42" s="170">
        <f t="shared" si="70"/>
        <v>0.68000000000000027</v>
      </c>
      <c r="CN42" s="162">
        <f t="shared" si="14"/>
        <v>3.9869512806444294</v>
      </c>
      <c r="CO42" s="171">
        <f t="shared" si="71"/>
        <v>3.9869512806444294</v>
      </c>
      <c r="CP42" s="162"/>
      <c r="CQ42" s="162">
        <f t="shared" si="72"/>
        <v>0.68000000000000027</v>
      </c>
      <c r="CR42" s="170">
        <f t="shared" si="73"/>
        <v>0.68000000000000027</v>
      </c>
      <c r="CS42" s="162">
        <f t="shared" si="15"/>
        <v>3.9869512806444294</v>
      </c>
      <c r="CT42" s="171">
        <f t="shared" si="74"/>
        <v>3.9869512806444294</v>
      </c>
      <c r="CU42" s="162"/>
      <c r="CV42" s="162">
        <f t="shared" si="75"/>
        <v>0.68000000000000027</v>
      </c>
      <c r="CW42" s="162">
        <f t="shared" si="76"/>
        <v>0.68000000000000027</v>
      </c>
      <c r="CX42" s="162">
        <f t="shared" si="16"/>
        <v>3.9869512806444294</v>
      </c>
      <c r="CY42" s="171">
        <f t="shared" si="77"/>
        <v>3.9869512806444294</v>
      </c>
      <c r="CZ42" s="162"/>
      <c r="DA42" s="162">
        <f t="shared" si="78"/>
        <v>0.68000000000000027</v>
      </c>
      <c r="DB42" s="170">
        <f t="shared" si="79"/>
        <v>0.68000000000000027</v>
      </c>
      <c r="DC42" s="162">
        <f t="shared" si="17"/>
        <v>3.9869512806444294</v>
      </c>
      <c r="DD42" s="171">
        <f t="shared" si="80"/>
        <v>3.9869512806444294</v>
      </c>
      <c r="DE42" s="162"/>
      <c r="DF42" s="162">
        <f t="shared" si="81"/>
        <v>0.68000000000000027</v>
      </c>
      <c r="DG42" s="170">
        <f t="shared" si="82"/>
        <v>0.68000000000000027</v>
      </c>
      <c r="DH42" s="162">
        <f t="shared" si="18"/>
        <v>3.9869512806444294</v>
      </c>
      <c r="DI42" s="171">
        <f t="shared" si="83"/>
        <v>3.9869512806444294</v>
      </c>
      <c r="DJ42" s="162"/>
      <c r="DK42" s="162">
        <f t="shared" si="84"/>
        <v>0.68000000000000027</v>
      </c>
      <c r="DL42" s="162">
        <f t="shared" si="85"/>
        <v>0.68000000000000027</v>
      </c>
      <c r="DM42" s="162">
        <f t="shared" si="19"/>
        <v>3.9869512806444294</v>
      </c>
      <c r="DN42" s="171">
        <f t="shared" si="86"/>
        <v>3.9869512806444294</v>
      </c>
      <c r="DO42" s="162"/>
      <c r="DP42" s="162">
        <f t="shared" si="87"/>
        <v>0.68000000000000027</v>
      </c>
      <c r="DQ42" s="170">
        <f t="shared" si="88"/>
        <v>0.68000000000000027</v>
      </c>
      <c r="DR42" s="162">
        <f t="shared" si="20"/>
        <v>3.9869512806444294</v>
      </c>
      <c r="DS42" s="171">
        <f t="shared" si="89"/>
        <v>3.9869512806444294</v>
      </c>
      <c r="DT42" s="162"/>
      <c r="DU42" s="162">
        <f t="shared" si="90"/>
        <v>0.68000000000000027</v>
      </c>
      <c r="DV42" s="170">
        <f t="shared" si="91"/>
        <v>0.68000000000000027</v>
      </c>
      <c r="DW42" s="162">
        <f t="shared" si="21"/>
        <v>3.9869512806444294</v>
      </c>
      <c r="DX42" s="171">
        <f t="shared" si="92"/>
        <v>3.9869512806444294</v>
      </c>
      <c r="DY42" s="162"/>
      <c r="DZ42" s="162">
        <f t="shared" si="93"/>
        <v>0.68000000000000027</v>
      </c>
      <c r="EA42" s="162">
        <f t="shared" si="94"/>
        <v>0.68000000000000027</v>
      </c>
      <c r="EB42" s="162">
        <f t="shared" si="22"/>
        <v>3.9869512806444294</v>
      </c>
      <c r="EC42" s="171">
        <f t="shared" si="95"/>
        <v>3.9869512806444294</v>
      </c>
      <c r="ED42" s="162"/>
      <c r="EE42" s="162">
        <f t="shared" si="96"/>
        <v>0.68000000000000027</v>
      </c>
      <c r="EF42" s="170">
        <f t="shared" si="97"/>
        <v>0.68000000000000027</v>
      </c>
      <c r="EG42" s="162">
        <f t="shared" si="23"/>
        <v>3.9869512806444294</v>
      </c>
      <c r="EH42" s="171">
        <f t="shared" si="98"/>
        <v>3.9869512806444294</v>
      </c>
      <c r="EI42" s="162"/>
      <c r="EJ42" s="162">
        <f t="shared" si="99"/>
        <v>0.68000000000000027</v>
      </c>
      <c r="EK42" s="170">
        <f t="shared" si="100"/>
        <v>0.68000000000000027</v>
      </c>
      <c r="EL42" s="162">
        <f t="shared" si="24"/>
        <v>3.9869512806444294</v>
      </c>
      <c r="EM42" s="171">
        <f t="shared" si="101"/>
        <v>3.9869512806444294</v>
      </c>
      <c r="EN42" s="162"/>
      <c r="EO42" s="162">
        <f t="shared" si="102"/>
        <v>0.68000000000000027</v>
      </c>
      <c r="EP42" s="162">
        <f t="shared" si="103"/>
        <v>0.68000000000000027</v>
      </c>
      <c r="EQ42" s="162">
        <f t="shared" si="25"/>
        <v>3.9869512806444294</v>
      </c>
      <c r="ER42" s="171">
        <f t="shared" si="104"/>
        <v>3.9869512806444294</v>
      </c>
      <c r="ES42" s="162"/>
      <c r="ET42" s="162">
        <f t="shared" si="105"/>
        <v>0.68000000000000027</v>
      </c>
      <c r="EU42" s="170">
        <f t="shared" si="106"/>
        <v>0.68000000000000027</v>
      </c>
      <c r="EV42" s="162">
        <f t="shared" si="26"/>
        <v>3.9869512806444294</v>
      </c>
      <c r="EW42" s="171">
        <f t="shared" si="107"/>
        <v>3.9869512806444294</v>
      </c>
      <c r="EX42" s="162"/>
    </row>
    <row r="43" spans="3:154" s="181" customFormat="1" x14ac:dyDescent="0.25">
      <c r="T43" s="162">
        <f t="shared" si="27"/>
        <v>0.70000000000000029</v>
      </c>
      <c r="U43" s="170">
        <f t="shared" si="28"/>
        <v>0.70000000000000029</v>
      </c>
      <c r="V43" s="162">
        <f t="shared" si="0"/>
        <v>4.0509332279260599</v>
      </c>
      <c r="W43" s="171">
        <f t="shared" si="29"/>
        <v>4.0509332279260599</v>
      </c>
      <c r="X43" s="162"/>
      <c r="Y43" s="162">
        <f t="shared" si="30"/>
        <v>0.70000000000000029</v>
      </c>
      <c r="Z43" s="162">
        <f t="shared" si="31"/>
        <v>0.70000000000000029</v>
      </c>
      <c r="AA43" s="162">
        <f t="shared" si="1"/>
        <v>4.0509332279260599</v>
      </c>
      <c r="AB43" s="171">
        <f t="shared" si="32"/>
        <v>4.0509332279260599</v>
      </c>
      <c r="AC43" s="162"/>
      <c r="AD43" s="162">
        <f t="shared" si="33"/>
        <v>0.70000000000000029</v>
      </c>
      <c r="AE43" s="170">
        <f t="shared" si="34"/>
        <v>0.70000000000000029</v>
      </c>
      <c r="AF43" s="162">
        <f t="shared" si="2"/>
        <v>4.0509332279260599</v>
      </c>
      <c r="AG43" s="171">
        <f t="shared" si="35"/>
        <v>4.0509332279260599</v>
      </c>
      <c r="AH43" s="162"/>
      <c r="AI43" s="162">
        <f t="shared" si="36"/>
        <v>0.70000000000000029</v>
      </c>
      <c r="AJ43" s="170">
        <f t="shared" si="37"/>
        <v>0.70000000000000029</v>
      </c>
      <c r="AK43" s="162">
        <f t="shared" si="3"/>
        <v>4.0509332279260599</v>
      </c>
      <c r="AL43" s="171">
        <f t="shared" si="38"/>
        <v>4.0509332279260599</v>
      </c>
      <c r="AM43" s="162"/>
      <c r="AN43" s="162">
        <f t="shared" si="39"/>
        <v>0.70000000000000029</v>
      </c>
      <c r="AO43" s="162">
        <f t="shared" si="40"/>
        <v>0.70000000000000029</v>
      </c>
      <c r="AP43" s="162">
        <f t="shared" si="4"/>
        <v>4.0509332279260599</v>
      </c>
      <c r="AQ43" s="171">
        <f t="shared" si="41"/>
        <v>4.0509332279260599</v>
      </c>
      <c r="AR43" s="162"/>
      <c r="AS43" s="162">
        <f t="shared" si="42"/>
        <v>0.70000000000000029</v>
      </c>
      <c r="AT43" s="170">
        <f t="shared" si="43"/>
        <v>0.70000000000000029</v>
      </c>
      <c r="AU43" s="162">
        <f t="shared" si="5"/>
        <v>4.0509332279260599</v>
      </c>
      <c r="AV43" s="171">
        <f t="shared" si="44"/>
        <v>4.0509332279260599</v>
      </c>
      <c r="AW43" s="162"/>
      <c r="AX43" s="162">
        <f t="shared" si="45"/>
        <v>0.70000000000000029</v>
      </c>
      <c r="AY43" s="170">
        <f t="shared" si="46"/>
        <v>0.70000000000000029</v>
      </c>
      <c r="AZ43" s="162">
        <f t="shared" si="6"/>
        <v>4.0509332279260599</v>
      </c>
      <c r="BA43" s="171">
        <f t="shared" si="47"/>
        <v>4.0509332279260599</v>
      </c>
      <c r="BB43" s="162"/>
      <c r="BC43" s="162">
        <f t="shared" si="48"/>
        <v>0.70000000000000029</v>
      </c>
      <c r="BD43" s="162">
        <f t="shared" si="49"/>
        <v>0.70000000000000029</v>
      </c>
      <c r="BE43" s="162">
        <f t="shared" si="7"/>
        <v>4.0509332279260599</v>
      </c>
      <c r="BF43" s="171">
        <f t="shared" si="50"/>
        <v>4.0509332279260599</v>
      </c>
      <c r="BG43" s="162"/>
      <c r="BH43" s="162">
        <f t="shared" si="51"/>
        <v>0.70000000000000029</v>
      </c>
      <c r="BI43" s="170">
        <f t="shared" si="52"/>
        <v>0.70000000000000029</v>
      </c>
      <c r="BJ43" s="162">
        <f t="shared" si="8"/>
        <v>4.0509332279260599</v>
      </c>
      <c r="BK43" s="171">
        <f t="shared" si="53"/>
        <v>4.0509332279260599</v>
      </c>
      <c r="BL43" s="162"/>
      <c r="BM43" s="162">
        <f t="shared" si="54"/>
        <v>0.70000000000000029</v>
      </c>
      <c r="BN43" s="170">
        <f t="shared" si="55"/>
        <v>0.70000000000000029</v>
      </c>
      <c r="BO43" s="162">
        <f t="shared" si="9"/>
        <v>4.0509332279260599</v>
      </c>
      <c r="BP43" s="171">
        <f t="shared" si="56"/>
        <v>4.0509332279260599</v>
      </c>
      <c r="BQ43" s="162"/>
      <c r="BR43" s="162">
        <f t="shared" si="57"/>
        <v>0.70000000000000029</v>
      </c>
      <c r="BS43" s="162">
        <f t="shared" si="58"/>
        <v>0.70000000000000029</v>
      </c>
      <c r="BT43" s="162">
        <f t="shared" si="10"/>
        <v>4.0509332279260599</v>
      </c>
      <c r="BU43" s="171">
        <f t="shared" si="59"/>
        <v>4.0509332279260599</v>
      </c>
      <c r="BV43" s="162"/>
      <c r="BW43" s="162">
        <f t="shared" si="60"/>
        <v>0.70000000000000029</v>
      </c>
      <c r="BX43" s="170">
        <f t="shared" si="61"/>
        <v>0.70000000000000029</v>
      </c>
      <c r="BY43" s="162">
        <f t="shared" si="11"/>
        <v>4.0509332279260599</v>
      </c>
      <c r="BZ43" s="171">
        <f t="shared" si="62"/>
        <v>4.0509332279260599</v>
      </c>
      <c r="CA43" s="162"/>
      <c r="CB43" s="162">
        <f t="shared" si="63"/>
        <v>0.70000000000000029</v>
      </c>
      <c r="CC43" s="170">
        <f t="shared" si="64"/>
        <v>0.70000000000000029</v>
      </c>
      <c r="CD43" s="162">
        <f t="shared" si="12"/>
        <v>4.0509332279260599</v>
      </c>
      <c r="CE43" s="171">
        <f t="shared" si="65"/>
        <v>4.0509332279260599</v>
      </c>
      <c r="CF43" s="162"/>
      <c r="CG43" s="172">
        <f t="shared" si="66"/>
        <v>0.70000000000000029</v>
      </c>
      <c r="CH43" s="172">
        <f t="shared" si="67"/>
        <v>0.70000000000000029</v>
      </c>
      <c r="CI43" s="172">
        <f t="shared" si="13"/>
        <v>4.0509332279260599</v>
      </c>
      <c r="CJ43" s="171">
        <f t="shared" si="68"/>
        <v>4.0509332279260599</v>
      </c>
      <c r="CK43" s="172"/>
      <c r="CL43" s="162">
        <f t="shared" si="69"/>
        <v>0.70000000000000029</v>
      </c>
      <c r="CM43" s="170">
        <f t="shared" si="70"/>
        <v>0.70000000000000029</v>
      </c>
      <c r="CN43" s="162">
        <f t="shared" si="14"/>
        <v>4.0509332279260599</v>
      </c>
      <c r="CO43" s="171">
        <f t="shared" si="71"/>
        <v>4.0509332279260599</v>
      </c>
      <c r="CP43" s="162"/>
      <c r="CQ43" s="162">
        <f t="shared" si="72"/>
        <v>0.70000000000000029</v>
      </c>
      <c r="CR43" s="170">
        <f t="shared" si="73"/>
        <v>0.70000000000000029</v>
      </c>
      <c r="CS43" s="162">
        <f t="shared" si="15"/>
        <v>4.0509332279260599</v>
      </c>
      <c r="CT43" s="171">
        <f t="shared" si="74"/>
        <v>4.0509332279260599</v>
      </c>
      <c r="CU43" s="162"/>
      <c r="CV43" s="162">
        <f t="shared" si="75"/>
        <v>0.70000000000000029</v>
      </c>
      <c r="CW43" s="162">
        <f t="shared" si="76"/>
        <v>0.70000000000000029</v>
      </c>
      <c r="CX43" s="162">
        <f t="shared" si="16"/>
        <v>4.0509332279260599</v>
      </c>
      <c r="CY43" s="171">
        <f t="shared" si="77"/>
        <v>4.0509332279260599</v>
      </c>
      <c r="CZ43" s="162"/>
      <c r="DA43" s="162">
        <f t="shared" si="78"/>
        <v>0.70000000000000029</v>
      </c>
      <c r="DB43" s="170">
        <f t="shared" si="79"/>
        <v>0.70000000000000029</v>
      </c>
      <c r="DC43" s="162">
        <f t="shared" si="17"/>
        <v>4.0509332279260599</v>
      </c>
      <c r="DD43" s="171">
        <f t="shared" si="80"/>
        <v>4.0509332279260599</v>
      </c>
      <c r="DE43" s="162"/>
      <c r="DF43" s="162">
        <f t="shared" si="81"/>
        <v>0.70000000000000029</v>
      </c>
      <c r="DG43" s="170">
        <f t="shared" si="82"/>
        <v>0.70000000000000029</v>
      </c>
      <c r="DH43" s="162">
        <f t="shared" si="18"/>
        <v>4.0509332279260599</v>
      </c>
      <c r="DI43" s="171">
        <f t="shared" si="83"/>
        <v>4.0509332279260599</v>
      </c>
      <c r="DJ43" s="162"/>
      <c r="DK43" s="162">
        <f t="shared" si="84"/>
        <v>0.70000000000000029</v>
      </c>
      <c r="DL43" s="162">
        <f t="shared" si="85"/>
        <v>0.70000000000000029</v>
      </c>
      <c r="DM43" s="162">
        <f t="shared" si="19"/>
        <v>4.0509332279260599</v>
      </c>
      <c r="DN43" s="171">
        <f t="shared" si="86"/>
        <v>4.0509332279260599</v>
      </c>
      <c r="DO43" s="162"/>
      <c r="DP43" s="162">
        <f t="shared" si="87"/>
        <v>0.70000000000000029</v>
      </c>
      <c r="DQ43" s="170">
        <f t="shared" si="88"/>
        <v>0.70000000000000029</v>
      </c>
      <c r="DR43" s="162">
        <f t="shared" si="20"/>
        <v>4.0509332279260599</v>
      </c>
      <c r="DS43" s="171">
        <f t="shared" si="89"/>
        <v>4.0509332279260599</v>
      </c>
      <c r="DT43" s="162"/>
      <c r="DU43" s="162">
        <f t="shared" si="90"/>
        <v>0.70000000000000029</v>
      </c>
      <c r="DV43" s="170">
        <f t="shared" si="91"/>
        <v>0.70000000000000029</v>
      </c>
      <c r="DW43" s="162">
        <f t="shared" si="21"/>
        <v>4.0509332279260599</v>
      </c>
      <c r="DX43" s="171">
        <f t="shared" si="92"/>
        <v>4.0509332279260599</v>
      </c>
      <c r="DY43" s="162"/>
      <c r="DZ43" s="162">
        <f t="shared" si="93"/>
        <v>0.70000000000000029</v>
      </c>
      <c r="EA43" s="162">
        <f t="shared" si="94"/>
        <v>0.70000000000000029</v>
      </c>
      <c r="EB43" s="162">
        <f t="shared" si="22"/>
        <v>4.0509332279260599</v>
      </c>
      <c r="EC43" s="171">
        <f t="shared" si="95"/>
        <v>4.0509332279260599</v>
      </c>
      <c r="ED43" s="162"/>
      <c r="EE43" s="162">
        <f t="shared" si="96"/>
        <v>0.70000000000000029</v>
      </c>
      <c r="EF43" s="170">
        <f t="shared" si="97"/>
        <v>0.70000000000000029</v>
      </c>
      <c r="EG43" s="162">
        <f t="shared" si="23"/>
        <v>4.0509332279260599</v>
      </c>
      <c r="EH43" s="171">
        <f t="shared" si="98"/>
        <v>4.0509332279260599</v>
      </c>
      <c r="EI43" s="162"/>
      <c r="EJ43" s="162">
        <f t="shared" si="99"/>
        <v>0.70000000000000029</v>
      </c>
      <c r="EK43" s="170">
        <f t="shared" si="100"/>
        <v>0.70000000000000029</v>
      </c>
      <c r="EL43" s="162">
        <f t="shared" si="24"/>
        <v>4.0509332279260599</v>
      </c>
      <c r="EM43" s="171">
        <f t="shared" si="101"/>
        <v>4.0509332279260599</v>
      </c>
      <c r="EN43" s="162"/>
      <c r="EO43" s="162">
        <f t="shared" si="102"/>
        <v>0.70000000000000029</v>
      </c>
      <c r="EP43" s="162">
        <f t="shared" si="103"/>
        <v>0.70000000000000029</v>
      </c>
      <c r="EQ43" s="162">
        <f t="shared" si="25"/>
        <v>4.0509332279260599</v>
      </c>
      <c r="ER43" s="171">
        <f t="shared" si="104"/>
        <v>4.0509332279260599</v>
      </c>
      <c r="ES43" s="162"/>
      <c r="ET43" s="162">
        <f t="shared" si="105"/>
        <v>0.70000000000000029</v>
      </c>
      <c r="EU43" s="170">
        <f t="shared" si="106"/>
        <v>0.70000000000000029</v>
      </c>
      <c r="EV43" s="162">
        <f t="shared" si="26"/>
        <v>4.0509332279260599</v>
      </c>
      <c r="EW43" s="171">
        <f t="shared" si="107"/>
        <v>4.0509332279260599</v>
      </c>
      <c r="EX43" s="162"/>
    </row>
    <row r="44" spans="3:154" s="181" customFormat="1" x14ac:dyDescent="0.25">
      <c r="T44" s="162">
        <f t="shared" si="27"/>
        <v>0.72000000000000031</v>
      </c>
      <c r="U44" s="170">
        <f t="shared" si="28"/>
        <v>0.72000000000000031</v>
      </c>
      <c r="V44" s="162">
        <f t="shared" si="0"/>
        <v>4.1122066624798421</v>
      </c>
      <c r="W44" s="171">
        <f t="shared" si="29"/>
        <v>4.1122066624798421</v>
      </c>
      <c r="X44" s="162"/>
      <c r="Y44" s="162">
        <f t="shared" si="30"/>
        <v>0.72000000000000031</v>
      </c>
      <c r="Z44" s="162">
        <f t="shared" si="31"/>
        <v>0.72000000000000031</v>
      </c>
      <c r="AA44" s="162">
        <f t="shared" si="1"/>
        <v>4.1122066624798421</v>
      </c>
      <c r="AB44" s="171">
        <f t="shared" si="32"/>
        <v>4.1122066624798421</v>
      </c>
      <c r="AC44" s="162"/>
      <c r="AD44" s="162">
        <f t="shared" si="33"/>
        <v>0.72000000000000031</v>
      </c>
      <c r="AE44" s="170">
        <f t="shared" si="34"/>
        <v>0.72000000000000031</v>
      </c>
      <c r="AF44" s="162">
        <f t="shared" si="2"/>
        <v>4.1122066624798421</v>
      </c>
      <c r="AG44" s="171">
        <f t="shared" si="35"/>
        <v>4.1122066624798421</v>
      </c>
      <c r="AH44" s="162"/>
      <c r="AI44" s="162">
        <f t="shared" si="36"/>
        <v>0.72000000000000031</v>
      </c>
      <c r="AJ44" s="170">
        <f t="shared" si="37"/>
        <v>0.72000000000000031</v>
      </c>
      <c r="AK44" s="162">
        <f t="shared" si="3"/>
        <v>4.1122066624798421</v>
      </c>
      <c r="AL44" s="171">
        <f t="shared" si="38"/>
        <v>4.1122066624798421</v>
      </c>
      <c r="AM44" s="162"/>
      <c r="AN44" s="162">
        <f t="shared" si="39"/>
        <v>0.72000000000000031</v>
      </c>
      <c r="AO44" s="162">
        <f t="shared" si="40"/>
        <v>0.72000000000000031</v>
      </c>
      <c r="AP44" s="162">
        <f t="shared" si="4"/>
        <v>4.1122066624798421</v>
      </c>
      <c r="AQ44" s="171">
        <f t="shared" si="41"/>
        <v>4.1122066624798421</v>
      </c>
      <c r="AR44" s="162"/>
      <c r="AS44" s="162">
        <f t="shared" si="42"/>
        <v>0.72000000000000031</v>
      </c>
      <c r="AT44" s="170">
        <f t="shared" si="43"/>
        <v>0.72000000000000031</v>
      </c>
      <c r="AU44" s="162">
        <f t="shared" si="5"/>
        <v>4.1122066624798421</v>
      </c>
      <c r="AV44" s="171">
        <f t="shared" si="44"/>
        <v>4.1122066624798421</v>
      </c>
      <c r="AW44" s="162"/>
      <c r="AX44" s="162">
        <f t="shared" si="45"/>
        <v>0.72000000000000031</v>
      </c>
      <c r="AY44" s="170">
        <f t="shared" si="46"/>
        <v>0.72000000000000031</v>
      </c>
      <c r="AZ44" s="162">
        <f t="shared" si="6"/>
        <v>4.1122066624798421</v>
      </c>
      <c r="BA44" s="171">
        <f t="shared" si="47"/>
        <v>4.1122066624798421</v>
      </c>
      <c r="BB44" s="162"/>
      <c r="BC44" s="162">
        <f t="shared" si="48"/>
        <v>0.72000000000000031</v>
      </c>
      <c r="BD44" s="162">
        <f t="shared" si="49"/>
        <v>0.72000000000000031</v>
      </c>
      <c r="BE44" s="162">
        <f t="shared" si="7"/>
        <v>4.1122066624798421</v>
      </c>
      <c r="BF44" s="171">
        <f t="shared" si="50"/>
        <v>4.1122066624798421</v>
      </c>
      <c r="BG44" s="162"/>
      <c r="BH44" s="162">
        <f t="shared" si="51"/>
        <v>0.72000000000000031</v>
      </c>
      <c r="BI44" s="170">
        <f t="shared" si="52"/>
        <v>0.72000000000000031</v>
      </c>
      <c r="BJ44" s="162">
        <f t="shared" si="8"/>
        <v>4.1122066624798421</v>
      </c>
      <c r="BK44" s="171">
        <f t="shared" si="53"/>
        <v>4.1122066624798421</v>
      </c>
      <c r="BL44" s="162"/>
      <c r="BM44" s="162">
        <f t="shared" si="54"/>
        <v>0.72000000000000031</v>
      </c>
      <c r="BN44" s="170">
        <f t="shared" si="55"/>
        <v>0.72000000000000031</v>
      </c>
      <c r="BO44" s="162">
        <f t="shared" si="9"/>
        <v>4.1122066624798421</v>
      </c>
      <c r="BP44" s="171">
        <f t="shared" si="56"/>
        <v>4.1122066624798421</v>
      </c>
      <c r="BQ44" s="162"/>
      <c r="BR44" s="162">
        <f t="shared" si="57"/>
        <v>0.72000000000000031</v>
      </c>
      <c r="BS44" s="162">
        <f t="shared" si="58"/>
        <v>0.72000000000000031</v>
      </c>
      <c r="BT44" s="162">
        <f t="shared" si="10"/>
        <v>4.1122066624798421</v>
      </c>
      <c r="BU44" s="171">
        <f t="shared" si="59"/>
        <v>4.1122066624798421</v>
      </c>
      <c r="BV44" s="162"/>
      <c r="BW44" s="162">
        <f t="shared" si="60"/>
        <v>0.72000000000000031</v>
      </c>
      <c r="BX44" s="170">
        <f t="shared" si="61"/>
        <v>0.72000000000000031</v>
      </c>
      <c r="BY44" s="162">
        <f t="shared" si="11"/>
        <v>4.1122066624798421</v>
      </c>
      <c r="BZ44" s="171">
        <f t="shared" si="62"/>
        <v>4.1122066624798421</v>
      </c>
      <c r="CA44" s="162"/>
      <c r="CB44" s="162">
        <f t="shared" si="63"/>
        <v>0.72000000000000031</v>
      </c>
      <c r="CC44" s="170">
        <f t="shared" si="64"/>
        <v>0.72000000000000031</v>
      </c>
      <c r="CD44" s="162">
        <f t="shared" si="12"/>
        <v>4.1122066624798421</v>
      </c>
      <c r="CE44" s="171">
        <f t="shared" si="65"/>
        <v>4.1122066624798421</v>
      </c>
      <c r="CF44" s="162"/>
      <c r="CG44" s="172">
        <f t="shared" si="66"/>
        <v>0.72000000000000031</v>
      </c>
      <c r="CH44" s="172">
        <f t="shared" si="67"/>
        <v>0.72000000000000031</v>
      </c>
      <c r="CI44" s="172">
        <f t="shared" si="13"/>
        <v>4.1122066624798421</v>
      </c>
      <c r="CJ44" s="171">
        <f t="shared" si="68"/>
        <v>4.1122066624798421</v>
      </c>
      <c r="CK44" s="172"/>
      <c r="CL44" s="162">
        <f t="shared" si="69"/>
        <v>0.72000000000000031</v>
      </c>
      <c r="CM44" s="170">
        <f t="shared" si="70"/>
        <v>0.72000000000000031</v>
      </c>
      <c r="CN44" s="162">
        <f t="shared" si="14"/>
        <v>4.1122066624798421</v>
      </c>
      <c r="CO44" s="171">
        <f t="shared" si="71"/>
        <v>4.1122066624798421</v>
      </c>
      <c r="CP44" s="162"/>
      <c r="CQ44" s="162">
        <f t="shared" si="72"/>
        <v>0.72000000000000031</v>
      </c>
      <c r="CR44" s="170">
        <f t="shared" si="73"/>
        <v>0.72000000000000031</v>
      </c>
      <c r="CS44" s="162">
        <f t="shared" si="15"/>
        <v>4.1122066624798421</v>
      </c>
      <c r="CT44" s="171">
        <f t="shared" si="74"/>
        <v>4.1122066624798421</v>
      </c>
      <c r="CU44" s="162"/>
      <c r="CV44" s="162">
        <f t="shared" si="75"/>
        <v>0.72000000000000031</v>
      </c>
      <c r="CW44" s="162">
        <f t="shared" si="76"/>
        <v>0.72000000000000031</v>
      </c>
      <c r="CX44" s="162">
        <f t="shared" si="16"/>
        <v>4.1122066624798421</v>
      </c>
      <c r="CY44" s="171">
        <f t="shared" si="77"/>
        <v>4.1122066624798421</v>
      </c>
      <c r="CZ44" s="162"/>
      <c r="DA44" s="162">
        <f t="shared" si="78"/>
        <v>0.72000000000000031</v>
      </c>
      <c r="DB44" s="170">
        <f t="shared" si="79"/>
        <v>0.72000000000000031</v>
      </c>
      <c r="DC44" s="162">
        <f t="shared" si="17"/>
        <v>4.1122066624798421</v>
      </c>
      <c r="DD44" s="171">
        <f t="shared" si="80"/>
        <v>4.1122066624798421</v>
      </c>
      <c r="DE44" s="162"/>
      <c r="DF44" s="162">
        <f t="shared" si="81"/>
        <v>0.72000000000000031</v>
      </c>
      <c r="DG44" s="170">
        <f t="shared" si="82"/>
        <v>0.72000000000000031</v>
      </c>
      <c r="DH44" s="162">
        <f t="shared" si="18"/>
        <v>4.1122066624798421</v>
      </c>
      <c r="DI44" s="171">
        <f t="shared" si="83"/>
        <v>4.1122066624798421</v>
      </c>
      <c r="DJ44" s="162"/>
      <c r="DK44" s="162">
        <f t="shared" si="84"/>
        <v>0.72000000000000031</v>
      </c>
      <c r="DL44" s="162">
        <f t="shared" si="85"/>
        <v>0.72000000000000031</v>
      </c>
      <c r="DM44" s="162">
        <f t="shared" si="19"/>
        <v>4.1122066624798421</v>
      </c>
      <c r="DN44" s="171">
        <f t="shared" si="86"/>
        <v>4.1122066624798421</v>
      </c>
      <c r="DO44" s="162"/>
      <c r="DP44" s="162">
        <f t="shared" si="87"/>
        <v>0.72000000000000031</v>
      </c>
      <c r="DQ44" s="170">
        <f t="shared" si="88"/>
        <v>0.72000000000000031</v>
      </c>
      <c r="DR44" s="162">
        <f t="shared" si="20"/>
        <v>4.1122066624798421</v>
      </c>
      <c r="DS44" s="171">
        <f t="shared" si="89"/>
        <v>4.1122066624798421</v>
      </c>
      <c r="DT44" s="162"/>
      <c r="DU44" s="162">
        <f t="shared" si="90"/>
        <v>0.72000000000000031</v>
      </c>
      <c r="DV44" s="170">
        <f t="shared" si="91"/>
        <v>0.72000000000000031</v>
      </c>
      <c r="DW44" s="162">
        <f t="shared" si="21"/>
        <v>4.1122066624798421</v>
      </c>
      <c r="DX44" s="171">
        <f t="shared" si="92"/>
        <v>4.1122066624798421</v>
      </c>
      <c r="DY44" s="162"/>
      <c r="DZ44" s="162">
        <f t="shared" si="93"/>
        <v>0.72000000000000031</v>
      </c>
      <c r="EA44" s="162">
        <f t="shared" si="94"/>
        <v>0.72000000000000031</v>
      </c>
      <c r="EB44" s="162">
        <f t="shared" si="22"/>
        <v>4.1122066624798421</v>
      </c>
      <c r="EC44" s="171">
        <f t="shared" si="95"/>
        <v>4.1122066624798421</v>
      </c>
      <c r="ED44" s="162"/>
      <c r="EE44" s="162">
        <f t="shared" si="96"/>
        <v>0.72000000000000031</v>
      </c>
      <c r="EF44" s="170">
        <f t="shared" si="97"/>
        <v>0.72000000000000031</v>
      </c>
      <c r="EG44" s="162">
        <f t="shared" si="23"/>
        <v>4.1122066624798421</v>
      </c>
      <c r="EH44" s="171">
        <f t="shared" si="98"/>
        <v>4.1122066624798421</v>
      </c>
      <c r="EI44" s="162"/>
      <c r="EJ44" s="162">
        <f t="shared" si="99"/>
        <v>0.72000000000000031</v>
      </c>
      <c r="EK44" s="170">
        <f t="shared" si="100"/>
        <v>0.72000000000000031</v>
      </c>
      <c r="EL44" s="162">
        <f t="shared" si="24"/>
        <v>4.1122066624798421</v>
      </c>
      <c r="EM44" s="171">
        <f t="shared" si="101"/>
        <v>4.1122066624798421</v>
      </c>
      <c r="EN44" s="162"/>
      <c r="EO44" s="162">
        <f t="shared" si="102"/>
        <v>0.72000000000000031</v>
      </c>
      <c r="EP44" s="162">
        <f t="shared" si="103"/>
        <v>0.72000000000000031</v>
      </c>
      <c r="EQ44" s="162">
        <f t="shared" si="25"/>
        <v>4.1122066624798421</v>
      </c>
      <c r="ER44" s="171">
        <f t="shared" si="104"/>
        <v>4.1122066624798421</v>
      </c>
      <c r="ES44" s="162"/>
      <c r="ET44" s="162">
        <f t="shared" si="105"/>
        <v>0.72000000000000031</v>
      </c>
      <c r="EU44" s="170">
        <f t="shared" si="106"/>
        <v>0.72000000000000031</v>
      </c>
      <c r="EV44" s="162">
        <f t="shared" si="26"/>
        <v>4.1122066624798421</v>
      </c>
      <c r="EW44" s="171">
        <f t="shared" si="107"/>
        <v>4.1122066624798421</v>
      </c>
      <c r="EX44" s="162"/>
    </row>
    <row r="45" spans="3:154" s="181" customFormat="1" x14ac:dyDescent="0.25">
      <c r="T45" s="162">
        <f t="shared" si="27"/>
        <v>0.74000000000000032</v>
      </c>
      <c r="U45" s="170">
        <f t="shared" si="28"/>
        <v>0.74000000000000032</v>
      </c>
      <c r="V45" s="162">
        <f t="shared" si="0"/>
        <v>4.1707715843057773</v>
      </c>
      <c r="W45" s="171">
        <f t="shared" si="29"/>
        <v>4.1707715843057773</v>
      </c>
      <c r="X45" s="162"/>
      <c r="Y45" s="162">
        <f t="shared" si="30"/>
        <v>0.74000000000000032</v>
      </c>
      <c r="Z45" s="162">
        <f t="shared" si="31"/>
        <v>0.74000000000000032</v>
      </c>
      <c r="AA45" s="162">
        <f t="shared" si="1"/>
        <v>4.1707715843057773</v>
      </c>
      <c r="AB45" s="171">
        <f t="shared" si="32"/>
        <v>4.1707715843057773</v>
      </c>
      <c r="AC45" s="162"/>
      <c r="AD45" s="162">
        <f t="shared" si="33"/>
        <v>0.74000000000000032</v>
      </c>
      <c r="AE45" s="170">
        <f t="shared" si="34"/>
        <v>0.74000000000000032</v>
      </c>
      <c r="AF45" s="162">
        <f t="shared" si="2"/>
        <v>4.1707715843057773</v>
      </c>
      <c r="AG45" s="171">
        <f t="shared" si="35"/>
        <v>4.1707715843057773</v>
      </c>
      <c r="AH45" s="162"/>
      <c r="AI45" s="162">
        <f t="shared" si="36"/>
        <v>0.74000000000000032</v>
      </c>
      <c r="AJ45" s="170">
        <f t="shared" si="37"/>
        <v>0.74000000000000032</v>
      </c>
      <c r="AK45" s="162">
        <f t="shared" si="3"/>
        <v>4.1707715843057773</v>
      </c>
      <c r="AL45" s="171">
        <f t="shared" si="38"/>
        <v>4.1707715843057773</v>
      </c>
      <c r="AM45" s="162"/>
      <c r="AN45" s="162">
        <f t="shared" si="39"/>
        <v>0.74000000000000032</v>
      </c>
      <c r="AO45" s="162">
        <f t="shared" si="40"/>
        <v>0.74000000000000032</v>
      </c>
      <c r="AP45" s="162">
        <f t="shared" si="4"/>
        <v>4.1707715843057773</v>
      </c>
      <c r="AQ45" s="171">
        <f t="shared" si="41"/>
        <v>4.1707715843057773</v>
      </c>
      <c r="AR45" s="162"/>
      <c r="AS45" s="162">
        <f t="shared" si="42"/>
        <v>0.74000000000000032</v>
      </c>
      <c r="AT45" s="170">
        <f t="shared" si="43"/>
        <v>0.74000000000000032</v>
      </c>
      <c r="AU45" s="162">
        <f t="shared" si="5"/>
        <v>4.1707715843057773</v>
      </c>
      <c r="AV45" s="171">
        <f t="shared" si="44"/>
        <v>4.1707715843057773</v>
      </c>
      <c r="AW45" s="162"/>
      <c r="AX45" s="162">
        <f t="shared" si="45"/>
        <v>0.74000000000000032</v>
      </c>
      <c r="AY45" s="170">
        <f t="shared" si="46"/>
        <v>0.74000000000000032</v>
      </c>
      <c r="AZ45" s="162">
        <f t="shared" si="6"/>
        <v>4.1707715843057773</v>
      </c>
      <c r="BA45" s="171">
        <f t="shared" si="47"/>
        <v>4.1707715843057773</v>
      </c>
      <c r="BB45" s="162"/>
      <c r="BC45" s="162">
        <f t="shared" si="48"/>
        <v>0.74000000000000032</v>
      </c>
      <c r="BD45" s="162">
        <f t="shared" si="49"/>
        <v>0.74000000000000032</v>
      </c>
      <c r="BE45" s="162">
        <f t="shared" si="7"/>
        <v>4.1707715843057773</v>
      </c>
      <c r="BF45" s="171">
        <f t="shared" si="50"/>
        <v>4.1707715843057773</v>
      </c>
      <c r="BG45" s="162"/>
      <c r="BH45" s="162">
        <f t="shared" si="51"/>
        <v>0.74000000000000032</v>
      </c>
      <c r="BI45" s="170">
        <f t="shared" si="52"/>
        <v>0.74000000000000032</v>
      </c>
      <c r="BJ45" s="162">
        <f t="shared" si="8"/>
        <v>4.1707715843057773</v>
      </c>
      <c r="BK45" s="171">
        <f t="shared" si="53"/>
        <v>4.1707715843057773</v>
      </c>
      <c r="BL45" s="162"/>
      <c r="BM45" s="162">
        <f t="shared" si="54"/>
        <v>0.74000000000000032</v>
      </c>
      <c r="BN45" s="170">
        <f t="shared" si="55"/>
        <v>0.74000000000000032</v>
      </c>
      <c r="BO45" s="162">
        <f t="shared" si="9"/>
        <v>4.1707715843057773</v>
      </c>
      <c r="BP45" s="171">
        <f t="shared" si="56"/>
        <v>4.1707715843057773</v>
      </c>
      <c r="BQ45" s="162"/>
      <c r="BR45" s="162">
        <f t="shared" si="57"/>
        <v>0.74000000000000032</v>
      </c>
      <c r="BS45" s="162">
        <f t="shared" si="58"/>
        <v>0.74000000000000032</v>
      </c>
      <c r="BT45" s="162">
        <f t="shared" si="10"/>
        <v>4.1707715843057773</v>
      </c>
      <c r="BU45" s="171">
        <f t="shared" si="59"/>
        <v>4.1707715843057773</v>
      </c>
      <c r="BV45" s="162"/>
      <c r="BW45" s="162">
        <f t="shared" si="60"/>
        <v>0.74000000000000032</v>
      </c>
      <c r="BX45" s="170">
        <f t="shared" si="61"/>
        <v>0.74000000000000032</v>
      </c>
      <c r="BY45" s="162">
        <f t="shared" si="11"/>
        <v>4.1707715843057773</v>
      </c>
      <c r="BZ45" s="171">
        <f t="shared" si="62"/>
        <v>4.1707715843057773</v>
      </c>
      <c r="CA45" s="162"/>
      <c r="CB45" s="162">
        <f t="shared" si="63"/>
        <v>0.74000000000000032</v>
      </c>
      <c r="CC45" s="170">
        <f t="shared" si="64"/>
        <v>0.74000000000000032</v>
      </c>
      <c r="CD45" s="162">
        <f t="shared" si="12"/>
        <v>4.1707715843057773</v>
      </c>
      <c r="CE45" s="171">
        <f t="shared" si="65"/>
        <v>4.1707715843057773</v>
      </c>
      <c r="CF45" s="162"/>
      <c r="CG45" s="172">
        <f t="shared" si="66"/>
        <v>0.74000000000000032</v>
      </c>
      <c r="CH45" s="172">
        <f t="shared" si="67"/>
        <v>0.74000000000000032</v>
      </c>
      <c r="CI45" s="172">
        <f t="shared" si="13"/>
        <v>4.1707715843057773</v>
      </c>
      <c r="CJ45" s="171">
        <f t="shared" si="68"/>
        <v>4.1707715843057773</v>
      </c>
      <c r="CK45" s="172"/>
      <c r="CL45" s="162">
        <f t="shared" si="69"/>
        <v>0.74000000000000032</v>
      </c>
      <c r="CM45" s="170">
        <f t="shared" si="70"/>
        <v>0.74000000000000032</v>
      </c>
      <c r="CN45" s="162">
        <f t="shared" si="14"/>
        <v>4.1707715843057773</v>
      </c>
      <c r="CO45" s="171">
        <f t="shared" si="71"/>
        <v>4.1707715843057773</v>
      </c>
      <c r="CP45" s="162"/>
      <c r="CQ45" s="162">
        <f t="shared" si="72"/>
        <v>0.74000000000000032</v>
      </c>
      <c r="CR45" s="170">
        <f t="shared" si="73"/>
        <v>0.74000000000000032</v>
      </c>
      <c r="CS45" s="162">
        <f t="shared" si="15"/>
        <v>4.1707715843057773</v>
      </c>
      <c r="CT45" s="171">
        <f t="shared" si="74"/>
        <v>4.1707715843057773</v>
      </c>
      <c r="CU45" s="162"/>
      <c r="CV45" s="162">
        <f t="shared" si="75"/>
        <v>0.74000000000000032</v>
      </c>
      <c r="CW45" s="162">
        <f t="shared" si="76"/>
        <v>0.74000000000000032</v>
      </c>
      <c r="CX45" s="162">
        <f t="shared" si="16"/>
        <v>4.1707715843057773</v>
      </c>
      <c r="CY45" s="171">
        <f t="shared" si="77"/>
        <v>4.1707715843057773</v>
      </c>
      <c r="CZ45" s="162"/>
      <c r="DA45" s="162">
        <f t="shared" si="78"/>
        <v>0.74000000000000032</v>
      </c>
      <c r="DB45" s="170">
        <f t="shared" si="79"/>
        <v>0.74000000000000032</v>
      </c>
      <c r="DC45" s="162">
        <f t="shared" si="17"/>
        <v>4.1707715843057773</v>
      </c>
      <c r="DD45" s="171">
        <f t="shared" si="80"/>
        <v>4.1707715843057773</v>
      </c>
      <c r="DE45" s="162"/>
      <c r="DF45" s="162">
        <f t="shared" si="81"/>
        <v>0.74000000000000032</v>
      </c>
      <c r="DG45" s="170">
        <f t="shared" si="82"/>
        <v>0.74000000000000032</v>
      </c>
      <c r="DH45" s="162">
        <f t="shared" si="18"/>
        <v>4.1707715843057773</v>
      </c>
      <c r="DI45" s="171">
        <f t="shared" si="83"/>
        <v>4.1707715843057773</v>
      </c>
      <c r="DJ45" s="162"/>
      <c r="DK45" s="162">
        <f t="shared" si="84"/>
        <v>0.74000000000000032</v>
      </c>
      <c r="DL45" s="162">
        <f t="shared" si="85"/>
        <v>0.74000000000000032</v>
      </c>
      <c r="DM45" s="162">
        <f t="shared" si="19"/>
        <v>4.1707715843057773</v>
      </c>
      <c r="DN45" s="171">
        <f t="shared" si="86"/>
        <v>4.1707715843057773</v>
      </c>
      <c r="DO45" s="162"/>
      <c r="DP45" s="162">
        <f t="shared" si="87"/>
        <v>0.74000000000000032</v>
      </c>
      <c r="DQ45" s="170">
        <f t="shared" si="88"/>
        <v>0.74000000000000032</v>
      </c>
      <c r="DR45" s="162">
        <f t="shared" si="20"/>
        <v>4.1707715843057773</v>
      </c>
      <c r="DS45" s="171">
        <f t="shared" si="89"/>
        <v>4.1707715843057773</v>
      </c>
      <c r="DT45" s="162"/>
      <c r="DU45" s="162">
        <f t="shared" si="90"/>
        <v>0.74000000000000032</v>
      </c>
      <c r="DV45" s="170">
        <f t="shared" si="91"/>
        <v>0.74000000000000032</v>
      </c>
      <c r="DW45" s="162">
        <f t="shared" si="21"/>
        <v>4.1707715843057773</v>
      </c>
      <c r="DX45" s="171">
        <f t="shared" si="92"/>
        <v>4.1707715843057773</v>
      </c>
      <c r="DY45" s="162"/>
      <c r="DZ45" s="162">
        <f t="shared" si="93"/>
        <v>0.74000000000000032</v>
      </c>
      <c r="EA45" s="162">
        <f t="shared" si="94"/>
        <v>0.74000000000000032</v>
      </c>
      <c r="EB45" s="162">
        <f t="shared" si="22"/>
        <v>4.1707715843057773</v>
      </c>
      <c r="EC45" s="171">
        <f t="shared" si="95"/>
        <v>4.1707715843057773</v>
      </c>
      <c r="ED45" s="162"/>
      <c r="EE45" s="162">
        <f t="shared" si="96"/>
        <v>0.74000000000000032</v>
      </c>
      <c r="EF45" s="170">
        <f t="shared" si="97"/>
        <v>0.74000000000000032</v>
      </c>
      <c r="EG45" s="162">
        <f t="shared" si="23"/>
        <v>4.1707715843057773</v>
      </c>
      <c r="EH45" s="171">
        <f t="shared" si="98"/>
        <v>4.1707715843057773</v>
      </c>
      <c r="EI45" s="162"/>
      <c r="EJ45" s="162">
        <f t="shared" si="99"/>
        <v>0.74000000000000032</v>
      </c>
      <c r="EK45" s="170">
        <f t="shared" si="100"/>
        <v>0.74000000000000032</v>
      </c>
      <c r="EL45" s="162">
        <f t="shared" si="24"/>
        <v>4.1707715843057773</v>
      </c>
      <c r="EM45" s="171">
        <f t="shared" si="101"/>
        <v>4.1707715843057773</v>
      </c>
      <c r="EN45" s="162"/>
      <c r="EO45" s="162">
        <f t="shared" si="102"/>
        <v>0.74000000000000032</v>
      </c>
      <c r="EP45" s="162">
        <f t="shared" si="103"/>
        <v>0.74000000000000032</v>
      </c>
      <c r="EQ45" s="162">
        <f t="shared" si="25"/>
        <v>4.1707715843057773</v>
      </c>
      <c r="ER45" s="171">
        <f t="shared" si="104"/>
        <v>4.1707715843057773</v>
      </c>
      <c r="ES45" s="162"/>
      <c r="ET45" s="162">
        <f t="shared" si="105"/>
        <v>0.74000000000000032</v>
      </c>
      <c r="EU45" s="170">
        <f t="shared" si="106"/>
        <v>0.74000000000000032</v>
      </c>
      <c r="EV45" s="162">
        <f t="shared" si="26"/>
        <v>4.1707715843057773</v>
      </c>
      <c r="EW45" s="171">
        <f t="shared" si="107"/>
        <v>4.1707715843057773</v>
      </c>
      <c r="EX45" s="162"/>
    </row>
    <row r="46" spans="3:154" s="181" customFormat="1" x14ac:dyDescent="0.25">
      <c r="T46" s="162">
        <f t="shared" si="27"/>
        <v>0.76000000000000034</v>
      </c>
      <c r="U46" s="170">
        <f t="shared" si="28"/>
        <v>0.76000000000000034</v>
      </c>
      <c r="V46" s="162">
        <f t="shared" si="0"/>
        <v>4.2266279934038655</v>
      </c>
      <c r="W46" s="171">
        <f t="shared" si="29"/>
        <v>4.2266279934038655</v>
      </c>
      <c r="X46" s="162"/>
      <c r="Y46" s="162">
        <f t="shared" si="30"/>
        <v>0.76000000000000034</v>
      </c>
      <c r="Z46" s="162">
        <f t="shared" si="31"/>
        <v>0.76000000000000034</v>
      </c>
      <c r="AA46" s="162">
        <f t="shared" si="1"/>
        <v>4.2266279934038655</v>
      </c>
      <c r="AB46" s="171">
        <f t="shared" si="32"/>
        <v>4.2266279934038655</v>
      </c>
      <c r="AC46" s="162"/>
      <c r="AD46" s="162">
        <f t="shared" si="33"/>
        <v>0.76000000000000034</v>
      </c>
      <c r="AE46" s="170">
        <f t="shared" si="34"/>
        <v>0.76000000000000034</v>
      </c>
      <c r="AF46" s="162">
        <f t="shared" si="2"/>
        <v>4.2266279934038655</v>
      </c>
      <c r="AG46" s="171">
        <f t="shared" si="35"/>
        <v>4.2266279934038655</v>
      </c>
      <c r="AH46" s="162"/>
      <c r="AI46" s="162">
        <f t="shared" si="36"/>
        <v>0.76000000000000034</v>
      </c>
      <c r="AJ46" s="170">
        <f t="shared" si="37"/>
        <v>0.76000000000000034</v>
      </c>
      <c r="AK46" s="162">
        <f t="shared" si="3"/>
        <v>4.2266279934038655</v>
      </c>
      <c r="AL46" s="171">
        <f t="shared" si="38"/>
        <v>4.2266279934038655</v>
      </c>
      <c r="AM46" s="162"/>
      <c r="AN46" s="162">
        <f t="shared" si="39"/>
        <v>0.76000000000000034</v>
      </c>
      <c r="AO46" s="162">
        <f t="shared" si="40"/>
        <v>0.76000000000000034</v>
      </c>
      <c r="AP46" s="162">
        <f t="shared" si="4"/>
        <v>4.2266279934038655</v>
      </c>
      <c r="AQ46" s="171">
        <f t="shared" si="41"/>
        <v>4.2266279934038655</v>
      </c>
      <c r="AR46" s="162"/>
      <c r="AS46" s="162">
        <f t="shared" si="42"/>
        <v>0.76000000000000034</v>
      </c>
      <c r="AT46" s="170">
        <f t="shared" si="43"/>
        <v>0.76000000000000034</v>
      </c>
      <c r="AU46" s="162">
        <f t="shared" si="5"/>
        <v>4.2266279934038655</v>
      </c>
      <c r="AV46" s="171">
        <f t="shared" si="44"/>
        <v>4.2266279934038655</v>
      </c>
      <c r="AW46" s="162"/>
      <c r="AX46" s="162">
        <f t="shared" si="45"/>
        <v>0.76000000000000034</v>
      </c>
      <c r="AY46" s="170">
        <f t="shared" si="46"/>
        <v>0.76000000000000034</v>
      </c>
      <c r="AZ46" s="162">
        <f t="shared" si="6"/>
        <v>4.2266279934038655</v>
      </c>
      <c r="BA46" s="171">
        <f t="shared" si="47"/>
        <v>4.2266279934038655</v>
      </c>
      <c r="BB46" s="162"/>
      <c r="BC46" s="162">
        <f t="shared" si="48"/>
        <v>0.76000000000000034</v>
      </c>
      <c r="BD46" s="162">
        <f t="shared" si="49"/>
        <v>0.76000000000000034</v>
      </c>
      <c r="BE46" s="162">
        <f t="shared" si="7"/>
        <v>4.2266279934038655</v>
      </c>
      <c r="BF46" s="171">
        <f t="shared" si="50"/>
        <v>4.2266279934038655</v>
      </c>
      <c r="BG46" s="162"/>
      <c r="BH46" s="162">
        <f t="shared" si="51"/>
        <v>0.76000000000000034</v>
      </c>
      <c r="BI46" s="170">
        <f t="shared" si="52"/>
        <v>0.76000000000000034</v>
      </c>
      <c r="BJ46" s="162">
        <f t="shared" si="8"/>
        <v>4.2266279934038655</v>
      </c>
      <c r="BK46" s="171">
        <f t="shared" si="53"/>
        <v>4.2266279934038655</v>
      </c>
      <c r="BL46" s="162"/>
      <c r="BM46" s="162">
        <f t="shared" si="54"/>
        <v>0.76000000000000034</v>
      </c>
      <c r="BN46" s="170">
        <f t="shared" si="55"/>
        <v>0.76000000000000034</v>
      </c>
      <c r="BO46" s="162">
        <f t="shared" si="9"/>
        <v>4.2266279934038655</v>
      </c>
      <c r="BP46" s="171">
        <f t="shared" si="56"/>
        <v>4.2266279934038655</v>
      </c>
      <c r="BQ46" s="162"/>
      <c r="BR46" s="162">
        <f t="shared" si="57"/>
        <v>0.76000000000000034</v>
      </c>
      <c r="BS46" s="162">
        <f t="shared" si="58"/>
        <v>0.76000000000000034</v>
      </c>
      <c r="BT46" s="162">
        <f t="shared" si="10"/>
        <v>4.2266279934038655</v>
      </c>
      <c r="BU46" s="171">
        <f t="shared" si="59"/>
        <v>4.2266279934038655</v>
      </c>
      <c r="BV46" s="162"/>
      <c r="BW46" s="162">
        <f t="shared" si="60"/>
        <v>0.76000000000000034</v>
      </c>
      <c r="BX46" s="170">
        <f t="shared" si="61"/>
        <v>0.76000000000000034</v>
      </c>
      <c r="BY46" s="162">
        <f t="shared" si="11"/>
        <v>4.2266279934038655</v>
      </c>
      <c r="BZ46" s="171">
        <f t="shared" si="62"/>
        <v>4.2266279934038655</v>
      </c>
      <c r="CA46" s="162"/>
      <c r="CB46" s="162">
        <f t="shared" si="63"/>
        <v>0.76000000000000034</v>
      </c>
      <c r="CC46" s="170">
        <f t="shared" si="64"/>
        <v>0.76000000000000034</v>
      </c>
      <c r="CD46" s="162">
        <f t="shared" si="12"/>
        <v>4.2266279934038655</v>
      </c>
      <c r="CE46" s="171">
        <f t="shared" si="65"/>
        <v>4.2266279934038655</v>
      </c>
      <c r="CF46" s="162"/>
      <c r="CG46" s="172">
        <f t="shared" si="66"/>
        <v>0.76000000000000034</v>
      </c>
      <c r="CH46" s="172">
        <f t="shared" si="67"/>
        <v>0.76000000000000034</v>
      </c>
      <c r="CI46" s="172">
        <f t="shared" si="13"/>
        <v>4.2266279934038655</v>
      </c>
      <c r="CJ46" s="171">
        <f t="shared" si="68"/>
        <v>4.2266279934038655</v>
      </c>
      <c r="CK46" s="172"/>
      <c r="CL46" s="162">
        <f t="shared" si="69"/>
        <v>0.76000000000000034</v>
      </c>
      <c r="CM46" s="170">
        <f t="shared" si="70"/>
        <v>0.76000000000000034</v>
      </c>
      <c r="CN46" s="162">
        <f t="shared" si="14"/>
        <v>4.2266279934038655</v>
      </c>
      <c r="CO46" s="171">
        <f t="shared" si="71"/>
        <v>4.2266279934038655</v>
      </c>
      <c r="CP46" s="162"/>
      <c r="CQ46" s="162">
        <f t="shared" si="72"/>
        <v>0.76000000000000034</v>
      </c>
      <c r="CR46" s="170">
        <f t="shared" si="73"/>
        <v>0.76000000000000034</v>
      </c>
      <c r="CS46" s="162">
        <f t="shared" si="15"/>
        <v>4.2266279934038655</v>
      </c>
      <c r="CT46" s="171">
        <f t="shared" si="74"/>
        <v>4.2266279934038655</v>
      </c>
      <c r="CU46" s="162"/>
      <c r="CV46" s="162">
        <f t="shared" si="75"/>
        <v>0.76000000000000034</v>
      </c>
      <c r="CW46" s="162">
        <f t="shared" si="76"/>
        <v>0.76000000000000034</v>
      </c>
      <c r="CX46" s="162">
        <f t="shared" si="16"/>
        <v>4.2266279934038655</v>
      </c>
      <c r="CY46" s="171">
        <f t="shared" si="77"/>
        <v>4.2266279934038655</v>
      </c>
      <c r="CZ46" s="162"/>
      <c r="DA46" s="162">
        <f t="shared" si="78"/>
        <v>0.76000000000000034</v>
      </c>
      <c r="DB46" s="170">
        <f t="shared" si="79"/>
        <v>0.76000000000000034</v>
      </c>
      <c r="DC46" s="162">
        <f t="shared" si="17"/>
        <v>4.2266279934038655</v>
      </c>
      <c r="DD46" s="171">
        <f t="shared" si="80"/>
        <v>4.2266279934038655</v>
      </c>
      <c r="DE46" s="162"/>
      <c r="DF46" s="162">
        <f t="shared" si="81"/>
        <v>0.76000000000000034</v>
      </c>
      <c r="DG46" s="170">
        <f t="shared" si="82"/>
        <v>0.76000000000000034</v>
      </c>
      <c r="DH46" s="162">
        <f t="shared" si="18"/>
        <v>4.2266279934038655</v>
      </c>
      <c r="DI46" s="171">
        <f t="shared" si="83"/>
        <v>4.2266279934038655</v>
      </c>
      <c r="DJ46" s="162"/>
      <c r="DK46" s="162">
        <f t="shared" si="84"/>
        <v>0.76000000000000034</v>
      </c>
      <c r="DL46" s="162">
        <f t="shared" si="85"/>
        <v>0.76000000000000034</v>
      </c>
      <c r="DM46" s="162">
        <f t="shared" si="19"/>
        <v>4.2266279934038655</v>
      </c>
      <c r="DN46" s="171">
        <f t="shared" si="86"/>
        <v>4.2266279934038655</v>
      </c>
      <c r="DO46" s="162"/>
      <c r="DP46" s="162">
        <f t="shared" si="87"/>
        <v>0.76000000000000034</v>
      </c>
      <c r="DQ46" s="170">
        <f t="shared" si="88"/>
        <v>0.76000000000000034</v>
      </c>
      <c r="DR46" s="162">
        <f t="shared" si="20"/>
        <v>4.2266279934038655</v>
      </c>
      <c r="DS46" s="171">
        <f t="shared" si="89"/>
        <v>4.2266279934038655</v>
      </c>
      <c r="DT46" s="162"/>
      <c r="DU46" s="162">
        <f t="shared" si="90"/>
        <v>0.76000000000000034</v>
      </c>
      <c r="DV46" s="170">
        <f t="shared" si="91"/>
        <v>0.76000000000000034</v>
      </c>
      <c r="DW46" s="162">
        <f t="shared" si="21"/>
        <v>4.2266279934038655</v>
      </c>
      <c r="DX46" s="171">
        <f t="shared" si="92"/>
        <v>4.2266279934038655</v>
      </c>
      <c r="DY46" s="162"/>
      <c r="DZ46" s="162">
        <f t="shared" si="93"/>
        <v>0.76000000000000034</v>
      </c>
      <c r="EA46" s="162">
        <f t="shared" si="94"/>
        <v>0.76000000000000034</v>
      </c>
      <c r="EB46" s="162">
        <f t="shared" si="22"/>
        <v>4.2266279934038655</v>
      </c>
      <c r="EC46" s="171">
        <f t="shared" si="95"/>
        <v>4.2266279934038655</v>
      </c>
      <c r="ED46" s="162"/>
      <c r="EE46" s="162">
        <f t="shared" si="96"/>
        <v>0.76000000000000034</v>
      </c>
      <c r="EF46" s="170">
        <f t="shared" si="97"/>
        <v>0.76000000000000034</v>
      </c>
      <c r="EG46" s="162">
        <f t="shared" si="23"/>
        <v>4.2266279934038655</v>
      </c>
      <c r="EH46" s="171">
        <f t="shared" si="98"/>
        <v>4.2266279934038655</v>
      </c>
      <c r="EI46" s="162"/>
      <c r="EJ46" s="162">
        <f t="shared" si="99"/>
        <v>0.76000000000000034</v>
      </c>
      <c r="EK46" s="170">
        <f t="shared" si="100"/>
        <v>0.76000000000000034</v>
      </c>
      <c r="EL46" s="162">
        <f t="shared" si="24"/>
        <v>4.2266279934038655</v>
      </c>
      <c r="EM46" s="171">
        <f t="shared" si="101"/>
        <v>4.2266279934038655</v>
      </c>
      <c r="EN46" s="162"/>
      <c r="EO46" s="162">
        <f t="shared" si="102"/>
        <v>0.76000000000000034</v>
      </c>
      <c r="EP46" s="162">
        <f t="shared" si="103"/>
        <v>0.76000000000000034</v>
      </c>
      <c r="EQ46" s="162">
        <f t="shared" si="25"/>
        <v>4.2266279934038655</v>
      </c>
      <c r="ER46" s="171">
        <f t="shared" si="104"/>
        <v>4.2266279934038655</v>
      </c>
      <c r="ES46" s="162"/>
      <c r="ET46" s="162">
        <f t="shared" si="105"/>
        <v>0.76000000000000034</v>
      </c>
      <c r="EU46" s="170">
        <f t="shared" si="106"/>
        <v>0.76000000000000034</v>
      </c>
      <c r="EV46" s="162">
        <f t="shared" si="26"/>
        <v>4.2266279934038655</v>
      </c>
      <c r="EW46" s="171">
        <f t="shared" si="107"/>
        <v>4.2266279934038655</v>
      </c>
      <c r="EX46" s="162"/>
    </row>
    <row r="47" spans="3:154" s="181" customFormat="1" x14ac:dyDescent="0.25">
      <c r="T47" s="162">
        <f t="shared" si="27"/>
        <v>0.78000000000000036</v>
      </c>
      <c r="U47" s="170">
        <f t="shared" si="28"/>
        <v>0.78000000000000036</v>
      </c>
      <c r="V47" s="162">
        <f t="shared" si="0"/>
        <v>4.2797758897741076</v>
      </c>
      <c r="W47" s="171">
        <f t="shared" si="29"/>
        <v>4.2797758897741076</v>
      </c>
      <c r="X47" s="162"/>
      <c r="Y47" s="162">
        <f t="shared" si="30"/>
        <v>0.78000000000000036</v>
      </c>
      <c r="Z47" s="162">
        <f t="shared" si="31"/>
        <v>0.78000000000000036</v>
      </c>
      <c r="AA47" s="162">
        <f t="shared" si="1"/>
        <v>4.2797758897741076</v>
      </c>
      <c r="AB47" s="171">
        <f t="shared" si="32"/>
        <v>4.2797758897741076</v>
      </c>
      <c r="AC47" s="162"/>
      <c r="AD47" s="162">
        <f t="shared" si="33"/>
        <v>0.78000000000000036</v>
      </c>
      <c r="AE47" s="170">
        <f t="shared" si="34"/>
        <v>0.78000000000000036</v>
      </c>
      <c r="AF47" s="162">
        <f t="shared" si="2"/>
        <v>4.2797758897741076</v>
      </c>
      <c r="AG47" s="171">
        <f t="shared" si="35"/>
        <v>4.2797758897741076</v>
      </c>
      <c r="AH47" s="162"/>
      <c r="AI47" s="162">
        <f t="shared" si="36"/>
        <v>0.78000000000000036</v>
      </c>
      <c r="AJ47" s="170">
        <f t="shared" si="37"/>
        <v>0.78000000000000036</v>
      </c>
      <c r="AK47" s="162">
        <f t="shared" si="3"/>
        <v>4.2797758897741076</v>
      </c>
      <c r="AL47" s="171">
        <f t="shared" si="38"/>
        <v>4.2797758897741076</v>
      </c>
      <c r="AM47" s="162"/>
      <c r="AN47" s="162">
        <f t="shared" si="39"/>
        <v>0.78000000000000036</v>
      </c>
      <c r="AO47" s="162">
        <f t="shared" si="40"/>
        <v>0.78000000000000036</v>
      </c>
      <c r="AP47" s="162">
        <f t="shared" si="4"/>
        <v>4.2797758897741076</v>
      </c>
      <c r="AQ47" s="171">
        <f t="shared" si="41"/>
        <v>4.2797758897741076</v>
      </c>
      <c r="AR47" s="162"/>
      <c r="AS47" s="162">
        <f t="shared" si="42"/>
        <v>0.78000000000000036</v>
      </c>
      <c r="AT47" s="170">
        <f t="shared" si="43"/>
        <v>0.78000000000000036</v>
      </c>
      <c r="AU47" s="162">
        <f t="shared" si="5"/>
        <v>4.2797758897741076</v>
      </c>
      <c r="AV47" s="171">
        <f t="shared" si="44"/>
        <v>4.2797758897741076</v>
      </c>
      <c r="AW47" s="162"/>
      <c r="AX47" s="162">
        <f t="shared" si="45"/>
        <v>0.78000000000000036</v>
      </c>
      <c r="AY47" s="170">
        <f t="shared" si="46"/>
        <v>0.78000000000000036</v>
      </c>
      <c r="AZ47" s="162">
        <f t="shared" si="6"/>
        <v>4.2797758897741076</v>
      </c>
      <c r="BA47" s="171">
        <f t="shared" si="47"/>
        <v>4.2797758897741076</v>
      </c>
      <c r="BB47" s="162"/>
      <c r="BC47" s="162">
        <f t="shared" si="48"/>
        <v>0.78000000000000036</v>
      </c>
      <c r="BD47" s="162">
        <f t="shared" si="49"/>
        <v>0.78000000000000036</v>
      </c>
      <c r="BE47" s="162">
        <f t="shared" si="7"/>
        <v>4.2797758897741076</v>
      </c>
      <c r="BF47" s="171">
        <f t="shared" si="50"/>
        <v>4.2797758897741076</v>
      </c>
      <c r="BG47" s="162"/>
      <c r="BH47" s="162">
        <f t="shared" si="51"/>
        <v>0.78000000000000036</v>
      </c>
      <c r="BI47" s="170">
        <f t="shared" si="52"/>
        <v>0.78000000000000036</v>
      </c>
      <c r="BJ47" s="162">
        <f t="shared" si="8"/>
        <v>4.2797758897741076</v>
      </c>
      <c r="BK47" s="171">
        <f t="shared" si="53"/>
        <v>4.2797758897741076</v>
      </c>
      <c r="BL47" s="162"/>
      <c r="BM47" s="162">
        <f t="shared" si="54"/>
        <v>0.78000000000000036</v>
      </c>
      <c r="BN47" s="170">
        <f t="shared" si="55"/>
        <v>0.78000000000000036</v>
      </c>
      <c r="BO47" s="162">
        <f t="shared" si="9"/>
        <v>4.2797758897741076</v>
      </c>
      <c r="BP47" s="171">
        <f t="shared" si="56"/>
        <v>4.2797758897741076</v>
      </c>
      <c r="BQ47" s="162"/>
      <c r="BR47" s="162">
        <f t="shared" si="57"/>
        <v>0.78000000000000036</v>
      </c>
      <c r="BS47" s="162">
        <f t="shared" si="58"/>
        <v>0.78000000000000036</v>
      </c>
      <c r="BT47" s="162">
        <f t="shared" si="10"/>
        <v>4.2797758897741076</v>
      </c>
      <c r="BU47" s="171">
        <f t="shared" si="59"/>
        <v>4.2797758897741076</v>
      </c>
      <c r="BV47" s="162"/>
      <c r="BW47" s="162">
        <f t="shared" si="60"/>
        <v>0.78000000000000036</v>
      </c>
      <c r="BX47" s="170">
        <f t="shared" si="61"/>
        <v>0.78000000000000036</v>
      </c>
      <c r="BY47" s="162">
        <f t="shared" si="11"/>
        <v>4.2797758897741076</v>
      </c>
      <c r="BZ47" s="171">
        <f t="shared" si="62"/>
        <v>4.2797758897741076</v>
      </c>
      <c r="CA47" s="162"/>
      <c r="CB47" s="162">
        <f t="shared" si="63"/>
        <v>0.78000000000000036</v>
      </c>
      <c r="CC47" s="170">
        <f t="shared" si="64"/>
        <v>0.78000000000000036</v>
      </c>
      <c r="CD47" s="162">
        <f t="shared" si="12"/>
        <v>4.2797758897741076</v>
      </c>
      <c r="CE47" s="171">
        <f t="shared" si="65"/>
        <v>4.2797758897741076</v>
      </c>
      <c r="CF47" s="162"/>
      <c r="CG47" s="172">
        <f t="shared" si="66"/>
        <v>0.78000000000000036</v>
      </c>
      <c r="CH47" s="172">
        <f t="shared" si="67"/>
        <v>0.78000000000000036</v>
      </c>
      <c r="CI47" s="172">
        <f t="shared" si="13"/>
        <v>4.2797758897741076</v>
      </c>
      <c r="CJ47" s="171">
        <f t="shared" si="68"/>
        <v>4.2797758897741076</v>
      </c>
      <c r="CK47" s="172"/>
      <c r="CL47" s="162">
        <f t="shared" si="69"/>
        <v>0.78000000000000036</v>
      </c>
      <c r="CM47" s="170">
        <f t="shared" si="70"/>
        <v>0.78000000000000036</v>
      </c>
      <c r="CN47" s="162">
        <f t="shared" si="14"/>
        <v>4.2797758897741076</v>
      </c>
      <c r="CO47" s="171">
        <f t="shared" si="71"/>
        <v>4.2797758897741076</v>
      </c>
      <c r="CP47" s="162"/>
      <c r="CQ47" s="162">
        <f t="shared" si="72"/>
        <v>0.78000000000000036</v>
      </c>
      <c r="CR47" s="170">
        <f t="shared" si="73"/>
        <v>0.78000000000000036</v>
      </c>
      <c r="CS47" s="162">
        <f t="shared" si="15"/>
        <v>4.2797758897741076</v>
      </c>
      <c r="CT47" s="171">
        <f t="shared" si="74"/>
        <v>4.2797758897741076</v>
      </c>
      <c r="CU47" s="162"/>
      <c r="CV47" s="162">
        <f t="shared" si="75"/>
        <v>0.78000000000000036</v>
      </c>
      <c r="CW47" s="162">
        <f t="shared" si="76"/>
        <v>0.78000000000000036</v>
      </c>
      <c r="CX47" s="162">
        <f t="shared" si="16"/>
        <v>4.2797758897741076</v>
      </c>
      <c r="CY47" s="171">
        <f t="shared" si="77"/>
        <v>4.2797758897741076</v>
      </c>
      <c r="CZ47" s="162"/>
      <c r="DA47" s="162">
        <f t="shared" si="78"/>
        <v>0.78000000000000036</v>
      </c>
      <c r="DB47" s="170">
        <f t="shared" si="79"/>
        <v>0.78000000000000036</v>
      </c>
      <c r="DC47" s="162">
        <f t="shared" si="17"/>
        <v>4.2797758897741076</v>
      </c>
      <c r="DD47" s="171">
        <f t="shared" si="80"/>
        <v>4.2797758897741076</v>
      </c>
      <c r="DE47" s="162"/>
      <c r="DF47" s="162">
        <f t="shared" si="81"/>
        <v>0.78000000000000036</v>
      </c>
      <c r="DG47" s="170">
        <f t="shared" si="82"/>
        <v>0.78000000000000036</v>
      </c>
      <c r="DH47" s="162">
        <f t="shared" si="18"/>
        <v>4.2797758897741076</v>
      </c>
      <c r="DI47" s="171">
        <f t="shared" si="83"/>
        <v>4.2797758897741076</v>
      </c>
      <c r="DJ47" s="162"/>
      <c r="DK47" s="162">
        <f t="shared" si="84"/>
        <v>0.78000000000000036</v>
      </c>
      <c r="DL47" s="162">
        <f t="shared" si="85"/>
        <v>0.78000000000000036</v>
      </c>
      <c r="DM47" s="162">
        <f t="shared" si="19"/>
        <v>4.2797758897741076</v>
      </c>
      <c r="DN47" s="171">
        <f t="shared" si="86"/>
        <v>4.2797758897741076</v>
      </c>
      <c r="DO47" s="162"/>
      <c r="DP47" s="162">
        <f t="shared" si="87"/>
        <v>0.78000000000000036</v>
      </c>
      <c r="DQ47" s="170">
        <f t="shared" si="88"/>
        <v>0.78000000000000036</v>
      </c>
      <c r="DR47" s="162">
        <f t="shared" si="20"/>
        <v>4.2797758897741076</v>
      </c>
      <c r="DS47" s="171">
        <f t="shared" si="89"/>
        <v>4.2797758897741076</v>
      </c>
      <c r="DT47" s="162"/>
      <c r="DU47" s="162">
        <f t="shared" si="90"/>
        <v>0.78000000000000036</v>
      </c>
      <c r="DV47" s="170">
        <f t="shared" si="91"/>
        <v>0.78000000000000036</v>
      </c>
      <c r="DW47" s="162">
        <f t="shared" si="21"/>
        <v>4.2797758897741076</v>
      </c>
      <c r="DX47" s="171">
        <f t="shared" si="92"/>
        <v>4.2797758897741076</v>
      </c>
      <c r="DY47" s="162"/>
      <c r="DZ47" s="162">
        <f t="shared" si="93"/>
        <v>0.78000000000000036</v>
      </c>
      <c r="EA47" s="162">
        <f t="shared" si="94"/>
        <v>0.78000000000000036</v>
      </c>
      <c r="EB47" s="162">
        <f t="shared" si="22"/>
        <v>4.2797758897741076</v>
      </c>
      <c r="EC47" s="171">
        <f t="shared" si="95"/>
        <v>4.2797758897741076</v>
      </c>
      <c r="ED47" s="162"/>
      <c r="EE47" s="162">
        <f t="shared" si="96"/>
        <v>0.78000000000000036</v>
      </c>
      <c r="EF47" s="170">
        <f t="shared" si="97"/>
        <v>0.78000000000000036</v>
      </c>
      <c r="EG47" s="162">
        <f t="shared" si="23"/>
        <v>4.2797758897741076</v>
      </c>
      <c r="EH47" s="171">
        <f t="shared" si="98"/>
        <v>4.2797758897741076</v>
      </c>
      <c r="EI47" s="162"/>
      <c r="EJ47" s="162">
        <f t="shared" si="99"/>
        <v>0.78000000000000036</v>
      </c>
      <c r="EK47" s="170">
        <f t="shared" si="100"/>
        <v>0.78000000000000036</v>
      </c>
      <c r="EL47" s="162">
        <f t="shared" si="24"/>
        <v>4.2797758897741076</v>
      </c>
      <c r="EM47" s="171">
        <f t="shared" si="101"/>
        <v>4.2797758897741076</v>
      </c>
      <c r="EN47" s="162"/>
      <c r="EO47" s="162">
        <f t="shared" si="102"/>
        <v>0.78000000000000036</v>
      </c>
      <c r="EP47" s="162">
        <f t="shared" si="103"/>
        <v>0.78000000000000036</v>
      </c>
      <c r="EQ47" s="162">
        <f t="shared" si="25"/>
        <v>4.2797758897741076</v>
      </c>
      <c r="ER47" s="171">
        <f t="shared" si="104"/>
        <v>4.2797758897741076</v>
      </c>
      <c r="ES47" s="162"/>
      <c r="ET47" s="162">
        <f t="shared" si="105"/>
        <v>0.78000000000000036</v>
      </c>
      <c r="EU47" s="170">
        <f t="shared" si="106"/>
        <v>0.78000000000000036</v>
      </c>
      <c r="EV47" s="162">
        <f t="shared" si="26"/>
        <v>4.2797758897741076</v>
      </c>
      <c r="EW47" s="171">
        <f t="shared" si="107"/>
        <v>4.2797758897741076</v>
      </c>
      <c r="EX47" s="162"/>
    </row>
    <row r="48" spans="3:154" s="181" customFormat="1" x14ac:dyDescent="0.25">
      <c r="T48" s="162">
        <f t="shared" si="27"/>
        <v>0.80000000000000038</v>
      </c>
      <c r="U48" s="170">
        <f t="shared" si="28"/>
        <v>0.80000000000000038</v>
      </c>
      <c r="V48" s="162">
        <f t="shared" si="0"/>
        <v>4.3302152734165018</v>
      </c>
      <c r="W48" s="171">
        <f t="shared" si="29"/>
        <v>4.3302152734165018</v>
      </c>
      <c r="X48" s="162"/>
      <c r="Y48" s="162">
        <f t="shared" si="30"/>
        <v>0.80000000000000038</v>
      </c>
      <c r="Z48" s="162">
        <f t="shared" si="31"/>
        <v>0.80000000000000038</v>
      </c>
      <c r="AA48" s="162">
        <f t="shared" si="1"/>
        <v>4.3302152734165018</v>
      </c>
      <c r="AB48" s="171">
        <f t="shared" si="32"/>
        <v>4.3302152734165018</v>
      </c>
      <c r="AC48" s="162"/>
      <c r="AD48" s="162">
        <f t="shared" si="33"/>
        <v>0.80000000000000038</v>
      </c>
      <c r="AE48" s="170">
        <f t="shared" si="34"/>
        <v>0.80000000000000038</v>
      </c>
      <c r="AF48" s="162">
        <f t="shared" si="2"/>
        <v>4.3302152734165018</v>
      </c>
      <c r="AG48" s="171">
        <f t="shared" si="35"/>
        <v>4.3302152734165018</v>
      </c>
      <c r="AH48" s="162"/>
      <c r="AI48" s="162">
        <f t="shared" si="36"/>
        <v>0.80000000000000038</v>
      </c>
      <c r="AJ48" s="170">
        <f t="shared" si="37"/>
        <v>0.80000000000000038</v>
      </c>
      <c r="AK48" s="162">
        <f t="shared" si="3"/>
        <v>4.3302152734165018</v>
      </c>
      <c r="AL48" s="171">
        <f t="shared" si="38"/>
        <v>4.3302152734165018</v>
      </c>
      <c r="AM48" s="162"/>
      <c r="AN48" s="162">
        <f t="shared" si="39"/>
        <v>0.80000000000000038</v>
      </c>
      <c r="AO48" s="162">
        <f t="shared" si="40"/>
        <v>0.80000000000000038</v>
      </c>
      <c r="AP48" s="162">
        <f t="shared" si="4"/>
        <v>4.3302152734165018</v>
      </c>
      <c r="AQ48" s="171">
        <f t="shared" si="41"/>
        <v>4.3302152734165018</v>
      </c>
      <c r="AR48" s="162"/>
      <c r="AS48" s="162">
        <f t="shared" si="42"/>
        <v>0.80000000000000038</v>
      </c>
      <c r="AT48" s="170">
        <f t="shared" si="43"/>
        <v>0.80000000000000038</v>
      </c>
      <c r="AU48" s="162">
        <f t="shared" si="5"/>
        <v>4.3302152734165018</v>
      </c>
      <c r="AV48" s="171">
        <f t="shared" si="44"/>
        <v>4.3302152734165018</v>
      </c>
      <c r="AW48" s="162"/>
      <c r="AX48" s="162">
        <f t="shared" si="45"/>
        <v>0.80000000000000038</v>
      </c>
      <c r="AY48" s="170">
        <f t="shared" si="46"/>
        <v>0.80000000000000038</v>
      </c>
      <c r="AZ48" s="162">
        <f t="shared" si="6"/>
        <v>4.3302152734165018</v>
      </c>
      <c r="BA48" s="171">
        <f t="shared" si="47"/>
        <v>4.3302152734165018</v>
      </c>
      <c r="BB48" s="162"/>
      <c r="BC48" s="162">
        <f t="shared" si="48"/>
        <v>0.80000000000000038</v>
      </c>
      <c r="BD48" s="162">
        <f t="shared" si="49"/>
        <v>0.80000000000000038</v>
      </c>
      <c r="BE48" s="162">
        <f t="shared" si="7"/>
        <v>4.3302152734165018</v>
      </c>
      <c r="BF48" s="171">
        <f t="shared" si="50"/>
        <v>4.3302152734165018</v>
      </c>
      <c r="BG48" s="162"/>
      <c r="BH48" s="162">
        <f t="shared" si="51"/>
        <v>0.80000000000000038</v>
      </c>
      <c r="BI48" s="170">
        <f t="shared" si="52"/>
        <v>0.80000000000000038</v>
      </c>
      <c r="BJ48" s="162">
        <f t="shared" si="8"/>
        <v>4.3302152734165018</v>
      </c>
      <c r="BK48" s="171">
        <f t="shared" si="53"/>
        <v>4.3302152734165018</v>
      </c>
      <c r="BL48" s="162"/>
      <c r="BM48" s="162">
        <f t="shared" si="54"/>
        <v>0.80000000000000038</v>
      </c>
      <c r="BN48" s="170">
        <f t="shared" si="55"/>
        <v>0.80000000000000038</v>
      </c>
      <c r="BO48" s="162">
        <f t="shared" si="9"/>
        <v>4.3302152734165018</v>
      </c>
      <c r="BP48" s="171">
        <f t="shared" si="56"/>
        <v>4.3302152734165018</v>
      </c>
      <c r="BQ48" s="162"/>
      <c r="BR48" s="162">
        <f t="shared" si="57"/>
        <v>0.80000000000000038</v>
      </c>
      <c r="BS48" s="162">
        <f t="shared" si="58"/>
        <v>0.80000000000000038</v>
      </c>
      <c r="BT48" s="162">
        <f t="shared" si="10"/>
        <v>4.3302152734165018</v>
      </c>
      <c r="BU48" s="171">
        <f t="shared" si="59"/>
        <v>4.3302152734165018</v>
      </c>
      <c r="BV48" s="162"/>
      <c r="BW48" s="162">
        <f t="shared" si="60"/>
        <v>0.80000000000000038</v>
      </c>
      <c r="BX48" s="170">
        <f t="shared" si="61"/>
        <v>0.80000000000000038</v>
      </c>
      <c r="BY48" s="162">
        <f t="shared" si="11"/>
        <v>4.3302152734165018</v>
      </c>
      <c r="BZ48" s="171">
        <f t="shared" si="62"/>
        <v>4.3302152734165018</v>
      </c>
      <c r="CA48" s="162"/>
      <c r="CB48" s="162">
        <f t="shared" si="63"/>
        <v>0.80000000000000038</v>
      </c>
      <c r="CC48" s="170">
        <f t="shared" si="64"/>
        <v>0.80000000000000038</v>
      </c>
      <c r="CD48" s="162">
        <f t="shared" si="12"/>
        <v>4.3302152734165018</v>
      </c>
      <c r="CE48" s="171">
        <f t="shared" si="65"/>
        <v>4.3302152734165018</v>
      </c>
      <c r="CF48" s="162"/>
      <c r="CG48" s="172">
        <f t="shared" si="66"/>
        <v>0.80000000000000038</v>
      </c>
      <c r="CH48" s="172">
        <f t="shared" si="67"/>
        <v>0.80000000000000038</v>
      </c>
      <c r="CI48" s="172">
        <f t="shared" si="13"/>
        <v>4.3302152734165018</v>
      </c>
      <c r="CJ48" s="171">
        <f t="shared" si="68"/>
        <v>4.3302152734165018</v>
      </c>
      <c r="CK48" s="172"/>
      <c r="CL48" s="162">
        <f t="shared" si="69"/>
        <v>0.80000000000000038</v>
      </c>
      <c r="CM48" s="170">
        <f t="shared" si="70"/>
        <v>0.80000000000000038</v>
      </c>
      <c r="CN48" s="162">
        <f t="shared" si="14"/>
        <v>4.3302152734165018</v>
      </c>
      <c r="CO48" s="171">
        <f t="shared" si="71"/>
        <v>4.3302152734165018</v>
      </c>
      <c r="CP48" s="162"/>
      <c r="CQ48" s="162">
        <f t="shared" si="72"/>
        <v>0.80000000000000038</v>
      </c>
      <c r="CR48" s="170">
        <f t="shared" si="73"/>
        <v>0.80000000000000038</v>
      </c>
      <c r="CS48" s="162">
        <f t="shared" si="15"/>
        <v>4.3302152734165018</v>
      </c>
      <c r="CT48" s="171">
        <f t="shared" si="74"/>
        <v>4.3302152734165018</v>
      </c>
      <c r="CU48" s="162"/>
      <c r="CV48" s="162">
        <f t="shared" si="75"/>
        <v>0.80000000000000038</v>
      </c>
      <c r="CW48" s="162">
        <f t="shared" si="76"/>
        <v>0.80000000000000038</v>
      </c>
      <c r="CX48" s="162">
        <f t="shared" si="16"/>
        <v>4.3302152734165018</v>
      </c>
      <c r="CY48" s="171">
        <f t="shared" si="77"/>
        <v>4.3302152734165018</v>
      </c>
      <c r="CZ48" s="162"/>
      <c r="DA48" s="162">
        <f t="shared" si="78"/>
        <v>0.80000000000000038</v>
      </c>
      <c r="DB48" s="170">
        <f t="shared" si="79"/>
        <v>0.80000000000000038</v>
      </c>
      <c r="DC48" s="162">
        <f t="shared" si="17"/>
        <v>4.3302152734165018</v>
      </c>
      <c r="DD48" s="171">
        <f t="shared" si="80"/>
        <v>4.3302152734165018</v>
      </c>
      <c r="DE48" s="162"/>
      <c r="DF48" s="162">
        <f t="shared" si="81"/>
        <v>0.80000000000000038</v>
      </c>
      <c r="DG48" s="170">
        <f t="shared" si="82"/>
        <v>0.80000000000000038</v>
      </c>
      <c r="DH48" s="162">
        <f t="shared" si="18"/>
        <v>4.3302152734165018</v>
      </c>
      <c r="DI48" s="171">
        <f t="shared" si="83"/>
        <v>4.3302152734165018</v>
      </c>
      <c r="DJ48" s="162"/>
      <c r="DK48" s="162">
        <f t="shared" si="84"/>
        <v>0.80000000000000038</v>
      </c>
      <c r="DL48" s="162">
        <f t="shared" si="85"/>
        <v>0.80000000000000038</v>
      </c>
      <c r="DM48" s="162">
        <f t="shared" si="19"/>
        <v>4.3302152734165018</v>
      </c>
      <c r="DN48" s="171">
        <f t="shared" si="86"/>
        <v>4.3302152734165018</v>
      </c>
      <c r="DO48" s="162"/>
      <c r="DP48" s="162">
        <f t="shared" si="87"/>
        <v>0.80000000000000038</v>
      </c>
      <c r="DQ48" s="170">
        <f t="shared" si="88"/>
        <v>0.80000000000000038</v>
      </c>
      <c r="DR48" s="162">
        <f t="shared" si="20"/>
        <v>4.3302152734165018</v>
      </c>
      <c r="DS48" s="171">
        <f t="shared" si="89"/>
        <v>4.3302152734165018</v>
      </c>
      <c r="DT48" s="162"/>
      <c r="DU48" s="162">
        <f t="shared" si="90"/>
        <v>0.80000000000000038</v>
      </c>
      <c r="DV48" s="170">
        <f t="shared" si="91"/>
        <v>0.80000000000000038</v>
      </c>
      <c r="DW48" s="162">
        <f t="shared" si="21"/>
        <v>4.3302152734165018</v>
      </c>
      <c r="DX48" s="171">
        <f t="shared" si="92"/>
        <v>4.3302152734165018</v>
      </c>
      <c r="DY48" s="162"/>
      <c r="DZ48" s="162">
        <f t="shared" si="93"/>
        <v>0.80000000000000038</v>
      </c>
      <c r="EA48" s="162">
        <f t="shared" si="94"/>
        <v>0.80000000000000038</v>
      </c>
      <c r="EB48" s="162">
        <f t="shared" si="22"/>
        <v>4.3302152734165018</v>
      </c>
      <c r="EC48" s="171">
        <f t="shared" si="95"/>
        <v>4.3302152734165018</v>
      </c>
      <c r="ED48" s="162"/>
      <c r="EE48" s="162">
        <f t="shared" si="96"/>
        <v>0.80000000000000038</v>
      </c>
      <c r="EF48" s="170">
        <f t="shared" si="97"/>
        <v>0.80000000000000038</v>
      </c>
      <c r="EG48" s="162">
        <f t="shared" si="23"/>
        <v>4.3302152734165018</v>
      </c>
      <c r="EH48" s="171">
        <f t="shared" si="98"/>
        <v>4.3302152734165018</v>
      </c>
      <c r="EI48" s="162"/>
      <c r="EJ48" s="162">
        <f t="shared" si="99"/>
        <v>0.80000000000000038</v>
      </c>
      <c r="EK48" s="170">
        <f t="shared" si="100"/>
        <v>0.80000000000000038</v>
      </c>
      <c r="EL48" s="162">
        <f t="shared" si="24"/>
        <v>4.3302152734165018</v>
      </c>
      <c r="EM48" s="171">
        <f t="shared" si="101"/>
        <v>4.3302152734165018</v>
      </c>
      <c r="EN48" s="162"/>
      <c r="EO48" s="162">
        <f t="shared" si="102"/>
        <v>0.80000000000000038</v>
      </c>
      <c r="EP48" s="162">
        <f t="shared" si="103"/>
        <v>0.80000000000000038</v>
      </c>
      <c r="EQ48" s="162">
        <f t="shared" si="25"/>
        <v>4.3302152734165018</v>
      </c>
      <c r="ER48" s="171">
        <f t="shared" si="104"/>
        <v>4.3302152734165018</v>
      </c>
      <c r="ES48" s="162"/>
      <c r="ET48" s="162">
        <f t="shared" si="105"/>
        <v>0.80000000000000038</v>
      </c>
      <c r="EU48" s="170">
        <f t="shared" si="106"/>
        <v>0.80000000000000038</v>
      </c>
      <c r="EV48" s="162">
        <f t="shared" si="26"/>
        <v>4.3302152734165018</v>
      </c>
      <c r="EW48" s="171">
        <f t="shared" si="107"/>
        <v>4.3302152734165018</v>
      </c>
      <c r="EX48" s="162"/>
    </row>
    <row r="49" spans="20:154" s="181" customFormat="1" x14ac:dyDescent="0.25">
      <c r="T49" s="162">
        <f t="shared" si="27"/>
        <v>0.8200000000000004</v>
      </c>
      <c r="U49" s="170">
        <f t="shared" si="28"/>
        <v>0.8200000000000004</v>
      </c>
      <c r="V49" s="162">
        <f t="shared" si="0"/>
        <v>4.377946144331049</v>
      </c>
      <c r="W49" s="171">
        <f t="shared" si="29"/>
        <v>4.377946144331049</v>
      </c>
      <c r="X49" s="162"/>
      <c r="Y49" s="162">
        <f t="shared" si="30"/>
        <v>0.8200000000000004</v>
      </c>
      <c r="Z49" s="162">
        <f t="shared" si="31"/>
        <v>0.8200000000000004</v>
      </c>
      <c r="AA49" s="162">
        <f t="shared" si="1"/>
        <v>4.377946144331049</v>
      </c>
      <c r="AB49" s="171">
        <f t="shared" si="32"/>
        <v>4.377946144331049</v>
      </c>
      <c r="AC49" s="162"/>
      <c r="AD49" s="162">
        <f t="shared" si="33"/>
        <v>0.8200000000000004</v>
      </c>
      <c r="AE49" s="170">
        <f t="shared" si="34"/>
        <v>0.8200000000000004</v>
      </c>
      <c r="AF49" s="162">
        <f t="shared" si="2"/>
        <v>4.377946144331049</v>
      </c>
      <c r="AG49" s="171">
        <f t="shared" si="35"/>
        <v>4.377946144331049</v>
      </c>
      <c r="AH49" s="162"/>
      <c r="AI49" s="162">
        <f t="shared" si="36"/>
        <v>0.8200000000000004</v>
      </c>
      <c r="AJ49" s="170">
        <f t="shared" si="37"/>
        <v>0.8200000000000004</v>
      </c>
      <c r="AK49" s="162">
        <f t="shared" si="3"/>
        <v>4.377946144331049</v>
      </c>
      <c r="AL49" s="171">
        <f t="shared" si="38"/>
        <v>4.377946144331049</v>
      </c>
      <c r="AM49" s="162"/>
      <c r="AN49" s="162">
        <f t="shared" si="39"/>
        <v>0.8200000000000004</v>
      </c>
      <c r="AO49" s="162">
        <f t="shared" si="40"/>
        <v>0.8200000000000004</v>
      </c>
      <c r="AP49" s="162">
        <f t="shared" si="4"/>
        <v>4.377946144331049</v>
      </c>
      <c r="AQ49" s="171">
        <f t="shared" si="41"/>
        <v>4.377946144331049</v>
      </c>
      <c r="AR49" s="162"/>
      <c r="AS49" s="162">
        <f t="shared" si="42"/>
        <v>0.8200000000000004</v>
      </c>
      <c r="AT49" s="170">
        <f t="shared" si="43"/>
        <v>0.8200000000000004</v>
      </c>
      <c r="AU49" s="162">
        <f t="shared" si="5"/>
        <v>4.377946144331049</v>
      </c>
      <c r="AV49" s="171">
        <f t="shared" si="44"/>
        <v>4.377946144331049</v>
      </c>
      <c r="AW49" s="162"/>
      <c r="AX49" s="162">
        <f t="shared" si="45"/>
        <v>0.8200000000000004</v>
      </c>
      <c r="AY49" s="170">
        <f t="shared" si="46"/>
        <v>0.8200000000000004</v>
      </c>
      <c r="AZ49" s="162">
        <f t="shared" si="6"/>
        <v>4.377946144331049</v>
      </c>
      <c r="BA49" s="171">
        <f t="shared" si="47"/>
        <v>4.377946144331049</v>
      </c>
      <c r="BB49" s="162"/>
      <c r="BC49" s="162">
        <f t="shared" si="48"/>
        <v>0.8200000000000004</v>
      </c>
      <c r="BD49" s="162">
        <f t="shared" si="49"/>
        <v>0.8200000000000004</v>
      </c>
      <c r="BE49" s="162">
        <f t="shared" si="7"/>
        <v>4.377946144331049</v>
      </c>
      <c r="BF49" s="171">
        <f t="shared" si="50"/>
        <v>4.377946144331049</v>
      </c>
      <c r="BG49" s="162"/>
      <c r="BH49" s="162">
        <f t="shared" si="51"/>
        <v>0.8200000000000004</v>
      </c>
      <c r="BI49" s="170">
        <f t="shared" si="52"/>
        <v>0.8200000000000004</v>
      </c>
      <c r="BJ49" s="162">
        <f t="shared" si="8"/>
        <v>4.377946144331049</v>
      </c>
      <c r="BK49" s="171">
        <f t="shared" si="53"/>
        <v>4.377946144331049</v>
      </c>
      <c r="BL49" s="162"/>
      <c r="BM49" s="162">
        <f t="shared" si="54"/>
        <v>0.8200000000000004</v>
      </c>
      <c r="BN49" s="170">
        <f t="shared" si="55"/>
        <v>0.8200000000000004</v>
      </c>
      <c r="BO49" s="162">
        <f t="shared" si="9"/>
        <v>4.377946144331049</v>
      </c>
      <c r="BP49" s="171">
        <f t="shared" si="56"/>
        <v>4.377946144331049</v>
      </c>
      <c r="BQ49" s="162"/>
      <c r="BR49" s="162">
        <f t="shared" si="57"/>
        <v>0.8200000000000004</v>
      </c>
      <c r="BS49" s="162">
        <f t="shared" si="58"/>
        <v>0.8200000000000004</v>
      </c>
      <c r="BT49" s="162">
        <f t="shared" si="10"/>
        <v>4.377946144331049</v>
      </c>
      <c r="BU49" s="171">
        <f t="shared" si="59"/>
        <v>4.377946144331049</v>
      </c>
      <c r="BV49" s="162"/>
      <c r="BW49" s="162">
        <f t="shared" si="60"/>
        <v>0.8200000000000004</v>
      </c>
      <c r="BX49" s="170">
        <f t="shared" si="61"/>
        <v>0.8200000000000004</v>
      </c>
      <c r="BY49" s="162">
        <f t="shared" si="11"/>
        <v>4.377946144331049</v>
      </c>
      <c r="BZ49" s="171">
        <f t="shared" si="62"/>
        <v>4.377946144331049</v>
      </c>
      <c r="CA49" s="162"/>
      <c r="CB49" s="162">
        <f t="shared" si="63"/>
        <v>0.8200000000000004</v>
      </c>
      <c r="CC49" s="170">
        <f t="shared" si="64"/>
        <v>0.8200000000000004</v>
      </c>
      <c r="CD49" s="162">
        <f t="shared" si="12"/>
        <v>4.377946144331049</v>
      </c>
      <c r="CE49" s="171">
        <f t="shared" si="65"/>
        <v>4.377946144331049</v>
      </c>
      <c r="CF49" s="162"/>
      <c r="CG49" s="172">
        <f t="shared" si="66"/>
        <v>0.8200000000000004</v>
      </c>
      <c r="CH49" s="172">
        <f t="shared" si="67"/>
        <v>0.8200000000000004</v>
      </c>
      <c r="CI49" s="172">
        <f t="shared" si="13"/>
        <v>4.377946144331049</v>
      </c>
      <c r="CJ49" s="171">
        <f t="shared" si="68"/>
        <v>4.377946144331049</v>
      </c>
      <c r="CK49" s="172"/>
      <c r="CL49" s="162">
        <f t="shared" si="69"/>
        <v>0.8200000000000004</v>
      </c>
      <c r="CM49" s="170">
        <f t="shared" si="70"/>
        <v>0.8200000000000004</v>
      </c>
      <c r="CN49" s="162">
        <f t="shared" si="14"/>
        <v>4.377946144331049</v>
      </c>
      <c r="CO49" s="171">
        <f t="shared" si="71"/>
        <v>4.377946144331049</v>
      </c>
      <c r="CP49" s="162"/>
      <c r="CQ49" s="162">
        <f t="shared" si="72"/>
        <v>0.8200000000000004</v>
      </c>
      <c r="CR49" s="170">
        <f t="shared" si="73"/>
        <v>0.8200000000000004</v>
      </c>
      <c r="CS49" s="162">
        <f t="shared" si="15"/>
        <v>4.377946144331049</v>
      </c>
      <c r="CT49" s="171">
        <f t="shared" si="74"/>
        <v>4.377946144331049</v>
      </c>
      <c r="CU49" s="162"/>
      <c r="CV49" s="162">
        <f t="shared" si="75"/>
        <v>0.8200000000000004</v>
      </c>
      <c r="CW49" s="162">
        <f t="shared" si="76"/>
        <v>0.8200000000000004</v>
      </c>
      <c r="CX49" s="162">
        <f t="shared" si="16"/>
        <v>4.377946144331049</v>
      </c>
      <c r="CY49" s="171">
        <f t="shared" si="77"/>
        <v>4.377946144331049</v>
      </c>
      <c r="CZ49" s="162"/>
      <c r="DA49" s="162">
        <f t="shared" si="78"/>
        <v>0.8200000000000004</v>
      </c>
      <c r="DB49" s="170">
        <f t="shared" si="79"/>
        <v>0.8200000000000004</v>
      </c>
      <c r="DC49" s="162">
        <f t="shared" si="17"/>
        <v>4.377946144331049</v>
      </c>
      <c r="DD49" s="171">
        <f t="shared" si="80"/>
        <v>4.377946144331049</v>
      </c>
      <c r="DE49" s="162"/>
      <c r="DF49" s="162">
        <f t="shared" si="81"/>
        <v>0.8200000000000004</v>
      </c>
      <c r="DG49" s="170">
        <f t="shared" si="82"/>
        <v>0.8200000000000004</v>
      </c>
      <c r="DH49" s="162">
        <f t="shared" si="18"/>
        <v>4.377946144331049</v>
      </c>
      <c r="DI49" s="171">
        <f t="shared" si="83"/>
        <v>4.377946144331049</v>
      </c>
      <c r="DJ49" s="162"/>
      <c r="DK49" s="162">
        <f t="shared" si="84"/>
        <v>0.8200000000000004</v>
      </c>
      <c r="DL49" s="162">
        <f t="shared" si="85"/>
        <v>0.8200000000000004</v>
      </c>
      <c r="DM49" s="162">
        <f t="shared" si="19"/>
        <v>4.377946144331049</v>
      </c>
      <c r="DN49" s="171">
        <f t="shared" si="86"/>
        <v>4.377946144331049</v>
      </c>
      <c r="DO49" s="162"/>
      <c r="DP49" s="162">
        <f t="shared" si="87"/>
        <v>0.8200000000000004</v>
      </c>
      <c r="DQ49" s="170">
        <f t="shared" si="88"/>
        <v>0.8200000000000004</v>
      </c>
      <c r="DR49" s="162">
        <f t="shared" si="20"/>
        <v>4.377946144331049</v>
      </c>
      <c r="DS49" s="171">
        <f t="shared" si="89"/>
        <v>4.377946144331049</v>
      </c>
      <c r="DT49" s="162"/>
      <c r="DU49" s="162">
        <f t="shared" si="90"/>
        <v>0.8200000000000004</v>
      </c>
      <c r="DV49" s="170">
        <f t="shared" si="91"/>
        <v>0.8200000000000004</v>
      </c>
      <c r="DW49" s="162">
        <f t="shared" si="21"/>
        <v>4.377946144331049</v>
      </c>
      <c r="DX49" s="171">
        <f t="shared" si="92"/>
        <v>4.377946144331049</v>
      </c>
      <c r="DY49" s="162"/>
      <c r="DZ49" s="162">
        <f t="shared" si="93"/>
        <v>0.8200000000000004</v>
      </c>
      <c r="EA49" s="162">
        <f t="shared" si="94"/>
        <v>0.8200000000000004</v>
      </c>
      <c r="EB49" s="162">
        <f t="shared" si="22"/>
        <v>4.377946144331049</v>
      </c>
      <c r="EC49" s="171">
        <f t="shared" si="95"/>
        <v>4.377946144331049</v>
      </c>
      <c r="ED49" s="162"/>
      <c r="EE49" s="162">
        <f t="shared" si="96"/>
        <v>0.8200000000000004</v>
      </c>
      <c r="EF49" s="170">
        <f t="shared" si="97"/>
        <v>0.8200000000000004</v>
      </c>
      <c r="EG49" s="162">
        <f t="shared" si="23"/>
        <v>4.377946144331049</v>
      </c>
      <c r="EH49" s="171">
        <f t="shared" si="98"/>
        <v>4.377946144331049</v>
      </c>
      <c r="EI49" s="162"/>
      <c r="EJ49" s="162">
        <f t="shared" si="99"/>
        <v>0.8200000000000004</v>
      </c>
      <c r="EK49" s="170">
        <f t="shared" si="100"/>
        <v>0.8200000000000004</v>
      </c>
      <c r="EL49" s="162">
        <f t="shared" si="24"/>
        <v>4.377946144331049</v>
      </c>
      <c r="EM49" s="171">
        <f t="shared" si="101"/>
        <v>4.377946144331049</v>
      </c>
      <c r="EN49" s="162"/>
      <c r="EO49" s="162">
        <f t="shared" si="102"/>
        <v>0.8200000000000004</v>
      </c>
      <c r="EP49" s="162">
        <f t="shared" si="103"/>
        <v>0.8200000000000004</v>
      </c>
      <c r="EQ49" s="162">
        <f t="shared" si="25"/>
        <v>4.377946144331049</v>
      </c>
      <c r="ER49" s="171">
        <f t="shared" si="104"/>
        <v>4.377946144331049</v>
      </c>
      <c r="ES49" s="162"/>
      <c r="ET49" s="162">
        <f t="shared" si="105"/>
        <v>0.8200000000000004</v>
      </c>
      <c r="EU49" s="170">
        <f t="shared" si="106"/>
        <v>0.8200000000000004</v>
      </c>
      <c r="EV49" s="162">
        <f t="shared" si="26"/>
        <v>4.377946144331049</v>
      </c>
      <c r="EW49" s="171">
        <f t="shared" si="107"/>
        <v>4.377946144331049</v>
      </c>
      <c r="EX49" s="162"/>
    </row>
    <row r="50" spans="20:154" s="181" customFormat="1" x14ac:dyDescent="0.25">
      <c r="T50" s="162">
        <f t="shared" si="27"/>
        <v>0.84000000000000041</v>
      </c>
      <c r="U50" s="170">
        <f t="shared" si="28"/>
        <v>0.84000000000000041</v>
      </c>
      <c r="V50" s="162">
        <f t="shared" si="0"/>
        <v>4.4229685025177492</v>
      </c>
      <c r="W50" s="171">
        <f t="shared" si="29"/>
        <v>4.4229685025177492</v>
      </c>
      <c r="X50" s="162"/>
      <c r="Y50" s="162">
        <f t="shared" si="30"/>
        <v>0.84000000000000041</v>
      </c>
      <c r="Z50" s="162">
        <f t="shared" si="31"/>
        <v>0.84000000000000041</v>
      </c>
      <c r="AA50" s="162">
        <f t="shared" si="1"/>
        <v>4.4229685025177492</v>
      </c>
      <c r="AB50" s="171">
        <f t="shared" si="32"/>
        <v>4.4229685025177492</v>
      </c>
      <c r="AC50" s="162"/>
      <c r="AD50" s="162">
        <f t="shared" si="33"/>
        <v>0.84000000000000041</v>
      </c>
      <c r="AE50" s="170">
        <f t="shared" si="34"/>
        <v>0.84000000000000041</v>
      </c>
      <c r="AF50" s="162">
        <f t="shared" si="2"/>
        <v>4.4229685025177492</v>
      </c>
      <c r="AG50" s="171">
        <f t="shared" si="35"/>
        <v>4.4229685025177492</v>
      </c>
      <c r="AH50" s="162"/>
      <c r="AI50" s="162">
        <f t="shared" si="36"/>
        <v>0.84000000000000041</v>
      </c>
      <c r="AJ50" s="170">
        <f t="shared" si="37"/>
        <v>0.84000000000000041</v>
      </c>
      <c r="AK50" s="162">
        <f t="shared" si="3"/>
        <v>4.4229685025177492</v>
      </c>
      <c r="AL50" s="171">
        <f t="shared" si="38"/>
        <v>4.4229685025177492</v>
      </c>
      <c r="AM50" s="162"/>
      <c r="AN50" s="162">
        <f t="shared" si="39"/>
        <v>0.84000000000000041</v>
      </c>
      <c r="AO50" s="162">
        <f t="shared" si="40"/>
        <v>0.84000000000000041</v>
      </c>
      <c r="AP50" s="162">
        <f t="shared" si="4"/>
        <v>4.4229685025177492</v>
      </c>
      <c r="AQ50" s="171">
        <f t="shared" si="41"/>
        <v>4.4229685025177492</v>
      </c>
      <c r="AR50" s="162"/>
      <c r="AS50" s="162">
        <f t="shared" si="42"/>
        <v>0.84000000000000041</v>
      </c>
      <c r="AT50" s="170">
        <f t="shared" si="43"/>
        <v>0.84000000000000041</v>
      </c>
      <c r="AU50" s="162">
        <f t="shared" si="5"/>
        <v>4.4229685025177492</v>
      </c>
      <c r="AV50" s="171">
        <f t="shared" si="44"/>
        <v>4.4229685025177492</v>
      </c>
      <c r="AW50" s="162"/>
      <c r="AX50" s="162">
        <f t="shared" si="45"/>
        <v>0.84000000000000041</v>
      </c>
      <c r="AY50" s="170">
        <f t="shared" si="46"/>
        <v>0.84000000000000041</v>
      </c>
      <c r="AZ50" s="162">
        <f t="shared" si="6"/>
        <v>4.4229685025177492</v>
      </c>
      <c r="BA50" s="171">
        <f t="shared" si="47"/>
        <v>4.4229685025177492</v>
      </c>
      <c r="BB50" s="162"/>
      <c r="BC50" s="162">
        <f t="shared" si="48"/>
        <v>0.84000000000000041</v>
      </c>
      <c r="BD50" s="162">
        <f t="shared" si="49"/>
        <v>0.84000000000000041</v>
      </c>
      <c r="BE50" s="162">
        <f t="shared" si="7"/>
        <v>4.4229685025177492</v>
      </c>
      <c r="BF50" s="171">
        <f t="shared" si="50"/>
        <v>4.4229685025177492</v>
      </c>
      <c r="BG50" s="162"/>
      <c r="BH50" s="162">
        <f t="shared" si="51"/>
        <v>0.84000000000000041</v>
      </c>
      <c r="BI50" s="170">
        <f t="shared" si="52"/>
        <v>0.84000000000000041</v>
      </c>
      <c r="BJ50" s="162">
        <f t="shared" si="8"/>
        <v>4.4229685025177492</v>
      </c>
      <c r="BK50" s="171">
        <f t="shared" si="53"/>
        <v>4.4229685025177492</v>
      </c>
      <c r="BL50" s="162"/>
      <c r="BM50" s="162">
        <f t="shared" si="54"/>
        <v>0.84000000000000041</v>
      </c>
      <c r="BN50" s="170">
        <f t="shared" si="55"/>
        <v>0.84000000000000041</v>
      </c>
      <c r="BO50" s="162">
        <f t="shared" si="9"/>
        <v>4.4229685025177492</v>
      </c>
      <c r="BP50" s="171">
        <f t="shared" si="56"/>
        <v>4.4229685025177492</v>
      </c>
      <c r="BQ50" s="162"/>
      <c r="BR50" s="162">
        <f t="shared" si="57"/>
        <v>0.84000000000000041</v>
      </c>
      <c r="BS50" s="162">
        <f t="shared" si="58"/>
        <v>0.84000000000000041</v>
      </c>
      <c r="BT50" s="162">
        <f t="shared" si="10"/>
        <v>4.4229685025177492</v>
      </c>
      <c r="BU50" s="171">
        <f t="shared" si="59"/>
        <v>4.4229685025177492</v>
      </c>
      <c r="BV50" s="162"/>
      <c r="BW50" s="162">
        <f t="shared" si="60"/>
        <v>0.84000000000000041</v>
      </c>
      <c r="BX50" s="170">
        <f t="shared" si="61"/>
        <v>0.84000000000000041</v>
      </c>
      <c r="BY50" s="162">
        <f t="shared" si="11"/>
        <v>4.4229685025177492</v>
      </c>
      <c r="BZ50" s="171">
        <f t="shared" si="62"/>
        <v>4.4229685025177492</v>
      </c>
      <c r="CA50" s="162"/>
      <c r="CB50" s="162">
        <f t="shared" si="63"/>
        <v>0.84000000000000041</v>
      </c>
      <c r="CC50" s="170">
        <f t="shared" si="64"/>
        <v>0.84000000000000041</v>
      </c>
      <c r="CD50" s="162">
        <f t="shared" si="12"/>
        <v>4.4229685025177492</v>
      </c>
      <c r="CE50" s="171">
        <f t="shared" si="65"/>
        <v>4.4229685025177492</v>
      </c>
      <c r="CF50" s="162"/>
      <c r="CG50" s="172">
        <f t="shared" si="66"/>
        <v>0.84000000000000041</v>
      </c>
      <c r="CH50" s="172">
        <f t="shared" si="67"/>
        <v>0.84000000000000041</v>
      </c>
      <c r="CI50" s="172">
        <f t="shared" si="13"/>
        <v>4.4229685025177492</v>
      </c>
      <c r="CJ50" s="171">
        <f t="shared" si="68"/>
        <v>4.4229685025177492</v>
      </c>
      <c r="CK50" s="172"/>
      <c r="CL50" s="162">
        <f t="shared" si="69"/>
        <v>0.84000000000000041</v>
      </c>
      <c r="CM50" s="170">
        <f t="shared" si="70"/>
        <v>0.84000000000000041</v>
      </c>
      <c r="CN50" s="162">
        <f t="shared" si="14"/>
        <v>4.4229685025177492</v>
      </c>
      <c r="CO50" s="171">
        <f t="shared" si="71"/>
        <v>4.4229685025177492</v>
      </c>
      <c r="CP50" s="162"/>
      <c r="CQ50" s="162">
        <f t="shared" si="72"/>
        <v>0.84000000000000041</v>
      </c>
      <c r="CR50" s="170">
        <f t="shared" si="73"/>
        <v>0.84000000000000041</v>
      </c>
      <c r="CS50" s="162">
        <f t="shared" si="15"/>
        <v>4.4229685025177492</v>
      </c>
      <c r="CT50" s="171">
        <f t="shared" si="74"/>
        <v>4.4229685025177492</v>
      </c>
      <c r="CU50" s="162"/>
      <c r="CV50" s="162">
        <f t="shared" si="75"/>
        <v>0.84000000000000041</v>
      </c>
      <c r="CW50" s="162">
        <f t="shared" si="76"/>
        <v>0.84000000000000041</v>
      </c>
      <c r="CX50" s="162">
        <f t="shared" si="16"/>
        <v>4.4229685025177492</v>
      </c>
      <c r="CY50" s="171">
        <f t="shared" si="77"/>
        <v>4.4229685025177492</v>
      </c>
      <c r="CZ50" s="162"/>
      <c r="DA50" s="162">
        <f t="shared" si="78"/>
        <v>0.84000000000000041</v>
      </c>
      <c r="DB50" s="170">
        <f t="shared" si="79"/>
        <v>0.84000000000000041</v>
      </c>
      <c r="DC50" s="162">
        <f t="shared" si="17"/>
        <v>4.4229685025177492</v>
      </c>
      <c r="DD50" s="171">
        <f t="shared" si="80"/>
        <v>4.4229685025177492</v>
      </c>
      <c r="DE50" s="162"/>
      <c r="DF50" s="162">
        <f t="shared" si="81"/>
        <v>0.84000000000000041</v>
      </c>
      <c r="DG50" s="170">
        <f t="shared" si="82"/>
        <v>0.84000000000000041</v>
      </c>
      <c r="DH50" s="162">
        <f t="shared" si="18"/>
        <v>4.4229685025177492</v>
      </c>
      <c r="DI50" s="171">
        <f t="shared" si="83"/>
        <v>4.4229685025177492</v>
      </c>
      <c r="DJ50" s="162"/>
      <c r="DK50" s="162">
        <f t="shared" si="84"/>
        <v>0.84000000000000041</v>
      </c>
      <c r="DL50" s="162">
        <f t="shared" si="85"/>
        <v>0.84000000000000041</v>
      </c>
      <c r="DM50" s="162">
        <f t="shared" si="19"/>
        <v>4.4229685025177492</v>
      </c>
      <c r="DN50" s="171">
        <f t="shared" si="86"/>
        <v>4.4229685025177492</v>
      </c>
      <c r="DO50" s="162"/>
      <c r="DP50" s="162">
        <f t="shared" si="87"/>
        <v>0.84000000000000041</v>
      </c>
      <c r="DQ50" s="170">
        <f t="shared" si="88"/>
        <v>0.84000000000000041</v>
      </c>
      <c r="DR50" s="162">
        <f t="shared" si="20"/>
        <v>4.4229685025177492</v>
      </c>
      <c r="DS50" s="171">
        <f t="shared" si="89"/>
        <v>4.4229685025177492</v>
      </c>
      <c r="DT50" s="162"/>
      <c r="DU50" s="162">
        <f t="shared" si="90"/>
        <v>0.84000000000000041</v>
      </c>
      <c r="DV50" s="170">
        <f t="shared" si="91"/>
        <v>0.84000000000000041</v>
      </c>
      <c r="DW50" s="162">
        <f t="shared" si="21"/>
        <v>4.4229685025177492</v>
      </c>
      <c r="DX50" s="171">
        <f t="shared" si="92"/>
        <v>4.4229685025177492</v>
      </c>
      <c r="DY50" s="162"/>
      <c r="DZ50" s="162">
        <f t="shared" si="93"/>
        <v>0.84000000000000041</v>
      </c>
      <c r="EA50" s="162">
        <f t="shared" si="94"/>
        <v>0.84000000000000041</v>
      </c>
      <c r="EB50" s="162">
        <f t="shared" si="22"/>
        <v>4.4229685025177492</v>
      </c>
      <c r="EC50" s="171">
        <f t="shared" si="95"/>
        <v>4.4229685025177492</v>
      </c>
      <c r="ED50" s="162"/>
      <c r="EE50" s="162">
        <f t="shared" si="96"/>
        <v>0.84000000000000041</v>
      </c>
      <c r="EF50" s="170">
        <f t="shared" si="97"/>
        <v>0.84000000000000041</v>
      </c>
      <c r="EG50" s="162">
        <f t="shared" si="23"/>
        <v>4.4229685025177492</v>
      </c>
      <c r="EH50" s="171">
        <f t="shared" si="98"/>
        <v>4.4229685025177492</v>
      </c>
      <c r="EI50" s="162"/>
      <c r="EJ50" s="162">
        <f t="shared" si="99"/>
        <v>0.84000000000000041</v>
      </c>
      <c r="EK50" s="170">
        <f t="shared" si="100"/>
        <v>0.84000000000000041</v>
      </c>
      <c r="EL50" s="162">
        <f t="shared" si="24"/>
        <v>4.4229685025177492</v>
      </c>
      <c r="EM50" s="171">
        <f t="shared" si="101"/>
        <v>4.4229685025177492</v>
      </c>
      <c r="EN50" s="162"/>
      <c r="EO50" s="162">
        <f t="shared" si="102"/>
        <v>0.84000000000000041</v>
      </c>
      <c r="EP50" s="162">
        <f t="shared" si="103"/>
        <v>0.84000000000000041</v>
      </c>
      <c r="EQ50" s="162">
        <f t="shared" si="25"/>
        <v>4.4229685025177492</v>
      </c>
      <c r="ER50" s="171">
        <f t="shared" si="104"/>
        <v>4.4229685025177492</v>
      </c>
      <c r="ES50" s="162"/>
      <c r="ET50" s="162">
        <f t="shared" si="105"/>
        <v>0.84000000000000041</v>
      </c>
      <c r="EU50" s="170">
        <f t="shared" si="106"/>
        <v>0.84000000000000041</v>
      </c>
      <c r="EV50" s="162">
        <f t="shared" si="26"/>
        <v>4.4229685025177492</v>
      </c>
      <c r="EW50" s="171">
        <f t="shared" si="107"/>
        <v>4.4229685025177492</v>
      </c>
      <c r="EX50" s="162"/>
    </row>
    <row r="51" spans="20:154" s="181" customFormat="1" x14ac:dyDescent="0.25">
      <c r="T51" s="162">
        <f t="shared" si="27"/>
        <v>0.86000000000000043</v>
      </c>
      <c r="U51" s="170">
        <f t="shared" si="28"/>
        <v>0.86000000000000043</v>
      </c>
      <c r="V51" s="162">
        <f t="shared" si="0"/>
        <v>4.4652823479766033</v>
      </c>
      <c r="W51" s="171">
        <f t="shared" si="29"/>
        <v>4.4652823479766033</v>
      </c>
      <c r="X51" s="162"/>
      <c r="Y51" s="162">
        <f t="shared" si="30"/>
        <v>0.86000000000000043</v>
      </c>
      <c r="Z51" s="162">
        <f t="shared" si="31"/>
        <v>0.86000000000000043</v>
      </c>
      <c r="AA51" s="162">
        <f t="shared" si="1"/>
        <v>4.4652823479766033</v>
      </c>
      <c r="AB51" s="171">
        <f t="shared" si="32"/>
        <v>4.4652823479766033</v>
      </c>
      <c r="AC51" s="162"/>
      <c r="AD51" s="162">
        <f t="shared" si="33"/>
        <v>0.86000000000000043</v>
      </c>
      <c r="AE51" s="170">
        <f t="shared" si="34"/>
        <v>0.86000000000000043</v>
      </c>
      <c r="AF51" s="162">
        <f t="shared" si="2"/>
        <v>4.4652823479766033</v>
      </c>
      <c r="AG51" s="171">
        <f t="shared" si="35"/>
        <v>4.4652823479766033</v>
      </c>
      <c r="AH51" s="162"/>
      <c r="AI51" s="162">
        <f t="shared" si="36"/>
        <v>0.86000000000000043</v>
      </c>
      <c r="AJ51" s="170">
        <f t="shared" si="37"/>
        <v>0.86000000000000043</v>
      </c>
      <c r="AK51" s="162">
        <f t="shared" si="3"/>
        <v>4.4652823479766033</v>
      </c>
      <c r="AL51" s="171">
        <f t="shared" si="38"/>
        <v>4.4652823479766033</v>
      </c>
      <c r="AM51" s="162"/>
      <c r="AN51" s="162">
        <f t="shared" si="39"/>
        <v>0.86000000000000043</v>
      </c>
      <c r="AO51" s="162">
        <f t="shared" si="40"/>
        <v>0.86000000000000043</v>
      </c>
      <c r="AP51" s="162">
        <f t="shared" si="4"/>
        <v>4.4652823479766033</v>
      </c>
      <c r="AQ51" s="171">
        <f t="shared" si="41"/>
        <v>4.4652823479766033</v>
      </c>
      <c r="AR51" s="162"/>
      <c r="AS51" s="162">
        <f t="shared" si="42"/>
        <v>0.86000000000000043</v>
      </c>
      <c r="AT51" s="170">
        <f t="shared" si="43"/>
        <v>0.86000000000000043</v>
      </c>
      <c r="AU51" s="162">
        <f t="shared" si="5"/>
        <v>4.4652823479766033</v>
      </c>
      <c r="AV51" s="171">
        <f t="shared" si="44"/>
        <v>4.4652823479766033</v>
      </c>
      <c r="AW51" s="162"/>
      <c r="AX51" s="162">
        <f t="shared" si="45"/>
        <v>0.86000000000000043</v>
      </c>
      <c r="AY51" s="170">
        <f t="shared" si="46"/>
        <v>0.86000000000000043</v>
      </c>
      <c r="AZ51" s="162">
        <f t="shared" si="6"/>
        <v>4.4652823479766033</v>
      </c>
      <c r="BA51" s="171">
        <f t="shared" si="47"/>
        <v>4.4652823479766033</v>
      </c>
      <c r="BB51" s="162"/>
      <c r="BC51" s="162">
        <f t="shared" si="48"/>
        <v>0.86000000000000043</v>
      </c>
      <c r="BD51" s="162">
        <f t="shared" si="49"/>
        <v>0.86000000000000043</v>
      </c>
      <c r="BE51" s="162">
        <f t="shared" si="7"/>
        <v>4.4652823479766033</v>
      </c>
      <c r="BF51" s="171">
        <f t="shared" si="50"/>
        <v>4.4652823479766033</v>
      </c>
      <c r="BG51" s="162"/>
      <c r="BH51" s="162">
        <f t="shared" si="51"/>
        <v>0.86000000000000043</v>
      </c>
      <c r="BI51" s="170">
        <f t="shared" si="52"/>
        <v>0.86000000000000043</v>
      </c>
      <c r="BJ51" s="162">
        <f t="shared" si="8"/>
        <v>4.4652823479766033</v>
      </c>
      <c r="BK51" s="171">
        <f t="shared" si="53"/>
        <v>4.4652823479766033</v>
      </c>
      <c r="BL51" s="162"/>
      <c r="BM51" s="162">
        <f t="shared" si="54"/>
        <v>0.86000000000000043</v>
      </c>
      <c r="BN51" s="170">
        <f t="shared" si="55"/>
        <v>0.86000000000000043</v>
      </c>
      <c r="BO51" s="162">
        <f t="shared" si="9"/>
        <v>4.4652823479766033</v>
      </c>
      <c r="BP51" s="171">
        <f t="shared" si="56"/>
        <v>4.4652823479766033</v>
      </c>
      <c r="BQ51" s="162"/>
      <c r="BR51" s="162">
        <f t="shared" si="57"/>
        <v>0.86000000000000043</v>
      </c>
      <c r="BS51" s="162">
        <f t="shared" si="58"/>
        <v>0.86000000000000043</v>
      </c>
      <c r="BT51" s="162">
        <f t="shared" si="10"/>
        <v>4.4652823479766033</v>
      </c>
      <c r="BU51" s="171">
        <f t="shared" si="59"/>
        <v>4.4652823479766033</v>
      </c>
      <c r="BV51" s="162"/>
      <c r="BW51" s="162">
        <f t="shared" si="60"/>
        <v>0.86000000000000043</v>
      </c>
      <c r="BX51" s="170">
        <f t="shared" si="61"/>
        <v>0.86000000000000043</v>
      </c>
      <c r="BY51" s="162">
        <f t="shared" si="11"/>
        <v>4.4652823479766033</v>
      </c>
      <c r="BZ51" s="171">
        <f t="shared" si="62"/>
        <v>4.4652823479766033</v>
      </c>
      <c r="CA51" s="162"/>
      <c r="CB51" s="162">
        <f t="shared" si="63"/>
        <v>0.86000000000000043</v>
      </c>
      <c r="CC51" s="170">
        <f t="shared" si="64"/>
        <v>0.86000000000000043</v>
      </c>
      <c r="CD51" s="162">
        <f t="shared" si="12"/>
        <v>4.4652823479766033</v>
      </c>
      <c r="CE51" s="171">
        <f t="shared" si="65"/>
        <v>4.4652823479766033</v>
      </c>
      <c r="CF51" s="162"/>
      <c r="CG51" s="172">
        <f t="shared" si="66"/>
        <v>0.86000000000000043</v>
      </c>
      <c r="CH51" s="172">
        <f t="shared" si="67"/>
        <v>0.86000000000000043</v>
      </c>
      <c r="CI51" s="172">
        <f t="shared" si="13"/>
        <v>4.4652823479766033</v>
      </c>
      <c r="CJ51" s="171">
        <f t="shared" si="68"/>
        <v>4.4652823479766033</v>
      </c>
      <c r="CK51" s="172"/>
      <c r="CL51" s="162">
        <f t="shared" si="69"/>
        <v>0.86000000000000043</v>
      </c>
      <c r="CM51" s="170">
        <f t="shared" si="70"/>
        <v>0.86000000000000043</v>
      </c>
      <c r="CN51" s="162">
        <f t="shared" si="14"/>
        <v>4.4652823479766033</v>
      </c>
      <c r="CO51" s="171">
        <f t="shared" si="71"/>
        <v>4.4652823479766033</v>
      </c>
      <c r="CP51" s="162"/>
      <c r="CQ51" s="162">
        <f t="shared" si="72"/>
        <v>0.86000000000000043</v>
      </c>
      <c r="CR51" s="170">
        <f t="shared" si="73"/>
        <v>0.86000000000000043</v>
      </c>
      <c r="CS51" s="162">
        <f t="shared" si="15"/>
        <v>4.4652823479766033</v>
      </c>
      <c r="CT51" s="171">
        <f t="shared" si="74"/>
        <v>4.4652823479766033</v>
      </c>
      <c r="CU51" s="162"/>
      <c r="CV51" s="162">
        <f t="shared" si="75"/>
        <v>0.86000000000000043</v>
      </c>
      <c r="CW51" s="162">
        <f t="shared" si="76"/>
        <v>0.86000000000000043</v>
      </c>
      <c r="CX51" s="162">
        <f t="shared" si="16"/>
        <v>4.4652823479766033</v>
      </c>
      <c r="CY51" s="171">
        <f t="shared" si="77"/>
        <v>4.4652823479766033</v>
      </c>
      <c r="CZ51" s="162"/>
      <c r="DA51" s="162">
        <f t="shared" si="78"/>
        <v>0.86000000000000043</v>
      </c>
      <c r="DB51" s="170">
        <f t="shared" si="79"/>
        <v>0.86000000000000043</v>
      </c>
      <c r="DC51" s="162">
        <f t="shared" si="17"/>
        <v>4.4652823479766033</v>
      </c>
      <c r="DD51" s="171">
        <f t="shared" si="80"/>
        <v>4.4652823479766033</v>
      </c>
      <c r="DE51" s="162"/>
      <c r="DF51" s="162">
        <f t="shared" si="81"/>
        <v>0.86000000000000043</v>
      </c>
      <c r="DG51" s="170">
        <f t="shared" si="82"/>
        <v>0.86000000000000043</v>
      </c>
      <c r="DH51" s="162">
        <f t="shared" si="18"/>
        <v>4.4652823479766033</v>
      </c>
      <c r="DI51" s="171">
        <f t="shared" si="83"/>
        <v>4.4652823479766033</v>
      </c>
      <c r="DJ51" s="162"/>
      <c r="DK51" s="162">
        <f t="shared" si="84"/>
        <v>0.86000000000000043</v>
      </c>
      <c r="DL51" s="162">
        <f t="shared" si="85"/>
        <v>0.86000000000000043</v>
      </c>
      <c r="DM51" s="162">
        <f t="shared" si="19"/>
        <v>4.4652823479766033</v>
      </c>
      <c r="DN51" s="171">
        <f t="shared" si="86"/>
        <v>4.4652823479766033</v>
      </c>
      <c r="DO51" s="162"/>
      <c r="DP51" s="162">
        <f t="shared" si="87"/>
        <v>0.86000000000000043</v>
      </c>
      <c r="DQ51" s="170">
        <f t="shared" si="88"/>
        <v>0.86000000000000043</v>
      </c>
      <c r="DR51" s="162">
        <f t="shared" si="20"/>
        <v>4.4652823479766033</v>
      </c>
      <c r="DS51" s="171">
        <f t="shared" si="89"/>
        <v>4.4652823479766033</v>
      </c>
      <c r="DT51" s="162"/>
      <c r="DU51" s="162">
        <f t="shared" si="90"/>
        <v>0.86000000000000043</v>
      </c>
      <c r="DV51" s="170">
        <f t="shared" si="91"/>
        <v>0.86000000000000043</v>
      </c>
      <c r="DW51" s="162">
        <f t="shared" si="21"/>
        <v>4.4652823479766033</v>
      </c>
      <c r="DX51" s="171">
        <f t="shared" si="92"/>
        <v>4.4652823479766033</v>
      </c>
      <c r="DY51" s="162"/>
      <c r="DZ51" s="162">
        <f t="shared" si="93"/>
        <v>0.86000000000000043</v>
      </c>
      <c r="EA51" s="162">
        <f t="shared" si="94"/>
        <v>0.86000000000000043</v>
      </c>
      <c r="EB51" s="162">
        <f t="shared" si="22"/>
        <v>4.4652823479766033</v>
      </c>
      <c r="EC51" s="171">
        <f t="shared" si="95"/>
        <v>4.4652823479766033</v>
      </c>
      <c r="ED51" s="162"/>
      <c r="EE51" s="162">
        <f t="shared" si="96"/>
        <v>0.86000000000000043</v>
      </c>
      <c r="EF51" s="170">
        <f t="shared" si="97"/>
        <v>0.86000000000000043</v>
      </c>
      <c r="EG51" s="162">
        <f t="shared" si="23"/>
        <v>4.4652823479766033</v>
      </c>
      <c r="EH51" s="171">
        <f t="shared" si="98"/>
        <v>4.4652823479766033</v>
      </c>
      <c r="EI51" s="162"/>
      <c r="EJ51" s="162">
        <f t="shared" si="99"/>
        <v>0.86000000000000043</v>
      </c>
      <c r="EK51" s="170">
        <f t="shared" si="100"/>
        <v>0.86000000000000043</v>
      </c>
      <c r="EL51" s="162">
        <f t="shared" si="24"/>
        <v>4.4652823479766033</v>
      </c>
      <c r="EM51" s="171">
        <f t="shared" si="101"/>
        <v>4.4652823479766033</v>
      </c>
      <c r="EN51" s="162"/>
      <c r="EO51" s="162">
        <f t="shared" si="102"/>
        <v>0.86000000000000043</v>
      </c>
      <c r="EP51" s="162">
        <f t="shared" si="103"/>
        <v>0.86000000000000043</v>
      </c>
      <c r="EQ51" s="162">
        <f t="shared" si="25"/>
        <v>4.4652823479766033</v>
      </c>
      <c r="ER51" s="171">
        <f t="shared" si="104"/>
        <v>4.4652823479766033</v>
      </c>
      <c r="ES51" s="162"/>
      <c r="ET51" s="162">
        <f t="shared" si="105"/>
        <v>0.86000000000000043</v>
      </c>
      <c r="EU51" s="170">
        <f t="shared" si="106"/>
        <v>0.86000000000000043</v>
      </c>
      <c r="EV51" s="162">
        <f t="shared" si="26"/>
        <v>4.4652823479766033</v>
      </c>
      <c r="EW51" s="171">
        <f t="shared" si="107"/>
        <v>4.4652823479766033</v>
      </c>
      <c r="EX51" s="162"/>
    </row>
    <row r="52" spans="20:154" s="181" customFormat="1" x14ac:dyDescent="0.25">
      <c r="T52" s="162">
        <f t="shared" si="27"/>
        <v>0.88000000000000045</v>
      </c>
      <c r="U52" s="170">
        <f t="shared" si="28"/>
        <v>0.88000000000000045</v>
      </c>
      <c r="V52" s="162">
        <f t="shared" si="0"/>
        <v>4.5048876807076086</v>
      </c>
      <c r="W52" s="171">
        <f t="shared" si="29"/>
        <v>4.5048876807076086</v>
      </c>
      <c r="X52" s="162"/>
      <c r="Y52" s="162">
        <f t="shared" si="30"/>
        <v>0.88000000000000045</v>
      </c>
      <c r="Z52" s="162">
        <f t="shared" si="31"/>
        <v>0.88000000000000045</v>
      </c>
      <c r="AA52" s="162">
        <f t="shared" si="1"/>
        <v>4.5048876807076086</v>
      </c>
      <c r="AB52" s="171">
        <f t="shared" si="32"/>
        <v>4.5048876807076086</v>
      </c>
      <c r="AC52" s="162"/>
      <c r="AD52" s="162">
        <f t="shared" si="33"/>
        <v>0.88000000000000045</v>
      </c>
      <c r="AE52" s="170">
        <f t="shared" si="34"/>
        <v>0.88000000000000045</v>
      </c>
      <c r="AF52" s="162">
        <f t="shared" si="2"/>
        <v>4.5048876807076086</v>
      </c>
      <c r="AG52" s="171">
        <f t="shared" si="35"/>
        <v>4.5048876807076086</v>
      </c>
      <c r="AH52" s="162"/>
      <c r="AI52" s="162">
        <f t="shared" si="36"/>
        <v>0.88000000000000045</v>
      </c>
      <c r="AJ52" s="170">
        <f t="shared" si="37"/>
        <v>0.88000000000000045</v>
      </c>
      <c r="AK52" s="162">
        <f t="shared" si="3"/>
        <v>4.5048876807076086</v>
      </c>
      <c r="AL52" s="171">
        <f t="shared" si="38"/>
        <v>4.5048876807076086</v>
      </c>
      <c r="AM52" s="162"/>
      <c r="AN52" s="162">
        <f t="shared" si="39"/>
        <v>0.88000000000000045</v>
      </c>
      <c r="AO52" s="162">
        <f t="shared" si="40"/>
        <v>0.88000000000000045</v>
      </c>
      <c r="AP52" s="162">
        <f t="shared" si="4"/>
        <v>4.5048876807076086</v>
      </c>
      <c r="AQ52" s="171">
        <f t="shared" si="41"/>
        <v>4.5048876807076086</v>
      </c>
      <c r="AR52" s="162"/>
      <c r="AS52" s="162">
        <f t="shared" si="42"/>
        <v>0.88000000000000045</v>
      </c>
      <c r="AT52" s="170">
        <f t="shared" si="43"/>
        <v>0.88000000000000045</v>
      </c>
      <c r="AU52" s="162">
        <f t="shared" si="5"/>
        <v>4.5048876807076086</v>
      </c>
      <c r="AV52" s="171">
        <f t="shared" si="44"/>
        <v>4.5048876807076086</v>
      </c>
      <c r="AW52" s="162"/>
      <c r="AX52" s="162">
        <f t="shared" si="45"/>
        <v>0.88000000000000045</v>
      </c>
      <c r="AY52" s="170">
        <f t="shared" si="46"/>
        <v>0.88000000000000045</v>
      </c>
      <c r="AZ52" s="162">
        <f t="shared" si="6"/>
        <v>4.5048876807076086</v>
      </c>
      <c r="BA52" s="171">
        <f t="shared" si="47"/>
        <v>4.5048876807076086</v>
      </c>
      <c r="BB52" s="162"/>
      <c r="BC52" s="162">
        <f t="shared" si="48"/>
        <v>0.88000000000000045</v>
      </c>
      <c r="BD52" s="162">
        <f t="shared" si="49"/>
        <v>0.88000000000000045</v>
      </c>
      <c r="BE52" s="162">
        <f t="shared" si="7"/>
        <v>4.5048876807076086</v>
      </c>
      <c r="BF52" s="171">
        <f t="shared" si="50"/>
        <v>4.5048876807076086</v>
      </c>
      <c r="BG52" s="162"/>
      <c r="BH52" s="162">
        <f t="shared" si="51"/>
        <v>0.88000000000000045</v>
      </c>
      <c r="BI52" s="170">
        <f t="shared" si="52"/>
        <v>0.88000000000000045</v>
      </c>
      <c r="BJ52" s="162">
        <f t="shared" si="8"/>
        <v>4.5048876807076086</v>
      </c>
      <c r="BK52" s="171">
        <f t="shared" si="53"/>
        <v>4.5048876807076086</v>
      </c>
      <c r="BL52" s="162"/>
      <c r="BM52" s="162">
        <f t="shared" si="54"/>
        <v>0.88000000000000045</v>
      </c>
      <c r="BN52" s="170">
        <f t="shared" si="55"/>
        <v>0.88000000000000045</v>
      </c>
      <c r="BO52" s="162">
        <f t="shared" si="9"/>
        <v>4.5048876807076086</v>
      </c>
      <c r="BP52" s="171">
        <f t="shared" si="56"/>
        <v>4.5048876807076086</v>
      </c>
      <c r="BQ52" s="162"/>
      <c r="BR52" s="162">
        <f t="shared" si="57"/>
        <v>0.88000000000000045</v>
      </c>
      <c r="BS52" s="162">
        <f t="shared" si="58"/>
        <v>0.88000000000000045</v>
      </c>
      <c r="BT52" s="162">
        <f t="shared" si="10"/>
        <v>4.5048876807076086</v>
      </c>
      <c r="BU52" s="171">
        <f t="shared" si="59"/>
        <v>4.5048876807076086</v>
      </c>
      <c r="BV52" s="162"/>
      <c r="BW52" s="162">
        <f t="shared" si="60"/>
        <v>0.88000000000000045</v>
      </c>
      <c r="BX52" s="170">
        <f t="shared" si="61"/>
        <v>0.88000000000000045</v>
      </c>
      <c r="BY52" s="162">
        <f t="shared" si="11"/>
        <v>4.5048876807076086</v>
      </c>
      <c r="BZ52" s="171">
        <f t="shared" si="62"/>
        <v>4.5048876807076086</v>
      </c>
      <c r="CA52" s="162"/>
      <c r="CB52" s="162">
        <f t="shared" si="63"/>
        <v>0.88000000000000045</v>
      </c>
      <c r="CC52" s="170">
        <f t="shared" si="64"/>
        <v>0.88000000000000045</v>
      </c>
      <c r="CD52" s="162">
        <f t="shared" si="12"/>
        <v>4.5048876807076086</v>
      </c>
      <c r="CE52" s="171">
        <f t="shared" si="65"/>
        <v>4.5048876807076086</v>
      </c>
      <c r="CF52" s="162"/>
      <c r="CG52" s="172">
        <f t="shared" si="66"/>
        <v>0.88000000000000045</v>
      </c>
      <c r="CH52" s="172">
        <f t="shared" si="67"/>
        <v>0.88000000000000045</v>
      </c>
      <c r="CI52" s="172">
        <f t="shared" si="13"/>
        <v>4.5048876807076086</v>
      </c>
      <c r="CJ52" s="171">
        <f t="shared" si="68"/>
        <v>4.5048876807076086</v>
      </c>
      <c r="CK52" s="172"/>
      <c r="CL52" s="162">
        <f t="shared" si="69"/>
        <v>0.88000000000000045</v>
      </c>
      <c r="CM52" s="170">
        <f t="shared" si="70"/>
        <v>0.88000000000000045</v>
      </c>
      <c r="CN52" s="162">
        <f t="shared" si="14"/>
        <v>4.5048876807076086</v>
      </c>
      <c r="CO52" s="171">
        <f t="shared" si="71"/>
        <v>4.5048876807076086</v>
      </c>
      <c r="CP52" s="162"/>
      <c r="CQ52" s="162">
        <f t="shared" si="72"/>
        <v>0.88000000000000045</v>
      </c>
      <c r="CR52" s="170">
        <f t="shared" si="73"/>
        <v>0.88000000000000045</v>
      </c>
      <c r="CS52" s="162">
        <f t="shared" si="15"/>
        <v>4.5048876807076086</v>
      </c>
      <c r="CT52" s="171">
        <f t="shared" si="74"/>
        <v>4.5048876807076086</v>
      </c>
      <c r="CU52" s="162"/>
      <c r="CV52" s="162">
        <f t="shared" si="75"/>
        <v>0.88000000000000045</v>
      </c>
      <c r="CW52" s="162">
        <f t="shared" si="76"/>
        <v>0.88000000000000045</v>
      </c>
      <c r="CX52" s="162">
        <f t="shared" si="16"/>
        <v>4.5048876807076086</v>
      </c>
      <c r="CY52" s="171">
        <f t="shared" si="77"/>
        <v>4.5048876807076086</v>
      </c>
      <c r="CZ52" s="162"/>
      <c r="DA52" s="162">
        <f t="shared" si="78"/>
        <v>0.88000000000000045</v>
      </c>
      <c r="DB52" s="170">
        <f t="shared" si="79"/>
        <v>0.88000000000000045</v>
      </c>
      <c r="DC52" s="162">
        <f t="shared" si="17"/>
        <v>4.5048876807076086</v>
      </c>
      <c r="DD52" s="171">
        <f t="shared" si="80"/>
        <v>4.5048876807076086</v>
      </c>
      <c r="DE52" s="162"/>
      <c r="DF52" s="162">
        <f t="shared" si="81"/>
        <v>0.88000000000000045</v>
      </c>
      <c r="DG52" s="170">
        <f t="shared" si="82"/>
        <v>0.88000000000000045</v>
      </c>
      <c r="DH52" s="162">
        <f t="shared" si="18"/>
        <v>4.5048876807076086</v>
      </c>
      <c r="DI52" s="171">
        <f t="shared" si="83"/>
        <v>4.5048876807076086</v>
      </c>
      <c r="DJ52" s="162"/>
      <c r="DK52" s="162">
        <f t="shared" si="84"/>
        <v>0.88000000000000045</v>
      </c>
      <c r="DL52" s="162">
        <f t="shared" si="85"/>
        <v>0.88000000000000045</v>
      </c>
      <c r="DM52" s="162">
        <f t="shared" si="19"/>
        <v>4.5048876807076086</v>
      </c>
      <c r="DN52" s="171">
        <f t="shared" si="86"/>
        <v>4.5048876807076086</v>
      </c>
      <c r="DO52" s="162"/>
      <c r="DP52" s="162">
        <f t="shared" si="87"/>
        <v>0.88000000000000045</v>
      </c>
      <c r="DQ52" s="170">
        <f t="shared" si="88"/>
        <v>0.88000000000000045</v>
      </c>
      <c r="DR52" s="162">
        <f t="shared" si="20"/>
        <v>4.5048876807076086</v>
      </c>
      <c r="DS52" s="171">
        <f t="shared" si="89"/>
        <v>4.5048876807076086</v>
      </c>
      <c r="DT52" s="162"/>
      <c r="DU52" s="162">
        <f t="shared" si="90"/>
        <v>0.88000000000000045</v>
      </c>
      <c r="DV52" s="170">
        <f t="shared" si="91"/>
        <v>0.88000000000000045</v>
      </c>
      <c r="DW52" s="162">
        <f t="shared" si="21"/>
        <v>4.5048876807076086</v>
      </c>
      <c r="DX52" s="171">
        <f t="shared" si="92"/>
        <v>4.5048876807076086</v>
      </c>
      <c r="DY52" s="162"/>
      <c r="DZ52" s="162">
        <f t="shared" si="93"/>
        <v>0.88000000000000045</v>
      </c>
      <c r="EA52" s="162">
        <f t="shared" si="94"/>
        <v>0.88000000000000045</v>
      </c>
      <c r="EB52" s="162">
        <f t="shared" si="22"/>
        <v>4.5048876807076086</v>
      </c>
      <c r="EC52" s="171">
        <f t="shared" si="95"/>
        <v>4.5048876807076086</v>
      </c>
      <c r="ED52" s="162"/>
      <c r="EE52" s="162">
        <f t="shared" si="96"/>
        <v>0.88000000000000045</v>
      </c>
      <c r="EF52" s="170">
        <f t="shared" si="97"/>
        <v>0.88000000000000045</v>
      </c>
      <c r="EG52" s="162">
        <f t="shared" si="23"/>
        <v>4.5048876807076086</v>
      </c>
      <c r="EH52" s="171">
        <f t="shared" si="98"/>
        <v>4.5048876807076086</v>
      </c>
      <c r="EI52" s="162"/>
      <c r="EJ52" s="162">
        <f t="shared" si="99"/>
        <v>0.88000000000000045</v>
      </c>
      <c r="EK52" s="170">
        <f t="shared" si="100"/>
        <v>0.88000000000000045</v>
      </c>
      <c r="EL52" s="162">
        <f t="shared" si="24"/>
        <v>4.5048876807076086</v>
      </c>
      <c r="EM52" s="171">
        <f t="shared" si="101"/>
        <v>4.5048876807076086</v>
      </c>
      <c r="EN52" s="162"/>
      <c r="EO52" s="162">
        <f t="shared" si="102"/>
        <v>0.88000000000000045</v>
      </c>
      <c r="EP52" s="162">
        <f t="shared" si="103"/>
        <v>0.88000000000000045</v>
      </c>
      <c r="EQ52" s="162">
        <f t="shared" si="25"/>
        <v>4.5048876807076086</v>
      </c>
      <c r="ER52" s="171">
        <f t="shared" si="104"/>
        <v>4.5048876807076086</v>
      </c>
      <c r="ES52" s="162"/>
      <c r="ET52" s="162">
        <f t="shared" si="105"/>
        <v>0.88000000000000045</v>
      </c>
      <c r="EU52" s="170">
        <f t="shared" si="106"/>
        <v>0.88000000000000045</v>
      </c>
      <c r="EV52" s="162">
        <f t="shared" si="26"/>
        <v>4.5048876807076086</v>
      </c>
      <c r="EW52" s="171">
        <f t="shared" si="107"/>
        <v>4.5048876807076086</v>
      </c>
      <c r="EX52" s="162"/>
    </row>
    <row r="53" spans="20:154" s="181" customFormat="1" x14ac:dyDescent="0.25">
      <c r="T53" s="162">
        <f t="shared" si="27"/>
        <v>0.90000000000000047</v>
      </c>
      <c r="U53" s="170">
        <f t="shared" si="28"/>
        <v>0.90000000000000047</v>
      </c>
      <c r="V53" s="162">
        <f t="shared" si="0"/>
        <v>4.5417845007107678</v>
      </c>
      <c r="W53" s="171">
        <f t="shared" si="29"/>
        <v>4.5417845007107678</v>
      </c>
      <c r="X53" s="162"/>
      <c r="Y53" s="162">
        <f t="shared" si="30"/>
        <v>0.90000000000000047</v>
      </c>
      <c r="Z53" s="162">
        <f t="shared" si="31"/>
        <v>0.90000000000000047</v>
      </c>
      <c r="AA53" s="162">
        <f t="shared" si="1"/>
        <v>4.5417845007107678</v>
      </c>
      <c r="AB53" s="171">
        <f t="shared" si="32"/>
        <v>4.5417845007107678</v>
      </c>
      <c r="AC53" s="162"/>
      <c r="AD53" s="162">
        <f t="shared" si="33"/>
        <v>0.90000000000000047</v>
      </c>
      <c r="AE53" s="170">
        <f t="shared" si="34"/>
        <v>0.90000000000000047</v>
      </c>
      <c r="AF53" s="162">
        <f t="shared" si="2"/>
        <v>4.5417845007107678</v>
      </c>
      <c r="AG53" s="171">
        <f t="shared" si="35"/>
        <v>4.5417845007107678</v>
      </c>
      <c r="AH53" s="162"/>
      <c r="AI53" s="162">
        <f t="shared" si="36"/>
        <v>0.90000000000000047</v>
      </c>
      <c r="AJ53" s="170">
        <f t="shared" si="37"/>
        <v>0.90000000000000047</v>
      </c>
      <c r="AK53" s="162">
        <f t="shared" si="3"/>
        <v>4.5417845007107678</v>
      </c>
      <c r="AL53" s="171">
        <f t="shared" si="38"/>
        <v>4.5417845007107678</v>
      </c>
      <c r="AM53" s="162"/>
      <c r="AN53" s="162">
        <f t="shared" si="39"/>
        <v>0.90000000000000047</v>
      </c>
      <c r="AO53" s="162">
        <f t="shared" si="40"/>
        <v>0.90000000000000047</v>
      </c>
      <c r="AP53" s="162">
        <f t="shared" si="4"/>
        <v>4.5417845007107678</v>
      </c>
      <c r="AQ53" s="171">
        <f t="shared" si="41"/>
        <v>4.5417845007107678</v>
      </c>
      <c r="AR53" s="162"/>
      <c r="AS53" s="162">
        <f t="shared" si="42"/>
        <v>0.90000000000000047</v>
      </c>
      <c r="AT53" s="170">
        <f t="shared" si="43"/>
        <v>0.90000000000000047</v>
      </c>
      <c r="AU53" s="162">
        <f t="shared" si="5"/>
        <v>4.5417845007107678</v>
      </c>
      <c r="AV53" s="171">
        <f t="shared" si="44"/>
        <v>4.5417845007107678</v>
      </c>
      <c r="AW53" s="162"/>
      <c r="AX53" s="162">
        <f t="shared" si="45"/>
        <v>0.90000000000000047</v>
      </c>
      <c r="AY53" s="170">
        <f t="shared" si="46"/>
        <v>0.90000000000000047</v>
      </c>
      <c r="AZ53" s="162">
        <f t="shared" si="6"/>
        <v>4.5417845007107678</v>
      </c>
      <c r="BA53" s="171">
        <f t="shared" si="47"/>
        <v>4.5417845007107678</v>
      </c>
      <c r="BB53" s="162"/>
      <c r="BC53" s="162">
        <f t="shared" si="48"/>
        <v>0.90000000000000047</v>
      </c>
      <c r="BD53" s="162">
        <f t="shared" si="49"/>
        <v>0.90000000000000047</v>
      </c>
      <c r="BE53" s="162">
        <f t="shared" si="7"/>
        <v>4.5417845007107678</v>
      </c>
      <c r="BF53" s="171">
        <f t="shared" si="50"/>
        <v>4.5417845007107678</v>
      </c>
      <c r="BG53" s="162"/>
      <c r="BH53" s="162">
        <f t="shared" si="51"/>
        <v>0.90000000000000047</v>
      </c>
      <c r="BI53" s="170">
        <f t="shared" si="52"/>
        <v>0.90000000000000047</v>
      </c>
      <c r="BJ53" s="162">
        <f t="shared" si="8"/>
        <v>4.5417845007107678</v>
      </c>
      <c r="BK53" s="171">
        <f t="shared" si="53"/>
        <v>4.5417845007107678</v>
      </c>
      <c r="BL53" s="162"/>
      <c r="BM53" s="162">
        <f t="shared" si="54"/>
        <v>0.90000000000000047</v>
      </c>
      <c r="BN53" s="170">
        <f t="shared" si="55"/>
        <v>0.90000000000000047</v>
      </c>
      <c r="BO53" s="162">
        <f t="shared" si="9"/>
        <v>4.5417845007107678</v>
      </c>
      <c r="BP53" s="171">
        <f t="shared" si="56"/>
        <v>4.5417845007107678</v>
      </c>
      <c r="BQ53" s="162"/>
      <c r="BR53" s="162">
        <f t="shared" si="57"/>
        <v>0.90000000000000047</v>
      </c>
      <c r="BS53" s="162">
        <f t="shared" si="58"/>
        <v>0.90000000000000047</v>
      </c>
      <c r="BT53" s="162">
        <f t="shared" si="10"/>
        <v>4.5417845007107678</v>
      </c>
      <c r="BU53" s="171">
        <f t="shared" si="59"/>
        <v>4.5417845007107678</v>
      </c>
      <c r="BV53" s="162"/>
      <c r="BW53" s="162">
        <f t="shared" si="60"/>
        <v>0.90000000000000047</v>
      </c>
      <c r="BX53" s="170">
        <f t="shared" si="61"/>
        <v>0.90000000000000047</v>
      </c>
      <c r="BY53" s="162">
        <f t="shared" si="11"/>
        <v>4.5417845007107678</v>
      </c>
      <c r="BZ53" s="171">
        <f t="shared" si="62"/>
        <v>4.5417845007107678</v>
      </c>
      <c r="CA53" s="162"/>
      <c r="CB53" s="162">
        <f t="shared" si="63"/>
        <v>0.90000000000000047</v>
      </c>
      <c r="CC53" s="170">
        <f t="shared" si="64"/>
        <v>0.90000000000000047</v>
      </c>
      <c r="CD53" s="162">
        <f t="shared" si="12"/>
        <v>4.5417845007107678</v>
      </c>
      <c r="CE53" s="171">
        <f t="shared" si="65"/>
        <v>4.5417845007107678</v>
      </c>
      <c r="CF53" s="162"/>
      <c r="CG53" s="172">
        <f t="shared" si="66"/>
        <v>0.90000000000000047</v>
      </c>
      <c r="CH53" s="172">
        <f t="shared" si="67"/>
        <v>0.90000000000000047</v>
      </c>
      <c r="CI53" s="172">
        <f t="shared" si="13"/>
        <v>4.5417845007107678</v>
      </c>
      <c r="CJ53" s="171">
        <f t="shared" si="68"/>
        <v>4.5417845007107678</v>
      </c>
      <c r="CK53" s="172"/>
      <c r="CL53" s="162">
        <f t="shared" si="69"/>
        <v>0.90000000000000047</v>
      </c>
      <c r="CM53" s="170">
        <f t="shared" si="70"/>
        <v>0.90000000000000047</v>
      </c>
      <c r="CN53" s="162">
        <f t="shared" si="14"/>
        <v>4.5417845007107678</v>
      </c>
      <c r="CO53" s="171">
        <f t="shared" si="71"/>
        <v>4.5417845007107678</v>
      </c>
      <c r="CP53" s="162"/>
      <c r="CQ53" s="162">
        <f t="shared" si="72"/>
        <v>0.90000000000000047</v>
      </c>
      <c r="CR53" s="170">
        <f t="shared" si="73"/>
        <v>0.90000000000000047</v>
      </c>
      <c r="CS53" s="162">
        <f t="shared" si="15"/>
        <v>4.5417845007107678</v>
      </c>
      <c r="CT53" s="171">
        <f t="shared" si="74"/>
        <v>4.5417845007107678</v>
      </c>
      <c r="CU53" s="162"/>
      <c r="CV53" s="162">
        <f t="shared" si="75"/>
        <v>0.90000000000000047</v>
      </c>
      <c r="CW53" s="162">
        <f t="shared" si="76"/>
        <v>0.90000000000000047</v>
      </c>
      <c r="CX53" s="162">
        <f t="shared" si="16"/>
        <v>4.5417845007107678</v>
      </c>
      <c r="CY53" s="171">
        <f t="shared" si="77"/>
        <v>4.5417845007107678</v>
      </c>
      <c r="CZ53" s="162"/>
      <c r="DA53" s="162">
        <f t="shared" si="78"/>
        <v>0.90000000000000047</v>
      </c>
      <c r="DB53" s="170">
        <f t="shared" si="79"/>
        <v>0.90000000000000047</v>
      </c>
      <c r="DC53" s="162">
        <f t="shared" si="17"/>
        <v>4.5417845007107678</v>
      </c>
      <c r="DD53" s="171">
        <f t="shared" si="80"/>
        <v>4.5417845007107678</v>
      </c>
      <c r="DE53" s="162"/>
      <c r="DF53" s="162">
        <f t="shared" si="81"/>
        <v>0.90000000000000047</v>
      </c>
      <c r="DG53" s="170">
        <f t="shared" si="82"/>
        <v>0.90000000000000047</v>
      </c>
      <c r="DH53" s="162">
        <f t="shared" si="18"/>
        <v>4.5417845007107678</v>
      </c>
      <c r="DI53" s="171">
        <f t="shared" si="83"/>
        <v>4.5417845007107678</v>
      </c>
      <c r="DJ53" s="162"/>
      <c r="DK53" s="162">
        <f t="shared" si="84"/>
        <v>0.90000000000000047</v>
      </c>
      <c r="DL53" s="162">
        <f t="shared" si="85"/>
        <v>0.90000000000000047</v>
      </c>
      <c r="DM53" s="162">
        <f t="shared" si="19"/>
        <v>4.5417845007107678</v>
      </c>
      <c r="DN53" s="171">
        <f t="shared" si="86"/>
        <v>4.5417845007107678</v>
      </c>
      <c r="DO53" s="162"/>
      <c r="DP53" s="162">
        <f t="shared" si="87"/>
        <v>0.90000000000000047</v>
      </c>
      <c r="DQ53" s="170">
        <f t="shared" si="88"/>
        <v>0.90000000000000047</v>
      </c>
      <c r="DR53" s="162">
        <f t="shared" si="20"/>
        <v>4.5417845007107678</v>
      </c>
      <c r="DS53" s="171">
        <f t="shared" si="89"/>
        <v>4.5417845007107678</v>
      </c>
      <c r="DT53" s="162"/>
      <c r="DU53" s="162">
        <f t="shared" si="90"/>
        <v>0.90000000000000047</v>
      </c>
      <c r="DV53" s="170">
        <f t="shared" si="91"/>
        <v>0.90000000000000047</v>
      </c>
      <c r="DW53" s="162">
        <f t="shared" si="21"/>
        <v>4.5417845007107678</v>
      </c>
      <c r="DX53" s="171">
        <f t="shared" si="92"/>
        <v>4.5417845007107678</v>
      </c>
      <c r="DY53" s="162"/>
      <c r="DZ53" s="162">
        <f t="shared" si="93"/>
        <v>0.90000000000000047</v>
      </c>
      <c r="EA53" s="162">
        <f t="shared" si="94"/>
        <v>0.90000000000000047</v>
      </c>
      <c r="EB53" s="162">
        <f t="shared" si="22"/>
        <v>4.5417845007107678</v>
      </c>
      <c r="EC53" s="171">
        <f t="shared" si="95"/>
        <v>4.5417845007107678</v>
      </c>
      <c r="ED53" s="162"/>
      <c r="EE53" s="162">
        <f t="shared" si="96"/>
        <v>0.90000000000000047</v>
      </c>
      <c r="EF53" s="170">
        <f t="shared" si="97"/>
        <v>0.90000000000000047</v>
      </c>
      <c r="EG53" s="162">
        <f t="shared" si="23"/>
        <v>4.5417845007107678</v>
      </c>
      <c r="EH53" s="171">
        <f t="shared" si="98"/>
        <v>4.5417845007107678</v>
      </c>
      <c r="EI53" s="162"/>
      <c r="EJ53" s="162">
        <f t="shared" si="99"/>
        <v>0.90000000000000047</v>
      </c>
      <c r="EK53" s="170">
        <f t="shared" si="100"/>
        <v>0.90000000000000047</v>
      </c>
      <c r="EL53" s="162">
        <f t="shared" si="24"/>
        <v>4.5417845007107678</v>
      </c>
      <c r="EM53" s="171">
        <f t="shared" si="101"/>
        <v>4.5417845007107678</v>
      </c>
      <c r="EN53" s="162"/>
      <c r="EO53" s="162">
        <f t="shared" si="102"/>
        <v>0.90000000000000047</v>
      </c>
      <c r="EP53" s="162">
        <f t="shared" si="103"/>
        <v>0.90000000000000047</v>
      </c>
      <c r="EQ53" s="162">
        <f t="shared" si="25"/>
        <v>4.5417845007107678</v>
      </c>
      <c r="ER53" s="171">
        <f t="shared" si="104"/>
        <v>4.5417845007107678</v>
      </c>
      <c r="ES53" s="162"/>
      <c r="ET53" s="162">
        <f t="shared" si="105"/>
        <v>0.90000000000000047</v>
      </c>
      <c r="EU53" s="170">
        <f t="shared" si="106"/>
        <v>0.90000000000000047</v>
      </c>
      <c r="EV53" s="162">
        <f t="shared" si="26"/>
        <v>4.5417845007107678</v>
      </c>
      <c r="EW53" s="171">
        <f t="shared" si="107"/>
        <v>4.5417845007107678</v>
      </c>
      <c r="EX53" s="162"/>
    </row>
    <row r="54" spans="20:154" s="181" customFormat="1" x14ac:dyDescent="0.25">
      <c r="T54" s="162">
        <f t="shared" si="27"/>
        <v>0.92000000000000048</v>
      </c>
      <c r="U54" s="170">
        <f t="shared" si="28"/>
        <v>0.92000000000000048</v>
      </c>
      <c r="V54" s="162">
        <f t="shared" si="0"/>
        <v>4.5759728079860791</v>
      </c>
      <c r="W54" s="171">
        <f t="shared" si="29"/>
        <v>4.5759728079860791</v>
      </c>
      <c r="X54" s="162"/>
      <c r="Y54" s="162">
        <f t="shared" si="30"/>
        <v>0.92000000000000048</v>
      </c>
      <c r="Z54" s="162">
        <f t="shared" si="31"/>
        <v>0.92000000000000048</v>
      </c>
      <c r="AA54" s="162">
        <f t="shared" si="1"/>
        <v>4.5759728079860791</v>
      </c>
      <c r="AB54" s="171">
        <f t="shared" si="32"/>
        <v>4.5759728079860791</v>
      </c>
      <c r="AC54" s="162"/>
      <c r="AD54" s="162">
        <f t="shared" si="33"/>
        <v>0.92000000000000048</v>
      </c>
      <c r="AE54" s="170">
        <f t="shared" si="34"/>
        <v>0.92000000000000048</v>
      </c>
      <c r="AF54" s="162">
        <f t="shared" si="2"/>
        <v>4.5759728079860791</v>
      </c>
      <c r="AG54" s="171">
        <f t="shared" si="35"/>
        <v>4.5759728079860791</v>
      </c>
      <c r="AH54" s="162"/>
      <c r="AI54" s="162">
        <f t="shared" si="36"/>
        <v>0.92000000000000048</v>
      </c>
      <c r="AJ54" s="170">
        <f t="shared" si="37"/>
        <v>0.92000000000000048</v>
      </c>
      <c r="AK54" s="162">
        <f t="shared" si="3"/>
        <v>4.5759728079860791</v>
      </c>
      <c r="AL54" s="171">
        <f t="shared" si="38"/>
        <v>4.5759728079860791</v>
      </c>
      <c r="AM54" s="162"/>
      <c r="AN54" s="162">
        <f t="shared" si="39"/>
        <v>0.92000000000000048</v>
      </c>
      <c r="AO54" s="162">
        <f t="shared" si="40"/>
        <v>0.92000000000000048</v>
      </c>
      <c r="AP54" s="162">
        <f t="shared" si="4"/>
        <v>4.5759728079860791</v>
      </c>
      <c r="AQ54" s="171">
        <f t="shared" si="41"/>
        <v>4.5759728079860791</v>
      </c>
      <c r="AR54" s="162"/>
      <c r="AS54" s="162">
        <f t="shared" si="42"/>
        <v>0.92000000000000048</v>
      </c>
      <c r="AT54" s="170">
        <f t="shared" si="43"/>
        <v>0.92000000000000048</v>
      </c>
      <c r="AU54" s="162">
        <f t="shared" si="5"/>
        <v>4.5759728079860791</v>
      </c>
      <c r="AV54" s="171">
        <f t="shared" si="44"/>
        <v>4.5759728079860791</v>
      </c>
      <c r="AW54" s="162"/>
      <c r="AX54" s="162">
        <f t="shared" si="45"/>
        <v>0.92000000000000048</v>
      </c>
      <c r="AY54" s="170">
        <f t="shared" si="46"/>
        <v>0.92000000000000048</v>
      </c>
      <c r="AZ54" s="162">
        <f t="shared" si="6"/>
        <v>4.5759728079860791</v>
      </c>
      <c r="BA54" s="171">
        <f t="shared" si="47"/>
        <v>4.5759728079860791</v>
      </c>
      <c r="BB54" s="162"/>
      <c r="BC54" s="162">
        <f t="shared" si="48"/>
        <v>0.92000000000000048</v>
      </c>
      <c r="BD54" s="162">
        <f t="shared" si="49"/>
        <v>0.92000000000000048</v>
      </c>
      <c r="BE54" s="162">
        <f t="shared" si="7"/>
        <v>4.5759728079860791</v>
      </c>
      <c r="BF54" s="171">
        <f t="shared" si="50"/>
        <v>4.5759728079860791</v>
      </c>
      <c r="BG54" s="162"/>
      <c r="BH54" s="162">
        <f t="shared" si="51"/>
        <v>0.92000000000000048</v>
      </c>
      <c r="BI54" s="170">
        <f t="shared" si="52"/>
        <v>0.92000000000000048</v>
      </c>
      <c r="BJ54" s="162">
        <f t="shared" si="8"/>
        <v>4.5759728079860791</v>
      </c>
      <c r="BK54" s="171">
        <f t="shared" si="53"/>
        <v>4.5759728079860791</v>
      </c>
      <c r="BL54" s="162"/>
      <c r="BM54" s="162">
        <f t="shared" si="54"/>
        <v>0.92000000000000048</v>
      </c>
      <c r="BN54" s="170">
        <f t="shared" si="55"/>
        <v>0.92000000000000048</v>
      </c>
      <c r="BO54" s="162">
        <f t="shared" si="9"/>
        <v>4.5759728079860791</v>
      </c>
      <c r="BP54" s="171">
        <f t="shared" si="56"/>
        <v>4.5759728079860791</v>
      </c>
      <c r="BQ54" s="162"/>
      <c r="BR54" s="162">
        <f t="shared" si="57"/>
        <v>0.92000000000000048</v>
      </c>
      <c r="BS54" s="162">
        <f t="shared" si="58"/>
        <v>0.92000000000000048</v>
      </c>
      <c r="BT54" s="162">
        <f t="shared" si="10"/>
        <v>4.5759728079860791</v>
      </c>
      <c r="BU54" s="171">
        <f t="shared" si="59"/>
        <v>4.5759728079860791</v>
      </c>
      <c r="BV54" s="162"/>
      <c r="BW54" s="162">
        <f t="shared" si="60"/>
        <v>0.92000000000000048</v>
      </c>
      <c r="BX54" s="170">
        <f t="shared" si="61"/>
        <v>0.92000000000000048</v>
      </c>
      <c r="BY54" s="162">
        <f t="shared" si="11"/>
        <v>4.5759728079860791</v>
      </c>
      <c r="BZ54" s="171">
        <f t="shared" si="62"/>
        <v>4.5759728079860791</v>
      </c>
      <c r="CA54" s="162"/>
      <c r="CB54" s="162">
        <f t="shared" si="63"/>
        <v>0.92000000000000048</v>
      </c>
      <c r="CC54" s="170">
        <f t="shared" si="64"/>
        <v>0.92000000000000048</v>
      </c>
      <c r="CD54" s="162">
        <f t="shared" si="12"/>
        <v>4.5759728079860791</v>
      </c>
      <c r="CE54" s="171">
        <f t="shared" si="65"/>
        <v>4.5759728079860791</v>
      </c>
      <c r="CF54" s="162"/>
      <c r="CG54" s="172">
        <f t="shared" si="66"/>
        <v>0.92000000000000048</v>
      </c>
      <c r="CH54" s="172">
        <f t="shared" si="67"/>
        <v>0.92000000000000048</v>
      </c>
      <c r="CI54" s="172">
        <f t="shared" si="13"/>
        <v>4.5759728079860791</v>
      </c>
      <c r="CJ54" s="171">
        <f t="shared" si="68"/>
        <v>4.5759728079860791</v>
      </c>
      <c r="CK54" s="172"/>
      <c r="CL54" s="162">
        <f t="shared" si="69"/>
        <v>0.92000000000000048</v>
      </c>
      <c r="CM54" s="170">
        <f t="shared" si="70"/>
        <v>0.92000000000000048</v>
      </c>
      <c r="CN54" s="162">
        <f t="shared" si="14"/>
        <v>4.5759728079860791</v>
      </c>
      <c r="CO54" s="171">
        <f t="shared" si="71"/>
        <v>4.5759728079860791</v>
      </c>
      <c r="CP54" s="162"/>
      <c r="CQ54" s="162">
        <f t="shared" si="72"/>
        <v>0.92000000000000048</v>
      </c>
      <c r="CR54" s="170">
        <f t="shared" si="73"/>
        <v>0.92000000000000048</v>
      </c>
      <c r="CS54" s="162">
        <f t="shared" si="15"/>
        <v>4.5759728079860791</v>
      </c>
      <c r="CT54" s="171">
        <f t="shared" si="74"/>
        <v>4.5759728079860791</v>
      </c>
      <c r="CU54" s="162"/>
      <c r="CV54" s="162">
        <f t="shared" si="75"/>
        <v>0.92000000000000048</v>
      </c>
      <c r="CW54" s="162">
        <f t="shared" si="76"/>
        <v>0.92000000000000048</v>
      </c>
      <c r="CX54" s="162">
        <f t="shared" si="16"/>
        <v>4.5759728079860791</v>
      </c>
      <c r="CY54" s="171">
        <f t="shared" si="77"/>
        <v>4.5759728079860791</v>
      </c>
      <c r="CZ54" s="162"/>
      <c r="DA54" s="162">
        <f t="shared" si="78"/>
        <v>0.92000000000000048</v>
      </c>
      <c r="DB54" s="170">
        <f t="shared" si="79"/>
        <v>0.92000000000000048</v>
      </c>
      <c r="DC54" s="162">
        <f t="shared" si="17"/>
        <v>4.5759728079860791</v>
      </c>
      <c r="DD54" s="171">
        <f t="shared" si="80"/>
        <v>4.5759728079860791</v>
      </c>
      <c r="DE54" s="162"/>
      <c r="DF54" s="162">
        <f t="shared" si="81"/>
        <v>0.92000000000000048</v>
      </c>
      <c r="DG54" s="170">
        <f t="shared" si="82"/>
        <v>0.92000000000000048</v>
      </c>
      <c r="DH54" s="162">
        <f t="shared" si="18"/>
        <v>4.5759728079860791</v>
      </c>
      <c r="DI54" s="171">
        <f t="shared" si="83"/>
        <v>4.5759728079860791</v>
      </c>
      <c r="DJ54" s="162"/>
      <c r="DK54" s="162">
        <f t="shared" si="84"/>
        <v>0.92000000000000048</v>
      </c>
      <c r="DL54" s="162">
        <f t="shared" si="85"/>
        <v>0.92000000000000048</v>
      </c>
      <c r="DM54" s="162">
        <f t="shared" si="19"/>
        <v>4.5759728079860791</v>
      </c>
      <c r="DN54" s="171">
        <f t="shared" si="86"/>
        <v>4.5759728079860791</v>
      </c>
      <c r="DO54" s="162"/>
      <c r="DP54" s="162">
        <f t="shared" si="87"/>
        <v>0.92000000000000048</v>
      </c>
      <c r="DQ54" s="170">
        <f t="shared" si="88"/>
        <v>0.92000000000000048</v>
      </c>
      <c r="DR54" s="162">
        <f t="shared" si="20"/>
        <v>4.5759728079860791</v>
      </c>
      <c r="DS54" s="171">
        <f t="shared" si="89"/>
        <v>4.5759728079860791</v>
      </c>
      <c r="DT54" s="162"/>
      <c r="DU54" s="162">
        <f t="shared" si="90"/>
        <v>0.92000000000000048</v>
      </c>
      <c r="DV54" s="170">
        <f t="shared" si="91"/>
        <v>0.92000000000000048</v>
      </c>
      <c r="DW54" s="162">
        <f t="shared" si="21"/>
        <v>4.5759728079860791</v>
      </c>
      <c r="DX54" s="171">
        <f t="shared" si="92"/>
        <v>4.5759728079860791</v>
      </c>
      <c r="DY54" s="162"/>
      <c r="DZ54" s="162">
        <f t="shared" si="93"/>
        <v>0.92000000000000048</v>
      </c>
      <c r="EA54" s="162">
        <f t="shared" si="94"/>
        <v>0.92000000000000048</v>
      </c>
      <c r="EB54" s="162">
        <f t="shared" si="22"/>
        <v>4.5759728079860791</v>
      </c>
      <c r="EC54" s="171">
        <f t="shared" si="95"/>
        <v>4.5759728079860791</v>
      </c>
      <c r="ED54" s="162"/>
      <c r="EE54" s="162">
        <f t="shared" si="96"/>
        <v>0.92000000000000048</v>
      </c>
      <c r="EF54" s="170">
        <f t="shared" si="97"/>
        <v>0.92000000000000048</v>
      </c>
      <c r="EG54" s="162">
        <f t="shared" si="23"/>
        <v>4.5759728079860791</v>
      </c>
      <c r="EH54" s="171">
        <f t="shared" si="98"/>
        <v>4.5759728079860791</v>
      </c>
      <c r="EI54" s="162"/>
      <c r="EJ54" s="162">
        <f t="shared" si="99"/>
        <v>0.92000000000000048</v>
      </c>
      <c r="EK54" s="170">
        <f t="shared" si="100"/>
        <v>0.92000000000000048</v>
      </c>
      <c r="EL54" s="162">
        <f t="shared" si="24"/>
        <v>4.5759728079860791</v>
      </c>
      <c r="EM54" s="171">
        <f t="shared" si="101"/>
        <v>4.5759728079860791</v>
      </c>
      <c r="EN54" s="162"/>
      <c r="EO54" s="162">
        <f t="shared" si="102"/>
        <v>0.92000000000000048</v>
      </c>
      <c r="EP54" s="162">
        <f t="shared" si="103"/>
        <v>0.92000000000000048</v>
      </c>
      <c r="EQ54" s="162">
        <f t="shared" si="25"/>
        <v>4.5759728079860791</v>
      </c>
      <c r="ER54" s="171">
        <f t="shared" si="104"/>
        <v>4.5759728079860791</v>
      </c>
      <c r="ES54" s="162"/>
      <c r="ET54" s="162">
        <f t="shared" si="105"/>
        <v>0.92000000000000048</v>
      </c>
      <c r="EU54" s="170">
        <f t="shared" si="106"/>
        <v>0.92000000000000048</v>
      </c>
      <c r="EV54" s="162">
        <f t="shared" si="26"/>
        <v>4.5759728079860791</v>
      </c>
      <c r="EW54" s="171">
        <f t="shared" si="107"/>
        <v>4.5759728079860791</v>
      </c>
      <c r="EX54" s="162"/>
    </row>
    <row r="55" spans="20:154" s="181" customFormat="1" x14ac:dyDescent="0.25">
      <c r="T55" s="162">
        <f t="shared" si="27"/>
        <v>0.9400000000000005</v>
      </c>
      <c r="U55" s="170">
        <f t="shared" si="28"/>
        <v>0.9400000000000005</v>
      </c>
      <c r="V55" s="162">
        <f t="shared" si="0"/>
        <v>4.6074526025335443</v>
      </c>
      <c r="W55" s="171">
        <f t="shared" si="29"/>
        <v>4.6074526025335443</v>
      </c>
      <c r="X55" s="162"/>
      <c r="Y55" s="162">
        <f t="shared" si="30"/>
        <v>0.9400000000000005</v>
      </c>
      <c r="Z55" s="162">
        <f t="shared" si="31"/>
        <v>0.9400000000000005</v>
      </c>
      <c r="AA55" s="162">
        <f t="shared" si="1"/>
        <v>4.6074526025335443</v>
      </c>
      <c r="AB55" s="171">
        <f t="shared" si="32"/>
        <v>4.6074526025335443</v>
      </c>
      <c r="AC55" s="162"/>
      <c r="AD55" s="162">
        <f t="shared" si="33"/>
        <v>0.9400000000000005</v>
      </c>
      <c r="AE55" s="170">
        <f t="shared" si="34"/>
        <v>0.9400000000000005</v>
      </c>
      <c r="AF55" s="162">
        <f t="shared" si="2"/>
        <v>4.6074526025335443</v>
      </c>
      <c r="AG55" s="171">
        <f t="shared" si="35"/>
        <v>4.6074526025335443</v>
      </c>
      <c r="AH55" s="162"/>
      <c r="AI55" s="162">
        <f t="shared" si="36"/>
        <v>0.9400000000000005</v>
      </c>
      <c r="AJ55" s="170">
        <f t="shared" si="37"/>
        <v>0.9400000000000005</v>
      </c>
      <c r="AK55" s="162">
        <f t="shared" si="3"/>
        <v>4.6074526025335443</v>
      </c>
      <c r="AL55" s="171">
        <f t="shared" si="38"/>
        <v>4.6074526025335443</v>
      </c>
      <c r="AM55" s="162"/>
      <c r="AN55" s="162">
        <f t="shared" si="39"/>
        <v>0.9400000000000005</v>
      </c>
      <c r="AO55" s="162">
        <f t="shared" si="40"/>
        <v>0.9400000000000005</v>
      </c>
      <c r="AP55" s="162">
        <f t="shared" si="4"/>
        <v>4.6074526025335443</v>
      </c>
      <c r="AQ55" s="171">
        <f t="shared" si="41"/>
        <v>4.6074526025335443</v>
      </c>
      <c r="AR55" s="162"/>
      <c r="AS55" s="162">
        <f t="shared" si="42"/>
        <v>0.9400000000000005</v>
      </c>
      <c r="AT55" s="170">
        <f t="shared" si="43"/>
        <v>0.9400000000000005</v>
      </c>
      <c r="AU55" s="162">
        <f t="shared" si="5"/>
        <v>4.6074526025335443</v>
      </c>
      <c r="AV55" s="171">
        <f t="shared" si="44"/>
        <v>4.6074526025335443</v>
      </c>
      <c r="AW55" s="162"/>
      <c r="AX55" s="162">
        <f t="shared" si="45"/>
        <v>0.9400000000000005</v>
      </c>
      <c r="AY55" s="170">
        <f t="shared" si="46"/>
        <v>0.9400000000000005</v>
      </c>
      <c r="AZ55" s="162">
        <f t="shared" si="6"/>
        <v>4.6074526025335443</v>
      </c>
      <c r="BA55" s="171">
        <f t="shared" si="47"/>
        <v>4.6074526025335443</v>
      </c>
      <c r="BB55" s="162"/>
      <c r="BC55" s="162">
        <f t="shared" si="48"/>
        <v>0.9400000000000005</v>
      </c>
      <c r="BD55" s="162">
        <f t="shared" si="49"/>
        <v>0.9400000000000005</v>
      </c>
      <c r="BE55" s="162">
        <f t="shared" si="7"/>
        <v>4.6074526025335443</v>
      </c>
      <c r="BF55" s="171">
        <f t="shared" si="50"/>
        <v>4.6074526025335443</v>
      </c>
      <c r="BG55" s="162"/>
      <c r="BH55" s="162">
        <f t="shared" si="51"/>
        <v>0.9400000000000005</v>
      </c>
      <c r="BI55" s="170">
        <f t="shared" si="52"/>
        <v>0.9400000000000005</v>
      </c>
      <c r="BJ55" s="162">
        <f t="shared" si="8"/>
        <v>4.6074526025335443</v>
      </c>
      <c r="BK55" s="171">
        <f t="shared" si="53"/>
        <v>4.6074526025335443</v>
      </c>
      <c r="BL55" s="162"/>
      <c r="BM55" s="162">
        <f t="shared" si="54"/>
        <v>0.9400000000000005</v>
      </c>
      <c r="BN55" s="170">
        <f t="shared" si="55"/>
        <v>0.9400000000000005</v>
      </c>
      <c r="BO55" s="162">
        <f t="shared" si="9"/>
        <v>4.6074526025335443</v>
      </c>
      <c r="BP55" s="171">
        <f t="shared" si="56"/>
        <v>4.6074526025335443</v>
      </c>
      <c r="BQ55" s="162"/>
      <c r="BR55" s="162">
        <f t="shared" si="57"/>
        <v>0.9400000000000005</v>
      </c>
      <c r="BS55" s="162">
        <f t="shared" si="58"/>
        <v>0.9400000000000005</v>
      </c>
      <c r="BT55" s="162">
        <f t="shared" si="10"/>
        <v>4.6074526025335443</v>
      </c>
      <c r="BU55" s="171">
        <f t="shared" si="59"/>
        <v>4.6074526025335443</v>
      </c>
      <c r="BV55" s="162"/>
      <c r="BW55" s="162">
        <f t="shared" si="60"/>
        <v>0.9400000000000005</v>
      </c>
      <c r="BX55" s="170">
        <f t="shared" si="61"/>
        <v>0.9400000000000005</v>
      </c>
      <c r="BY55" s="162">
        <f t="shared" si="11"/>
        <v>4.6074526025335443</v>
      </c>
      <c r="BZ55" s="171">
        <f t="shared" si="62"/>
        <v>4.6074526025335443</v>
      </c>
      <c r="CA55" s="162"/>
      <c r="CB55" s="162">
        <f t="shared" si="63"/>
        <v>0.9400000000000005</v>
      </c>
      <c r="CC55" s="170">
        <f t="shared" si="64"/>
        <v>0.9400000000000005</v>
      </c>
      <c r="CD55" s="162">
        <f t="shared" si="12"/>
        <v>4.6074526025335443</v>
      </c>
      <c r="CE55" s="171">
        <f t="shared" si="65"/>
        <v>4.6074526025335443</v>
      </c>
      <c r="CF55" s="162"/>
      <c r="CG55" s="172">
        <f t="shared" si="66"/>
        <v>0.9400000000000005</v>
      </c>
      <c r="CH55" s="172">
        <f t="shared" si="67"/>
        <v>0.9400000000000005</v>
      </c>
      <c r="CI55" s="172">
        <f t="shared" si="13"/>
        <v>4.6074526025335443</v>
      </c>
      <c r="CJ55" s="171">
        <f t="shared" si="68"/>
        <v>4.6074526025335443</v>
      </c>
      <c r="CK55" s="172"/>
      <c r="CL55" s="162">
        <f t="shared" si="69"/>
        <v>0.9400000000000005</v>
      </c>
      <c r="CM55" s="170">
        <f t="shared" si="70"/>
        <v>0.9400000000000005</v>
      </c>
      <c r="CN55" s="162">
        <f t="shared" si="14"/>
        <v>4.6074526025335443</v>
      </c>
      <c r="CO55" s="171">
        <f t="shared" si="71"/>
        <v>4.6074526025335443</v>
      </c>
      <c r="CP55" s="162"/>
      <c r="CQ55" s="162">
        <f t="shared" si="72"/>
        <v>0.9400000000000005</v>
      </c>
      <c r="CR55" s="170">
        <f t="shared" si="73"/>
        <v>0.9400000000000005</v>
      </c>
      <c r="CS55" s="162">
        <f t="shared" si="15"/>
        <v>4.6074526025335443</v>
      </c>
      <c r="CT55" s="171">
        <f t="shared" si="74"/>
        <v>4.6074526025335443</v>
      </c>
      <c r="CU55" s="162"/>
      <c r="CV55" s="162">
        <f t="shared" si="75"/>
        <v>0.9400000000000005</v>
      </c>
      <c r="CW55" s="162">
        <f t="shared" si="76"/>
        <v>0.9400000000000005</v>
      </c>
      <c r="CX55" s="162">
        <f t="shared" si="16"/>
        <v>4.6074526025335443</v>
      </c>
      <c r="CY55" s="171">
        <f t="shared" si="77"/>
        <v>4.6074526025335443</v>
      </c>
      <c r="CZ55" s="162"/>
      <c r="DA55" s="162">
        <f t="shared" si="78"/>
        <v>0.9400000000000005</v>
      </c>
      <c r="DB55" s="170">
        <f t="shared" si="79"/>
        <v>0.9400000000000005</v>
      </c>
      <c r="DC55" s="162">
        <f t="shared" si="17"/>
        <v>4.6074526025335443</v>
      </c>
      <c r="DD55" s="171">
        <f t="shared" si="80"/>
        <v>4.6074526025335443</v>
      </c>
      <c r="DE55" s="162"/>
      <c r="DF55" s="162">
        <f t="shared" si="81"/>
        <v>0.9400000000000005</v>
      </c>
      <c r="DG55" s="170">
        <f t="shared" si="82"/>
        <v>0.9400000000000005</v>
      </c>
      <c r="DH55" s="162">
        <f t="shared" si="18"/>
        <v>4.6074526025335443</v>
      </c>
      <c r="DI55" s="171">
        <f t="shared" si="83"/>
        <v>4.6074526025335443</v>
      </c>
      <c r="DJ55" s="162"/>
      <c r="DK55" s="162">
        <f t="shared" si="84"/>
        <v>0.9400000000000005</v>
      </c>
      <c r="DL55" s="162">
        <f t="shared" si="85"/>
        <v>0.9400000000000005</v>
      </c>
      <c r="DM55" s="162">
        <f t="shared" si="19"/>
        <v>4.6074526025335443</v>
      </c>
      <c r="DN55" s="171">
        <f t="shared" si="86"/>
        <v>4.6074526025335443</v>
      </c>
      <c r="DO55" s="162"/>
      <c r="DP55" s="162">
        <f t="shared" si="87"/>
        <v>0.9400000000000005</v>
      </c>
      <c r="DQ55" s="170">
        <f t="shared" si="88"/>
        <v>0.9400000000000005</v>
      </c>
      <c r="DR55" s="162">
        <f t="shared" si="20"/>
        <v>4.6074526025335443</v>
      </c>
      <c r="DS55" s="171">
        <f t="shared" si="89"/>
        <v>4.6074526025335443</v>
      </c>
      <c r="DT55" s="162"/>
      <c r="DU55" s="162">
        <f t="shared" si="90"/>
        <v>0.9400000000000005</v>
      </c>
      <c r="DV55" s="170">
        <f t="shared" si="91"/>
        <v>0.9400000000000005</v>
      </c>
      <c r="DW55" s="162">
        <f t="shared" si="21"/>
        <v>4.6074526025335443</v>
      </c>
      <c r="DX55" s="171">
        <f t="shared" si="92"/>
        <v>4.6074526025335443</v>
      </c>
      <c r="DY55" s="162"/>
      <c r="DZ55" s="162">
        <f t="shared" si="93"/>
        <v>0.9400000000000005</v>
      </c>
      <c r="EA55" s="162">
        <f t="shared" si="94"/>
        <v>0.9400000000000005</v>
      </c>
      <c r="EB55" s="162">
        <f t="shared" si="22"/>
        <v>4.6074526025335443</v>
      </c>
      <c r="EC55" s="171">
        <f t="shared" si="95"/>
        <v>4.6074526025335443</v>
      </c>
      <c r="ED55" s="162"/>
      <c r="EE55" s="162">
        <f t="shared" si="96"/>
        <v>0.9400000000000005</v>
      </c>
      <c r="EF55" s="170">
        <f t="shared" si="97"/>
        <v>0.9400000000000005</v>
      </c>
      <c r="EG55" s="162">
        <f t="shared" si="23"/>
        <v>4.6074526025335443</v>
      </c>
      <c r="EH55" s="171">
        <f t="shared" si="98"/>
        <v>4.6074526025335443</v>
      </c>
      <c r="EI55" s="162"/>
      <c r="EJ55" s="162">
        <f t="shared" si="99"/>
        <v>0.9400000000000005</v>
      </c>
      <c r="EK55" s="170">
        <f t="shared" si="100"/>
        <v>0.9400000000000005</v>
      </c>
      <c r="EL55" s="162">
        <f t="shared" si="24"/>
        <v>4.6074526025335443</v>
      </c>
      <c r="EM55" s="171">
        <f t="shared" si="101"/>
        <v>4.6074526025335443</v>
      </c>
      <c r="EN55" s="162"/>
      <c r="EO55" s="162">
        <f t="shared" si="102"/>
        <v>0.9400000000000005</v>
      </c>
      <c r="EP55" s="162">
        <f t="shared" si="103"/>
        <v>0.9400000000000005</v>
      </c>
      <c r="EQ55" s="162">
        <f t="shared" si="25"/>
        <v>4.6074526025335443</v>
      </c>
      <c r="ER55" s="171">
        <f t="shared" si="104"/>
        <v>4.6074526025335443</v>
      </c>
      <c r="ES55" s="162"/>
      <c r="ET55" s="162">
        <f t="shared" si="105"/>
        <v>0.9400000000000005</v>
      </c>
      <c r="EU55" s="170">
        <f t="shared" si="106"/>
        <v>0.9400000000000005</v>
      </c>
      <c r="EV55" s="162">
        <f t="shared" si="26"/>
        <v>4.6074526025335443</v>
      </c>
      <c r="EW55" s="171">
        <f t="shared" si="107"/>
        <v>4.6074526025335443</v>
      </c>
      <c r="EX55" s="162"/>
    </row>
    <row r="56" spans="20:154" s="181" customFormat="1" x14ac:dyDescent="0.25">
      <c r="T56" s="162">
        <f t="shared" si="27"/>
        <v>0.96000000000000052</v>
      </c>
      <c r="U56" s="170">
        <f t="shared" si="28"/>
        <v>0.96000000000000052</v>
      </c>
      <c r="V56" s="162">
        <f t="shared" si="0"/>
        <v>4.6362238843531625</v>
      </c>
      <c r="W56" s="171">
        <f t="shared" si="29"/>
        <v>4.6362238843531625</v>
      </c>
      <c r="X56" s="162"/>
      <c r="Y56" s="162">
        <f t="shared" si="30"/>
        <v>0.96000000000000052</v>
      </c>
      <c r="Z56" s="162">
        <f t="shared" si="31"/>
        <v>0.96000000000000052</v>
      </c>
      <c r="AA56" s="162">
        <f t="shared" si="1"/>
        <v>4.6362238843531625</v>
      </c>
      <c r="AB56" s="171">
        <f t="shared" si="32"/>
        <v>4.6362238843531625</v>
      </c>
      <c r="AC56" s="162"/>
      <c r="AD56" s="162">
        <f t="shared" si="33"/>
        <v>0.96000000000000052</v>
      </c>
      <c r="AE56" s="170">
        <f t="shared" si="34"/>
        <v>0.96000000000000052</v>
      </c>
      <c r="AF56" s="162">
        <f t="shared" si="2"/>
        <v>4.6362238843531625</v>
      </c>
      <c r="AG56" s="171">
        <f t="shared" si="35"/>
        <v>4.6362238843531625</v>
      </c>
      <c r="AH56" s="162"/>
      <c r="AI56" s="162">
        <f t="shared" si="36"/>
        <v>0.96000000000000052</v>
      </c>
      <c r="AJ56" s="170">
        <f t="shared" si="37"/>
        <v>0.96000000000000052</v>
      </c>
      <c r="AK56" s="162">
        <f t="shared" si="3"/>
        <v>4.6362238843531625</v>
      </c>
      <c r="AL56" s="171">
        <f t="shared" si="38"/>
        <v>4.6362238843531625</v>
      </c>
      <c r="AM56" s="162"/>
      <c r="AN56" s="162">
        <f t="shared" si="39"/>
        <v>0.96000000000000052</v>
      </c>
      <c r="AO56" s="162">
        <f t="shared" si="40"/>
        <v>0.96000000000000052</v>
      </c>
      <c r="AP56" s="162">
        <f t="shared" si="4"/>
        <v>4.6362238843531625</v>
      </c>
      <c r="AQ56" s="171">
        <f t="shared" si="41"/>
        <v>4.6362238843531625</v>
      </c>
      <c r="AR56" s="162"/>
      <c r="AS56" s="162">
        <f t="shared" si="42"/>
        <v>0.96000000000000052</v>
      </c>
      <c r="AT56" s="170">
        <f t="shared" si="43"/>
        <v>0.96000000000000052</v>
      </c>
      <c r="AU56" s="162">
        <f t="shared" si="5"/>
        <v>4.6362238843531625</v>
      </c>
      <c r="AV56" s="171">
        <f t="shared" si="44"/>
        <v>4.6362238843531625</v>
      </c>
      <c r="AW56" s="162"/>
      <c r="AX56" s="162">
        <f t="shared" si="45"/>
        <v>0.96000000000000052</v>
      </c>
      <c r="AY56" s="170">
        <f t="shared" si="46"/>
        <v>0.96000000000000052</v>
      </c>
      <c r="AZ56" s="162">
        <f t="shared" si="6"/>
        <v>4.6362238843531625</v>
      </c>
      <c r="BA56" s="171">
        <f t="shared" si="47"/>
        <v>4.6362238843531625</v>
      </c>
      <c r="BB56" s="162"/>
      <c r="BC56" s="162">
        <f t="shared" si="48"/>
        <v>0.96000000000000052</v>
      </c>
      <c r="BD56" s="162">
        <f t="shared" si="49"/>
        <v>0.96000000000000052</v>
      </c>
      <c r="BE56" s="162">
        <f t="shared" si="7"/>
        <v>4.6362238843531625</v>
      </c>
      <c r="BF56" s="171">
        <f t="shared" si="50"/>
        <v>4.6362238843531625</v>
      </c>
      <c r="BG56" s="162"/>
      <c r="BH56" s="162">
        <f t="shared" si="51"/>
        <v>0.96000000000000052</v>
      </c>
      <c r="BI56" s="170">
        <f t="shared" si="52"/>
        <v>0.96000000000000052</v>
      </c>
      <c r="BJ56" s="162">
        <f t="shared" si="8"/>
        <v>4.6362238843531625</v>
      </c>
      <c r="BK56" s="171">
        <f t="shared" si="53"/>
        <v>4.6362238843531625</v>
      </c>
      <c r="BL56" s="162"/>
      <c r="BM56" s="162">
        <f t="shared" si="54"/>
        <v>0.96000000000000052</v>
      </c>
      <c r="BN56" s="170">
        <f t="shared" si="55"/>
        <v>0.96000000000000052</v>
      </c>
      <c r="BO56" s="162">
        <f t="shared" si="9"/>
        <v>4.6362238843531625</v>
      </c>
      <c r="BP56" s="171">
        <f t="shared" si="56"/>
        <v>4.6362238843531625</v>
      </c>
      <c r="BQ56" s="162"/>
      <c r="BR56" s="162">
        <f t="shared" si="57"/>
        <v>0.96000000000000052</v>
      </c>
      <c r="BS56" s="162">
        <f t="shared" si="58"/>
        <v>0.96000000000000052</v>
      </c>
      <c r="BT56" s="162">
        <f t="shared" si="10"/>
        <v>4.6362238843531625</v>
      </c>
      <c r="BU56" s="171">
        <f t="shared" si="59"/>
        <v>4.6362238843531625</v>
      </c>
      <c r="BV56" s="162"/>
      <c r="BW56" s="162">
        <f t="shared" si="60"/>
        <v>0.96000000000000052</v>
      </c>
      <c r="BX56" s="170">
        <f t="shared" si="61"/>
        <v>0.96000000000000052</v>
      </c>
      <c r="BY56" s="162">
        <f t="shared" si="11"/>
        <v>4.6362238843531625</v>
      </c>
      <c r="BZ56" s="171">
        <f t="shared" si="62"/>
        <v>4.6362238843531625</v>
      </c>
      <c r="CA56" s="162"/>
      <c r="CB56" s="162">
        <f t="shared" si="63"/>
        <v>0.96000000000000052</v>
      </c>
      <c r="CC56" s="170">
        <f t="shared" si="64"/>
        <v>0.96000000000000052</v>
      </c>
      <c r="CD56" s="162">
        <f t="shared" si="12"/>
        <v>4.6362238843531625</v>
      </c>
      <c r="CE56" s="171">
        <f t="shared" si="65"/>
        <v>4.6362238843531625</v>
      </c>
      <c r="CF56" s="162"/>
      <c r="CG56" s="172">
        <f t="shared" si="66"/>
        <v>0.96000000000000052</v>
      </c>
      <c r="CH56" s="172">
        <f t="shared" si="67"/>
        <v>0.96000000000000052</v>
      </c>
      <c r="CI56" s="172">
        <f t="shared" si="13"/>
        <v>4.6362238843531625</v>
      </c>
      <c r="CJ56" s="171">
        <f t="shared" si="68"/>
        <v>4.6362238843531625</v>
      </c>
      <c r="CK56" s="172"/>
      <c r="CL56" s="162">
        <f t="shared" si="69"/>
        <v>0.96000000000000052</v>
      </c>
      <c r="CM56" s="170">
        <f t="shared" si="70"/>
        <v>0.96000000000000052</v>
      </c>
      <c r="CN56" s="162">
        <f t="shared" si="14"/>
        <v>4.6362238843531625</v>
      </c>
      <c r="CO56" s="171">
        <f t="shared" si="71"/>
        <v>4.6362238843531625</v>
      </c>
      <c r="CP56" s="162"/>
      <c r="CQ56" s="162">
        <f t="shared" si="72"/>
        <v>0.96000000000000052</v>
      </c>
      <c r="CR56" s="170">
        <f t="shared" si="73"/>
        <v>0.96000000000000052</v>
      </c>
      <c r="CS56" s="162">
        <f t="shared" si="15"/>
        <v>4.6362238843531625</v>
      </c>
      <c r="CT56" s="171">
        <f t="shared" si="74"/>
        <v>4.6362238843531625</v>
      </c>
      <c r="CU56" s="162"/>
      <c r="CV56" s="162">
        <f t="shared" si="75"/>
        <v>0.96000000000000052</v>
      </c>
      <c r="CW56" s="162">
        <f t="shared" si="76"/>
        <v>0.96000000000000052</v>
      </c>
      <c r="CX56" s="162">
        <f t="shared" si="16"/>
        <v>4.6362238843531625</v>
      </c>
      <c r="CY56" s="171">
        <f t="shared" si="77"/>
        <v>4.6362238843531625</v>
      </c>
      <c r="CZ56" s="162"/>
      <c r="DA56" s="162">
        <f t="shared" si="78"/>
        <v>0.96000000000000052</v>
      </c>
      <c r="DB56" s="170">
        <f t="shared" si="79"/>
        <v>0.96000000000000052</v>
      </c>
      <c r="DC56" s="162">
        <f t="shared" si="17"/>
        <v>4.6362238843531625</v>
      </c>
      <c r="DD56" s="171">
        <f t="shared" si="80"/>
        <v>4.6362238843531625</v>
      </c>
      <c r="DE56" s="162"/>
      <c r="DF56" s="162">
        <f t="shared" si="81"/>
        <v>0.96000000000000052</v>
      </c>
      <c r="DG56" s="170">
        <f t="shared" si="82"/>
        <v>0.96000000000000052</v>
      </c>
      <c r="DH56" s="162">
        <f t="shared" si="18"/>
        <v>4.6362238843531625</v>
      </c>
      <c r="DI56" s="171">
        <f t="shared" si="83"/>
        <v>4.6362238843531625</v>
      </c>
      <c r="DJ56" s="162"/>
      <c r="DK56" s="162">
        <f t="shared" si="84"/>
        <v>0.96000000000000052</v>
      </c>
      <c r="DL56" s="162">
        <f t="shared" si="85"/>
        <v>0.96000000000000052</v>
      </c>
      <c r="DM56" s="162">
        <f t="shared" si="19"/>
        <v>4.6362238843531625</v>
      </c>
      <c r="DN56" s="171">
        <f t="shared" si="86"/>
        <v>4.6362238843531625</v>
      </c>
      <c r="DO56" s="162"/>
      <c r="DP56" s="162">
        <f t="shared" si="87"/>
        <v>0.96000000000000052</v>
      </c>
      <c r="DQ56" s="170">
        <f t="shared" si="88"/>
        <v>0.96000000000000052</v>
      </c>
      <c r="DR56" s="162">
        <f t="shared" si="20"/>
        <v>4.6362238843531625</v>
      </c>
      <c r="DS56" s="171">
        <f t="shared" si="89"/>
        <v>4.6362238843531625</v>
      </c>
      <c r="DT56" s="162"/>
      <c r="DU56" s="162">
        <f t="shared" si="90"/>
        <v>0.96000000000000052</v>
      </c>
      <c r="DV56" s="170">
        <f t="shared" si="91"/>
        <v>0.96000000000000052</v>
      </c>
      <c r="DW56" s="162">
        <f t="shared" si="21"/>
        <v>4.6362238843531625</v>
      </c>
      <c r="DX56" s="171">
        <f t="shared" si="92"/>
        <v>4.6362238843531625</v>
      </c>
      <c r="DY56" s="162"/>
      <c r="DZ56" s="162">
        <f t="shared" si="93"/>
        <v>0.96000000000000052</v>
      </c>
      <c r="EA56" s="162">
        <f t="shared" si="94"/>
        <v>0.96000000000000052</v>
      </c>
      <c r="EB56" s="162">
        <f t="shared" si="22"/>
        <v>4.6362238843531625</v>
      </c>
      <c r="EC56" s="171">
        <f t="shared" si="95"/>
        <v>4.6362238843531625</v>
      </c>
      <c r="ED56" s="162"/>
      <c r="EE56" s="162">
        <f t="shared" si="96"/>
        <v>0.96000000000000052</v>
      </c>
      <c r="EF56" s="170">
        <f t="shared" si="97"/>
        <v>0.96000000000000052</v>
      </c>
      <c r="EG56" s="162">
        <f t="shared" si="23"/>
        <v>4.6362238843531625</v>
      </c>
      <c r="EH56" s="171">
        <f t="shared" si="98"/>
        <v>4.6362238843531625</v>
      </c>
      <c r="EI56" s="162"/>
      <c r="EJ56" s="162">
        <f t="shared" si="99"/>
        <v>0.96000000000000052</v>
      </c>
      <c r="EK56" s="170">
        <f t="shared" si="100"/>
        <v>0.96000000000000052</v>
      </c>
      <c r="EL56" s="162">
        <f t="shared" si="24"/>
        <v>4.6362238843531625</v>
      </c>
      <c r="EM56" s="171">
        <f t="shared" si="101"/>
        <v>4.6362238843531625</v>
      </c>
      <c r="EN56" s="162"/>
      <c r="EO56" s="162">
        <f t="shared" si="102"/>
        <v>0.96000000000000052</v>
      </c>
      <c r="EP56" s="162">
        <f t="shared" si="103"/>
        <v>0.96000000000000052</v>
      </c>
      <c r="EQ56" s="162">
        <f t="shared" si="25"/>
        <v>4.6362238843531625</v>
      </c>
      <c r="ER56" s="171">
        <f t="shared" si="104"/>
        <v>4.6362238843531625</v>
      </c>
      <c r="ES56" s="162"/>
      <c r="ET56" s="162">
        <f t="shared" si="105"/>
        <v>0.96000000000000052</v>
      </c>
      <c r="EU56" s="170">
        <f t="shared" si="106"/>
        <v>0.96000000000000052</v>
      </c>
      <c r="EV56" s="162">
        <f t="shared" si="26"/>
        <v>4.6362238843531625</v>
      </c>
      <c r="EW56" s="171">
        <f t="shared" si="107"/>
        <v>4.6362238843531625</v>
      </c>
      <c r="EX56" s="162"/>
    </row>
    <row r="57" spans="20:154" s="181" customFormat="1" x14ac:dyDescent="0.25">
      <c r="T57" s="162">
        <f t="shared" si="27"/>
        <v>0.98000000000000054</v>
      </c>
      <c r="U57" s="170">
        <f t="shared" si="28"/>
        <v>0.98000000000000054</v>
      </c>
      <c r="V57" s="162">
        <f t="shared" si="0"/>
        <v>4.6622866534449319</v>
      </c>
      <c r="W57" s="171">
        <f t="shared" si="29"/>
        <v>4.6622866534449319</v>
      </c>
      <c r="X57" s="162"/>
      <c r="Y57" s="162">
        <f t="shared" si="30"/>
        <v>0.98000000000000054</v>
      </c>
      <c r="Z57" s="162">
        <f t="shared" si="31"/>
        <v>0.98000000000000054</v>
      </c>
      <c r="AA57" s="162">
        <f t="shared" si="1"/>
        <v>4.6622866534449319</v>
      </c>
      <c r="AB57" s="171">
        <f t="shared" si="32"/>
        <v>4.6622866534449319</v>
      </c>
      <c r="AC57" s="162"/>
      <c r="AD57" s="162">
        <f t="shared" si="33"/>
        <v>0.98000000000000054</v>
      </c>
      <c r="AE57" s="170">
        <f t="shared" si="34"/>
        <v>0.98000000000000054</v>
      </c>
      <c r="AF57" s="162">
        <f t="shared" si="2"/>
        <v>4.6622866534449319</v>
      </c>
      <c r="AG57" s="171">
        <f t="shared" si="35"/>
        <v>4.6622866534449319</v>
      </c>
      <c r="AH57" s="162"/>
      <c r="AI57" s="162">
        <f t="shared" si="36"/>
        <v>0.98000000000000054</v>
      </c>
      <c r="AJ57" s="170">
        <f t="shared" si="37"/>
        <v>0.98000000000000054</v>
      </c>
      <c r="AK57" s="162">
        <f t="shared" si="3"/>
        <v>4.6622866534449319</v>
      </c>
      <c r="AL57" s="171">
        <f t="shared" si="38"/>
        <v>4.6622866534449319</v>
      </c>
      <c r="AM57" s="162"/>
      <c r="AN57" s="162">
        <f t="shared" si="39"/>
        <v>0.98000000000000054</v>
      </c>
      <c r="AO57" s="162">
        <f t="shared" si="40"/>
        <v>0.98000000000000054</v>
      </c>
      <c r="AP57" s="162">
        <f t="shared" si="4"/>
        <v>4.6622866534449319</v>
      </c>
      <c r="AQ57" s="171">
        <f t="shared" si="41"/>
        <v>4.6622866534449319</v>
      </c>
      <c r="AR57" s="162"/>
      <c r="AS57" s="162">
        <f t="shared" si="42"/>
        <v>0.98000000000000054</v>
      </c>
      <c r="AT57" s="170">
        <f t="shared" si="43"/>
        <v>0.98000000000000054</v>
      </c>
      <c r="AU57" s="162">
        <f t="shared" si="5"/>
        <v>4.6622866534449319</v>
      </c>
      <c r="AV57" s="171">
        <f t="shared" si="44"/>
        <v>4.6622866534449319</v>
      </c>
      <c r="AW57" s="162"/>
      <c r="AX57" s="162">
        <f t="shared" si="45"/>
        <v>0.98000000000000054</v>
      </c>
      <c r="AY57" s="170">
        <f t="shared" si="46"/>
        <v>0.98000000000000054</v>
      </c>
      <c r="AZ57" s="162">
        <f t="shared" si="6"/>
        <v>4.6622866534449319</v>
      </c>
      <c r="BA57" s="171">
        <f t="shared" si="47"/>
        <v>4.6622866534449319</v>
      </c>
      <c r="BB57" s="162"/>
      <c r="BC57" s="162">
        <f t="shared" si="48"/>
        <v>0.98000000000000054</v>
      </c>
      <c r="BD57" s="162">
        <f t="shared" si="49"/>
        <v>0.98000000000000054</v>
      </c>
      <c r="BE57" s="162">
        <f t="shared" si="7"/>
        <v>4.6622866534449319</v>
      </c>
      <c r="BF57" s="171">
        <f t="shared" si="50"/>
        <v>4.6622866534449319</v>
      </c>
      <c r="BG57" s="162"/>
      <c r="BH57" s="162">
        <f t="shared" si="51"/>
        <v>0.98000000000000054</v>
      </c>
      <c r="BI57" s="170">
        <f t="shared" si="52"/>
        <v>0.98000000000000054</v>
      </c>
      <c r="BJ57" s="162">
        <f t="shared" si="8"/>
        <v>4.6622866534449319</v>
      </c>
      <c r="BK57" s="171">
        <f t="shared" si="53"/>
        <v>4.6622866534449319</v>
      </c>
      <c r="BL57" s="162"/>
      <c r="BM57" s="162">
        <f t="shared" si="54"/>
        <v>0.98000000000000054</v>
      </c>
      <c r="BN57" s="170">
        <f t="shared" si="55"/>
        <v>0.98000000000000054</v>
      </c>
      <c r="BO57" s="162">
        <f t="shared" si="9"/>
        <v>4.6622866534449319</v>
      </c>
      <c r="BP57" s="171">
        <f t="shared" si="56"/>
        <v>4.6622866534449319</v>
      </c>
      <c r="BQ57" s="162"/>
      <c r="BR57" s="162">
        <f t="shared" si="57"/>
        <v>0.98000000000000054</v>
      </c>
      <c r="BS57" s="162">
        <f t="shared" si="58"/>
        <v>0.98000000000000054</v>
      </c>
      <c r="BT57" s="162">
        <f t="shared" si="10"/>
        <v>4.6622866534449319</v>
      </c>
      <c r="BU57" s="171">
        <f t="shared" si="59"/>
        <v>4.6622866534449319</v>
      </c>
      <c r="BV57" s="162"/>
      <c r="BW57" s="162">
        <f t="shared" si="60"/>
        <v>0.98000000000000054</v>
      </c>
      <c r="BX57" s="170">
        <f t="shared" si="61"/>
        <v>0.98000000000000054</v>
      </c>
      <c r="BY57" s="162">
        <f t="shared" si="11"/>
        <v>4.6622866534449319</v>
      </c>
      <c r="BZ57" s="171">
        <f t="shared" si="62"/>
        <v>4.6622866534449319</v>
      </c>
      <c r="CA57" s="162"/>
      <c r="CB57" s="162">
        <f t="shared" si="63"/>
        <v>0.98000000000000054</v>
      </c>
      <c r="CC57" s="170">
        <f t="shared" si="64"/>
        <v>0.98000000000000054</v>
      </c>
      <c r="CD57" s="162">
        <f t="shared" si="12"/>
        <v>4.6622866534449319</v>
      </c>
      <c r="CE57" s="171">
        <f t="shared" si="65"/>
        <v>4.6622866534449319</v>
      </c>
      <c r="CF57" s="162"/>
      <c r="CG57" s="172">
        <f t="shared" si="66"/>
        <v>0.98000000000000054</v>
      </c>
      <c r="CH57" s="172">
        <f t="shared" si="67"/>
        <v>0.98000000000000054</v>
      </c>
      <c r="CI57" s="172">
        <f t="shared" si="13"/>
        <v>4.6622866534449319</v>
      </c>
      <c r="CJ57" s="171">
        <f t="shared" si="68"/>
        <v>4.6622866534449319</v>
      </c>
      <c r="CK57" s="172"/>
      <c r="CL57" s="162">
        <f t="shared" si="69"/>
        <v>0.98000000000000054</v>
      </c>
      <c r="CM57" s="170">
        <f t="shared" si="70"/>
        <v>0.98000000000000054</v>
      </c>
      <c r="CN57" s="162">
        <f t="shared" si="14"/>
        <v>4.6622866534449319</v>
      </c>
      <c r="CO57" s="171">
        <f t="shared" si="71"/>
        <v>4.6622866534449319</v>
      </c>
      <c r="CP57" s="162"/>
      <c r="CQ57" s="162">
        <f t="shared" si="72"/>
        <v>0.98000000000000054</v>
      </c>
      <c r="CR57" s="170">
        <f t="shared" si="73"/>
        <v>0.98000000000000054</v>
      </c>
      <c r="CS57" s="162">
        <f t="shared" si="15"/>
        <v>4.6622866534449319</v>
      </c>
      <c r="CT57" s="171">
        <f t="shared" si="74"/>
        <v>4.6622866534449319</v>
      </c>
      <c r="CU57" s="162"/>
      <c r="CV57" s="162">
        <f t="shared" si="75"/>
        <v>0.98000000000000054</v>
      </c>
      <c r="CW57" s="162">
        <f t="shared" si="76"/>
        <v>0.98000000000000054</v>
      </c>
      <c r="CX57" s="162">
        <f t="shared" si="16"/>
        <v>4.6622866534449319</v>
      </c>
      <c r="CY57" s="171">
        <f t="shared" si="77"/>
        <v>4.6622866534449319</v>
      </c>
      <c r="CZ57" s="162"/>
      <c r="DA57" s="162">
        <f t="shared" si="78"/>
        <v>0.98000000000000054</v>
      </c>
      <c r="DB57" s="170">
        <f t="shared" si="79"/>
        <v>0.98000000000000054</v>
      </c>
      <c r="DC57" s="162">
        <f t="shared" si="17"/>
        <v>4.6622866534449319</v>
      </c>
      <c r="DD57" s="171">
        <f t="shared" si="80"/>
        <v>4.6622866534449319</v>
      </c>
      <c r="DE57" s="162"/>
      <c r="DF57" s="162">
        <f t="shared" si="81"/>
        <v>0.98000000000000054</v>
      </c>
      <c r="DG57" s="170">
        <f t="shared" si="82"/>
        <v>0.98000000000000054</v>
      </c>
      <c r="DH57" s="162">
        <f t="shared" si="18"/>
        <v>4.6622866534449319</v>
      </c>
      <c r="DI57" s="171">
        <f t="shared" si="83"/>
        <v>4.6622866534449319</v>
      </c>
      <c r="DJ57" s="162"/>
      <c r="DK57" s="162">
        <f t="shared" si="84"/>
        <v>0.98000000000000054</v>
      </c>
      <c r="DL57" s="162">
        <f t="shared" si="85"/>
        <v>0.98000000000000054</v>
      </c>
      <c r="DM57" s="162">
        <f t="shared" si="19"/>
        <v>4.6622866534449319</v>
      </c>
      <c r="DN57" s="171">
        <f t="shared" si="86"/>
        <v>4.6622866534449319</v>
      </c>
      <c r="DO57" s="162"/>
      <c r="DP57" s="162">
        <f t="shared" si="87"/>
        <v>0.98000000000000054</v>
      </c>
      <c r="DQ57" s="170">
        <f t="shared" si="88"/>
        <v>0.98000000000000054</v>
      </c>
      <c r="DR57" s="162">
        <f t="shared" si="20"/>
        <v>4.6622866534449319</v>
      </c>
      <c r="DS57" s="171">
        <f t="shared" si="89"/>
        <v>4.6622866534449319</v>
      </c>
      <c r="DT57" s="162"/>
      <c r="DU57" s="162">
        <f t="shared" si="90"/>
        <v>0.98000000000000054</v>
      </c>
      <c r="DV57" s="170">
        <f t="shared" si="91"/>
        <v>0.98000000000000054</v>
      </c>
      <c r="DW57" s="162">
        <f t="shared" si="21"/>
        <v>4.6622866534449319</v>
      </c>
      <c r="DX57" s="171">
        <f t="shared" si="92"/>
        <v>4.6622866534449319</v>
      </c>
      <c r="DY57" s="162"/>
      <c r="DZ57" s="162">
        <f t="shared" si="93"/>
        <v>0.98000000000000054</v>
      </c>
      <c r="EA57" s="162">
        <f t="shared" si="94"/>
        <v>0.98000000000000054</v>
      </c>
      <c r="EB57" s="162">
        <f t="shared" si="22"/>
        <v>4.6622866534449319</v>
      </c>
      <c r="EC57" s="171">
        <f t="shared" si="95"/>
        <v>4.6622866534449319</v>
      </c>
      <c r="ED57" s="162"/>
      <c r="EE57" s="162">
        <f t="shared" si="96"/>
        <v>0.98000000000000054</v>
      </c>
      <c r="EF57" s="170">
        <f t="shared" si="97"/>
        <v>0.98000000000000054</v>
      </c>
      <c r="EG57" s="162">
        <f t="shared" si="23"/>
        <v>4.6622866534449319</v>
      </c>
      <c r="EH57" s="171">
        <f t="shared" si="98"/>
        <v>4.6622866534449319</v>
      </c>
      <c r="EI57" s="162"/>
      <c r="EJ57" s="162">
        <f t="shared" si="99"/>
        <v>0.98000000000000054</v>
      </c>
      <c r="EK57" s="170">
        <f t="shared" si="100"/>
        <v>0.98000000000000054</v>
      </c>
      <c r="EL57" s="162">
        <f t="shared" si="24"/>
        <v>4.6622866534449319</v>
      </c>
      <c r="EM57" s="171">
        <f t="shared" si="101"/>
        <v>4.6622866534449319</v>
      </c>
      <c r="EN57" s="162"/>
      <c r="EO57" s="162">
        <f t="shared" si="102"/>
        <v>0.98000000000000054</v>
      </c>
      <c r="EP57" s="162">
        <f t="shared" si="103"/>
        <v>0.98000000000000054</v>
      </c>
      <c r="EQ57" s="162">
        <f t="shared" si="25"/>
        <v>4.6622866534449319</v>
      </c>
      <c r="ER57" s="171">
        <f t="shared" si="104"/>
        <v>4.6622866534449319</v>
      </c>
      <c r="ES57" s="162"/>
      <c r="ET57" s="162">
        <f t="shared" si="105"/>
        <v>0.98000000000000054</v>
      </c>
      <c r="EU57" s="170">
        <f t="shared" si="106"/>
        <v>0.98000000000000054</v>
      </c>
      <c r="EV57" s="162">
        <f t="shared" si="26"/>
        <v>4.6622866534449319</v>
      </c>
      <c r="EW57" s="171">
        <f t="shared" si="107"/>
        <v>4.6622866534449319</v>
      </c>
      <c r="EX57" s="162"/>
    </row>
    <row r="58" spans="20:154" s="181" customFormat="1" x14ac:dyDescent="0.25">
      <c r="T58" s="162">
        <f t="shared" si="27"/>
        <v>1.0000000000000004</v>
      </c>
      <c r="U58" s="170">
        <f t="shared" si="28"/>
        <v>1.0000000000000004</v>
      </c>
      <c r="V58" s="162">
        <f t="shared" si="0"/>
        <v>4.6856409098088561</v>
      </c>
      <c r="W58" s="171">
        <f t="shared" si="29"/>
        <v>4.6856409098088561</v>
      </c>
      <c r="X58" s="162"/>
      <c r="Y58" s="162">
        <f t="shared" si="30"/>
        <v>1.0000000000000004</v>
      </c>
      <c r="Z58" s="162">
        <f t="shared" si="31"/>
        <v>1.0000000000000004</v>
      </c>
      <c r="AA58" s="162">
        <f t="shared" si="1"/>
        <v>4.6856409098088561</v>
      </c>
      <c r="AB58" s="171">
        <f t="shared" si="32"/>
        <v>4.6856409098088561</v>
      </c>
      <c r="AC58" s="162"/>
      <c r="AD58" s="162">
        <f t="shared" si="33"/>
        <v>1.0000000000000004</v>
      </c>
      <c r="AE58" s="170">
        <f t="shared" si="34"/>
        <v>1.0000000000000004</v>
      </c>
      <c r="AF58" s="162">
        <f t="shared" si="2"/>
        <v>4.6856409098088561</v>
      </c>
      <c r="AG58" s="171">
        <f t="shared" si="35"/>
        <v>4.6856409098088561</v>
      </c>
      <c r="AH58" s="162"/>
      <c r="AI58" s="162">
        <f t="shared" si="36"/>
        <v>1.0000000000000004</v>
      </c>
      <c r="AJ58" s="170">
        <f t="shared" si="37"/>
        <v>1.0000000000000004</v>
      </c>
      <c r="AK58" s="162">
        <f t="shared" si="3"/>
        <v>4.6856409098088561</v>
      </c>
      <c r="AL58" s="171">
        <f t="shared" si="38"/>
        <v>4.6856409098088561</v>
      </c>
      <c r="AM58" s="162"/>
      <c r="AN58" s="162">
        <f t="shared" si="39"/>
        <v>1.0000000000000004</v>
      </c>
      <c r="AO58" s="162">
        <f t="shared" si="40"/>
        <v>1.0000000000000004</v>
      </c>
      <c r="AP58" s="162">
        <f t="shared" si="4"/>
        <v>4.6856409098088561</v>
      </c>
      <c r="AQ58" s="171">
        <f t="shared" si="41"/>
        <v>4.6856409098088561</v>
      </c>
      <c r="AR58" s="162"/>
      <c r="AS58" s="162">
        <f t="shared" si="42"/>
        <v>1.0000000000000004</v>
      </c>
      <c r="AT58" s="170">
        <f t="shared" si="43"/>
        <v>1.0000000000000004</v>
      </c>
      <c r="AU58" s="162">
        <f t="shared" si="5"/>
        <v>4.6856409098088561</v>
      </c>
      <c r="AV58" s="171">
        <f t="shared" si="44"/>
        <v>4.6856409098088561</v>
      </c>
      <c r="AW58" s="162"/>
      <c r="AX58" s="162">
        <f t="shared" si="45"/>
        <v>1.0000000000000004</v>
      </c>
      <c r="AY58" s="170">
        <f t="shared" si="46"/>
        <v>1.0000000000000004</v>
      </c>
      <c r="AZ58" s="162">
        <f t="shared" si="6"/>
        <v>4.6856409098088561</v>
      </c>
      <c r="BA58" s="171">
        <f t="shared" si="47"/>
        <v>4.6856409098088561</v>
      </c>
      <c r="BB58" s="162"/>
      <c r="BC58" s="162">
        <f t="shared" si="48"/>
        <v>1.0000000000000004</v>
      </c>
      <c r="BD58" s="162">
        <f t="shared" si="49"/>
        <v>1.0000000000000004</v>
      </c>
      <c r="BE58" s="162">
        <f t="shared" si="7"/>
        <v>4.6856409098088561</v>
      </c>
      <c r="BF58" s="171">
        <f t="shared" si="50"/>
        <v>4.6856409098088561</v>
      </c>
      <c r="BG58" s="162"/>
      <c r="BH58" s="162">
        <f t="shared" si="51"/>
        <v>1.0000000000000004</v>
      </c>
      <c r="BI58" s="170">
        <f t="shared" si="52"/>
        <v>1.0000000000000004</v>
      </c>
      <c r="BJ58" s="162">
        <f t="shared" si="8"/>
        <v>4.6856409098088561</v>
      </c>
      <c r="BK58" s="171">
        <f t="shared" si="53"/>
        <v>4.6856409098088561</v>
      </c>
      <c r="BL58" s="162"/>
      <c r="BM58" s="162">
        <f t="shared" si="54"/>
        <v>1.0000000000000004</v>
      </c>
      <c r="BN58" s="170">
        <f t="shared" si="55"/>
        <v>1.0000000000000004</v>
      </c>
      <c r="BO58" s="162">
        <f t="shared" si="9"/>
        <v>4.6856409098088561</v>
      </c>
      <c r="BP58" s="171">
        <f t="shared" si="56"/>
        <v>4.6856409098088561</v>
      </c>
      <c r="BQ58" s="162"/>
      <c r="BR58" s="162">
        <f t="shared" si="57"/>
        <v>1.0000000000000004</v>
      </c>
      <c r="BS58" s="162">
        <f t="shared" si="58"/>
        <v>1.0000000000000004</v>
      </c>
      <c r="BT58" s="162">
        <f t="shared" si="10"/>
        <v>4.6856409098088561</v>
      </c>
      <c r="BU58" s="171">
        <f t="shared" si="59"/>
        <v>4.6856409098088561</v>
      </c>
      <c r="BV58" s="162"/>
      <c r="BW58" s="162">
        <f t="shared" si="60"/>
        <v>1.0000000000000004</v>
      </c>
      <c r="BX58" s="170">
        <f t="shared" si="61"/>
        <v>1.0000000000000004</v>
      </c>
      <c r="BY58" s="162">
        <f t="shared" si="11"/>
        <v>4.6856409098088561</v>
      </c>
      <c r="BZ58" s="171">
        <f t="shared" si="62"/>
        <v>4.6856409098088561</v>
      </c>
      <c r="CA58" s="162"/>
      <c r="CB58" s="162">
        <f t="shared" si="63"/>
        <v>1.0000000000000004</v>
      </c>
      <c r="CC58" s="170">
        <f t="shared" si="64"/>
        <v>1.0000000000000004</v>
      </c>
      <c r="CD58" s="162">
        <f t="shared" si="12"/>
        <v>4.6856409098088561</v>
      </c>
      <c r="CE58" s="171">
        <f t="shared" si="65"/>
        <v>4.6856409098088561</v>
      </c>
      <c r="CF58" s="162"/>
      <c r="CG58" s="172">
        <f t="shared" si="66"/>
        <v>1.0000000000000004</v>
      </c>
      <c r="CH58" s="172">
        <f t="shared" si="67"/>
        <v>1.0000000000000004</v>
      </c>
      <c r="CI58" s="172">
        <f t="shared" si="13"/>
        <v>4.6856409098088561</v>
      </c>
      <c r="CJ58" s="171">
        <f t="shared" si="68"/>
        <v>4.6856409098088561</v>
      </c>
      <c r="CK58" s="172"/>
      <c r="CL58" s="162">
        <f t="shared" si="69"/>
        <v>1.0000000000000004</v>
      </c>
      <c r="CM58" s="170">
        <f t="shared" si="70"/>
        <v>1.0000000000000004</v>
      </c>
      <c r="CN58" s="162">
        <f t="shared" si="14"/>
        <v>4.6856409098088561</v>
      </c>
      <c r="CO58" s="171">
        <f t="shared" si="71"/>
        <v>4.6856409098088561</v>
      </c>
      <c r="CP58" s="162"/>
      <c r="CQ58" s="162">
        <f t="shared" si="72"/>
        <v>1.0000000000000004</v>
      </c>
      <c r="CR58" s="170">
        <f t="shared" si="73"/>
        <v>1.0000000000000004</v>
      </c>
      <c r="CS58" s="162">
        <f t="shared" si="15"/>
        <v>4.6856409098088561</v>
      </c>
      <c r="CT58" s="171">
        <f t="shared" si="74"/>
        <v>4.6856409098088561</v>
      </c>
      <c r="CU58" s="162"/>
      <c r="CV58" s="162">
        <f t="shared" si="75"/>
        <v>1.0000000000000004</v>
      </c>
      <c r="CW58" s="162">
        <f t="shared" si="76"/>
        <v>1.0000000000000004</v>
      </c>
      <c r="CX58" s="162">
        <f t="shared" si="16"/>
        <v>4.6856409098088561</v>
      </c>
      <c r="CY58" s="171">
        <f t="shared" si="77"/>
        <v>4.6856409098088561</v>
      </c>
      <c r="CZ58" s="162"/>
      <c r="DA58" s="162">
        <f t="shared" si="78"/>
        <v>1.0000000000000004</v>
      </c>
      <c r="DB58" s="170">
        <f t="shared" si="79"/>
        <v>1.0000000000000004</v>
      </c>
      <c r="DC58" s="162">
        <f t="shared" si="17"/>
        <v>4.6856409098088561</v>
      </c>
      <c r="DD58" s="171">
        <f t="shared" si="80"/>
        <v>4.6856409098088561</v>
      </c>
      <c r="DE58" s="162"/>
      <c r="DF58" s="162">
        <f t="shared" si="81"/>
        <v>1.0000000000000004</v>
      </c>
      <c r="DG58" s="170">
        <f t="shared" si="82"/>
        <v>1.0000000000000004</v>
      </c>
      <c r="DH58" s="162">
        <f t="shared" si="18"/>
        <v>4.6856409098088561</v>
      </c>
      <c r="DI58" s="171">
        <f t="shared" si="83"/>
        <v>4.6856409098088561</v>
      </c>
      <c r="DJ58" s="162"/>
      <c r="DK58" s="162">
        <f t="shared" si="84"/>
        <v>1.0000000000000004</v>
      </c>
      <c r="DL58" s="162">
        <f t="shared" si="85"/>
        <v>1.0000000000000004</v>
      </c>
      <c r="DM58" s="162">
        <f t="shared" si="19"/>
        <v>4.6856409098088561</v>
      </c>
      <c r="DN58" s="171">
        <f t="shared" si="86"/>
        <v>4.6856409098088561</v>
      </c>
      <c r="DO58" s="162"/>
      <c r="DP58" s="162">
        <f t="shared" si="87"/>
        <v>1.0000000000000004</v>
      </c>
      <c r="DQ58" s="170">
        <f t="shared" si="88"/>
        <v>1.0000000000000004</v>
      </c>
      <c r="DR58" s="162">
        <f t="shared" si="20"/>
        <v>4.6856409098088561</v>
      </c>
      <c r="DS58" s="171">
        <f t="shared" si="89"/>
        <v>4.6856409098088561</v>
      </c>
      <c r="DT58" s="162"/>
      <c r="DU58" s="162">
        <f t="shared" si="90"/>
        <v>1.0000000000000004</v>
      </c>
      <c r="DV58" s="170">
        <f t="shared" si="91"/>
        <v>1.0000000000000004</v>
      </c>
      <c r="DW58" s="162">
        <f t="shared" si="21"/>
        <v>4.6856409098088561</v>
      </c>
      <c r="DX58" s="171">
        <f t="shared" si="92"/>
        <v>4.6856409098088561</v>
      </c>
      <c r="DY58" s="162"/>
      <c r="DZ58" s="162">
        <f t="shared" si="93"/>
        <v>1.0000000000000004</v>
      </c>
      <c r="EA58" s="162">
        <f t="shared" si="94"/>
        <v>1.0000000000000004</v>
      </c>
      <c r="EB58" s="162">
        <f t="shared" si="22"/>
        <v>4.6856409098088561</v>
      </c>
      <c r="EC58" s="171">
        <f t="shared" si="95"/>
        <v>4.6856409098088561</v>
      </c>
      <c r="ED58" s="162"/>
      <c r="EE58" s="162">
        <f t="shared" si="96"/>
        <v>1.0000000000000004</v>
      </c>
      <c r="EF58" s="170">
        <f t="shared" si="97"/>
        <v>1.0000000000000004</v>
      </c>
      <c r="EG58" s="162">
        <f t="shared" si="23"/>
        <v>4.6856409098088561</v>
      </c>
      <c r="EH58" s="171">
        <f t="shared" si="98"/>
        <v>4.6856409098088561</v>
      </c>
      <c r="EI58" s="162"/>
      <c r="EJ58" s="162">
        <f t="shared" si="99"/>
        <v>1.0000000000000004</v>
      </c>
      <c r="EK58" s="170">
        <f t="shared" si="100"/>
        <v>1.0000000000000004</v>
      </c>
      <c r="EL58" s="162">
        <f t="shared" si="24"/>
        <v>4.6856409098088561</v>
      </c>
      <c r="EM58" s="171">
        <f t="shared" si="101"/>
        <v>4.6856409098088561</v>
      </c>
      <c r="EN58" s="162"/>
      <c r="EO58" s="162">
        <f t="shared" si="102"/>
        <v>1.0000000000000004</v>
      </c>
      <c r="EP58" s="162">
        <f t="shared" si="103"/>
        <v>1.0000000000000004</v>
      </c>
      <c r="EQ58" s="162">
        <f t="shared" si="25"/>
        <v>4.6856409098088561</v>
      </c>
      <c r="ER58" s="171">
        <f t="shared" si="104"/>
        <v>4.6856409098088561</v>
      </c>
      <c r="ES58" s="162"/>
      <c r="ET58" s="162">
        <f t="shared" si="105"/>
        <v>1.0000000000000004</v>
      </c>
      <c r="EU58" s="170">
        <f t="shared" si="106"/>
        <v>1.0000000000000004</v>
      </c>
      <c r="EV58" s="162">
        <f t="shared" si="26"/>
        <v>4.6856409098088561</v>
      </c>
      <c r="EW58" s="171">
        <f t="shared" si="107"/>
        <v>4.6856409098088561</v>
      </c>
      <c r="EX58" s="162"/>
    </row>
    <row r="59" spans="20:154" s="181" customFormat="1" x14ac:dyDescent="0.25">
      <c r="T59" s="162">
        <f t="shared" si="27"/>
        <v>1.0200000000000005</v>
      </c>
      <c r="U59" s="170">
        <f t="shared" si="28"/>
        <v>1.0200000000000005</v>
      </c>
      <c r="V59" s="162">
        <f t="shared" si="0"/>
        <v>4.7062866534449324</v>
      </c>
      <c r="W59" s="171">
        <f t="shared" si="29"/>
        <v>4.7062866534449324</v>
      </c>
      <c r="X59" s="162"/>
      <c r="Y59" s="162">
        <f t="shared" si="30"/>
        <v>1.0200000000000005</v>
      </c>
      <c r="Z59" s="162">
        <f t="shared" si="31"/>
        <v>1.0200000000000005</v>
      </c>
      <c r="AA59" s="162">
        <f t="shared" si="1"/>
        <v>4.7062866534449324</v>
      </c>
      <c r="AB59" s="171">
        <f t="shared" si="32"/>
        <v>4.7062866534449324</v>
      </c>
      <c r="AC59" s="162"/>
      <c r="AD59" s="162">
        <f t="shared" si="33"/>
        <v>1.0200000000000005</v>
      </c>
      <c r="AE59" s="170">
        <f t="shared" si="34"/>
        <v>1.0200000000000005</v>
      </c>
      <c r="AF59" s="162">
        <f t="shared" si="2"/>
        <v>4.7062866534449324</v>
      </c>
      <c r="AG59" s="171">
        <f t="shared" si="35"/>
        <v>4.7062866534449324</v>
      </c>
      <c r="AH59" s="162"/>
      <c r="AI59" s="162">
        <f t="shared" si="36"/>
        <v>1.0200000000000005</v>
      </c>
      <c r="AJ59" s="170">
        <f t="shared" si="37"/>
        <v>1.0200000000000005</v>
      </c>
      <c r="AK59" s="162">
        <f t="shared" si="3"/>
        <v>4.7062866534449324</v>
      </c>
      <c r="AL59" s="171">
        <f t="shared" si="38"/>
        <v>4.7062866534449324</v>
      </c>
      <c r="AM59" s="162"/>
      <c r="AN59" s="162">
        <f t="shared" si="39"/>
        <v>1.0200000000000005</v>
      </c>
      <c r="AO59" s="162">
        <f t="shared" si="40"/>
        <v>1.0200000000000005</v>
      </c>
      <c r="AP59" s="162">
        <f t="shared" si="4"/>
        <v>4.7062866534449324</v>
      </c>
      <c r="AQ59" s="171">
        <f t="shared" si="41"/>
        <v>4.7062866534449324</v>
      </c>
      <c r="AR59" s="162"/>
      <c r="AS59" s="162">
        <f t="shared" si="42"/>
        <v>1.0200000000000005</v>
      </c>
      <c r="AT59" s="170">
        <f t="shared" si="43"/>
        <v>1.0200000000000005</v>
      </c>
      <c r="AU59" s="162">
        <f t="shared" si="5"/>
        <v>4.7062866534449324</v>
      </c>
      <c r="AV59" s="171">
        <f t="shared" si="44"/>
        <v>4.7062866534449324</v>
      </c>
      <c r="AW59" s="162"/>
      <c r="AX59" s="162">
        <f t="shared" si="45"/>
        <v>1.0200000000000005</v>
      </c>
      <c r="AY59" s="170">
        <f t="shared" si="46"/>
        <v>1.0200000000000005</v>
      </c>
      <c r="AZ59" s="162">
        <f t="shared" si="6"/>
        <v>4.7062866534449324</v>
      </c>
      <c r="BA59" s="171">
        <f t="shared" si="47"/>
        <v>4.7062866534449324</v>
      </c>
      <c r="BB59" s="162"/>
      <c r="BC59" s="162">
        <f t="shared" si="48"/>
        <v>1.0200000000000005</v>
      </c>
      <c r="BD59" s="162">
        <f t="shared" si="49"/>
        <v>1.0200000000000005</v>
      </c>
      <c r="BE59" s="162">
        <f t="shared" si="7"/>
        <v>4.7062866534449324</v>
      </c>
      <c r="BF59" s="171">
        <f t="shared" si="50"/>
        <v>4.7062866534449324</v>
      </c>
      <c r="BG59" s="162"/>
      <c r="BH59" s="162">
        <f t="shared" si="51"/>
        <v>1.0200000000000005</v>
      </c>
      <c r="BI59" s="170">
        <f t="shared" si="52"/>
        <v>1.0200000000000005</v>
      </c>
      <c r="BJ59" s="162">
        <f t="shared" si="8"/>
        <v>4.7062866534449324</v>
      </c>
      <c r="BK59" s="171">
        <f t="shared" si="53"/>
        <v>4.7062866534449324</v>
      </c>
      <c r="BL59" s="162"/>
      <c r="BM59" s="162">
        <f t="shared" si="54"/>
        <v>1.0200000000000005</v>
      </c>
      <c r="BN59" s="170">
        <f t="shared" si="55"/>
        <v>1.0200000000000005</v>
      </c>
      <c r="BO59" s="162">
        <f t="shared" si="9"/>
        <v>4.7062866534449324</v>
      </c>
      <c r="BP59" s="171">
        <f t="shared" si="56"/>
        <v>4.7062866534449324</v>
      </c>
      <c r="BQ59" s="162"/>
      <c r="BR59" s="162">
        <f t="shared" si="57"/>
        <v>1.0200000000000005</v>
      </c>
      <c r="BS59" s="162">
        <f t="shared" si="58"/>
        <v>1.0200000000000005</v>
      </c>
      <c r="BT59" s="162">
        <f t="shared" si="10"/>
        <v>4.7062866534449324</v>
      </c>
      <c r="BU59" s="171">
        <f t="shared" si="59"/>
        <v>4.7062866534449324</v>
      </c>
      <c r="BV59" s="162"/>
      <c r="BW59" s="162">
        <f t="shared" si="60"/>
        <v>1.0200000000000005</v>
      </c>
      <c r="BX59" s="170">
        <f t="shared" si="61"/>
        <v>1.0200000000000005</v>
      </c>
      <c r="BY59" s="162">
        <f t="shared" si="11"/>
        <v>4.7062866534449324</v>
      </c>
      <c r="BZ59" s="171">
        <f t="shared" si="62"/>
        <v>4.7062866534449324</v>
      </c>
      <c r="CA59" s="162"/>
      <c r="CB59" s="162">
        <f t="shared" si="63"/>
        <v>1.0200000000000005</v>
      </c>
      <c r="CC59" s="170">
        <f t="shared" si="64"/>
        <v>1.0200000000000005</v>
      </c>
      <c r="CD59" s="162">
        <f t="shared" si="12"/>
        <v>4.7062866534449324</v>
      </c>
      <c r="CE59" s="171">
        <f t="shared" si="65"/>
        <v>4.7062866534449324</v>
      </c>
      <c r="CF59" s="162"/>
      <c r="CG59" s="172">
        <f t="shared" si="66"/>
        <v>1.0200000000000005</v>
      </c>
      <c r="CH59" s="172">
        <f t="shared" si="67"/>
        <v>1.0200000000000005</v>
      </c>
      <c r="CI59" s="172">
        <f t="shared" si="13"/>
        <v>4.7062866534449324</v>
      </c>
      <c r="CJ59" s="171">
        <f t="shared" si="68"/>
        <v>4.7062866534449324</v>
      </c>
      <c r="CK59" s="172"/>
      <c r="CL59" s="162">
        <f t="shared" si="69"/>
        <v>1.0200000000000005</v>
      </c>
      <c r="CM59" s="170">
        <f t="shared" si="70"/>
        <v>1.0200000000000005</v>
      </c>
      <c r="CN59" s="162">
        <f t="shared" si="14"/>
        <v>4.7062866534449324</v>
      </c>
      <c r="CO59" s="171">
        <f t="shared" si="71"/>
        <v>4.7062866534449324</v>
      </c>
      <c r="CP59" s="162"/>
      <c r="CQ59" s="162">
        <f t="shared" si="72"/>
        <v>1.0200000000000005</v>
      </c>
      <c r="CR59" s="170">
        <f t="shared" si="73"/>
        <v>1.0200000000000005</v>
      </c>
      <c r="CS59" s="162">
        <f t="shared" si="15"/>
        <v>4.7062866534449324</v>
      </c>
      <c r="CT59" s="171">
        <f t="shared" si="74"/>
        <v>4.7062866534449324</v>
      </c>
      <c r="CU59" s="162"/>
      <c r="CV59" s="162">
        <f t="shared" si="75"/>
        <v>1.0200000000000005</v>
      </c>
      <c r="CW59" s="162">
        <f t="shared" si="76"/>
        <v>1.0200000000000005</v>
      </c>
      <c r="CX59" s="162">
        <f t="shared" si="16"/>
        <v>4.7062866534449324</v>
      </c>
      <c r="CY59" s="171">
        <f t="shared" si="77"/>
        <v>4.7062866534449324</v>
      </c>
      <c r="CZ59" s="162"/>
      <c r="DA59" s="162">
        <f t="shared" si="78"/>
        <v>1.0200000000000005</v>
      </c>
      <c r="DB59" s="170">
        <f t="shared" si="79"/>
        <v>1.0200000000000005</v>
      </c>
      <c r="DC59" s="162">
        <f t="shared" si="17"/>
        <v>4.7062866534449324</v>
      </c>
      <c r="DD59" s="171">
        <f t="shared" si="80"/>
        <v>4.7062866534449324</v>
      </c>
      <c r="DE59" s="162"/>
      <c r="DF59" s="162">
        <f t="shared" si="81"/>
        <v>1.0200000000000005</v>
      </c>
      <c r="DG59" s="170">
        <f t="shared" si="82"/>
        <v>1.0200000000000005</v>
      </c>
      <c r="DH59" s="162">
        <f t="shared" si="18"/>
        <v>4.7062866534449324</v>
      </c>
      <c r="DI59" s="171">
        <f t="shared" si="83"/>
        <v>4.7062866534449324</v>
      </c>
      <c r="DJ59" s="162"/>
      <c r="DK59" s="162">
        <f t="shared" si="84"/>
        <v>1.0200000000000005</v>
      </c>
      <c r="DL59" s="162">
        <f t="shared" si="85"/>
        <v>1.0200000000000005</v>
      </c>
      <c r="DM59" s="162">
        <f t="shared" si="19"/>
        <v>4.7062866534449324</v>
      </c>
      <c r="DN59" s="171">
        <f t="shared" si="86"/>
        <v>4.7062866534449324</v>
      </c>
      <c r="DO59" s="162"/>
      <c r="DP59" s="162">
        <f t="shared" si="87"/>
        <v>1.0200000000000005</v>
      </c>
      <c r="DQ59" s="170">
        <f t="shared" si="88"/>
        <v>1.0200000000000005</v>
      </c>
      <c r="DR59" s="162">
        <f t="shared" si="20"/>
        <v>4.7062866534449324</v>
      </c>
      <c r="DS59" s="171">
        <f t="shared" si="89"/>
        <v>4.7062866534449324</v>
      </c>
      <c r="DT59" s="162"/>
      <c r="DU59" s="162">
        <f t="shared" si="90"/>
        <v>1.0200000000000005</v>
      </c>
      <c r="DV59" s="170">
        <f t="shared" si="91"/>
        <v>1.0200000000000005</v>
      </c>
      <c r="DW59" s="162">
        <f t="shared" si="21"/>
        <v>4.7062866534449324</v>
      </c>
      <c r="DX59" s="171">
        <f t="shared" si="92"/>
        <v>4.7062866534449324</v>
      </c>
      <c r="DY59" s="162"/>
      <c r="DZ59" s="162">
        <f t="shared" si="93"/>
        <v>1.0200000000000005</v>
      </c>
      <c r="EA59" s="162">
        <f t="shared" si="94"/>
        <v>1.0200000000000005</v>
      </c>
      <c r="EB59" s="162">
        <f t="shared" si="22"/>
        <v>4.7062866534449324</v>
      </c>
      <c r="EC59" s="171">
        <f t="shared" si="95"/>
        <v>4.7062866534449324</v>
      </c>
      <c r="ED59" s="162"/>
      <c r="EE59" s="162">
        <f t="shared" si="96"/>
        <v>1.0200000000000005</v>
      </c>
      <c r="EF59" s="170">
        <f t="shared" si="97"/>
        <v>1.0200000000000005</v>
      </c>
      <c r="EG59" s="162">
        <f t="shared" si="23"/>
        <v>4.7062866534449324</v>
      </c>
      <c r="EH59" s="171">
        <f t="shared" si="98"/>
        <v>4.7062866534449324</v>
      </c>
      <c r="EI59" s="162"/>
      <c r="EJ59" s="162">
        <f t="shared" si="99"/>
        <v>1.0200000000000005</v>
      </c>
      <c r="EK59" s="170">
        <f t="shared" si="100"/>
        <v>1.0200000000000005</v>
      </c>
      <c r="EL59" s="162">
        <f t="shared" si="24"/>
        <v>4.7062866534449324</v>
      </c>
      <c r="EM59" s="171">
        <f t="shared" si="101"/>
        <v>4.7062866534449324</v>
      </c>
      <c r="EN59" s="162"/>
      <c r="EO59" s="162">
        <f t="shared" si="102"/>
        <v>1.0200000000000005</v>
      </c>
      <c r="EP59" s="162">
        <f t="shared" si="103"/>
        <v>1.0200000000000005</v>
      </c>
      <c r="EQ59" s="162">
        <f t="shared" si="25"/>
        <v>4.7062866534449324</v>
      </c>
      <c r="ER59" s="171">
        <f t="shared" si="104"/>
        <v>4.7062866534449324</v>
      </c>
      <c r="ES59" s="162"/>
      <c r="ET59" s="162">
        <f t="shared" si="105"/>
        <v>1.0200000000000005</v>
      </c>
      <c r="EU59" s="170">
        <f t="shared" si="106"/>
        <v>1.0200000000000005</v>
      </c>
      <c r="EV59" s="162">
        <f t="shared" si="26"/>
        <v>4.7062866534449324</v>
      </c>
      <c r="EW59" s="171">
        <f t="shared" si="107"/>
        <v>4.7062866534449324</v>
      </c>
      <c r="EX59" s="162"/>
    </row>
    <row r="60" spans="20:154" s="181" customFormat="1" x14ac:dyDescent="0.25">
      <c r="T60" s="162">
        <f t="shared" si="27"/>
        <v>1.0400000000000005</v>
      </c>
      <c r="U60" s="170">
        <f t="shared" si="28"/>
        <v>1.0400000000000005</v>
      </c>
      <c r="V60" s="162">
        <f t="shared" si="0"/>
        <v>4.7242238843531625</v>
      </c>
      <c r="W60" s="171">
        <f t="shared" si="29"/>
        <v>4.7242238843531625</v>
      </c>
      <c r="X60" s="162"/>
      <c r="Y60" s="162">
        <f t="shared" si="30"/>
        <v>1.0400000000000005</v>
      </c>
      <c r="Z60" s="162">
        <f t="shared" si="31"/>
        <v>1.0400000000000005</v>
      </c>
      <c r="AA60" s="162">
        <f t="shared" si="1"/>
        <v>4.7242238843531625</v>
      </c>
      <c r="AB60" s="171">
        <f t="shared" si="32"/>
        <v>4.7242238843531625</v>
      </c>
      <c r="AC60" s="162"/>
      <c r="AD60" s="162">
        <f t="shared" si="33"/>
        <v>1.0400000000000005</v>
      </c>
      <c r="AE60" s="170">
        <f t="shared" si="34"/>
        <v>1.0400000000000005</v>
      </c>
      <c r="AF60" s="162">
        <f t="shared" si="2"/>
        <v>4.7242238843531625</v>
      </c>
      <c r="AG60" s="171">
        <f t="shared" si="35"/>
        <v>4.7242238843531625</v>
      </c>
      <c r="AH60" s="162"/>
      <c r="AI60" s="162">
        <f t="shared" si="36"/>
        <v>1.0400000000000005</v>
      </c>
      <c r="AJ60" s="170">
        <f t="shared" si="37"/>
        <v>1.0400000000000005</v>
      </c>
      <c r="AK60" s="162">
        <f t="shared" si="3"/>
        <v>4.7242238843531625</v>
      </c>
      <c r="AL60" s="171">
        <f t="shared" si="38"/>
        <v>4.7242238843531625</v>
      </c>
      <c r="AM60" s="162"/>
      <c r="AN60" s="162">
        <f t="shared" si="39"/>
        <v>1.0400000000000005</v>
      </c>
      <c r="AO60" s="162">
        <f t="shared" si="40"/>
        <v>1.0400000000000005</v>
      </c>
      <c r="AP60" s="162">
        <f t="shared" si="4"/>
        <v>4.7242238843531625</v>
      </c>
      <c r="AQ60" s="171">
        <f t="shared" si="41"/>
        <v>4.7242238843531625</v>
      </c>
      <c r="AR60" s="162"/>
      <c r="AS60" s="162">
        <f t="shared" si="42"/>
        <v>1.0400000000000005</v>
      </c>
      <c r="AT60" s="170">
        <f t="shared" si="43"/>
        <v>1.0400000000000005</v>
      </c>
      <c r="AU60" s="162">
        <f t="shared" si="5"/>
        <v>4.7242238843531625</v>
      </c>
      <c r="AV60" s="171">
        <f t="shared" si="44"/>
        <v>4.7242238843531625</v>
      </c>
      <c r="AW60" s="162"/>
      <c r="AX60" s="162">
        <f t="shared" si="45"/>
        <v>1.0400000000000005</v>
      </c>
      <c r="AY60" s="170">
        <f t="shared" si="46"/>
        <v>1.0400000000000005</v>
      </c>
      <c r="AZ60" s="162">
        <f t="shared" si="6"/>
        <v>4.7242238843531625</v>
      </c>
      <c r="BA60" s="171">
        <f t="shared" si="47"/>
        <v>4.7242238843531625</v>
      </c>
      <c r="BB60" s="162"/>
      <c r="BC60" s="162">
        <f t="shared" si="48"/>
        <v>1.0400000000000005</v>
      </c>
      <c r="BD60" s="162">
        <f t="shared" si="49"/>
        <v>1.0400000000000005</v>
      </c>
      <c r="BE60" s="162">
        <f t="shared" si="7"/>
        <v>4.7242238843531625</v>
      </c>
      <c r="BF60" s="171">
        <f t="shared" si="50"/>
        <v>4.7242238843531625</v>
      </c>
      <c r="BG60" s="162"/>
      <c r="BH60" s="162">
        <f t="shared" si="51"/>
        <v>1.0400000000000005</v>
      </c>
      <c r="BI60" s="170">
        <f t="shared" si="52"/>
        <v>1.0400000000000005</v>
      </c>
      <c r="BJ60" s="162">
        <f t="shared" si="8"/>
        <v>4.7242238843531625</v>
      </c>
      <c r="BK60" s="171">
        <f t="shared" si="53"/>
        <v>4.7242238843531625</v>
      </c>
      <c r="BL60" s="162"/>
      <c r="BM60" s="162">
        <f t="shared" si="54"/>
        <v>1.0400000000000005</v>
      </c>
      <c r="BN60" s="170">
        <f t="shared" si="55"/>
        <v>1.0400000000000005</v>
      </c>
      <c r="BO60" s="162">
        <f t="shared" si="9"/>
        <v>4.7242238843531625</v>
      </c>
      <c r="BP60" s="171">
        <f t="shared" si="56"/>
        <v>4.7242238843531625</v>
      </c>
      <c r="BQ60" s="162"/>
      <c r="BR60" s="162">
        <f t="shared" si="57"/>
        <v>1.0400000000000005</v>
      </c>
      <c r="BS60" s="162">
        <f t="shared" si="58"/>
        <v>1.0400000000000005</v>
      </c>
      <c r="BT60" s="162">
        <f t="shared" si="10"/>
        <v>4.7242238843531625</v>
      </c>
      <c r="BU60" s="171">
        <f t="shared" si="59"/>
        <v>4.7242238843531625</v>
      </c>
      <c r="BV60" s="162"/>
      <c r="BW60" s="162">
        <f t="shared" si="60"/>
        <v>1.0400000000000005</v>
      </c>
      <c r="BX60" s="170">
        <f t="shared" si="61"/>
        <v>1.0400000000000005</v>
      </c>
      <c r="BY60" s="162">
        <f t="shared" si="11"/>
        <v>4.7242238843531625</v>
      </c>
      <c r="BZ60" s="171">
        <f t="shared" si="62"/>
        <v>4.7242238843531625</v>
      </c>
      <c r="CA60" s="162"/>
      <c r="CB60" s="162">
        <f t="shared" si="63"/>
        <v>1.0400000000000005</v>
      </c>
      <c r="CC60" s="170">
        <f t="shared" si="64"/>
        <v>1.0400000000000005</v>
      </c>
      <c r="CD60" s="162">
        <f t="shared" si="12"/>
        <v>4.7242238843531625</v>
      </c>
      <c r="CE60" s="171">
        <f t="shared" si="65"/>
        <v>4.7242238843531625</v>
      </c>
      <c r="CF60" s="162"/>
      <c r="CG60" s="172">
        <f t="shared" si="66"/>
        <v>1.0400000000000005</v>
      </c>
      <c r="CH60" s="172">
        <f t="shared" si="67"/>
        <v>1.0400000000000005</v>
      </c>
      <c r="CI60" s="172">
        <f t="shared" si="13"/>
        <v>4.7242238843531625</v>
      </c>
      <c r="CJ60" s="171">
        <f t="shared" si="68"/>
        <v>4.7242238843531625</v>
      </c>
      <c r="CK60" s="172"/>
      <c r="CL60" s="162">
        <f t="shared" si="69"/>
        <v>1.0400000000000005</v>
      </c>
      <c r="CM60" s="170">
        <f t="shared" si="70"/>
        <v>1.0400000000000005</v>
      </c>
      <c r="CN60" s="162">
        <f t="shared" si="14"/>
        <v>4.7242238843531625</v>
      </c>
      <c r="CO60" s="171">
        <f t="shared" si="71"/>
        <v>4.7242238843531625</v>
      </c>
      <c r="CP60" s="162"/>
      <c r="CQ60" s="162">
        <f t="shared" si="72"/>
        <v>1.0400000000000005</v>
      </c>
      <c r="CR60" s="170">
        <f t="shared" si="73"/>
        <v>1.0400000000000005</v>
      </c>
      <c r="CS60" s="162">
        <f t="shared" si="15"/>
        <v>4.7242238843531625</v>
      </c>
      <c r="CT60" s="171">
        <f t="shared" si="74"/>
        <v>4.7242238843531625</v>
      </c>
      <c r="CU60" s="162"/>
      <c r="CV60" s="162">
        <f t="shared" si="75"/>
        <v>1.0400000000000005</v>
      </c>
      <c r="CW60" s="162">
        <f t="shared" si="76"/>
        <v>1.0400000000000005</v>
      </c>
      <c r="CX60" s="162">
        <f t="shared" si="16"/>
        <v>4.7242238843531625</v>
      </c>
      <c r="CY60" s="171">
        <f t="shared" si="77"/>
        <v>4.7242238843531625</v>
      </c>
      <c r="CZ60" s="162"/>
      <c r="DA60" s="162">
        <f t="shared" si="78"/>
        <v>1.0400000000000005</v>
      </c>
      <c r="DB60" s="170">
        <f t="shared" si="79"/>
        <v>1.0400000000000005</v>
      </c>
      <c r="DC60" s="162">
        <f t="shared" si="17"/>
        <v>4.7242238843531625</v>
      </c>
      <c r="DD60" s="171">
        <f t="shared" si="80"/>
        <v>4.7242238843531625</v>
      </c>
      <c r="DE60" s="162"/>
      <c r="DF60" s="162">
        <f t="shared" si="81"/>
        <v>1.0400000000000005</v>
      </c>
      <c r="DG60" s="170">
        <f t="shared" si="82"/>
        <v>1.0400000000000005</v>
      </c>
      <c r="DH60" s="162">
        <f t="shared" si="18"/>
        <v>4.7242238843531625</v>
      </c>
      <c r="DI60" s="171">
        <f t="shared" si="83"/>
        <v>4.7242238843531625</v>
      </c>
      <c r="DJ60" s="162"/>
      <c r="DK60" s="162">
        <f t="shared" si="84"/>
        <v>1.0400000000000005</v>
      </c>
      <c r="DL60" s="162">
        <f t="shared" si="85"/>
        <v>1.0400000000000005</v>
      </c>
      <c r="DM60" s="162">
        <f t="shared" si="19"/>
        <v>4.7242238843531625</v>
      </c>
      <c r="DN60" s="171">
        <f t="shared" si="86"/>
        <v>4.7242238843531625</v>
      </c>
      <c r="DO60" s="162"/>
      <c r="DP60" s="162">
        <f t="shared" si="87"/>
        <v>1.0400000000000005</v>
      </c>
      <c r="DQ60" s="170">
        <f t="shared" si="88"/>
        <v>1.0400000000000005</v>
      </c>
      <c r="DR60" s="162">
        <f t="shared" si="20"/>
        <v>4.7242238843531625</v>
      </c>
      <c r="DS60" s="171">
        <f t="shared" si="89"/>
        <v>4.7242238843531625</v>
      </c>
      <c r="DT60" s="162"/>
      <c r="DU60" s="162">
        <f t="shared" si="90"/>
        <v>1.0400000000000005</v>
      </c>
      <c r="DV60" s="170">
        <f t="shared" si="91"/>
        <v>1.0400000000000005</v>
      </c>
      <c r="DW60" s="162">
        <f t="shared" si="21"/>
        <v>4.7242238843531625</v>
      </c>
      <c r="DX60" s="171">
        <f t="shared" si="92"/>
        <v>4.7242238843531625</v>
      </c>
      <c r="DY60" s="162"/>
      <c r="DZ60" s="162">
        <f t="shared" si="93"/>
        <v>1.0400000000000005</v>
      </c>
      <c r="EA60" s="162">
        <f t="shared" si="94"/>
        <v>1.0400000000000005</v>
      </c>
      <c r="EB60" s="162">
        <f t="shared" si="22"/>
        <v>4.7242238843531625</v>
      </c>
      <c r="EC60" s="171">
        <f t="shared" si="95"/>
        <v>4.7242238843531625</v>
      </c>
      <c r="ED60" s="162"/>
      <c r="EE60" s="162">
        <f t="shared" si="96"/>
        <v>1.0400000000000005</v>
      </c>
      <c r="EF60" s="170">
        <f t="shared" si="97"/>
        <v>1.0400000000000005</v>
      </c>
      <c r="EG60" s="162">
        <f t="shared" si="23"/>
        <v>4.7242238843531625</v>
      </c>
      <c r="EH60" s="171">
        <f t="shared" si="98"/>
        <v>4.7242238843531625</v>
      </c>
      <c r="EI60" s="162"/>
      <c r="EJ60" s="162">
        <f t="shared" si="99"/>
        <v>1.0400000000000005</v>
      </c>
      <c r="EK60" s="170">
        <f t="shared" si="100"/>
        <v>1.0400000000000005</v>
      </c>
      <c r="EL60" s="162">
        <f t="shared" si="24"/>
        <v>4.7242238843531625</v>
      </c>
      <c r="EM60" s="171">
        <f t="shared" si="101"/>
        <v>4.7242238843531625</v>
      </c>
      <c r="EN60" s="162"/>
      <c r="EO60" s="162">
        <f t="shared" si="102"/>
        <v>1.0400000000000005</v>
      </c>
      <c r="EP60" s="162">
        <f t="shared" si="103"/>
        <v>1.0400000000000005</v>
      </c>
      <c r="EQ60" s="162">
        <f t="shared" si="25"/>
        <v>4.7242238843531625</v>
      </c>
      <c r="ER60" s="171">
        <f t="shared" si="104"/>
        <v>4.7242238843531625</v>
      </c>
      <c r="ES60" s="162"/>
      <c r="ET60" s="162">
        <f t="shared" si="105"/>
        <v>1.0400000000000005</v>
      </c>
      <c r="EU60" s="170">
        <f t="shared" si="106"/>
        <v>1.0400000000000005</v>
      </c>
      <c r="EV60" s="162">
        <f t="shared" si="26"/>
        <v>4.7242238843531625</v>
      </c>
      <c r="EW60" s="171">
        <f t="shared" si="107"/>
        <v>4.7242238843531625</v>
      </c>
      <c r="EX60" s="162"/>
    </row>
    <row r="61" spans="20:154" s="181" customFormat="1" x14ac:dyDescent="0.25">
      <c r="T61" s="162">
        <f t="shared" si="27"/>
        <v>1.0600000000000005</v>
      </c>
      <c r="U61" s="170">
        <f t="shared" si="28"/>
        <v>1.0600000000000005</v>
      </c>
      <c r="V61" s="162">
        <f t="shared" si="0"/>
        <v>4.7394526025335439</v>
      </c>
      <c r="W61" s="171">
        <f t="shared" si="29"/>
        <v>4.7394526025335439</v>
      </c>
      <c r="X61" s="162"/>
      <c r="Y61" s="162">
        <f t="shared" si="30"/>
        <v>1.0600000000000005</v>
      </c>
      <c r="Z61" s="162">
        <f t="shared" si="31"/>
        <v>1.0600000000000005</v>
      </c>
      <c r="AA61" s="162">
        <f t="shared" si="1"/>
        <v>4.7394526025335439</v>
      </c>
      <c r="AB61" s="171">
        <f t="shared" si="32"/>
        <v>4.7394526025335439</v>
      </c>
      <c r="AC61" s="162"/>
      <c r="AD61" s="162">
        <f t="shared" si="33"/>
        <v>1.0600000000000005</v>
      </c>
      <c r="AE61" s="170">
        <f t="shared" si="34"/>
        <v>1.0600000000000005</v>
      </c>
      <c r="AF61" s="162">
        <f t="shared" si="2"/>
        <v>4.7394526025335439</v>
      </c>
      <c r="AG61" s="171">
        <f t="shared" si="35"/>
        <v>4.7394526025335439</v>
      </c>
      <c r="AH61" s="162"/>
      <c r="AI61" s="162">
        <f t="shared" si="36"/>
        <v>1.0600000000000005</v>
      </c>
      <c r="AJ61" s="170">
        <f t="shared" si="37"/>
        <v>1.0600000000000005</v>
      </c>
      <c r="AK61" s="162">
        <f t="shared" si="3"/>
        <v>4.7394526025335439</v>
      </c>
      <c r="AL61" s="171">
        <f t="shared" si="38"/>
        <v>4.7394526025335439</v>
      </c>
      <c r="AM61" s="162"/>
      <c r="AN61" s="162">
        <f t="shared" si="39"/>
        <v>1.0600000000000005</v>
      </c>
      <c r="AO61" s="162">
        <f t="shared" si="40"/>
        <v>1.0600000000000005</v>
      </c>
      <c r="AP61" s="162">
        <f t="shared" si="4"/>
        <v>4.7394526025335439</v>
      </c>
      <c r="AQ61" s="171">
        <f t="shared" si="41"/>
        <v>4.7394526025335439</v>
      </c>
      <c r="AR61" s="162"/>
      <c r="AS61" s="162">
        <f t="shared" si="42"/>
        <v>1.0600000000000005</v>
      </c>
      <c r="AT61" s="170">
        <f t="shared" si="43"/>
        <v>1.0600000000000005</v>
      </c>
      <c r="AU61" s="162">
        <f t="shared" si="5"/>
        <v>4.7394526025335439</v>
      </c>
      <c r="AV61" s="171">
        <f t="shared" si="44"/>
        <v>4.7394526025335439</v>
      </c>
      <c r="AW61" s="162"/>
      <c r="AX61" s="162">
        <f t="shared" si="45"/>
        <v>1.0600000000000005</v>
      </c>
      <c r="AY61" s="170">
        <f t="shared" si="46"/>
        <v>1.0600000000000005</v>
      </c>
      <c r="AZ61" s="162">
        <f t="shared" si="6"/>
        <v>4.7394526025335439</v>
      </c>
      <c r="BA61" s="171">
        <f t="shared" si="47"/>
        <v>4.7394526025335439</v>
      </c>
      <c r="BB61" s="162"/>
      <c r="BC61" s="162">
        <f t="shared" si="48"/>
        <v>1.0600000000000005</v>
      </c>
      <c r="BD61" s="162">
        <f t="shared" si="49"/>
        <v>1.0600000000000005</v>
      </c>
      <c r="BE61" s="162">
        <f t="shared" si="7"/>
        <v>4.7394526025335439</v>
      </c>
      <c r="BF61" s="171">
        <f t="shared" si="50"/>
        <v>4.7394526025335439</v>
      </c>
      <c r="BG61" s="162"/>
      <c r="BH61" s="162">
        <f t="shared" si="51"/>
        <v>1.0600000000000005</v>
      </c>
      <c r="BI61" s="170">
        <f t="shared" si="52"/>
        <v>1.0600000000000005</v>
      </c>
      <c r="BJ61" s="162">
        <f t="shared" si="8"/>
        <v>4.7394526025335439</v>
      </c>
      <c r="BK61" s="171">
        <f t="shared" si="53"/>
        <v>4.7394526025335439</v>
      </c>
      <c r="BL61" s="162"/>
      <c r="BM61" s="162">
        <f t="shared" si="54"/>
        <v>1.0600000000000005</v>
      </c>
      <c r="BN61" s="170">
        <f t="shared" si="55"/>
        <v>1.0600000000000005</v>
      </c>
      <c r="BO61" s="162">
        <f t="shared" si="9"/>
        <v>4.7394526025335439</v>
      </c>
      <c r="BP61" s="171">
        <f t="shared" si="56"/>
        <v>4.7394526025335439</v>
      </c>
      <c r="BQ61" s="162"/>
      <c r="BR61" s="162">
        <f t="shared" si="57"/>
        <v>1.0600000000000005</v>
      </c>
      <c r="BS61" s="162">
        <f t="shared" si="58"/>
        <v>1.0600000000000005</v>
      </c>
      <c r="BT61" s="162">
        <f t="shared" si="10"/>
        <v>4.7394526025335439</v>
      </c>
      <c r="BU61" s="171">
        <f t="shared" si="59"/>
        <v>4.7394526025335439</v>
      </c>
      <c r="BV61" s="162"/>
      <c r="BW61" s="162">
        <f t="shared" si="60"/>
        <v>1.0600000000000005</v>
      </c>
      <c r="BX61" s="170">
        <f t="shared" si="61"/>
        <v>1.0600000000000005</v>
      </c>
      <c r="BY61" s="162">
        <f t="shared" si="11"/>
        <v>4.7394526025335439</v>
      </c>
      <c r="BZ61" s="171">
        <f t="shared" si="62"/>
        <v>4.7394526025335439</v>
      </c>
      <c r="CA61" s="162"/>
      <c r="CB61" s="162">
        <f t="shared" si="63"/>
        <v>1.0600000000000005</v>
      </c>
      <c r="CC61" s="170">
        <f t="shared" si="64"/>
        <v>1.0600000000000005</v>
      </c>
      <c r="CD61" s="162">
        <f t="shared" si="12"/>
        <v>4.7394526025335439</v>
      </c>
      <c r="CE61" s="171">
        <f t="shared" si="65"/>
        <v>4.7394526025335439</v>
      </c>
      <c r="CF61" s="162"/>
      <c r="CG61" s="172">
        <f t="shared" si="66"/>
        <v>1.0600000000000005</v>
      </c>
      <c r="CH61" s="172">
        <f t="shared" si="67"/>
        <v>1.0600000000000005</v>
      </c>
      <c r="CI61" s="172">
        <f t="shared" si="13"/>
        <v>4.7394526025335439</v>
      </c>
      <c r="CJ61" s="171">
        <f t="shared" si="68"/>
        <v>4.7394526025335439</v>
      </c>
      <c r="CK61" s="172"/>
      <c r="CL61" s="162">
        <f t="shared" si="69"/>
        <v>1.0600000000000005</v>
      </c>
      <c r="CM61" s="170">
        <f t="shared" si="70"/>
        <v>1.0600000000000005</v>
      </c>
      <c r="CN61" s="162">
        <f t="shared" si="14"/>
        <v>4.7394526025335439</v>
      </c>
      <c r="CO61" s="171">
        <f t="shared" si="71"/>
        <v>4.7394526025335439</v>
      </c>
      <c r="CP61" s="162"/>
      <c r="CQ61" s="162">
        <f t="shared" si="72"/>
        <v>1.0600000000000005</v>
      </c>
      <c r="CR61" s="170">
        <f t="shared" si="73"/>
        <v>1.0600000000000005</v>
      </c>
      <c r="CS61" s="162">
        <f t="shared" si="15"/>
        <v>4.7394526025335439</v>
      </c>
      <c r="CT61" s="171">
        <f t="shared" si="74"/>
        <v>4.7394526025335439</v>
      </c>
      <c r="CU61" s="162"/>
      <c r="CV61" s="162">
        <f t="shared" si="75"/>
        <v>1.0600000000000005</v>
      </c>
      <c r="CW61" s="162">
        <f t="shared" si="76"/>
        <v>1.0600000000000005</v>
      </c>
      <c r="CX61" s="162">
        <f t="shared" si="16"/>
        <v>4.7394526025335439</v>
      </c>
      <c r="CY61" s="171">
        <f t="shared" si="77"/>
        <v>4.7394526025335439</v>
      </c>
      <c r="CZ61" s="162"/>
      <c r="DA61" s="162">
        <f t="shared" si="78"/>
        <v>1.0600000000000005</v>
      </c>
      <c r="DB61" s="170">
        <f t="shared" si="79"/>
        <v>1.0600000000000005</v>
      </c>
      <c r="DC61" s="162">
        <f t="shared" si="17"/>
        <v>4.7394526025335439</v>
      </c>
      <c r="DD61" s="171">
        <f t="shared" si="80"/>
        <v>4.7394526025335439</v>
      </c>
      <c r="DE61" s="162"/>
      <c r="DF61" s="162">
        <f t="shared" si="81"/>
        <v>1.0600000000000005</v>
      </c>
      <c r="DG61" s="170">
        <f t="shared" si="82"/>
        <v>1.0600000000000005</v>
      </c>
      <c r="DH61" s="162">
        <f t="shared" si="18"/>
        <v>4.7394526025335439</v>
      </c>
      <c r="DI61" s="171">
        <f t="shared" si="83"/>
        <v>4.7394526025335439</v>
      </c>
      <c r="DJ61" s="162"/>
      <c r="DK61" s="162">
        <f t="shared" si="84"/>
        <v>1.0600000000000005</v>
      </c>
      <c r="DL61" s="162">
        <f t="shared" si="85"/>
        <v>1.0600000000000005</v>
      </c>
      <c r="DM61" s="162">
        <f t="shared" si="19"/>
        <v>4.7394526025335439</v>
      </c>
      <c r="DN61" s="171">
        <f t="shared" si="86"/>
        <v>4.7394526025335439</v>
      </c>
      <c r="DO61" s="162"/>
      <c r="DP61" s="162">
        <f t="shared" si="87"/>
        <v>1.0600000000000005</v>
      </c>
      <c r="DQ61" s="170">
        <f t="shared" si="88"/>
        <v>1.0600000000000005</v>
      </c>
      <c r="DR61" s="162">
        <f t="shared" si="20"/>
        <v>4.7394526025335439</v>
      </c>
      <c r="DS61" s="171">
        <f t="shared" si="89"/>
        <v>4.7394526025335439</v>
      </c>
      <c r="DT61" s="162"/>
      <c r="DU61" s="162">
        <f t="shared" si="90"/>
        <v>1.0600000000000005</v>
      </c>
      <c r="DV61" s="170">
        <f t="shared" si="91"/>
        <v>1.0600000000000005</v>
      </c>
      <c r="DW61" s="162">
        <f t="shared" si="21"/>
        <v>4.7394526025335439</v>
      </c>
      <c r="DX61" s="171">
        <f t="shared" si="92"/>
        <v>4.7394526025335439</v>
      </c>
      <c r="DY61" s="162"/>
      <c r="DZ61" s="162">
        <f t="shared" si="93"/>
        <v>1.0600000000000005</v>
      </c>
      <c r="EA61" s="162">
        <f t="shared" si="94"/>
        <v>1.0600000000000005</v>
      </c>
      <c r="EB61" s="162">
        <f t="shared" si="22"/>
        <v>4.7394526025335439</v>
      </c>
      <c r="EC61" s="171">
        <f t="shared" si="95"/>
        <v>4.7394526025335439</v>
      </c>
      <c r="ED61" s="162"/>
      <c r="EE61" s="162">
        <f t="shared" si="96"/>
        <v>1.0600000000000005</v>
      </c>
      <c r="EF61" s="170">
        <f t="shared" si="97"/>
        <v>1.0600000000000005</v>
      </c>
      <c r="EG61" s="162">
        <f t="shared" si="23"/>
        <v>4.7394526025335439</v>
      </c>
      <c r="EH61" s="171">
        <f t="shared" si="98"/>
        <v>4.7394526025335439</v>
      </c>
      <c r="EI61" s="162"/>
      <c r="EJ61" s="162">
        <f t="shared" si="99"/>
        <v>1.0600000000000005</v>
      </c>
      <c r="EK61" s="170">
        <f t="shared" si="100"/>
        <v>1.0600000000000005</v>
      </c>
      <c r="EL61" s="162">
        <f t="shared" si="24"/>
        <v>4.7394526025335439</v>
      </c>
      <c r="EM61" s="171">
        <f t="shared" si="101"/>
        <v>4.7394526025335439</v>
      </c>
      <c r="EN61" s="162"/>
      <c r="EO61" s="162">
        <f t="shared" si="102"/>
        <v>1.0600000000000005</v>
      </c>
      <c r="EP61" s="162">
        <f t="shared" si="103"/>
        <v>1.0600000000000005</v>
      </c>
      <c r="EQ61" s="162">
        <f t="shared" si="25"/>
        <v>4.7394526025335439</v>
      </c>
      <c r="ER61" s="171">
        <f t="shared" si="104"/>
        <v>4.7394526025335439</v>
      </c>
      <c r="ES61" s="162"/>
      <c r="ET61" s="162">
        <f t="shared" si="105"/>
        <v>1.0600000000000005</v>
      </c>
      <c r="EU61" s="170">
        <f t="shared" si="106"/>
        <v>1.0600000000000005</v>
      </c>
      <c r="EV61" s="162">
        <f t="shared" si="26"/>
        <v>4.7394526025335439</v>
      </c>
      <c r="EW61" s="171">
        <f t="shared" si="107"/>
        <v>4.7394526025335439</v>
      </c>
      <c r="EX61" s="162"/>
    </row>
    <row r="62" spans="20:154" s="181" customFormat="1" x14ac:dyDescent="0.25">
      <c r="T62" s="162">
        <f t="shared" si="27"/>
        <v>1.0800000000000005</v>
      </c>
      <c r="U62" s="170">
        <f t="shared" si="28"/>
        <v>1.0800000000000005</v>
      </c>
      <c r="V62" s="162">
        <f t="shared" si="0"/>
        <v>4.7519728079860784</v>
      </c>
      <c r="W62" s="171">
        <f t="shared" si="29"/>
        <v>4.7519728079860784</v>
      </c>
      <c r="X62" s="162"/>
      <c r="Y62" s="162">
        <f t="shared" si="30"/>
        <v>1.0800000000000005</v>
      </c>
      <c r="Z62" s="162">
        <f t="shared" si="31"/>
        <v>1.0800000000000005</v>
      </c>
      <c r="AA62" s="162">
        <f t="shared" si="1"/>
        <v>4.7519728079860784</v>
      </c>
      <c r="AB62" s="171">
        <f t="shared" si="32"/>
        <v>4.7519728079860784</v>
      </c>
      <c r="AC62" s="162"/>
      <c r="AD62" s="162">
        <f t="shared" si="33"/>
        <v>1.0800000000000005</v>
      </c>
      <c r="AE62" s="170">
        <f t="shared" si="34"/>
        <v>1.0800000000000005</v>
      </c>
      <c r="AF62" s="162">
        <f t="shared" si="2"/>
        <v>4.7519728079860784</v>
      </c>
      <c r="AG62" s="171">
        <f t="shared" si="35"/>
        <v>4.7519728079860784</v>
      </c>
      <c r="AH62" s="162"/>
      <c r="AI62" s="162">
        <f t="shared" si="36"/>
        <v>1.0800000000000005</v>
      </c>
      <c r="AJ62" s="170">
        <f t="shared" si="37"/>
        <v>1.0800000000000005</v>
      </c>
      <c r="AK62" s="162">
        <f t="shared" si="3"/>
        <v>4.7519728079860784</v>
      </c>
      <c r="AL62" s="171">
        <f t="shared" si="38"/>
        <v>4.7519728079860784</v>
      </c>
      <c r="AM62" s="162"/>
      <c r="AN62" s="162">
        <f t="shared" si="39"/>
        <v>1.0800000000000005</v>
      </c>
      <c r="AO62" s="162">
        <f t="shared" si="40"/>
        <v>1.0800000000000005</v>
      </c>
      <c r="AP62" s="162">
        <f t="shared" si="4"/>
        <v>4.7519728079860784</v>
      </c>
      <c r="AQ62" s="171">
        <f t="shared" si="41"/>
        <v>4.7519728079860784</v>
      </c>
      <c r="AR62" s="162"/>
      <c r="AS62" s="162">
        <f t="shared" si="42"/>
        <v>1.0800000000000005</v>
      </c>
      <c r="AT62" s="170">
        <f t="shared" si="43"/>
        <v>1.0800000000000005</v>
      </c>
      <c r="AU62" s="162">
        <f t="shared" si="5"/>
        <v>4.7519728079860784</v>
      </c>
      <c r="AV62" s="171">
        <f t="shared" si="44"/>
        <v>4.7519728079860784</v>
      </c>
      <c r="AW62" s="162"/>
      <c r="AX62" s="162">
        <f t="shared" si="45"/>
        <v>1.0800000000000005</v>
      </c>
      <c r="AY62" s="170">
        <f t="shared" si="46"/>
        <v>1.0800000000000005</v>
      </c>
      <c r="AZ62" s="162">
        <f t="shared" si="6"/>
        <v>4.7519728079860784</v>
      </c>
      <c r="BA62" s="171">
        <f t="shared" si="47"/>
        <v>4.7519728079860784</v>
      </c>
      <c r="BB62" s="162"/>
      <c r="BC62" s="162">
        <f t="shared" si="48"/>
        <v>1.0800000000000005</v>
      </c>
      <c r="BD62" s="162">
        <f t="shared" si="49"/>
        <v>1.0800000000000005</v>
      </c>
      <c r="BE62" s="162">
        <f t="shared" si="7"/>
        <v>4.7519728079860784</v>
      </c>
      <c r="BF62" s="171">
        <f t="shared" si="50"/>
        <v>4.7519728079860784</v>
      </c>
      <c r="BG62" s="162"/>
      <c r="BH62" s="162">
        <f t="shared" si="51"/>
        <v>1.0800000000000005</v>
      </c>
      <c r="BI62" s="170">
        <f t="shared" si="52"/>
        <v>1.0800000000000005</v>
      </c>
      <c r="BJ62" s="162">
        <f t="shared" si="8"/>
        <v>4.7519728079860784</v>
      </c>
      <c r="BK62" s="171">
        <f t="shared" si="53"/>
        <v>4.7519728079860784</v>
      </c>
      <c r="BL62" s="162"/>
      <c r="BM62" s="162">
        <f t="shared" si="54"/>
        <v>1.0800000000000005</v>
      </c>
      <c r="BN62" s="170">
        <f t="shared" si="55"/>
        <v>1.0800000000000005</v>
      </c>
      <c r="BO62" s="162">
        <f t="shared" si="9"/>
        <v>4.7519728079860784</v>
      </c>
      <c r="BP62" s="171">
        <f t="shared" si="56"/>
        <v>4.7519728079860784</v>
      </c>
      <c r="BQ62" s="162"/>
      <c r="BR62" s="162">
        <f t="shared" si="57"/>
        <v>1.0800000000000005</v>
      </c>
      <c r="BS62" s="162">
        <f t="shared" si="58"/>
        <v>1.0800000000000005</v>
      </c>
      <c r="BT62" s="162">
        <f t="shared" si="10"/>
        <v>4.7519728079860784</v>
      </c>
      <c r="BU62" s="171">
        <f t="shared" si="59"/>
        <v>4.7519728079860784</v>
      </c>
      <c r="BV62" s="162"/>
      <c r="BW62" s="162">
        <f t="shared" si="60"/>
        <v>1.0800000000000005</v>
      </c>
      <c r="BX62" s="170">
        <f t="shared" si="61"/>
        <v>1.0800000000000005</v>
      </c>
      <c r="BY62" s="162">
        <f t="shared" si="11"/>
        <v>4.7519728079860784</v>
      </c>
      <c r="BZ62" s="171">
        <f t="shared" si="62"/>
        <v>4.7519728079860784</v>
      </c>
      <c r="CA62" s="162"/>
      <c r="CB62" s="162">
        <f t="shared" si="63"/>
        <v>1.0800000000000005</v>
      </c>
      <c r="CC62" s="170">
        <f t="shared" si="64"/>
        <v>1.0800000000000005</v>
      </c>
      <c r="CD62" s="162">
        <f t="shared" si="12"/>
        <v>4.7519728079860784</v>
      </c>
      <c r="CE62" s="171">
        <f t="shared" si="65"/>
        <v>4.7519728079860784</v>
      </c>
      <c r="CF62" s="162"/>
      <c r="CG62" s="172">
        <f t="shared" si="66"/>
        <v>1.0800000000000005</v>
      </c>
      <c r="CH62" s="172">
        <f t="shared" si="67"/>
        <v>1.0800000000000005</v>
      </c>
      <c r="CI62" s="172">
        <f t="shared" si="13"/>
        <v>4.7519728079860784</v>
      </c>
      <c r="CJ62" s="171">
        <f t="shared" si="68"/>
        <v>4.7519728079860784</v>
      </c>
      <c r="CK62" s="172"/>
      <c r="CL62" s="162">
        <f t="shared" si="69"/>
        <v>1.0800000000000005</v>
      </c>
      <c r="CM62" s="170">
        <f t="shared" si="70"/>
        <v>1.0800000000000005</v>
      </c>
      <c r="CN62" s="162">
        <f t="shared" si="14"/>
        <v>4.7519728079860784</v>
      </c>
      <c r="CO62" s="171">
        <f t="shared" si="71"/>
        <v>4.7519728079860784</v>
      </c>
      <c r="CP62" s="162"/>
      <c r="CQ62" s="162">
        <f t="shared" si="72"/>
        <v>1.0800000000000005</v>
      </c>
      <c r="CR62" s="170">
        <f t="shared" si="73"/>
        <v>1.0800000000000005</v>
      </c>
      <c r="CS62" s="162">
        <f t="shared" si="15"/>
        <v>4.7519728079860784</v>
      </c>
      <c r="CT62" s="171">
        <f t="shared" si="74"/>
        <v>4.7519728079860784</v>
      </c>
      <c r="CU62" s="162"/>
      <c r="CV62" s="162">
        <f t="shared" si="75"/>
        <v>1.0800000000000005</v>
      </c>
      <c r="CW62" s="162">
        <f t="shared" si="76"/>
        <v>1.0800000000000005</v>
      </c>
      <c r="CX62" s="162">
        <f t="shared" si="16"/>
        <v>4.7519728079860784</v>
      </c>
      <c r="CY62" s="171">
        <f t="shared" si="77"/>
        <v>4.7519728079860784</v>
      </c>
      <c r="CZ62" s="162"/>
      <c r="DA62" s="162">
        <f t="shared" si="78"/>
        <v>1.0800000000000005</v>
      </c>
      <c r="DB62" s="170">
        <f t="shared" si="79"/>
        <v>1.0800000000000005</v>
      </c>
      <c r="DC62" s="162">
        <f t="shared" si="17"/>
        <v>4.7519728079860784</v>
      </c>
      <c r="DD62" s="171">
        <f t="shared" si="80"/>
        <v>4.7519728079860784</v>
      </c>
      <c r="DE62" s="162"/>
      <c r="DF62" s="162">
        <f t="shared" si="81"/>
        <v>1.0800000000000005</v>
      </c>
      <c r="DG62" s="170">
        <f t="shared" si="82"/>
        <v>1.0800000000000005</v>
      </c>
      <c r="DH62" s="162">
        <f t="shared" si="18"/>
        <v>4.7519728079860784</v>
      </c>
      <c r="DI62" s="171">
        <f t="shared" si="83"/>
        <v>4.7519728079860784</v>
      </c>
      <c r="DJ62" s="162"/>
      <c r="DK62" s="162">
        <f t="shared" si="84"/>
        <v>1.0800000000000005</v>
      </c>
      <c r="DL62" s="162">
        <f t="shared" si="85"/>
        <v>1.0800000000000005</v>
      </c>
      <c r="DM62" s="162">
        <f t="shared" si="19"/>
        <v>4.7519728079860784</v>
      </c>
      <c r="DN62" s="171">
        <f t="shared" si="86"/>
        <v>4.7519728079860784</v>
      </c>
      <c r="DO62" s="162"/>
      <c r="DP62" s="162">
        <f t="shared" si="87"/>
        <v>1.0800000000000005</v>
      </c>
      <c r="DQ62" s="170">
        <f t="shared" si="88"/>
        <v>1.0800000000000005</v>
      </c>
      <c r="DR62" s="162">
        <f t="shared" si="20"/>
        <v>4.7519728079860784</v>
      </c>
      <c r="DS62" s="171">
        <f t="shared" si="89"/>
        <v>4.7519728079860784</v>
      </c>
      <c r="DT62" s="162"/>
      <c r="DU62" s="162">
        <f t="shared" si="90"/>
        <v>1.0800000000000005</v>
      </c>
      <c r="DV62" s="170">
        <f t="shared" si="91"/>
        <v>1.0800000000000005</v>
      </c>
      <c r="DW62" s="162">
        <f t="shared" si="21"/>
        <v>4.7519728079860784</v>
      </c>
      <c r="DX62" s="171">
        <f t="shared" si="92"/>
        <v>4.7519728079860784</v>
      </c>
      <c r="DY62" s="162"/>
      <c r="DZ62" s="162">
        <f t="shared" si="93"/>
        <v>1.0800000000000005</v>
      </c>
      <c r="EA62" s="162">
        <f t="shared" si="94"/>
        <v>1.0800000000000005</v>
      </c>
      <c r="EB62" s="162">
        <f t="shared" si="22"/>
        <v>4.7519728079860784</v>
      </c>
      <c r="EC62" s="171">
        <f t="shared" si="95"/>
        <v>4.7519728079860784</v>
      </c>
      <c r="ED62" s="162"/>
      <c r="EE62" s="162">
        <f t="shared" si="96"/>
        <v>1.0800000000000005</v>
      </c>
      <c r="EF62" s="170">
        <f t="shared" si="97"/>
        <v>1.0800000000000005</v>
      </c>
      <c r="EG62" s="162">
        <f t="shared" si="23"/>
        <v>4.7519728079860784</v>
      </c>
      <c r="EH62" s="171">
        <f t="shared" si="98"/>
        <v>4.7519728079860784</v>
      </c>
      <c r="EI62" s="162"/>
      <c r="EJ62" s="162">
        <f t="shared" si="99"/>
        <v>1.0800000000000005</v>
      </c>
      <c r="EK62" s="170">
        <f t="shared" si="100"/>
        <v>1.0800000000000005</v>
      </c>
      <c r="EL62" s="162">
        <f t="shared" si="24"/>
        <v>4.7519728079860784</v>
      </c>
      <c r="EM62" s="171">
        <f t="shared" si="101"/>
        <v>4.7519728079860784</v>
      </c>
      <c r="EN62" s="162"/>
      <c r="EO62" s="162">
        <f t="shared" si="102"/>
        <v>1.0800000000000005</v>
      </c>
      <c r="EP62" s="162">
        <f t="shared" si="103"/>
        <v>1.0800000000000005</v>
      </c>
      <c r="EQ62" s="162">
        <f t="shared" si="25"/>
        <v>4.7519728079860784</v>
      </c>
      <c r="ER62" s="171">
        <f t="shared" si="104"/>
        <v>4.7519728079860784</v>
      </c>
      <c r="ES62" s="162"/>
      <c r="ET62" s="162">
        <f t="shared" si="105"/>
        <v>1.0800000000000005</v>
      </c>
      <c r="EU62" s="170">
        <f t="shared" si="106"/>
        <v>1.0800000000000005</v>
      </c>
      <c r="EV62" s="162">
        <f t="shared" si="26"/>
        <v>4.7519728079860784</v>
      </c>
      <c r="EW62" s="171">
        <f t="shared" si="107"/>
        <v>4.7519728079860784</v>
      </c>
      <c r="EX62" s="162"/>
    </row>
    <row r="63" spans="20:154" s="181" customFormat="1" x14ac:dyDescent="0.25">
      <c r="T63" s="162">
        <f t="shared" si="27"/>
        <v>1.1000000000000005</v>
      </c>
      <c r="U63" s="170">
        <f t="shared" si="28"/>
        <v>1.1000000000000005</v>
      </c>
      <c r="V63" s="162">
        <f t="shared" si="0"/>
        <v>4.7617845007107666</v>
      </c>
      <c r="W63" s="171">
        <f t="shared" si="29"/>
        <v>4.7617845007107666</v>
      </c>
      <c r="X63" s="162"/>
      <c r="Y63" s="162">
        <f t="shared" si="30"/>
        <v>1.1000000000000005</v>
      </c>
      <c r="Z63" s="162">
        <f t="shared" si="31"/>
        <v>1.1000000000000005</v>
      </c>
      <c r="AA63" s="162">
        <f t="shared" si="1"/>
        <v>4.7617845007107666</v>
      </c>
      <c r="AB63" s="171">
        <f t="shared" si="32"/>
        <v>4.7617845007107666</v>
      </c>
      <c r="AC63" s="162"/>
      <c r="AD63" s="162">
        <f t="shared" si="33"/>
        <v>1.1000000000000005</v>
      </c>
      <c r="AE63" s="170">
        <f t="shared" si="34"/>
        <v>1.1000000000000005</v>
      </c>
      <c r="AF63" s="162">
        <f t="shared" si="2"/>
        <v>4.7617845007107666</v>
      </c>
      <c r="AG63" s="171">
        <f t="shared" si="35"/>
        <v>4.7617845007107666</v>
      </c>
      <c r="AH63" s="162"/>
      <c r="AI63" s="162">
        <f t="shared" si="36"/>
        <v>1.1000000000000005</v>
      </c>
      <c r="AJ63" s="170">
        <f t="shared" si="37"/>
        <v>1.1000000000000005</v>
      </c>
      <c r="AK63" s="162">
        <f t="shared" si="3"/>
        <v>4.7617845007107666</v>
      </c>
      <c r="AL63" s="171">
        <f t="shared" si="38"/>
        <v>4.7617845007107666</v>
      </c>
      <c r="AM63" s="162"/>
      <c r="AN63" s="162">
        <f t="shared" si="39"/>
        <v>1.1000000000000005</v>
      </c>
      <c r="AO63" s="162">
        <f t="shared" si="40"/>
        <v>1.1000000000000005</v>
      </c>
      <c r="AP63" s="162">
        <f t="shared" si="4"/>
        <v>4.7617845007107666</v>
      </c>
      <c r="AQ63" s="171">
        <f t="shared" si="41"/>
        <v>4.7617845007107666</v>
      </c>
      <c r="AR63" s="162"/>
      <c r="AS63" s="162">
        <f t="shared" si="42"/>
        <v>1.1000000000000005</v>
      </c>
      <c r="AT63" s="170">
        <f t="shared" si="43"/>
        <v>1.1000000000000005</v>
      </c>
      <c r="AU63" s="162">
        <f t="shared" si="5"/>
        <v>4.7617845007107666</v>
      </c>
      <c r="AV63" s="171">
        <f t="shared" si="44"/>
        <v>4.7617845007107666</v>
      </c>
      <c r="AW63" s="162"/>
      <c r="AX63" s="162">
        <f t="shared" si="45"/>
        <v>1.1000000000000005</v>
      </c>
      <c r="AY63" s="170">
        <f t="shared" si="46"/>
        <v>1.1000000000000005</v>
      </c>
      <c r="AZ63" s="162">
        <f t="shared" si="6"/>
        <v>4.7617845007107666</v>
      </c>
      <c r="BA63" s="171">
        <f t="shared" si="47"/>
        <v>4.7617845007107666</v>
      </c>
      <c r="BB63" s="162"/>
      <c r="BC63" s="162">
        <f t="shared" si="48"/>
        <v>1.1000000000000005</v>
      </c>
      <c r="BD63" s="162">
        <f t="shared" si="49"/>
        <v>1.1000000000000005</v>
      </c>
      <c r="BE63" s="162">
        <f t="shared" si="7"/>
        <v>4.7617845007107666</v>
      </c>
      <c r="BF63" s="171">
        <f t="shared" si="50"/>
        <v>4.7617845007107666</v>
      </c>
      <c r="BG63" s="162"/>
      <c r="BH63" s="162">
        <f t="shared" si="51"/>
        <v>1.1000000000000005</v>
      </c>
      <c r="BI63" s="170">
        <f t="shared" si="52"/>
        <v>1.1000000000000005</v>
      </c>
      <c r="BJ63" s="162">
        <f t="shared" si="8"/>
        <v>4.7617845007107666</v>
      </c>
      <c r="BK63" s="171">
        <f t="shared" si="53"/>
        <v>4.7617845007107666</v>
      </c>
      <c r="BL63" s="162"/>
      <c r="BM63" s="162">
        <f t="shared" si="54"/>
        <v>1.1000000000000005</v>
      </c>
      <c r="BN63" s="170">
        <f t="shared" si="55"/>
        <v>1.1000000000000005</v>
      </c>
      <c r="BO63" s="162">
        <f t="shared" si="9"/>
        <v>4.7617845007107666</v>
      </c>
      <c r="BP63" s="171">
        <f t="shared" si="56"/>
        <v>4.7617845007107666</v>
      </c>
      <c r="BQ63" s="162"/>
      <c r="BR63" s="162">
        <f t="shared" si="57"/>
        <v>1.1000000000000005</v>
      </c>
      <c r="BS63" s="162">
        <f t="shared" si="58"/>
        <v>1.1000000000000005</v>
      </c>
      <c r="BT63" s="162">
        <f t="shared" si="10"/>
        <v>4.7617845007107666</v>
      </c>
      <c r="BU63" s="171">
        <f t="shared" si="59"/>
        <v>4.7617845007107666</v>
      </c>
      <c r="BV63" s="162"/>
      <c r="BW63" s="162">
        <f t="shared" si="60"/>
        <v>1.1000000000000005</v>
      </c>
      <c r="BX63" s="170">
        <f t="shared" si="61"/>
        <v>1.1000000000000005</v>
      </c>
      <c r="BY63" s="162">
        <f t="shared" si="11"/>
        <v>4.7617845007107666</v>
      </c>
      <c r="BZ63" s="171">
        <f t="shared" si="62"/>
        <v>4.7617845007107666</v>
      </c>
      <c r="CA63" s="162"/>
      <c r="CB63" s="162">
        <f t="shared" si="63"/>
        <v>1.1000000000000005</v>
      </c>
      <c r="CC63" s="170">
        <f t="shared" si="64"/>
        <v>1.1000000000000005</v>
      </c>
      <c r="CD63" s="162">
        <f t="shared" si="12"/>
        <v>4.7617845007107666</v>
      </c>
      <c r="CE63" s="171">
        <f t="shared" si="65"/>
        <v>4.7617845007107666</v>
      </c>
      <c r="CF63" s="162"/>
      <c r="CG63" s="172">
        <f t="shared" si="66"/>
        <v>1.1000000000000005</v>
      </c>
      <c r="CH63" s="172">
        <f t="shared" si="67"/>
        <v>1.1000000000000005</v>
      </c>
      <c r="CI63" s="172">
        <f t="shared" si="13"/>
        <v>4.7617845007107666</v>
      </c>
      <c r="CJ63" s="171">
        <f t="shared" si="68"/>
        <v>4.7617845007107666</v>
      </c>
      <c r="CK63" s="172"/>
      <c r="CL63" s="162">
        <f t="shared" si="69"/>
        <v>1.1000000000000005</v>
      </c>
      <c r="CM63" s="170">
        <f t="shared" si="70"/>
        <v>1.1000000000000005</v>
      </c>
      <c r="CN63" s="162">
        <f t="shared" si="14"/>
        <v>4.7617845007107666</v>
      </c>
      <c r="CO63" s="171">
        <f t="shared" si="71"/>
        <v>4.7617845007107666</v>
      </c>
      <c r="CP63" s="162"/>
      <c r="CQ63" s="162">
        <f t="shared" si="72"/>
        <v>1.1000000000000005</v>
      </c>
      <c r="CR63" s="170">
        <f t="shared" si="73"/>
        <v>1.1000000000000005</v>
      </c>
      <c r="CS63" s="162">
        <f t="shared" si="15"/>
        <v>4.7617845007107666</v>
      </c>
      <c r="CT63" s="171">
        <f t="shared" si="74"/>
        <v>4.7617845007107666</v>
      </c>
      <c r="CU63" s="162"/>
      <c r="CV63" s="162">
        <f t="shared" si="75"/>
        <v>1.1000000000000005</v>
      </c>
      <c r="CW63" s="162">
        <f t="shared" si="76"/>
        <v>1.1000000000000005</v>
      </c>
      <c r="CX63" s="162">
        <f t="shared" si="16"/>
        <v>4.7617845007107666</v>
      </c>
      <c r="CY63" s="171">
        <f t="shared" si="77"/>
        <v>4.7617845007107666</v>
      </c>
      <c r="CZ63" s="162"/>
      <c r="DA63" s="162">
        <f t="shared" si="78"/>
        <v>1.1000000000000005</v>
      </c>
      <c r="DB63" s="170">
        <f t="shared" si="79"/>
        <v>1.1000000000000005</v>
      </c>
      <c r="DC63" s="162">
        <f t="shared" si="17"/>
        <v>4.7617845007107666</v>
      </c>
      <c r="DD63" s="171">
        <f t="shared" si="80"/>
        <v>4.7617845007107666</v>
      </c>
      <c r="DE63" s="162"/>
      <c r="DF63" s="162">
        <f t="shared" si="81"/>
        <v>1.1000000000000005</v>
      </c>
      <c r="DG63" s="170">
        <f t="shared" si="82"/>
        <v>1.1000000000000005</v>
      </c>
      <c r="DH63" s="162">
        <f t="shared" si="18"/>
        <v>4.7617845007107666</v>
      </c>
      <c r="DI63" s="171">
        <f t="shared" si="83"/>
        <v>4.7617845007107666</v>
      </c>
      <c r="DJ63" s="162"/>
      <c r="DK63" s="162">
        <f t="shared" si="84"/>
        <v>1.1000000000000005</v>
      </c>
      <c r="DL63" s="162">
        <f t="shared" si="85"/>
        <v>1.1000000000000005</v>
      </c>
      <c r="DM63" s="162">
        <f t="shared" si="19"/>
        <v>4.7617845007107666</v>
      </c>
      <c r="DN63" s="171">
        <f t="shared" si="86"/>
        <v>4.7617845007107666</v>
      </c>
      <c r="DO63" s="162"/>
      <c r="DP63" s="162">
        <f t="shared" si="87"/>
        <v>1.1000000000000005</v>
      </c>
      <c r="DQ63" s="170">
        <f t="shared" si="88"/>
        <v>1.1000000000000005</v>
      </c>
      <c r="DR63" s="162">
        <f t="shared" si="20"/>
        <v>4.7617845007107666</v>
      </c>
      <c r="DS63" s="171">
        <f t="shared" si="89"/>
        <v>4.7617845007107666</v>
      </c>
      <c r="DT63" s="162"/>
      <c r="DU63" s="162">
        <f t="shared" si="90"/>
        <v>1.1000000000000005</v>
      </c>
      <c r="DV63" s="170">
        <f t="shared" si="91"/>
        <v>1.1000000000000005</v>
      </c>
      <c r="DW63" s="162">
        <f t="shared" si="21"/>
        <v>4.7617845007107666</v>
      </c>
      <c r="DX63" s="171">
        <f t="shared" si="92"/>
        <v>4.7617845007107666</v>
      </c>
      <c r="DY63" s="162"/>
      <c r="DZ63" s="162">
        <f t="shared" si="93"/>
        <v>1.1000000000000005</v>
      </c>
      <c r="EA63" s="162">
        <f t="shared" si="94"/>
        <v>1.1000000000000005</v>
      </c>
      <c r="EB63" s="162">
        <f t="shared" si="22"/>
        <v>4.7617845007107666</v>
      </c>
      <c r="EC63" s="171">
        <f t="shared" si="95"/>
        <v>4.7617845007107666</v>
      </c>
      <c r="ED63" s="162"/>
      <c r="EE63" s="162">
        <f t="shared" si="96"/>
        <v>1.1000000000000005</v>
      </c>
      <c r="EF63" s="170">
        <f t="shared" si="97"/>
        <v>1.1000000000000005</v>
      </c>
      <c r="EG63" s="162">
        <f t="shared" si="23"/>
        <v>4.7617845007107666</v>
      </c>
      <c r="EH63" s="171">
        <f t="shared" si="98"/>
        <v>4.7617845007107666</v>
      </c>
      <c r="EI63" s="162"/>
      <c r="EJ63" s="162">
        <f t="shared" si="99"/>
        <v>1.1000000000000005</v>
      </c>
      <c r="EK63" s="170">
        <f t="shared" si="100"/>
        <v>1.1000000000000005</v>
      </c>
      <c r="EL63" s="162">
        <f t="shared" si="24"/>
        <v>4.7617845007107666</v>
      </c>
      <c r="EM63" s="171">
        <f t="shared" si="101"/>
        <v>4.7617845007107666</v>
      </c>
      <c r="EN63" s="162"/>
      <c r="EO63" s="162">
        <f t="shared" si="102"/>
        <v>1.1000000000000005</v>
      </c>
      <c r="EP63" s="162">
        <f t="shared" si="103"/>
        <v>1.1000000000000005</v>
      </c>
      <c r="EQ63" s="162">
        <f t="shared" si="25"/>
        <v>4.7617845007107666</v>
      </c>
      <c r="ER63" s="171">
        <f t="shared" si="104"/>
        <v>4.7617845007107666</v>
      </c>
      <c r="ES63" s="162"/>
      <c r="ET63" s="162">
        <f t="shared" si="105"/>
        <v>1.1000000000000005</v>
      </c>
      <c r="EU63" s="170">
        <f t="shared" si="106"/>
        <v>1.1000000000000005</v>
      </c>
      <c r="EV63" s="162">
        <f t="shared" si="26"/>
        <v>4.7617845007107666</v>
      </c>
      <c r="EW63" s="171">
        <f t="shared" si="107"/>
        <v>4.7617845007107666</v>
      </c>
      <c r="EX63" s="162"/>
    </row>
    <row r="64" spans="20:154" s="181" customFormat="1" x14ac:dyDescent="0.25">
      <c r="T64" s="162">
        <f t="shared" si="27"/>
        <v>1.1200000000000006</v>
      </c>
      <c r="U64" s="170">
        <f t="shared" si="28"/>
        <v>1.1200000000000006</v>
      </c>
      <c r="V64" s="162">
        <f t="shared" si="0"/>
        <v>4.7688876807076088</v>
      </c>
      <c r="W64" s="171">
        <f t="shared" si="29"/>
        <v>4.7688876807076088</v>
      </c>
      <c r="X64" s="162"/>
      <c r="Y64" s="162">
        <f t="shared" si="30"/>
        <v>1.1200000000000006</v>
      </c>
      <c r="Z64" s="162">
        <f t="shared" si="31"/>
        <v>1.1200000000000006</v>
      </c>
      <c r="AA64" s="162">
        <f t="shared" si="1"/>
        <v>4.7688876807076088</v>
      </c>
      <c r="AB64" s="171">
        <f t="shared" si="32"/>
        <v>4.7688876807076088</v>
      </c>
      <c r="AC64" s="162"/>
      <c r="AD64" s="162">
        <f t="shared" si="33"/>
        <v>1.1200000000000006</v>
      </c>
      <c r="AE64" s="170">
        <f t="shared" si="34"/>
        <v>1.1200000000000006</v>
      </c>
      <c r="AF64" s="162">
        <f t="shared" si="2"/>
        <v>4.7688876807076088</v>
      </c>
      <c r="AG64" s="171">
        <f t="shared" si="35"/>
        <v>4.7688876807076088</v>
      </c>
      <c r="AH64" s="162"/>
      <c r="AI64" s="162">
        <f t="shared" si="36"/>
        <v>1.1200000000000006</v>
      </c>
      <c r="AJ64" s="170">
        <f t="shared" si="37"/>
        <v>1.1200000000000006</v>
      </c>
      <c r="AK64" s="162">
        <f t="shared" si="3"/>
        <v>4.7688876807076088</v>
      </c>
      <c r="AL64" s="171">
        <f t="shared" si="38"/>
        <v>4.7688876807076088</v>
      </c>
      <c r="AM64" s="162"/>
      <c r="AN64" s="162">
        <f t="shared" si="39"/>
        <v>1.1200000000000006</v>
      </c>
      <c r="AO64" s="162">
        <f t="shared" si="40"/>
        <v>1.1200000000000006</v>
      </c>
      <c r="AP64" s="162">
        <f t="shared" si="4"/>
        <v>4.7688876807076088</v>
      </c>
      <c r="AQ64" s="171">
        <f t="shared" si="41"/>
        <v>4.7688876807076088</v>
      </c>
      <c r="AR64" s="162"/>
      <c r="AS64" s="162">
        <f t="shared" si="42"/>
        <v>1.1200000000000006</v>
      </c>
      <c r="AT64" s="170">
        <f t="shared" si="43"/>
        <v>1.1200000000000006</v>
      </c>
      <c r="AU64" s="162">
        <f t="shared" si="5"/>
        <v>4.7688876807076088</v>
      </c>
      <c r="AV64" s="171">
        <f t="shared" si="44"/>
        <v>4.7688876807076088</v>
      </c>
      <c r="AW64" s="162"/>
      <c r="AX64" s="162">
        <f t="shared" si="45"/>
        <v>1.1200000000000006</v>
      </c>
      <c r="AY64" s="170">
        <f t="shared" si="46"/>
        <v>1.1200000000000006</v>
      </c>
      <c r="AZ64" s="162">
        <f t="shared" si="6"/>
        <v>4.7688876807076088</v>
      </c>
      <c r="BA64" s="171">
        <f t="shared" si="47"/>
        <v>4.7688876807076088</v>
      </c>
      <c r="BB64" s="162"/>
      <c r="BC64" s="162">
        <f t="shared" si="48"/>
        <v>1.1200000000000006</v>
      </c>
      <c r="BD64" s="162">
        <f t="shared" si="49"/>
        <v>1.1200000000000006</v>
      </c>
      <c r="BE64" s="162">
        <f t="shared" si="7"/>
        <v>4.7688876807076088</v>
      </c>
      <c r="BF64" s="171">
        <f t="shared" si="50"/>
        <v>4.7688876807076088</v>
      </c>
      <c r="BG64" s="162"/>
      <c r="BH64" s="162">
        <f t="shared" si="51"/>
        <v>1.1200000000000006</v>
      </c>
      <c r="BI64" s="170">
        <f t="shared" si="52"/>
        <v>1.1200000000000006</v>
      </c>
      <c r="BJ64" s="162">
        <f t="shared" si="8"/>
        <v>4.7688876807076088</v>
      </c>
      <c r="BK64" s="171">
        <f t="shared" si="53"/>
        <v>4.7688876807076088</v>
      </c>
      <c r="BL64" s="162"/>
      <c r="BM64" s="162">
        <f t="shared" si="54"/>
        <v>1.1200000000000006</v>
      </c>
      <c r="BN64" s="170">
        <f t="shared" si="55"/>
        <v>1.1200000000000006</v>
      </c>
      <c r="BO64" s="162">
        <f t="shared" si="9"/>
        <v>4.7688876807076088</v>
      </c>
      <c r="BP64" s="171">
        <f t="shared" si="56"/>
        <v>4.7688876807076088</v>
      </c>
      <c r="BQ64" s="162"/>
      <c r="BR64" s="162">
        <f t="shared" si="57"/>
        <v>1.1200000000000006</v>
      </c>
      <c r="BS64" s="162">
        <f t="shared" si="58"/>
        <v>1.1200000000000006</v>
      </c>
      <c r="BT64" s="162">
        <f t="shared" si="10"/>
        <v>4.7688876807076088</v>
      </c>
      <c r="BU64" s="171">
        <f t="shared" si="59"/>
        <v>4.7688876807076088</v>
      </c>
      <c r="BV64" s="162"/>
      <c r="BW64" s="162">
        <f t="shared" si="60"/>
        <v>1.1200000000000006</v>
      </c>
      <c r="BX64" s="170">
        <f t="shared" si="61"/>
        <v>1.1200000000000006</v>
      </c>
      <c r="BY64" s="162">
        <f t="shared" si="11"/>
        <v>4.7688876807076088</v>
      </c>
      <c r="BZ64" s="171">
        <f t="shared" si="62"/>
        <v>4.7688876807076088</v>
      </c>
      <c r="CA64" s="162"/>
      <c r="CB64" s="162">
        <f t="shared" si="63"/>
        <v>1.1200000000000006</v>
      </c>
      <c r="CC64" s="170">
        <f t="shared" si="64"/>
        <v>1.1200000000000006</v>
      </c>
      <c r="CD64" s="162">
        <f t="shared" si="12"/>
        <v>4.7688876807076088</v>
      </c>
      <c r="CE64" s="171">
        <f t="shared" si="65"/>
        <v>4.7688876807076088</v>
      </c>
      <c r="CF64" s="162"/>
      <c r="CG64" s="172">
        <f t="shared" si="66"/>
        <v>1.1200000000000006</v>
      </c>
      <c r="CH64" s="172">
        <f t="shared" si="67"/>
        <v>1.1200000000000006</v>
      </c>
      <c r="CI64" s="172">
        <f t="shared" si="13"/>
        <v>4.7688876807076088</v>
      </c>
      <c r="CJ64" s="171">
        <f t="shared" si="68"/>
        <v>4.7688876807076088</v>
      </c>
      <c r="CK64" s="172"/>
      <c r="CL64" s="162">
        <f t="shared" si="69"/>
        <v>1.1200000000000006</v>
      </c>
      <c r="CM64" s="170">
        <f t="shared" si="70"/>
        <v>1.1200000000000006</v>
      </c>
      <c r="CN64" s="162">
        <f t="shared" si="14"/>
        <v>4.7688876807076088</v>
      </c>
      <c r="CO64" s="171">
        <f t="shared" si="71"/>
        <v>4.7688876807076088</v>
      </c>
      <c r="CP64" s="162"/>
      <c r="CQ64" s="162">
        <f t="shared" si="72"/>
        <v>1.1200000000000006</v>
      </c>
      <c r="CR64" s="170">
        <f t="shared" si="73"/>
        <v>1.1200000000000006</v>
      </c>
      <c r="CS64" s="162">
        <f t="shared" si="15"/>
        <v>4.7688876807076088</v>
      </c>
      <c r="CT64" s="171">
        <f t="shared" si="74"/>
        <v>4.7688876807076088</v>
      </c>
      <c r="CU64" s="162"/>
      <c r="CV64" s="162">
        <f t="shared" si="75"/>
        <v>1.1200000000000006</v>
      </c>
      <c r="CW64" s="162">
        <f t="shared" si="76"/>
        <v>1.1200000000000006</v>
      </c>
      <c r="CX64" s="162">
        <f t="shared" si="16"/>
        <v>4.7688876807076088</v>
      </c>
      <c r="CY64" s="171">
        <f t="shared" si="77"/>
        <v>4.7688876807076088</v>
      </c>
      <c r="CZ64" s="162"/>
      <c r="DA64" s="162">
        <f t="shared" si="78"/>
        <v>1.1200000000000006</v>
      </c>
      <c r="DB64" s="170">
        <f t="shared" si="79"/>
        <v>1.1200000000000006</v>
      </c>
      <c r="DC64" s="162">
        <f t="shared" si="17"/>
        <v>4.7688876807076088</v>
      </c>
      <c r="DD64" s="171">
        <f t="shared" si="80"/>
        <v>4.7688876807076088</v>
      </c>
      <c r="DE64" s="162"/>
      <c r="DF64" s="162">
        <f t="shared" si="81"/>
        <v>1.1200000000000006</v>
      </c>
      <c r="DG64" s="170">
        <f t="shared" si="82"/>
        <v>1.1200000000000006</v>
      </c>
      <c r="DH64" s="162">
        <f t="shared" si="18"/>
        <v>4.7688876807076088</v>
      </c>
      <c r="DI64" s="171">
        <f t="shared" si="83"/>
        <v>4.7688876807076088</v>
      </c>
      <c r="DJ64" s="162"/>
      <c r="DK64" s="162">
        <f t="shared" si="84"/>
        <v>1.1200000000000006</v>
      </c>
      <c r="DL64" s="162">
        <f t="shared" si="85"/>
        <v>1.1200000000000006</v>
      </c>
      <c r="DM64" s="162">
        <f t="shared" si="19"/>
        <v>4.7688876807076088</v>
      </c>
      <c r="DN64" s="171">
        <f t="shared" si="86"/>
        <v>4.7688876807076088</v>
      </c>
      <c r="DO64" s="162"/>
      <c r="DP64" s="162">
        <f t="shared" si="87"/>
        <v>1.1200000000000006</v>
      </c>
      <c r="DQ64" s="170">
        <f t="shared" si="88"/>
        <v>1.1200000000000006</v>
      </c>
      <c r="DR64" s="162">
        <f t="shared" si="20"/>
        <v>4.7688876807076088</v>
      </c>
      <c r="DS64" s="171">
        <f t="shared" si="89"/>
        <v>4.7688876807076088</v>
      </c>
      <c r="DT64" s="162"/>
      <c r="DU64" s="162">
        <f t="shared" si="90"/>
        <v>1.1200000000000006</v>
      </c>
      <c r="DV64" s="170">
        <f t="shared" si="91"/>
        <v>1.1200000000000006</v>
      </c>
      <c r="DW64" s="162">
        <f t="shared" si="21"/>
        <v>4.7688876807076088</v>
      </c>
      <c r="DX64" s="171">
        <f t="shared" si="92"/>
        <v>4.7688876807076088</v>
      </c>
      <c r="DY64" s="162"/>
      <c r="DZ64" s="162">
        <f t="shared" si="93"/>
        <v>1.1200000000000006</v>
      </c>
      <c r="EA64" s="162">
        <f t="shared" si="94"/>
        <v>1.1200000000000006</v>
      </c>
      <c r="EB64" s="162">
        <f t="shared" si="22"/>
        <v>4.7688876807076088</v>
      </c>
      <c r="EC64" s="171">
        <f t="shared" si="95"/>
        <v>4.7688876807076088</v>
      </c>
      <c r="ED64" s="162"/>
      <c r="EE64" s="162">
        <f t="shared" si="96"/>
        <v>1.1200000000000006</v>
      </c>
      <c r="EF64" s="170">
        <f t="shared" si="97"/>
        <v>1.1200000000000006</v>
      </c>
      <c r="EG64" s="162">
        <f t="shared" si="23"/>
        <v>4.7688876807076088</v>
      </c>
      <c r="EH64" s="171">
        <f t="shared" si="98"/>
        <v>4.7688876807076088</v>
      </c>
      <c r="EI64" s="162"/>
      <c r="EJ64" s="162">
        <f t="shared" si="99"/>
        <v>1.1200000000000006</v>
      </c>
      <c r="EK64" s="170">
        <f t="shared" si="100"/>
        <v>1.1200000000000006</v>
      </c>
      <c r="EL64" s="162">
        <f t="shared" si="24"/>
        <v>4.7688876807076088</v>
      </c>
      <c r="EM64" s="171">
        <f t="shared" si="101"/>
        <v>4.7688876807076088</v>
      </c>
      <c r="EN64" s="162"/>
      <c r="EO64" s="162">
        <f t="shared" si="102"/>
        <v>1.1200000000000006</v>
      </c>
      <c r="EP64" s="162">
        <f t="shared" si="103"/>
        <v>1.1200000000000006</v>
      </c>
      <c r="EQ64" s="162">
        <f t="shared" si="25"/>
        <v>4.7688876807076088</v>
      </c>
      <c r="ER64" s="171">
        <f t="shared" si="104"/>
        <v>4.7688876807076088</v>
      </c>
      <c r="ES64" s="162"/>
      <c r="ET64" s="162">
        <f t="shared" si="105"/>
        <v>1.1200000000000006</v>
      </c>
      <c r="EU64" s="170">
        <f t="shared" si="106"/>
        <v>1.1200000000000006</v>
      </c>
      <c r="EV64" s="162">
        <f t="shared" si="26"/>
        <v>4.7688876807076088</v>
      </c>
      <c r="EW64" s="171">
        <f t="shared" si="107"/>
        <v>4.7688876807076088</v>
      </c>
      <c r="EX64" s="162"/>
    </row>
    <row r="65" spans="20:154" s="181" customFormat="1" x14ac:dyDescent="0.25">
      <c r="T65" s="162">
        <f t="shared" si="27"/>
        <v>1.1400000000000006</v>
      </c>
      <c r="U65" s="170">
        <f t="shared" si="28"/>
        <v>1.1400000000000006</v>
      </c>
      <c r="V65" s="162">
        <f t="shared" si="0"/>
        <v>4.7732823479766022</v>
      </c>
      <c r="W65" s="171">
        <f t="shared" si="29"/>
        <v>4.7732823479766022</v>
      </c>
      <c r="X65" s="162"/>
      <c r="Y65" s="162">
        <f t="shared" si="30"/>
        <v>1.1400000000000006</v>
      </c>
      <c r="Z65" s="162">
        <f t="shared" si="31"/>
        <v>1.1400000000000006</v>
      </c>
      <c r="AA65" s="162">
        <f t="shared" si="1"/>
        <v>4.7732823479766022</v>
      </c>
      <c r="AB65" s="171">
        <f t="shared" si="32"/>
        <v>4.7732823479766022</v>
      </c>
      <c r="AC65" s="162"/>
      <c r="AD65" s="162">
        <f t="shared" si="33"/>
        <v>1.1400000000000006</v>
      </c>
      <c r="AE65" s="170">
        <f t="shared" si="34"/>
        <v>1.1400000000000006</v>
      </c>
      <c r="AF65" s="162">
        <f t="shared" si="2"/>
        <v>4.7732823479766022</v>
      </c>
      <c r="AG65" s="171">
        <f t="shared" si="35"/>
        <v>4.7732823479766022</v>
      </c>
      <c r="AH65" s="162"/>
      <c r="AI65" s="162">
        <f t="shared" si="36"/>
        <v>1.1400000000000006</v>
      </c>
      <c r="AJ65" s="170">
        <f t="shared" si="37"/>
        <v>1.1400000000000006</v>
      </c>
      <c r="AK65" s="162">
        <f t="shared" si="3"/>
        <v>4.7732823479766022</v>
      </c>
      <c r="AL65" s="171">
        <f t="shared" si="38"/>
        <v>4.7732823479766022</v>
      </c>
      <c r="AM65" s="162"/>
      <c r="AN65" s="162">
        <f t="shared" si="39"/>
        <v>1.1400000000000006</v>
      </c>
      <c r="AO65" s="162">
        <f t="shared" si="40"/>
        <v>1.1400000000000006</v>
      </c>
      <c r="AP65" s="162">
        <f t="shared" si="4"/>
        <v>4.7732823479766022</v>
      </c>
      <c r="AQ65" s="171">
        <f t="shared" si="41"/>
        <v>4.7732823479766022</v>
      </c>
      <c r="AR65" s="162"/>
      <c r="AS65" s="162">
        <f t="shared" si="42"/>
        <v>1.1400000000000006</v>
      </c>
      <c r="AT65" s="170">
        <f t="shared" si="43"/>
        <v>1.1400000000000006</v>
      </c>
      <c r="AU65" s="162">
        <f t="shared" si="5"/>
        <v>4.7732823479766022</v>
      </c>
      <c r="AV65" s="171">
        <f t="shared" si="44"/>
        <v>4.7732823479766022</v>
      </c>
      <c r="AW65" s="162"/>
      <c r="AX65" s="162">
        <f t="shared" si="45"/>
        <v>1.1400000000000006</v>
      </c>
      <c r="AY65" s="170">
        <f t="shared" si="46"/>
        <v>1.1400000000000006</v>
      </c>
      <c r="AZ65" s="162">
        <f t="shared" si="6"/>
        <v>4.7732823479766022</v>
      </c>
      <c r="BA65" s="171">
        <f t="shared" si="47"/>
        <v>4.7732823479766022</v>
      </c>
      <c r="BB65" s="162"/>
      <c r="BC65" s="162">
        <f t="shared" si="48"/>
        <v>1.1400000000000006</v>
      </c>
      <c r="BD65" s="162">
        <f t="shared" si="49"/>
        <v>1.1400000000000006</v>
      </c>
      <c r="BE65" s="162">
        <f t="shared" si="7"/>
        <v>4.7732823479766022</v>
      </c>
      <c r="BF65" s="171">
        <f t="shared" si="50"/>
        <v>4.7732823479766022</v>
      </c>
      <c r="BG65" s="162"/>
      <c r="BH65" s="162">
        <f t="shared" si="51"/>
        <v>1.1400000000000006</v>
      </c>
      <c r="BI65" s="170">
        <f t="shared" si="52"/>
        <v>1.1400000000000006</v>
      </c>
      <c r="BJ65" s="162">
        <f t="shared" si="8"/>
        <v>4.7732823479766022</v>
      </c>
      <c r="BK65" s="171">
        <f t="shared" si="53"/>
        <v>4.7732823479766022</v>
      </c>
      <c r="BL65" s="162"/>
      <c r="BM65" s="162">
        <f t="shared" si="54"/>
        <v>1.1400000000000006</v>
      </c>
      <c r="BN65" s="170">
        <f t="shared" si="55"/>
        <v>1.1400000000000006</v>
      </c>
      <c r="BO65" s="162">
        <f t="shared" si="9"/>
        <v>4.7732823479766022</v>
      </c>
      <c r="BP65" s="171">
        <f t="shared" si="56"/>
        <v>4.7732823479766022</v>
      </c>
      <c r="BQ65" s="162"/>
      <c r="BR65" s="162">
        <f t="shared" si="57"/>
        <v>1.1400000000000006</v>
      </c>
      <c r="BS65" s="162">
        <f t="shared" si="58"/>
        <v>1.1400000000000006</v>
      </c>
      <c r="BT65" s="162">
        <f t="shared" si="10"/>
        <v>4.7732823479766022</v>
      </c>
      <c r="BU65" s="171">
        <f t="shared" si="59"/>
        <v>4.7732823479766022</v>
      </c>
      <c r="BV65" s="162"/>
      <c r="BW65" s="162">
        <f t="shared" si="60"/>
        <v>1.1400000000000006</v>
      </c>
      <c r="BX65" s="170">
        <f t="shared" si="61"/>
        <v>1.1400000000000006</v>
      </c>
      <c r="BY65" s="162">
        <f t="shared" si="11"/>
        <v>4.7732823479766022</v>
      </c>
      <c r="BZ65" s="171">
        <f t="shared" si="62"/>
        <v>4.7732823479766022</v>
      </c>
      <c r="CA65" s="162"/>
      <c r="CB65" s="162">
        <f t="shared" si="63"/>
        <v>1.1400000000000006</v>
      </c>
      <c r="CC65" s="170">
        <f t="shared" si="64"/>
        <v>1.1400000000000006</v>
      </c>
      <c r="CD65" s="162">
        <f t="shared" si="12"/>
        <v>4.7732823479766022</v>
      </c>
      <c r="CE65" s="171">
        <f t="shared" si="65"/>
        <v>4.7732823479766022</v>
      </c>
      <c r="CF65" s="162"/>
      <c r="CG65" s="172">
        <f t="shared" si="66"/>
        <v>1.1400000000000006</v>
      </c>
      <c r="CH65" s="172">
        <f t="shared" si="67"/>
        <v>1.1400000000000006</v>
      </c>
      <c r="CI65" s="172">
        <f t="shared" si="13"/>
        <v>4.7732823479766022</v>
      </c>
      <c r="CJ65" s="171">
        <f t="shared" si="68"/>
        <v>4.7732823479766022</v>
      </c>
      <c r="CK65" s="172"/>
      <c r="CL65" s="162">
        <f t="shared" si="69"/>
        <v>1.1400000000000006</v>
      </c>
      <c r="CM65" s="170">
        <f t="shared" si="70"/>
        <v>1.1400000000000006</v>
      </c>
      <c r="CN65" s="162">
        <f t="shared" si="14"/>
        <v>4.7732823479766022</v>
      </c>
      <c r="CO65" s="171">
        <f t="shared" si="71"/>
        <v>4.7732823479766022</v>
      </c>
      <c r="CP65" s="162"/>
      <c r="CQ65" s="162">
        <f t="shared" si="72"/>
        <v>1.1400000000000006</v>
      </c>
      <c r="CR65" s="170">
        <f t="shared" si="73"/>
        <v>1.1400000000000006</v>
      </c>
      <c r="CS65" s="162">
        <f t="shared" si="15"/>
        <v>4.7732823479766022</v>
      </c>
      <c r="CT65" s="171">
        <f t="shared" si="74"/>
        <v>4.7732823479766022</v>
      </c>
      <c r="CU65" s="162"/>
      <c r="CV65" s="162">
        <f t="shared" si="75"/>
        <v>1.1400000000000006</v>
      </c>
      <c r="CW65" s="162">
        <f t="shared" si="76"/>
        <v>1.1400000000000006</v>
      </c>
      <c r="CX65" s="162">
        <f t="shared" si="16"/>
        <v>4.7732823479766022</v>
      </c>
      <c r="CY65" s="171">
        <f t="shared" si="77"/>
        <v>4.7732823479766022</v>
      </c>
      <c r="CZ65" s="162"/>
      <c r="DA65" s="162">
        <f t="shared" si="78"/>
        <v>1.1400000000000006</v>
      </c>
      <c r="DB65" s="170">
        <f t="shared" si="79"/>
        <v>1.1400000000000006</v>
      </c>
      <c r="DC65" s="162">
        <f t="shared" si="17"/>
        <v>4.7732823479766022</v>
      </c>
      <c r="DD65" s="171">
        <f t="shared" si="80"/>
        <v>4.7732823479766022</v>
      </c>
      <c r="DE65" s="162"/>
      <c r="DF65" s="162">
        <f t="shared" si="81"/>
        <v>1.1400000000000006</v>
      </c>
      <c r="DG65" s="170">
        <f t="shared" si="82"/>
        <v>1.1400000000000006</v>
      </c>
      <c r="DH65" s="162">
        <f t="shared" si="18"/>
        <v>4.7732823479766022</v>
      </c>
      <c r="DI65" s="171">
        <f t="shared" si="83"/>
        <v>4.7732823479766022</v>
      </c>
      <c r="DJ65" s="162"/>
      <c r="DK65" s="162">
        <f t="shared" si="84"/>
        <v>1.1400000000000006</v>
      </c>
      <c r="DL65" s="162">
        <f t="shared" si="85"/>
        <v>1.1400000000000006</v>
      </c>
      <c r="DM65" s="162">
        <f t="shared" si="19"/>
        <v>4.7732823479766022</v>
      </c>
      <c r="DN65" s="171">
        <f t="shared" si="86"/>
        <v>4.7732823479766022</v>
      </c>
      <c r="DO65" s="162"/>
      <c r="DP65" s="162">
        <f t="shared" si="87"/>
        <v>1.1400000000000006</v>
      </c>
      <c r="DQ65" s="170">
        <f t="shared" si="88"/>
        <v>1.1400000000000006</v>
      </c>
      <c r="DR65" s="162">
        <f t="shared" si="20"/>
        <v>4.7732823479766022</v>
      </c>
      <c r="DS65" s="171">
        <f t="shared" si="89"/>
        <v>4.7732823479766022</v>
      </c>
      <c r="DT65" s="162"/>
      <c r="DU65" s="162">
        <f t="shared" si="90"/>
        <v>1.1400000000000006</v>
      </c>
      <c r="DV65" s="170">
        <f t="shared" si="91"/>
        <v>1.1400000000000006</v>
      </c>
      <c r="DW65" s="162">
        <f t="shared" si="21"/>
        <v>4.7732823479766022</v>
      </c>
      <c r="DX65" s="171">
        <f t="shared" si="92"/>
        <v>4.7732823479766022</v>
      </c>
      <c r="DY65" s="162"/>
      <c r="DZ65" s="162">
        <f t="shared" si="93"/>
        <v>1.1400000000000006</v>
      </c>
      <c r="EA65" s="162">
        <f t="shared" si="94"/>
        <v>1.1400000000000006</v>
      </c>
      <c r="EB65" s="162">
        <f t="shared" si="22"/>
        <v>4.7732823479766022</v>
      </c>
      <c r="EC65" s="171">
        <f t="shared" si="95"/>
        <v>4.7732823479766022</v>
      </c>
      <c r="ED65" s="162"/>
      <c r="EE65" s="162">
        <f t="shared" si="96"/>
        <v>1.1400000000000006</v>
      </c>
      <c r="EF65" s="170">
        <f t="shared" si="97"/>
        <v>1.1400000000000006</v>
      </c>
      <c r="EG65" s="162">
        <f t="shared" si="23"/>
        <v>4.7732823479766022</v>
      </c>
      <c r="EH65" s="171">
        <f t="shared" si="98"/>
        <v>4.7732823479766022</v>
      </c>
      <c r="EI65" s="162"/>
      <c r="EJ65" s="162">
        <f t="shared" si="99"/>
        <v>1.1400000000000006</v>
      </c>
      <c r="EK65" s="170">
        <f t="shared" si="100"/>
        <v>1.1400000000000006</v>
      </c>
      <c r="EL65" s="162">
        <f t="shared" si="24"/>
        <v>4.7732823479766022</v>
      </c>
      <c r="EM65" s="171">
        <f t="shared" si="101"/>
        <v>4.7732823479766022</v>
      </c>
      <c r="EN65" s="162"/>
      <c r="EO65" s="162">
        <f t="shared" si="102"/>
        <v>1.1400000000000006</v>
      </c>
      <c r="EP65" s="162">
        <f t="shared" si="103"/>
        <v>1.1400000000000006</v>
      </c>
      <c r="EQ65" s="162">
        <f t="shared" si="25"/>
        <v>4.7732823479766022</v>
      </c>
      <c r="ER65" s="171">
        <f t="shared" si="104"/>
        <v>4.7732823479766022</v>
      </c>
      <c r="ES65" s="162"/>
      <c r="ET65" s="162">
        <f t="shared" si="105"/>
        <v>1.1400000000000006</v>
      </c>
      <c r="EU65" s="170">
        <f t="shared" si="106"/>
        <v>1.1400000000000006</v>
      </c>
      <c r="EV65" s="162">
        <f t="shared" si="26"/>
        <v>4.7732823479766022</v>
      </c>
      <c r="EW65" s="171">
        <f t="shared" si="107"/>
        <v>4.7732823479766022</v>
      </c>
      <c r="EX65" s="162"/>
    </row>
    <row r="66" spans="20:154" s="181" customFormat="1" x14ac:dyDescent="0.25">
      <c r="T66" s="162">
        <f t="shared" si="27"/>
        <v>1.1600000000000006</v>
      </c>
      <c r="U66" s="170">
        <f t="shared" si="28"/>
        <v>1.1600000000000006</v>
      </c>
      <c r="V66" s="162">
        <f t="shared" si="0"/>
        <v>4.7749685025177477</v>
      </c>
      <c r="W66" s="171">
        <f t="shared" si="29"/>
        <v>4.7749685025177477</v>
      </c>
      <c r="X66" s="162"/>
      <c r="Y66" s="162">
        <f t="shared" si="30"/>
        <v>1.1600000000000006</v>
      </c>
      <c r="Z66" s="162">
        <f t="shared" si="31"/>
        <v>1.1600000000000006</v>
      </c>
      <c r="AA66" s="162">
        <f t="shared" si="1"/>
        <v>4.7749685025177477</v>
      </c>
      <c r="AB66" s="171">
        <f t="shared" si="32"/>
        <v>4.7749685025177477</v>
      </c>
      <c r="AC66" s="162"/>
      <c r="AD66" s="162">
        <f t="shared" si="33"/>
        <v>1.1600000000000006</v>
      </c>
      <c r="AE66" s="170">
        <f t="shared" si="34"/>
        <v>1.1600000000000006</v>
      </c>
      <c r="AF66" s="162">
        <f t="shared" si="2"/>
        <v>4.7749685025177477</v>
      </c>
      <c r="AG66" s="171">
        <f t="shared" si="35"/>
        <v>4.7749685025177477</v>
      </c>
      <c r="AH66" s="162"/>
      <c r="AI66" s="162">
        <f t="shared" si="36"/>
        <v>1.1600000000000006</v>
      </c>
      <c r="AJ66" s="170">
        <f t="shared" si="37"/>
        <v>1.1600000000000006</v>
      </c>
      <c r="AK66" s="162">
        <f t="shared" si="3"/>
        <v>4.7749685025177477</v>
      </c>
      <c r="AL66" s="171">
        <f t="shared" si="38"/>
        <v>4.7749685025177477</v>
      </c>
      <c r="AM66" s="162"/>
      <c r="AN66" s="162">
        <f t="shared" si="39"/>
        <v>1.1600000000000006</v>
      </c>
      <c r="AO66" s="162">
        <f t="shared" si="40"/>
        <v>1.1600000000000006</v>
      </c>
      <c r="AP66" s="162">
        <f t="shared" si="4"/>
        <v>4.7749685025177477</v>
      </c>
      <c r="AQ66" s="171">
        <f t="shared" si="41"/>
        <v>4.7749685025177477</v>
      </c>
      <c r="AR66" s="162"/>
      <c r="AS66" s="162">
        <f t="shared" si="42"/>
        <v>1.1600000000000006</v>
      </c>
      <c r="AT66" s="170">
        <f t="shared" si="43"/>
        <v>1.1600000000000006</v>
      </c>
      <c r="AU66" s="162">
        <f t="shared" si="5"/>
        <v>4.7749685025177477</v>
      </c>
      <c r="AV66" s="171">
        <f t="shared" si="44"/>
        <v>4.7749685025177477</v>
      </c>
      <c r="AW66" s="162"/>
      <c r="AX66" s="162">
        <f t="shared" si="45"/>
        <v>1.1600000000000006</v>
      </c>
      <c r="AY66" s="170">
        <f t="shared" si="46"/>
        <v>1.1600000000000006</v>
      </c>
      <c r="AZ66" s="162">
        <f t="shared" si="6"/>
        <v>4.7749685025177477</v>
      </c>
      <c r="BA66" s="171">
        <f t="shared" si="47"/>
        <v>4.7749685025177477</v>
      </c>
      <c r="BB66" s="162"/>
      <c r="BC66" s="162">
        <f t="shared" si="48"/>
        <v>1.1600000000000006</v>
      </c>
      <c r="BD66" s="162">
        <f t="shared" si="49"/>
        <v>1.1600000000000006</v>
      </c>
      <c r="BE66" s="162">
        <f t="shared" si="7"/>
        <v>4.7749685025177477</v>
      </c>
      <c r="BF66" s="171">
        <f t="shared" si="50"/>
        <v>4.7749685025177477</v>
      </c>
      <c r="BG66" s="162"/>
      <c r="BH66" s="162">
        <f t="shared" si="51"/>
        <v>1.1600000000000006</v>
      </c>
      <c r="BI66" s="170">
        <f t="shared" si="52"/>
        <v>1.1600000000000006</v>
      </c>
      <c r="BJ66" s="162">
        <f t="shared" si="8"/>
        <v>4.7749685025177477</v>
      </c>
      <c r="BK66" s="171">
        <f t="shared" si="53"/>
        <v>4.7749685025177477</v>
      </c>
      <c r="BL66" s="162"/>
      <c r="BM66" s="162">
        <f t="shared" si="54"/>
        <v>1.1600000000000006</v>
      </c>
      <c r="BN66" s="170">
        <f t="shared" si="55"/>
        <v>1.1600000000000006</v>
      </c>
      <c r="BO66" s="162">
        <f t="shared" si="9"/>
        <v>4.7749685025177477</v>
      </c>
      <c r="BP66" s="171">
        <f t="shared" si="56"/>
        <v>4.7749685025177477</v>
      </c>
      <c r="BQ66" s="162"/>
      <c r="BR66" s="162">
        <f t="shared" si="57"/>
        <v>1.1600000000000006</v>
      </c>
      <c r="BS66" s="162">
        <f t="shared" si="58"/>
        <v>1.1600000000000006</v>
      </c>
      <c r="BT66" s="162">
        <f t="shared" si="10"/>
        <v>4.7749685025177477</v>
      </c>
      <c r="BU66" s="171">
        <f t="shared" si="59"/>
        <v>4.7749685025177477</v>
      </c>
      <c r="BV66" s="162"/>
      <c r="BW66" s="162">
        <f t="shared" si="60"/>
        <v>1.1600000000000006</v>
      </c>
      <c r="BX66" s="170">
        <f t="shared" si="61"/>
        <v>1.1600000000000006</v>
      </c>
      <c r="BY66" s="162">
        <f t="shared" si="11"/>
        <v>4.7749685025177477</v>
      </c>
      <c r="BZ66" s="171">
        <f t="shared" si="62"/>
        <v>4.7749685025177477</v>
      </c>
      <c r="CA66" s="162"/>
      <c r="CB66" s="162">
        <f t="shared" si="63"/>
        <v>1.1600000000000006</v>
      </c>
      <c r="CC66" s="170">
        <f t="shared" si="64"/>
        <v>1.1600000000000006</v>
      </c>
      <c r="CD66" s="162">
        <f t="shared" si="12"/>
        <v>4.7749685025177477</v>
      </c>
      <c r="CE66" s="171">
        <f t="shared" si="65"/>
        <v>4.7749685025177477</v>
      </c>
      <c r="CF66" s="162"/>
      <c r="CG66" s="172">
        <f t="shared" si="66"/>
        <v>1.1600000000000006</v>
      </c>
      <c r="CH66" s="172">
        <f t="shared" si="67"/>
        <v>1.1600000000000006</v>
      </c>
      <c r="CI66" s="172">
        <f t="shared" si="13"/>
        <v>4.7749685025177477</v>
      </c>
      <c r="CJ66" s="171">
        <f t="shared" si="68"/>
        <v>4.7749685025177477</v>
      </c>
      <c r="CK66" s="172"/>
      <c r="CL66" s="162">
        <f t="shared" si="69"/>
        <v>1.1600000000000006</v>
      </c>
      <c r="CM66" s="170">
        <f t="shared" si="70"/>
        <v>1.1600000000000006</v>
      </c>
      <c r="CN66" s="162">
        <f t="shared" si="14"/>
        <v>4.7749685025177477</v>
      </c>
      <c r="CO66" s="171">
        <f t="shared" si="71"/>
        <v>4.7749685025177477</v>
      </c>
      <c r="CP66" s="162"/>
      <c r="CQ66" s="162">
        <f t="shared" si="72"/>
        <v>1.1600000000000006</v>
      </c>
      <c r="CR66" s="170">
        <f t="shared" si="73"/>
        <v>1.1600000000000006</v>
      </c>
      <c r="CS66" s="162">
        <f t="shared" si="15"/>
        <v>4.7749685025177477</v>
      </c>
      <c r="CT66" s="171">
        <f t="shared" si="74"/>
        <v>4.7749685025177477</v>
      </c>
      <c r="CU66" s="162"/>
      <c r="CV66" s="162">
        <f t="shared" si="75"/>
        <v>1.1600000000000006</v>
      </c>
      <c r="CW66" s="162">
        <f t="shared" si="76"/>
        <v>1.1600000000000006</v>
      </c>
      <c r="CX66" s="162">
        <f t="shared" si="16"/>
        <v>4.7749685025177477</v>
      </c>
      <c r="CY66" s="171">
        <f t="shared" si="77"/>
        <v>4.7749685025177477</v>
      </c>
      <c r="CZ66" s="162"/>
      <c r="DA66" s="162">
        <f t="shared" si="78"/>
        <v>1.1600000000000006</v>
      </c>
      <c r="DB66" s="170">
        <f t="shared" si="79"/>
        <v>1.1600000000000006</v>
      </c>
      <c r="DC66" s="162">
        <f t="shared" si="17"/>
        <v>4.7749685025177477</v>
      </c>
      <c r="DD66" s="171">
        <f t="shared" si="80"/>
        <v>4.7749685025177477</v>
      </c>
      <c r="DE66" s="162"/>
      <c r="DF66" s="162">
        <f t="shared" si="81"/>
        <v>1.1600000000000006</v>
      </c>
      <c r="DG66" s="170">
        <f t="shared" si="82"/>
        <v>1.1600000000000006</v>
      </c>
      <c r="DH66" s="162">
        <f t="shared" si="18"/>
        <v>4.7749685025177477</v>
      </c>
      <c r="DI66" s="171">
        <f t="shared" si="83"/>
        <v>4.7749685025177477</v>
      </c>
      <c r="DJ66" s="162"/>
      <c r="DK66" s="162">
        <f t="shared" si="84"/>
        <v>1.1600000000000006</v>
      </c>
      <c r="DL66" s="162">
        <f t="shared" si="85"/>
        <v>1.1600000000000006</v>
      </c>
      <c r="DM66" s="162">
        <f t="shared" si="19"/>
        <v>4.7749685025177477</v>
      </c>
      <c r="DN66" s="171">
        <f t="shared" si="86"/>
        <v>4.7749685025177477</v>
      </c>
      <c r="DO66" s="162"/>
      <c r="DP66" s="162">
        <f t="shared" si="87"/>
        <v>1.1600000000000006</v>
      </c>
      <c r="DQ66" s="170">
        <f t="shared" si="88"/>
        <v>1.1600000000000006</v>
      </c>
      <c r="DR66" s="162">
        <f t="shared" si="20"/>
        <v>4.7749685025177477</v>
      </c>
      <c r="DS66" s="171">
        <f t="shared" si="89"/>
        <v>4.7749685025177477</v>
      </c>
      <c r="DT66" s="162"/>
      <c r="DU66" s="162">
        <f t="shared" si="90"/>
        <v>1.1600000000000006</v>
      </c>
      <c r="DV66" s="170">
        <f t="shared" si="91"/>
        <v>1.1600000000000006</v>
      </c>
      <c r="DW66" s="162">
        <f t="shared" si="21"/>
        <v>4.7749685025177477</v>
      </c>
      <c r="DX66" s="171">
        <f t="shared" si="92"/>
        <v>4.7749685025177477</v>
      </c>
      <c r="DY66" s="162"/>
      <c r="DZ66" s="162">
        <f t="shared" si="93"/>
        <v>1.1600000000000006</v>
      </c>
      <c r="EA66" s="162">
        <f t="shared" si="94"/>
        <v>1.1600000000000006</v>
      </c>
      <c r="EB66" s="162">
        <f t="shared" si="22"/>
        <v>4.7749685025177477</v>
      </c>
      <c r="EC66" s="171">
        <f t="shared" si="95"/>
        <v>4.7749685025177477</v>
      </c>
      <c r="ED66" s="162"/>
      <c r="EE66" s="162">
        <f t="shared" si="96"/>
        <v>1.1600000000000006</v>
      </c>
      <c r="EF66" s="170">
        <f t="shared" si="97"/>
        <v>1.1600000000000006</v>
      </c>
      <c r="EG66" s="162">
        <f t="shared" si="23"/>
        <v>4.7749685025177477</v>
      </c>
      <c r="EH66" s="171">
        <f t="shared" si="98"/>
        <v>4.7749685025177477</v>
      </c>
      <c r="EI66" s="162"/>
      <c r="EJ66" s="162">
        <f t="shared" si="99"/>
        <v>1.1600000000000006</v>
      </c>
      <c r="EK66" s="170">
        <f t="shared" si="100"/>
        <v>1.1600000000000006</v>
      </c>
      <c r="EL66" s="162">
        <f t="shared" si="24"/>
        <v>4.7749685025177477</v>
      </c>
      <c r="EM66" s="171">
        <f t="shared" si="101"/>
        <v>4.7749685025177477</v>
      </c>
      <c r="EN66" s="162"/>
      <c r="EO66" s="162">
        <f t="shared" si="102"/>
        <v>1.1600000000000006</v>
      </c>
      <c r="EP66" s="162">
        <f t="shared" si="103"/>
        <v>1.1600000000000006</v>
      </c>
      <c r="EQ66" s="162">
        <f t="shared" si="25"/>
        <v>4.7749685025177477</v>
      </c>
      <c r="ER66" s="171">
        <f t="shared" si="104"/>
        <v>4.7749685025177477</v>
      </c>
      <c r="ES66" s="162"/>
      <c r="ET66" s="162">
        <f t="shared" si="105"/>
        <v>1.1600000000000006</v>
      </c>
      <c r="EU66" s="170">
        <f t="shared" si="106"/>
        <v>1.1600000000000006</v>
      </c>
      <c r="EV66" s="162">
        <f t="shared" si="26"/>
        <v>4.7749685025177477</v>
      </c>
      <c r="EW66" s="171">
        <f t="shared" si="107"/>
        <v>4.7749685025177477</v>
      </c>
      <c r="EX66" s="162"/>
    </row>
    <row r="67" spans="20:154" s="181" customFormat="1" x14ac:dyDescent="0.25">
      <c r="T67" s="162">
        <f t="shared" si="27"/>
        <v>1.1800000000000006</v>
      </c>
      <c r="U67" s="170">
        <f t="shared" si="28"/>
        <v>1.1800000000000006</v>
      </c>
      <c r="V67" s="162">
        <f t="shared" si="0"/>
        <v>4.773946144331048</v>
      </c>
      <c r="W67" s="171">
        <f t="shared" si="29"/>
        <v>4.773946144331048</v>
      </c>
      <c r="X67" s="162"/>
      <c r="Y67" s="162">
        <f t="shared" si="30"/>
        <v>1.1800000000000006</v>
      </c>
      <c r="Z67" s="162">
        <f t="shared" si="31"/>
        <v>1.1800000000000006</v>
      </c>
      <c r="AA67" s="162">
        <f t="shared" si="1"/>
        <v>4.773946144331048</v>
      </c>
      <c r="AB67" s="171">
        <f t="shared" si="32"/>
        <v>4.773946144331048</v>
      </c>
      <c r="AC67" s="162"/>
      <c r="AD67" s="162">
        <f t="shared" si="33"/>
        <v>1.1800000000000006</v>
      </c>
      <c r="AE67" s="170">
        <f t="shared" si="34"/>
        <v>1.1800000000000006</v>
      </c>
      <c r="AF67" s="162">
        <f t="shared" si="2"/>
        <v>4.773946144331048</v>
      </c>
      <c r="AG67" s="171">
        <f t="shared" si="35"/>
        <v>4.773946144331048</v>
      </c>
      <c r="AH67" s="162"/>
      <c r="AI67" s="162">
        <f t="shared" si="36"/>
        <v>1.1800000000000006</v>
      </c>
      <c r="AJ67" s="170">
        <f t="shared" si="37"/>
        <v>1.1800000000000006</v>
      </c>
      <c r="AK67" s="162">
        <f t="shared" si="3"/>
        <v>4.773946144331048</v>
      </c>
      <c r="AL67" s="171">
        <f t="shared" si="38"/>
        <v>4.773946144331048</v>
      </c>
      <c r="AM67" s="162"/>
      <c r="AN67" s="162">
        <f t="shared" si="39"/>
        <v>1.1800000000000006</v>
      </c>
      <c r="AO67" s="162">
        <f t="shared" si="40"/>
        <v>1.1800000000000006</v>
      </c>
      <c r="AP67" s="162">
        <f t="shared" si="4"/>
        <v>4.773946144331048</v>
      </c>
      <c r="AQ67" s="171">
        <f t="shared" si="41"/>
        <v>4.773946144331048</v>
      </c>
      <c r="AR67" s="162"/>
      <c r="AS67" s="162">
        <f t="shared" si="42"/>
        <v>1.1800000000000006</v>
      </c>
      <c r="AT67" s="170">
        <f t="shared" si="43"/>
        <v>1.1800000000000006</v>
      </c>
      <c r="AU67" s="162">
        <f t="shared" si="5"/>
        <v>4.773946144331048</v>
      </c>
      <c r="AV67" s="171">
        <f t="shared" si="44"/>
        <v>4.773946144331048</v>
      </c>
      <c r="AW67" s="162"/>
      <c r="AX67" s="162">
        <f t="shared" si="45"/>
        <v>1.1800000000000006</v>
      </c>
      <c r="AY67" s="170">
        <f t="shared" si="46"/>
        <v>1.1800000000000006</v>
      </c>
      <c r="AZ67" s="162">
        <f t="shared" si="6"/>
        <v>4.773946144331048</v>
      </c>
      <c r="BA67" s="171">
        <f t="shared" si="47"/>
        <v>4.773946144331048</v>
      </c>
      <c r="BB67" s="162"/>
      <c r="BC67" s="162">
        <f t="shared" si="48"/>
        <v>1.1800000000000006</v>
      </c>
      <c r="BD67" s="162">
        <f t="shared" si="49"/>
        <v>1.1800000000000006</v>
      </c>
      <c r="BE67" s="162">
        <f t="shared" si="7"/>
        <v>4.773946144331048</v>
      </c>
      <c r="BF67" s="171">
        <f t="shared" si="50"/>
        <v>4.773946144331048</v>
      </c>
      <c r="BG67" s="162"/>
      <c r="BH67" s="162">
        <f t="shared" si="51"/>
        <v>1.1800000000000006</v>
      </c>
      <c r="BI67" s="170">
        <f t="shared" si="52"/>
        <v>1.1800000000000006</v>
      </c>
      <c r="BJ67" s="162">
        <f t="shared" si="8"/>
        <v>4.773946144331048</v>
      </c>
      <c r="BK67" s="171">
        <f t="shared" si="53"/>
        <v>4.773946144331048</v>
      </c>
      <c r="BL67" s="162"/>
      <c r="BM67" s="162">
        <f t="shared" si="54"/>
        <v>1.1800000000000006</v>
      </c>
      <c r="BN67" s="170">
        <f t="shared" si="55"/>
        <v>1.1800000000000006</v>
      </c>
      <c r="BO67" s="162">
        <f t="shared" si="9"/>
        <v>4.773946144331048</v>
      </c>
      <c r="BP67" s="171">
        <f t="shared" si="56"/>
        <v>4.773946144331048</v>
      </c>
      <c r="BQ67" s="162"/>
      <c r="BR67" s="162">
        <f t="shared" si="57"/>
        <v>1.1800000000000006</v>
      </c>
      <c r="BS67" s="162">
        <f t="shared" si="58"/>
        <v>1.1800000000000006</v>
      </c>
      <c r="BT67" s="162">
        <f t="shared" si="10"/>
        <v>4.773946144331048</v>
      </c>
      <c r="BU67" s="171">
        <f t="shared" si="59"/>
        <v>4.773946144331048</v>
      </c>
      <c r="BV67" s="162"/>
      <c r="BW67" s="162">
        <f t="shared" si="60"/>
        <v>1.1800000000000006</v>
      </c>
      <c r="BX67" s="170">
        <f t="shared" si="61"/>
        <v>1.1800000000000006</v>
      </c>
      <c r="BY67" s="162">
        <f t="shared" si="11"/>
        <v>4.773946144331048</v>
      </c>
      <c r="BZ67" s="171">
        <f t="shared" si="62"/>
        <v>4.773946144331048</v>
      </c>
      <c r="CA67" s="162"/>
      <c r="CB67" s="162">
        <f t="shared" si="63"/>
        <v>1.1800000000000006</v>
      </c>
      <c r="CC67" s="170">
        <f t="shared" si="64"/>
        <v>1.1800000000000006</v>
      </c>
      <c r="CD67" s="162">
        <f t="shared" si="12"/>
        <v>4.773946144331048</v>
      </c>
      <c r="CE67" s="171">
        <f t="shared" si="65"/>
        <v>4.773946144331048</v>
      </c>
      <c r="CF67" s="162"/>
      <c r="CG67" s="172">
        <f t="shared" si="66"/>
        <v>1.1800000000000006</v>
      </c>
      <c r="CH67" s="172">
        <f t="shared" si="67"/>
        <v>1.1800000000000006</v>
      </c>
      <c r="CI67" s="172">
        <f t="shared" si="13"/>
        <v>4.773946144331048</v>
      </c>
      <c r="CJ67" s="171">
        <f t="shared" si="68"/>
        <v>4.773946144331048</v>
      </c>
      <c r="CK67" s="172"/>
      <c r="CL67" s="162">
        <f t="shared" si="69"/>
        <v>1.1800000000000006</v>
      </c>
      <c r="CM67" s="170">
        <f t="shared" si="70"/>
        <v>1.1800000000000006</v>
      </c>
      <c r="CN67" s="162">
        <f t="shared" si="14"/>
        <v>4.773946144331048</v>
      </c>
      <c r="CO67" s="171">
        <f t="shared" si="71"/>
        <v>4.773946144331048</v>
      </c>
      <c r="CP67" s="162"/>
      <c r="CQ67" s="162">
        <f t="shared" si="72"/>
        <v>1.1800000000000006</v>
      </c>
      <c r="CR67" s="170">
        <f t="shared" si="73"/>
        <v>1.1800000000000006</v>
      </c>
      <c r="CS67" s="162">
        <f t="shared" si="15"/>
        <v>4.773946144331048</v>
      </c>
      <c r="CT67" s="171">
        <f t="shared" si="74"/>
        <v>4.773946144331048</v>
      </c>
      <c r="CU67" s="162"/>
      <c r="CV67" s="162">
        <f t="shared" si="75"/>
        <v>1.1800000000000006</v>
      </c>
      <c r="CW67" s="162">
        <f t="shared" si="76"/>
        <v>1.1800000000000006</v>
      </c>
      <c r="CX67" s="162">
        <f t="shared" si="16"/>
        <v>4.773946144331048</v>
      </c>
      <c r="CY67" s="171">
        <f t="shared" si="77"/>
        <v>4.773946144331048</v>
      </c>
      <c r="CZ67" s="162"/>
      <c r="DA67" s="162">
        <f t="shared" si="78"/>
        <v>1.1800000000000006</v>
      </c>
      <c r="DB67" s="170">
        <f t="shared" si="79"/>
        <v>1.1800000000000006</v>
      </c>
      <c r="DC67" s="162">
        <f t="shared" si="17"/>
        <v>4.773946144331048</v>
      </c>
      <c r="DD67" s="171">
        <f t="shared" si="80"/>
        <v>4.773946144331048</v>
      </c>
      <c r="DE67" s="162"/>
      <c r="DF67" s="162">
        <f t="shared" si="81"/>
        <v>1.1800000000000006</v>
      </c>
      <c r="DG67" s="170">
        <f t="shared" si="82"/>
        <v>1.1800000000000006</v>
      </c>
      <c r="DH67" s="162">
        <f t="shared" si="18"/>
        <v>4.773946144331048</v>
      </c>
      <c r="DI67" s="171">
        <f t="shared" si="83"/>
        <v>4.773946144331048</v>
      </c>
      <c r="DJ67" s="162"/>
      <c r="DK67" s="162">
        <f t="shared" si="84"/>
        <v>1.1800000000000006</v>
      </c>
      <c r="DL67" s="162">
        <f t="shared" si="85"/>
        <v>1.1800000000000006</v>
      </c>
      <c r="DM67" s="162">
        <f t="shared" si="19"/>
        <v>4.773946144331048</v>
      </c>
      <c r="DN67" s="171">
        <f t="shared" si="86"/>
        <v>4.773946144331048</v>
      </c>
      <c r="DO67" s="162"/>
      <c r="DP67" s="162">
        <f t="shared" si="87"/>
        <v>1.1800000000000006</v>
      </c>
      <c r="DQ67" s="170">
        <f t="shared" si="88"/>
        <v>1.1800000000000006</v>
      </c>
      <c r="DR67" s="162">
        <f t="shared" si="20"/>
        <v>4.773946144331048</v>
      </c>
      <c r="DS67" s="171">
        <f t="shared" si="89"/>
        <v>4.773946144331048</v>
      </c>
      <c r="DT67" s="162"/>
      <c r="DU67" s="162">
        <f t="shared" si="90"/>
        <v>1.1800000000000006</v>
      </c>
      <c r="DV67" s="170">
        <f t="shared" si="91"/>
        <v>1.1800000000000006</v>
      </c>
      <c r="DW67" s="162">
        <f t="shared" si="21"/>
        <v>4.773946144331048</v>
      </c>
      <c r="DX67" s="171">
        <f t="shared" si="92"/>
        <v>4.773946144331048</v>
      </c>
      <c r="DY67" s="162"/>
      <c r="DZ67" s="162">
        <f t="shared" si="93"/>
        <v>1.1800000000000006</v>
      </c>
      <c r="EA67" s="162">
        <f t="shared" si="94"/>
        <v>1.1800000000000006</v>
      </c>
      <c r="EB67" s="162">
        <f t="shared" si="22"/>
        <v>4.773946144331048</v>
      </c>
      <c r="EC67" s="171">
        <f t="shared" si="95"/>
        <v>4.773946144331048</v>
      </c>
      <c r="ED67" s="162"/>
      <c r="EE67" s="162">
        <f t="shared" si="96"/>
        <v>1.1800000000000006</v>
      </c>
      <c r="EF67" s="170">
        <f t="shared" si="97"/>
        <v>1.1800000000000006</v>
      </c>
      <c r="EG67" s="162">
        <f t="shared" si="23"/>
        <v>4.773946144331048</v>
      </c>
      <c r="EH67" s="171">
        <f t="shared" si="98"/>
        <v>4.773946144331048</v>
      </c>
      <c r="EI67" s="162"/>
      <c r="EJ67" s="162">
        <f t="shared" si="99"/>
        <v>1.1800000000000006</v>
      </c>
      <c r="EK67" s="170">
        <f t="shared" si="100"/>
        <v>1.1800000000000006</v>
      </c>
      <c r="EL67" s="162">
        <f t="shared" si="24"/>
        <v>4.773946144331048</v>
      </c>
      <c r="EM67" s="171">
        <f t="shared" si="101"/>
        <v>4.773946144331048</v>
      </c>
      <c r="EN67" s="162"/>
      <c r="EO67" s="162">
        <f t="shared" si="102"/>
        <v>1.1800000000000006</v>
      </c>
      <c r="EP67" s="162">
        <f t="shared" si="103"/>
        <v>1.1800000000000006</v>
      </c>
      <c r="EQ67" s="162">
        <f t="shared" si="25"/>
        <v>4.773946144331048</v>
      </c>
      <c r="ER67" s="171">
        <f t="shared" si="104"/>
        <v>4.773946144331048</v>
      </c>
      <c r="ES67" s="162"/>
      <c r="ET67" s="162">
        <f t="shared" si="105"/>
        <v>1.1800000000000006</v>
      </c>
      <c r="EU67" s="170">
        <f t="shared" si="106"/>
        <v>1.1800000000000006</v>
      </c>
      <c r="EV67" s="162">
        <f t="shared" si="26"/>
        <v>4.773946144331048</v>
      </c>
      <c r="EW67" s="171">
        <f t="shared" si="107"/>
        <v>4.773946144331048</v>
      </c>
      <c r="EX67" s="162"/>
    </row>
    <row r="68" spans="20:154" s="181" customFormat="1" x14ac:dyDescent="0.25">
      <c r="T68" s="162">
        <f t="shared" si="27"/>
        <v>1.2000000000000006</v>
      </c>
      <c r="U68" s="170">
        <f t="shared" si="28"/>
        <v>1.2000000000000006</v>
      </c>
      <c r="V68" s="162">
        <f t="shared" si="0"/>
        <v>4.7702152734165013</v>
      </c>
      <c r="W68" s="171">
        <f t="shared" si="29"/>
        <v>4.7702152734165013</v>
      </c>
      <c r="X68" s="162"/>
      <c r="Y68" s="162">
        <f t="shared" si="30"/>
        <v>1.2000000000000006</v>
      </c>
      <c r="Z68" s="162">
        <f t="shared" si="31"/>
        <v>1.2000000000000006</v>
      </c>
      <c r="AA68" s="162">
        <f t="shared" si="1"/>
        <v>4.7702152734165013</v>
      </c>
      <c r="AB68" s="171">
        <f t="shared" si="32"/>
        <v>4.7702152734165013</v>
      </c>
      <c r="AC68" s="162"/>
      <c r="AD68" s="162">
        <f t="shared" si="33"/>
        <v>1.2000000000000006</v>
      </c>
      <c r="AE68" s="170">
        <f t="shared" si="34"/>
        <v>1.2000000000000006</v>
      </c>
      <c r="AF68" s="162">
        <f t="shared" si="2"/>
        <v>4.7702152734165013</v>
      </c>
      <c r="AG68" s="171">
        <f t="shared" si="35"/>
        <v>4.7702152734165013</v>
      </c>
      <c r="AH68" s="162"/>
      <c r="AI68" s="162">
        <f t="shared" si="36"/>
        <v>1.2000000000000006</v>
      </c>
      <c r="AJ68" s="170">
        <f t="shared" si="37"/>
        <v>1.2000000000000006</v>
      </c>
      <c r="AK68" s="162">
        <f t="shared" si="3"/>
        <v>4.7702152734165013</v>
      </c>
      <c r="AL68" s="171">
        <f t="shared" si="38"/>
        <v>4.7702152734165013</v>
      </c>
      <c r="AM68" s="162"/>
      <c r="AN68" s="162">
        <f t="shared" si="39"/>
        <v>1.2000000000000006</v>
      </c>
      <c r="AO68" s="162">
        <f t="shared" si="40"/>
        <v>1.2000000000000006</v>
      </c>
      <c r="AP68" s="162">
        <f t="shared" si="4"/>
        <v>4.7702152734165013</v>
      </c>
      <c r="AQ68" s="171">
        <f t="shared" si="41"/>
        <v>4.7702152734165013</v>
      </c>
      <c r="AR68" s="162"/>
      <c r="AS68" s="162">
        <f t="shared" si="42"/>
        <v>1.2000000000000006</v>
      </c>
      <c r="AT68" s="170">
        <f t="shared" si="43"/>
        <v>1.2000000000000006</v>
      </c>
      <c r="AU68" s="162">
        <f t="shared" si="5"/>
        <v>4.7702152734165013</v>
      </c>
      <c r="AV68" s="171">
        <f t="shared" si="44"/>
        <v>4.7702152734165013</v>
      </c>
      <c r="AW68" s="162"/>
      <c r="AX68" s="162">
        <f t="shared" si="45"/>
        <v>1.2000000000000006</v>
      </c>
      <c r="AY68" s="170">
        <f t="shared" si="46"/>
        <v>1.2000000000000006</v>
      </c>
      <c r="AZ68" s="162">
        <f t="shared" si="6"/>
        <v>4.7702152734165013</v>
      </c>
      <c r="BA68" s="171">
        <f t="shared" si="47"/>
        <v>4.7702152734165013</v>
      </c>
      <c r="BB68" s="162"/>
      <c r="BC68" s="162">
        <f t="shared" si="48"/>
        <v>1.2000000000000006</v>
      </c>
      <c r="BD68" s="162">
        <f t="shared" si="49"/>
        <v>1.2000000000000006</v>
      </c>
      <c r="BE68" s="162">
        <f t="shared" si="7"/>
        <v>4.7702152734165013</v>
      </c>
      <c r="BF68" s="171">
        <f t="shared" si="50"/>
        <v>4.7702152734165013</v>
      </c>
      <c r="BG68" s="162"/>
      <c r="BH68" s="162">
        <f t="shared" si="51"/>
        <v>1.2000000000000006</v>
      </c>
      <c r="BI68" s="170">
        <f t="shared" si="52"/>
        <v>1.2000000000000006</v>
      </c>
      <c r="BJ68" s="162">
        <f t="shared" si="8"/>
        <v>4.7702152734165013</v>
      </c>
      <c r="BK68" s="171">
        <f t="shared" si="53"/>
        <v>4.7702152734165013</v>
      </c>
      <c r="BL68" s="162"/>
      <c r="BM68" s="162">
        <f t="shared" si="54"/>
        <v>1.2000000000000006</v>
      </c>
      <c r="BN68" s="170">
        <f t="shared" si="55"/>
        <v>1.2000000000000006</v>
      </c>
      <c r="BO68" s="162">
        <f t="shared" si="9"/>
        <v>4.7702152734165013</v>
      </c>
      <c r="BP68" s="171">
        <f t="shared" si="56"/>
        <v>4.7702152734165013</v>
      </c>
      <c r="BQ68" s="162"/>
      <c r="BR68" s="162">
        <f t="shared" si="57"/>
        <v>1.2000000000000006</v>
      </c>
      <c r="BS68" s="162">
        <f t="shared" si="58"/>
        <v>1.2000000000000006</v>
      </c>
      <c r="BT68" s="162">
        <f t="shared" si="10"/>
        <v>4.7702152734165013</v>
      </c>
      <c r="BU68" s="171">
        <f t="shared" si="59"/>
        <v>4.7702152734165013</v>
      </c>
      <c r="BV68" s="162"/>
      <c r="BW68" s="162">
        <f t="shared" si="60"/>
        <v>1.2000000000000006</v>
      </c>
      <c r="BX68" s="170">
        <f t="shared" si="61"/>
        <v>1.2000000000000006</v>
      </c>
      <c r="BY68" s="162">
        <f t="shared" si="11"/>
        <v>4.7702152734165013</v>
      </c>
      <c r="BZ68" s="171">
        <f t="shared" si="62"/>
        <v>4.7702152734165013</v>
      </c>
      <c r="CA68" s="162"/>
      <c r="CB68" s="162">
        <f t="shared" si="63"/>
        <v>1.2000000000000006</v>
      </c>
      <c r="CC68" s="170">
        <f t="shared" si="64"/>
        <v>1.2000000000000006</v>
      </c>
      <c r="CD68" s="162">
        <f t="shared" si="12"/>
        <v>4.7702152734165013</v>
      </c>
      <c r="CE68" s="171">
        <f t="shared" si="65"/>
        <v>4.7702152734165013</v>
      </c>
      <c r="CF68" s="162"/>
      <c r="CG68" s="172">
        <f t="shared" si="66"/>
        <v>1.2000000000000006</v>
      </c>
      <c r="CH68" s="172">
        <f t="shared" si="67"/>
        <v>1.2000000000000006</v>
      </c>
      <c r="CI68" s="172">
        <f t="shared" si="13"/>
        <v>4.7702152734165013</v>
      </c>
      <c r="CJ68" s="171">
        <f t="shared" si="68"/>
        <v>4.7702152734165013</v>
      </c>
      <c r="CK68" s="172"/>
      <c r="CL68" s="162">
        <f t="shared" si="69"/>
        <v>1.2000000000000006</v>
      </c>
      <c r="CM68" s="170">
        <f t="shared" si="70"/>
        <v>1.2000000000000006</v>
      </c>
      <c r="CN68" s="162">
        <f t="shared" si="14"/>
        <v>4.7702152734165013</v>
      </c>
      <c r="CO68" s="171">
        <f t="shared" si="71"/>
        <v>4.7702152734165013</v>
      </c>
      <c r="CP68" s="162"/>
      <c r="CQ68" s="162">
        <f t="shared" si="72"/>
        <v>1.2000000000000006</v>
      </c>
      <c r="CR68" s="170">
        <f t="shared" si="73"/>
        <v>1.2000000000000006</v>
      </c>
      <c r="CS68" s="162">
        <f t="shared" si="15"/>
        <v>4.7702152734165013</v>
      </c>
      <c r="CT68" s="171">
        <f t="shared" si="74"/>
        <v>4.7702152734165013</v>
      </c>
      <c r="CU68" s="162"/>
      <c r="CV68" s="162">
        <f t="shared" si="75"/>
        <v>1.2000000000000006</v>
      </c>
      <c r="CW68" s="162">
        <f t="shared" si="76"/>
        <v>1.2000000000000006</v>
      </c>
      <c r="CX68" s="162">
        <f t="shared" si="16"/>
        <v>4.7702152734165013</v>
      </c>
      <c r="CY68" s="171">
        <f t="shared" si="77"/>
        <v>4.7702152734165013</v>
      </c>
      <c r="CZ68" s="162"/>
      <c r="DA68" s="162">
        <f t="shared" si="78"/>
        <v>1.2000000000000006</v>
      </c>
      <c r="DB68" s="170">
        <f t="shared" si="79"/>
        <v>1.2000000000000006</v>
      </c>
      <c r="DC68" s="162">
        <f t="shared" si="17"/>
        <v>4.7702152734165013</v>
      </c>
      <c r="DD68" s="171">
        <f t="shared" si="80"/>
        <v>4.7702152734165013</v>
      </c>
      <c r="DE68" s="162"/>
      <c r="DF68" s="162">
        <f t="shared" si="81"/>
        <v>1.2000000000000006</v>
      </c>
      <c r="DG68" s="170">
        <f t="shared" si="82"/>
        <v>1.2000000000000006</v>
      </c>
      <c r="DH68" s="162">
        <f t="shared" si="18"/>
        <v>4.7702152734165013</v>
      </c>
      <c r="DI68" s="171">
        <f t="shared" si="83"/>
        <v>4.7702152734165013</v>
      </c>
      <c r="DJ68" s="162"/>
      <c r="DK68" s="162">
        <f t="shared" si="84"/>
        <v>1.2000000000000006</v>
      </c>
      <c r="DL68" s="162">
        <f t="shared" si="85"/>
        <v>1.2000000000000006</v>
      </c>
      <c r="DM68" s="162">
        <f t="shared" si="19"/>
        <v>4.7702152734165013</v>
      </c>
      <c r="DN68" s="171">
        <f t="shared" si="86"/>
        <v>4.7702152734165013</v>
      </c>
      <c r="DO68" s="162"/>
      <c r="DP68" s="162">
        <f t="shared" si="87"/>
        <v>1.2000000000000006</v>
      </c>
      <c r="DQ68" s="170">
        <f t="shared" si="88"/>
        <v>1.2000000000000006</v>
      </c>
      <c r="DR68" s="162">
        <f t="shared" si="20"/>
        <v>4.7702152734165013</v>
      </c>
      <c r="DS68" s="171">
        <f t="shared" si="89"/>
        <v>4.7702152734165013</v>
      </c>
      <c r="DT68" s="162"/>
      <c r="DU68" s="162">
        <f t="shared" si="90"/>
        <v>1.2000000000000006</v>
      </c>
      <c r="DV68" s="170">
        <f t="shared" si="91"/>
        <v>1.2000000000000006</v>
      </c>
      <c r="DW68" s="162">
        <f t="shared" si="21"/>
        <v>4.7702152734165013</v>
      </c>
      <c r="DX68" s="171">
        <f t="shared" si="92"/>
        <v>4.7702152734165013</v>
      </c>
      <c r="DY68" s="162"/>
      <c r="DZ68" s="162">
        <f t="shared" si="93"/>
        <v>1.2000000000000006</v>
      </c>
      <c r="EA68" s="162">
        <f t="shared" si="94"/>
        <v>1.2000000000000006</v>
      </c>
      <c r="EB68" s="162">
        <f t="shared" si="22"/>
        <v>4.7702152734165013</v>
      </c>
      <c r="EC68" s="171">
        <f t="shared" si="95"/>
        <v>4.7702152734165013</v>
      </c>
      <c r="ED68" s="162"/>
      <c r="EE68" s="162">
        <f t="shared" si="96"/>
        <v>1.2000000000000006</v>
      </c>
      <c r="EF68" s="170">
        <f t="shared" si="97"/>
        <v>1.2000000000000006</v>
      </c>
      <c r="EG68" s="162">
        <f t="shared" si="23"/>
        <v>4.7702152734165013</v>
      </c>
      <c r="EH68" s="171">
        <f t="shared" si="98"/>
        <v>4.7702152734165013</v>
      </c>
      <c r="EI68" s="162"/>
      <c r="EJ68" s="162">
        <f t="shared" si="99"/>
        <v>1.2000000000000006</v>
      </c>
      <c r="EK68" s="170">
        <f t="shared" si="100"/>
        <v>1.2000000000000006</v>
      </c>
      <c r="EL68" s="162">
        <f t="shared" si="24"/>
        <v>4.7702152734165013</v>
      </c>
      <c r="EM68" s="171">
        <f t="shared" si="101"/>
        <v>4.7702152734165013</v>
      </c>
      <c r="EN68" s="162"/>
      <c r="EO68" s="162">
        <f t="shared" si="102"/>
        <v>1.2000000000000006</v>
      </c>
      <c r="EP68" s="162">
        <f t="shared" si="103"/>
        <v>1.2000000000000006</v>
      </c>
      <c r="EQ68" s="162">
        <f t="shared" si="25"/>
        <v>4.7702152734165013</v>
      </c>
      <c r="ER68" s="171">
        <f t="shared" si="104"/>
        <v>4.7702152734165013</v>
      </c>
      <c r="ES68" s="162"/>
      <c r="ET68" s="162">
        <f t="shared" si="105"/>
        <v>1.2000000000000006</v>
      </c>
      <c r="EU68" s="170">
        <f t="shared" si="106"/>
        <v>1.2000000000000006</v>
      </c>
      <c r="EV68" s="162">
        <f t="shared" si="26"/>
        <v>4.7702152734165013</v>
      </c>
      <c r="EW68" s="171">
        <f t="shared" si="107"/>
        <v>4.7702152734165013</v>
      </c>
      <c r="EX68" s="162"/>
    </row>
    <row r="69" spans="20:154" s="181" customFormat="1" x14ac:dyDescent="0.25">
      <c r="T69" s="162">
        <f t="shared" si="27"/>
        <v>1.2200000000000006</v>
      </c>
      <c r="U69" s="170">
        <f t="shared" si="28"/>
        <v>1.2200000000000006</v>
      </c>
      <c r="V69" s="162">
        <f t="shared" si="0"/>
        <v>4.7637758897741067</v>
      </c>
      <c r="W69" s="171">
        <f t="shared" si="29"/>
        <v>4.7637758897741067</v>
      </c>
      <c r="X69" s="162"/>
      <c r="Y69" s="162">
        <f t="shared" si="30"/>
        <v>1.2200000000000006</v>
      </c>
      <c r="Z69" s="162">
        <f t="shared" si="31"/>
        <v>1.2200000000000006</v>
      </c>
      <c r="AA69" s="162">
        <f t="shared" si="1"/>
        <v>4.7637758897741067</v>
      </c>
      <c r="AB69" s="171">
        <f t="shared" si="32"/>
        <v>4.7637758897741067</v>
      </c>
      <c r="AC69" s="162"/>
      <c r="AD69" s="162">
        <f t="shared" si="33"/>
        <v>1.2200000000000006</v>
      </c>
      <c r="AE69" s="170">
        <f t="shared" si="34"/>
        <v>1.2200000000000006</v>
      </c>
      <c r="AF69" s="162">
        <f t="shared" si="2"/>
        <v>4.7637758897741067</v>
      </c>
      <c r="AG69" s="171">
        <f t="shared" si="35"/>
        <v>4.7637758897741067</v>
      </c>
      <c r="AH69" s="162"/>
      <c r="AI69" s="162">
        <f t="shared" si="36"/>
        <v>1.2200000000000006</v>
      </c>
      <c r="AJ69" s="170">
        <f t="shared" si="37"/>
        <v>1.2200000000000006</v>
      </c>
      <c r="AK69" s="162">
        <f t="shared" si="3"/>
        <v>4.7637758897741067</v>
      </c>
      <c r="AL69" s="171">
        <f t="shared" si="38"/>
        <v>4.7637758897741067</v>
      </c>
      <c r="AM69" s="162"/>
      <c r="AN69" s="162">
        <f t="shared" si="39"/>
        <v>1.2200000000000006</v>
      </c>
      <c r="AO69" s="162">
        <f t="shared" si="40"/>
        <v>1.2200000000000006</v>
      </c>
      <c r="AP69" s="162">
        <f t="shared" si="4"/>
        <v>4.7637758897741067</v>
      </c>
      <c r="AQ69" s="171">
        <f t="shared" si="41"/>
        <v>4.7637758897741067</v>
      </c>
      <c r="AR69" s="162"/>
      <c r="AS69" s="162">
        <f t="shared" si="42"/>
        <v>1.2200000000000006</v>
      </c>
      <c r="AT69" s="170">
        <f t="shared" si="43"/>
        <v>1.2200000000000006</v>
      </c>
      <c r="AU69" s="162">
        <f t="shared" si="5"/>
        <v>4.7637758897741067</v>
      </c>
      <c r="AV69" s="171">
        <f t="shared" si="44"/>
        <v>4.7637758897741067</v>
      </c>
      <c r="AW69" s="162"/>
      <c r="AX69" s="162">
        <f t="shared" si="45"/>
        <v>1.2200000000000006</v>
      </c>
      <c r="AY69" s="170">
        <f t="shared" si="46"/>
        <v>1.2200000000000006</v>
      </c>
      <c r="AZ69" s="162">
        <f t="shared" si="6"/>
        <v>4.7637758897741067</v>
      </c>
      <c r="BA69" s="171">
        <f t="shared" si="47"/>
        <v>4.7637758897741067</v>
      </c>
      <c r="BB69" s="162"/>
      <c r="BC69" s="162">
        <f t="shared" si="48"/>
        <v>1.2200000000000006</v>
      </c>
      <c r="BD69" s="162">
        <f t="shared" si="49"/>
        <v>1.2200000000000006</v>
      </c>
      <c r="BE69" s="162">
        <f t="shared" si="7"/>
        <v>4.7637758897741067</v>
      </c>
      <c r="BF69" s="171">
        <f t="shared" si="50"/>
        <v>4.7637758897741067</v>
      </c>
      <c r="BG69" s="162"/>
      <c r="BH69" s="162">
        <f t="shared" si="51"/>
        <v>1.2200000000000006</v>
      </c>
      <c r="BI69" s="170">
        <f t="shared" si="52"/>
        <v>1.2200000000000006</v>
      </c>
      <c r="BJ69" s="162">
        <f t="shared" si="8"/>
        <v>4.7637758897741067</v>
      </c>
      <c r="BK69" s="171">
        <f t="shared" si="53"/>
        <v>4.7637758897741067</v>
      </c>
      <c r="BL69" s="162"/>
      <c r="BM69" s="162">
        <f t="shared" si="54"/>
        <v>1.2200000000000006</v>
      </c>
      <c r="BN69" s="170">
        <f t="shared" si="55"/>
        <v>1.2200000000000006</v>
      </c>
      <c r="BO69" s="162">
        <f t="shared" si="9"/>
        <v>4.7637758897741067</v>
      </c>
      <c r="BP69" s="171">
        <f t="shared" si="56"/>
        <v>4.7637758897741067</v>
      </c>
      <c r="BQ69" s="162"/>
      <c r="BR69" s="162">
        <f t="shared" si="57"/>
        <v>1.2200000000000006</v>
      </c>
      <c r="BS69" s="162">
        <f t="shared" si="58"/>
        <v>1.2200000000000006</v>
      </c>
      <c r="BT69" s="162">
        <f t="shared" si="10"/>
        <v>4.7637758897741067</v>
      </c>
      <c r="BU69" s="171">
        <f t="shared" si="59"/>
        <v>4.7637758897741067</v>
      </c>
      <c r="BV69" s="162"/>
      <c r="BW69" s="162">
        <f t="shared" si="60"/>
        <v>1.2200000000000006</v>
      </c>
      <c r="BX69" s="170">
        <f t="shared" si="61"/>
        <v>1.2200000000000006</v>
      </c>
      <c r="BY69" s="162">
        <f t="shared" si="11"/>
        <v>4.7637758897741067</v>
      </c>
      <c r="BZ69" s="171">
        <f t="shared" si="62"/>
        <v>4.7637758897741067</v>
      </c>
      <c r="CA69" s="162"/>
      <c r="CB69" s="162">
        <f t="shared" si="63"/>
        <v>1.2200000000000006</v>
      </c>
      <c r="CC69" s="170">
        <f t="shared" si="64"/>
        <v>1.2200000000000006</v>
      </c>
      <c r="CD69" s="162">
        <f t="shared" si="12"/>
        <v>4.7637758897741067</v>
      </c>
      <c r="CE69" s="171">
        <f t="shared" si="65"/>
        <v>4.7637758897741067</v>
      </c>
      <c r="CF69" s="162"/>
      <c r="CG69" s="172">
        <f t="shared" si="66"/>
        <v>1.2200000000000006</v>
      </c>
      <c r="CH69" s="172">
        <f t="shared" si="67"/>
        <v>1.2200000000000006</v>
      </c>
      <c r="CI69" s="172">
        <f t="shared" si="13"/>
        <v>4.7637758897741067</v>
      </c>
      <c r="CJ69" s="171">
        <f t="shared" si="68"/>
        <v>4.7637758897741067</v>
      </c>
      <c r="CK69" s="172"/>
      <c r="CL69" s="162">
        <f t="shared" si="69"/>
        <v>1.2200000000000006</v>
      </c>
      <c r="CM69" s="170">
        <f t="shared" si="70"/>
        <v>1.2200000000000006</v>
      </c>
      <c r="CN69" s="162">
        <f t="shared" si="14"/>
        <v>4.7637758897741067</v>
      </c>
      <c r="CO69" s="171">
        <f t="shared" si="71"/>
        <v>4.7637758897741067</v>
      </c>
      <c r="CP69" s="162"/>
      <c r="CQ69" s="162">
        <f t="shared" si="72"/>
        <v>1.2200000000000006</v>
      </c>
      <c r="CR69" s="170">
        <f t="shared" si="73"/>
        <v>1.2200000000000006</v>
      </c>
      <c r="CS69" s="162">
        <f t="shared" si="15"/>
        <v>4.7637758897741067</v>
      </c>
      <c r="CT69" s="171">
        <f t="shared" si="74"/>
        <v>4.7637758897741067</v>
      </c>
      <c r="CU69" s="162"/>
      <c r="CV69" s="162">
        <f t="shared" si="75"/>
        <v>1.2200000000000006</v>
      </c>
      <c r="CW69" s="162">
        <f t="shared" si="76"/>
        <v>1.2200000000000006</v>
      </c>
      <c r="CX69" s="162">
        <f t="shared" si="16"/>
        <v>4.7637758897741067</v>
      </c>
      <c r="CY69" s="171">
        <f t="shared" si="77"/>
        <v>4.7637758897741067</v>
      </c>
      <c r="CZ69" s="162"/>
      <c r="DA69" s="162">
        <f t="shared" si="78"/>
        <v>1.2200000000000006</v>
      </c>
      <c r="DB69" s="170">
        <f t="shared" si="79"/>
        <v>1.2200000000000006</v>
      </c>
      <c r="DC69" s="162">
        <f t="shared" si="17"/>
        <v>4.7637758897741067</v>
      </c>
      <c r="DD69" s="171">
        <f t="shared" si="80"/>
        <v>4.7637758897741067</v>
      </c>
      <c r="DE69" s="162"/>
      <c r="DF69" s="162">
        <f t="shared" si="81"/>
        <v>1.2200000000000006</v>
      </c>
      <c r="DG69" s="170">
        <f t="shared" si="82"/>
        <v>1.2200000000000006</v>
      </c>
      <c r="DH69" s="162">
        <f t="shared" si="18"/>
        <v>4.7637758897741067</v>
      </c>
      <c r="DI69" s="171">
        <f t="shared" si="83"/>
        <v>4.7637758897741067</v>
      </c>
      <c r="DJ69" s="162"/>
      <c r="DK69" s="162">
        <f t="shared" si="84"/>
        <v>1.2200000000000006</v>
      </c>
      <c r="DL69" s="162">
        <f t="shared" si="85"/>
        <v>1.2200000000000006</v>
      </c>
      <c r="DM69" s="162">
        <f t="shared" si="19"/>
        <v>4.7637758897741067</v>
      </c>
      <c r="DN69" s="171">
        <f t="shared" si="86"/>
        <v>4.7637758897741067</v>
      </c>
      <c r="DO69" s="162"/>
      <c r="DP69" s="162">
        <f t="shared" si="87"/>
        <v>1.2200000000000006</v>
      </c>
      <c r="DQ69" s="170">
        <f t="shared" si="88"/>
        <v>1.2200000000000006</v>
      </c>
      <c r="DR69" s="162">
        <f t="shared" si="20"/>
        <v>4.7637758897741067</v>
      </c>
      <c r="DS69" s="171">
        <f t="shared" si="89"/>
        <v>4.7637758897741067</v>
      </c>
      <c r="DT69" s="162"/>
      <c r="DU69" s="162">
        <f t="shared" si="90"/>
        <v>1.2200000000000006</v>
      </c>
      <c r="DV69" s="170">
        <f t="shared" si="91"/>
        <v>1.2200000000000006</v>
      </c>
      <c r="DW69" s="162">
        <f t="shared" si="21"/>
        <v>4.7637758897741067</v>
      </c>
      <c r="DX69" s="171">
        <f t="shared" si="92"/>
        <v>4.7637758897741067</v>
      </c>
      <c r="DY69" s="162"/>
      <c r="DZ69" s="162">
        <f t="shared" si="93"/>
        <v>1.2200000000000006</v>
      </c>
      <c r="EA69" s="162">
        <f t="shared" si="94"/>
        <v>1.2200000000000006</v>
      </c>
      <c r="EB69" s="162">
        <f t="shared" si="22"/>
        <v>4.7637758897741067</v>
      </c>
      <c r="EC69" s="171">
        <f t="shared" si="95"/>
        <v>4.7637758897741067</v>
      </c>
      <c r="ED69" s="162"/>
      <c r="EE69" s="162">
        <f t="shared" si="96"/>
        <v>1.2200000000000006</v>
      </c>
      <c r="EF69" s="170">
        <f t="shared" si="97"/>
        <v>1.2200000000000006</v>
      </c>
      <c r="EG69" s="162">
        <f t="shared" si="23"/>
        <v>4.7637758897741067</v>
      </c>
      <c r="EH69" s="171">
        <f t="shared" si="98"/>
        <v>4.7637758897741067</v>
      </c>
      <c r="EI69" s="162"/>
      <c r="EJ69" s="162">
        <f t="shared" si="99"/>
        <v>1.2200000000000006</v>
      </c>
      <c r="EK69" s="170">
        <f t="shared" si="100"/>
        <v>1.2200000000000006</v>
      </c>
      <c r="EL69" s="162">
        <f t="shared" si="24"/>
        <v>4.7637758897741067</v>
      </c>
      <c r="EM69" s="171">
        <f t="shared" si="101"/>
        <v>4.7637758897741067</v>
      </c>
      <c r="EN69" s="162"/>
      <c r="EO69" s="162">
        <f t="shared" si="102"/>
        <v>1.2200000000000006</v>
      </c>
      <c r="EP69" s="162">
        <f t="shared" si="103"/>
        <v>1.2200000000000006</v>
      </c>
      <c r="EQ69" s="162">
        <f t="shared" si="25"/>
        <v>4.7637758897741067</v>
      </c>
      <c r="ER69" s="171">
        <f t="shared" si="104"/>
        <v>4.7637758897741067</v>
      </c>
      <c r="ES69" s="162"/>
      <c r="ET69" s="162">
        <f t="shared" si="105"/>
        <v>1.2200000000000006</v>
      </c>
      <c r="EU69" s="170">
        <f t="shared" si="106"/>
        <v>1.2200000000000006</v>
      </c>
      <c r="EV69" s="162">
        <f t="shared" si="26"/>
        <v>4.7637758897741067</v>
      </c>
      <c r="EW69" s="171">
        <f t="shared" si="107"/>
        <v>4.7637758897741067</v>
      </c>
      <c r="EX69" s="162"/>
    </row>
    <row r="70" spans="20:154" s="181" customFormat="1" x14ac:dyDescent="0.25">
      <c r="T70" s="162">
        <f t="shared" si="27"/>
        <v>1.2400000000000007</v>
      </c>
      <c r="U70" s="170">
        <f t="shared" si="28"/>
        <v>1.2400000000000007</v>
      </c>
      <c r="V70" s="162">
        <f t="shared" si="0"/>
        <v>4.7546279934038642</v>
      </c>
      <c r="W70" s="171">
        <f t="shared" si="29"/>
        <v>4.7546279934038642</v>
      </c>
      <c r="X70" s="162"/>
      <c r="Y70" s="162">
        <f t="shared" si="30"/>
        <v>1.2400000000000007</v>
      </c>
      <c r="Z70" s="162">
        <f t="shared" si="31"/>
        <v>1.2400000000000007</v>
      </c>
      <c r="AA70" s="162">
        <f t="shared" si="1"/>
        <v>4.7546279934038642</v>
      </c>
      <c r="AB70" s="171">
        <f t="shared" si="32"/>
        <v>4.7546279934038642</v>
      </c>
      <c r="AC70" s="162"/>
      <c r="AD70" s="162">
        <f t="shared" si="33"/>
        <v>1.2400000000000007</v>
      </c>
      <c r="AE70" s="170">
        <f t="shared" si="34"/>
        <v>1.2400000000000007</v>
      </c>
      <c r="AF70" s="162">
        <f t="shared" si="2"/>
        <v>4.7546279934038642</v>
      </c>
      <c r="AG70" s="171">
        <f t="shared" si="35"/>
        <v>4.7546279934038642</v>
      </c>
      <c r="AH70" s="162"/>
      <c r="AI70" s="162">
        <f t="shared" si="36"/>
        <v>1.2400000000000007</v>
      </c>
      <c r="AJ70" s="170">
        <f t="shared" si="37"/>
        <v>1.2400000000000007</v>
      </c>
      <c r="AK70" s="162">
        <f t="shared" si="3"/>
        <v>4.7546279934038642</v>
      </c>
      <c r="AL70" s="171">
        <f t="shared" si="38"/>
        <v>4.7546279934038642</v>
      </c>
      <c r="AM70" s="162"/>
      <c r="AN70" s="162">
        <f t="shared" si="39"/>
        <v>1.2400000000000007</v>
      </c>
      <c r="AO70" s="162">
        <f t="shared" si="40"/>
        <v>1.2400000000000007</v>
      </c>
      <c r="AP70" s="162">
        <f t="shared" si="4"/>
        <v>4.7546279934038642</v>
      </c>
      <c r="AQ70" s="171">
        <f t="shared" si="41"/>
        <v>4.7546279934038642</v>
      </c>
      <c r="AR70" s="162"/>
      <c r="AS70" s="162">
        <f t="shared" si="42"/>
        <v>1.2400000000000007</v>
      </c>
      <c r="AT70" s="170">
        <f t="shared" si="43"/>
        <v>1.2400000000000007</v>
      </c>
      <c r="AU70" s="162">
        <f t="shared" si="5"/>
        <v>4.7546279934038642</v>
      </c>
      <c r="AV70" s="171">
        <f t="shared" si="44"/>
        <v>4.7546279934038642</v>
      </c>
      <c r="AW70" s="162"/>
      <c r="AX70" s="162">
        <f t="shared" si="45"/>
        <v>1.2400000000000007</v>
      </c>
      <c r="AY70" s="170">
        <f t="shared" si="46"/>
        <v>1.2400000000000007</v>
      </c>
      <c r="AZ70" s="162">
        <f t="shared" si="6"/>
        <v>4.7546279934038642</v>
      </c>
      <c r="BA70" s="171">
        <f t="shared" si="47"/>
        <v>4.7546279934038642</v>
      </c>
      <c r="BB70" s="162"/>
      <c r="BC70" s="162">
        <f t="shared" si="48"/>
        <v>1.2400000000000007</v>
      </c>
      <c r="BD70" s="162">
        <f t="shared" si="49"/>
        <v>1.2400000000000007</v>
      </c>
      <c r="BE70" s="162">
        <f t="shared" si="7"/>
        <v>4.7546279934038642</v>
      </c>
      <c r="BF70" s="171">
        <f t="shared" si="50"/>
        <v>4.7546279934038642</v>
      </c>
      <c r="BG70" s="162"/>
      <c r="BH70" s="162">
        <f t="shared" si="51"/>
        <v>1.2400000000000007</v>
      </c>
      <c r="BI70" s="170">
        <f t="shared" si="52"/>
        <v>1.2400000000000007</v>
      </c>
      <c r="BJ70" s="162">
        <f t="shared" si="8"/>
        <v>4.7546279934038642</v>
      </c>
      <c r="BK70" s="171">
        <f t="shared" si="53"/>
        <v>4.7546279934038642</v>
      </c>
      <c r="BL70" s="162"/>
      <c r="BM70" s="162">
        <f t="shared" si="54"/>
        <v>1.2400000000000007</v>
      </c>
      <c r="BN70" s="170">
        <f t="shared" si="55"/>
        <v>1.2400000000000007</v>
      </c>
      <c r="BO70" s="162">
        <f t="shared" si="9"/>
        <v>4.7546279934038642</v>
      </c>
      <c r="BP70" s="171">
        <f t="shared" si="56"/>
        <v>4.7546279934038642</v>
      </c>
      <c r="BQ70" s="162"/>
      <c r="BR70" s="162">
        <f t="shared" si="57"/>
        <v>1.2400000000000007</v>
      </c>
      <c r="BS70" s="162">
        <f t="shared" si="58"/>
        <v>1.2400000000000007</v>
      </c>
      <c r="BT70" s="162">
        <f t="shared" si="10"/>
        <v>4.7546279934038642</v>
      </c>
      <c r="BU70" s="171">
        <f t="shared" si="59"/>
        <v>4.7546279934038642</v>
      </c>
      <c r="BV70" s="162"/>
      <c r="BW70" s="162">
        <f t="shared" si="60"/>
        <v>1.2400000000000007</v>
      </c>
      <c r="BX70" s="170">
        <f t="shared" si="61"/>
        <v>1.2400000000000007</v>
      </c>
      <c r="BY70" s="162">
        <f t="shared" si="11"/>
        <v>4.7546279934038642</v>
      </c>
      <c r="BZ70" s="171">
        <f t="shared" si="62"/>
        <v>4.7546279934038642</v>
      </c>
      <c r="CA70" s="162"/>
      <c r="CB70" s="162">
        <f t="shared" si="63"/>
        <v>1.2400000000000007</v>
      </c>
      <c r="CC70" s="170">
        <f t="shared" si="64"/>
        <v>1.2400000000000007</v>
      </c>
      <c r="CD70" s="162">
        <f t="shared" si="12"/>
        <v>4.7546279934038642</v>
      </c>
      <c r="CE70" s="171">
        <f t="shared" si="65"/>
        <v>4.7546279934038642</v>
      </c>
      <c r="CF70" s="162"/>
      <c r="CG70" s="172">
        <f t="shared" si="66"/>
        <v>1.2400000000000007</v>
      </c>
      <c r="CH70" s="172">
        <f t="shared" si="67"/>
        <v>1.2400000000000007</v>
      </c>
      <c r="CI70" s="172">
        <f t="shared" si="13"/>
        <v>4.7546279934038642</v>
      </c>
      <c r="CJ70" s="171">
        <f t="shared" si="68"/>
        <v>4.7546279934038642</v>
      </c>
      <c r="CK70" s="172"/>
      <c r="CL70" s="162">
        <f t="shared" si="69"/>
        <v>1.2400000000000007</v>
      </c>
      <c r="CM70" s="170">
        <f t="shared" si="70"/>
        <v>1.2400000000000007</v>
      </c>
      <c r="CN70" s="162">
        <f t="shared" si="14"/>
        <v>4.7546279934038642</v>
      </c>
      <c r="CO70" s="171">
        <f t="shared" si="71"/>
        <v>4.7546279934038642</v>
      </c>
      <c r="CP70" s="162"/>
      <c r="CQ70" s="162">
        <f t="shared" si="72"/>
        <v>1.2400000000000007</v>
      </c>
      <c r="CR70" s="170">
        <f t="shared" si="73"/>
        <v>1.2400000000000007</v>
      </c>
      <c r="CS70" s="162">
        <f t="shared" si="15"/>
        <v>4.7546279934038642</v>
      </c>
      <c r="CT70" s="171">
        <f t="shared" si="74"/>
        <v>4.7546279934038642</v>
      </c>
      <c r="CU70" s="162"/>
      <c r="CV70" s="162">
        <f t="shared" si="75"/>
        <v>1.2400000000000007</v>
      </c>
      <c r="CW70" s="162">
        <f t="shared" si="76"/>
        <v>1.2400000000000007</v>
      </c>
      <c r="CX70" s="162">
        <f t="shared" si="16"/>
        <v>4.7546279934038642</v>
      </c>
      <c r="CY70" s="171">
        <f t="shared" si="77"/>
        <v>4.7546279934038642</v>
      </c>
      <c r="CZ70" s="162"/>
      <c r="DA70" s="162">
        <f t="shared" si="78"/>
        <v>1.2400000000000007</v>
      </c>
      <c r="DB70" s="170">
        <f t="shared" si="79"/>
        <v>1.2400000000000007</v>
      </c>
      <c r="DC70" s="162">
        <f t="shared" si="17"/>
        <v>4.7546279934038642</v>
      </c>
      <c r="DD70" s="171">
        <f t="shared" si="80"/>
        <v>4.7546279934038642</v>
      </c>
      <c r="DE70" s="162"/>
      <c r="DF70" s="162">
        <f t="shared" si="81"/>
        <v>1.2400000000000007</v>
      </c>
      <c r="DG70" s="170">
        <f t="shared" si="82"/>
        <v>1.2400000000000007</v>
      </c>
      <c r="DH70" s="162">
        <f t="shared" si="18"/>
        <v>4.7546279934038642</v>
      </c>
      <c r="DI70" s="171">
        <f t="shared" si="83"/>
        <v>4.7546279934038642</v>
      </c>
      <c r="DJ70" s="162"/>
      <c r="DK70" s="162">
        <f t="shared" si="84"/>
        <v>1.2400000000000007</v>
      </c>
      <c r="DL70" s="162">
        <f t="shared" si="85"/>
        <v>1.2400000000000007</v>
      </c>
      <c r="DM70" s="162">
        <f t="shared" si="19"/>
        <v>4.7546279934038642</v>
      </c>
      <c r="DN70" s="171">
        <f t="shared" si="86"/>
        <v>4.7546279934038642</v>
      </c>
      <c r="DO70" s="162"/>
      <c r="DP70" s="162">
        <f t="shared" si="87"/>
        <v>1.2400000000000007</v>
      </c>
      <c r="DQ70" s="170">
        <f t="shared" si="88"/>
        <v>1.2400000000000007</v>
      </c>
      <c r="DR70" s="162">
        <f t="shared" si="20"/>
        <v>4.7546279934038642</v>
      </c>
      <c r="DS70" s="171">
        <f t="shared" si="89"/>
        <v>4.7546279934038642</v>
      </c>
      <c r="DT70" s="162"/>
      <c r="DU70" s="162">
        <f t="shared" si="90"/>
        <v>1.2400000000000007</v>
      </c>
      <c r="DV70" s="170">
        <f t="shared" si="91"/>
        <v>1.2400000000000007</v>
      </c>
      <c r="DW70" s="162">
        <f t="shared" si="21"/>
        <v>4.7546279934038642</v>
      </c>
      <c r="DX70" s="171">
        <f t="shared" si="92"/>
        <v>4.7546279934038642</v>
      </c>
      <c r="DY70" s="162"/>
      <c r="DZ70" s="162">
        <f t="shared" si="93"/>
        <v>1.2400000000000007</v>
      </c>
      <c r="EA70" s="162">
        <f t="shared" si="94"/>
        <v>1.2400000000000007</v>
      </c>
      <c r="EB70" s="162">
        <f t="shared" si="22"/>
        <v>4.7546279934038642</v>
      </c>
      <c r="EC70" s="171">
        <f t="shared" si="95"/>
        <v>4.7546279934038642</v>
      </c>
      <c r="ED70" s="162"/>
      <c r="EE70" s="162">
        <f t="shared" si="96"/>
        <v>1.2400000000000007</v>
      </c>
      <c r="EF70" s="170">
        <f t="shared" si="97"/>
        <v>1.2400000000000007</v>
      </c>
      <c r="EG70" s="162">
        <f t="shared" si="23"/>
        <v>4.7546279934038642</v>
      </c>
      <c r="EH70" s="171">
        <f t="shared" si="98"/>
        <v>4.7546279934038642</v>
      </c>
      <c r="EI70" s="162"/>
      <c r="EJ70" s="162">
        <f t="shared" si="99"/>
        <v>1.2400000000000007</v>
      </c>
      <c r="EK70" s="170">
        <f t="shared" si="100"/>
        <v>1.2400000000000007</v>
      </c>
      <c r="EL70" s="162">
        <f t="shared" si="24"/>
        <v>4.7546279934038642</v>
      </c>
      <c r="EM70" s="171">
        <f t="shared" si="101"/>
        <v>4.7546279934038642</v>
      </c>
      <c r="EN70" s="162"/>
      <c r="EO70" s="162">
        <f t="shared" si="102"/>
        <v>1.2400000000000007</v>
      </c>
      <c r="EP70" s="162">
        <f t="shared" si="103"/>
        <v>1.2400000000000007</v>
      </c>
      <c r="EQ70" s="162">
        <f t="shared" si="25"/>
        <v>4.7546279934038642</v>
      </c>
      <c r="ER70" s="171">
        <f t="shared" si="104"/>
        <v>4.7546279934038642</v>
      </c>
      <c r="ES70" s="162"/>
      <c r="ET70" s="162">
        <f t="shared" si="105"/>
        <v>1.2400000000000007</v>
      </c>
      <c r="EU70" s="170">
        <f t="shared" si="106"/>
        <v>1.2400000000000007</v>
      </c>
      <c r="EV70" s="162">
        <f t="shared" si="26"/>
        <v>4.7546279934038642</v>
      </c>
      <c r="EW70" s="171">
        <f t="shared" si="107"/>
        <v>4.7546279934038642</v>
      </c>
      <c r="EX70" s="162"/>
    </row>
    <row r="71" spans="20:154" s="181" customFormat="1" x14ac:dyDescent="0.25">
      <c r="T71" s="162">
        <f t="shared" si="27"/>
        <v>1.2600000000000007</v>
      </c>
      <c r="U71" s="170">
        <f t="shared" si="28"/>
        <v>1.2600000000000007</v>
      </c>
      <c r="V71" s="162">
        <f t="shared" si="0"/>
        <v>4.7427715843057765</v>
      </c>
      <c r="W71" s="171">
        <f t="shared" si="29"/>
        <v>4.7427715843057765</v>
      </c>
      <c r="X71" s="162"/>
      <c r="Y71" s="162">
        <f t="shared" si="30"/>
        <v>1.2600000000000007</v>
      </c>
      <c r="Z71" s="162">
        <f t="shared" si="31"/>
        <v>1.2600000000000007</v>
      </c>
      <c r="AA71" s="162">
        <f t="shared" si="1"/>
        <v>4.7427715843057765</v>
      </c>
      <c r="AB71" s="171">
        <f t="shared" si="32"/>
        <v>4.7427715843057765</v>
      </c>
      <c r="AC71" s="162"/>
      <c r="AD71" s="162">
        <f t="shared" si="33"/>
        <v>1.2600000000000007</v>
      </c>
      <c r="AE71" s="170">
        <f t="shared" si="34"/>
        <v>1.2600000000000007</v>
      </c>
      <c r="AF71" s="162">
        <f t="shared" si="2"/>
        <v>4.7427715843057765</v>
      </c>
      <c r="AG71" s="171">
        <f t="shared" si="35"/>
        <v>4.7427715843057765</v>
      </c>
      <c r="AH71" s="162"/>
      <c r="AI71" s="162">
        <f t="shared" si="36"/>
        <v>1.2600000000000007</v>
      </c>
      <c r="AJ71" s="170">
        <f t="shared" si="37"/>
        <v>1.2600000000000007</v>
      </c>
      <c r="AK71" s="162">
        <f t="shared" si="3"/>
        <v>4.7427715843057765</v>
      </c>
      <c r="AL71" s="171">
        <f t="shared" si="38"/>
        <v>4.7427715843057765</v>
      </c>
      <c r="AM71" s="162"/>
      <c r="AN71" s="162">
        <f t="shared" si="39"/>
        <v>1.2600000000000007</v>
      </c>
      <c r="AO71" s="162">
        <f t="shared" si="40"/>
        <v>1.2600000000000007</v>
      </c>
      <c r="AP71" s="162">
        <f t="shared" si="4"/>
        <v>4.7427715843057765</v>
      </c>
      <c r="AQ71" s="171">
        <f t="shared" si="41"/>
        <v>4.7427715843057765</v>
      </c>
      <c r="AR71" s="162"/>
      <c r="AS71" s="162">
        <f t="shared" si="42"/>
        <v>1.2600000000000007</v>
      </c>
      <c r="AT71" s="170">
        <f t="shared" si="43"/>
        <v>1.2600000000000007</v>
      </c>
      <c r="AU71" s="162">
        <f t="shared" si="5"/>
        <v>4.7427715843057765</v>
      </c>
      <c r="AV71" s="171">
        <f t="shared" si="44"/>
        <v>4.7427715843057765</v>
      </c>
      <c r="AW71" s="162"/>
      <c r="AX71" s="162">
        <f t="shared" si="45"/>
        <v>1.2600000000000007</v>
      </c>
      <c r="AY71" s="170">
        <f t="shared" si="46"/>
        <v>1.2600000000000007</v>
      </c>
      <c r="AZ71" s="162">
        <f t="shared" si="6"/>
        <v>4.7427715843057765</v>
      </c>
      <c r="BA71" s="171">
        <f t="shared" si="47"/>
        <v>4.7427715843057765</v>
      </c>
      <c r="BB71" s="162"/>
      <c r="BC71" s="162">
        <f t="shared" si="48"/>
        <v>1.2600000000000007</v>
      </c>
      <c r="BD71" s="162">
        <f t="shared" si="49"/>
        <v>1.2600000000000007</v>
      </c>
      <c r="BE71" s="162">
        <f t="shared" si="7"/>
        <v>4.7427715843057765</v>
      </c>
      <c r="BF71" s="171">
        <f t="shared" si="50"/>
        <v>4.7427715843057765</v>
      </c>
      <c r="BG71" s="162"/>
      <c r="BH71" s="162">
        <f t="shared" si="51"/>
        <v>1.2600000000000007</v>
      </c>
      <c r="BI71" s="170">
        <f t="shared" si="52"/>
        <v>1.2600000000000007</v>
      </c>
      <c r="BJ71" s="162">
        <f t="shared" si="8"/>
        <v>4.7427715843057765</v>
      </c>
      <c r="BK71" s="171">
        <f t="shared" si="53"/>
        <v>4.7427715843057765</v>
      </c>
      <c r="BL71" s="162"/>
      <c r="BM71" s="162">
        <f t="shared" si="54"/>
        <v>1.2600000000000007</v>
      </c>
      <c r="BN71" s="170">
        <f t="shared" si="55"/>
        <v>1.2600000000000007</v>
      </c>
      <c r="BO71" s="162">
        <f t="shared" si="9"/>
        <v>4.7427715843057765</v>
      </c>
      <c r="BP71" s="171">
        <f t="shared" si="56"/>
        <v>4.7427715843057765</v>
      </c>
      <c r="BQ71" s="162"/>
      <c r="BR71" s="162">
        <f t="shared" si="57"/>
        <v>1.2600000000000007</v>
      </c>
      <c r="BS71" s="162">
        <f t="shared" si="58"/>
        <v>1.2600000000000007</v>
      </c>
      <c r="BT71" s="162">
        <f t="shared" si="10"/>
        <v>4.7427715843057765</v>
      </c>
      <c r="BU71" s="171">
        <f t="shared" si="59"/>
        <v>4.7427715843057765</v>
      </c>
      <c r="BV71" s="162"/>
      <c r="BW71" s="162">
        <f t="shared" si="60"/>
        <v>1.2600000000000007</v>
      </c>
      <c r="BX71" s="170">
        <f t="shared" si="61"/>
        <v>1.2600000000000007</v>
      </c>
      <c r="BY71" s="162">
        <f t="shared" si="11"/>
        <v>4.7427715843057765</v>
      </c>
      <c r="BZ71" s="171">
        <f t="shared" si="62"/>
        <v>4.7427715843057765</v>
      </c>
      <c r="CA71" s="162"/>
      <c r="CB71" s="162">
        <f t="shared" si="63"/>
        <v>1.2600000000000007</v>
      </c>
      <c r="CC71" s="170">
        <f t="shared" si="64"/>
        <v>1.2600000000000007</v>
      </c>
      <c r="CD71" s="162">
        <f t="shared" si="12"/>
        <v>4.7427715843057765</v>
      </c>
      <c r="CE71" s="171">
        <f t="shared" si="65"/>
        <v>4.7427715843057765</v>
      </c>
      <c r="CF71" s="162"/>
      <c r="CG71" s="172">
        <f t="shared" si="66"/>
        <v>1.2600000000000007</v>
      </c>
      <c r="CH71" s="172">
        <f t="shared" si="67"/>
        <v>1.2600000000000007</v>
      </c>
      <c r="CI71" s="172">
        <f t="shared" si="13"/>
        <v>4.7427715843057765</v>
      </c>
      <c r="CJ71" s="171">
        <f t="shared" si="68"/>
        <v>4.7427715843057765</v>
      </c>
      <c r="CK71" s="172"/>
      <c r="CL71" s="162">
        <f t="shared" si="69"/>
        <v>1.2600000000000007</v>
      </c>
      <c r="CM71" s="170">
        <f t="shared" si="70"/>
        <v>1.2600000000000007</v>
      </c>
      <c r="CN71" s="162">
        <f t="shared" si="14"/>
        <v>4.7427715843057765</v>
      </c>
      <c r="CO71" s="171">
        <f t="shared" si="71"/>
        <v>4.7427715843057765</v>
      </c>
      <c r="CP71" s="162"/>
      <c r="CQ71" s="162">
        <f t="shared" si="72"/>
        <v>1.2600000000000007</v>
      </c>
      <c r="CR71" s="170">
        <f t="shared" si="73"/>
        <v>1.2600000000000007</v>
      </c>
      <c r="CS71" s="162">
        <f t="shared" si="15"/>
        <v>4.7427715843057765</v>
      </c>
      <c r="CT71" s="171">
        <f t="shared" si="74"/>
        <v>4.7427715843057765</v>
      </c>
      <c r="CU71" s="162"/>
      <c r="CV71" s="162">
        <f t="shared" si="75"/>
        <v>1.2600000000000007</v>
      </c>
      <c r="CW71" s="162">
        <f t="shared" si="76"/>
        <v>1.2600000000000007</v>
      </c>
      <c r="CX71" s="162">
        <f t="shared" si="16"/>
        <v>4.7427715843057765</v>
      </c>
      <c r="CY71" s="171">
        <f t="shared" si="77"/>
        <v>4.7427715843057765</v>
      </c>
      <c r="CZ71" s="162"/>
      <c r="DA71" s="162">
        <f t="shared" si="78"/>
        <v>1.2600000000000007</v>
      </c>
      <c r="DB71" s="170">
        <f t="shared" si="79"/>
        <v>1.2600000000000007</v>
      </c>
      <c r="DC71" s="162">
        <f t="shared" si="17"/>
        <v>4.7427715843057765</v>
      </c>
      <c r="DD71" s="171">
        <f t="shared" si="80"/>
        <v>4.7427715843057765</v>
      </c>
      <c r="DE71" s="162"/>
      <c r="DF71" s="162">
        <f t="shared" si="81"/>
        <v>1.2600000000000007</v>
      </c>
      <c r="DG71" s="170">
        <f t="shared" si="82"/>
        <v>1.2600000000000007</v>
      </c>
      <c r="DH71" s="162">
        <f t="shared" si="18"/>
        <v>4.7427715843057765</v>
      </c>
      <c r="DI71" s="171">
        <f t="shared" si="83"/>
        <v>4.7427715843057765</v>
      </c>
      <c r="DJ71" s="162"/>
      <c r="DK71" s="162">
        <f t="shared" si="84"/>
        <v>1.2600000000000007</v>
      </c>
      <c r="DL71" s="162">
        <f t="shared" si="85"/>
        <v>1.2600000000000007</v>
      </c>
      <c r="DM71" s="162">
        <f t="shared" si="19"/>
        <v>4.7427715843057765</v>
      </c>
      <c r="DN71" s="171">
        <f t="shared" si="86"/>
        <v>4.7427715843057765</v>
      </c>
      <c r="DO71" s="162"/>
      <c r="DP71" s="162">
        <f t="shared" si="87"/>
        <v>1.2600000000000007</v>
      </c>
      <c r="DQ71" s="170">
        <f t="shared" si="88"/>
        <v>1.2600000000000007</v>
      </c>
      <c r="DR71" s="162">
        <f t="shared" si="20"/>
        <v>4.7427715843057765</v>
      </c>
      <c r="DS71" s="171">
        <f t="shared" si="89"/>
        <v>4.7427715843057765</v>
      </c>
      <c r="DT71" s="162"/>
      <c r="DU71" s="162">
        <f t="shared" si="90"/>
        <v>1.2600000000000007</v>
      </c>
      <c r="DV71" s="170">
        <f t="shared" si="91"/>
        <v>1.2600000000000007</v>
      </c>
      <c r="DW71" s="162">
        <f t="shared" si="21"/>
        <v>4.7427715843057765</v>
      </c>
      <c r="DX71" s="171">
        <f t="shared" si="92"/>
        <v>4.7427715843057765</v>
      </c>
      <c r="DY71" s="162"/>
      <c r="DZ71" s="162">
        <f t="shared" si="93"/>
        <v>1.2600000000000007</v>
      </c>
      <c r="EA71" s="162">
        <f t="shared" si="94"/>
        <v>1.2600000000000007</v>
      </c>
      <c r="EB71" s="162">
        <f t="shared" si="22"/>
        <v>4.7427715843057765</v>
      </c>
      <c r="EC71" s="171">
        <f t="shared" si="95"/>
        <v>4.7427715843057765</v>
      </c>
      <c r="ED71" s="162"/>
      <c r="EE71" s="162">
        <f t="shared" si="96"/>
        <v>1.2600000000000007</v>
      </c>
      <c r="EF71" s="170">
        <f t="shared" si="97"/>
        <v>1.2600000000000007</v>
      </c>
      <c r="EG71" s="162">
        <f t="shared" si="23"/>
        <v>4.7427715843057765</v>
      </c>
      <c r="EH71" s="171">
        <f t="shared" si="98"/>
        <v>4.7427715843057765</v>
      </c>
      <c r="EI71" s="162"/>
      <c r="EJ71" s="162">
        <f t="shared" si="99"/>
        <v>1.2600000000000007</v>
      </c>
      <c r="EK71" s="170">
        <f t="shared" si="100"/>
        <v>1.2600000000000007</v>
      </c>
      <c r="EL71" s="162">
        <f t="shared" si="24"/>
        <v>4.7427715843057765</v>
      </c>
      <c r="EM71" s="171">
        <f t="shared" si="101"/>
        <v>4.7427715843057765</v>
      </c>
      <c r="EN71" s="162"/>
      <c r="EO71" s="162">
        <f t="shared" si="102"/>
        <v>1.2600000000000007</v>
      </c>
      <c r="EP71" s="162">
        <f t="shared" si="103"/>
        <v>1.2600000000000007</v>
      </c>
      <c r="EQ71" s="162">
        <f t="shared" si="25"/>
        <v>4.7427715843057765</v>
      </c>
      <c r="ER71" s="171">
        <f t="shared" si="104"/>
        <v>4.7427715843057765</v>
      </c>
      <c r="ES71" s="162"/>
      <c r="ET71" s="162">
        <f t="shared" si="105"/>
        <v>1.2600000000000007</v>
      </c>
      <c r="EU71" s="170">
        <f t="shared" si="106"/>
        <v>1.2600000000000007</v>
      </c>
      <c r="EV71" s="162">
        <f t="shared" si="26"/>
        <v>4.7427715843057765</v>
      </c>
      <c r="EW71" s="171">
        <f t="shared" si="107"/>
        <v>4.7427715843057765</v>
      </c>
      <c r="EX71" s="162"/>
    </row>
    <row r="72" spans="20:154" s="181" customFormat="1" x14ac:dyDescent="0.25">
      <c r="T72" s="162">
        <f t="shared" si="27"/>
        <v>1.2800000000000007</v>
      </c>
      <c r="U72" s="170">
        <f t="shared" si="28"/>
        <v>1.2800000000000007</v>
      </c>
      <c r="V72" s="162">
        <f t="shared" ref="V72:V108" si="108">T72*TAN(RADIANS(X$7))-(IF($B$4, 9.807, 32.174)*T72^2)/(2*W$7^2*COS(RADIANS(X$7))^2)+$D$7</f>
        <v>4.72820666247984</v>
      </c>
      <c r="W72" s="171">
        <f t="shared" si="29"/>
        <v>4.72820666247984</v>
      </c>
      <c r="X72" s="162"/>
      <c r="Y72" s="162">
        <f t="shared" si="30"/>
        <v>1.2800000000000007</v>
      </c>
      <c r="Z72" s="162">
        <f t="shared" si="31"/>
        <v>1.2800000000000007</v>
      </c>
      <c r="AA72" s="162">
        <f t="shared" ref="AA72:AA108" si="109">Y72*TAN(RADIANS(AC$7))-(IF($B$4, 9.807, 32.174)*Y72^2)/(2*AB$7^2*COS(RADIANS(AC$7))^2)+$D$7</f>
        <v>4.72820666247984</v>
      </c>
      <c r="AB72" s="171">
        <f t="shared" si="32"/>
        <v>4.72820666247984</v>
      </c>
      <c r="AC72" s="162"/>
      <c r="AD72" s="162">
        <f t="shared" si="33"/>
        <v>1.2800000000000007</v>
      </c>
      <c r="AE72" s="170">
        <f t="shared" si="34"/>
        <v>1.2800000000000007</v>
      </c>
      <c r="AF72" s="162">
        <f t="shared" ref="AF72:AF108" si="110">AD72*TAN(RADIANS(AH$7))-(IF($B$4, 9.807, 32.174)*AD72^2)/(2*AG$7^2*COS(RADIANS(AH$7))^2)+$D$7</f>
        <v>4.72820666247984</v>
      </c>
      <c r="AG72" s="171">
        <f t="shared" si="35"/>
        <v>4.72820666247984</v>
      </c>
      <c r="AH72" s="162"/>
      <c r="AI72" s="162">
        <f t="shared" si="36"/>
        <v>1.2800000000000007</v>
      </c>
      <c r="AJ72" s="170">
        <f t="shared" si="37"/>
        <v>1.2800000000000007</v>
      </c>
      <c r="AK72" s="162">
        <f t="shared" ref="AK72:AK108" si="111">AI72*TAN(RADIANS(AM$7))-(IF($B$4, 9.807, 32.174)*AI72^2)/(2*AL$7^2*COS(RADIANS(AM$7))^2)+$D$7</f>
        <v>4.72820666247984</v>
      </c>
      <c r="AL72" s="171">
        <f t="shared" si="38"/>
        <v>4.72820666247984</v>
      </c>
      <c r="AM72" s="162"/>
      <c r="AN72" s="162">
        <f t="shared" si="39"/>
        <v>1.2800000000000007</v>
      </c>
      <c r="AO72" s="162">
        <f t="shared" si="40"/>
        <v>1.2800000000000007</v>
      </c>
      <c r="AP72" s="162">
        <f t="shared" ref="AP72:AP108" si="112">AN72*TAN(RADIANS(AR$7))-(IF($B$4, 9.807, 32.174)*AN72^2)/(2*AQ$7^2*COS(RADIANS(AR$7))^2)+$D$7</f>
        <v>4.72820666247984</v>
      </c>
      <c r="AQ72" s="171">
        <f t="shared" si="41"/>
        <v>4.72820666247984</v>
      </c>
      <c r="AR72" s="162"/>
      <c r="AS72" s="162">
        <f t="shared" si="42"/>
        <v>1.2800000000000007</v>
      </c>
      <c r="AT72" s="170">
        <f t="shared" si="43"/>
        <v>1.2800000000000007</v>
      </c>
      <c r="AU72" s="162">
        <f t="shared" ref="AU72:AU108" si="113">AS72*TAN(RADIANS(AW$7))-(IF($B$4, 9.807, 32.174)*AS72^2)/(2*AV$7^2*COS(RADIANS(AW$7))^2)+$D$7</f>
        <v>4.72820666247984</v>
      </c>
      <c r="AV72" s="171">
        <f t="shared" si="44"/>
        <v>4.72820666247984</v>
      </c>
      <c r="AW72" s="162"/>
      <c r="AX72" s="162">
        <f t="shared" si="45"/>
        <v>1.2800000000000007</v>
      </c>
      <c r="AY72" s="170">
        <f t="shared" si="46"/>
        <v>1.2800000000000007</v>
      </c>
      <c r="AZ72" s="162">
        <f t="shared" ref="AZ72:AZ108" si="114">AX72*TAN(RADIANS(BB$7))-(IF($B$4, 9.807, 32.174)*AX72^2)/(2*BA$7^2*COS(RADIANS(BB$7))^2)+$D$7</f>
        <v>4.72820666247984</v>
      </c>
      <c r="BA72" s="171">
        <f t="shared" si="47"/>
        <v>4.72820666247984</v>
      </c>
      <c r="BB72" s="162"/>
      <c r="BC72" s="162">
        <f t="shared" si="48"/>
        <v>1.2800000000000007</v>
      </c>
      <c r="BD72" s="162">
        <f t="shared" si="49"/>
        <v>1.2800000000000007</v>
      </c>
      <c r="BE72" s="162">
        <f t="shared" ref="BE72:BE108" si="115">BC72*TAN(RADIANS(BG$7))-(IF($B$4, 9.807, 32.174)*BC72^2)/(2*BF$7^2*COS(RADIANS(BG$7))^2)+$D$7</f>
        <v>4.72820666247984</v>
      </c>
      <c r="BF72" s="171">
        <f t="shared" si="50"/>
        <v>4.72820666247984</v>
      </c>
      <c r="BG72" s="162"/>
      <c r="BH72" s="162">
        <f t="shared" si="51"/>
        <v>1.2800000000000007</v>
      </c>
      <c r="BI72" s="170">
        <f t="shared" si="52"/>
        <v>1.2800000000000007</v>
      </c>
      <c r="BJ72" s="162">
        <f t="shared" ref="BJ72:BJ108" si="116">BH72*TAN(RADIANS(BL$7))-(IF($B$4, 9.807, 32.174)*BH72^2)/(2*BK$7^2*COS(RADIANS(BL$7))^2)+$D$7</f>
        <v>4.72820666247984</v>
      </c>
      <c r="BK72" s="171">
        <f t="shared" si="53"/>
        <v>4.72820666247984</v>
      </c>
      <c r="BL72" s="162"/>
      <c r="BM72" s="162">
        <f t="shared" si="54"/>
        <v>1.2800000000000007</v>
      </c>
      <c r="BN72" s="170">
        <f t="shared" si="55"/>
        <v>1.2800000000000007</v>
      </c>
      <c r="BO72" s="162">
        <f t="shared" ref="BO72:BO108" si="117">BM72*TAN(RADIANS(BQ$7))-(IF($B$4, 9.807, 32.174)*BM72^2)/(2*BP$7^2*COS(RADIANS(BQ$7))^2)+$D$7</f>
        <v>4.72820666247984</v>
      </c>
      <c r="BP72" s="171">
        <f t="shared" si="56"/>
        <v>4.72820666247984</v>
      </c>
      <c r="BQ72" s="162"/>
      <c r="BR72" s="162">
        <f t="shared" si="57"/>
        <v>1.2800000000000007</v>
      </c>
      <c r="BS72" s="162">
        <f t="shared" si="58"/>
        <v>1.2800000000000007</v>
      </c>
      <c r="BT72" s="162">
        <f t="shared" ref="BT72:BT108" si="118">BR72*TAN(RADIANS(BV$7))-(IF($B$4, 9.807, 32.174)*BR72^2)/(2*BU$7^2*COS(RADIANS(BV$7))^2)+$D$7</f>
        <v>4.72820666247984</v>
      </c>
      <c r="BU72" s="171">
        <f t="shared" si="59"/>
        <v>4.72820666247984</v>
      </c>
      <c r="BV72" s="162"/>
      <c r="BW72" s="162">
        <f t="shared" si="60"/>
        <v>1.2800000000000007</v>
      </c>
      <c r="BX72" s="170">
        <f t="shared" si="61"/>
        <v>1.2800000000000007</v>
      </c>
      <c r="BY72" s="162">
        <f t="shared" ref="BY72:BY108" si="119">BW72*TAN(RADIANS(CA$7))-(IF($B$4, 9.807, 32.174)*BW72^2)/(2*BZ$7^2*COS(RADIANS(CA$7))^2)+$D$7</f>
        <v>4.72820666247984</v>
      </c>
      <c r="BZ72" s="171">
        <f t="shared" si="62"/>
        <v>4.72820666247984</v>
      </c>
      <c r="CA72" s="162"/>
      <c r="CB72" s="162">
        <f t="shared" si="63"/>
        <v>1.2800000000000007</v>
      </c>
      <c r="CC72" s="170">
        <f t="shared" si="64"/>
        <v>1.2800000000000007</v>
      </c>
      <c r="CD72" s="162">
        <f t="shared" ref="CD72:CD108" si="120">CB72*TAN(RADIANS(CF$7))-(IF($B$4, 9.807, 32.174)*CB72^2)/(2*CE$7^2*COS(RADIANS(CF$7))^2)+$D$7</f>
        <v>4.72820666247984</v>
      </c>
      <c r="CE72" s="171">
        <f t="shared" si="65"/>
        <v>4.72820666247984</v>
      </c>
      <c r="CF72" s="162"/>
      <c r="CG72" s="172">
        <f t="shared" si="66"/>
        <v>1.2800000000000007</v>
      </c>
      <c r="CH72" s="172">
        <f t="shared" si="67"/>
        <v>1.2800000000000007</v>
      </c>
      <c r="CI72" s="172">
        <f t="shared" ref="CI72:CI108" si="121">CG72*TAN(RADIANS(CK$7))-(IF($B$4, 9.807, 32.174)*CG72^2)/(2*CJ$7^2*COS(RADIANS(CK$7))^2)+$D$7</f>
        <v>4.72820666247984</v>
      </c>
      <c r="CJ72" s="171">
        <f t="shared" si="68"/>
        <v>4.72820666247984</v>
      </c>
      <c r="CK72" s="172"/>
      <c r="CL72" s="162">
        <f t="shared" si="69"/>
        <v>1.2800000000000007</v>
      </c>
      <c r="CM72" s="170">
        <f t="shared" si="70"/>
        <v>1.2800000000000007</v>
      </c>
      <c r="CN72" s="162">
        <f t="shared" ref="CN72:CN108" si="122">CL72*TAN(RADIANS(CP$7))-(IF($B$4, 9.807, 32.174)*CL72^2)/(2*CO$7^2*COS(RADIANS(CP$7))^2)+$D$7</f>
        <v>4.72820666247984</v>
      </c>
      <c r="CO72" s="171">
        <f t="shared" si="71"/>
        <v>4.72820666247984</v>
      </c>
      <c r="CP72" s="162"/>
      <c r="CQ72" s="162">
        <f t="shared" si="72"/>
        <v>1.2800000000000007</v>
      </c>
      <c r="CR72" s="170">
        <f t="shared" si="73"/>
        <v>1.2800000000000007</v>
      </c>
      <c r="CS72" s="162">
        <f t="shared" ref="CS72:CS108" si="123">CQ72*TAN(RADIANS(CU$7))-(IF($B$4, 9.807, 32.174)*CQ72^2)/(2*CT$7^2*COS(RADIANS(CU$7))^2)+$D$7</f>
        <v>4.72820666247984</v>
      </c>
      <c r="CT72" s="171">
        <f t="shared" si="74"/>
        <v>4.72820666247984</v>
      </c>
      <c r="CU72" s="162"/>
      <c r="CV72" s="162">
        <f t="shared" si="75"/>
        <v>1.2800000000000007</v>
      </c>
      <c r="CW72" s="162">
        <f t="shared" si="76"/>
        <v>1.2800000000000007</v>
      </c>
      <c r="CX72" s="162">
        <f t="shared" ref="CX72:CX108" si="124">CV72*TAN(RADIANS(CZ$7))-(IF($B$4, 9.807, 32.174)*CV72^2)/(2*CY$7^2*COS(RADIANS(CZ$7))^2)+$D$7</f>
        <v>4.72820666247984</v>
      </c>
      <c r="CY72" s="171">
        <f t="shared" si="77"/>
        <v>4.72820666247984</v>
      </c>
      <c r="CZ72" s="162"/>
      <c r="DA72" s="162">
        <f t="shared" si="78"/>
        <v>1.2800000000000007</v>
      </c>
      <c r="DB72" s="170">
        <f t="shared" si="79"/>
        <v>1.2800000000000007</v>
      </c>
      <c r="DC72" s="162">
        <f t="shared" ref="DC72:DC108" si="125">DA72*TAN(RADIANS(DE$7))-(IF($B$4, 9.807, 32.174)*DA72^2)/(2*DD$7^2*COS(RADIANS(DE$7))^2)+$D$7</f>
        <v>4.72820666247984</v>
      </c>
      <c r="DD72" s="171">
        <f t="shared" si="80"/>
        <v>4.72820666247984</v>
      </c>
      <c r="DE72" s="162"/>
      <c r="DF72" s="162">
        <f t="shared" si="81"/>
        <v>1.2800000000000007</v>
      </c>
      <c r="DG72" s="170">
        <f t="shared" si="82"/>
        <v>1.2800000000000007</v>
      </c>
      <c r="DH72" s="162">
        <f t="shared" ref="DH72:DH108" si="126">DF72*TAN(RADIANS(DJ$7))-(IF($B$4, 9.807, 32.174)*DF72^2)/(2*DI$7^2*COS(RADIANS(DJ$7))^2)+$D$7</f>
        <v>4.72820666247984</v>
      </c>
      <c r="DI72" s="171">
        <f t="shared" si="83"/>
        <v>4.72820666247984</v>
      </c>
      <c r="DJ72" s="162"/>
      <c r="DK72" s="162">
        <f t="shared" si="84"/>
        <v>1.2800000000000007</v>
      </c>
      <c r="DL72" s="162">
        <f t="shared" si="85"/>
        <v>1.2800000000000007</v>
      </c>
      <c r="DM72" s="162">
        <f t="shared" ref="DM72:DM108" si="127">DK72*TAN(RADIANS(DO$7))-(IF($B$4, 9.807, 32.174)*DK72^2)/(2*DN$7^2*COS(RADIANS(DO$7))^2)+$D$7</f>
        <v>4.72820666247984</v>
      </c>
      <c r="DN72" s="171">
        <f t="shared" si="86"/>
        <v>4.72820666247984</v>
      </c>
      <c r="DO72" s="162"/>
      <c r="DP72" s="162">
        <f t="shared" si="87"/>
        <v>1.2800000000000007</v>
      </c>
      <c r="DQ72" s="170">
        <f t="shared" si="88"/>
        <v>1.2800000000000007</v>
      </c>
      <c r="DR72" s="162">
        <f t="shared" ref="DR72:DR108" si="128">DP72*TAN(RADIANS(DT$7))-(IF($B$4, 9.807, 32.174)*DP72^2)/(2*DS$7^2*COS(RADIANS(DT$7))^2)+$D$7</f>
        <v>4.72820666247984</v>
      </c>
      <c r="DS72" s="171">
        <f t="shared" si="89"/>
        <v>4.72820666247984</v>
      </c>
      <c r="DT72" s="162"/>
      <c r="DU72" s="162">
        <f t="shared" si="90"/>
        <v>1.2800000000000007</v>
      </c>
      <c r="DV72" s="170">
        <f t="shared" si="91"/>
        <v>1.2800000000000007</v>
      </c>
      <c r="DW72" s="162">
        <f t="shared" ref="DW72:DW108" si="129">DU72*TAN(RADIANS(DY$7))-(IF($B$4, 9.807, 32.174)*DU72^2)/(2*DX$7^2*COS(RADIANS(DY$7))^2)+$D$7</f>
        <v>4.72820666247984</v>
      </c>
      <c r="DX72" s="171">
        <f t="shared" si="92"/>
        <v>4.72820666247984</v>
      </c>
      <c r="DY72" s="162"/>
      <c r="DZ72" s="162">
        <f t="shared" si="93"/>
        <v>1.2800000000000007</v>
      </c>
      <c r="EA72" s="162">
        <f t="shared" si="94"/>
        <v>1.2800000000000007</v>
      </c>
      <c r="EB72" s="162">
        <f t="shared" ref="EB72:EB108" si="130">DZ72*TAN(RADIANS(ED$7))-(IF($B$4, 9.807, 32.174)*DZ72^2)/(2*EC$7^2*COS(RADIANS(ED$7))^2)+$D$7</f>
        <v>4.72820666247984</v>
      </c>
      <c r="EC72" s="171">
        <f t="shared" si="95"/>
        <v>4.72820666247984</v>
      </c>
      <c r="ED72" s="162"/>
      <c r="EE72" s="162">
        <f t="shared" si="96"/>
        <v>1.2800000000000007</v>
      </c>
      <c r="EF72" s="170">
        <f t="shared" si="97"/>
        <v>1.2800000000000007</v>
      </c>
      <c r="EG72" s="162">
        <f t="shared" ref="EG72:EG108" si="131">EE72*TAN(RADIANS(EI$7))-(IF($B$4, 9.807, 32.174)*EE72^2)/(2*EH$7^2*COS(RADIANS(EI$7))^2)+$D$7</f>
        <v>4.72820666247984</v>
      </c>
      <c r="EH72" s="171">
        <f t="shared" si="98"/>
        <v>4.72820666247984</v>
      </c>
      <c r="EI72" s="162"/>
      <c r="EJ72" s="162">
        <f t="shared" si="99"/>
        <v>1.2800000000000007</v>
      </c>
      <c r="EK72" s="170">
        <f t="shared" si="100"/>
        <v>1.2800000000000007</v>
      </c>
      <c r="EL72" s="162">
        <f t="shared" ref="EL72:EL108" si="132">EJ72*TAN(RADIANS(EN$7))-(IF($B$4, 9.807, 32.174)*EJ72^2)/(2*EM$7^2*COS(RADIANS(EN$7))^2)+$D$7</f>
        <v>4.72820666247984</v>
      </c>
      <c r="EM72" s="171">
        <f t="shared" si="101"/>
        <v>4.72820666247984</v>
      </c>
      <c r="EN72" s="162"/>
      <c r="EO72" s="162">
        <f t="shared" si="102"/>
        <v>1.2800000000000007</v>
      </c>
      <c r="EP72" s="162">
        <f t="shared" si="103"/>
        <v>1.2800000000000007</v>
      </c>
      <c r="EQ72" s="162">
        <f t="shared" ref="EQ72:EQ108" si="133">EO72*TAN(RADIANS(ES$7))-(IF($B$4, 9.807, 32.174)*EO72^2)/(2*ER$7^2*COS(RADIANS(ES$7))^2)+$D$7</f>
        <v>4.72820666247984</v>
      </c>
      <c r="ER72" s="171">
        <f t="shared" si="104"/>
        <v>4.72820666247984</v>
      </c>
      <c r="ES72" s="162"/>
      <c r="ET72" s="162">
        <f t="shared" si="105"/>
        <v>1.2800000000000007</v>
      </c>
      <c r="EU72" s="170">
        <f t="shared" si="106"/>
        <v>1.2800000000000007</v>
      </c>
      <c r="EV72" s="162">
        <f t="shared" ref="EV72:EV108" si="134">ET72*TAN(RADIANS(EX$7))-(IF($B$4, 9.807, 32.174)*ET72^2)/(2*EW$7^2*COS(RADIANS(EX$7))^2)+$D$7</f>
        <v>4.72820666247984</v>
      </c>
      <c r="EW72" s="171">
        <f t="shared" si="107"/>
        <v>4.72820666247984</v>
      </c>
      <c r="EX72" s="162"/>
    </row>
    <row r="73" spans="20:154" s="181" customFormat="1" x14ac:dyDescent="0.25">
      <c r="T73" s="162">
        <f t="shared" ref="T73:T108" si="135">T72+T$7/100</f>
        <v>1.3000000000000007</v>
      </c>
      <c r="U73" s="170">
        <f t="shared" ref="U73:U108" si="136">T73+IF($I$3="Forward", $D$9, $G$9)</f>
        <v>1.3000000000000007</v>
      </c>
      <c r="V73" s="162">
        <f t="shared" si="108"/>
        <v>4.7109332279260574</v>
      </c>
      <c r="W73" s="171">
        <f t="shared" ref="W73:W108" si="137">MIN($V$5,V73)</f>
        <v>4.7109332279260574</v>
      </c>
      <c r="X73" s="162"/>
      <c r="Y73" s="162">
        <f t="shared" ref="Y73:Y108" si="138">Y72+Y$7/100</f>
        <v>1.3000000000000007</v>
      </c>
      <c r="Z73" s="162">
        <f t="shared" ref="Z73:Z108" si="139">Y73</f>
        <v>1.3000000000000007</v>
      </c>
      <c r="AA73" s="162">
        <f t="shared" si="109"/>
        <v>4.7109332279260574</v>
      </c>
      <c r="AB73" s="171">
        <f t="shared" ref="AB73:AB108" si="140">MIN($V$5,AA73)</f>
        <v>4.7109332279260574</v>
      </c>
      <c r="AC73" s="162"/>
      <c r="AD73" s="162">
        <f t="shared" ref="AD73:AD108" si="141">AD72+AD$7/100</f>
        <v>1.3000000000000007</v>
      </c>
      <c r="AE73" s="170">
        <f t="shared" ref="AE73:AE108" si="142">AD73-IF($I$3="Forward", $D$9, $G$9)</f>
        <v>1.3000000000000007</v>
      </c>
      <c r="AF73" s="162">
        <f t="shared" si="110"/>
        <v>4.7109332279260574</v>
      </c>
      <c r="AG73" s="171">
        <f t="shared" ref="AG73:AG108" si="143">MIN($V$5,AF73)</f>
        <v>4.7109332279260574</v>
      </c>
      <c r="AH73" s="162"/>
      <c r="AI73" s="162">
        <f t="shared" ref="AI73:AI108" si="144">AI72+AI$7/100</f>
        <v>1.3000000000000007</v>
      </c>
      <c r="AJ73" s="170">
        <f t="shared" ref="AJ73:AJ108" si="145">AI73+IF($I$3="Forward", $D$9, $G$9)</f>
        <v>1.3000000000000007</v>
      </c>
      <c r="AK73" s="162">
        <f t="shared" si="111"/>
        <v>4.7109332279260574</v>
      </c>
      <c r="AL73" s="171">
        <f t="shared" ref="AL73:AL108" si="146">MIN($V$5,AK73)</f>
        <v>4.7109332279260574</v>
      </c>
      <c r="AM73" s="162"/>
      <c r="AN73" s="162">
        <f t="shared" ref="AN73:AN108" si="147">AN72+AN$7/100</f>
        <v>1.3000000000000007</v>
      </c>
      <c r="AO73" s="162">
        <f t="shared" ref="AO73:AO108" si="148">AN73</f>
        <v>1.3000000000000007</v>
      </c>
      <c r="AP73" s="162">
        <f t="shared" si="112"/>
        <v>4.7109332279260574</v>
      </c>
      <c r="AQ73" s="171">
        <f t="shared" ref="AQ73:AQ108" si="149">MIN($V$5,AP73)</f>
        <v>4.7109332279260574</v>
      </c>
      <c r="AR73" s="162"/>
      <c r="AS73" s="162">
        <f t="shared" ref="AS73:AS108" si="150">AS72+AS$7/100</f>
        <v>1.3000000000000007</v>
      </c>
      <c r="AT73" s="170">
        <f t="shared" ref="AT73:AT108" si="151">AS73-IF($I$3="Forward", $D$9, $G$9)</f>
        <v>1.3000000000000007</v>
      </c>
      <c r="AU73" s="162">
        <f t="shared" si="113"/>
        <v>4.7109332279260574</v>
      </c>
      <c r="AV73" s="171">
        <f t="shared" ref="AV73:AV108" si="152">MIN($V$5,AU73)</f>
        <v>4.7109332279260574</v>
      </c>
      <c r="AW73" s="162"/>
      <c r="AX73" s="162">
        <f t="shared" ref="AX73:AX108" si="153">AX72+AX$7/100</f>
        <v>1.3000000000000007</v>
      </c>
      <c r="AY73" s="170">
        <f t="shared" ref="AY73:AY108" si="154">AX73+IF($I$3="Forward", $D$9, $G$9)</f>
        <v>1.3000000000000007</v>
      </c>
      <c r="AZ73" s="162">
        <f t="shared" si="114"/>
        <v>4.7109332279260574</v>
      </c>
      <c r="BA73" s="171">
        <f t="shared" ref="BA73:BA108" si="155">MIN($V$5,AZ73)</f>
        <v>4.7109332279260574</v>
      </c>
      <c r="BB73" s="162"/>
      <c r="BC73" s="162">
        <f t="shared" ref="BC73:BC108" si="156">BC72+BC$7/100</f>
        <v>1.3000000000000007</v>
      </c>
      <c r="BD73" s="162">
        <f t="shared" ref="BD73:BD108" si="157">BC73</f>
        <v>1.3000000000000007</v>
      </c>
      <c r="BE73" s="162">
        <f t="shared" si="115"/>
        <v>4.7109332279260574</v>
      </c>
      <c r="BF73" s="171">
        <f t="shared" ref="BF73:BF108" si="158">MIN($V$5,BE73)</f>
        <v>4.7109332279260574</v>
      </c>
      <c r="BG73" s="162"/>
      <c r="BH73" s="162">
        <f t="shared" ref="BH73:BH108" si="159">BH72+BH$7/100</f>
        <v>1.3000000000000007</v>
      </c>
      <c r="BI73" s="170">
        <f t="shared" ref="BI73:BI108" si="160">BH73-IF($I$3="Forward", $D$9, $G$9)</f>
        <v>1.3000000000000007</v>
      </c>
      <c r="BJ73" s="162">
        <f t="shared" si="116"/>
        <v>4.7109332279260574</v>
      </c>
      <c r="BK73" s="171">
        <f t="shared" ref="BK73:BK108" si="161">MIN($V$5,BJ73)</f>
        <v>4.7109332279260574</v>
      </c>
      <c r="BL73" s="162"/>
      <c r="BM73" s="162">
        <f t="shared" ref="BM73:BM108" si="162">BM72+BM$7/100</f>
        <v>1.3000000000000007</v>
      </c>
      <c r="BN73" s="170">
        <f t="shared" ref="BN73:BN108" si="163">BM73+IF($I$3="Forward", $D$9, $G$9)</f>
        <v>1.3000000000000007</v>
      </c>
      <c r="BO73" s="162">
        <f t="shared" si="117"/>
        <v>4.7109332279260574</v>
      </c>
      <c r="BP73" s="171">
        <f t="shared" ref="BP73:BP108" si="164">MIN($V$5,BO73)</f>
        <v>4.7109332279260574</v>
      </c>
      <c r="BQ73" s="162"/>
      <c r="BR73" s="162">
        <f t="shared" ref="BR73:BR108" si="165">BR72+BR$7/100</f>
        <v>1.3000000000000007</v>
      </c>
      <c r="BS73" s="162">
        <f t="shared" ref="BS73:BS108" si="166">BR73</f>
        <v>1.3000000000000007</v>
      </c>
      <c r="BT73" s="162">
        <f t="shared" si="118"/>
        <v>4.7109332279260574</v>
      </c>
      <c r="BU73" s="171">
        <f t="shared" ref="BU73:BU108" si="167">MIN($V$5,BT73)</f>
        <v>4.7109332279260574</v>
      </c>
      <c r="BV73" s="162"/>
      <c r="BW73" s="162">
        <f t="shared" ref="BW73:BW108" si="168">BW72+BW$7/100</f>
        <v>1.3000000000000007</v>
      </c>
      <c r="BX73" s="170">
        <f t="shared" ref="BX73:BX108" si="169">BW73-IF($I$3="Forward", $D$9, $G$9)</f>
        <v>1.3000000000000007</v>
      </c>
      <c r="BY73" s="162">
        <f t="shared" si="119"/>
        <v>4.7109332279260574</v>
      </c>
      <c r="BZ73" s="171">
        <f t="shared" ref="BZ73:BZ108" si="170">MIN($V$5,BY73)</f>
        <v>4.7109332279260574</v>
      </c>
      <c r="CA73" s="162"/>
      <c r="CB73" s="162">
        <f t="shared" ref="CB73:CB108" si="171">CB72+CB$7/100</f>
        <v>1.3000000000000007</v>
      </c>
      <c r="CC73" s="170">
        <f t="shared" ref="CC73:CC108" si="172">CB73+IF($I$3="Forward", $D$9, $G$9)</f>
        <v>1.3000000000000007</v>
      </c>
      <c r="CD73" s="162">
        <f t="shared" si="120"/>
        <v>4.7109332279260574</v>
      </c>
      <c r="CE73" s="171">
        <f t="shared" ref="CE73:CE108" si="173">MIN($V$5,CD73)</f>
        <v>4.7109332279260574</v>
      </c>
      <c r="CF73" s="162"/>
      <c r="CG73" s="172">
        <f t="shared" ref="CG73:CG108" si="174">CG72+CG$7/100</f>
        <v>1.3000000000000007</v>
      </c>
      <c r="CH73" s="172">
        <f t="shared" ref="CH73:CH108" si="175">CG73</f>
        <v>1.3000000000000007</v>
      </c>
      <c r="CI73" s="172">
        <f t="shared" si="121"/>
        <v>4.7109332279260574</v>
      </c>
      <c r="CJ73" s="171">
        <f t="shared" ref="CJ73:CJ108" si="176">MIN($V$5,CI73)</f>
        <v>4.7109332279260574</v>
      </c>
      <c r="CK73" s="172"/>
      <c r="CL73" s="162">
        <f t="shared" ref="CL73:CL108" si="177">CL72+CL$7/100</f>
        <v>1.3000000000000007</v>
      </c>
      <c r="CM73" s="170">
        <f t="shared" ref="CM73:CM108" si="178">CL73-IF($I$3="Forward", $D$9, $G$9)</f>
        <v>1.3000000000000007</v>
      </c>
      <c r="CN73" s="162">
        <f t="shared" si="122"/>
        <v>4.7109332279260574</v>
      </c>
      <c r="CO73" s="171">
        <f t="shared" ref="CO73:CO108" si="179">MIN($V$5,CN73)</f>
        <v>4.7109332279260574</v>
      </c>
      <c r="CP73" s="162"/>
      <c r="CQ73" s="162">
        <f t="shared" ref="CQ73:CQ108" si="180">CQ72+CQ$7/100</f>
        <v>1.3000000000000007</v>
      </c>
      <c r="CR73" s="170">
        <f t="shared" ref="CR73:CR108" si="181">CQ73+IF($I$3="Forward", $D$9, $G$9)</f>
        <v>1.3000000000000007</v>
      </c>
      <c r="CS73" s="162">
        <f t="shared" si="123"/>
        <v>4.7109332279260574</v>
      </c>
      <c r="CT73" s="171">
        <f t="shared" ref="CT73:CT108" si="182">MIN($V$5,CS73)</f>
        <v>4.7109332279260574</v>
      </c>
      <c r="CU73" s="162"/>
      <c r="CV73" s="162">
        <f t="shared" ref="CV73:CV108" si="183">CV72+CV$7/100</f>
        <v>1.3000000000000007</v>
      </c>
      <c r="CW73" s="162">
        <f t="shared" ref="CW73:CW108" si="184">CV73</f>
        <v>1.3000000000000007</v>
      </c>
      <c r="CX73" s="162">
        <f t="shared" si="124"/>
        <v>4.7109332279260574</v>
      </c>
      <c r="CY73" s="171">
        <f t="shared" ref="CY73:CY108" si="185">MIN($V$5,CX73)</f>
        <v>4.7109332279260574</v>
      </c>
      <c r="CZ73" s="162"/>
      <c r="DA73" s="162">
        <f t="shared" ref="DA73:DA108" si="186">DA72+DA$7/100</f>
        <v>1.3000000000000007</v>
      </c>
      <c r="DB73" s="170">
        <f t="shared" ref="DB73:DB108" si="187">DA73-IF($I$3="Forward", $D$9, $G$9)</f>
        <v>1.3000000000000007</v>
      </c>
      <c r="DC73" s="162">
        <f t="shared" si="125"/>
        <v>4.7109332279260574</v>
      </c>
      <c r="DD73" s="171">
        <f t="shared" ref="DD73:DD108" si="188">MIN($V$5,DC73)</f>
        <v>4.7109332279260574</v>
      </c>
      <c r="DE73" s="162"/>
      <c r="DF73" s="162">
        <f t="shared" ref="DF73:DF108" si="189">DF72+DF$7/100</f>
        <v>1.3000000000000007</v>
      </c>
      <c r="DG73" s="170">
        <f t="shared" ref="DG73:DG108" si="190">DF73+IF($I$3="Forward", $D$9, $G$9)</f>
        <v>1.3000000000000007</v>
      </c>
      <c r="DH73" s="162">
        <f t="shared" si="126"/>
        <v>4.7109332279260574</v>
      </c>
      <c r="DI73" s="171">
        <f t="shared" ref="DI73:DI108" si="191">MIN($V$5,DH73)</f>
        <v>4.7109332279260574</v>
      </c>
      <c r="DJ73" s="162"/>
      <c r="DK73" s="162">
        <f t="shared" ref="DK73:DK108" si="192">DK72+DK$7/100</f>
        <v>1.3000000000000007</v>
      </c>
      <c r="DL73" s="162">
        <f t="shared" ref="DL73:DL108" si="193">DK73</f>
        <v>1.3000000000000007</v>
      </c>
      <c r="DM73" s="162">
        <f t="shared" si="127"/>
        <v>4.7109332279260574</v>
      </c>
      <c r="DN73" s="171">
        <f t="shared" ref="DN73:DN108" si="194">MIN($V$5,DM73)</f>
        <v>4.7109332279260574</v>
      </c>
      <c r="DO73" s="162"/>
      <c r="DP73" s="162">
        <f t="shared" ref="DP73:DP108" si="195">DP72+DP$7/100</f>
        <v>1.3000000000000007</v>
      </c>
      <c r="DQ73" s="170">
        <f t="shared" ref="DQ73:DQ108" si="196">DP73-IF($I$3="Forward", $D$9, $G$9)</f>
        <v>1.3000000000000007</v>
      </c>
      <c r="DR73" s="162">
        <f t="shared" si="128"/>
        <v>4.7109332279260574</v>
      </c>
      <c r="DS73" s="171">
        <f t="shared" ref="DS73:DS108" si="197">MIN($V$5,DR73)</f>
        <v>4.7109332279260574</v>
      </c>
      <c r="DT73" s="162"/>
      <c r="DU73" s="162">
        <f t="shared" ref="DU73:DU108" si="198">DU72+DU$7/100</f>
        <v>1.3000000000000007</v>
      </c>
      <c r="DV73" s="170">
        <f t="shared" ref="DV73:DV108" si="199">DU73+IF($I$3="Forward", $D$9, $G$9)</f>
        <v>1.3000000000000007</v>
      </c>
      <c r="DW73" s="162">
        <f t="shared" si="129"/>
        <v>4.7109332279260574</v>
      </c>
      <c r="DX73" s="171">
        <f t="shared" ref="DX73:DX108" si="200">MIN($V$5,DW73)</f>
        <v>4.7109332279260574</v>
      </c>
      <c r="DY73" s="162"/>
      <c r="DZ73" s="162">
        <f t="shared" ref="DZ73:DZ108" si="201">DZ72+DZ$7/100</f>
        <v>1.3000000000000007</v>
      </c>
      <c r="EA73" s="162">
        <f t="shared" ref="EA73:EA108" si="202">DZ73</f>
        <v>1.3000000000000007</v>
      </c>
      <c r="EB73" s="162">
        <f t="shared" si="130"/>
        <v>4.7109332279260574</v>
      </c>
      <c r="EC73" s="171">
        <f t="shared" ref="EC73:EC108" si="203">MIN($V$5,EB73)</f>
        <v>4.7109332279260574</v>
      </c>
      <c r="ED73" s="162"/>
      <c r="EE73" s="162">
        <f t="shared" ref="EE73:EE108" si="204">EE72+EE$7/100</f>
        <v>1.3000000000000007</v>
      </c>
      <c r="EF73" s="170">
        <f t="shared" ref="EF73:EF108" si="205">EE73-IF($I$3="Forward", $D$9, $G$9)</f>
        <v>1.3000000000000007</v>
      </c>
      <c r="EG73" s="162">
        <f t="shared" si="131"/>
        <v>4.7109332279260574</v>
      </c>
      <c r="EH73" s="171">
        <f t="shared" ref="EH73:EH108" si="206">MIN($V$5,EG73)</f>
        <v>4.7109332279260574</v>
      </c>
      <c r="EI73" s="162"/>
      <c r="EJ73" s="162">
        <f t="shared" ref="EJ73:EJ108" si="207">EJ72+EJ$7/100</f>
        <v>1.3000000000000007</v>
      </c>
      <c r="EK73" s="170">
        <f t="shared" ref="EK73:EK108" si="208">EJ73+IF($I$3="Forward", $D$9, $G$9)</f>
        <v>1.3000000000000007</v>
      </c>
      <c r="EL73" s="162">
        <f t="shared" si="132"/>
        <v>4.7109332279260574</v>
      </c>
      <c r="EM73" s="171">
        <f t="shared" ref="EM73:EM108" si="209">MIN($V$5,EL73)</f>
        <v>4.7109332279260574</v>
      </c>
      <c r="EN73" s="162"/>
      <c r="EO73" s="162">
        <f t="shared" ref="EO73:EO108" si="210">EO72+EO$7/100</f>
        <v>1.3000000000000007</v>
      </c>
      <c r="EP73" s="162">
        <f t="shared" ref="EP73:EP108" si="211">EO73</f>
        <v>1.3000000000000007</v>
      </c>
      <c r="EQ73" s="162">
        <f t="shared" si="133"/>
        <v>4.7109332279260574</v>
      </c>
      <c r="ER73" s="171">
        <f t="shared" ref="ER73:ER108" si="212">MIN($V$5,EQ73)</f>
        <v>4.7109332279260574</v>
      </c>
      <c r="ES73" s="162"/>
      <c r="ET73" s="162">
        <f t="shared" ref="ET73:ET108" si="213">ET72+ET$7/100</f>
        <v>1.3000000000000007</v>
      </c>
      <c r="EU73" s="170">
        <f t="shared" ref="EU73:EU108" si="214">ET73-IF($I$3="Forward", $D$9, $G$9)</f>
        <v>1.3000000000000007</v>
      </c>
      <c r="EV73" s="162">
        <f t="shared" si="134"/>
        <v>4.7109332279260574</v>
      </c>
      <c r="EW73" s="171">
        <f t="shared" ref="EW73:EW108" si="215">MIN($V$5,EV73)</f>
        <v>4.7109332279260574</v>
      </c>
      <c r="EX73" s="162"/>
    </row>
    <row r="74" spans="20:154" s="181" customFormat="1" x14ac:dyDescent="0.25">
      <c r="T74" s="162">
        <f t="shared" si="135"/>
        <v>1.3200000000000007</v>
      </c>
      <c r="U74" s="170">
        <f t="shared" si="136"/>
        <v>1.3200000000000007</v>
      </c>
      <c r="V74" s="162">
        <f t="shared" si="108"/>
        <v>4.6909512806444269</v>
      </c>
      <c r="W74" s="171">
        <f t="shared" si="137"/>
        <v>4.6909512806444269</v>
      </c>
      <c r="X74" s="162"/>
      <c r="Y74" s="162">
        <f t="shared" si="138"/>
        <v>1.3200000000000007</v>
      </c>
      <c r="Z74" s="162">
        <f t="shared" si="139"/>
        <v>1.3200000000000007</v>
      </c>
      <c r="AA74" s="162">
        <f t="shared" si="109"/>
        <v>4.6909512806444269</v>
      </c>
      <c r="AB74" s="171">
        <f t="shared" si="140"/>
        <v>4.6909512806444269</v>
      </c>
      <c r="AC74" s="162"/>
      <c r="AD74" s="162">
        <f t="shared" si="141"/>
        <v>1.3200000000000007</v>
      </c>
      <c r="AE74" s="170">
        <f t="shared" si="142"/>
        <v>1.3200000000000007</v>
      </c>
      <c r="AF74" s="162">
        <f t="shared" si="110"/>
        <v>4.6909512806444269</v>
      </c>
      <c r="AG74" s="171">
        <f t="shared" si="143"/>
        <v>4.6909512806444269</v>
      </c>
      <c r="AH74" s="162"/>
      <c r="AI74" s="162">
        <f t="shared" si="144"/>
        <v>1.3200000000000007</v>
      </c>
      <c r="AJ74" s="170">
        <f t="shared" si="145"/>
        <v>1.3200000000000007</v>
      </c>
      <c r="AK74" s="162">
        <f t="shared" si="111"/>
        <v>4.6909512806444269</v>
      </c>
      <c r="AL74" s="171">
        <f t="shared" si="146"/>
        <v>4.6909512806444269</v>
      </c>
      <c r="AM74" s="162"/>
      <c r="AN74" s="162">
        <f t="shared" si="147"/>
        <v>1.3200000000000007</v>
      </c>
      <c r="AO74" s="162">
        <f t="shared" si="148"/>
        <v>1.3200000000000007</v>
      </c>
      <c r="AP74" s="162">
        <f t="shared" si="112"/>
        <v>4.6909512806444269</v>
      </c>
      <c r="AQ74" s="171">
        <f t="shared" si="149"/>
        <v>4.6909512806444269</v>
      </c>
      <c r="AR74" s="162"/>
      <c r="AS74" s="162">
        <f t="shared" si="150"/>
        <v>1.3200000000000007</v>
      </c>
      <c r="AT74" s="170">
        <f t="shared" si="151"/>
        <v>1.3200000000000007</v>
      </c>
      <c r="AU74" s="162">
        <f t="shared" si="113"/>
        <v>4.6909512806444269</v>
      </c>
      <c r="AV74" s="171">
        <f t="shared" si="152"/>
        <v>4.6909512806444269</v>
      </c>
      <c r="AW74" s="162"/>
      <c r="AX74" s="162">
        <f t="shared" si="153"/>
        <v>1.3200000000000007</v>
      </c>
      <c r="AY74" s="170">
        <f t="shared" si="154"/>
        <v>1.3200000000000007</v>
      </c>
      <c r="AZ74" s="162">
        <f t="shared" si="114"/>
        <v>4.6909512806444269</v>
      </c>
      <c r="BA74" s="171">
        <f t="shared" si="155"/>
        <v>4.6909512806444269</v>
      </c>
      <c r="BB74" s="162"/>
      <c r="BC74" s="162">
        <f t="shared" si="156"/>
        <v>1.3200000000000007</v>
      </c>
      <c r="BD74" s="162">
        <f t="shared" si="157"/>
        <v>1.3200000000000007</v>
      </c>
      <c r="BE74" s="162">
        <f t="shared" si="115"/>
        <v>4.6909512806444269</v>
      </c>
      <c r="BF74" s="171">
        <f t="shared" si="158"/>
        <v>4.6909512806444269</v>
      </c>
      <c r="BG74" s="162"/>
      <c r="BH74" s="162">
        <f t="shared" si="159"/>
        <v>1.3200000000000007</v>
      </c>
      <c r="BI74" s="170">
        <f t="shared" si="160"/>
        <v>1.3200000000000007</v>
      </c>
      <c r="BJ74" s="162">
        <f t="shared" si="116"/>
        <v>4.6909512806444269</v>
      </c>
      <c r="BK74" s="171">
        <f t="shared" si="161"/>
        <v>4.6909512806444269</v>
      </c>
      <c r="BL74" s="162"/>
      <c r="BM74" s="162">
        <f t="shared" si="162"/>
        <v>1.3200000000000007</v>
      </c>
      <c r="BN74" s="170">
        <f t="shared" si="163"/>
        <v>1.3200000000000007</v>
      </c>
      <c r="BO74" s="162">
        <f t="shared" si="117"/>
        <v>4.6909512806444269</v>
      </c>
      <c r="BP74" s="171">
        <f t="shared" si="164"/>
        <v>4.6909512806444269</v>
      </c>
      <c r="BQ74" s="162"/>
      <c r="BR74" s="162">
        <f t="shared" si="165"/>
        <v>1.3200000000000007</v>
      </c>
      <c r="BS74" s="162">
        <f t="shared" si="166"/>
        <v>1.3200000000000007</v>
      </c>
      <c r="BT74" s="162">
        <f t="shared" si="118"/>
        <v>4.6909512806444269</v>
      </c>
      <c r="BU74" s="171">
        <f t="shared" si="167"/>
        <v>4.6909512806444269</v>
      </c>
      <c r="BV74" s="162"/>
      <c r="BW74" s="162">
        <f t="shared" si="168"/>
        <v>1.3200000000000007</v>
      </c>
      <c r="BX74" s="170">
        <f t="shared" si="169"/>
        <v>1.3200000000000007</v>
      </c>
      <c r="BY74" s="162">
        <f t="shared" si="119"/>
        <v>4.6909512806444269</v>
      </c>
      <c r="BZ74" s="171">
        <f t="shared" si="170"/>
        <v>4.6909512806444269</v>
      </c>
      <c r="CA74" s="162"/>
      <c r="CB74" s="162">
        <f t="shared" si="171"/>
        <v>1.3200000000000007</v>
      </c>
      <c r="CC74" s="170">
        <f t="shared" si="172"/>
        <v>1.3200000000000007</v>
      </c>
      <c r="CD74" s="162">
        <f t="shared" si="120"/>
        <v>4.6909512806444269</v>
      </c>
      <c r="CE74" s="171">
        <f t="shared" si="173"/>
        <v>4.6909512806444269</v>
      </c>
      <c r="CF74" s="162"/>
      <c r="CG74" s="172">
        <f t="shared" si="174"/>
        <v>1.3200000000000007</v>
      </c>
      <c r="CH74" s="172">
        <f t="shared" si="175"/>
        <v>1.3200000000000007</v>
      </c>
      <c r="CI74" s="172">
        <f t="shared" si="121"/>
        <v>4.6909512806444269</v>
      </c>
      <c r="CJ74" s="171">
        <f t="shared" si="176"/>
        <v>4.6909512806444269</v>
      </c>
      <c r="CK74" s="172"/>
      <c r="CL74" s="162">
        <f t="shared" si="177"/>
        <v>1.3200000000000007</v>
      </c>
      <c r="CM74" s="170">
        <f t="shared" si="178"/>
        <v>1.3200000000000007</v>
      </c>
      <c r="CN74" s="162">
        <f t="shared" si="122"/>
        <v>4.6909512806444269</v>
      </c>
      <c r="CO74" s="171">
        <f t="shared" si="179"/>
        <v>4.6909512806444269</v>
      </c>
      <c r="CP74" s="162"/>
      <c r="CQ74" s="162">
        <f t="shared" si="180"/>
        <v>1.3200000000000007</v>
      </c>
      <c r="CR74" s="170">
        <f t="shared" si="181"/>
        <v>1.3200000000000007</v>
      </c>
      <c r="CS74" s="162">
        <f t="shared" si="123"/>
        <v>4.6909512806444269</v>
      </c>
      <c r="CT74" s="171">
        <f t="shared" si="182"/>
        <v>4.6909512806444269</v>
      </c>
      <c r="CU74" s="162"/>
      <c r="CV74" s="162">
        <f t="shared" si="183"/>
        <v>1.3200000000000007</v>
      </c>
      <c r="CW74" s="162">
        <f t="shared" si="184"/>
        <v>1.3200000000000007</v>
      </c>
      <c r="CX74" s="162">
        <f t="shared" si="124"/>
        <v>4.6909512806444269</v>
      </c>
      <c r="CY74" s="171">
        <f t="shared" si="185"/>
        <v>4.6909512806444269</v>
      </c>
      <c r="CZ74" s="162"/>
      <c r="DA74" s="162">
        <f t="shared" si="186"/>
        <v>1.3200000000000007</v>
      </c>
      <c r="DB74" s="170">
        <f t="shared" si="187"/>
        <v>1.3200000000000007</v>
      </c>
      <c r="DC74" s="162">
        <f t="shared" si="125"/>
        <v>4.6909512806444269</v>
      </c>
      <c r="DD74" s="171">
        <f t="shared" si="188"/>
        <v>4.6909512806444269</v>
      </c>
      <c r="DE74" s="162"/>
      <c r="DF74" s="162">
        <f t="shared" si="189"/>
        <v>1.3200000000000007</v>
      </c>
      <c r="DG74" s="170">
        <f t="shared" si="190"/>
        <v>1.3200000000000007</v>
      </c>
      <c r="DH74" s="162">
        <f t="shared" si="126"/>
        <v>4.6909512806444269</v>
      </c>
      <c r="DI74" s="171">
        <f t="shared" si="191"/>
        <v>4.6909512806444269</v>
      </c>
      <c r="DJ74" s="162"/>
      <c r="DK74" s="162">
        <f t="shared" si="192"/>
        <v>1.3200000000000007</v>
      </c>
      <c r="DL74" s="162">
        <f t="shared" si="193"/>
        <v>1.3200000000000007</v>
      </c>
      <c r="DM74" s="162">
        <f t="shared" si="127"/>
        <v>4.6909512806444269</v>
      </c>
      <c r="DN74" s="171">
        <f t="shared" si="194"/>
        <v>4.6909512806444269</v>
      </c>
      <c r="DO74" s="162"/>
      <c r="DP74" s="162">
        <f t="shared" si="195"/>
        <v>1.3200000000000007</v>
      </c>
      <c r="DQ74" s="170">
        <f t="shared" si="196"/>
        <v>1.3200000000000007</v>
      </c>
      <c r="DR74" s="162">
        <f t="shared" si="128"/>
        <v>4.6909512806444269</v>
      </c>
      <c r="DS74" s="171">
        <f t="shared" si="197"/>
        <v>4.6909512806444269</v>
      </c>
      <c r="DT74" s="162"/>
      <c r="DU74" s="162">
        <f t="shared" si="198"/>
        <v>1.3200000000000007</v>
      </c>
      <c r="DV74" s="170">
        <f t="shared" si="199"/>
        <v>1.3200000000000007</v>
      </c>
      <c r="DW74" s="162">
        <f t="shared" si="129"/>
        <v>4.6909512806444269</v>
      </c>
      <c r="DX74" s="171">
        <f t="shared" si="200"/>
        <v>4.6909512806444269</v>
      </c>
      <c r="DY74" s="162"/>
      <c r="DZ74" s="162">
        <f t="shared" si="201"/>
        <v>1.3200000000000007</v>
      </c>
      <c r="EA74" s="162">
        <f t="shared" si="202"/>
        <v>1.3200000000000007</v>
      </c>
      <c r="EB74" s="162">
        <f t="shared" si="130"/>
        <v>4.6909512806444269</v>
      </c>
      <c r="EC74" s="171">
        <f t="shared" si="203"/>
        <v>4.6909512806444269</v>
      </c>
      <c r="ED74" s="162"/>
      <c r="EE74" s="162">
        <f t="shared" si="204"/>
        <v>1.3200000000000007</v>
      </c>
      <c r="EF74" s="170">
        <f t="shared" si="205"/>
        <v>1.3200000000000007</v>
      </c>
      <c r="EG74" s="162">
        <f t="shared" si="131"/>
        <v>4.6909512806444269</v>
      </c>
      <c r="EH74" s="171">
        <f t="shared" si="206"/>
        <v>4.6909512806444269</v>
      </c>
      <c r="EI74" s="162"/>
      <c r="EJ74" s="162">
        <f t="shared" si="207"/>
        <v>1.3200000000000007</v>
      </c>
      <c r="EK74" s="170">
        <f t="shared" si="208"/>
        <v>1.3200000000000007</v>
      </c>
      <c r="EL74" s="162">
        <f t="shared" si="132"/>
        <v>4.6909512806444269</v>
      </c>
      <c r="EM74" s="171">
        <f t="shared" si="209"/>
        <v>4.6909512806444269</v>
      </c>
      <c r="EN74" s="162"/>
      <c r="EO74" s="162">
        <f t="shared" si="210"/>
        <v>1.3200000000000007</v>
      </c>
      <c r="EP74" s="162">
        <f t="shared" si="211"/>
        <v>1.3200000000000007</v>
      </c>
      <c r="EQ74" s="162">
        <f t="shared" si="133"/>
        <v>4.6909512806444269</v>
      </c>
      <c r="ER74" s="171">
        <f t="shared" si="212"/>
        <v>4.6909512806444269</v>
      </c>
      <c r="ES74" s="162"/>
      <c r="ET74" s="162">
        <f t="shared" si="213"/>
        <v>1.3200000000000007</v>
      </c>
      <c r="EU74" s="170">
        <f t="shared" si="214"/>
        <v>1.3200000000000007</v>
      </c>
      <c r="EV74" s="162">
        <f t="shared" si="134"/>
        <v>4.6909512806444269</v>
      </c>
      <c r="EW74" s="171">
        <f t="shared" si="215"/>
        <v>4.6909512806444269</v>
      </c>
      <c r="EX74" s="162"/>
    </row>
    <row r="75" spans="20:154" s="181" customFormat="1" x14ac:dyDescent="0.25">
      <c r="T75" s="162">
        <f t="shared" si="135"/>
        <v>1.3400000000000007</v>
      </c>
      <c r="U75" s="170">
        <f t="shared" si="136"/>
        <v>1.3400000000000007</v>
      </c>
      <c r="V75" s="162">
        <f t="shared" si="108"/>
        <v>4.6682608206349512</v>
      </c>
      <c r="W75" s="171">
        <f t="shared" si="137"/>
        <v>4.6682608206349512</v>
      </c>
      <c r="X75" s="162"/>
      <c r="Y75" s="162">
        <f t="shared" si="138"/>
        <v>1.3400000000000007</v>
      </c>
      <c r="Z75" s="162">
        <f t="shared" si="139"/>
        <v>1.3400000000000007</v>
      </c>
      <c r="AA75" s="162">
        <f t="shared" si="109"/>
        <v>4.6682608206349512</v>
      </c>
      <c r="AB75" s="171">
        <f t="shared" si="140"/>
        <v>4.6682608206349512</v>
      </c>
      <c r="AC75" s="162"/>
      <c r="AD75" s="162">
        <f t="shared" si="141"/>
        <v>1.3400000000000007</v>
      </c>
      <c r="AE75" s="170">
        <f t="shared" si="142"/>
        <v>1.3400000000000007</v>
      </c>
      <c r="AF75" s="162">
        <f t="shared" si="110"/>
        <v>4.6682608206349512</v>
      </c>
      <c r="AG75" s="171">
        <f t="shared" si="143"/>
        <v>4.6682608206349512</v>
      </c>
      <c r="AH75" s="162"/>
      <c r="AI75" s="162">
        <f t="shared" si="144"/>
        <v>1.3400000000000007</v>
      </c>
      <c r="AJ75" s="170">
        <f t="shared" si="145"/>
        <v>1.3400000000000007</v>
      </c>
      <c r="AK75" s="162">
        <f t="shared" si="111"/>
        <v>4.6682608206349512</v>
      </c>
      <c r="AL75" s="171">
        <f t="shared" si="146"/>
        <v>4.6682608206349512</v>
      </c>
      <c r="AM75" s="162"/>
      <c r="AN75" s="162">
        <f t="shared" si="147"/>
        <v>1.3400000000000007</v>
      </c>
      <c r="AO75" s="162">
        <f t="shared" si="148"/>
        <v>1.3400000000000007</v>
      </c>
      <c r="AP75" s="162">
        <f t="shared" si="112"/>
        <v>4.6682608206349512</v>
      </c>
      <c r="AQ75" s="171">
        <f t="shared" si="149"/>
        <v>4.6682608206349512</v>
      </c>
      <c r="AR75" s="162"/>
      <c r="AS75" s="162">
        <f t="shared" si="150"/>
        <v>1.3400000000000007</v>
      </c>
      <c r="AT75" s="170">
        <f t="shared" si="151"/>
        <v>1.3400000000000007</v>
      </c>
      <c r="AU75" s="162">
        <f t="shared" si="113"/>
        <v>4.6682608206349512</v>
      </c>
      <c r="AV75" s="171">
        <f t="shared" si="152"/>
        <v>4.6682608206349512</v>
      </c>
      <c r="AW75" s="162"/>
      <c r="AX75" s="162">
        <f t="shared" si="153"/>
        <v>1.3400000000000007</v>
      </c>
      <c r="AY75" s="170">
        <f t="shared" si="154"/>
        <v>1.3400000000000007</v>
      </c>
      <c r="AZ75" s="162">
        <f t="shared" si="114"/>
        <v>4.6682608206349512</v>
      </c>
      <c r="BA75" s="171">
        <f t="shared" si="155"/>
        <v>4.6682608206349512</v>
      </c>
      <c r="BB75" s="162"/>
      <c r="BC75" s="162">
        <f t="shared" si="156"/>
        <v>1.3400000000000007</v>
      </c>
      <c r="BD75" s="162">
        <f t="shared" si="157"/>
        <v>1.3400000000000007</v>
      </c>
      <c r="BE75" s="162">
        <f t="shared" si="115"/>
        <v>4.6682608206349512</v>
      </c>
      <c r="BF75" s="171">
        <f t="shared" si="158"/>
        <v>4.6682608206349512</v>
      </c>
      <c r="BG75" s="162"/>
      <c r="BH75" s="162">
        <f t="shared" si="159"/>
        <v>1.3400000000000007</v>
      </c>
      <c r="BI75" s="170">
        <f t="shared" si="160"/>
        <v>1.3400000000000007</v>
      </c>
      <c r="BJ75" s="162">
        <f t="shared" si="116"/>
        <v>4.6682608206349512</v>
      </c>
      <c r="BK75" s="171">
        <f t="shared" si="161"/>
        <v>4.6682608206349512</v>
      </c>
      <c r="BL75" s="162"/>
      <c r="BM75" s="162">
        <f t="shared" si="162"/>
        <v>1.3400000000000007</v>
      </c>
      <c r="BN75" s="170">
        <f t="shared" si="163"/>
        <v>1.3400000000000007</v>
      </c>
      <c r="BO75" s="162">
        <f t="shared" si="117"/>
        <v>4.6682608206349512</v>
      </c>
      <c r="BP75" s="171">
        <f t="shared" si="164"/>
        <v>4.6682608206349512</v>
      </c>
      <c r="BQ75" s="162"/>
      <c r="BR75" s="162">
        <f t="shared" si="165"/>
        <v>1.3400000000000007</v>
      </c>
      <c r="BS75" s="162">
        <f t="shared" si="166"/>
        <v>1.3400000000000007</v>
      </c>
      <c r="BT75" s="162">
        <f t="shared" si="118"/>
        <v>4.6682608206349512</v>
      </c>
      <c r="BU75" s="171">
        <f t="shared" si="167"/>
        <v>4.6682608206349512</v>
      </c>
      <c r="BV75" s="162"/>
      <c r="BW75" s="162">
        <f t="shared" si="168"/>
        <v>1.3400000000000007</v>
      </c>
      <c r="BX75" s="170">
        <f t="shared" si="169"/>
        <v>1.3400000000000007</v>
      </c>
      <c r="BY75" s="162">
        <f t="shared" si="119"/>
        <v>4.6682608206349512</v>
      </c>
      <c r="BZ75" s="171">
        <f t="shared" si="170"/>
        <v>4.6682608206349512</v>
      </c>
      <c r="CA75" s="162"/>
      <c r="CB75" s="162">
        <f t="shared" si="171"/>
        <v>1.3400000000000007</v>
      </c>
      <c r="CC75" s="170">
        <f t="shared" si="172"/>
        <v>1.3400000000000007</v>
      </c>
      <c r="CD75" s="162">
        <f t="shared" si="120"/>
        <v>4.6682608206349512</v>
      </c>
      <c r="CE75" s="171">
        <f t="shared" si="173"/>
        <v>4.6682608206349512</v>
      </c>
      <c r="CF75" s="162"/>
      <c r="CG75" s="172">
        <f t="shared" si="174"/>
        <v>1.3400000000000007</v>
      </c>
      <c r="CH75" s="172">
        <f t="shared" si="175"/>
        <v>1.3400000000000007</v>
      </c>
      <c r="CI75" s="172">
        <f t="shared" si="121"/>
        <v>4.6682608206349512</v>
      </c>
      <c r="CJ75" s="171">
        <f t="shared" si="176"/>
        <v>4.6682608206349512</v>
      </c>
      <c r="CK75" s="172"/>
      <c r="CL75" s="162">
        <f t="shared" si="177"/>
        <v>1.3400000000000007</v>
      </c>
      <c r="CM75" s="170">
        <f t="shared" si="178"/>
        <v>1.3400000000000007</v>
      </c>
      <c r="CN75" s="162">
        <f t="shared" si="122"/>
        <v>4.6682608206349512</v>
      </c>
      <c r="CO75" s="171">
        <f t="shared" si="179"/>
        <v>4.6682608206349512</v>
      </c>
      <c r="CP75" s="162"/>
      <c r="CQ75" s="162">
        <f t="shared" si="180"/>
        <v>1.3400000000000007</v>
      </c>
      <c r="CR75" s="170">
        <f t="shared" si="181"/>
        <v>1.3400000000000007</v>
      </c>
      <c r="CS75" s="162">
        <f t="shared" si="123"/>
        <v>4.6682608206349512</v>
      </c>
      <c r="CT75" s="171">
        <f t="shared" si="182"/>
        <v>4.6682608206349512</v>
      </c>
      <c r="CU75" s="162"/>
      <c r="CV75" s="162">
        <f t="shared" si="183"/>
        <v>1.3400000000000007</v>
      </c>
      <c r="CW75" s="162">
        <f t="shared" si="184"/>
        <v>1.3400000000000007</v>
      </c>
      <c r="CX75" s="162">
        <f t="shared" si="124"/>
        <v>4.6682608206349512</v>
      </c>
      <c r="CY75" s="171">
        <f t="shared" si="185"/>
        <v>4.6682608206349512</v>
      </c>
      <c r="CZ75" s="162"/>
      <c r="DA75" s="162">
        <f t="shared" si="186"/>
        <v>1.3400000000000007</v>
      </c>
      <c r="DB75" s="170">
        <f t="shared" si="187"/>
        <v>1.3400000000000007</v>
      </c>
      <c r="DC75" s="162">
        <f t="shared" si="125"/>
        <v>4.6682608206349512</v>
      </c>
      <c r="DD75" s="171">
        <f t="shared" si="188"/>
        <v>4.6682608206349512</v>
      </c>
      <c r="DE75" s="162"/>
      <c r="DF75" s="162">
        <f t="shared" si="189"/>
        <v>1.3400000000000007</v>
      </c>
      <c r="DG75" s="170">
        <f t="shared" si="190"/>
        <v>1.3400000000000007</v>
      </c>
      <c r="DH75" s="162">
        <f t="shared" si="126"/>
        <v>4.6682608206349512</v>
      </c>
      <c r="DI75" s="171">
        <f t="shared" si="191"/>
        <v>4.6682608206349512</v>
      </c>
      <c r="DJ75" s="162"/>
      <c r="DK75" s="162">
        <f t="shared" si="192"/>
        <v>1.3400000000000007</v>
      </c>
      <c r="DL75" s="162">
        <f t="shared" si="193"/>
        <v>1.3400000000000007</v>
      </c>
      <c r="DM75" s="162">
        <f t="shared" si="127"/>
        <v>4.6682608206349512</v>
      </c>
      <c r="DN75" s="171">
        <f t="shared" si="194"/>
        <v>4.6682608206349512</v>
      </c>
      <c r="DO75" s="162"/>
      <c r="DP75" s="162">
        <f t="shared" si="195"/>
        <v>1.3400000000000007</v>
      </c>
      <c r="DQ75" s="170">
        <f t="shared" si="196"/>
        <v>1.3400000000000007</v>
      </c>
      <c r="DR75" s="162">
        <f t="shared" si="128"/>
        <v>4.6682608206349512</v>
      </c>
      <c r="DS75" s="171">
        <f t="shared" si="197"/>
        <v>4.6682608206349512</v>
      </c>
      <c r="DT75" s="162"/>
      <c r="DU75" s="162">
        <f t="shared" si="198"/>
        <v>1.3400000000000007</v>
      </c>
      <c r="DV75" s="170">
        <f t="shared" si="199"/>
        <v>1.3400000000000007</v>
      </c>
      <c r="DW75" s="162">
        <f t="shared" si="129"/>
        <v>4.6682608206349512</v>
      </c>
      <c r="DX75" s="171">
        <f t="shared" si="200"/>
        <v>4.6682608206349512</v>
      </c>
      <c r="DY75" s="162"/>
      <c r="DZ75" s="162">
        <f t="shared" si="201"/>
        <v>1.3400000000000007</v>
      </c>
      <c r="EA75" s="162">
        <f t="shared" si="202"/>
        <v>1.3400000000000007</v>
      </c>
      <c r="EB75" s="162">
        <f t="shared" si="130"/>
        <v>4.6682608206349512</v>
      </c>
      <c r="EC75" s="171">
        <f t="shared" si="203"/>
        <v>4.6682608206349512</v>
      </c>
      <c r="ED75" s="162"/>
      <c r="EE75" s="162">
        <f t="shared" si="204"/>
        <v>1.3400000000000007</v>
      </c>
      <c r="EF75" s="170">
        <f t="shared" si="205"/>
        <v>1.3400000000000007</v>
      </c>
      <c r="EG75" s="162">
        <f t="shared" si="131"/>
        <v>4.6682608206349512</v>
      </c>
      <c r="EH75" s="171">
        <f t="shared" si="206"/>
        <v>4.6682608206349512</v>
      </c>
      <c r="EI75" s="162"/>
      <c r="EJ75" s="162">
        <f t="shared" si="207"/>
        <v>1.3400000000000007</v>
      </c>
      <c r="EK75" s="170">
        <f t="shared" si="208"/>
        <v>1.3400000000000007</v>
      </c>
      <c r="EL75" s="162">
        <f t="shared" si="132"/>
        <v>4.6682608206349512</v>
      </c>
      <c r="EM75" s="171">
        <f t="shared" si="209"/>
        <v>4.6682608206349512</v>
      </c>
      <c r="EN75" s="162"/>
      <c r="EO75" s="162">
        <f t="shared" si="210"/>
        <v>1.3400000000000007</v>
      </c>
      <c r="EP75" s="162">
        <f t="shared" si="211"/>
        <v>1.3400000000000007</v>
      </c>
      <c r="EQ75" s="162">
        <f t="shared" si="133"/>
        <v>4.6682608206349512</v>
      </c>
      <c r="ER75" s="171">
        <f t="shared" si="212"/>
        <v>4.6682608206349512</v>
      </c>
      <c r="ES75" s="162"/>
      <c r="ET75" s="162">
        <f t="shared" si="213"/>
        <v>1.3400000000000007</v>
      </c>
      <c r="EU75" s="170">
        <f t="shared" si="214"/>
        <v>1.3400000000000007</v>
      </c>
      <c r="EV75" s="162">
        <f t="shared" si="134"/>
        <v>4.6682608206349512</v>
      </c>
      <c r="EW75" s="171">
        <f t="shared" si="215"/>
        <v>4.6682608206349512</v>
      </c>
      <c r="EX75" s="162"/>
    </row>
    <row r="76" spans="20:154" s="181" customFormat="1" x14ac:dyDescent="0.25">
      <c r="T76" s="162">
        <f t="shared" si="135"/>
        <v>1.3600000000000008</v>
      </c>
      <c r="U76" s="170">
        <f t="shared" si="136"/>
        <v>1.3600000000000008</v>
      </c>
      <c r="V76" s="162">
        <f t="shared" si="108"/>
        <v>4.6428618478976267</v>
      </c>
      <c r="W76" s="171">
        <f t="shared" si="137"/>
        <v>4.6428618478976267</v>
      </c>
      <c r="X76" s="162"/>
      <c r="Y76" s="162">
        <f t="shared" si="138"/>
        <v>1.3600000000000008</v>
      </c>
      <c r="Z76" s="162">
        <f t="shared" si="139"/>
        <v>1.3600000000000008</v>
      </c>
      <c r="AA76" s="162">
        <f t="shared" si="109"/>
        <v>4.6428618478976267</v>
      </c>
      <c r="AB76" s="171">
        <f t="shared" si="140"/>
        <v>4.6428618478976267</v>
      </c>
      <c r="AC76" s="162"/>
      <c r="AD76" s="162">
        <f t="shared" si="141"/>
        <v>1.3600000000000008</v>
      </c>
      <c r="AE76" s="170">
        <f t="shared" si="142"/>
        <v>1.3600000000000008</v>
      </c>
      <c r="AF76" s="162">
        <f t="shared" si="110"/>
        <v>4.6428618478976267</v>
      </c>
      <c r="AG76" s="171">
        <f t="shared" si="143"/>
        <v>4.6428618478976267</v>
      </c>
      <c r="AH76" s="162"/>
      <c r="AI76" s="162">
        <f t="shared" si="144"/>
        <v>1.3600000000000008</v>
      </c>
      <c r="AJ76" s="170">
        <f t="shared" si="145"/>
        <v>1.3600000000000008</v>
      </c>
      <c r="AK76" s="162">
        <f t="shared" si="111"/>
        <v>4.6428618478976267</v>
      </c>
      <c r="AL76" s="171">
        <f t="shared" si="146"/>
        <v>4.6428618478976267</v>
      </c>
      <c r="AM76" s="162"/>
      <c r="AN76" s="162">
        <f t="shared" si="147"/>
        <v>1.3600000000000008</v>
      </c>
      <c r="AO76" s="162">
        <f t="shared" si="148"/>
        <v>1.3600000000000008</v>
      </c>
      <c r="AP76" s="162">
        <f t="shared" si="112"/>
        <v>4.6428618478976267</v>
      </c>
      <c r="AQ76" s="171">
        <f t="shared" si="149"/>
        <v>4.6428618478976267</v>
      </c>
      <c r="AR76" s="162"/>
      <c r="AS76" s="162">
        <f t="shared" si="150"/>
        <v>1.3600000000000008</v>
      </c>
      <c r="AT76" s="170">
        <f t="shared" si="151"/>
        <v>1.3600000000000008</v>
      </c>
      <c r="AU76" s="162">
        <f t="shared" si="113"/>
        <v>4.6428618478976267</v>
      </c>
      <c r="AV76" s="171">
        <f t="shared" si="152"/>
        <v>4.6428618478976267</v>
      </c>
      <c r="AW76" s="162"/>
      <c r="AX76" s="162">
        <f t="shared" si="153"/>
        <v>1.3600000000000008</v>
      </c>
      <c r="AY76" s="170">
        <f t="shared" si="154"/>
        <v>1.3600000000000008</v>
      </c>
      <c r="AZ76" s="162">
        <f t="shared" si="114"/>
        <v>4.6428618478976267</v>
      </c>
      <c r="BA76" s="171">
        <f t="shared" si="155"/>
        <v>4.6428618478976267</v>
      </c>
      <c r="BB76" s="162"/>
      <c r="BC76" s="162">
        <f t="shared" si="156"/>
        <v>1.3600000000000008</v>
      </c>
      <c r="BD76" s="162">
        <f t="shared" si="157"/>
        <v>1.3600000000000008</v>
      </c>
      <c r="BE76" s="162">
        <f t="shared" si="115"/>
        <v>4.6428618478976267</v>
      </c>
      <c r="BF76" s="171">
        <f t="shared" si="158"/>
        <v>4.6428618478976267</v>
      </c>
      <c r="BG76" s="162"/>
      <c r="BH76" s="162">
        <f t="shared" si="159"/>
        <v>1.3600000000000008</v>
      </c>
      <c r="BI76" s="170">
        <f t="shared" si="160"/>
        <v>1.3600000000000008</v>
      </c>
      <c r="BJ76" s="162">
        <f t="shared" si="116"/>
        <v>4.6428618478976267</v>
      </c>
      <c r="BK76" s="171">
        <f t="shared" si="161"/>
        <v>4.6428618478976267</v>
      </c>
      <c r="BL76" s="162"/>
      <c r="BM76" s="162">
        <f t="shared" si="162"/>
        <v>1.3600000000000008</v>
      </c>
      <c r="BN76" s="170">
        <f t="shared" si="163"/>
        <v>1.3600000000000008</v>
      </c>
      <c r="BO76" s="162">
        <f t="shared" si="117"/>
        <v>4.6428618478976267</v>
      </c>
      <c r="BP76" s="171">
        <f t="shared" si="164"/>
        <v>4.6428618478976267</v>
      </c>
      <c r="BQ76" s="162"/>
      <c r="BR76" s="162">
        <f t="shared" si="165"/>
        <v>1.3600000000000008</v>
      </c>
      <c r="BS76" s="162">
        <f t="shared" si="166"/>
        <v>1.3600000000000008</v>
      </c>
      <c r="BT76" s="162">
        <f t="shared" si="118"/>
        <v>4.6428618478976267</v>
      </c>
      <c r="BU76" s="171">
        <f t="shared" si="167"/>
        <v>4.6428618478976267</v>
      </c>
      <c r="BV76" s="162"/>
      <c r="BW76" s="162">
        <f t="shared" si="168"/>
        <v>1.3600000000000008</v>
      </c>
      <c r="BX76" s="170">
        <f t="shared" si="169"/>
        <v>1.3600000000000008</v>
      </c>
      <c r="BY76" s="162">
        <f t="shared" si="119"/>
        <v>4.6428618478976267</v>
      </c>
      <c r="BZ76" s="171">
        <f t="shared" si="170"/>
        <v>4.6428618478976267</v>
      </c>
      <c r="CA76" s="162"/>
      <c r="CB76" s="162">
        <f t="shared" si="171"/>
        <v>1.3600000000000008</v>
      </c>
      <c r="CC76" s="170">
        <f t="shared" si="172"/>
        <v>1.3600000000000008</v>
      </c>
      <c r="CD76" s="162">
        <f t="shared" si="120"/>
        <v>4.6428618478976267</v>
      </c>
      <c r="CE76" s="171">
        <f t="shared" si="173"/>
        <v>4.6428618478976267</v>
      </c>
      <c r="CF76" s="162"/>
      <c r="CG76" s="172">
        <f t="shared" si="174"/>
        <v>1.3600000000000008</v>
      </c>
      <c r="CH76" s="172">
        <f t="shared" si="175"/>
        <v>1.3600000000000008</v>
      </c>
      <c r="CI76" s="172">
        <f t="shared" si="121"/>
        <v>4.6428618478976267</v>
      </c>
      <c r="CJ76" s="171">
        <f t="shared" si="176"/>
        <v>4.6428618478976267</v>
      </c>
      <c r="CK76" s="172"/>
      <c r="CL76" s="162">
        <f t="shared" si="177"/>
        <v>1.3600000000000008</v>
      </c>
      <c r="CM76" s="170">
        <f t="shared" si="178"/>
        <v>1.3600000000000008</v>
      </c>
      <c r="CN76" s="162">
        <f t="shared" si="122"/>
        <v>4.6428618478976267</v>
      </c>
      <c r="CO76" s="171">
        <f t="shared" si="179"/>
        <v>4.6428618478976267</v>
      </c>
      <c r="CP76" s="162"/>
      <c r="CQ76" s="162">
        <f t="shared" si="180"/>
        <v>1.3600000000000008</v>
      </c>
      <c r="CR76" s="170">
        <f t="shared" si="181"/>
        <v>1.3600000000000008</v>
      </c>
      <c r="CS76" s="162">
        <f t="shared" si="123"/>
        <v>4.6428618478976267</v>
      </c>
      <c r="CT76" s="171">
        <f t="shared" si="182"/>
        <v>4.6428618478976267</v>
      </c>
      <c r="CU76" s="162"/>
      <c r="CV76" s="162">
        <f t="shared" si="183"/>
        <v>1.3600000000000008</v>
      </c>
      <c r="CW76" s="162">
        <f t="shared" si="184"/>
        <v>1.3600000000000008</v>
      </c>
      <c r="CX76" s="162">
        <f t="shared" si="124"/>
        <v>4.6428618478976267</v>
      </c>
      <c r="CY76" s="171">
        <f t="shared" si="185"/>
        <v>4.6428618478976267</v>
      </c>
      <c r="CZ76" s="162"/>
      <c r="DA76" s="162">
        <f t="shared" si="186"/>
        <v>1.3600000000000008</v>
      </c>
      <c r="DB76" s="170">
        <f t="shared" si="187"/>
        <v>1.3600000000000008</v>
      </c>
      <c r="DC76" s="162">
        <f t="shared" si="125"/>
        <v>4.6428618478976267</v>
      </c>
      <c r="DD76" s="171">
        <f t="shared" si="188"/>
        <v>4.6428618478976267</v>
      </c>
      <c r="DE76" s="162"/>
      <c r="DF76" s="162">
        <f t="shared" si="189"/>
        <v>1.3600000000000008</v>
      </c>
      <c r="DG76" s="170">
        <f t="shared" si="190"/>
        <v>1.3600000000000008</v>
      </c>
      <c r="DH76" s="162">
        <f t="shared" si="126"/>
        <v>4.6428618478976267</v>
      </c>
      <c r="DI76" s="171">
        <f t="shared" si="191"/>
        <v>4.6428618478976267</v>
      </c>
      <c r="DJ76" s="162"/>
      <c r="DK76" s="162">
        <f t="shared" si="192"/>
        <v>1.3600000000000008</v>
      </c>
      <c r="DL76" s="162">
        <f t="shared" si="193"/>
        <v>1.3600000000000008</v>
      </c>
      <c r="DM76" s="162">
        <f t="shared" si="127"/>
        <v>4.6428618478976267</v>
      </c>
      <c r="DN76" s="171">
        <f t="shared" si="194"/>
        <v>4.6428618478976267</v>
      </c>
      <c r="DO76" s="162"/>
      <c r="DP76" s="162">
        <f t="shared" si="195"/>
        <v>1.3600000000000008</v>
      </c>
      <c r="DQ76" s="170">
        <f t="shared" si="196"/>
        <v>1.3600000000000008</v>
      </c>
      <c r="DR76" s="162">
        <f t="shared" si="128"/>
        <v>4.6428618478976267</v>
      </c>
      <c r="DS76" s="171">
        <f t="shared" si="197"/>
        <v>4.6428618478976267</v>
      </c>
      <c r="DT76" s="162"/>
      <c r="DU76" s="162">
        <f t="shared" si="198"/>
        <v>1.3600000000000008</v>
      </c>
      <c r="DV76" s="170">
        <f t="shared" si="199"/>
        <v>1.3600000000000008</v>
      </c>
      <c r="DW76" s="162">
        <f t="shared" si="129"/>
        <v>4.6428618478976267</v>
      </c>
      <c r="DX76" s="171">
        <f t="shared" si="200"/>
        <v>4.6428618478976267</v>
      </c>
      <c r="DY76" s="162"/>
      <c r="DZ76" s="162">
        <f t="shared" si="201"/>
        <v>1.3600000000000008</v>
      </c>
      <c r="EA76" s="162">
        <f t="shared" si="202"/>
        <v>1.3600000000000008</v>
      </c>
      <c r="EB76" s="162">
        <f t="shared" si="130"/>
        <v>4.6428618478976267</v>
      </c>
      <c r="EC76" s="171">
        <f t="shared" si="203"/>
        <v>4.6428618478976267</v>
      </c>
      <c r="ED76" s="162"/>
      <c r="EE76" s="162">
        <f t="shared" si="204"/>
        <v>1.3600000000000008</v>
      </c>
      <c r="EF76" s="170">
        <f t="shared" si="205"/>
        <v>1.3600000000000008</v>
      </c>
      <c r="EG76" s="162">
        <f t="shared" si="131"/>
        <v>4.6428618478976267</v>
      </c>
      <c r="EH76" s="171">
        <f t="shared" si="206"/>
        <v>4.6428618478976267</v>
      </c>
      <c r="EI76" s="162"/>
      <c r="EJ76" s="162">
        <f t="shared" si="207"/>
        <v>1.3600000000000008</v>
      </c>
      <c r="EK76" s="170">
        <f t="shared" si="208"/>
        <v>1.3600000000000008</v>
      </c>
      <c r="EL76" s="162">
        <f t="shared" si="132"/>
        <v>4.6428618478976267</v>
      </c>
      <c r="EM76" s="171">
        <f t="shared" si="209"/>
        <v>4.6428618478976267</v>
      </c>
      <c r="EN76" s="162"/>
      <c r="EO76" s="162">
        <f t="shared" si="210"/>
        <v>1.3600000000000008</v>
      </c>
      <c r="EP76" s="162">
        <f t="shared" si="211"/>
        <v>1.3600000000000008</v>
      </c>
      <c r="EQ76" s="162">
        <f t="shared" si="133"/>
        <v>4.6428618478976267</v>
      </c>
      <c r="ER76" s="171">
        <f t="shared" si="212"/>
        <v>4.6428618478976267</v>
      </c>
      <c r="ES76" s="162"/>
      <c r="ET76" s="162">
        <f t="shared" si="213"/>
        <v>1.3600000000000008</v>
      </c>
      <c r="EU76" s="170">
        <f t="shared" si="214"/>
        <v>1.3600000000000008</v>
      </c>
      <c r="EV76" s="162">
        <f t="shared" si="134"/>
        <v>4.6428618478976267</v>
      </c>
      <c r="EW76" s="171">
        <f t="shared" si="215"/>
        <v>4.6428618478976267</v>
      </c>
      <c r="EX76" s="162"/>
    </row>
    <row r="77" spans="20:154" s="181" customFormat="1" x14ac:dyDescent="0.25">
      <c r="T77" s="162">
        <f t="shared" si="135"/>
        <v>1.3800000000000008</v>
      </c>
      <c r="U77" s="170">
        <f t="shared" si="136"/>
        <v>1.3800000000000008</v>
      </c>
      <c r="V77" s="162">
        <f t="shared" si="108"/>
        <v>4.6147543624324552</v>
      </c>
      <c r="W77" s="171">
        <f t="shared" si="137"/>
        <v>4.6147543624324552</v>
      </c>
      <c r="X77" s="162"/>
      <c r="Y77" s="162">
        <f t="shared" si="138"/>
        <v>1.3800000000000008</v>
      </c>
      <c r="Z77" s="162">
        <f t="shared" si="139"/>
        <v>1.3800000000000008</v>
      </c>
      <c r="AA77" s="162">
        <f t="shared" si="109"/>
        <v>4.6147543624324552</v>
      </c>
      <c r="AB77" s="171">
        <f t="shared" si="140"/>
        <v>4.6147543624324552</v>
      </c>
      <c r="AC77" s="162"/>
      <c r="AD77" s="162">
        <f t="shared" si="141"/>
        <v>1.3800000000000008</v>
      </c>
      <c r="AE77" s="170">
        <f t="shared" si="142"/>
        <v>1.3800000000000008</v>
      </c>
      <c r="AF77" s="162">
        <f t="shared" si="110"/>
        <v>4.6147543624324552</v>
      </c>
      <c r="AG77" s="171">
        <f t="shared" si="143"/>
        <v>4.6147543624324552</v>
      </c>
      <c r="AH77" s="162"/>
      <c r="AI77" s="162">
        <f t="shared" si="144"/>
        <v>1.3800000000000008</v>
      </c>
      <c r="AJ77" s="170">
        <f t="shared" si="145"/>
        <v>1.3800000000000008</v>
      </c>
      <c r="AK77" s="162">
        <f t="shared" si="111"/>
        <v>4.6147543624324552</v>
      </c>
      <c r="AL77" s="171">
        <f t="shared" si="146"/>
        <v>4.6147543624324552</v>
      </c>
      <c r="AM77" s="162"/>
      <c r="AN77" s="162">
        <f t="shared" si="147"/>
        <v>1.3800000000000008</v>
      </c>
      <c r="AO77" s="162">
        <f t="shared" si="148"/>
        <v>1.3800000000000008</v>
      </c>
      <c r="AP77" s="162">
        <f t="shared" si="112"/>
        <v>4.6147543624324552</v>
      </c>
      <c r="AQ77" s="171">
        <f t="shared" si="149"/>
        <v>4.6147543624324552</v>
      </c>
      <c r="AR77" s="162"/>
      <c r="AS77" s="162">
        <f t="shared" si="150"/>
        <v>1.3800000000000008</v>
      </c>
      <c r="AT77" s="170">
        <f t="shared" si="151"/>
        <v>1.3800000000000008</v>
      </c>
      <c r="AU77" s="162">
        <f t="shared" si="113"/>
        <v>4.6147543624324552</v>
      </c>
      <c r="AV77" s="171">
        <f t="shared" si="152"/>
        <v>4.6147543624324552</v>
      </c>
      <c r="AW77" s="162"/>
      <c r="AX77" s="162">
        <f t="shared" si="153"/>
        <v>1.3800000000000008</v>
      </c>
      <c r="AY77" s="170">
        <f t="shared" si="154"/>
        <v>1.3800000000000008</v>
      </c>
      <c r="AZ77" s="162">
        <f t="shared" si="114"/>
        <v>4.6147543624324552</v>
      </c>
      <c r="BA77" s="171">
        <f t="shared" si="155"/>
        <v>4.6147543624324552</v>
      </c>
      <c r="BB77" s="162"/>
      <c r="BC77" s="162">
        <f t="shared" si="156"/>
        <v>1.3800000000000008</v>
      </c>
      <c r="BD77" s="162">
        <f t="shared" si="157"/>
        <v>1.3800000000000008</v>
      </c>
      <c r="BE77" s="162">
        <f t="shared" si="115"/>
        <v>4.6147543624324552</v>
      </c>
      <c r="BF77" s="171">
        <f t="shared" si="158"/>
        <v>4.6147543624324552</v>
      </c>
      <c r="BG77" s="162"/>
      <c r="BH77" s="162">
        <f t="shared" si="159"/>
        <v>1.3800000000000008</v>
      </c>
      <c r="BI77" s="170">
        <f t="shared" si="160"/>
        <v>1.3800000000000008</v>
      </c>
      <c r="BJ77" s="162">
        <f t="shared" si="116"/>
        <v>4.6147543624324552</v>
      </c>
      <c r="BK77" s="171">
        <f t="shared" si="161"/>
        <v>4.6147543624324552</v>
      </c>
      <c r="BL77" s="162"/>
      <c r="BM77" s="162">
        <f t="shared" si="162"/>
        <v>1.3800000000000008</v>
      </c>
      <c r="BN77" s="170">
        <f t="shared" si="163"/>
        <v>1.3800000000000008</v>
      </c>
      <c r="BO77" s="162">
        <f t="shared" si="117"/>
        <v>4.6147543624324552</v>
      </c>
      <c r="BP77" s="171">
        <f t="shared" si="164"/>
        <v>4.6147543624324552</v>
      </c>
      <c r="BQ77" s="162"/>
      <c r="BR77" s="162">
        <f t="shared" si="165"/>
        <v>1.3800000000000008</v>
      </c>
      <c r="BS77" s="162">
        <f t="shared" si="166"/>
        <v>1.3800000000000008</v>
      </c>
      <c r="BT77" s="162">
        <f t="shared" si="118"/>
        <v>4.6147543624324552</v>
      </c>
      <c r="BU77" s="171">
        <f t="shared" si="167"/>
        <v>4.6147543624324552</v>
      </c>
      <c r="BV77" s="162"/>
      <c r="BW77" s="162">
        <f t="shared" si="168"/>
        <v>1.3800000000000008</v>
      </c>
      <c r="BX77" s="170">
        <f t="shared" si="169"/>
        <v>1.3800000000000008</v>
      </c>
      <c r="BY77" s="162">
        <f t="shared" si="119"/>
        <v>4.6147543624324552</v>
      </c>
      <c r="BZ77" s="171">
        <f t="shared" si="170"/>
        <v>4.6147543624324552</v>
      </c>
      <c r="CA77" s="162"/>
      <c r="CB77" s="162">
        <f t="shared" si="171"/>
        <v>1.3800000000000008</v>
      </c>
      <c r="CC77" s="170">
        <f t="shared" si="172"/>
        <v>1.3800000000000008</v>
      </c>
      <c r="CD77" s="162">
        <f t="shared" si="120"/>
        <v>4.6147543624324552</v>
      </c>
      <c r="CE77" s="171">
        <f t="shared" si="173"/>
        <v>4.6147543624324552</v>
      </c>
      <c r="CF77" s="162"/>
      <c r="CG77" s="172">
        <f t="shared" si="174"/>
        <v>1.3800000000000008</v>
      </c>
      <c r="CH77" s="172">
        <f t="shared" si="175"/>
        <v>1.3800000000000008</v>
      </c>
      <c r="CI77" s="172">
        <f t="shared" si="121"/>
        <v>4.6147543624324552</v>
      </c>
      <c r="CJ77" s="171">
        <f t="shared" si="176"/>
        <v>4.6147543624324552</v>
      </c>
      <c r="CK77" s="172"/>
      <c r="CL77" s="162">
        <f t="shared" si="177"/>
        <v>1.3800000000000008</v>
      </c>
      <c r="CM77" s="170">
        <f t="shared" si="178"/>
        <v>1.3800000000000008</v>
      </c>
      <c r="CN77" s="162">
        <f t="shared" si="122"/>
        <v>4.6147543624324552</v>
      </c>
      <c r="CO77" s="171">
        <f t="shared" si="179"/>
        <v>4.6147543624324552</v>
      </c>
      <c r="CP77" s="162"/>
      <c r="CQ77" s="162">
        <f t="shared" si="180"/>
        <v>1.3800000000000008</v>
      </c>
      <c r="CR77" s="170">
        <f t="shared" si="181"/>
        <v>1.3800000000000008</v>
      </c>
      <c r="CS77" s="162">
        <f t="shared" si="123"/>
        <v>4.6147543624324552</v>
      </c>
      <c r="CT77" s="171">
        <f t="shared" si="182"/>
        <v>4.6147543624324552</v>
      </c>
      <c r="CU77" s="162"/>
      <c r="CV77" s="162">
        <f t="shared" si="183"/>
        <v>1.3800000000000008</v>
      </c>
      <c r="CW77" s="162">
        <f t="shared" si="184"/>
        <v>1.3800000000000008</v>
      </c>
      <c r="CX77" s="162">
        <f t="shared" si="124"/>
        <v>4.6147543624324552</v>
      </c>
      <c r="CY77" s="171">
        <f t="shared" si="185"/>
        <v>4.6147543624324552</v>
      </c>
      <c r="CZ77" s="162"/>
      <c r="DA77" s="162">
        <f t="shared" si="186"/>
        <v>1.3800000000000008</v>
      </c>
      <c r="DB77" s="170">
        <f t="shared" si="187"/>
        <v>1.3800000000000008</v>
      </c>
      <c r="DC77" s="162">
        <f t="shared" si="125"/>
        <v>4.6147543624324552</v>
      </c>
      <c r="DD77" s="171">
        <f t="shared" si="188"/>
        <v>4.6147543624324552</v>
      </c>
      <c r="DE77" s="162"/>
      <c r="DF77" s="162">
        <f t="shared" si="189"/>
        <v>1.3800000000000008</v>
      </c>
      <c r="DG77" s="170">
        <f t="shared" si="190"/>
        <v>1.3800000000000008</v>
      </c>
      <c r="DH77" s="162">
        <f t="shared" si="126"/>
        <v>4.6147543624324552</v>
      </c>
      <c r="DI77" s="171">
        <f t="shared" si="191"/>
        <v>4.6147543624324552</v>
      </c>
      <c r="DJ77" s="162"/>
      <c r="DK77" s="162">
        <f t="shared" si="192"/>
        <v>1.3800000000000008</v>
      </c>
      <c r="DL77" s="162">
        <f t="shared" si="193"/>
        <v>1.3800000000000008</v>
      </c>
      <c r="DM77" s="162">
        <f t="shared" si="127"/>
        <v>4.6147543624324552</v>
      </c>
      <c r="DN77" s="171">
        <f t="shared" si="194"/>
        <v>4.6147543624324552</v>
      </c>
      <c r="DO77" s="162"/>
      <c r="DP77" s="162">
        <f t="shared" si="195"/>
        <v>1.3800000000000008</v>
      </c>
      <c r="DQ77" s="170">
        <f t="shared" si="196"/>
        <v>1.3800000000000008</v>
      </c>
      <c r="DR77" s="162">
        <f t="shared" si="128"/>
        <v>4.6147543624324552</v>
      </c>
      <c r="DS77" s="171">
        <f t="shared" si="197"/>
        <v>4.6147543624324552</v>
      </c>
      <c r="DT77" s="162"/>
      <c r="DU77" s="162">
        <f t="shared" si="198"/>
        <v>1.3800000000000008</v>
      </c>
      <c r="DV77" s="170">
        <f t="shared" si="199"/>
        <v>1.3800000000000008</v>
      </c>
      <c r="DW77" s="162">
        <f t="shared" si="129"/>
        <v>4.6147543624324552</v>
      </c>
      <c r="DX77" s="171">
        <f t="shared" si="200"/>
        <v>4.6147543624324552</v>
      </c>
      <c r="DY77" s="162"/>
      <c r="DZ77" s="162">
        <f t="shared" si="201"/>
        <v>1.3800000000000008</v>
      </c>
      <c r="EA77" s="162">
        <f t="shared" si="202"/>
        <v>1.3800000000000008</v>
      </c>
      <c r="EB77" s="162">
        <f t="shared" si="130"/>
        <v>4.6147543624324552</v>
      </c>
      <c r="EC77" s="171">
        <f t="shared" si="203"/>
        <v>4.6147543624324552</v>
      </c>
      <c r="ED77" s="162"/>
      <c r="EE77" s="162">
        <f t="shared" si="204"/>
        <v>1.3800000000000008</v>
      </c>
      <c r="EF77" s="170">
        <f t="shared" si="205"/>
        <v>1.3800000000000008</v>
      </c>
      <c r="EG77" s="162">
        <f t="shared" si="131"/>
        <v>4.6147543624324552</v>
      </c>
      <c r="EH77" s="171">
        <f t="shared" si="206"/>
        <v>4.6147543624324552</v>
      </c>
      <c r="EI77" s="162"/>
      <c r="EJ77" s="162">
        <f t="shared" si="207"/>
        <v>1.3800000000000008</v>
      </c>
      <c r="EK77" s="170">
        <f t="shared" si="208"/>
        <v>1.3800000000000008</v>
      </c>
      <c r="EL77" s="162">
        <f t="shared" si="132"/>
        <v>4.6147543624324552</v>
      </c>
      <c r="EM77" s="171">
        <f t="shared" si="209"/>
        <v>4.6147543624324552</v>
      </c>
      <c r="EN77" s="162"/>
      <c r="EO77" s="162">
        <f t="shared" si="210"/>
        <v>1.3800000000000008</v>
      </c>
      <c r="EP77" s="162">
        <f t="shared" si="211"/>
        <v>1.3800000000000008</v>
      </c>
      <c r="EQ77" s="162">
        <f t="shared" si="133"/>
        <v>4.6147543624324552</v>
      </c>
      <c r="ER77" s="171">
        <f t="shared" si="212"/>
        <v>4.6147543624324552</v>
      </c>
      <c r="ES77" s="162"/>
      <c r="ET77" s="162">
        <f t="shared" si="213"/>
        <v>1.3800000000000008</v>
      </c>
      <c r="EU77" s="170">
        <f t="shared" si="214"/>
        <v>1.3800000000000008</v>
      </c>
      <c r="EV77" s="162">
        <f t="shared" si="134"/>
        <v>4.6147543624324552</v>
      </c>
      <c r="EW77" s="171">
        <f t="shared" si="215"/>
        <v>4.6147543624324552</v>
      </c>
      <c r="EX77" s="162"/>
    </row>
    <row r="78" spans="20:154" s="181" customFormat="1" x14ac:dyDescent="0.25">
      <c r="T78" s="162">
        <f t="shared" si="135"/>
        <v>1.4000000000000008</v>
      </c>
      <c r="U78" s="170">
        <f t="shared" si="136"/>
        <v>1.4000000000000008</v>
      </c>
      <c r="V78" s="162">
        <f t="shared" si="108"/>
        <v>4.5839383642394385</v>
      </c>
      <c r="W78" s="171">
        <f t="shared" si="137"/>
        <v>4.5839383642394385</v>
      </c>
      <c r="X78" s="162"/>
      <c r="Y78" s="162">
        <f t="shared" si="138"/>
        <v>1.4000000000000008</v>
      </c>
      <c r="Z78" s="162">
        <f t="shared" si="139"/>
        <v>1.4000000000000008</v>
      </c>
      <c r="AA78" s="162">
        <f t="shared" si="109"/>
        <v>4.5839383642394385</v>
      </c>
      <c r="AB78" s="171">
        <f t="shared" si="140"/>
        <v>4.5839383642394385</v>
      </c>
      <c r="AC78" s="162"/>
      <c r="AD78" s="162">
        <f t="shared" si="141"/>
        <v>1.4000000000000008</v>
      </c>
      <c r="AE78" s="170">
        <f t="shared" si="142"/>
        <v>1.4000000000000008</v>
      </c>
      <c r="AF78" s="162">
        <f t="shared" si="110"/>
        <v>4.5839383642394385</v>
      </c>
      <c r="AG78" s="171">
        <f t="shared" si="143"/>
        <v>4.5839383642394385</v>
      </c>
      <c r="AH78" s="162"/>
      <c r="AI78" s="162">
        <f t="shared" si="144"/>
        <v>1.4000000000000008</v>
      </c>
      <c r="AJ78" s="170">
        <f t="shared" si="145"/>
        <v>1.4000000000000008</v>
      </c>
      <c r="AK78" s="162">
        <f t="shared" si="111"/>
        <v>4.5839383642394385</v>
      </c>
      <c r="AL78" s="171">
        <f t="shared" si="146"/>
        <v>4.5839383642394385</v>
      </c>
      <c r="AM78" s="162"/>
      <c r="AN78" s="162">
        <f t="shared" si="147"/>
        <v>1.4000000000000008</v>
      </c>
      <c r="AO78" s="162">
        <f t="shared" si="148"/>
        <v>1.4000000000000008</v>
      </c>
      <c r="AP78" s="162">
        <f t="shared" si="112"/>
        <v>4.5839383642394385</v>
      </c>
      <c r="AQ78" s="171">
        <f t="shared" si="149"/>
        <v>4.5839383642394385</v>
      </c>
      <c r="AR78" s="162"/>
      <c r="AS78" s="162">
        <f t="shared" si="150"/>
        <v>1.4000000000000008</v>
      </c>
      <c r="AT78" s="170">
        <f t="shared" si="151"/>
        <v>1.4000000000000008</v>
      </c>
      <c r="AU78" s="162">
        <f t="shared" si="113"/>
        <v>4.5839383642394385</v>
      </c>
      <c r="AV78" s="171">
        <f t="shared" si="152"/>
        <v>4.5839383642394385</v>
      </c>
      <c r="AW78" s="162"/>
      <c r="AX78" s="162">
        <f t="shared" si="153"/>
        <v>1.4000000000000008</v>
      </c>
      <c r="AY78" s="170">
        <f t="shared" si="154"/>
        <v>1.4000000000000008</v>
      </c>
      <c r="AZ78" s="162">
        <f t="shared" si="114"/>
        <v>4.5839383642394385</v>
      </c>
      <c r="BA78" s="171">
        <f t="shared" si="155"/>
        <v>4.5839383642394385</v>
      </c>
      <c r="BB78" s="162"/>
      <c r="BC78" s="162">
        <f t="shared" si="156"/>
        <v>1.4000000000000008</v>
      </c>
      <c r="BD78" s="162">
        <f t="shared" si="157"/>
        <v>1.4000000000000008</v>
      </c>
      <c r="BE78" s="162">
        <f t="shared" si="115"/>
        <v>4.5839383642394385</v>
      </c>
      <c r="BF78" s="171">
        <f t="shared" si="158"/>
        <v>4.5839383642394385</v>
      </c>
      <c r="BG78" s="162"/>
      <c r="BH78" s="162">
        <f t="shared" si="159"/>
        <v>1.4000000000000008</v>
      </c>
      <c r="BI78" s="170">
        <f t="shared" si="160"/>
        <v>1.4000000000000008</v>
      </c>
      <c r="BJ78" s="162">
        <f t="shared" si="116"/>
        <v>4.5839383642394385</v>
      </c>
      <c r="BK78" s="171">
        <f t="shared" si="161"/>
        <v>4.5839383642394385</v>
      </c>
      <c r="BL78" s="162"/>
      <c r="BM78" s="162">
        <f t="shared" si="162"/>
        <v>1.4000000000000008</v>
      </c>
      <c r="BN78" s="170">
        <f t="shared" si="163"/>
        <v>1.4000000000000008</v>
      </c>
      <c r="BO78" s="162">
        <f t="shared" si="117"/>
        <v>4.5839383642394385</v>
      </c>
      <c r="BP78" s="171">
        <f t="shared" si="164"/>
        <v>4.5839383642394385</v>
      </c>
      <c r="BQ78" s="162"/>
      <c r="BR78" s="162">
        <f t="shared" si="165"/>
        <v>1.4000000000000008</v>
      </c>
      <c r="BS78" s="162">
        <f t="shared" si="166"/>
        <v>1.4000000000000008</v>
      </c>
      <c r="BT78" s="162">
        <f t="shared" si="118"/>
        <v>4.5839383642394385</v>
      </c>
      <c r="BU78" s="171">
        <f t="shared" si="167"/>
        <v>4.5839383642394385</v>
      </c>
      <c r="BV78" s="162"/>
      <c r="BW78" s="162">
        <f t="shared" si="168"/>
        <v>1.4000000000000008</v>
      </c>
      <c r="BX78" s="170">
        <f t="shared" si="169"/>
        <v>1.4000000000000008</v>
      </c>
      <c r="BY78" s="162">
        <f t="shared" si="119"/>
        <v>4.5839383642394385</v>
      </c>
      <c r="BZ78" s="171">
        <f t="shared" si="170"/>
        <v>4.5839383642394385</v>
      </c>
      <c r="CA78" s="162"/>
      <c r="CB78" s="162">
        <f t="shared" si="171"/>
        <v>1.4000000000000008</v>
      </c>
      <c r="CC78" s="170">
        <f t="shared" si="172"/>
        <v>1.4000000000000008</v>
      </c>
      <c r="CD78" s="162">
        <f t="shared" si="120"/>
        <v>4.5839383642394385</v>
      </c>
      <c r="CE78" s="171">
        <f t="shared" si="173"/>
        <v>4.5839383642394385</v>
      </c>
      <c r="CF78" s="162"/>
      <c r="CG78" s="172">
        <f t="shared" si="174"/>
        <v>1.4000000000000008</v>
      </c>
      <c r="CH78" s="172">
        <f t="shared" si="175"/>
        <v>1.4000000000000008</v>
      </c>
      <c r="CI78" s="172">
        <f t="shared" si="121"/>
        <v>4.5839383642394385</v>
      </c>
      <c r="CJ78" s="171">
        <f t="shared" si="176"/>
        <v>4.5839383642394385</v>
      </c>
      <c r="CK78" s="172"/>
      <c r="CL78" s="162">
        <f t="shared" si="177"/>
        <v>1.4000000000000008</v>
      </c>
      <c r="CM78" s="170">
        <f t="shared" si="178"/>
        <v>1.4000000000000008</v>
      </c>
      <c r="CN78" s="162">
        <f t="shared" si="122"/>
        <v>4.5839383642394385</v>
      </c>
      <c r="CO78" s="171">
        <f t="shared" si="179"/>
        <v>4.5839383642394385</v>
      </c>
      <c r="CP78" s="162"/>
      <c r="CQ78" s="162">
        <f t="shared" si="180"/>
        <v>1.4000000000000008</v>
      </c>
      <c r="CR78" s="170">
        <f t="shared" si="181"/>
        <v>1.4000000000000008</v>
      </c>
      <c r="CS78" s="162">
        <f t="shared" si="123"/>
        <v>4.5839383642394385</v>
      </c>
      <c r="CT78" s="171">
        <f t="shared" si="182"/>
        <v>4.5839383642394385</v>
      </c>
      <c r="CU78" s="162"/>
      <c r="CV78" s="162">
        <f t="shared" si="183"/>
        <v>1.4000000000000008</v>
      </c>
      <c r="CW78" s="162">
        <f t="shared" si="184"/>
        <v>1.4000000000000008</v>
      </c>
      <c r="CX78" s="162">
        <f t="shared" si="124"/>
        <v>4.5839383642394385</v>
      </c>
      <c r="CY78" s="171">
        <f t="shared" si="185"/>
        <v>4.5839383642394385</v>
      </c>
      <c r="CZ78" s="162"/>
      <c r="DA78" s="162">
        <f t="shared" si="186"/>
        <v>1.4000000000000008</v>
      </c>
      <c r="DB78" s="170">
        <f t="shared" si="187"/>
        <v>1.4000000000000008</v>
      </c>
      <c r="DC78" s="162">
        <f t="shared" si="125"/>
        <v>4.5839383642394385</v>
      </c>
      <c r="DD78" s="171">
        <f t="shared" si="188"/>
        <v>4.5839383642394385</v>
      </c>
      <c r="DE78" s="162"/>
      <c r="DF78" s="162">
        <f t="shared" si="189"/>
        <v>1.4000000000000008</v>
      </c>
      <c r="DG78" s="170">
        <f t="shared" si="190"/>
        <v>1.4000000000000008</v>
      </c>
      <c r="DH78" s="162">
        <f t="shared" si="126"/>
        <v>4.5839383642394385</v>
      </c>
      <c r="DI78" s="171">
        <f t="shared" si="191"/>
        <v>4.5839383642394385</v>
      </c>
      <c r="DJ78" s="162"/>
      <c r="DK78" s="162">
        <f t="shared" si="192"/>
        <v>1.4000000000000008</v>
      </c>
      <c r="DL78" s="162">
        <f t="shared" si="193"/>
        <v>1.4000000000000008</v>
      </c>
      <c r="DM78" s="162">
        <f t="shared" si="127"/>
        <v>4.5839383642394385</v>
      </c>
      <c r="DN78" s="171">
        <f t="shared" si="194"/>
        <v>4.5839383642394385</v>
      </c>
      <c r="DO78" s="162"/>
      <c r="DP78" s="162">
        <f t="shared" si="195"/>
        <v>1.4000000000000008</v>
      </c>
      <c r="DQ78" s="170">
        <f t="shared" si="196"/>
        <v>1.4000000000000008</v>
      </c>
      <c r="DR78" s="162">
        <f t="shared" si="128"/>
        <v>4.5839383642394385</v>
      </c>
      <c r="DS78" s="171">
        <f t="shared" si="197"/>
        <v>4.5839383642394385</v>
      </c>
      <c r="DT78" s="162"/>
      <c r="DU78" s="162">
        <f t="shared" si="198"/>
        <v>1.4000000000000008</v>
      </c>
      <c r="DV78" s="170">
        <f t="shared" si="199"/>
        <v>1.4000000000000008</v>
      </c>
      <c r="DW78" s="162">
        <f t="shared" si="129"/>
        <v>4.5839383642394385</v>
      </c>
      <c r="DX78" s="171">
        <f t="shared" si="200"/>
        <v>4.5839383642394385</v>
      </c>
      <c r="DY78" s="162"/>
      <c r="DZ78" s="162">
        <f t="shared" si="201"/>
        <v>1.4000000000000008</v>
      </c>
      <c r="EA78" s="162">
        <f t="shared" si="202"/>
        <v>1.4000000000000008</v>
      </c>
      <c r="EB78" s="162">
        <f t="shared" si="130"/>
        <v>4.5839383642394385</v>
      </c>
      <c r="EC78" s="171">
        <f t="shared" si="203"/>
        <v>4.5839383642394385</v>
      </c>
      <c r="ED78" s="162"/>
      <c r="EE78" s="162">
        <f t="shared" si="204"/>
        <v>1.4000000000000008</v>
      </c>
      <c r="EF78" s="170">
        <f t="shared" si="205"/>
        <v>1.4000000000000008</v>
      </c>
      <c r="EG78" s="162">
        <f t="shared" si="131"/>
        <v>4.5839383642394385</v>
      </c>
      <c r="EH78" s="171">
        <f t="shared" si="206"/>
        <v>4.5839383642394385</v>
      </c>
      <c r="EI78" s="162"/>
      <c r="EJ78" s="162">
        <f t="shared" si="207"/>
        <v>1.4000000000000008</v>
      </c>
      <c r="EK78" s="170">
        <f t="shared" si="208"/>
        <v>1.4000000000000008</v>
      </c>
      <c r="EL78" s="162">
        <f t="shared" si="132"/>
        <v>4.5839383642394385</v>
      </c>
      <c r="EM78" s="171">
        <f t="shared" si="209"/>
        <v>4.5839383642394385</v>
      </c>
      <c r="EN78" s="162"/>
      <c r="EO78" s="162">
        <f t="shared" si="210"/>
        <v>1.4000000000000008</v>
      </c>
      <c r="EP78" s="162">
        <f t="shared" si="211"/>
        <v>1.4000000000000008</v>
      </c>
      <c r="EQ78" s="162">
        <f t="shared" si="133"/>
        <v>4.5839383642394385</v>
      </c>
      <c r="ER78" s="171">
        <f t="shared" si="212"/>
        <v>4.5839383642394385</v>
      </c>
      <c r="ES78" s="162"/>
      <c r="ET78" s="162">
        <f t="shared" si="213"/>
        <v>1.4000000000000008</v>
      </c>
      <c r="EU78" s="170">
        <f t="shared" si="214"/>
        <v>1.4000000000000008</v>
      </c>
      <c r="EV78" s="162">
        <f t="shared" si="134"/>
        <v>4.5839383642394385</v>
      </c>
      <c r="EW78" s="171">
        <f t="shared" si="215"/>
        <v>4.5839383642394385</v>
      </c>
      <c r="EX78" s="162"/>
    </row>
    <row r="79" spans="20:154" s="181" customFormat="1" x14ac:dyDescent="0.25">
      <c r="T79" s="162">
        <f t="shared" si="135"/>
        <v>1.4200000000000008</v>
      </c>
      <c r="U79" s="170">
        <f t="shared" si="136"/>
        <v>1.4200000000000008</v>
      </c>
      <c r="V79" s="162">
        <f t="shared" si="108"/>
        <v>4.550413853318573</v>
      </c>
      <c r="W79" s="171">
        <f t="shared" si="137"/>
        <v>4.550413853318573</v>
      </c>
      <c r="X79" s="162"/>
      <c r="Y79" s="162">
        <f t="shared" si="138"/>
        <v>1.4200000000000008</v>
      </c>
      <c r="Z79" s="162">
        <f t="shared" si="139"/>
        <v>1.4200000000000008</v>
      </c>
      <c r="AA79" s="162">
        <f t="shared" si="109"/>
        <v>4.550413853318573</v>
      </c>
      <c r="AB79" s="171">
        <f t="shared" si="140"/>
        <v>4.550413853318573</v>
      </c>
      <c r="AC79" s="162"/>
      <c r="AD79" s="162">
        <f t="shared" si="141"/>
        <v>1.4200000000000008</v>
      </c>
      <c r="AE79" s="170">
        <f t="shared" si="142"/>
        <v>1.4200000000000008</v>
      </c>
      <c r="AF79" s="162">
        <f t="shared" si="110"/>
        <v>4.550413853318573</v>
      </c>
      <c r="AG79" s="171">
        <f t="shared" si="143"/>
        <v>4.550413853318573</v>
      </c>
      <c r="AH79" s="162"/>
      <c r="AI79" s="162">
        <f t="shared" si="144"/>
        <v>1.4200000000000008</v>
      </c>
      <c r="AJ79" s="170">
        <f t="shared" si="145"/>
        <v>1.4200000000000008</v>
      </c>
      <c r="AK79" s="162">
        <f t="shared" si="111"/>
        <v>4.550413853318573</v>
      </c>
      <c r="AL79" s="171">
        <f t="shared" si="146"/>
        <v>4.550413853318573</v>
      </c>
      <c r="AM79" s="162"/>
      <c r="AN79" s="162">
        <f t="shared" si="147"/>
        <v>1.4200000000000008</v>
      </c>
      <c r="AO79" s="162">
        <f t="shared" si="148"/>
        <v>1.4200000000000008</v>
      </c>
      <c r="AP79" s="162">
        <f t="shared" si="112"/>
        <v>4.550413853318573</v>
      </c>
      <c r="AQ79" s="171">
        <f t="shared" si="149"/>
        <v>4.550413853318573</v>
      </c>
      <c r="AR79" s="162"/>
      <c r="AS79" s="162">
        <f t="shared" si="150"/>
        <v>1.4200000000000008</v>
      </c>
      <c r="AT79" s="170">
        <f t="shared" si="151"/>
        <v>1.4200000000000008</v>
      </c>
      <c r="AU79" s="162">
        <f t="shared" si="113"/>
        <v>4.550413853318573</v>
      </c>
      <c r="AV79" s="171">
        <f t="shared" si="152"/>
        <v>4.550413853318573</v>
      </c>
      <c r="AW79" s="162"/>
      <c r="AX79" s="162">
        <f t="shared" si="153"/>
        <v>1.4200000000000008</v>
      </c>
      <c r="AY79" s="170">
        <f t="shared" si="154"/>
        <v>1.4200000000000008</v>
      </c>
      <c r="AZ79" s="162">
        <f t="shared" si="114"/>
        <v>4.550413853318573</v>
      </c>
      <c r="BA79" s="171">
        <f t="shared" si="155"/>
        <v>4.550413853318573</v>
      </c>
      <c r="BB79" s="162"/>
      <c r="BC79" s="162">
        <f t="shared" si="156"/>
        <v>1.4200000000000008</v>
      </c>
      <c r="BD79" s="162">
        <f t="shared" si="157"/>
        <v>1.4200000000000008</v>
      </c>
      <c r="BE79" s="162">
        <f t="shared" si="115"/>
        <v>4.550413853318573</v>
      </c>
      <c r="BF79" s="171">
        <f t="shared" si="158"/>
        <v>4.550413853318573</v>
      </c>
      <c r="BG79" s="162"/>
      <c r="BH79" s="162">
        <f t="shared" si="159"/>
        <v>1.4200000000000008</v>
      </c>
      <c r="BI79" s="170">
        <f t="shared" si="160"/>
        <v>1.4200000000000008</v>
      </c>
      <c r="BJ79" s="162">
        <f t="shared" si="116"/>
        <v>4.550413853318573</v>
      </c>
      <c r="BK79" s="171">
        <f t="shared" si="161"/>
        <v>4.550413853318573</v>
      </c>
      <c r="BL79" s="162"/>
      <c r="BM79" s="162">
        <f t="shared" si="162"/>
        <v>1.4200000000000008</v>
      </c>
      <c r="BN79" s="170">
        <f t="shared" si="163"/>
        <v>1.4200000000000008</v>
      </c>
      <c r="BO79" s="162">
        <f t="shared" si="117"/>
        <v>4.550413853318573</v>
      </c>
      <c r="BP79" s="171">
        <f t="shared" si="164"/>
        <v>4.550413853318573</v>
      </c>
      <c r="BQ79" s="162"/>
      <c r="BR79" s="162">
        <f t="shared" si="165"/>
        <v>1.4200000000000008</v>
      </c>
      <c r="BS79" s="162">
        <f t="shared" si="166"/>
        <v>1.4200000000000008</v>
      </c>
      <c r="BT79" s="162">
        <f t="shared" si="118"/>
        <v>4.550413853318573</v>
      </c>
      <c r="BU79" s="171">
        <f t="shared" si="167"/>
        <v>4.550413853318573</v>
      </c>
      <c r="BV79" s="162"/>
      <c r="BW79" s="162">
        <f t="shared" si="168"/>
        <v>1.4200000000000008</v>
      </c>
      <c r="BX79" s="170">
        <f t="shared" si="169"/>
        <v>1.4200000000000008</v>
      </c>
      <c r="BY79" s="162">
        <f t="shared" si="119"/>
        <v>4.550413853318573</v>
      </c>
      <c r="BZ79" s="171">
        <f t="shared" si="170"/>
        <v>4.550413853318573</v>
      </c>
      <c r="CA79" s="162"/>
      <c r="CB79" s="162">
        <f t="shared" si="171"/>
        <v>1.4200000000000008</v>
      </c>
      <c r="CC79" s="170">
        <f t="shared" si="172"/>
        <v>1.4200000000000008</v>
      </c>
      <c r="CD79" s="162">
        <f t="shared" si="120"/>
        <v>4.550413853318573</v>
      </c>
      <c r="CE79" s="171">
        <f t="shared" si="173"/>
        <v>4.550413853318573</v>
      </c>
      <c r="CF79" s="162"/>
      <c r="CG79" s="172">
        <f t="shared" si="174"/>
        <v>1.4200000000000008</v>
      </c>
      <c r="CH79" s="172">
        <f t="shared" si="175"/>
        <v>1.4200000000000008</v>
      </c>
      <c r="CI79" s="172">
        <f t="shared" si="121"/>
        <v>4.550413853318573</v>
      </c>
      <c r="CJ79" s="171">
        <f t="shared" si="176"/>
        <v>4.550413853318573</v>
      </c>
      <c r="CK79" s="172"/>
      <c r="CL79" s="162">
        <f t="shared" si="177"/>
        <v>1.4200000000000008</v>
      </c>
      <c r="CM79" s="170">
        <f t="shared" si="178"/>
        <v>1.4200000000000008</v>
      </c>
      <c r="CN79" s="162">
        <f t="shared" si="122"/>
        <v>4.550413853318573</v>
      </c>
      <c r="CO79" s="171">
        <f t="shared" si="179"/>
        <v>4.550413853318573</v>
      </c>
      <c r="CP79" s="162"/>
      <c r="CQ79" s="162">
        <f t="shared" si="180"/>
        <v>1.4200000000000008</v>
      </c>
      <c r="CR79" s="170">
        <f t="shared" si="181"/>
        <v>1.4200000000000008</v>
      </c>
      <c r="CS79" s="162">
        <f t="shared" si="123"/>
        <v>4.550413853318573</v>
      </c>
      <c r="CT79" s="171">
        <f t="shared" si="182"/>
        <v>4.550413853318573</v>
      </c>
      <c r="CU79" s="162"/>
      <c r="CV79" s="162">
        <f t="shared" si="183"/>
        <v>1.4200000000000008</v>
      </c>
      <c r="CW79" s="162">
        <f t="shared" si="184"/>
        <v>1.4200000000000008</v>
      </c>
      <c r="CX79" s="162">
        <f t="shared" si="124"/>
        <v>4.550413853318573</v>
      </c>
      <c r="CY79" s="171">
        <f t="shared" si="185"/>
        <v>4.550413853318573</v>
      </c>
      <c r="CZ79" s="162"/>
      <c r="DA79" s="162">
        <f t="shared" si="186"/>
        <v>1.4200000000000008</v>
      </c>
      <c r="DB79" s="170">
        <f t="shared" si="187"/>
        <v>1.4200000000000008</v>
      </c>
      <c r="DC79" s="162">
        <f t="shared" si="125"/>
        <v>4.550413853318573</v>
      </c>
      <c r="DD79" s="171">
        <f t="shared" si="188"/>
        <v>4.550413853318573</v>
      </c>
      <c r="DE79" s="162"/>
      <c r="DF79" s="162">
        <f t="shared" si="189"/>
        <v>1.4200000000000008</v>
      </c>
      <c r="DG79" s="170">
        <f t="shared" si="190"/>
        <v>1.4200000000000008</v>
      </c>
      <c r="DH79" s="162">
        <f t="shared" si="126"/>
        <v>4.550413853318573</v>
      </c>
      <c r="DI79" s="171">
        <f t="shared" si="191"/>
        <v>4.550413853318573</v>
      </c>
      <c r="DJ79" s="162"/>
      <c r="DK79" s="162">
        <f t="shared" si="192"/>
        <v>1.4200000000000008</v>
      </c>
      <c r="DL79" s="162">
        <f t="shared" si="193"/>
        <v>1.4200000000000008</v>
      </c>
      <c r="DM79" s="162">
        <f t="shared" si="127"/>
        <v>4.550413853318573</v>
      </c>
      <c r="DN79" s="171">
        <f t="shared" si="194"/>
        <v>4.550413853318573</v>
      </c>
      <c r="DO79" s="162"/>
      <c r="DP79" s="162">
        <f t="shared" si="195"/>
        <v>1.4200000000000008</v>
      </c>
      <c r="DQ79" s="170">
        <f t="shared" si="196"/>
        <v>1.4200000000000008</v>
      </c>
      <c r="DR79" s="162">
        <f t="shared" si="128"/>
        <v>4.550413853318573</v>
      </c>
      <c r="DS79" s="171">
        <f t="shared" si="197"/>
        <v>4.550413853318573</v>
      </c>
      <c r="DT79" s="162"/>
      <c r="DU79" s="162">
        <f t="shared" si="198"/>
        <v>1.4200000000000008</v>
      </c>
      <c r="DV79" s="170">
        <f t="shared" si="199"/>
        <v>1.4200000000000008</v>
      </c>
      <c r="DW79" s="162">
        <f t="shared" si="129"/>
        <v>4.550413853318573</v>
      </c>
      <c r="DX79" s="171">
        <f t="shared" si="200"/>
        <v>4.550413853318573</v>
      </c>
      <c r="DY79" s="162"/>
      <c r="DZ79" s="162">
        <f t="shared" si="201"/>
        <v>1.4200000000000008</v>
      </c>
      <c r="EA79" s="162">
        <f t="shared" si="202"/>
        <v>1.4200000000000008</v>
      </c>
      <c r="EB79" s="162">
        <f t="shared" si="130"/>
        <v>4.550413853318573</v>
      </c>
      <c r="EC79" s="171">
        <f t="shared" si="203"/>
        <v>4.550413853318573</v>
      </c>
      <c r="ED79" s="162"/>
      <c r="EE79" s="162">
        <f t="shared" si="204"/>
        <v>1.4200000000000008</v>
      </c>
      <c r="EF79" s="170">
        <f t="shared" si="205"/>
        <v>1.4200000000000008</v>
      </c>
      <c r="EG79" s="162">
        <f t="shared" si="131"/>
        <v>4.550413853318573</v>
      </c>
      <c r="EH79" s="171">
        <f t="shared" si="206"/>
        <v>4.550413853318573</v>
      </c>
      <c r="EI79" s="162"/>
      <c r="EJ79" s="162">
        <f t="shared" si="207"/>
        <v>1.4200000000000008</v>
      </c>
      <c r="EK79" s="170">
        <f t="shared" si="208"/>
        <v>1.4200000000000008</v>
      </c>
      <c r="EL79" s="162">
        <f t="shared" si="132"/>
        <v>4.550413853318573</v>
      </c>
      <c r="EM79" s="171">
        <f t="shared" si="209"/>
        <v>4.550413853318573</v>
      </c>
      <c r="EN79" s="162"/>
      <c r="EO79" s="162">
        <f t="shared" si="210"/>
        <v>1.4200000000000008</v>
      </c>
      <c r="EP79" s="162">
        <f t="shared" si="211"/>
        <v>1.4200000000000008</v>
      </c>
      <c r="EQ79" s="162">
        <f t="shared" si="133"/>
        <v>4.550413853318573</v>
      </c>
      <c r="ER79" s="171">
        <f t="shared" si="212"/>
        <v>4.550413853318573</v>
      </c>
      <c r="ES79" s="162"/>
      <c r="ET79" s="162">
        <f t="shared" si="213"/>
        <v>1.4200000000000008</v>
      </c>
      <c r="EU79" s="170">
        <f t="shared" si="214"/>
        <v>1.4200000000000008</v>
      </c>
      <c r="EV79" s="162">
        <f t="shared" si="134"/>
        <v>4.550413853318573</v>
      </c>
      <c r="EW79" s="171">
        <f t="shared" si="215"/>
        <v>4.550413853318573</v>
      </c>
      <c r="EX79" s="162"/>
    </row>
    <row r="80" spans="20:154" s="181" customFormat="1" x14ac:dyDescent="0.25">
      <c r="T80" s="162">
        <f t="shared" si="135"/>
        <v>1.4400000000000008</v>
      </c>
      <c r="U80" s="170">
        <f t="shared" si="136"/>
        <v>1.4400000000000008</v>
      </c>
      <c r="V80" s="162">
        <f t="shared" si="108"/>
        <v>4.5141808296698596</v>
      </c>
      <c r="W80" s="171">
        <f t="shared" si="137"/>
        <v>4.5141808296698596</v>
      </c>
      <c r="X80" s="162"/>
      <c r="Y80" s="162">
        <f t="shared" si="138"/>
        <v>1.4400000000000008</v>
      </c>
      <c r="Z80" s="162">
        <f t="shared" si="139"/>
        <v>1.4400000000000008</v>
      </c>
      <c r="AA80" s="162">
        <f t="shared" si="109"/>
        <v>4.5141808296698596</v>
      </c>
      <c r="AB80" s="171">
        <f t="shared" si="140"/>
        <v>4.5141808296698596</v>
      </c>
      <c r="AC80" s="162"/>
      <c r="AD80" s="162">
        <f t="shared" si="141"/>
        <v>1.4400000000000008</v>
      </c>
      <c r="AE80" s="170">
        <f t="shared" si="142"/>
        <v>1.4400000000000008</v>
      </c>
      <c r="AF80" s="162">
        <f t="shared" si="110"/>
        <v>4.5141808296698596</v>
      </c>
      <c r="AG80" s="171">
        <f t="shared" si="143"/>
        <v>4.5141808296698596</v>
      </c>
      <c r="AH80" s="162"/>
      <c r="AI80" s="162">
        <f t="shared" si="144"/>
        <v>1.4400000000000008</v>
      </c>
      <c r="AJ80" s="170">
        <f t="shared" si="145"/>
        <v>1.4400000000000008</v>
      </c>
      <c r="AK80" s="162">
        <f t="shared" si="111"/>
        <v>4.5141808296698596</v>
      </c>
      <c r="AL80" s="171">
        <f t="shared" si="146"/>
        <v>4.5141808296698596</v>
      </c>
      <c r="AM80" s="162"/>
      <c r="AN80" s="162">
        <f t="shared" si="147"/>
        <v>1.4400000000000008</v>
      </c>
      <c r="AO80" s="162">
        <f t="shared" si="148"/>
        <v>1.4400000000000008</v>
      </c>
      <c r="AP80" s="162">
        <f t="shared" si="112"/>
        <v>4.5141808296698596</v>
      </c>
      <c r="AQ80" s="171">
        <f t="shared" si="149"/>
        <v>4.5141808296698596</v>
      </c>
      <c r="AR80" s="162"/>
      <c r="AS80" s="162">
        <f t="shared" si="150"/>
        <v>1.4400000000000008</v>
      </c>
      <c r="AT80" s="170">
        <f t="shared" si="151"/>
        <v>1.4400000000000008</v>
      </c>
      <c r="AU80" s="162">
        <f t="shared" si="113"/>
        <v>4.5141808296698596</v>
      </c>
      <c r="AV80" s="171">
        <f t="shared" si="152"/>
        <v>4.5141808296698596</v>
      </c>
      <c r="AW80" s="162"/>
      <c r="AX80" s="162">
        <f t="shared" si="153"/>
        <v>1.4400000000000008</v>
      </c>
      <c r="AY80" s="170">
        <f t="shared" si="154"/>
        <v>1.4400000000000008</v>
      </c>
      <c r="AZ80" s="162">
        <f t="shared" si="114"/>
        <v>4.5141808296698596</v>
      </c>
      <c r="BA80" s="171">
        <f t="shared" si="155"/>
        <v>4.5141808296698596</v>
      </c>
      <c r="BB80" s="162"/>
      <c r="BC80" s="162">
        <f t="shared" si="156"/>
        <v>1.4400000000000008</v>
      </c>
      <c r="BD80" s="162">
        <f t="shared" si="157"/>
        <v>1.4400000000000008</v>
      </c>
      <c r="BE80" s="162">
        <f t="shared" si="115"/>
        <v>4.5141808296698596</v>
      </c>
      <c r="BF80" s="171">
        <f t="shared" si="158"/>
        <v>4.5141808296698596</v>
      </c>
      <c r="BG80" s="162"/>
      <c r="BH80" s="162">
        <f t="shared" si="159"/>
        <v>1.4400000000000008</v>
      </c>
      <c r="BI80" s="170">
        <f t="shared" si="160"/>
        <v>1.4400000000000008</v>
      </c>
      <c r="BJ80" s="162">
        <f t="shared" si="116"/>
        <v>4.5141808296698596</v>
      </c>
      <c r="BK80" s="171">
        <f t="shared" si="161"/>
        <v>4.5141808296698596</v>
      </c>
      <c r="BL80" s="162"/>
      <c r="BM80" s="162">
        <f t="shared" si="162"/>
        <v>1.4400000000000008</v>
      </c>
      <c r="BN80" s="170">
        <f t="shared" si="163"/>
        <v>1.4400000000000008</v>
      </c>
      <c r="BO80" s="162">
        <f t="shared" si="117"/>
        <v>4.5141808296698596</v>
      </c>
      <c r="BP80" s="171">
        <f t="shared" si="164"/>
        <v>4.5141808296698596</v>
      </c>
      <c r="BQ80" s="162"/>
      <c r="BR80" s="162">
        <f t="shared" si="165"/>
        <v>1.4400000000000008</v>
      </c>
      <c r="BS80" s="162">
        <f t="shared" si="166"/>
        <v>1.4400000000000008</v>
      </c>
      <c r="BT80" s="162">
        <f t="shared" si="118"/>
        <v>4.5141808296698596</v>
      </c>
      <c r="BU80" s="171">
        <f t="shared" si="167"/>
        <v>4.5141808296698596</v>
      </c>
      <c r="BV80" s="162"/>
      <c r="BW80" s="162">
        <f t="shared" si="168"/>
        <v>1.4400000000000008</v>
      </c>
      <c r="BX80" s="170">
        <f t="shared" si="169"/>
        <v>1.4400000000000008</v>
      </c>
      <c r="BY80" s="162">
        <f t="shared" si="119"/>
        <v>4.5141808296698596</v>
      </c>
      <c r="BZ80" s="171">
        <f t="shared" si="170"/>
        <v>4.5141808296698596</v>
      </c>
      <c r="CA80" s="162"/>
      <c r="CB80" s="162">
        <f t="shared" si="171"/>
        <v>1.4400000000000008</v>
      </c>
      <c r="CC80" s="170">
        <f t="shared" si="172"/>
        <v>1.4400000000000008</v>
      </c>
      <c r="CD80" s="162">
        <f t="shared" si="120"/>
        <v>4.5141808296698596</v>
      </c>
      <c r="CE80" s="171">
        <f t="shared" si="173"/>
        <v>4.5141808296698596</v>
      </c>
      <c r="CF80" s="162"/>
      <c r="CG80" s="172">
        <f t="shared" si="174"/>
        <v>1.4400000000000008</v>
      </c>
      <c r="CH80" s="172">
        <f t="shared" si="175"/>
        <v>1.4400000000000008</v>
      </c>
      <c r="CI80" s="172">
        <f t="shared" si="121"/>
        <v>4.5141808296698596</v>
      </c>
      <c r="CJ80" s="171">
        <f t="shared" si="176"/>
        <v>4.5141808296698596</v>
      </c>
      <c r="CK80" s="172"/>
      <c r="CL80" s="162">
        <f t="shared" si="177"/>
        <v>1.4400000000000008</v>
      </c>
      <c r="CM80" s="170">
        <f t="shared" si="178"/>
        <v>1.4400000000000008</v>
      </c>
      <c r="CN80" s="162">
        <f t="shared" si="122"/>
        <v>4.5141808296698596</v>
      </c>
      <c r="CO80" s="171">
        <f t="shared" si="179"/>
        <v>4.5141808296698596</v>
      </c>
      <c r="CP80" s="162"/>
      <c r="CQ80" s="162">
        <f t="shared" si="180"/>
        <v>1.4400000000000008</v>
      </c>
      <c r="CR80" s="170">
        <f t="shared" si="181"/>
        <v>1.4400000000000008</v>
      </c>
      <c r="CS80" s="162">
        <f t="shared" si="123"/>
        <v>4.5141808296698596</v>
      </c>
      <c r="CT80" s="171">
        <f t="shared" si="182"/>
        <v>4.5141808296698596</v>
      </c>
      <c r="CU80" s="162"/>
      <c r="CV80" s="162">
        <f t="shared" si="183"/>
        <v>1.4400000000000008</v>
      </c>
      <c r="CW80" s="162">
        <f t="shared" si="184"/>
        <v>1.4400000000000008</v>
      </c>
      <c r="CX80" s="162">
        <f t="shared" si="124"/>
        <v>4.5141808296698596</v>
      </c>
      <c r="CY80" s="171">
        <f t="shared" si="185"/>
        <v>4.5141808296698596</v>
      </c>
      <c r="CZ80" s="162"/>
      <c r="DA80" s="162">
        <f t="shared" si="186"/>
        <v>1.4400000000000008</v>
      </c>
      <c r="DB80" s="170">
        <f t="shared" si="187"/>
        <v>1.4400000000000008</v>
      </c>
      <c r="DC80" s="162">
        <f t="shared" si="125"/>
        <v>4.5141808296698596</v>
      </c>
      <c r="DD80" s="171">
        <f t="shared" si="188"/>
        <v>4.5141808296698596</v>
      </c>
      <c r="DE80" s="162"/>
      <c r="DF80" s="162">
        <f t="shared" si="189"/>
        <v>1.4400000000000008</v>
      </c>
      <c r="DG80" s="170">
        <f t="shared" si="190"/>
        <v>1.4400000000000008</v>
      </c>
      <c r="DH80" s="162">
        <f t="shared" si="126"/>
        <v>4.5141808296698596</v>
      </c>
      <c r="DI80" s="171">
        <f t="shared" si="191"/>
        <v>4.5141808296698596</v>
      </c>
      <c r="DJ80" s="162"/>
      <c r="DK80" s="162">
        <f t="shared" si="192"/>
        <v>1.4400000000000008</v>
      </c>
      <c r="DL80" s="162">
        <f t="shared" si="193"/>
        <v>1.4400000000000008</v>
      </c>
      <c r="DM80" s="162">
        <f t="shared" si="127"/>
        <v>4.5141808296698596</v>
      </c>
      <c r="DN80" s="171">
        <f t="shared" si="194"/>
        <v>4.5141808296698596</v>
      </c>
      <c r="DO80" s="162"/>
      <c r="DP80" s="162">
        <f t="shared" si="195"/>
        <v>1.4400000000000008</v>
      </c>
      <c r="DQ80" s="170">
        <f t="shared" si="196"/>
        <v>1.4400000000000008</v>
      </c>
      <c r="DR80" s="162">
        <f t="shared" si="128"/>
        <v>4.5141808296698596</v>
      </c>
      <c r="DS80" s="171">
        <f t="shared" si="197"/>
        <v>4.5141808296698596</v>
      </c>
      <c r="DT80" s="162"/>
      <c r="DU80" s="162">
        <f t="shared" si="198"/>
        <v>1.4400000000000008</v>
      </c>
      <c r="DV80" s="170">
        <f t="shared" si="199"/>
        <v>1.4400000000000008</v>
      </c>
      <c r="DW80" s="162">
        <f t="shared" si="129"/>
        <v>4.5141808296698596</v>
      </c>
      <c r="DX80" s="171">
        <f t="shared" si="200"/>
        <v>4.5141808296698596</v>
      </c>
      <c r="DY80" s="162"/>
      <c r="DZ80" s="162">
        <f t="shared" si="201"/>
        <v>1.4400000000000008</v>
      </c>
      <c r="EA80" s="162">
        <f t="shared" si="202"/>
        <v>1.4400000000000008</v>
      </c>
      <c r="EB80" s="162">
        <f t="shared" si="130"/>
        <v>4.5141808296698596</v>
      </c>
      <c r="EC80" s="171">
        <f t="shared" si="203"/>
        <v>4.5141808296698596</v>
      </c>
      <c r="ED80" s="162"/>
      <c r="EE80" s="162">
        <f t="shared" si="204"/>
        <v>1.4400000000000008</v>
      </c>
      <c r="EF80" s="170">
        <f t="shared" si="205"/>
        <v>1.4400000000000008</v>
      </c>
      <c r="EG80" s="162">
        <f t="shared" si="131"/>
        <v>4.5141808296698596</v>
      </c>
      <c r="EH80" s="171">
        <f t="shared" si="206"/>
        <v>4.5141808296698596</v>
      </c>
      <c r="EI80" s="162"/>
      <c r="EJ80" s="162">
        <f t="shared" si="207"/>
        <v>1.4400000000000008</v>
      </c>
      <c r="EK80" s="170">
        <f t="shared" si="208"/>
        <v>1.4400000000000008</v>
      </c>
      <c r="EL80" s="162">
        <f t="shared" si="132"/>
        <v>4.5141808296698596</v>
      </c>
      <c r="EM80" s="171">
        <f t="shared" si="209"/>
        <v>4.5141808296698596</v>
      </c>
      <c r="EN80" s="162"/>
      <c r="EO80" s="162">
        <f t="shared" si="210"/>
        <v>1.4400000000000008</v>
      </c>
      <c r="EP80" s="162">
        <f t="shared" si="211"/>
        <v>1.4400000000000008</v>
      </c>
      <c r="EQ80" s="162">
        <f t="shared" si="133"/>
        <v>4.5141808296698596</v>
      </c>
      <c r="ER80" s="171">
        <f t="shared" si="212"/>
        <v>4.5141808296698596</v>
      </c>
      <c r="ES80" s="162"/>
      <c r="ET80" s="162">
        <f t="shared" si="213"/>
        <v>1.4400000000000008</v>
      </c>
      <c r="EU80" s="170">
        <f t="shared" si="214"/>
        <v>1.4400000000000008</v>
      </c>
      <c r="EV80" s="162">
        <f t="shared" si="134"/>
        <v>4.5141808296698596</v>
      </c>
      <c r="EW80" s="171">
        <f t="shared" si="215"/>
        <v>4.5141808296698596</v>
      </c>
      <c r="EX80" s="162"/>
    </row>
    <row r="81" spans="20:154" s="181" customFormat="1" x14ac:dyDescent="0.25">
      <c r="T81" s="162">
        <f t="shared" si="135"/>
        <v>1.4600000000000009</v>
      </c>
      <c r="U81" s="170">
        <f t="shared" si="136"/>
        <v>1.4600000000000009</v>
      </c>
      <c r="V81" s="162">
        <f t="shared" si="108"/>
        <v>4.4752392932933001</v>
      </c>
      <c r="W81" s="171">
        <f t="shared" si="137"/>
        <v>4.4752392932933001</v>
      </c>
      <c r="X81" s="162"/>
      <c r="Y81" s="162">
        <f t="shared" si="138"/>
        <v>1.4600000000000009</v>
      </c>
      <c r="Z81" s="162">
        <f t="shared" si="139"/>
        <v>1.4600000000000009</v>
      </c>
      <c r="AA81" s="162">
        <f t="shared" si="109"/>
        <v>4.4752392932933001</v>
      </c>
      <c r="AB81" s="171">
        <f t="shared" si="140"/>
        <v>4.4752392932933001</v>
      </c>
      <c r="AC81" s="162"/>
      <c r="AD81" s="162">
        <f t="shared" si="141"/>
        <v>1.4600000000000009</v>
      </c>
      <c r="AE81" s="170">
        <f t="shared" si="142"/>
        <v>1.4600000000000009</v>
      </c>
      <c r="AF81" s="162">
        <f t="shared" si="110"/>
        <v>4.4752392932933001</v>
      </c>
      <c r="AG81" s="171">
        <f t="shared" si="143"/>
        <v>4.4752392932933001</v>
      </c>
      <c r="AH81" s="162"/>
      <c r="AI81" s="162">
        <f t="shared" si="144"/>
        <v>1.4600000000000009</v>
      </c>
      <c r="AJ81" s="170">
        <f t="shared" si="145"/>
        <v>1.4600000000000009</v>
      </c>
      <c r="AK81" s="162">
        <f t="shared" si="111"/>
        <v>4.4752392932933001</v>
      </c>
      <c r="AL81" s="171">
        <f t="shared" si="146"/>
        <v>4.4752392932933001</v>
      </c>
      <c r="AM81" s="162"/>
      <c r="AN81" s="162">
        <f t="shared" si="147"/>
        <v>1.4600000000000009</v>
      </c>
      <c r="AO81" s="162">
        <f t="shared" si="148"/>
        <v>1.4600000000000009</v>
      </c>
      <c r="AP81" s="162">
        <f t="shared" si="112"/>
        <v>4.4752392932933001</v>
      </c>
      <c r="AQ81" s="171">
        <f t="shared" si="149"/>
        <v>4.4752392932933001</v>
      </c>
      <c r="AR81" s="162"/>
      <c r="AS81" s="162">
        <f t="shared" si="150"/>
        <v>1.4600000000000009</v>
      </c>
      <c r="AT81" s="170">
        <f t="shared" si="151"/>
        <v>1.4600000000000009</v>
      </c>
      <c r="AU81" s="162">
        <f t="shared" si="113"/>
        <v>4.4752392932933001</v>
      </c>
      <c r="AV81" s="171">
        <f t="shared" si="152"/>
        <v>4.4752392932933001</v>
      </c>
      <c r="AW81" s="162"/>
      <c r="AX81" s="162">
        <f t="shared" si="153"/>
        <v>1.4600000000000009</v>
      </c>
      <c r="AY81" s="170">
        <f t="shared" si="154"/>
        <v>1.4600000000000009</v>
      </c>
      <c r="AZ81" s="162">
        <f t="shared" si="114"/>
        <v>4.4752392932933001</v>
      </c>
      <c r="BA81" s="171">
        <f t="shared" si="155"/>
        <v>4.4752392932933001</v>
      </c>
      <c r="BB81" s="162"/>
      <c r="BC81" s="162">
        <f t="shared" si="156"/>
        <v>1.4600000000000009</v>
      </c>
      <c r="BD81" s="162">
        <f t="shared" si="157"/>
        <v>1.4600000000000009</v>
      </c>
      <c r="BE81" s="162">
        <f t="shared" si="115"/>
        <v>4.4752392932933001</v>
      </c>
      <c r="BF81" s="171">
        <f t="shared" si="158"/>
        <v>4.4752392932933001</v>
      </c>
      <c r="BG81" s="162"/>
      <c r="BH81" s="162">
        <f t="shared" si="159"/>
        <v>1.4600000000000009</v>
      </c>
      <c r="BI81" s="170">
        <f t="shared" si="160"/>
        <v>1.4600000000000009</v>
      </c>
      <c r="BJ81" s="162">
        <f t="shared" si="116"/>
        <v>4.4752392932933001</v>
      </c>
      <c r="BK81" s="171">
        <f t="shared" si="161"/>
        <v>4.4752392932933001</v>
      </c>
      <c r="BL81" s="162"/>
      <c r="BM81" s="162">
        <f t="shared" si="162"/>
        <v>1.4600000000000009</v>
      </c>
      <c r="BN81" s="170">
        <f t="shared" si="163"/>
        <v>1.4600000000000009</v>
      </c>
      <c r="BO81" s="162">
        <f t="shared" si="117"/>
        <v>4.4752392932933001</v>
      </c>
      <c r="BP81" s="171">
        <f t="shared" si="164"/>
        <v>4.4752392932933001</v>
      </c>
      <c r="BQ81" s="162"/>
      <c r="BR81" s="162">
        <f t="shared" si="165"/>
        <v>1.4600000000000009</v>
      </c>
      <c r="BS81" s="162">
        <f t="shared" si="166"/>
        <v>1.4600000000000009</v>
      </c>
      <c r="BT81" s="162">
        <f t="shared" si="118"/>
        <v>4.4752392932933001</v>
      </c>
      <c r="BU81" s="171">
        <f t="shared" si="167"/>
        <v>4.4752392932933001</v>
      </c>
      <c r="BV81" s="162"/>
      <c r="BW81" s="162">
        <f t="shared" si="168"/>
        <v>1.4600000000000009</v>
      </c>
      <c r="BX81" s="170">
        <f t="shared" si="169"/>
        <v>1.4600000000000009</v>
      </c>
      <c r="BY81" s="162">
        <f t="shared" si="119"/>
        <v>4.4752392932933001</v>
      </c>
      <c r="BZ81" s="171">
        <f t="shared" si="170"/>
        <v>4.4752392932933001</v>
      </c>
      <c r="CA81" s="162"/>
      <c r="CB81" s="162">
        <f t="shared" si="171"/>
        <v>1.4600000000000009</v>
      </c>
      <c r="CC81" s="170">
        <f t="shared" si="172"/>
        <v>1.4600000000000009</v>
      </c>
      <c r="CD81" s="162">
        <f t="shared" si="120"/>
        <v>4.4752392932933001</v>
      </c>
      <c r="CE81" s="171">
        <f t="shared" si="173"/>
        <v>4.4752392932933001</v>
      </c>
      <c r="CF81" s="162"/>
      <c r="CG81" s="172">
        <f t="shared" si="174"/>
        <v>1.4600000000000009</v>
      </c>
      <c r="CH81" s="172">
        <f t="shared" si="175"/>
        <v>1.4600000000000009</v>
      </c>
      <c r="CI81" s="172">
        <f t="shared" si="121"/>
        <v>4.4752392932933001</v>
      </c>
      <c r="CJ81" s="171">
        <f t="shared" si="176"/>
        <v>4.4752392932933001</v>
      </c>
      <c r="CK81" s="172"/>
      <c r="CL81" s="162">
        <f t="shared" si="177"/>
        <v>1.4600000000000009</v>
      </c>
      <c r="CM81" s="170">
        <f t="shared" si="178"/>
        <v>1.4600000000000009</v>
      </c>
      <c r="CN81" s="162">
        <f t="shared" si="122"/>
        <v>4.4752392932933001</v>
      </c>
      <c r="CO81" s="171">
        <f t="shared" si="179"/>
        <v>4.4752392932933001</v>
      </c>
      <c r="CP81" s="162"/>
      <c r="CQ81" s="162">
        <f t="shared" si="180"/>
        <v>1.4600000000000009</v>
      </c>
      <c r="CR81" s="170">
        <f t="shared" si="181"/>
        <v>1.4600000000000009</v>
      </c>
      <c r="CS81" s="162">
        <f t="shared" si="123"/>
        <v>4.4752392932933001</v>
      </c>
      <c r="CT81" s="171">
        <f t="shared" si="182"/>
        <v>4.4752392932933001</v>
      </c>
      <c r="CU81" s="162"/>
      <c r="CV81" s="162">
        <f t="shared" si="183"/>
        <v>1.4600000000000009</v>
      </c>
      <c r="CW81" s="162">
        <f t="shared" si="184"/>
        <v>1.4600000000000009</v>
      </c>
      <c r="CX81" s="162">
        <f t="shared" si="124"/>
        <v>4.4752392932933001</v>
      </c>
      <c r="CY81" s="171">
        <f t="shared" si="185"/>
        <v>4.4752392932933001</v>
      </c>
      <c r="CZ81" s="162"/>
      <c r="DA81" s="162">
        <f t="shared" si="186"/>
        <v>1.4600000000000009</v>
      </c>
      <c r="DB81" s="170">
        <f t="shared" si="187"/>
        <v>1.4600000000000009</v>
      </c>
      <c r="DC81" s="162">
        <f t="shared" si="125"/>
        <v>4.4752392932933001</v>
      </c>
      <c r="DD81" s="171">
        <f t="shared" si="188"/>
        <v>4.4752392932933001</v>
      </c>
      <c r="DE81" s="162"/>
      <c r="DF81" s="162">
        <f t="shared" si="189"/>
        <v>1.4600000000000009</v>
      </c>
      <c r="DG81" s="170">
        <f t="shared" si="190"/>
        <v>1.4600000000000009</v>
      </c>
      <c r="DH81" s="162">
        <f t="shared" si="126"/>
        <v>4.4752392932933001</v>
      </c>
      <c r="DI81" s="171">
        <f t="shared" si="191"/>
        <v>4.4752392932933001</v>
      </c>
      <c r="DJ81" s="162"/>
      <c r="DK81" s="162">
        <f t="shared" si="192"/>
        <v>1.4600000000000009</v>
      </c>
      <c r="DL81" s="162">
        <f t="shared" si="193"/>
        <v>1.4600000000000009</v>
      </c>
      <c r="DM81" s="162">
        <f t="shared" si="127"/>
        <v>4.4752392932933001</v>
      </c>
      <c r="DN81" s="171">
        <f t="shared" si="194"/>
        <v>4.4752392932933001</v>
      </c>
      <c r="DO81" s="162"/>
      <c r="DP81" s="162">
        <f t="shared" si="195"/>
        <v>1.4600000000000009</v>
      </c>
      <c r="DQ81" s="170">
        <f t="shared" si="196"/>
        <v>1.4600000000000009</v>
      </c>
      <c r="DR81" s="162">
        <f t="shared" si="128"/>
        <v>4.4752392932933001</v>
      </c>
      <c r="DS81" s="171">
        <f t="shared" si="197"/>
        <v>4.4752392932933001</v>
      </c>
      <c r="DT81" s="162"/>
      <c r="DU81" s="162">
        <f t="shared" si="198"/>
        <v>1.4600000000000009</v>
      </c>
      <c r="DV81" s="170">
        <f t="shared" si="199"/>
        <v>1.4600000000000009</v>
      </c>
      <c r="DW81" s="162">
        <f t="shared" si="129"/>
        <v>4.4752392932933001</v>
      </c>
      <c r="DX81" s="171">
        <f t="shared" si="200"/>
        <v>4.4752392932933001</v>
      </c>
      <c r="DY81" s="162"/>
      <c r="DZ81" s="162">
        <f t="shared" si="201"/>
        <v>1.4600000000000009</v>
      </c>
      <c r="EA81" s="162">
        <f t="shared" si="202"/>
        <v>1.4600000000000009</v>
      </c>
      <c r="EB81" s="162">
        <f t="shared" si="130"/>
        <v>4.4752392932933001</v>
      </c>
      <c r="EC81" s="171">
        <f t="shared" si="203"/>
        <v>4.4752392932933001</v>
      </c>
      <c r="ED81" s="162"/>
      <c r="EE81" s="162">
        <f t="shared" si="204"/>
        <v>1.4600000000000009</v>
      </c>
      <c r="EF81" s="170">
        <f t="shared" si="205"/>
        <v>1.4600000000000009</v>
      </c>
      <c r="EG81" s="162">
        <f t="shared" si="131"/>
        <v>4.4752392932933001</v>
      </c>
      <c r="EH81" s="171">
        <f t="shared" si="206"/>
        <v>4.4752392932933001</v>
      </c>
      <c r="EI81" s="162"/>
      <c r="EJ81" s="162">
        <f t="shared" si="207"/>
        <v>1.4600000000000009</v>
      </c>
      <c r="EK81" s="170">
        <f t="shared" si="208"/>
        <v>1.4600000000000009</v>
      </c>
      <c r="EL81" s="162">
        <f t="shared" si="132"/>
        <v>4.4752392932933001</v>
      </c>
      <c r="EM81" s="171">
        <f t="shared" si="209"/>
        <v>4.4752392932933001</v>
      </c>
      <c r="EN81" s="162"/>
      <c r="EO81" s="162">
        <f t="shared" si="210"/>
        <v>1.4600000000000009</v>
      </c>
      <c r="EP81" s="162">
        <f t="shared" si="211"/>
        <v>1.4600000000000009</v>
      </c>
      <c r="EQ81" s="162">
        <f t="shared" si="133"/>
        <v>4.4752392932933001</v>
      </c>
      <c r="ER81" s="171">
        <f t="shared" si="212"/>
        <v>4.4752392932933001</v>
      </c>
      <c r="ES81" s="162"/>
      <c r="ET81" s="162">
        <f t="shared" si="213"/>
        <v>1.4600000000000009</v>
      </c>
      <c r="EU81" s="170">
        <f t="shared" si="214"/>
        <v>1.4600000000000009</v>
      </c>
      <c r="EV81" s="162">
        <f t="shared" si="134"/>
        <v>4.4752392932933001</v>
      </c>
      <c r="EW81" s="171">
        <f t="shared" si="215"/>
        <v>4.4752392932933001</v>
      </c>
      <c r="EX81" s="162"/>
    </row>
    <row r="82" spans="20:154" s="181" customFormat="1" x14ac:dyDescent="0.25">
      <c r="T82" s="162">
        <f t="shared" si="135"/>
        <v>1.4800000000000009</v>
      </c>
      <c r="U82" s="170">
        <f t="shared" si="136"/>
        <v>1.4800000000000009</v>
      </c>
      <c r="V82" s="162">
        <f t="shared" si="108"/>
        <v>4.4335892441888944</v>
      </c>
      <c r="W82" s="171">
        <f t="shared" si="137"/>
        <v>4.4335892441888944</v>
      </c>
      <c r="X82" s="162"/>
      <c r="Y82" s="162">
        <f t="shared" si="138"/>
        <v>1.4800000000000009</v>
      </c>
      <c r="Z82" s="162">
        <f t="shared" si="139"/>
        <v>1.4800000000000009</v>
      </c>
      <c r="AA82" s="162">
        <f t="shared" si="109"/>
        <v>4.4335892441888944</v>
      </c>
      <c r="AB82" s="171">
        <f t="shared" si="140"/>
        <v>4.4335892441888944</v>
      </c>
      <c r="AC82" s="162"/>
      <c r="AD82" s="162">
        <f t="shared" si="141"/>
        <v>1.4800000000000009</v>
      </c>
      <c r="AE82" s="170">
        <f t="shared" si="142"/>
        <v>1.4800000000000009</v>
      </c>
      <c r="AF82" s="162">
        <f t="shared" si="110"/>
        <v>4.4335892441888944</v>
      </c>
      <c r="AG82" s="171">
        <f t="shared" si="143"/>
        <v>4.4335892441888944</v>
      </c>
      <c r="AH82" s="162"/>
      <c r="AI82" s="162">
        <f t="shared" si="144"/>
        <v>1.4800000000000009</v>
      </c>
      <c r="AJ82" s="170">
        <f t="shared" si="145"/>
        <v>1.4800000000000009</v>
      </c>
      <c r="AK82" s="162">
        <f t="shared" si="111"/>
        <v>4.4335892441888944</v>
      </c>
      <c r="AL82" s="171">
        <f t="shared" si="146"/>
        <v>4.4335892441888944</v>
      </c>
      <c r="AM82" s="162"/>
      <c r="AN82" s="162">
        <f t="shared" si="147"/>
        <v>1.4800000000000009</v>
      </c>
      <c r="AO82" s="162">
        <f t="shared" si="148"/>
        <v>1.4800000000000009</v>
      </c>
      <c r="AP82" s="162">
        <f t="shared" si="112"/>
        <v>4.4335892441888944</v>
      </c>
      <c r="AQ82" s="171">
        <f t="shared" si="149"/>
        <v>4.4335892441888944</v>
      </c>
      <c r="AR82" s="162"/>
      <c r="AS82" s="162">
        <f t="shared" si="150"/>
        <v>1.4800000000000009</v>
      </c>
      <c r="AT82" s="170">
        <f t="shared" si="151"/>
        <v>1.4800000000000009</v>
      </c>
      <c r="AU82" s="162">
        <f t="shared" si="113"/>
        <v>4.4335892441888944</v>
      </c>
      <c r="AV82" s="171">
        <f t="shared" si="152"/>
        <v>4.4335892441888944</v>
      </c>
      <c r="AW82" s="162"/>
      <c r="AX82" s="162">
        <f t="shared" si="153"/>
        <v>1.4800000000000009</v>
      </c>
      <c r="AY82" s="170">
        <f t="shared" si="154"/>
        <v>1.4800000000000009</v>
      </c>
      <c r="AZ82" s="162">
        <f t="shared" si="114"/>
        <v>4.4335892441888944</v>
      </c>
      <c r="BA82" s="171">
        <f t="shared" si="155"/>
        <v>4.4335892441888944</v>
      </c>
      <c r="BB82" s="162"/>
      <c r="BC82" s="162">
        <f t="shared" si="156"/>
        <v>1.4800000000000009</v>
      </c>
      <c r="BD82" s="162">
        <f t="shared" si="157"/>
        <v>1.4800000000000009</v>
      </c>
      <c r="BE82" s="162">
        <f t="shared" si="115"/>
        <v>4.4335892441888944</v>
      </c>
      <c r="BF82" s="171">
        <f t="shared" si="158"/>
        <v>4.4335892441888944</v>
      </c>
      <c r="BG82" s="162"/>
      <c r="BH82" s="162">
        <f t="shared" si="159"/>
        <v>1.4800000000000009</v>
      </c>
      <c r="BI82" s="170">
        <f t="shared" si="160"/>
        <v>1.4800000000000009</v>
      </c>
      <c r="BJ82" s="162">
        <f t="shared" si="116"/>
        <v>4.4335892441888944</v>
      </c>
      <c r="BK82" s="171">
        <f t="shared" si="161"/>
        <v>4.4335892441888944</v>
      </c>
      <c r="BL82" s="162"/>
      <c r="BM82" s="162">
        <f t="shared" si="162"/>
        <v>1.4800000000000009</v>
      </c>
      <c r="BN82" s="170">
        <f t="shared" si="163"/>
        <v>1.4800000000000009</v>
      </c>
      <c r="BO82" s="162">
        <f t="shared" si="117"/>
        <v>4.4335892441888944</v>
      </c>
      <c r="BP82" s="171">
        <f t="shared" si="164"/>
        <v>4.4335892441888944</v>
      </c>
      <c r="BQ82" s="162"/>
      <c r="BR82" s="162">
        <f t="shared" si="165"/>
        <v>1.4800000000000009</v>
      </c>
      <c r="BS82" s="162">
        <f t="shared" si="166"/>
        <v>1.4800000000000009</v>
      </c>
      <c r="BT82" s="162">
        <f t="shared" si="118"/>
        <v>4.4335892441888944</v>
      </c>
      <c r="BU82" s="171">
        <f t="shared" si="167"/>
        <v>4.4335892441888944</v>
      </c>
      <c r="BV82" s="162"/>
      <c r="BW82" s="162">
        <f t="shared" si="168"/>
        <v>1.4800000000000009</v>
      </c>
      <c r="BX82" s="170">
        <f t="shared" si="169"/>
        <v>1.4800000000000009</v>
      </c>
      <c r="BY82" s="162">
        <f t="shared" si="119"/>
        <v>4.4335892441888944</v>
      </c>
      <c r="BZ82" s="171">
        <f t="shared" si="170"/>
        <v>4.4335892441888944</v>
      </c>
      <c r="CA82" s="162"/>
      <c r="CB82" s="162">
        <f t="shared" si="171"/>
        <v>1.4800000000000009</v>
      </c>
      <c r="CC82" s="170">
        <f t="shared" si="172"/>
        <v>1.4800000000000009</v>
      </c>
      <c r="CD82" s="162">
        <f t="shared" si="120"/>
        <v>4.4335892441888944</v>
      </c>
      <c r="CE82" s="171">
        <f t="shared" si="173"/>
        <v>4.4335892441888944</v>
      </c>
      <c r="CF82" s="162"/>
      <c r="CG82" s="172">
        <f t="shared" si="174"/>
        <v>1.4800000000000009</v>
      </c>
      <c r="CH82" s="172">
        <f t="shared" si="175"/>
        <v>1.4800000000000009</v>
      </c>
      <c r="CI82" s="172">
        <f t="shared" si="121"/>
        <v>4.4335892441888944</v>
      </c>
      <c r="CJ82" s="171">
        <f t="shared" si="176"/>
        <v>4.4335892441888944</v>
      </c>
      <c r="CK82" s="172"/>
      <c r="CL82" s="162">
        <f t="shared" si="177"/>
        <v>1.4800000000000009</v>
      </c>
      <c r="CM82" s="170">
        <f t="shared" si="178"/>
        <v>1.4800000000000009</v>
      </c>
      <c r="CN82" s="162">
        <f t="shared" si="122"/>
        <v>4.4335892441888944</v>
      </c>
      <c r="CO82" s="171">
        <f t="shared" si="179"/>
        <v>4.4335892441888944</v>
      </c>
      <c r="CP82" s="162"/>
      <c r="CQ82" s="162">
        <f t="shared" si="180"/>
        <v>1.4800000000000009</v>
      </c>
      <c r="CR82" s="170">
        <f t="shared" si="181"/>
        <v>1.4800000000000009</v>
      </c>
      <c r="CS82" s="162">
        <f t="shared" si="123"/>
        <v>4.4335892441888944</v>
      </c>
      <c r="CT82" s="171">
        <f t="shared" si="182"/>
        <v>4.4335892441888944</v>
      </c>
      <c r="CU82" s="162"/>
      <c r="CV82" s="162">
        <f t="shared" si="183"/>
        <v>1.4800000000000009</v>
      </c>
      <c r="CW82" s="162">
        <f t="shared" si="184"/>
        <v>1.4800000000000009</v>
      </c>
      <c r="CX82" s="162">
        <f t="shared" si="124"/>
        <v>4.4335892441888944</v>
      </c>
      <c r="CY82" s="171">
        <f t="shared" si="185"/>
        <v>4.4335892441888944</v>
      </c>
      <c r="CZ82" s="162"/>
      <c r="DA82" s="162">
        <f t="shared" si="186"/>
        <v>1.4800000000000009</v>
      </c>
      <c r="DB82" s="170">
        <f t="shared" si="187"/>
        <v>1.4800000000000009</v>
      </c>
      <c r="DC82" s="162">
        <f t="shared" si="125"/>
        <v>4.4335892441888944</v>
      </c>
      <c r="DD82" s="171">
        <f t="shared" si="188"/>
        <v>4.4335892441888944</v>
      </c>
      <c r="DE82" s="162"/>
      <c r="DF82" s="162">
        <f t="shared" si="189"/>
        <v>1.4800000000000009</v>
      </c>
      <c r="DG82" s="170">
        <f t="shared" si="190"/>
        <v>1.4800000000000009</v>
      </c>
      <c r="DH82" s="162">
        <f t="shared" si="126"/>
        <v>4.4335892441888944</v>
      </c>
      <c r="DI82" s="171">
        <f t="shared" si="191"/>
        <v>4.4335892441888944</v>
      </c>
      <c r="DJ82" s="162"/>
      <c r="DK82" s="162">
        <f t="shared" si="192"/>
        <v>1.4800000000000009</v>
      </c>
      <c r="DL82" s="162">
        <f t="shared" si="193"/>
        <v>1.4800000000000009</v>
      </c>
      <c r="DM82" s="162">
        <f t="shared" si="127"/>
        <v>4.4335892441888944</v>
      </c>
      <c r="DN82" s="171">
        <f t="shared" si="194"/>
        <v>4.4335892441888944</v>
      </c>
      <c r="DO82" s="162"/>
      <c r="DP82" s="162">
        <f t="shared" si="195"/>
        <v>1.4800000000000009</v>
      </c>
      <c r="DQ82" s="170">
        <f t="shared" si="196"/>
        <v>1.4800000000000009</v>
      </c>
      <c r="DR82" s="162">
        <f t="shared" si="128"/>
        <v>4.4335892441888944</v>
      </c>
      <c r="DS82" s="171">
        <f t="shared" si="197"/>
        <v>4.4335892441888944</v>
      </c>
      <c r="DT82" s="162"/>
      <c r="DU82" s="162">
        <f t="shared" si="198"/>
        <v>1.4800000000000009</v>
      </c>
      <c r="DV82" s="170">
        <f t="shared" si="199"/>
        <v>1.4800000000000009</v>
      </c>
      <c r="DW82" s="162">
        <f t="shared" si="129"/>
        <v>4.4335892441888944</v>
      </c>
      <c r="DX82" s="171">
        <f t="shared" si="200"/>
        <v>4.4335892441888944</v>
      </c>
      <c r="DY82" s="162"/>
      <c r="DZ82" s="162">
        <f t="shared" si="201"/>
        <v>1.4800000000000009</v>
      </c>
      <c r="EA82" s="162">
        <f t="shared" si="202"/>
        <v>1.4800000000000009</v>
      </c>
      <c r="EB82" s="162">
        <f t="shared" si="130"/>
        <v>4.4335892441888944</v>
      </c>
      <c r="EC82" s="171">
        <f t="shared" si="203"/>
        <v>4.4335892441888944</v>
      </c>
      <c r="ED82" s="162"/>
      <c r="EE82" s="162">
        <f t="shared" si="204"/>
        <v>1.4800000000000009</v>
      </c>
      <c r="EF82" s="170">
        <f t="shared" si="205"/>
        <v>1.4800000000000009</v>
      </c>
      <c r="EG82" s="162">
        <f t="shared" si="131"/>
        <v>4.4335892441888944</v>
      </c>
      <c r="EH82" s="171">
        <f t="shared" si="206"/>
        <v>4.4335892441888944</v>
      </c>
      <c r="EI82" s="162"/>
      <c r="EJ82" s="162">
        <f t="shared" si="207"/>
        <v>1.4800000000000009</v>
      </c>
      <c r="EK82" s="170">
        <f t="shared" si="208"/>
        <v>1.4800000000000009</v>
      </c>
      <c r="EL82" s="162">
        <f t="shared" si="132"/>
        <v>4.4335892441888944</v>
      </c>
      <c r="EM82" s="171">
        <f t="shared" si="209"/>
        <v>4.4335892441888944</v>
      </c>
      <c r="EN82" s="162"/>
      <c r="EO82" s="162">
        <f t="shared" si="210"/>
        <v>1.4800000000000009</v>
      </c>
      <c r="EP82" s="162">
        <f t="shared" si="211"/>
        <v>1.4800000000000009</v>
      </c>
      <c r="EQ82" s="162">
        <f t="shared" si="133"/>
        <v>4.4335892441888944</v>
      </c>
      <c r="ER82" s="171">
        <f t="shared" si="212"/>
        <v>4.4335892441888944</v>
      </c>
      <c r="ES82" s="162"/>
      <c r="ET82" s="162">
        <f t="shared" si="213"/>
        <v>1.4800000000000009</v>
      </c>
      <c r="EU82" s="170">
        <f t="shared" si="214"/>
        <v>1.4800000000000009</v>
      </c>
      <c r="EV82" s="162">
        <f t="shared" si="134"/>
        <v>4.4335892441888944</v>
      </c>
      <c r="EW82" s="171">
        <f t="shared" si="215"/>
        <v>4.4335892441888944</v>
      </c>
      <c r="EX82" s="162"/>
    </row>
    <row r="83" spans="20:154" s="181" customFormat="1" x14ac:dyDescent="0.25">
      <c r="T83" s="162">
        <f t="shared" si="135"/>
        <v>1.5000000000000009</v>
      </c>
      <c r="U83" s="170">
        <f t="shared" si="136"/>
        <v>1.5000000000000009</v>
      </c>
      <c r="V83" s="162">
        <f t="shared" si="108"/>
        <v>4.38923068235664</v>
      </c>
      <c r="W83" s="171">
        <f t="shared" si="137"/>
        <v>4.38923068235664</v>
      </c>
      <c r="X83" s="162"/>
      <c r="Y83" s="162">
        <f t="shared" si="138"/>
        <v>1.5000000000000009</v>
      </c>
      <c r="Z83" s="162">
        <f t="shared" si="139"/>
        <v>1.5000000000000009</v>
      </c>
      <c r="AA83" s="162">
        <f t="shared" si="109"/>
        <v>4.38923068235664</v>
      </c>
      <c r="AB83" s="171">
        <f t="shared" si="140"/>
        <v>4.38923068235664</v>
      </c>
      <c r="AC83" s="162"/>
      <c r="AD83" s="162">
        <f t="shared" si="141"/>
        <v>1.5000000000000009</v>
      </c>
      <c r="AE83" s="170">
        <f t="shared" si="142"/>
        <v>1.5000000000000009</v>
      </c>
      <c r="AF83" s="162">
        <f t="shared" si="110"/>
        <v>4.38923068235664</v>
      </c>
      <c r="AG83" s="171">
        <f t="shared" si="143"/>
        <v>4.38923068235664</v>
      </c>
      <c r="AH83" s="162"/>
      <c r="AI83" s="162">
        <f t="shared" si="144"/>
        <v>1.5000000000000009</v>
      </c>
      <c r="AJ83" s="170">
        <f t="shared" si="145"/>
        <v>1.5000000000000009</v>
      </c>
      <c r="AK83" s="162">
        <f t="shared" si="111"/>
        <v>4.38923068235664</v>
      </c>
      <c r="AL83" s="171">
        <f t="shared" si="146"/>
        <v>4.38923068235664</v>
      </c>
      <c r="AM83" s="162"/>
      <c r="AN83" s="162">
        <f t="shared" si="147"/>
        <v>1.5000000000000009</v>
      </c>
      <c r="AO83" s="162">
        <f t="shared" si="148"/>
        <v>1.5000000000000009</v>
      </c>
      <c r="AP83" s="162">
        <f t="shared" si="112"/>
        <v>4.38923068235664</v>
      </c>
      <c r="AQ83" s="171">
        <f t="shared" si="149"/>
        <v>4.38923068235664</v>
      </c>
      <c r="AR83" s="162"/>
      <c r="AS83" s="162">
        <f t="shared" si="150"/>
        <v>1.5000000000000009</v>
      </c>
      <c r="AT83" s="170">
        <f t="shared" si="151"/>
        <v>1.5000000000000009</v>
      </c>
      <c r="AU83" s="162">
        <f t="shared" si="113"/>
        <v>4.38923068235664</v>
      </c>
      <c r="AV83" s="171">
        <f t="shared" si="152"/>
        <v>4.38923068235664</v>
      </c>
      <c r="AW83" s="162"/>
      <c r="AX83" s="162">
        <f t="shared" si="153"/>
        <v>1.5000000000000009</v>
      </c>
      <c r="AY83" s="170">
        <f t="shared" si="154"/>
        <v>1.5000000000000009</v>
      </c>
      <c r="AZ83" s="162">
        <f t="shared" si="114"/>
        <v>4.38923068235664</v>
      </c>
      <c r="BA83" s="171">
        <f t="shared" si="155"/>
        <v>4.38923068235664</v>
      </c>
      <c r="BB83" s="162"/>
      <c r="BC83" s="162">
        <f t="shared" si="156"/>
        <v>1.5000000000000009</v>
      </c>
      <c r="BD83" s="162">
        <f t="shared" si="157"/>
        <v>1.5000000000000009</v>
      </c>
      <c r="BE83" s="162">
        <f t="shared" si="115"/>
        <v>4.38923068235664</v>
      </c>
      <c r="BF83" s="171">
        <f t="shared" si="158"/>
        <v>4.38923068235664</v>
      </c>
      <c r="BG83" s="162"/>
      <c r="BH83" s="162">
        <f t="shared" si="159"/>
        <v>1.5000000000000009</v>
      </c>
      <c r="BI83" s="170">
        <f t="shared" si="160"/>
        <v>1.5000000000000009</v>
      </c>
      <c r="BJ83" s="162">
        <f t="shared" si="116"/>
        <v>4.38923068235664</v>
      </c>
      <c r="BK83" s="171">
        <f t="shared" si="161"/>
        <v>4.38923068235664</v>
      </c>
      <c r="BL83" s="162"/>
      <c r="BM83" s="162">
        <f t="shared" si="162"/>
        <v>1.5000000000000009</v>
      </c>
      <c r="BN83" s="170">
        <f t="shared" si="163"/>
        <v>1.5000000000000009</v>
      </c>
      <c r="BO83" s="162">
        <f t="shared" si="117"/>
        <v>4.38923068235664</v>
      </c>
      <c r="BP83" s="171">
        <f t="shared" si="164"/>
        <v>4.38923068235664</v>
      </c>
      <c r="BQ83" s="162"/>
      <c r="BR83" s="162">
        <f t="shared" si="165"/>
        <v>1.5000000000000009</v>
      </c>
      <c r="BS83" s="162">
        <f t="shared" si="166"/>
        <v>1.5000000000000009</v>
      </c>
      <c r="BT83" s="162">
        <f t="shared" si="118"/>
        <v>4.38923068235664</v>
      </c>
      <c r="BU83" s="171">
        <f t="shared" si="167"/>
        <v>4.38923068235664</v>
      </c>
      <c r="BV83" s="162"/>
      <c r="BW83" s="162">
        <f t="shared" si="168"/>
        <v>1.5000000000000009</v>
      </c>
      <c r="BX83" s="170">
        <f t="shared" si="169"/>
        <v>1.5000000000000009</v>
      </c>
      <c r="BY83" s="162">
        <f t="shared" si="119"/>
        <v>4.38923068235664</v>
      </c>
      <c r="BZ83" s="171">
        <f t="shared" si="170"/>
        <v>4.38923068235664</v>
      </c>
      <c r="CA83" s="162"/>
      <c r="CB83" s="162">
        <f t="shared" si="171"/>
        <v>1.5000000000000009</v>
      </c>
      <c r="CC83" s="170">
        <f t="shared" si="172"/>
        <v>1.5000000000000009</v>
      </c>
      <c r="CD83" s="162">
        <f t="shared" si="120"/>
        <v>4.38923068235664</v>
      </c>
      <c r="CE83" s="171">
        <f t="shared" si="173"/>
        <v>4.38923068235664</v>
      </c>
      <c r="CF83" s="162"/>
      <c r="CG83" s="172">
        <f t="shared" si="174"/>
        <v>1.5000000000000009</v>
      </c>
      <c r="CH83" s="172">
        <f t="shared" si="175"/>
        <v>1.5000000000000009</v>
      </c>
      <c r="CI83" s="172">
        <f t="shared" si="121"/>
        <v>4.38923068235664</v>
      </c>
      <c r="CJ83" s="171">
        <f t="shared" si="176"/>
        <v>4.38923068235664</v>
      </c>
      <c r="CK83" s="172"/>
      <c r="CL83" s="162">
        <f t="shared" si="177"/>
        <v>1.5000000000000009</v>
      </c>
      <c r="CM83" s="170">
        <f t="shared" si="178"/>
        <v>1.5000000000000009</v>
      </c>
      <c r="CN83" s="162">
        <f t="shared" si="122"/>
        <v>4.38923068235664</v>
      </c>
      <c r="CO83" s="171">
        <f t="shared" si="179"/>
        <v>4.38923068235664</v>
      </c>
      <c r="CP83" s="162"/>
      <c r="CQ83" s="162">
        <f t="shared" si="180"/>
        <v>1.5000000000000009</v>
      </c>
      <c r="CR83" s="170">
        <f t="shared" si="181"/>
        <v>1.5000000000000009</v>
      </c>
      <c r="CS83" s="162">
        <f t="shared" si="123"/>
        <v>4.38923068235664</v>
      </c>
      <c r="CT83" s="171">
        <f t="shared" si="182"/>
        <v>4.38923068235664</v>
      </c>
      <c r="CU83" s="162"/>
      <c r="CV83" s="162">
        <f t="shared" si="183"/>
        <v>1.5000000000000009</v>
      </c>
      <c r="CW83" s="162">
        <f t="shared" si="184"/>
        <v>1.5000000000000009</v>
      </c>
      <c r="CX83" s="162">
        <f t="shared" si="124"/>
        <v>4.38923068235664</v>
      </c>
      <c r="CY83" s="171">
        <f t="shared" si="185"/>
        <v>4.38923068235664</v>
      </c>
      <c r="CZ83" s="162"/>
      <c r="DA83" s="162">
        <f t="shared" si="186"/>
        <v>1.5000000000000009</v>
      </c>
      <c r="DB83" s="170">
        <f t="shared" si="187"/>
        <v>1.5000000000000009</v>
      </c>
      <c r="DC83" s="162">
        <f t="shared" si="125"/>
        <v>4.38923068235664</v>
      </c>
      <c r="DD83" s="171">
        <f t="shared" si="188"/>
        <v>4.38923068235664</v>
      </c>
      <c r="DE83" s="162"/>
      <c r="DF83" s="162">
        <f t="shared" si="189"/>
        <v>1.5000000000000009</v>
      </c>
      <c r="DG83" s="170">
        <f t="shared" si="190"/>
        <v>1.5000000000000009</v>
      </c>
      <c r="DH83" s="162">
        <f t="shared" si="126"/>
        <v>4.38923068235664</v>
      </c>
      <c r="DI83" s="171">
        <f t="shared" si="191"/>
        <v>4.38923068235664</v>
      </c>
      <c r="DJ83" s="162"/>
      <c r="DK83" s="162">
        <f t="shared" si="192"/>
        <v>1.5000000000000009</v>
      </c>
      <c r="DL83" s="162">
        <f t="shared" si="193"/>
        <v>1.5000000000000009</v>
      </c>
      <c r="DM83" s="162">
        <f t="shared" si="127"/>
        <v>4.38923068235664</v>
      </c>
      <c r="DN83" s="171">
        <f t="shared" si="194"/>
        <v>4.38923068235664</v>
      </c>
      <c r="DO83" s="162"/>
      <c r="DP83" s="162">
        <f t="shared" si="195"/>
        <v>1.5000000000000009</v>
      </c>
      <c r="DQ83" s="170">
        <f t="shared" si="196"/>
        <v>1.5000000000000009</v>
      </c>
      <c r="DR83" s="162">
        <f t="shared" si="128"/>
        <v>4.38923068235664</v>
      </c>
      <c r="DS83" s="171">
        <f t="shared" si="197"/>
        <v>4.38923068235664</v>
      </c>
      <c r="DT83" s="162"/>
      <c r="DU83" s="162">
        <f t="shared" si="198"/>
        <v>1.5000000000000009</v>
      </c>
      <c r="DV83" s="170">
        <f t="shared" si="199"/>
        <v>1.5000000000000009</v>
      </c>
      <c r="DW83" s="162">
        <f t="shared" si="129"/>
        <v>4.38923068235664</v>
      </c>
      <c r="DX83" s="171">
        <f t="shared" si="200"/>
        <v>4.38923068235664</v>
      </c>
      <c r="DY83" s="162"/>
      <c r="DZ83" s="162">
        <f t="shared" si="201"/>
        <v>1.5000000000000009</v>
      </c>
      <c r="EA83" s="162">
        <f t="shared" si="202"/>
        <v>1.5000000000000009</v>
      </c>
      <c r="EB83" s="162">
        <f t="shared" si="130"/>
        <v>4.38923068235664</v>
      </c>
      <c r="EC83" s="171">
        <f t="shared" si="203"/>
        <v>4.38923068235664</v>
      </c>
      <c r="ED83" s="162"/>
      <c r="EE83" s="162">
        <f t="shared" si="204"/>
        <v>1.5000000000000009</v>
      </c>
      <c r="EF83" s="170">
        <f t="shared" si="205"/>
        <v>1.5000000000000009</v>
      </c>
      <c r="EG83" s="162">
        <f t="shared" si="131"/>
        <v>4.38923068235664</v>
      </c>
      <c r="EH83" s="171">
        <f t="shared" si="206"/>
        <v>4.38923068235664</v>
      </c>
      <c r="EI83" s="162"/>
      <c r="EJ83" s="162">
        <f t="shared" si="207"/>
        <v>1.5000000000000009</v>
      </c>
      <c r="EK83" s="170">
        <f t="shared" si="208"/>
        <v>1.5000000000000009</v>
      </c>
      <c r="EL83" s="162">
        <f t="shared" si="132"/>
        <v>4.38923068235664</v>
      </c>
      <c r="EM83" s="171">
        <f t="shared" si="209"/>
        <v>4.38923068235664</v>
      </c>
      <c r="EN83" s="162"/>
      <c r="EO83" s="162">
        <f t="shared" si="210"/>
        <v>1.5000000000000009</v>
      </c>
      <c r="EP83" s="162">
        <f t="shared" si="211"/>
        <v>1.5000000000000009</v>
      </c>
      <c r="EQ83" s="162">
        <f t="shared" si="133"/>
        <v>4.38923068235664</v>
      </c>
      <c r="ER83" s="171">
        <f t="shared" si="212"/>
        <v>4.38923068235664</v>
      </c>
      <c r="ES83" s="162"/>
      <c r="ET83" s="162">
        <f t="shared" si="213"/>
        <v>1.5000000000000009</v>
      </c>
      <c r="EU83" s="170">
        <f t="shared" si="214"/>
        <v>1.5000000000000009</v>
      </c>
      <c r="EV83" s="162">
        <f t="shared" si="134"/>
        <v>4.38923068235664</v>
      </c>
      <c r="EW83" s="171">
        <f t="shared" si="215"/>
        <v>4.38923068235664</v>
      </c>
      <c r="EX83" s="162"/>
    </row>
    <row r="84" spans="20:154" s="181" customFormat="1" x14ac:dyDescent="0.25">
      <c r="T84" s="162">
        <f t="shared" si="135"/>
        <v>1.5200000000000009</v>
      </c>
      <c r="U84" s="170">
        <f t="shared" si="136"/>
        <v>1.5200000000000009</v>
      </c>
      <c r="V84" s="162">
        <f t="shared" si="108"/>
        <v>4.3421636077965386</v>
      </c>
      <c r="W84" s="171">
        <f t="shared" si="137"/>
        <v>4.3421636077965386</v>
      </c>
      <c r="X84" s="162"/>
      <c r="Y84" s="162">
        <f t="shared" si="138"/>
        <v>1.5200000000000009</v>
      </c>
      <c r="Z84" s="162">
        <f t="shared" si="139"/>
        <v>1.5200000000000009</v>
      </c>
      <c r="AA84" s="162">
        <f t="shared" si="109"/>
        <v>4.3421636077965386</v>
      </c>
      <c r="AB84" s="171">
        <f t="shared" si="140"/>
        <v>4.3421636077965386</v>
      </c>
      <c r="AC84" s="162"/>
      <c r="AD84" s="162">
        <f t="shared" si="141"/>
        <v>1.5200000000000009</v>
      </c>
      <c r="AE84" s="170">
        <f t="shared" si="142"/>
        <v>1.5200000000000009</v>
      </c>
      <c r="AF84" s="162">
        <f t="shared" si="110"/>
        <v>4.3421636077965386</v>
      </c>
      <c r="AG84" s="171">
        <f t="shared" si="143"/>
        <v>4.3421636077965386</v>
      </c>
      <c r="AH84" s="162"/>
      <c r="AI84" s="162">
        <f t="shared" si="144"/>
        <v>1.5200000000000009</v>
      </c>
      <c r="AJ84" s="170">
        <f t="shared" si="145"/>
        <v>1.5200000000000009</v>
      </c>
      <c r="AK84" s="162">
        <f t="shared" si="111"/>
        <v>4.3421636077965386</v>
      </c>
      <c r="AL84" s="171">
        <f t="shared" si="146"/>
        <v>4.3421636077965386</v>
      </c>
      <c r="AM84" s="162"/>
      <c r="AN84" s="162">
        <f t="shared" si="147"/>
        <v>1.5200000000000009</v>
      </c>
      <c r="AO84" s="162">
        <f t="shared" si="148"/>
        <v>1.5200000000000009</v>
      </c>
      <c r="AP84" s="162">
        <f t="shared" si="112"/>
        <v>4.3421636077965386</v>
      </c>
      <c r="AQ84" s="171">
        <f t="shared" si="149"/>
        <v>4.3421636077965386</v>
      </c>
      <c r="AR84" s="162"/>
      <c r="AS84" s="162">
        <f t="shared" si="150"/>
        <v>1.5200000000000009</v>
      </c>
      <c r="AT84" s="170">
        <f t="shared" si="151"/>
        <v>1.5200000000000009</v>
      </c>
      <c r="AU84" s="162">
        <f t="shared" si="113"/>
        <v>4.3421636077965386</v>
      </c>
      <c r="AV84" s="171">
        <f t="shared" si="152"/>
        <v>4.3421636077965386</v>
      </c>
      <c r="AW84" s="162"/>
      <c r="AX84" s="162">
        <f t="shared" si="153"/>
        <v>1.5200000000000009</v>
      </c>
      <c r="AY84" s="170">
        <f t="shared" si="154"/>
        <v>1.5200000000000009</v>
      </c>
      <c r="AZ84" s="162">
        <f t="shared" si="114"/>
        <v>4.3421636077965386</v>
      </c>
      <c r="BA84" s="171">
        <f t="shared" si="155"/>
        <v>4.3421636077965386</v>
      </c>
      <c r="BB84" s="162"/>
      <c r="BC84" s="162">
        <f t="shared" si="156"/>
        <v>1.5200000000000009</v>
      </c>
      <c r="BD84" s="162">
        <f t="shared" si="157"/>
        <v>1.5200000000000009</v>
      </c>
      <c r="BE84" s="162">
        <f t="shared" si="115"/>
        <v>4.3421636077965386</v>
      </c>
      <c r="BF84" s="171">
        <f t="shared" si="158"/>
        <v>4.3421636077965386</v>
      </c>
      <c r="BG84" s="162"/>
      <c r="BH84" s="162">
        <f t="shared" si="159"/>
        <v>1.5200000000000009</v>
      </c>
      <c r="BI84" s="170">
        <f t="shared" si="160"/>
        <v>1.5200000000000009</v>
      </c>
      <c r="BJ84" s="162">
        <f t="shared" si="116"/>
        <v>4.3421636077965386</v>
      </c>
      <c r="BK84" s="171">
        <f t="shared" si="161"/>
        <v>4.3421636077965386</v>
      </c>
      <c r="BL84" s="162"/>
      <c r="BM84" s="162">
        <f t="shared" si="162"/>
        <v>1.5200000000000009</v>
      </c>
      <c r="BN84" s="170">
        <f t="shared" si="163"/>
        <v>1.5200000000000009</v>
      </c>
      <c r="BO84" s="162">
        <f t="shared" si="117"/>
        <v>4.3421636077965386</v>
      </c>
      <c r="BP84" s="171">
        <f t="shared" si="164"/>
        <v>4.3421636077965386</v>
      </c>
      <c r="BQ84" s="162"/>
      <c r="BR84" s="162">
        <f t="shared" si="165"/>
        <v>1.5200000000000009</v>
      </c>
      <c r="BS84" s="162">
        <f t="shared" si="166"/>
        <v>1.5200000000000009</v>
      </c>
      <c r="BT84" s="162">
        <f t="shared" si="118"/>
        <v>4.3421636077965386</v>
      </c>
      <c r="BU84" s="171">
        <f t="shared" si="167"/>
        <v>4.3421636077965386</v>
      </c>
      <c r="BV84" s="162"/>
      <c r="BW84" s="162">
        <f t="shared" si="168"/>
        <v>1.5200000000000009</v>
      </c>
      <c r="BX84" s="170">
        <f t="shared" si="169"/>
        <v>1.5200000000000009</v>
      </c>
      <c r="BY84" s="162">
        <f t="shared" si="119"/>
        <v>4.3421636077965386</v>
      </c>
      <c r="BZ84" s="171">
        <f t="shared" si="170"/>
        <v>4.3421636077965386</v>
      </c>
      <c r="CA84" s="162"/>
      <c r="CB84" s="162">
        <f t="shared" si="171"/>
        <v>1.5200000000000009</v>
      </c>
      <c r="CC84" s="170">
        <f t="shared" si="172"/>
        <v>1.5200000000000009</v>
      </c>
      <c r="CD84" s="162">
        <f t="shared" si="120"/>
        <v>4.3421636077965386</v>
      </c>
      <c r="CE84" s="171">
        <f t="shared" si="173"/>
        <v>4.3421636077965386</v>
      </c>
      <c r="CF84" s="162"/>
      <c r="CG84" s="172">
        <f t="shared" si="174"/>
        <v>1.5200000000000009</v>
      </c>
      <c r="CH84" s="172">
        <f t="shared" si="175"/>
        <v>1.5200000000000009</v>
      </c>
      <c r="CI84" s="172">
        <f t="shared" si="121"/>
        <v>4.3421636077965386</v>
      </c>
      <c r="CJ84" s="171">
        <f t="shared" si="176"/>
        <v>4.3421636077965386</v>
      </c>
      <c r="CK84" s="172"/>
      <c r="CL84" s="162">
        <f t="shared" si="177"/>
        <v>1.5200000000000009</v>
      </c>
      <c r="CM84" s="170">
        <f t="shared" si="178"/>
        <v>1.5200000000000009</v>
      </c>
      <c r="CN84" s="162">
        <f t="shared" si="122"/>
        <v>4.3421636077965386</v>
      </c>
      <c r="CO84" s="171">
        <f t="shared" si="179"/>
        <v>4.3421636077965386</v>
      </c>
      <c r="CP84" s="162"/>
      <c r="CQ84" s="162">
        <f t="shared" si="180"/>
        <v>1.5200000000000009</v>
      </c>
      <c r="CR84" s="170">
        <f t="shared" si="181"/>
        <v>1.5200000000000009</v>
      </c>
      <c r="CS84" s="162">
        <f t="shared" si="123"/>
        <v>4.3421636077965386</v>
      </c>
      <c r="CT84" s="171">
        <f t="shared" si="182"/>
        <v>4.3421636077965386</v>
      </c>
      <c r="CU84" s="162"/>
      <c r="CV84" s="162">
        <f t="shared" si="183"/>
        <v>1.5200000000000009</v>
      </c>
      <c r="CW84" s="162">
        <f t="shared" si="184"/>
        <v>1.5200000000000009</v>
      </c>
      <c r="CX84" s="162">
        <f t="shared" si="124"/>
        <v>4.3421636077965386</v>
      </c>
      <c r="CY84" s="171">
        <f t="shared" si="185"/>
        <v>4.3421636077965386</v>
      </c>
      <c r="CZ84" s="162"/>
      <c r="DA84" s="162">
        <f t="shared" si="186"/>
        <v>1.5200000000000009</v>
      </c>
      <c r="DB84" s="170">
        <f t="shared" si="187"/>
        <v>1.5200000000000009</v>
      </c>
      <c r="DC84" s="162">
        <f t="shared" si="125"/>
        <v>4.3421636077965386</v>
      </c>
      <c r="DD84" s="171">
        <f t="shared" si="188"/>
        <v>4.3421636077965386</v>
      </c>
      <c r="DE84" s="162"/>
      <c r="DF84" s="162">
        <f t="shared" si="189"/>
        <v>1.5200000000000009</v>
      </c>
      <c r="DG84" s="170">
        <f t="shared" si="190"/>
        <v>1.5200000000000009</v>
      </c>
      <c r="DH84" s="162">
        <f t="shared" si="126"/>
        <v>4.3421636077965386</v>
      </c>
      <c r="DI84" s="171">
        <f t="shared" si="191"/>
        <v>4.3421636077965386</v>
      </c>
      <c r="DJ84" s="162"/>
      <c r="DK84" s="162">
        <f t="shared" si="192"/>
        <v>1.5200000000000009</v>
      </c>
      <c r="DL84" s="162">
        <f t="shared" si="193"/>
        <v>1.5200000000000009</v>
      </c>
      <c r="DM84" s="162">
        <f t="shared" si="127"/>
        <v>4.3421636077965386</v>
      </c>
      <c r="DN84" s="171">
        <f t="shared" si="194"/>
        <v>4.3421636077965386</v>
      </c>
      <c r="DO84" s="162"/>
      <c r="DP84" s="162">
        <f t="shared" si="195"/>
        <v>1.5200000000000009</v>
      </c>
      <c r="DQ84" s="170">
        <f t="shared" si="196"/>
        <v>1.5200000000000009</v>
      </c>
      <c r="DR84" s="162">
        <f t="shared" si="128"/>
        <v>4.3421636077965386</v>
      </c>
      <c r="DS84" s="171">
        <f t="shared" si="197"/>
        <v>4.3421636077965386</v>
      </c>
      <c r="DT84" s="162"/>
      <c r="DU84" s="162">
        <f t="shared" si="198"/>
        <v>1.5200000000000009</v>
      </c>
      <c r="DV84" s="170">
        <f t="shared" si="199"/>
        <v>1.5200000000000009</v>
      </c>
      <c r="DW84" s="162">
        <f t="shared" si="129"/>
        <v>4.3421636077965386</v>
      </c>
      <c r="DX84" s="171">
        <f t="shared" si="200"/>
        <v>4.3421636077965386</v>
      </c>
      <c r="DY84" s="162"/>
      <c r="DZ84" s="162">
        <f t="shared" si="201"/>
        <v>1.5200000000000009</v>
      </c>
      <c r="EA84" s="162">
        <f t="shared" si="202"/>
        <v>1.5200000000000009</v>
      </c>
      <c r="EB84" s="162">
        <f t="shared" si="130"/>
        <v>4.3421636077965386</v>
      </c>
      <c r="EC84" s="171">
        <f t="shared" si="203"/>
        <v>4.3421636077965386</v>
      </c>
      <c r="ED84" s="162"/>
      <c r="EE84" s="162">
        <f t="shared" si="204"/>
        <v>1.5200000000000009</v>
      </c>
      <c r="EF84" s="170">
        <f t="shared" si="205"/>
        <v>1.5200000000000009</v>
      </c>
      <c r="EG84" s="162">
        <f t="shared" si="131"/>
        <v>4.3421636077965386</v>
      </c>
      <c r="EH84" s="171">
        <f t="shared" si="206"/>
        <v>4.3421636077965386</v>
      </c>
      <c r="EI84" s="162"/>
      <c r="EJ84" s="162">
        <f t="shared" si="207"/>
        <v>1.5200000000000009</v>
      </c>
      <c r="EK84" s="170">
        <f t="shared" si="208"/>
        <v>1.5200000000000009</v>
      </c>
      <c r="EL84" s="162">
        <f t="shared" si="132"/>
        <v>4.3421636077965386</v>
      </c>
      <c r="EM84" s="171">
        <f t="shared" si="209"/>
        <v>4.3421636077965386</v>
      </c>
      <c r="EN84" s="162"/>
      <c r="EO84" s="162">
        <f t="shared" si="210"/>
        <v>1.5200000000000009</v>
      </c>
      <c r="EP84" s="162">
        <f t="shared" si="211"/>
        <v>1.5200000000000009</v>
      </c>
      <c r="EQ84" s="162">
        <f t="shared" si="133"/>
        <v>4.3421636077965386</v>
      </c>
      <c r="ER84" s="171">
        <f t="shared" si="212"/>
        <v>4.3421636077965386</v>
      </c>
      <c r="ES84" s="162"/>
      <c r="ET84" s="162">
        <f t="shared" si="213"/>
        <v>1.5200000000000009</v>
      </c>
      <c r="EU84" s="170">
        <f t="shared" si="214"/>
        <v>1.5200000000000009</v>
      </c>
      <c r="EV84" s="162">
        <f t="shared" si="134"/>
        <v>4.3421636077965386</v>
      </c>
      <c r="EW84" s="171">
        <f t="shared" si="215"/>
        <v>4.3421636077965386</v>
      </c>
      <c r="EX84" s="162"/>
    </row>
    <row r="85" spans="20:154" s="181" customFormat="1" x14ac:dyDescent="0.25">
      <c r="T85" s="162">
        <f t="shared" si="135"/>
        <v>1.5400000000000009</v>
      </c>
      <c r="U85" s="170">
        <f t="shared" si="136"/>
        <v>1.5400000000000009</v>
      </c>
      <c r="V85" s="162">
        <f t="shared" si="108"/>
        <v>4.2923880205085885</v>
      </c>
      <c r="W85" s="171">
        <f t="shared" si="137"/>
        <v>4.2923880205085885</v>
      </c>
      <c r="X85" s="162"/>
      <c r="Y85" s="162">
        <f t="shared" si="138"/>
        <v>1.5400000000000009</v>
      </c>
      <c r="Z85" s="162">
        <f t="shared" si="139"/>
        <v>1.5400000000000009</v>
      </c>
      <c r="AA85" s="162">
        <f t="shared" si="109"/>
        <v>4.2923880205085885</v>
      </c>
      <c r="AB85" s="171">
        <f t="shared" si="140"/>
        <v>4.2923880205085885</v>
      </c>
      <c r="AC85" s="162"/>
      <c r="AD85" s="162">
        <f t="shared" si="141"/>
        <v>1.5400000000000009</v>
      </c>
      <c r="AE85" s="170">
        <f t="shared" si="142"/>
        <v>1.5400000000000009</v>
      </c>
      <c r="AF85" s="162">
        <f t="shared" si="110"/>
        <v>4.2923880205085885</v>
      </c>
      <c r="AG85" s="171">
        <f t="shared" si="143"/>
        <v>4.2923880205085885</v>
      </c>
      <c r="AH85" s="162"/>
      <c r="AI85" s="162">
        <f t="shared" si="144"/>
        <v>1.5400000000000009</v>
      </c>
      <c r="AJ85" s="170">
        <f t="shared" si="145"/>
        <v>1.5400000000000009</v>
      </c>
      <c r="AK85" s="162">
        <f t="shared" si="111"/>
        <v>4.2923880205085885</v>
      </c>
      <c r="AL85" s="171">
        <f t="shared" si="146"/>
        <v>4.2923880205085885</v>
      </c>
      <c r="AM85" s="162"/>
      <c r="AN85" s="162">
        <f t="shared" si="147"/>
        <v>1.5400000000000009</v>
      </c>
      <c r="AO85" s="162">
        <f t="shared" si="148"/>
        <v>1.5400000000000009</v>
      </c>
      <c r="AP85" s="162">
        <f t="shared" si="112"/>
        <v>4.2923880205085885</v>
      </c>
      <c r="AQ85" s="171">
        <f t="shared" si="149"/>
        <v>4.2923880205085885</v>
      </c>
      <c r="AR85" s="162"/>
      <c r="AS85" s="162">
        <f t="shared" si="150"/>
        <v>1.5400000000000009</v>
      </c>
      <c r="AT85" s="170">
        <f t="shared" si="151"/>
        <v>1.5400000000000009</v>
      </c>
      <c r="AU85" s="162">
        <f t="shared" si="113"/>
        <v>4.2923880205085885</v>
      </c>
      <c r="AV85" s="171">
        <f t="shared" si="152"/>
        <v>4.2923880205085885</v>
      </c>
      <c r="AW85" s="162"/>
      <c r="AX85" s="162">
        <f t="shared" si="153"/>
        <v>1.5400000000000009</v>
      </c>
      <c r="AY85" s="170">
        <f t="shared" si="154"/>
        <v>1.5400000000000009</v>
      </c>
      <c r="AZ85" s="162">
        <f t="shared" si="114"/>
        <v>4.2923880205085885</v>
      </c>
      <c r="BA85" s="171">
        <f t="shared" si="155"/>
        <v>4.2923880205085885</v>
      </c>
      <c r="BB85" s="162"/>
      <c r="BC85" s="162">
        <f t="shared" si="156"/>
        <v>1.5400000000000009</v>
      </c>
      <c r="BD85" s="162">
        <f t="shared" si="157"/>
        <v>1.5400000000000009</v>
      </c>
      <c r="BE85" s="162">
        <f t="shared" si="115"/>
        <v>4.2923880205085885</v>
      </c>
      <c r="BF85" s="171">
        <f t="shared" si="158"/>
        <v>4.2923880205085885</v>
      </c>
      <c r="BG85" s="162"/>
      <c r="BH85" s="162">
        <f t="shared" si="159"/>
        <v>1.5400000000000009</v>
      </c>
      <c r="BI85" s="170">
        <f t="shared" si="160"/>
        <v>1.5400000000000009</v>
      </c>
      <c r="BJ85" s="162">
        <f t="shared" si="116"/>
        <v>4.2923880205085885</v>
      </c>
      <c r="BK85" s="171">
        <f t="shared" si="161"/>
        <v>4.2923880205085885</v>
      </c>
      <c r="BL85" s="162"/>
      <c r="BM85" s="162">
        <f t="shared" si="162"/>
        <v>1.5400000000000009</v>
      </c>
      <c r="BN85" s="170">
        <f t="shared" si="163"/>
        <v>1.5400000000000009</v>
      </c>
      <c r="BO85" s="162">
        <f t="shared" si="117"/>
        <v>4.2923880205085885</v>
      </c>
      <c r="BP85" s="171">
        <f t="shared" si="164"/>
        <v>4.2923880205085885</v>
      </c>
      <c r="BQ85" s="162"/>
      <c r="BR85" s="162">
        <f t="shared" si="165"/>
        <v>1.5400000000000009</v>
      </c>
      <c r="BS85" s="162">
        <f t="shared" si="166"/>
        <v>1.5400000000000009</v>
      </c>
      <c r="BT85" s="162">
        <f t="shared" si="118"/>
        <v>4.2923880205085885</v>
      </c>
      <c r="BU85" s="171">
        <f t="shared" si="167"/>
        <v>4.2923880205085885</v>
      </c>
      <c r="BV85" s="162"/>
      <c r="BW85" s="162">
        <f t="shared" si="168"/>
        <v>1.5400000000000009</v>
      </c>
      <c r="BX85" s="170">
        <f t="shared" si="169"/>
        <v>1.5400000000000009</v>
      </c>
      <c r="BY85" s="162">
        <f t="shared" si="119"/>
        <v>4.2923880205085885</v>
      </c>
      <c r="BZ85" s="171">
        <f t="shared" si="170"/>
        <v>4.2923880205085885</v>
      </c>
      <c r="CA85" s="162"/>
      <c r="CB85" s="162">
        <f t="shared" si="171"/>
        <v>1.5400000000000009</v>
      </c>
      <c r="CC85" s="170">
        <f t="shared" si="172"/>
        <v>1.5400000000000009</v>
      </c>
      <c r="CD85" s="162">
        <f t="shared" si="120"/>
        <v>4.2923880205085885</v>
      </c>
      <c r="CE85" s="171">
        <f t="shared" si="173"/>
        <v>4.2923880205085885</v>
      </c>
      <c r="CF85" s="162"/>
      <c r="CG85" s="172">
        <f t="shared" si="174"/>
        <v>1.5400000000000009</v>
      </c>
      <c r="CH85" s="172">
        <f t="shared" si="175"/>
        <v>1.5400000000000009</v>
      </c>
      <c r="CI85" s="172">
        <f t="shared" si="121"/>
        <v>4.2923880205085885</v>
      </c>
      <c r="CJ85" s="171">
        <f t="shared" si="176"/>
        <v>4.2923880205085885</v>
      </c>
      <c r="CK85" s="172"/>
      <c r="CL85" s="162">
        <f t="shared" si="177"/>
        <v>1.5400000000000009</v>
      </c>
      <c r="CM85" s="170">
        <f t="shared" si="178"/>
        <v>1.5400000000000009</v>
      </c>
      <c r="CN85" s="162">
        <f t="shared" si="122"/>
        <v>4.2923880205085885</v>
      </c>
      <c r="CO85" s="171">
        <f t="shared" si="179"/>
        <v>4.2923880205085885</v>
      </c>
      <c r="CP85" s="162"/>
      <c r="CQ85" s="162">
        <f t="shared" si="180"/>
        <v>1.5400000000000009</v>
      </c>
      <c r="CR85" s="170">
        <f t="shared" si="181"/>
        <v>1.5400000000000009</v>
      </c>
      <c r="CS85" s="162">
        <f t="shared" si="123"/>
        <v>4.2923880205085885</v>
      </c>
      <c r="CT85" s="171">
        <f t="shared" si="182"/>
        <v>4.2923880205085885</v>
      </c>
      <c r="CU85" s="162"/>
      <c r="CV85" s="162">
        <f t="shared" si="183"/>
        <v>1.5400000000000009</v>
      </c>
      <c r="CW85" s="162">
        <f t="shared" si="184"/>
        <v>1.5400000000000009</v>
      </c>
      <c r="CX85" s="162">
        <f t="shared" si="124"/>
        <v>4.2923880205085885</v>
      </c>
      <c r="CY85" s="171">
        <f t="shared" si="185"/>
        <v>4.2923880205085885</v>
      </c>
      <c r="CZ85" s="162"/>
      <c r="DA85" s="162">
        <f t="shared" si="186"/>
        <v>1.5400000000000009</v>
      </c>
      <c r="DB85" s="170">
        <f t="shared" si="187"/>
        <v>1.5400000000000009</v>
      </c>
      <c r="DC85" s="162">
        <f t="shared" si="125"/>
        <v>4.2923880205085885</v>
      </c>
      <c r="DD85" s="171">
        <f t="shared" si="188"/>
        <v>4.2923880205085885</v>
      </c>
      <c r="DE85" s="162"/>
      <c r="DF85" s="162">
        <f t="shared" si="189"/>
        <v>1.5400000000000009</v>
      </c>
      <c r="DG85" s="170">
        <f t="shared" si="190"/>
        <v>1.5400000000000009</v>
      </c>
      <c r="DH85" s="162">
        <f t="shared" si="126"/>
        <v>4.2923880205085885</v>
      </c>
      <c r="DI85" s="171">
        <f t="shared" si="191"/>
        <v>4.2923880205085885</v>
      </c>
      <c r="DJ85" s="162"/>
      <c r="DK85" s="162">
        <f t="shared" si="192"/>
        <v>1.5400000000000009</v>
      </c>
      <c r="DL85" s="162">
        <f t="shared" si="193"/>
        <v>1.5400000000000009</v>
      </c>
      <c r="DM85" s="162">
        <f t="shared" si="127"/>
        <v>4.2923880205085885</v>
      </c>
      <c r="DN85" s="171">
        <f t="shared" si="194"/>
        <v>4.2923880205085885</v>
      </c>
      <c r="DO85" s="162"/>
      <c r="DP85" s="162">
        <f t="shared" si="195"/>
        <v>1.5400000000000009</v>
      </c>
      <c r="DQ85" s="170">
        <f t="shared" si="196"/>
        <v>1.5400000000000009</v>
      </c>
      <c r="DR85" s="162">
        <f t="shared" si="128"/>
        <v>4.2923880205085885</v>
      </c>
      <c r="DS85" s="171">
        <f t="shared" si="197"/>
        <v>4.2923880205085885</v>
      </c>
      <c r="DT85" s="162"/>
      <c r="DU85" s="162">
        <f t="shared" si="198"/>
        <v>1.5400000000000009</v>
      </c>
      <c r="DV85" s="170">
        <f t="shared" si="199"/>
        <v>1.5400000000000009</v>
      </c>
      <c r="DW85" s="162">
        <f t="shared" si="129"/>
        <v>4.2923880205085885</v>
      </c>
      <c r="DX85" s="171">
        <f t="shared" si="200"/>
        <v>4.2923880205085885</v>
      </c>
      <c r="DY85" s="162"/>
      <c r="DZ85" s="162">
        <f t="shared" si="201"/>
        <v>1.5400000000000009</v>
      </c>
      <c r="EA85" s="162">
        <f t="shared" si="202"/>
        <v>1.5400000000000009</v>
      </c>
      <c r="EB85" s="162">
        <f t="shared" si="130"/>
        <v>4.2923880205085885</v>
      </c>
      <c r="EC85" s="171">
        <f t="shared" si="203"/>
        <v>4.2923880205085885</v>
      </c>
      <c r="ED85" s="162"/>
      <c r="EE85" s="162">
        <f t="shared" si="204"/>
        <v>1.5400000000000009</v>
      </c>
      <c r="EF85" s="170">
        <f t="shared" si="205"/>
        <v>1.5400000000000009</v>
      </c>
      <c r="EG85" s="162">
        <f t="shared" si="131"/>
        <v>4.2923880205085885</v>
      </c>
      <c r="EH85" s="171">
        <f t="shared" si="206"/>
        <v>4.2923880205085885</v>
      </c>
      <c r="EI85" s="162"/>
      <c r="EJ85" s="162">
        <f t="shared" si="207"/>
        <v>1.5400000000000009</v>
      </c>
      <c r="EK85" s="170">
        <f t="shared" si="208"/>
        <v>1.5400000000000009</v>
      </c>
      <c r="EL85" s="162">
        <f t="shared" si="132"/>
        <v>4.2923880205085885</v>
      </c>
      <c r="EM85" s="171">
        <f t="shared" si="209"/>
        <v>4.2923880205085885</v>
      </c>
      <c r="EN85" s="162"/>
      <c r="EO85" s="162">
        <f t="shared" si="210"/>
        <v>1.5400000000000009</v>
      </c>
      <c r="EP85" s="162">
        <f t="shared" si="211"/>
        <v>1.5400000000000009</v>
      </c>
      <c r="EQ85" s="162">
        <f t="shared" si="133"/>
        <v>4.2923880205085885</v>
      </c>
      <c r="ER85" s="171">
        <f t="shared" si="212"/>
        <v>4.2923880205085885</v>
      </c>
      <c r="ES85" s="162"/>
      <c r="ET85" s="162">
        <f t="shared" si="213"/>
        <v>1.5400000000000009</v>
      </c>
      <c r="EU85" s="170">
        <f t="shared" si="214"/>
        <v>1.5400000000000009</v>
      </c>
      <c r="EV85" s="162">
        <f t="shared" si="134"/>
        <v>4.2923880205085885</v>
      </c>
      <c r="EW85" s="171">
        <f t="shared" si="215"/>
        <v>4.2923880205085885</v>
      </c>
      <c r="EX85" s="162"/>
    </row>
    <row r="86" spans="20:154" s="181" customFormat="1" x14ac:dyDescent="0.25">
      <c r="T86" s="162">
        <f t="shared" si="135"/>
        <v>1.5600000000000009</v>
      </c>
      <c r="U86" s="170">
        <f t="shared" si="136"/>
        <v>1.5600000000000009</v>
      </c>
      <c r="V86" s="162">
        <f t="shared" si="108"/>
        <v>4.2399039204927975</v>
      </c>
      <c r="W86" s="171">
        <f t="shared" si="137"/>
        <v>4.2399039204927975</v>
      </c>
      <c r="X86" s="162"/>
      <c r="Y86" s="162">
        <f t="shared" si="138"/>
        <v>1.5600000000000009</v>
      </c>
      <c r="Z86" s="162">
        <f t="shared" si="139"/>
        <v>1.5600000000000009</v>
      </c>
      <c r="AA86" s="162">
        <f t="shared" si="109"/>
        <v>4.2399039204927975</v>
      </c>
      <c r="AB86" s="171">
        <f t="shared" si="140"/>
        <v>4.2399039204927975</v>
      </c>
      <c r="AC86" s="162"/>
      <c r="AD86" s="162">
        <f t="shared" si="141"/>
        <v>1.5600000000000009</v>
      </c>
      <c r="AE86" s="170">
        <f t="shared" si="142"/>
        <v>1.5600000000000009</v>
      </c>
      <c r="AF86" s="162">
        <f t="shared" si="110"/>
        <v>4.2399039204927975</v>
      </c>
      <c r="AG86" s="171">
        <f t="shared" si="143"/>
        <v>4.2399039204927975</v>
      </c>
      <c r="AH86" s="162"/>
      <c r="AI86" s="162">
        <f t="shared" si="144"/>
        <v>1.5600000000000009</v>
      </c>
      <c r="AJ86" s="170">
        <f t="shared" si="145"/>
        <v>1.5600000000000009</v>
      </c>
      <c r="AK86" s="162">
        <f t="shared" si="111"/>
        <v>4.2399039204927975</v>
      </c>
      <c r="AL86" s="171">
        <f t="shared" si="146"/>
        <v>4.2399039204927975</v>
      </c>
      <c r="AM86" s="162"/>
      <c r="AN86" s="162">
        <f t="shared" si="147"/>
        <v>1.5600000000000009</v>
      </c>
      <c r="AO86" s="162">
        <f t="shared" si="148"/>
        <v>1.5600000000000009</v>
      </c>
      <c r="AP86" s="162">
        <f t="shared" si="112"/>
        <v>4.2399039204927975</v>
      </c>
      <c r="AQ86" s="171">
        <f t="shared" si="149"/>
        <v>4.2399039204927975</v>
      </c>
      <c r="AR86" s="162"/>
      <c r="AS86" s="162">
        <f t="shared" si="150"/>
        <v>1.5600000000000009</v>
      </c>
      <c r="AT86" s="170">
        <f t="shared" si="151"/>
        <v>1.5600000000000009</v>
      </c>
      <c r="AU86" s="162">
        <f t="shared" si="113"/>
        <v>4.2399039204927975</v>
      </c>
      <c r="AV86" s="171">
        <f t="shared" si="152"/>
        <v>4.2399039204927975</v>
      </c>
      <c r="AW86" s="162"/>
      <c r="AX86" s="162">
        <f t="shared" si="153"/>
        <v>1.5600000000000009</v>
      </c>
      <c r="AY86" s="170">
        <f t="shared" si="154"/>
        <v>1.5600000000000009</v>
      </c>
      <c r="AZ86" s="162">
        <f t="shared" si="114"/>
        <v>4.2399039204927975</v>
      </c>
      <c r="BA86" s="171">
        <f t="shared" si="155"/>
        <v>4.2399039204927975</v>
      </c>
      <c r="BB86" s="162"/>
      <c r="BC86" s="162">
        <f t="shared" si="156"/>
        <v>1.5600000000000009</v>
      </c>
      <c r="BD86" s="162">
        <f t="shared" si="157"/>
        <v>1.5600000000000009</v>
      </c>
      <c r="BE86" s="162">
        <f t="shared" si="115"/>
        <v>4.2399039204927975</v>
      </c>
      <c r="BF86" s="171">
        <f t="shared" si="158"/>
        <v>4.2399039204927975</v>
      </c>
      <c r="BG86" s="162"/>
      <c r="BH86" s="162">
        <f t="shared" si="159"/>
        <v>1.5600000000000009</v>
      </c>
      <c r="BI86" s="170">
        <f t="shared" si="160"/>
        <v>1.5600000000000009</v>
      </c>
      <c r="BJ86" s="162">
        <f t="shared" si="116"/>
        <v>4.2399039204927975</v>
      </c>
      <c r="BK86" s="171">
        <f t="shared" si="161"/>
        <v>4.2399039204927975</v>
      </c>
      <c r="BL86" s="162"/>
      <c r="BM86" s="162">
        <f t="shared" si="162"/>
        <v>1.5600000000000009</v>
      </c>
      <c r="BN86" s="170">
        <f t="shared" si="163"/>
        <v>1.5600000000000009</v>
      </c>
      <c r="BO86" s="162">
        <f t="shared" si="117"/>
        <v>4.2399039204927975</v>
      </c>
      <c r="BP86" s="171">
        <f t="shared" si="164"/>
        <v>4.2399039204927975</v>
      </c>
      <c r="BQ86" s="162"/>
      <c r="BR86" s="162">
        <f t="shared" si="165"/>
        <v>1.5600000000000009</v>
      </c>
      <c r="BS86" s="162">
        <f t="shared" si="166"/>
        <v>1.5600000000000009</v>
      </c>
      <c r="BT86" s="162">
        <f t="shared" si="118"/>
        <v>4.2399039204927975</v>
      </c>
      <c r="BU86" s="171">
        <f t="shared" si="167"/>
        <v>4.2399039204927975</v>
      </c>
      <c r="BV86" s="162"/>
      <c r="BW86" s="162">
        <f t="shared" si="168"/>
        <v>1.5600000000000009</v>
      </c>
      <c r="BX86" s="170">
        <f t="shared" si="169"/>
        <v>1.5600000000000009</v>
      </c>
      <c r="BY86" s="162">
        <f t="shared" si="119"/>
        <v>4.2399039204927975</v>
      </c>
      <c r="BZ86" s="171">
        <f t="shared" si="170"/>
        <v>4.2399039204927975</v>
      </c>
      <c r="CA86" s="162"/>
      <c r="CB86" s="162">
        <f t="shared" si="171"/>
        <v>1.5600000000000009</v>
      </c>
      <c r="CC86" s="170">
        <f t="shared" si="172"/>
        <v>1.5600000000000009</v>
      </c>
      <c r="CD86" s="162">
        <f t="shared" si="120"/>
        <v>4.2399039204927975</v>
      </c>
      <c r="CE86" s="171">
        <f t="shared" si="173"/>
        <v>4.2399039204927975</v>
      </c>
      <c r="CF86" s="162"/>
      <c r="CG86" s="172">
        <f t="shared" si="174"/>
        <v>1.5600000000000009</v>
      </c>
      <c r="CH86" s="172">
        <f t="shared" si="175"/>
        <v>1.5600000000000009</v>
      </c>
      <c r="CI86" s="172">
        <f t="shared" si="121"/>
        <v>4.2399039204927975</v>
      </c>
      <c r="CJ86" s="171">
        <f t="shared" si="176"/>
        <v>4.2399039204927975</v>
      </c>
      <c r="CK86" s="172"/>
      <c r="CL86" s="162">
        <f t="shared" si="177"/>
        <v>1.5600000000000009</v>
      </c>
      <c r="CM86" s="170">
        <f t="shared" si="178"/>
        <v>1.5600000000000009</v>
      </c>
      <c r="CN86" s="162">
        <f t="shared" si="122"/>
        <v>4.2399039204927975</v>
      </c>
      <c r="CO86" s="171">
        <f t="shared" si="179"/>
        <v>4.2399039204927975</v>
      </c>
      <c r="CP86" s="162"/>
      <c r="CQ86" s="162">
        <f t="shared" si="180"/>
        <v>1.5600000000000009</v>
      </c>
      <c r="CR86" s="170">
        <f t="shared" si="181"/>
        <v>1.5600000000000009</v>
      </c>
      <c r="CS86" s="162">
        <f t="shared" si="123"/>
        <v>4.2399039204927975</v>
      </c>
      <c r="CT86" s="171">
        <f t="shared" si="182"/>
        <v>4.2399039204927975</v>
      </c>
      <c r="CU86" s="162"/>
      <c r="CV86" s="162">
        <f t="shared" si="183"/>
        <v>1.5600000000000009</v>
      </c>
      <c r="CW86" s="162">
        <f t="shared" si="184"/>
        <v>1.5600000000000009</v>
      </c>
      <c r="CX86" s="162">
        <f t="shared" si="124"/>
        <v>4.2399039204927975</v>
      </c>
      <c r="CY86" s="171">
        <f t="shared" si="185"/>
        <v>4.2399039204927975</v>
      </c>
      <c r="CZ86" s="162"/>
      <c r="DA86" s="162">
        <f t="shared" si="186"/>
        <v>1.5600000000000009</v>
      </c>
      <c r="DB86" s="170">
        <f t="shared" si="187"/>
        <v>1.5600000000000009</v>
      </c>
      <c r="DC86" s="162">
        <f t="shared" si="125"/>
        <v>4.2399039204927975</v>
      </c>
      <c r="DD86" s="171">
        <f t="shared" si="188"/>
        <v>4.2399039204927975</v>
      </c>
      <c r="DE86" s="162"/>
      <c r="DF86" s="162">
        <f t="shared" si="189"/>
        <v>1.5600000000000009</v>
      </c>
      <c r="DG86" s="170">
        <f t="shared" si="190"/>
        <v>1.5600000000000009</v>
      </c>
      <c r="DH86" s="162">
        <f t="shared" si="126"/>
        <v>4.2399039204927975</v>
      </c>
      <c r="DI86" s="171">
        <f t="shared" si="191"/>
        <v>4.2399039204927975</v>
      </c>
      <c r="DJ86" s="162"/>
      <c r="DK86" s="162">
        <f t="shared" si="192"/>
        <v>1.5600000000000009</v>
      </c>
      <c r="DL86" s="162">
        <f t="shared" si="193"/>
        <v>1.5600000000000009</v>
      </c>
      <c r="DM86" s="162">
        <f t="shared" si="127"/>
        <v>4.2399039204927975</v>
      </c>
      <c r="DN86" s="171">
        <f t="shared" si="194"/>
        <v>4.2399039204927975</v>
      </c>
      <c r="DO86" s="162"/>
      <c r="DP86" s="162">
        <f t="shared" si="195"/>
        <v>1.5600000000000009</v>
      </c>
      <c r="DQ86" s="170">
        <f t="shared" si="196"/>
        <v>1.5600000000000009</v>
      </c>
      <c r="DR86" s="162">
        <f t="shared" si="128"/>
        <v>4.2399039204927975</v>
      </c>
      <c r="DS86" s="171">
        <f t="shared" si="197"/>
        <v>4.2399039204927975</v>
      </c>
      <c r="DT86" s="162"/>
      <c r="DU86" s="162">
        <f t="shared" si="198"/>
        <v>1.5600000000000009</v>
      </c>
      <c r="DV86" s="170">
        <f t="shared" si="199"/>
        <v>1.5600000000000009</v>
      </c>
      <c r="DW86" s="162">
        <f t="shared" si="129"/>
        <v>4.2399039204927975</v>
      </c>
      <c r="DX86" s="171">
        <f t="shared" si="200"/>
        <v>4.2399039204927975</v>
      </c>
      <c r="DY86" s="162"/>
      <c r="DZ86" s="162">
        <f t="shared" si="201"/>
        <v>1.5600000000000009</v>
      </c>
      <c r="EA86" s="162">
        <f t="shared" si="202"/>
        <v>1.5600000000000009</v>
      </c>
      <c r="EB86" s="162">
        <f t="shared" si="130"/>
        <v>4.2399039204927975</v>
      </c>
      <c r="EC86" s="171">
        <f t="shared" si="203"/>
        <v>4.2399039204927975</v>
      </c>
      <c r="ED86" s="162"/>
      <c r="EE86" s="162">
        <f t="shared" si="204"/>
        <v>1.5600000000000009</v>
      </c>
      <c r="EF86" s="170">
        <f t="shared" si="205"/>
        <v>1.5600000000000009</v>
      </c>
      <c r="EG86" s="162">
        <f t="shared" si="131"/>
        <v>4.2399039204927975</v>
      </c>
      <c r="EH86" s="171">
        <f t="shared" si="206"/>
        <v>4.2399039204927975</v>
      </c>
      <c r="EI86" s="162"/>
      <c r="EJ86" s="162">
        <f t="shared" si="207"/>
        <v>1.5600000000000009</v>
      </c>
      <c r="EK86" s="170">
        <f t="shared" si="208"/>
        <v>1.5600000000000009</v>
      </c>
      <c r="EL86" s="162">
        <f t="shared" si="132"/>
        <v>4.2399039204927975</v>
      </c>
      <c r="EM86" s="171">
        <f t="shared" si="209"/>
        <v>4.2399039204927975</v>
      </c>
      <c r="EN86" s="162"/>
      <c r="EO86" s="162">
        <f t="shared" si="210"/>
        <v>1.5600000000000009</v>
      </c>
      <c r="EP86" s="162">
        <f t="shared" si="211"/>
        <v>1.5600000000000009</v>
      </c>
      <c r="EQ86" s="162">
        <f t="shared" si="133"/>
        <v>4.2399039204927975</v>
      </c>
      <c r="ER86" s="171">
        <f t="shared" si="212"/>
        <v>4.2399039204927975</v>
      </c>
      <c r="ES86" s="162"/>
      <c r="ET86" s="162">
        <f t="shared" si="213"/>
        <v>1.5600000000000009</v>
      </c>
      <c r="EU86" s="170">
        <f t="shared" si="214"/>
        <v>1.5600000000000009</v>
      </c>
      <c r="EV86" s="162">
        <f t="shared" si="134"/>
        <v>4.2399039204927975</v>
      </c>
      <c r="EW86" s="171">
        <f t="shared" si="215"/>
        <v>4.2399039204927975</v>
      </c>
      <c r="EX86" s="162"/>
    </row>
    <row r="87" spans="20:154" s="181" customFormat="1" x14ac:dyDescent="0.25">
      <c r="T87" s="162">
        <f t="shared" si="135"/>
        <v>1.580000000000001</v>
      </c>
      <c r="U87" s="170">
        <f t="shared" si="136"/>
        <v>1.580000000000001</v>
      </c>
      <c r="V87" s="162">
        <f t="shared" si="108"/>
        <v>4.1847113077491533</v>
      </c>
      <c r="W87" s="171">
        <f t="shared" si="137"/>
        <v>4.1847113077491533</v>
      </c>
      <c r="X87" s="162"/>
      <c r="Y87" s="162">
        <f t="shared" si="138"/>
        <v>1.580000000000001</v>
      </c>
      <c r="Z87" s="162">
        <f t="shared" si="139"/>
        <v>1.580000000000001</v>
      </c>
      <c r="AA87" s="162">
        <f t="shared" si="109"/>
        <v>4.1847113077491533</v>
      </c>
      <c r="AB87" s="171">
        <f t="shared" si="140"/>
        <v>4.1847113077491533</v>
      </c>
      <c r="AC87" s="162"/>
      <c r="AD87" s="162">
        <f t="shared" si="141"/>
        <v>1.580000000000001</v>
      </c>
      <c r="AE87" s="170">
        <f t="shared" si="142"/>
        <v>1.580000000000001</v>
      </c>
      <c r="AF87" s="162">
        <f t="shared" si="110"/>
        <v>4.1847113077491533</v>
      </c>
      <c r="AG87" s="171">
        <f t="shared" si="143"/>
        <v>4.1847113077491533</v>
      </c>
      <c r="AH87" s="162"/>
      <c r="AI87" s="162">
        <f t="shared" si="144"/>
        <v>1.580000000000001</v>
      </c>
      <c r="AJ87" s="170">
        <f t="shared" si="145"/>
        <v>1.580000000000001</v>
      </c>
      <c r="AK87" s="162">
        <f t="shared" si="111"/>
        <v>4.1847113077491533</v>
      </c>
      <c r="AL87" s="171">
        <f t="shared" si="146"/>
        <v>4.1847113077491533</v>
      </c>
      <c r="AM87" s="162"/>
      <c r="AN87" s="162">
        <f t="shared" si="147"/>
        <v>1.580000000000001</v>
      </c>
      <c r="AO87" s="162">
        <f t="shared" si="148"/>
        <v>1.580000000000001</v>
      </c>
      <c r="AP87" s="162">
        <f t="shared" si="112"/>
        <v>4.1847113077491533</v>
      </c>
      <c r="AQ87" s="171">
        <f t="shared" si="149"/>
        <v>4.1847113077491533</v>
      </c>
      <c r="AR87" s="162"/>
      <c r="AS87" s="162">
        <f t="shared" si="150"/>
        <v>1.580000000000001</v>
      </c>
      <c r="AT87" s="170">
        <f t="shared" si="151"/>
        <v>1.580000000000001</v>
      </c>
      <c r="AU87" s="162">
        <f t="shared" si="113"/>
        <v>4.1847113077491533</v>
      </c>
      <c r="AV87" s="171">
        <f t="shared" si="152"/>
        <v>4.1847113077491533</v>
      </c>
      <c r="AW87" s="162"/>
      <c r="AX87" s="162">
        <f t="shared" si="153"/>
        <v>1.580000000000001</v>
      </c>
      <c r="AY87" s="170">
        <f t="shared" si="154"/>
        <v>1.580000000000001</v>
      </c>
      <c r="AZ87" s="162">
        <f t="shared" si="114"/>
        <v>4.1847113077491533</v>
      </c>
      <c r="BA87" s="171">
        <f t="shared" si="155"/>
        <v>4.1847113077491533</v>
      </c>
      <c r="BB87" s="162"/>
      <c r="BC87" s="162">
        <f t="shared" si="156"/>
        <v>1.580000000000001</v>
      </c>
      <c r="BD87" s="162">
        <f t="shared" si="157"/>
        <v>1.580000000000001</v>
      </c>
      <c r="BE87" s="162">
        <f t="shared" si="115"/>
        <v>4.1847113077491533</v>
      </c>
      <c r="BF87" s="171">
        <f t="shared" si="158"/>
        <v>4.1847113077491533</v>
      </c>
      <c r="BG87" s="162"/>
      <c r="BH87" s="162">
        <f t="shared" si="159"/>
        <v>1.580000000000001</v>
      </c>
      <c r="BI87" s="170">
        <f t="shared" si="160"/>
        <v>1.580000000000001</v>
      </c>
      <c r="BJ87" s="162">
        <f t="shared" si="116"/>
        <v>4.1847113077491533</v>
      </c>
      <c r="BK87" s="171">
        <f t="shared" si="161"/>
        <v>4.1847113077491533</v>
      </c>
      <c r="BL87" s="162"/>
      <c r="BM87" s="162">
        <f t="shared" si="162"/>
        <v>1.580000000000001</v>
      </c>
      <c r="BN87" s="170">
        <f t="shared" si="163"/>
        <v>1.580000000000001</v>
      </c>
      <c r="BO87" s="162">
        <f t="shared" si="117"/>
        <v>4.1847113077491533</v>
      </c>
      <c r="BP87" s="171">
        <f t="shared" si="164"/>
        <v>4.1847113077491533</v>
      </c>
      <c r="BQ87" s="162"/>
      <c r="BR87" s="162">
        <f t="shared" si="165"/>
        <v>1.580000000000001</v>
      </c>
      <c r="BS87" s="162">
        <f t="shared" si="166"/>
        <v>1.580000000000001</v>
      </c>
      <c r="BT87" s="162">
        <f t="shared" si="118"/>
        <v>4.1847113077491533</v>
      </c>
      <c r="BU87" s="171">
        <f t="shared" si="167"/>
        <v>4.1847113077491533</v>
      </c>
      <c r="BV87" s="162"/>
      <c r="BW87" s="162">
        <f t="shared" si="168"/>
        <v>1.580000000000001</v>
      </c>
      <c r="BX87" s="170">
        <f t="shared" si="169"/>
        <v>1.580000000000001</v>
      </c>
      <c r="BY87" s="162">
        <f t="shared" si="119"/>
        <v>4.1847113077491533</v>
      </c>
      <c r="BZ87" s="171">
        <f t="shared" si="170"/>
        <v>4.1847113077491533</v>
      </c>
      <c r="CA87" s="162"/>
      <c r="CB87" s="162">
        <f t="shared" si="171"/>
        <v>1.580000000000001</v>
      </c>
      <c r="CC87" s="170">
        <f t="shared" si="172"/>
        <v>1.580000000000001</v>
      </c>
      <c r="CD87" s="162">
        <f t="shared" si="120"/>
        <v>4.1847113077491533</v>
      </c>
      <c r="CE87" s="171">
        <f t="shared" si="173"/>
        <v>4.1847113077491533</v>
      </c>
      <c r="CF87" s="162"/>
      <c r="CG87" s="172">
        <f t="shared" si="174"/>
        <v>1.580000000000001</v>
      </c>
      <c r="CH87" s="172">
        <f t="shared" si="175"/>
        <v>1.580000000000001</v>
      </c>
      <c r="CI87" s="172">
        <f t="shared" si="121"/>
        <v>4.1847113077491533</v>
      </c>
      <c r="CJ87" s="171">
        <f t="shared" si="176"/>
        <v>4.1847113077491533</v>
      </c>
      <c r="CK87" s="172"/>
      <c r="CL87" s="162">
        <f t="shared" si="177"/>
        <v>1.580000000000001</v>
      </c>
      <c r="CM87" s="170">
        <f t="shared" si="178"/>
        <v>1.580000000000001</v>
      </c>
      <c r="CN87" s="162">
        <f t="shared" si="122"/>
        <v>4.1847113077491533</v>
      </c>
      <c r="CO87" s="171">
        <f t="shared" si="179"/>
        <v>4.1847113077491533</v>
      </c>
      <c r="CP87" s="162"/>
      <c r="CQ87" s="162">
        <f t="shared" si="180"/>
        <v>1.580000000000001</v>
      </c>
      <c r="CR87" s="170">
        <f t="shared" si="181"/>
        <v>1.580000000000001</v>
      </c>
      <c r="CS87" s="162">
        <f t="shared" si="123"/>
        <v>4.1847113077491533</v>
      </c>
      <c r="CT87" s="171">
        <f t="shared" si="182"/>
        <v>4.1847113077491533</v>
      </c>
      <c r="CU87" s="162"/>
      <c r="CV87" s="162">
        <f t="shared" si="183"/>
        <v>1.580000000000001</v>
      </c>
      <c r="CW87" s="162">
        <f t="shared" si="184"/>
        <v>1.580000000000001</v>
      </c>
      <c r="CX87" s="162">
        <f t="shared" si="124"/>
        <v>4.1847113077491533</v>
      </c>
      <c r="CY87" s="171">
        <f t="shared" si="185"/>
        <v>4.1847113077491533</v>
      </c>
      <c r="CZ87" s="162"/>
      <c r="DA87" s="162">
        <f t="shared" si="186"/>
        <v>1.580000000000001</v>
      </c>
      <c r="DB87" s="170">
        <f t="shared" si="187"/>
        <v>1.580000000000001</v>
      </c>
      <c r="DC87" s="162">
        <f t="shared" si="125"/>
        <v>4.1847113077491533</v>
      </c>
      <c r="DD87" s="171">
        <f t="shared" si="188"/>
        <v>4.1847113077491533</v>
      </c>
      <c r="DE87" s="162"/>
      <c r="DF87" s="162">
        <f t="shared" si="189"/>
        <v>1.580000000000001</v>
      </c>
      <c r="DG87" s="170">
        <f t="shared" si="190"/>
        <v>1.580000000000001</v>
      </c>
      <c r="DH87" s="162">
        <f t="shared" si="126"/>
        <v>4.1847113077491533</v>
      </c>
      <c r="DI87" s="171">
        <f t="shared" si="191"/>
        <v>4.1847113077491533</v>
      </c>
      <c r="DJ87" s="162"/>
      <c r="DK87" s="162">
        <f t="shared" si="192"/>
        <v>1.580000000000001</v>
      </c>
      <c r="DL87" s="162">
        <f t="shared" si="193"/>
        <v>1.580000000000001</v>
      </c>
      <c r="DM87" s="162">
        <f t="shared" si="127"/>
        <v>4.1847113077491533</v>
      </c>
      <c r="DN87" s="171">
        <f t="shared" si="194"/>
        <v>4.1847113077491533</v>
      </c>
      <c r="DO87" s="162"/>
      <c r="DP87" s="162">
        <f t="shared" si="195"/>
        <v>1.580000000000001</v>
      </c>
      <c r="DQ87" s="170">
        <f t="shared" si="196"/>
        <v>1.580000000000001</v>
      </c>
      <c r="DR87" s="162">
        <f t="shared" si="128"/>
        <v>4.1847113077491533</v>
      </c>
      <c r="DS87" s="171">
        <f t="shared" si="197"/>
        <v>4.1847113077491533</v>
      </c>
      <c r="DT87" s="162"/>
      <c r="DU87" s="162">
        <f t="shared" si="198"/>
        <v>1.580000000000001</v>
      </c>
      <c r="DV87" s="170">
        <f t="shared" si="199"/>
        <v>1.580000000000001</v>
      </c>
      <c r="DW87" s="162">
        <f t="shared" si="129"/>
        <v>4.1847113077491533</v>
      </c>
      <c r="DX87" s="171">
        <f t="shared" si="200"/>
        <v>4.1847113077491533</v>
      </c>
      <c r="DY87" s="162"/>
      <c r="DZ87" s="162">
        <f t="shared" si="201"/>
        <v>1.580000000000001</v>
      </c>
      <c r="EA87" s="162">
        <f t="shared" si="202"/>
        <v>1.580000000000001</v>
      </c>
      <c r="EB87" s="162">
        <f t="shared" si="130"/>
        <v>4.1847113077491533</v>
      </c>
      <c r="EC87" s="171">
        <f t="shared" si="203"/>
        <v>4.1847113077491533</v>
      </c>
      <c r="ED87" s="162"/>
      <c r="EE87" s="162">
        <f t="shared" si="204"/>
        <v>1.580000000000001</v>
      </c>
      <c r="EF87" s="170">
        <f t="shared" si="205"/>
        <v>1.580000000000001</v>
      </c>
      <c r="EG87" s="162">
        <f t="shared" si="131"/>
        <v>4.1847113077491533</v>
      </c>
      <c r="EH87" s="171">
        <f t="shared" si="206"/>
        <v>4.1847113077491533</v>
      </c>
      <c r="EI87" s="162"/>
      <c r="EJ87" s="162">
        <f t="shared" si="207"/>
        <v>1.580000000000001</v>
      </c>
      <c r="EK87" s="170">
        <f t="shared" si="208"/>
        <v>1.580000000000001</v>
      </c>
      <c r="EL87" s="162">
        <f t="shared" si="132"/>
        <v>4.1847113077491533</v>
      </c>
      <c r="EM87" s="171">
        <f t="shared" si="209"/>
        <v>4.1847113077491533</v>
      </c>
      <c r="EN87" s="162"/>
      <c r="EO87" s="162">
        <f t="shared" si="210"/>
        <v>1.580000000000001</v>
      </c>
      <c r="EP87" s="162">
        <f t="shared" si="211"/>
        <v>1.580000000000001</v>
      </c>
      <c r="EQ87" s="162">
        <f t="shared" si="133"/>
        <v>4.1847113077491533</v>
      </c>
      <c r="ER87" s="171">
        <f t="shared" si="212"/>
        <v>4.1847113077491533</v>
      </c>
      <c r="ES87" s="162"/>
      <c r="ET87" s="162">
        <f t="shared" si="213"/>
        <v>1.580000000000001</v>
      </c>
      <c r="EU87" s="170">
        <f t="shared" si="214"/>
        <v>1.580000000000001</v>
      </c>
      <c r="EV87" s="162">
        <f t="shared" si="134"/>
        <v>4.1847113077491533</v>
      </c>
      <c r="EW87" s="171">
        <f t="shared" si="215"/>
        <v>4.1847113077491533</v>
      </c>
      <c r="EX87" s="162"/>
    </row>
    <row r="88" spans="20:154" s="181" customFormat="1" x14ac:dyDescent="0.25">
      <c r="T88" s="162">
        <f t="shared" si="135"/>
        <v>1.600000000000001</v>
      </c>
      <c r="U88" s="170">
        <f t="shared" si="136"/>
        <v>1.600000000000001</v>
      </c>
      <c r="V88" s="162">
        <f t="shared" si="108"/>
        <v>4.1268101822776631</v>
      </c>
      <c r="W88" s="171">
        <f t="shared" si="137"/>
        <v>4.1268101822776631</v>
      </c>
      <c r="X88" s="162"/>
      <c r="Y88" s="162">
        <f t="shared" si="138"/>
        <v>1.600000000000001</v>
      </c>
      <c r="Z88" s="162">
        <f t="shared" si="139"/>
        <v>1.600000000000001</v>
      </c>
      <c r="AA88" s="162">
        <f t="shared" si="109"/>
        <v>4.1268101822776631</v>
      </c>
      <c r="AB88" s="171">
        <f t="shared" si="140"/>
        <v>4.1268101822776631</v>
      </c>
      <c r="AC88" s="162"/>
      <c r="AD88" s="162">
        <f t="shared" si="141"/>
        <v>1.600000000000001</v>
      </c>
      <c r="AE88" s="170">
        <f t="shared" si="142"/>
        <v>1.600000000000001</v>
      </c>
      <c r="AF88" s="162">
        <f t="shared" si="110"/>
        <v>4.1268101822776631</v>
      </c>
      <c r="AG88" s="171">
        <f t="shared" si="143"/>
        <v>4.1268101822776631</v>
      </c>
      <c r="AH88" s="162"/>
      <c r="AI88" s="162">
        <f t="shared" si="144"/>
        <v>1.600000000000001</v>
      </c>
      <c r="AJ88" s="170">
        <f t="shared" si="145"/>
        <v>1.600000000000001</v>
      </c>
      <c r="AK88" s="162">
        <f t="shared" si="111"/>
        <v>4.1268101822776631</v>
      </c>
      <c r="AL88" s="171">
        <f t="shared" si="146"/>
        <v>4.1268101822776631</v>
      </c>
      <c r="AM88" s="162"/>
      <c r="AN88" s="162">
        <f t="shared" si="147"/>
        <v>1.600000000000001</v>
      </c>
      <c r="AO88" s="162">
        <f t="shared" si="148"/>
        <v>1.600000000000001</v>
      </c>
      <c r="AP88" s="162">
        <f t="shared" si="112"/>
        <v>4.1268101822776631</v>
      </c>
      <c r="AQ88" s="171">
        <f t="shared" si="149"/>
        <v>4.1268101822776631</v>
      </c>
      <c r="AR88" s="162"/>
      <c r="AS88" s="162">
        <f t="shared" si="150"/>
        <v>1.600000000000001</v>
      </c>
      <c r="AT88" s="170">
        <f t="shared" si="151"/>
        <v>1.600000000000001</v>
      </c>
      <c r="AU88" s="162">
        <f t="shared" si="113"/>
        <v>4.1268101822776631</v>
      </c>
      <c r="AV88" s="171">
        <f t="shared" si="152"/>
        <v>4.1268101822776631</v>
      </c>
      <c r="AW88" s="162"/>
      <c r="AX88" s="162">
        <f t="shared" si="153"/>
        <v>1.600000000000001</v>
      </c>
      <c r="AY88" s="170">
        <f t="shared" si="154"/>
        <v>1.600000000000001</v>
      </c>
      <c r="AZ88" s="162">
        <f t="shared" si="114"/>
        <v>4.1268101822776631</v>
      </c>
      <c r="BA88" s="171">
        <f t="shared" si="155"/>
        <v>4.1268101822776631</v>
      </c>
      <c r="BB88" s="162"/>
      <c r="BC88" s="162">
        <f t="shared" si="156"/>
        <v>1.600000000000001</v>
      </c>
      <c r="BD88" s="162">
        <f t="shared" si="157"/>
        <v>1.600000000000001</v>
      </c>
      <c r="BE88" s="162">
        <f t="shared" si="115"/>
        <v>4.1268101822776631</v>
      </c>
      <c r="BF88" s="171">
        <f t="shared" si="158"/>
        <v>4.1268101822776631</v>
      </c>
      <c r="BG88" s="162"/>
      <c r="BH88" s="162">
        <f t="shared" si="159"/>
        <v>1.600000000000001</v>
      </c>
      <c r="BI88" s="170">
        <f t="shared" si="160"/>
        <v>1.600000000000001</v>
      </c>
      <c r="BJ88" s="162">
        <f t="shared" si="116"/>
        <v>4.1268101822776631</v>
      </c>
      <c r="BK88" s="171">
        <f t="shared" si="161"/>
        <v>4.1268101822776631</v>
      </c>
      <c r="BL88" s="162"/>
      <c r="BM88" s="162">
        <f t="shared" si="162"/>
        <v>1.600000000000001</v>
      </c>
      <c r="BN88" s="170">
        <f t="shared" si="163"/>
        <v>1.600000000000001</v>
      </c>
      <c r="BO88" s="162">
        <f t="shared" si="117"/>
        <v>4.1268101822776631</v>
      </c>
      <c r="BP88" s="171">
        <f t="shared" si="164"/>
        <v>4.1268101822776631</v>
      </c>
      <c r="BQ88" s="162"/>
      <c r="BR88" s="162">
        <f t="shared" si="165"/>
        <v>1.600000000000001</v>
      </c>
      <c r="BS88" s="162">
        <f t="shared" si="166"/>
        <v>1.600000000000001</v>
      </c>
      <c r="BT88" s="162">
        <f t="shared" si="118"/>
        <v>4.1268101822776631</v>
      </c>
      <c r="BU88" s="171">
        <f t="shared" si="167"/>
        <v>4.1268101822776631</v>
      </c>
      <c r="BV88" s="162"/>
      <c r="BW88" s="162">
        <f t="shared" si="168"/>
        <v>1.600000000000001</v>
      </c>
      <c r="BX88" s="170">
        <f t="shared" si="169"/>
        <v>1.600000000000001</v>
      </c>
      <c r="BY88" s="162">
        <f t="shared" si="119"/>
        <v>4.1268101822776631</v>
      </c>
      <c r="BZ88" s="171">
        <f t="shared" si="170"/>
        <v>4.1268101822776631</v>
      </c>
      <c r="CA88" s="162"/>
      <c r="CB88" s="162">
        <f t="shared" si="171"/>
        <v>1.600000000000001</v>
      </c>
      <c r="CC88" s="170">
        <f t="shared" si="172"/>
        <v>1.600000000000001</v>
      </c>
      <c r="CD88" s="162">
        <f t="shared" si="120"/>
        <v>4.1268101822776631</v>
      </c>
      <c r="CE88" s="171">
        <f t="shared" si="173"/>
        <v>4.1268101822776631</v>
      </c>
      <c r="CF88" s="162"/>
      <c r="CG88" s="172">
        <f t="shared" si="174"/>
        <v>1.600000000000001</v>
      </c>
      <c r="CH88" s="172">
        <f t="shared" si="175"/>
        <v>1.600000000000001</v>
      </c>
      <c r="CI88" s="172">
        <f t="shared" si="121"/>
        <v>4.1268101822776631</v>
      </c>
      <c r="CJ88" s="171">
        <f t="shared" si="176"/>
        <v>4.1268101822776631</v>
      </c>
      <c r="CK88" s="172"/>
      <c r="CL88" s="162">
        <f t="shared" si="177"/>
        <v>1.600000000000001</v>
      </c>
      <c r="CM88" s="170">
        <f t="shared" si="178"/>
        <v>1.600000000000001</v>
      </c>
      <c r="CN88" s="162">
        <f t="shared" si="122"/>
        <v>4.1268101822776631</v>
      </c>
      <c r="CO88" s="171">
        <f t="shared" si="179"/>
        <v>4.1268101822776631</v>
      </c>
      <c r="CP88" s="162"/>
      <c r="CQ88" s="162">
        <f t="shared" si="180"/>
        <v>1.600000000000001</v>
      </c>
      <c r="CR88" s="170">
        <f t="shared" si="181"/>
        <v>1.600000000000001</v>
      </c>
      <c r="CS88" s="162">
        <f t="shared" si="123"/>
        <v>4.1268101822776631</v>
      </c>
      <c r="CT88" s="171">
        <f t="shared" si="182"/>
        <v>4.1268101822776631</v>
      </c>
      <c r="CU88" s="162"/>
      <c r="CV88" s="162">
        <f t="shared" si="183"/>
        <v>1.600000000000001</v>
      </c>
      <c r="CW88" s="162">
        <f t="shared" si="184"/>
        <v>1.600000000000001</v>
      </c>
      <c r="CX88" s="162">
        <f t="shared" si="124"/>
        <v>4.1268101822776631</v>
      </c>
      <c r="CY88" s="171">
        <f t="shared" si="185"/>
        <v>4.1268101822776631</v>
      </c>
      <c r="CZ88" s="162"/>
      <c r="DA88" s="162">
        <f t="shared" si="186"/>
        <v>1.600000000000001</v>
      </c>
      <c r="DB88" s="170">
        <f t="shared" si="187"/>
        <v>1.600000000000001</v>
      </c>
      <c r="DC88" s="162">
        <f t="shared" si="125"/>
        <v>4.1268101822776631</v>
      </c>
      <c r="DD88" s="171">
        <f t="shared" si="188"/>
        <v>4.1268101822776631</v>
      </c>
      <c r="DE88" s="162"/>
      <c r="DF88" s="162">
        <f t="shared" si="189"/>
        <v>1.600000000000001</v>
      </c>
      <c r="DG88" s="170">
        <f t="shared" si="190"/>
        <v>1.600000000000001</v>
      </c>
      <c r="DH88" s="162">
        <f t="shared" si="126"/>
        <v>4.1268101822776631</v>
      </c>
      <c r="DI88" s="171">
        <f t="shared" si="191"/>
        <v>4.1268101822776631</v>
      </c>
      <c r="DJ88" s="162"/>
      <c r="DK88" s="162">
        <f t="shared" si="192"/>
        <v>1.600000000000001</v>
      </c>
      <c r="DL88" s="162">
        <f t="shared" si="193"/>
        <v>1.600000000000001</v>
      </c>
      <c r="DM88" s="162">
        <f t="shared" si="127"/>
        <v>4.1268101822776631</v>
      </c>
      <c r="DN88" s="171">
        <f t="shared" si="194"/>
        <v>4.1268101822776631</v>
      </c>
      <c r="DO88" s="162"/>
      <c r="DP88" s="162">
        <f t="shared" si="195"/>
        <v>1.600000000000001</v>
      </c>
      <c r="DQ88" s="170">
        <f t="shared" si="196"/>
        <v>1.600000000000001</v>
      </c>
      <c r="DR88" s="162">
        <f t="shared" si="128"/>
        <v>4.1268101822776631</v>
      </c>
      <c r="DS88" s="171">
        <f t="shared" si="197"/>
        <v>4.1268101822776631</v>
      </c>
      <c r="DT88" s="162"/>
      <c r="DU88" s="162">
        <f t="shared" si="198"/>
        <v>1.600000000000001</v>
      </c>
      <c r="DV88" s="170">
        <f t="shared" si="199"/>
        <v>1.600000000000001</v>
      </c>
      <c r="DW88" s="162">
        <f t="shared" si="129"/>
        <v>4.1268101822776631</v>
      </c>
      <c r="DX88" s="171">
        <f t="shared" si="200"/>
        <v>4.1268101822776631</v>
      </c>
      <c r="DY88" s="162"/>
      <c r="DZ88" s="162">
        <f t="shared" si="201"/>
        <v>1.600000000000001</v>
      </c>
      <c r="EA88" s="162">
        <f t="shared" si="202"/>
        <v>1.600000000000001</v>
      </c>
      <c r="EB88" s="162">
        <f t="shared" si="130"/>
        <v>4.1268101822776631</v>
      </c>
      <c r="EC88" s="171">
        <f t="shared" si="203"/>
        <v>4.1268101822776631</v>
      </c>
      <c r="ED88" s="162"/>
      <c r="EE88" s="162">
        <f t="shared" si="204"/>
        <v>1.600000000000001</v>
      </c>
      <c r="EF88" s="170">
        <f t="shared" si="205"/>
        <v>1.600000000000001</v>
      </c>
      <c r="EG88" s="162">
        <f t="shared" si="131"/>
        <v>4.1268101822776631</v>
      </c>
      <c r="EH88" s="171">
        <f t="shared" si="206"/>
        <v>4.1268101822776631</v>
      </c>
      <c r="EI88" s="162"/>
      <c r="EJ88" s="162">
        <f t="shared" si="207"/>
        <v>1.600000000000001</v>
      </c>
      <c r="EK88" s="170">
        <f t="shared" si="208"/>
        <v>1.600000000000001</v>
      </c>
      <c r="EL88" s="162">
        <f t="shared" si="132"/>
        <v>4.1268101822776631</v>
      </c>
      <c r="EM88" s="171">
        <f t="shared" si="209"/>
        <v>4.1268101822776631</v>
      </c>
      <c r="EN88" s="162"/>
      <c r="EO88" s="162">
        <f t="shared" si="210"/>
        <v>1.600000000000001</v>
      </c>
      <c r="EP88" s="162">
        <f t="shared" si="211"/>
        <v>1.600000000000001</v>
      </c>
      <c r="EQ88" s="162">
        <f t="shared" si="133"/>
        <v>4.1268101822776631</v>
      </c>
      <c r="ER88" s="171">
        <f t="shared" si="212"/>
        <v>4.1268101822776631</v>
      </c>
      <c r="ES88" s="162"/>
      <c r="ET88" s="162">
        <f t="shared" si="213"/>
        <v>1.600000000000001</v>
      </c>
      <c r="EU88" s="170">
        <f t="shared" si="214"/>
        <v>1.600000000000001</v>
      </c>
      <c r="EV88" s="162">
        <f t="shared" si="134"/>
        <v>4.1268101822776631</v>
      </c>
      <c r="EW88" s="171">
        <f t="shared" si="215"/>
        <v>4.1268101822776631</v>
      </c>
      <c r="EX88" s="162"/>
    </row>
    <row r="89" spans="20:154" s="181" customFormat="1" x14ac:dyDescent="0.25">
      <c r="T89" s="162">
        <f t="shared" si="135"/>
        <v>1.620000000000001</v>
      </c>
      <c r="U89" s="170">
        <f t="shared" si="136"/>
        <v>1.620000000000001</v>
      </c>
      <c r="V89" s="162">
        <f t="shared" si="108"/>
        <v>4.0662005440783302</v>
      </c>
      <c r="W89" s="171">
        <f t="shared" si="137"/>
        <v>4.0662005440783302</v>
      </c>
      <c r="X89" s="162"/>
      <c r="Y89" s="162">
        <f t="shared" si="138"/>
        <v>1.620000000000001</v>
      </c>
      <c r="Z89" s="162">
        <f t="shared" si="139"/>
        <v>1.620000000000001</v>
      </c>
      <c r="AA89" s="162">
        <f t="shared" si="109"/>
        <v>4.0662005440783302</v>
      </c>
      <c r="AB89" s="171">
        <f t="shared" si="140"/>
        <v>4.0662005440783302</v>
      </c>
      <c r="AC89" s="162"/>
      <c r="AD89" s="162">
        <f t="shared" si="141"/>
        <v>1.620000000000001</v>
      </c>
      <c r="AE89" s="170">
        <f t="shared" si="142"/>
        <v>1.620000000000001</v>
      </c>
      <c r="AF89" s="162">
        <f t="shared" si="110"/>
        <v>4.0662005440783302</v>
      </c>
      <c r="AG89" s="171">
        <f t="shared" si="143"/>
        <v>4.0662005440783302</v>
      </c>
      <c r="AH89" s="162"/>
      <c r="AI89" s="162">
        <f t="shared" si="144"/>
        <v>1.620000000000001</v>
      </c>
      <c r="AJ89" s="170">
        <f t="shared" si="145"/>
        <v>1.620000000000001</v>
      </c>
      <c r="AK89" s="162">
        <f t="shared" si="111"/>
        <v>4.0662005440783302</v>
      </c>
      <c r="AL89" s="171">
        <f t="shared" si="146"/>
        <v>4.0662005440783302</v>
      </c>
      <c r="AM89" s="162"/>
      <c r="AN89" s="162">
        <f t="shared" si="147"/>
        <v>1.620000000000001</v>
      </c>
      <c r="AO89" s="162">
        <f t="shared" si="148"/>
        <v>1.620000000000001</v>
      </c>
      <c r="AP89" s="162">
        <f t="shared" si="112"/>
        <v>4.0662005440783302</v>
      </c>
      <c r="AQ89" s="171">
        <f t="shared" si="149"/>
        <v>4.0662005440783302</v>
      </c>
      <c r="AR89" s="162"/>
      <c r="AS89" s="162">
        <f t="shared" si="150"/>
        <v>1.620000000000001</v>
      </c>
      <c r="AT89" s="170">
        <f t="shared" si="151"/>
        <v>1.620000000000001</v>
      </c>
      <c r="AU89" s="162">
        <f t="shared" si="113"/>
        <v>4.0662005440783302</v>
      </c>
      <c r="AV89" s="171">
        <f t="shared" si="152"/>
        <v>4.0662005440783302</v>
      </c>
      <c r="AW89" s="162"/>
      <c r="AX89" s="162">
        <f t="shared" si="153"/>
        <v>1.620000000000001</v>
      </c>
      <c r="AY89" s="170">
        <f t="shared" si="154"/>
        <v>1.620000000000001</v>
      </c>
      <c r="AZ89" s="162">
        <f t="shared" si="114"/>
        <v>4.0662005440783302</v>
      </c>
      <c r="BA89" s="171">
        <f t="shared" si="155"/>
        <v>4.0662005440783302</v>
      </c>
      <c r="BB89" s="162"/>
      <c r="BC89" s="162">
        <f t="shared" si="156"/>
        <v>1.620000000000001</v>
      </c>
      <c r="BD89" s="162">
        <f t="shared" si="157"/>
        <v>1.620000000000001</v>
      </c>
      <c r="BE89" s="162">
        <f t="shared" si="115"/>
        <v>4.0662005440783302</v>
      </c>
      <c r="BF89" s="171">
        <f t="shared" si="158"/>
        <v>4.0662005440783302</v>
      </c>
      <c r="BG89" s="162"/>
      <c r="BH89" s="162">
        <f t="shared" si="159"/>
        <v>1.620000000000001</v>
      </c>
      <c r="BI89" s="170">
        <f t="shared" si="160"/>
        <v>1.620000000000001</v>
      </c>
      <c r="BJ89" s="162">
        <f t="shared" si="116"/>
        <v>4.0662005440783302</v>
      </c>
      <c r="BK89" s="171">
        <f t="shared" si="161"/>
        <v>4.0662005440783302</v>
      </c>
      <c r="BL89" s="162"/>
      <c r="BM89" s="162">
        <f t="shared" si="162"/>
        <v>1.620000000000001</v>
      </c>
      <c r="BN89" s="170">
        <f t="shared" si="163"/>
        <v>1.620000000000001</v>
      </c>
      <c r="BO89" s="162">
        <f t="shared" si="117"/>
        <v>4.0662005440783302</v>
      </c>
      <c r="BP89" s="171">
        <f t="shared" si="164"/>
        <v>4.0662005440783302</v>
      </c>
      <c r="BQ89" s="162"/>
      <c r="BR89" s="162">
        <f t="shared" si="165"/>
        <v>1.620000000000001</v>
      </c>
      <c r="BS89" s="162">
        <f t="shared" si="166"/>
        <v>1.620000000000001</v>
      </c>
      <c r="BT89" s="162">
        <f t="shared" si="118"/>
        <v>4.0662005440783302</v>
      </c>
      <c r="BU89" s="171">
        <f t="shared" si="167"/>
        <v>4.0662005440783302</v>
      </c>
      <c r="BV89" s="162"/>
      <c r="BW89" s="162">
        <f t="shared" si="168"/>
        <v>1.620000000000001</v>
      </c>
      <c r="BX89" s="170">
        <f t="shared" si="169"/>
        <v>1.620000000000001</v>
      </c>
      <c r="BY89" s="162">
        <f t="shared" si="119"/>
        <v>4.0662005440783302</v>
      </c>
      <c r="BZ89" s="171">
        <f t="shared" si="170"/>
        <v>4.0662005440783302</v>
      </c>
      <c r="CA89" s="162"/>
      <c r="CB89" s="162">
        <f t="shared" si="171"/>
        <v>1.620000000000001</v>
      </c>
      <c r="CC89" s="170">
        <f t="shared" si="172"/>
        <v>1.620000000000001</v>
      </c>
      <c r="CD89" s="162">
        <f t="shared" si="120"/>
        <v>4.0662005440783302</v>
      </c>
      <c r="CE89" s="171">
        <f t="shared" si="173"/>
        <v>4.0662005440783302</v>
      </c>
      <c r="CF89" s="162"/>
      <c r="CG89" s="172">
        <f t="shared" si="174"/>
        <v>1.620000000000001</v>
      </c>
      <c r="CH89" s="172">
        <f t="shared" si="175"/>
        <v>1.620000000000001</v>
      </c>
      <c r="CI89" s="172">
        <f t="shared" si="121"/>
        <v>4.0662005440783302</v>
      </c>
      <c r="CJ89" s="171">
        <f t="shared" si="176"/>
        <v>4.0662005440783302</v>
      </c>
      <c r="CK89" s="172"/>
      <c r="CL89" s="162">
        <f t="shared" si="177"/>
        <v>1.620000000000001</v>
      </c>
      <c r="CM89" s="170">
        <f t="shared" si="178"/>
        <v>1.620000000000001</v>
      </c>
      <c r="CN89" s="162">
        <f t="shared" si="122"/>
        <v>4.0662005440783302</v>
      </c>
      <c r="CO89" s="171">
        <f t="shared" si="179"/>
        <v>4.0662005440783302</v>
      </c>
      <c r="CP89" s="162"/>
      <c r="CQ89" s="162">
        <f t="shared" si="180"/>
        <v>1.620000000000001</v>
      </c>
      <c r="CR89" s="170">
        <f t="shared" si="181"/>
        <v>1.620000000000001</v>
      </c>
      <c r="CS89" s="162">
        <f t="shared" si="123"/>
        <v>4.0662005440783302</v>
      </c>
      <c r="CT89" s="171">
        <f t="shared" si="182"/>
        <v>4.0662005440783302</v>
      </c>
      <c r="CU89" s="162"/>
      <c r="CV89" s="162">
        <f t="shared" si="183"/>
        <v>1.620000000000001</v>
      </c>
      <c r="CW89" s="162">
        <f t="shared" si="184"/>
        <v>1.620000000000001</v>
      </c>
      <c r="CX89" s="162">
        <f t="shared" si="124"/>
        <v>4.0662005440783302</v>
      </c>
      <c r="CY89" s="171">
        <f t="shared" si="185"/>
        <v>4.0662005440783302</v>
      </c>
      <c r="CZ89" s="162"/>
      <c r="DA89" s="162">
        <f t="shared" si="186"/>
        <v>1.620000000000001</v>
      </c>
      <c r="DB89" s="170">
        <f t="shared" si="187"/>
        <v>1.620000000000001</v>
      </c>
      <c r="DC89" s="162">
        <f t="shared" si="125"/>
        <v>4.0662005440783302</v>
      </c>
      <c r="DD89" s="171">
        <f t="shared" si="188"/>
        <v>4.0662005440783302</v>
      </c>
      <c r="DE89" s="162"/>
      <c r="DF89" s="162">
        <f t="shared" si="189"/>
        <v>1.620000000000001</v>
      </c>
      <c r="DG89" s="170">
        <f t="shared" si="190"/>
        <v>1.620000000000001</v>
      </c>
      <c r="DH89" s="162">
        <f t="shared" si="126"/>
        <v>4.0662005440783302</v>
      </c>
      <c r="DI89" s="171">
        <f t="shared" si="191"/>
        <v>4.0662005440783302</v>
      </c>
      <c r="DJ89" s="162"/>
      <c r="DK89" s="162">
        <f t="shared" si="192"/>
        <v>1.620000000000001</v>
      </c>
      <c r="DL89" s="162">
        <f t="shared" si="193"/>
        <v>1.620000000000001</v>
      </c>
      <c r="DM89" s="162">
        <f t="shared" si="127"/>
        <v>4.0662005440783302</v>
      </c>
      <c r="DN89" s="171">
        <f t="shared" si="194"/>
        <v>4.0662005440783302</v>
      </c>
      <c r="DO89" s="162"/>
      <c r="DP89" s="162">
        <f t="shared" si="195"/>
        <v>1.620000000000001</v>
      </c>
      <c r="DQ89" s="170">
        <f t="shared" si="196"/>
        <v>1.620000000000001</v>
      </c>
      <c r="DR89" s="162">
        <f t="shared" si="128"/>
        <v>4.0662005440783302</v>
      </c>
      <c r="DS89" s="171">
        <f t="shared" si="197"/>
        <v>4.0662005440783302</v>
      </c>
      <c r="DT89" s="162"/>
      <c r="DU89" s="162">
        <f t="shared" si="198"/>
        <v>1.620000000000001</v>
      </c>
      <c r="DV89" s="170">
        <f t="shared" si="199"/>
        <v>1.620000000000001</v>
      </c>
      <c r="DW89" s="162">
        <f t="shared" si="129"/>
        <v>4.0662005440783302</v>
      </c>
      <c r="DX89" s="171">
        <f t="shared" si="200"/>
        <v>4.0662005440783302</v>
      </c>
      <c r="DY89" s="162"/>
      <c r="DZ89" s="162">
        <f t="shared" si="201"/>
        <v>1.620000000000001</v>
      </c>
      <c r="EA89" s="162">
        <f t="shared" si="202"/>
        <v>1.620000000000001</v>
      </c>
      <c r="EB89" s="162">
        <f t="shared" si="130"/>
        <v>4.0662005440783302</v>
      </c>
      <c r="EC89" s="171">
        <f t="shared" si="203"/>
        <v>4.0662005440783302</v>
      </c>
      <c r="ED89" s="162"/>
      <c r="EE89" s="162">
        <f t="shared" si="204"/>
        <v>1.620000000000001</v>
      </c>
      <c r="EF89" s="170">
        <f t="shared" si="205"/>
        <v>1.620000000000001</v>
      </c>
      <c r="EG89" s="162">
        <f t="shared" si="131"/>
        <v>4.0662005440783302</v>
      </c>
      <c r="EH89" s="171">
        <f t="shared" si="206"/>
        <v>4.0662005440783302</v>
      </c>
      <c r="EI89" s="162"/>
      <c r="EJ89" s="162">
        <f t="shared" si="207"/>
        <v>1.620000000000001</v>
      </c>
      <c r="EK89" s="170">
        <f t="shared" si="208"/>
        <v>1.620000000000001</v>
      </c>
      <c r="EL89" s="162">
        <f t="shared" si="132"/>
        <v>4.0662005440783302</v>
      </c>
      <c r="EM89" s="171">
        <f t="shared" si="209"/>
        <v>4.0662005440783302</v>
      </c>
      <c r="EN89" s="162"/>
      <c r="EO89" s="162">
        <f t="shared" si="210"/>
        <v>1.620000000000001</v>
      </c>
      <c r="EP89" s="162">
        <f t="shared" si="211"/>
        <v>1.620000000000001</v>
      </c>
      <c r="EQ89" s="162">
        <f t="shared" si="133"/>
        <v>4.0662005440783302</v>
      </c>
      <c r="ER89" s="171">
        <f t="shared" si="212"/>
        <v>4.0662005440783302</v>
      </c>
      <c r="ES89" s="162"/>
      <c r="ET89" s="162">
        <f t="shared" si="213"/>
        <v>1.620000000000001</v>
      </c>
      <c r="EU89" s="170">
        <f t="shared" si="214"/>
        <v>1.620000000000001</v>
      </c>
      <c r="EV89" s="162">
        <f t="shared" si="134"/>
        <v>4.0662005440783302</v>
      </c>
      <c r="EW89" s="171">
        <f t="shared" si="215"/>
        <v>4.0662005440783302</v>
      </c>
      <c r="EX89" s="162"/>
    </row>
    <row r="90" spans="20:154" s="181" customFormat="1" x14ac:dyDescent="0.25">
      <c r="T90" s="162">
        <f t="shared" si="135"/>
        <v>1.640000000000001</v>
      </c>
      <c r="U90" s="170">
        <f t="shared" si="136"/>
        <v>1.640000000000001</v>
      </c>
      <c r="V90" s="162">
        <f t="shared" si="108"/>
        <v>4.0028823931511459</v>
      </c>
      <c r="W90" s="171">
        <f t="shared" si="137"/>
        <v>4.0028823931511459</v>
      </c>
      <c r="X90" s="162"/>
      <c r="Y90" s="162">
        <f t="shared" si="138"/>
        <v>1.640000000000001</v>
      </c>
      <c r="Z90" s="162">
        <f t="shared" si="139"/>
        <v>1.640000000000001</v>
      </c>
      <c r="AA90" s="162">
        <f t="shared" si="109"/>
        <v>4.0028823931511459</v>
      </c>
      <c r="AB90" s="171">
        <f t="shared" si="140"/>
        <v>4.0028823931511459</v>
      </c>
      <c r="AC90" s="162"/>
      <c r="AD90" s="162">
        <f t="shared" si="141"/>
        <v>1.640000000000001</v>
      </c>
      <c r="AE90" s="170">
        <f t="shared" si="142"/>
        <v>1.640000000000001</v>
      </c>
      <c r="AF90" s="162">
        <f t="shared" si="110"/>
        <v>4.0028823931511459</v>
      </c>
      <c r="AG90" s="171">
        <f t="shared" si="143"/>
        <v>4.0028823931511459</v>
      </c>
      <c r="AH90" s="162"/>
      <c r="AI90" s="162">
        <f t="shared" si="144"/>
        <v>1.640000000000001</v>
      </c>
      <c r="AJ90" s="170">
        <f t="shared" si="145"/>
        <v>1.640000000000001</v>
      </c>
      <c r="AK90" s="162">
        <f t="shared" si="111"/>
        <v>4.0028823931511459</v>
      </c>
      <c r="AL90" s="171">
        <f t="shared" si="146"/>
        <v>4.0028823931511459</v>
      </c>
      <c r="AM90" s="162"/>
      <c r="AN90" s="162">
        <f t="shared" si="147"/>
        <v>1.640000000000001</v>
      </c>
      <c r="AO90" s="162">
        <f t="shared" si="148"/>
        <v>1.640000000000001</v>
      </c>
      <c r="AP90" s="162">
        <f t="shared" si="112"/>
        <v>4.0028823931511459</v>
      </c>
      <c r="AQ90" s="171">
        <f t="shared" si="149"/>
        <v>4.0028823931511459</v>
      </c>
      <c r="AR90" s="162"/>
      <c r="AS90" s="162">
        <f t="shared" si="150"/>
        <v>1.640000000000001</v>
      </c>
      <c r="AT90" s="170">
        <f t="shared" si="151"/>
        <v>1.640000000000001</v>
      </c>
      <c r="AU90" s="162">
        <f t="shared" si="113"/>
        <v>4.0028823931511459</v>
      </c>
      <c r="AV90" s="171">
        <f t="shared" si="152"/>
        <v>4.0028823931511459</v>
      </c>
      <c r="AW90" s="162"/>
      <c r="AX90" s="162">
        <f t="shared" si="153"/>
        <v>1.640000000000001</v>
      </c>
      <c r="AY90" s="170">
        <f t="shared" si="154"/>
        <v>1.640000000000001</v>
      </c>
      <c r="AZ90" s="162">
        <f t="shared" si="114"/>
        <v>4.0028823931511459</v>
      </c>
      <c r="BA90" s="171">
        <f t="shared" si="155"/>
        <v>4.0028823931511459</v>
      </c>
      <c r="BB90" s="162"/>
      <c r="BC90" s="162">
        <f t="shared" si="156"/>
        <v>1.640000000000001</v>
      </c>
      <c r="BD90" s="162">
        <f t="shared" si="157"/>
        <v>1.640000000000001</v>
      </c>
      <c r="BE90" s="162">
        <f t="shared" si="115"/>
        <v>4.0028823931511459</v>
      </c>
      <c r="BF90" s="171">
        <f t="shared" si="158"/>
        <v>4.0028823931511459</v>
      </c>
      <c r="BG90" s="162"/>
      <c r="BH90" s="162">
        <f t="shared" si="159"/>
        <v>1.640000000000001</v>
      </c>
      <c r="BI90" s="170">
        <f t="shared" si="160"/>
        <v>1.640000000000001</v>
      </c>
      <c r="BJ90" s="162">
        <f t="shared" si="116"/>
        <v>4.0028823931511459</v>
      </c>
      <c r="BK90" s="171">
        <f t="shared" si="161"/>
        <v>4.0028823931511459</v>
      </c>
      <c r="BL90" s="162"/>
      <c r="BM90" s="162">
        <f t="shared" si="162"/>
        <v>1.640000000000001</v>
      </c>
      <c r="BN90" s="170">
        <f t="shared" si="163"/>
        <v>1.640000000000001</v>
      </c>
      <c r="BO90" s="162">
        <f t="shared" si="117"/>
        <v>4.0028823931511459</v>
      </c>
      <c r="BP90" s="171">
        <f t="shared" si="164"/>
        <v>4.0028823931511459</v>
      </c>
      <c r="BQ90" s="162"/>
      <c r="BR90" s="162">
        <f t="shared" si="165"/>
        <v>1.640000000000001</v>
      </c>
      <c r="BS90" s="162">
        <f t="shared" si="166"/>
        <v>1.640000000000001</v>
      </c>
      <c r="BT90" s="162">
        <f t="shared" si="118"/>
        <v>4.0028823931511459</v>
      </c>
      <c r="BU90" s="171">
        <f t="shared" si="167"/>
        <v>4.0028823931511459</v>
      </c>
      <c r="BV90" s="162"/>
      <c r="BW90" s="162">
        <f t="shared" si="168"/>
        <v>1.640000000000001</v>
      </c>
      <c r="BX90" s="170">
        <f t="shared" si="169"/>
        <v>1.640000000000001</v>
      </c>
      <c r="BY90" s="162">
        <f t="shared" si="119"/>
        <v>4.0028823931511459</v>
      </c>
      <c r="BZ90" s="171">
        <f t="shared" si="170"/>
        <v>4.0028823931511459</v>
      </c>
      <c r="CA90" s="162"/>
      <c r="CB90" s="162">
        <f t="shared" si="171"/>
        <v>1.640000000000001</v>
      </c>
      <c r="CC90" s="170">
        <f t="shared" si="172"/>
        <v>1.640000000000001</v>
      </c>
      <c r="CD90" s="162">
        <f t="shared" si="120"/>
        <v>4.0028823931511459</v>
      </c>
      <c r="CE90" s="171">
        <f t="shared" si="173"/>
        <v>4.0028823931511459</v>
      </c>
      <c r="CF90" s="162"/>
      <c r="CG90" s="172">
        <f t="shared" si="174"/>
        <v>1.640000000000001</v>
      </c>
      <c r="CH90" s="172">
        <f t="shared" si="175"/>
        <v>1.640000000000001</v>
      </c>
      <c r="CI90" s="172">
        <f t="shared" si="121"/>
        <v>4.0028823931511459</v>
      </c>
      <c r="CJ90" s="171">
        <f t="shared" si="176"/>
        <v>4.0028823931511459</v>
      </c>
      <c r="CK90" s="172"/>
      <c r="CL90" s="162">
        <f t="shared" si="177"/>
        <v>1.640000000000001</v>
      </c>
      <c r="CM90" s="170">
        <f t="shared" si="178"/>
        <v>1.640000000000001</v>
      </c>
      <c r="CN90" s="162">
        <f t="shared" si="122"/>
        <v>4.0028823931511459</v>
      </c>
      <c r="CO90" s="171">
        <f t="shared" si="179"/>
        <v>4.0028823931511459</v>
      </c>
      <c r="CP90" s="162"/>
      <c r="CQ90" s="162">
        <f t="shared" si="180"/>
        <v>1.640000000000001</v>
      </c>
      <c r="CR90" s="170">
        <f t="shared" si="181"/>
        <v>1.640000000000001</v>
      </c>
      <c r="CS90" s="162">
        <f t="shared" si="123"/>
        <v>4.0028823931511459</v>
      </c>
      <c r="CT90" s="171">
        <f t="shared" si="182"/>
        <v>4.0028823931511459</v>
      </c>
      <c r="CU90" s="162"/>
      <c r="CV90" s="162">
        <f t="shared" si="183"/>
        <v>1.640000000000001</v>
      </c>
      <c r="CW90" s="162">
        <f t="shared" si="184"/>
        <v>1.640000000000001</v>
      </c>
      <c r="CX90" s="162">
        <f t="shared" si="124"/>
        <v>4.0028823931511459</v>
      </c>
      <c r="CY90" s="171">
        <f t="shared" si="185"/>
        <v>4.0028823931511459</v>
      </c>
      <c r="CZ90" s="162"/>
      <c r="DA90" s="162">
        <f t="shared" si="186"/>
        <v>1.640000000000001</v>
      </c>
      <c r="DB90" s="170">
        <f t="shared" si="187"/>
        <v>1.640000000000001</v>
      </c>
      <c r="DC90" s="162">
        <f t="shared" si="125"/>
        <v>4.0028823931511459</v>
      </c>
      <c r="DD90" s="171">
        <f t="shared" si="188"/>
        <v>4.0028823931511459</v>
      </c>
      <c r="DE90" s="162"/>
      <c r="DF90" s="162">
        <f t="shared" si="189"/>
        <v>1.640000000000001</v>
      </c>
      <c r="DG90" s="170">
        <f t="shared" si="190"/>
        <v>1.640000000000001</v>
      </c>
      <c r="DH90" s="162">
        <f t="shared" si="126"/>
        <v>4.0028823931511459</v>
      </c>
      <c r="DI90" s="171">
        <f t="shared" si="191"/>
        <v>4.0028823931511459</v>
      </c>
      <c r="DJ90" s="162"/>
      <c r="DK90" s="162">
        <f t="shared" si="192"/>
        <v>1.640000000000001</v>
      </c>
      <c r="DL90" s="162">
        <f t="shared" si="193"/>
        <v>1.640000000000001</v>
      </c>
      <c r="DM90" s="162">
        <f t="shared" si="127"/>
        <v>4.0028823931511459</v>
      </c>
      <c r="DN90" s="171">
        <f t="shared" si="194"/>
        <v>4.0028823931511459</v>
      </c>
      <c r="DO90" s="162"/>
      <c r="DP90" s="162">
        <f t="shared" si="195"/>
        <v>1.640000000000001</v>
      </c>
      <c r="DQ90" s="170">
        <f t="shared" si="196"/>
        <v>1.640000000000001</v>
      </c>
      <c r="DR90" s="162">
        <f t="shared" si="128"/>
        <v>4.0028823931511459</v>
      </c>
      <c r="DS90" s="171">
        <f t="shared" si="197"/>
        <v>4.0028823931511459</v>
      </c>
      <c r="DT90" s="162"/>
      <c r="DU90" s="162">
        <f t="shared" si="198"/>
        <v>1.640000000000001</v>
      </c>
      <c r="DV90" s="170">
        <f t="shared" si="199"/>
        <v>1.640000000000001</v>
      </c>
      <c r="DW90" s="162">
        <f t="shared" si="129"/>
        <v>4.0028823931511459</v>
      </c>
      <c r="DX90" s="171">
        <f t="shared" si="200"/>
        <v>4.0028823931511459</v>
      </c>
      <c r="DY90" s="162"/>
      <c r="DZ90" s="162">
        <f t="shared" si="201"/>
        <v>1.640000000000001</v>
      </c>
      <c r="EA90" s="162">
        <f t="shared" si="202"/>
        <v>1.640000000000001</v>
      </c>
      <c r="EB90" s="162">
        <f t="shared" si="130"/>
        <v>4.0028823931511459</v>
      </c>
      <c r="EC90" s="171">
        <f t="shared" si="203"/>
        <v>4.0028823931511459</v>
      </c>
      <c r="ED90" s="162"/>
      <c r="EE90" s="162">
        <f t="shared" si="204"/>
        <v>1.640000000000001</v>
      </c>
      <c r="EF90" s="170">
        <f t="shared" si="205"/>
        <v>1.640000000000001</v>
      </c>
      <c r="EG90" s="162">
        <f t="shared" si="131"/>
        <v>4.0028823931511459</v>
      </c>
      <c r="EH90" s="171">
        <f t="shared" si="206"/>
        <v>4.0028823931511459</v>
      </c>
      <c r="EI90" s="162"/>
      <c r="EJ90" s="162">
        <f t="shared" si="207"/>
        <v>1.640000000000001</v>
      </c>
      <c r="EK90" s="170">
        <f t="shared" si="208"/>
        <v>1.640000000000001</v>
      </c>
      <c r="EL90" s="162">
        <f t="shared" si="132"/>
        <v>4.0028823931511459</v>
      </c>
      <c r="EM90" s="171">
        <f t="shared" si="209"/>
        <v>4.0028823931511459</v>
      </c>
      <c r="EN90" s="162"/>
      <c r="EO90" s="162">
        <f t="shared" si="210"/>
        <v>1.640000000000001</v>
      </c>
      <c r="EP90" s="162">
        <f t="shared" si="211"/>
        <v>1.640000000000001</v>
      </c>
      <c r="EQ90" s="162">
        <f t="shared" si="133"/>
        <v>4.0028823931511459</v>
      </c>
      <c r="ER90" s="171">
        <f t="shared" si="212"/>
        <v>4.0028823931511459</v>
      </c>
      <c r="ES90" s="162"/>
      <c r="ET90" s="162">
        <f t="shared" si="213"/>
        <v>1.640000000000001</v>
      </c>
      <c r="EU90" s="170">
        <f t="shared" si="214"/>
        <v>1.640000000000001</v>
      </c>
      <c r="EV90" s="162">
        <f t="shared" si="134"/>
        <v>4.0028823931511459</v>
      </c>
      <c r="EW90" s="171">
        <f t="shared" si="215"/>
        <v>4.0028823931511459</v>
      </c>
      <c r="EX90" s="162"/>
    </row>
    <row r="91" spans="20:154" s="181" customFormat="1" x14ac:dyDescent="0.25">
      <c r="T91" s="162">
        <f t="shared" si="135"/>
        <v>1.660000000000001</v>
      </c>
      <c r="U91" s="170">
        <f t="shared" si="136"/>
        <v>1.660000000000001</v>
      </c>
      <c r="V91" s="162">
        <f t="shared" si="108"/>
        <v>3.9368557294961137</v>
      </c>
      <c r="W91" s="171">
        <f t="shared" si="137"/>
        <v>3.9368557294961137</v>
      </c>
      <c r="X91" s="162"/>
      <c r="Y91" s="162">
        <f t="shared" si="138"/>
        <v>1.660000000000001</v>
      </c>
      <c r="Z91" s="162">
        <f t="shared" si="139"/>
        <v>1.660000000000001</v>
      </c>
      <c r="AA91" s="162">
        <f t="shared" si="109"/>
        <v>3.9368557294961137</v>
      </c>
      <c r="AB91" s="171">
        <f t="shared" si="140"/>
        <v>3.9368557294961137</v>
      </c>
      <c r="AC91" s="162"/>
      <c r="AD91" s="162">
        <f t="shared" si="141"/>
        <v>1.660000000000001</v>
      </c>
      <c r="AE91" s="170">
        <f t="shared" si="142"/>
        <v>1.660000000000001</v>
      </c>
      <c r="AF91" s="162">
        <f t="shared" si="110"/>
        <v>3.9368557294961137</v>
      </c>
      <c r="AG91" s="171">
        <f t="shared" si="143"/>
        <v>3.9368557294961137</v>
      </c>
      <c r="AH91" s="162"/>
      <c r="AI91" s="162">
        <f t="shared" si="144"/>
        <v>1.660000000000001</v>
      </c>
      <c r="AJ91" s="170">
        <f t="shared" si="145"/>
        <v>1.660000000000001</v>
      </c>
      <c r="AK91" s="162">
        <f t="shared" si="111"/>
        <v>3.9368557294961137</v>
      </c>
      <c r="AL91" s="171">
        <f t="shared" si="146"/>
        <v>3.9368557294961137</v>
      </c>
      <c r="AM91" s="162"/>
      <c r="AN91" s="162">
        <f t="shared" si="147"/>
        <v>1.660000000000001</v>
      </c>
      <c r="AO91" s="162">
        <f t="shared" si="148"/>
        <v>1.660000000000001</v>
      </c>
      <c r="AP91" s="162">
        <f t="shared" si="112"/>
        <v>3.9368557294961137</v>
      </c>
      <c r="AQ91" s="171">
        <f t="shared" si="149"/>
        <v>3.9368557294961137</v>
      </c>
      <c r="AR91" s="162"/>
      <c r="AS91" s="162">
        <f t="shared" si="150"/>
        <v>1.660000000000001</v>
      </c>
      <c r="AT91" s="170">
        <f t="shared" si="151"/>
        <v>1.660000000000001</v>
      </c>
      <c r="AU91" s="162">
        <f t="shared" si="113"/>
        <v>3.9368557294961137</v>
      </c>
      <c r="AV91" s="171">
        <f t="shared" si="152"/>
        <v>3.9368557294961137</v>
      </c>
      <c r="AW91" s="162"/>
      <c r="AX91" s="162">
        <f t="shared" si="153"/>
        <v>1.660000000000001</v>
      </c>
      <c r="AY91" s="170">
        <f t="shared" si="154"/>
        <v>1.660000000000001</v>
      </c>
      <c r="AZ91" s="162">
        <f t="shared" si="114"/>
        <v>3.9368557294961137</v>
      </c>
      <c r="BA91" s="171">
        <f t="shared" si="155"/>
        <v>3.9368557294961137</v>
      </c>
      <c r="BB91" s="162"/>
      <c r="BC91" s="162">
        <f t="shared" si="156"/>
        <v>1.660000000000001</v>
      </c>
      <c r="BD91" s="162">
        <f t="shared" si="157"/>
        <v>1.660000000000001</v>
      </c>
      <c r="BE91" s="162">
        <f t="shared" si="115"/>
        <v>3.9368557294961137</v>
      </c>
      <c r="BF91" s="171">
        <f t="shared" si="158"/>
        <v>3.9368557294961137</v>
      </c>
      <c r="BG91" s="162"/>
      <c r="BH91" s="162">
        <f t="shared" si="159"/>
        <v>1.660000000000001</v>
      </c>
      <c r="BI91" s="170">
        <f t="shared" si="160"/>
        <v>1.660000000000001</v>
      </c>
      <c r="BJ91" s="162">
        <f t="shared" si="116"/>
        <v>3.9368557294961137</v>
      </c>
      <c r="BK91" s="171">
        <f t="shared" si="161"/>
        <v>3.9368557294961137</v>
      </c>
      <c r="BL91" s="162"/>
      <c r="BM91" s="162">
        <f t="shared" si="162"/>
        <v>1.660000000000001</v>
      </c>
      <c r="BN91" s="170">
        <f t="shared" si="163"/>
        <v>1.660000000000001</v>
      </c>
      <c r="BO91" s="162">
        <f t="shared" si="117"/>
        <v>3.9368557294961137</v>
      </c>
      <c r="BP91" s="171">
        <f t="shared" si="164"/>
        <v>3.9368557294961137</v>
      </c>
      <c r="BQ91" s="162"/>
      <c r="BR91" s="162">
        <f t="shared" si="165"/>
        <v>1.660000000000001</v>
      </c>
      <c r="BS91" s="162">
        <f t="shared" si="166"/>
        <v>1.660000000000001</v>
      </c>
      <c r="BT91" s="162">
        <f t="shared" si="118"/>
        <v>3.9368557294961137</v>
      </c>
      <c r="BU91" s="171">
        <f t="shared" si="167"/>
        <v>3.9368557294961137</v>
      </c>
      <c r="BV91" s="162"/>
      <c r="BW91" s="162">
        <f t="shared" si="168"/>
        <v>1.660000000000001</v>
      </c>
      <c r="BX91" s="170">
        <f t="shared" si="169"/>
        <v>1.660000000000001</v>
      </c>
      <c r="BY91" s="162">
        <f t="shared" si="119"/>
        <v>3.9368557294961137</v>
      </c>
      <c r="BZ91" s="171">
        <f t="shared" si="170"/>
        <v>3.9368557294961137</v>
      </c>
      <c r="CA91" s="162"/>
      <c r="CB91" s="162">
        <f t="shared" si="171"/>
        <v>1.660000000000001</v>
      </c>
      <c r="CC91" s="170">
        <f t="shared" si="172"/>
        <v>1.660000000000001</v>
      </c>
      <c r="CD91" s="162">
        <f t="shared" si="120"/>
        <v>3.9368557294961137</v>
      </c>
      <c r="CE91" s="171">
        <f t="shared" si="173"/>
        <v>3.9368557294961137</v>
      </c>
      <c r="CF91" s="162"/>
      <c r="CG91" s="172">
        <f t="shared" si="174"/>
        <v>1.660000000000001</v>
      </c>
      <c r="CH91" s="172">
        <f t="shared" si="175"/>
        <v>1.660000000000001</v>
      </c>
      <c r="CI91" s="172">
        <f t="shared" si="121"/>
        <v>3.9368557294961137</v>
      </c>
      <c r="CJ91" s="171">
        <f t="shared" si="176"/>
        <v>3.9368557294961137</v>
      </c>
      <c r="CK91" s="172"/>
      <c r="CL91" s="162">
        <f t="shared" si="177"/>
        <v>1.660000000000001</v>
      </c>
      <c r="CM91" s="170">
        <f t="shared" si="178"/>
        <v>1.660000000000001</v>
      </c>
      <c r="CN91" s="162">
        <f t="shared" si="122"/>
        <v>3.9368557294961137</v>
      </c>
      <c r="CO91" s="171">
        <f t="shared" si="179"/>
        <v>3.9368557294961137</v>
      </c>
      <c r="CP91" s="162"/>
      <c r="CQ91" s="162">
        <f t="shared" si="180"/>
        <v>1.660000000000001</v>
      </c>
      <c r="CR91" s="170">
        <f t="shared" si="181"/>
        <v>1.660000000000001</v>
      </c>
      <c r="CS91" s="162">
        <f t="shared" si="123"/>
        <v>3.9368557294961137</v>
      </c>
      <c r="CT91" s="171">
        <f t="shared" si="182"/>
        <v>3.9368557294961137</v>
      </c>
      <c r="CU91" s="162"/>
      <c r="CV91" s="162">
        <f t="shared" si="183"/>
        <v>1.660000000000001</v>
      </c>
      <c r="CW91" s="162">
        <f t="shared" si="184"/>
        <v>1.660000000000001</v>
      </c>
      <c r="CX91" s="162">
        <f t="shared" si="124"/>
        <v>3.9368557294961137</v>
      </c>
      <c r="CY91" s="171">
        <f t="shared" si="185"/>
        <v>3.9368557294961137</v>
      </c>
      <c r="CZ91" s="162"/>
      <c r="DA91" s="162">
        <f t="shared" si="186"/>
        <v>1.660000000000001</v>
      </c>
      <c r="DB91" s="170">
        <f t="shared" si="187"/>
        <v>1.660000000000001</v>
      </c>
      <c r="DC91" s="162">
        <f t="shared" si="125"/>
        <v>3.9368557294961137</v>
      </c>
      <c r="DD91" s="171">
        <f t="shared" si="188"/>
        <v>3.9368557294961137</v>
      </c>
      <c r="DE91" s="162"/>
      <c r="DF91" s="162">
        <f t="shared" si="189"/>
        <v>1.660000000000001</v>
      </c>
      <c r="DG91" s="170">
        <f t="shared" si="190"/>
        <v>1.660000000000001</v>
      </c>
      <c r="DH91" s="162">
        <f t="shared" si="126"/>
        <v>3.9368557294961137</v>
      </c>
      <c r="DI91" s="171">
        <f t="shared" si="191"/>
        <v>3.9368557294961137</v>
      </c>
      <c r="DJ91" s="162"/>
      <c r="DK91" s="162">
        <f t="shared" si="192"/>
        <v>1.660000000000001</v>
      </c>
      <c r="DL91" s="162">
        <f t="shared" si="193"/>
        <v>1.660000000000001</v>
      </c>
      <c r="DM91" s="162">
        <f t="shared" si="127"/>
        <v>3.9368557294961137</v>
      </c>
      <c r="DN91" s="171">
        <f t="shared" si="194"/>
        <v>3.9368557294961137</v>
      </c>
      <c r="DO91" s="162"/>
      <c r="DP91" s="162">
        <f t="shared" si="195"/>
        <v>1.660000000000001</v>
      </c>
      <c r="DQ91" s="170">
        <f t="shared" si="196"/>
        <v>1.660000000000001</v>
      </c>
      <c r="DR91" s="162">
        <f t="shared" si="128"/>
        <v>3.9368557294961137</v>
      </c>
      <c r="DS91" s="171">
        <f t="shared" si="197"/>
        <v>3.9368557294961137</v>
      </c>
      <c r="DT91" s="162"/>
      <c r="DU91" s="162">
        <f t="shared" si="198"/>
        <v>1.660000000000001</v>
      </c>
      <c r="DV91" s="170">
        <f t="shared" si="199"/>
        <v>1.660000000000001</v>
      </c>
      <c r="DW91" s="162">
        <f t="shared" si="129"/>
        <v>3.9368557294961137</v>
      </c>
      <c r="DX91" s="171">
        <f t="shared" si="200"/>
        <v>3.9368557294961137</v>
      </c>
      <c r="DY91" s="162"/>
      <c r="DZ91" s="162">
        <f t="shared" si="201"/>
        <v>1.660000000000001</v>
      </c>
      <c r="EA91" s="162">
        <f t="shared" si="202"/>
        <v>1.660000000000001</v>
      </c>
      <c r="EB91" s="162">
        <f t="shared" si="130"/>
        <v>3.9368557294961137</v>
      </c>
      <c r="EC91" s="171">
        <f t="shared" si="203"/>
        <v>3.9368557294961137</v>
      </c>
      <c r="ED91" s="162"/>
      <c r="EE91" s="162">
        <f t="shared" si="204"/>
        <v>1.660000000000001</v>
      </c>
      <c r="EF91" s="170">
        <f t="shared" si="205"/>
        <v>1.660000000000001</v>
      </c>
      <c r="EG91" s="162">
        <f t="shared" si="131"/>
        <v>3.9368557294961137</v>
      </c>
      <c r="EH91" s="171">
        <f t="shared" si="206"/>
        <v>3.9368557294961137</v>
      </c>
      <c r="EI91" s="162"/>
      <c r="EJ91" s="162">
        <f t="shared" si="207"/>
        <v>1.660000000000001</v>
      </c>
      <c r="EK91" s="170">
        <f t="shared" si="208"/>
        <v>1.660000000000001</v>
      </c>
      <c r="EL91" s="162">
        <f t="shared" si="132"/>
        <v>3.9368557294961137</v>
      </c>
      <c r="EM91" s="171">
        <f t="shared" si="209"/>
        <v>3.9368557294961137</v>
      </c>
      <c r="EN91" s="162"/>
      <c r="EO91" s="162">
        <f t="shared" si="210"/>
        <v>1.660000000000001</v>
      </c>
      <c r="EP91" s="162">
        <f t="shared" si="211"/>
        <v>1.660000000000001</v>
      </c>
      <c r="EQ91" s="162">
        <f t="shared" si="133"/>
        <v>3.9368557294961137</v>
      </c>
      <c r="ER91" s="171">
        <f t="shared" si="212"/>
        <v>3.9368557294961137</v>
      </c>
      <c r="ES91" s="162"/>
      <c r="ET91" s="162">
        <f t="shared" si="213"/>
        <v>1.660000000000001</v>
      </c>
      <c r="EU91" s="170">
        <f t="shared" si="214"/>
        <v>1.660000000000001</v>
      </c>
      <c r="EV91" s="162">
        <f t="shared" si="134"/>
        <v>3.9368557294961137</v>
      </c>
      <c r="EW91" s="171">
        <f t="shared" si="215"/>
        <v>3.9368557294961137</v>
      </c>
      <c r="EX91" s="162"/>
    </row>
    <row r="92" spans="20:154" s="181" customFormat="1" x14ac:dyDescent="0.25">
      <c r="T92" s="162">
        <f t="shared" si="135"/>
        <v>1.680000000000001</v>
      </c>
      <c r="U92" s="170">
        <f t="shared" si="136"/>
        <v>1.680000000000001</v>
      </c>
      <c r="V92" s="162">
        <f t="shared" si="108"/>
        <v>3.8681205531132354</v>
      </c>
      <c r="W92" s="171">
        <f t="shared" si="137"/>
        <v>3.8681205531132354</v>
      </c>
      <c r="X92" s="162"/>
      <c r="Y92" s="162">
        <f t="shared" si="138"/>
        <v>1.680000000000001</v>
      </c>
      <c r="Z92" s="162">
        <f t="shared" si="139"/>
        <v>1.680000000000001</v>
      </c>
      <c r="AA92" s="162">
        <f t="shared" si="109"/>
        <v>3.8681205531132354</v>
      </c>
      <c r="AB92" s="171">
        <f t="shared" si="140"/>
        <v>3.8681205531132354</v>
      </c>
      <c r="AC92" s="162"/>
      <c r="AD92" s="162">
        <f t="shared" si="141"/>
        <v>1.680000000000001</v>
      </c>
      <c r="AE92" s="170">
        <f t="shared" si="142"/>
        <v>1.680000000000001</v>
      </c>
      <c r="AF92" s="162">
        <f t="shared" si="110"/>
        <v>3.8681205531132354</v>
      </c>
      <c r="AG92" s="171">
        <f t="shared" si="143"/>
        <v>3.8681205531132354</v>
      </c>
      <c r="AH92" s="162"/>
      <c r="AI92" s="162">
        <f t="shared" si="144"/>
        <v>1.680000000000001</v>
      </c>
      <c r="AJ92" s="170">
        <f t="shared" si="145"/>
        <v>1.680000000000001</v>
      </c>
      <c r="AK92" s="162">
        <f t="shared" si="111"/>
        <v>3.8681205531132354</v>
      </c>
      <c r="AL92" s="171">
        <f t="shared" si="146"/>
        <v>3.8681205531132354</v>
      </c>
      <c r="AM92" s="162"/>
      <c r="AN92" s="162">
        <f t="shared" si="147"/>
        <v>1.680000000000001</v>
      </c>
      <c r="AO92" s="162">
        <f t="shared" si="148"/>
        <v>1.680000000000001</v>
      </c>
      <c r="AP92" s="162">
        <f t="shared" si="112"/>
        <v>3.8681205531132354</v>
      </c>
      <c r="AQ92" s="171">
        <f t="shared" si="149"/>
        <v>3.8681205531132354</v>
      </c>
      <c r="AR92" s="162"/>
      <c r="AS92" s="162">
        <f t="shared" si="150"/>
        <v>1.680000000000001</v>
      </c>
      <c r="AT92" s="170">
        <f t="shared" si="151"/>
        <v>1.680000000000001</v>
      </c>
      <c r="AU92" s="162">
        <f t="shared" si="113"/>
        <v>3.8681205531132354</v>
      </c>
      <c r="AV92" s="171">
        <f t="shared" si="152"/>
        <v>3.8681205531132354</v>
      </c>
      <c r="AW92" s="162"/>
      <c r="AX92" s="162">
        <f t="shared" si="153"/>
        <v>1.680000000000001</v>
      </c>
      <c r="AY92" s="170">
        <f t="shared" si="154"/>
        <v>1.680000000000001</v>
      </c>
      <c r="AZ92" s="162">
        <f t="shared" si="114"/>
        <v>3.8681205531132354</v>
      </c>
      <c r="BA92" s="171">
        <f t="shared" si="155"/>
        <v>3.8681205531132354</v>
      </c>
      <c r="BB92" s="162"/>
      <c r="BC92" s="162">
        <f t="shared" si="156"/>
        <v>1.680000000000001</v>
      </c>
      <c r="BD92" s="162">
        <f t="shared" si="157"/>
        <v>1.680000000000001</v>
      </c>
      <c r="BE92" s="162">
        <f t="shared" si="115"/>
        <v>3.8681205531132354</v>
      </c>
      <c r="BF92" s="171">
        <f t="shared" si="158"/>
        <v>3.8681205531132354</v>
      </c>
      <c r="BG92" s="162"/>
      <c r="BH92" s="162">
        <f t="shared" si="159"/>
        <v>1.680000000000001</v>
      </c>
      <c r="BI92" s="170">
        <f t="shared" si="160"/>
        <v>1.680000000000001</v>
      </c>
      <c r="BJ92" s="162">
        <f t="shared" si="116"/>
        <v>3.8681205531132354</v>
      </c>
      <c r="BK92" s="171">
        <f t="shared" si="161"/>
        <v>3.8681205531132354</v>
      </c>
      <c r="BL92" s="162"/>
      <c r="BM92" s="162">
        <f t="shared" si="162"/>
        <v>1.680000000000001</v>
      </c>
      <c r="BN92" s="170">
        <f t="shared" si="163"/>
        <v>1.680000000000001</v>
      </c>
      <c r="BO92" s="162">
        <f t="shared" si="117"/>
        <v>3.8681205531132354</v>
      </c>
      <c r="BP92" s="171">
        <f t="shared" si="164"/>
        <v>3.8681205531132354</v>
      </c>
      <c r="BQ92" s="162"/>
      <c r="BR92" s="162">
        <f t="shared" si="165"/>
        <v>1.680000000000001</v>
      </c>
      <c r="BS92" s="162">
        <f t="shared" si="166"/>
        <v>1.680000000000001</v>
      </c>
      <c r="BT92" s="162">
        <f t="shared" si="118"/>
        <v>3.8681205531132354</v>
      </c>
      <c r="BU92" s="171">
        <f t="shared" si="167"/>
        <v>3.8681205531132354</v>
      </c>
      <c r="BV92" s="162"/>
      <c r="BW92" s="162">
        <f t="shared" si="168"/>
        <v>1.680000000000001</v>
      </c>
      <c r="BX92" s="170">
        <f t="shared" si="169"/>
        <v>1.680000000000001</v>
      </c>
      <c r="BY92" s="162">
        <f t="shared" si="119"/>
        <v>3.8681205531132354</v>
      </c>
      <c r="BZ92" s="171">
        <f t="shared" si="170"/>
        <v>3.8681205531132354</v>
      </c>
      <c r="CA92" s="162"/>
      <c r="CB92" s="162">
        <f t="shared" si="171"/>
        <v>1.680000000000001</v>
      </c>
      <c r="CC92" s="170">
        <f t="shared" si="172"/>
        <v>1.680000000000001</v>
      </c>
      <c r="CD92" s="162">
        <f t="shared" si="120"/>
        <v>3.8681205531132354</v>
      </c>
      <c r="CE92" s="171">
        <f t="shared" si="173"/>
        <v>3.8681205531132354</v>
      </c>
      <c r="CF92" s="162"/>
      <c r="CG92" s="172">
        <f t="shared" si="174"/>
        <v>1.680000000000001</v>
      </c>
      <c r="CH92" s="172">
        <f t="shared" si="175"/>
        <v>1.680000000000001</v>
      </c>
      <c r="CI92" s="172">
        <f t="shared" si="121"/>
        <v>3.8681205531132354</v>
      </c>
      <c r="CJ92" s="171">
        <f t="shared" si="176"/>
        <v>3.8681205531132354</v>
      </c>
      <c r="CK92" s="172"/>
      <c r="CL92" s="162">
        <f t="shared" si="177"/>
        <v>1.680000000000001</v>
      </c>
      <c r="CM92" s="170">
        <f t="shared" si="178"/>
        <v>1.680000000000001</v>
      </c>
      <c r="CN92" s="162">
        <f t="shared" si="122"/>
        <v>3.8681205531132354</v>
      </c>
      <c r="CO92" s="171">
        <f t="shared" si="179"/>
        <v>3.8681205531132354</v>
      </c>
      <c r="CP92" s="162"/>
      <c r="CQ92" s="162">
        <f t="shared" si="180"/>
        <v>1.680000000000001</v>
      </c>
      <c r="CR92" s="170">
        <f t="shared" si="181"/>
        <v>1.680000000000001</v>
      </c>
      <c r="CS92" s="162">
        <f t="shared" si="123"/>
        <v>3.8681205531132354</v>
      </c>
      <c r="CT92" s="171">
        <f t="shared" si="182"/>
        <v>3.8681205531132354</v>
      </c>
      <c r="CU92" s="162"/>
      <c r="CV92" s="162">
        <f t="shared" si="183"/>
        <v>1.680000000000001</v>
      </c>
      <c r="CW92" s="162">
        <f t="shared" si="184"/>
        <v>1.680000000000001</v>
      </c>
      <c r="CX92" s="162">
        <f t="shared" si="124"/>
        <v>3.8681205531132354</v>
      </c>
      <c r="CY92" s="171">
        <f t="shared" si="185"/>
        <v>3.8681205531132354</v>
      </c>
      <c r="CZ92" s="162"/>
      <c r="DA92" s="162">
        <f t="shared" si="186"/>
        <v>1.680000000000001</v>
      </c>
      <c r="DB92" s="170">
        <f t="shared" si="187"/>
        <v>1.680000000000001</v>
      </c>
      <c r="DC92" s="162">
        <f t="shared" si="125"/>
        <v>3.8681205531132354</v>
      </c>
      <c r="DD92" s="171">
        <f t="shared" si="188"/>
        <v>3.8681205531132354</v>
      </c>
      <c r="DE92" s="162"/>
      <c r="DF92" s="162">
        <f t="shared" si="189"/>
        <v>1.680000000000001</v>
      </c>
      <c r="DG92" s="170">
        <f t="shared" si="190"/>
        <v>1.680000000000001</v>
      </c>
      <c r="DH92" s="162">
        <f t="shared" si="126"/>
        <v>3.8681205531132354</v>
      </c>
      <c r="DI92" s="171">
        <f t="shared" si="191"/>
        <v>3.8681205531132354</v>
      </c>
      <c r="DJ92" s="162"/>
      <c r="DK92" s="162">
        <f t="shared" si="192"/>
        <v>1.680000000000001</v>
      </c>
      <c r="DL92" s="162">
        <f t="shared" si="193"/>
        <v>1.680000000000001</v>
      </c>
      <c r="DM92" s="162">
        <f t="shared" si="127"/>
        <v>3.8681205531132354</v>
      </c>
      <c r="DN92" s="171">
        <f t="shared" si="194"/>
        <v>3.8681205531132354</v>
      </c>
      <c r="DO92" s="162"/>
      <c r="DP92" s="162">
        <f t="shared" si="195"/>
        <v>1.680000000000001</v>
      </c>
      <c r="DQ92" s="170">
        <f t="shared" si="196"/>
        <v>1.680000000000001</v>
      </c>
      <c r="DR92" s="162">
        <f t="shared" si="128"/>
        <v>3.8681205531132354</v>
      </c>
      <c r="DS92" s="171">
        <f t="shared" si="197"/>
        <v>3.8681205531132354</v>
      </c>
      <c r="DT92" s="162"/>
      <c r="DU92" s="162">
        <f t="shared" si="198"/>
        <v>1.680000000000001</v>
      </c>
      <c r="DV92" s="170">
        <f t="shared" si="199"/>
        <v>1.680000000000001</v>
      </c>
      <c r="DW92" s="162">
        <f t="shared" si="129"/>
        <v>3.8681205531132354</v>
      </c>
      <c r="DX92" s="171">
        <f t="shared" si="200"/>
        <v>3.8681205531132354</v>
      </c>
      <c r="DY92" s="162"/>
      <c r="DZ92" s="162">
        <f t="shared" si="201"/>
        <v>1.680000000000001</v>
      </c>
      <c r="EA92" s="162">
        <f t="shared" si="202"/>
        <v>1.680000000000001</v>
      </c>
      <c r="EB92" s="162">
        <f t="shared" si="130"/>
        <v>3.8681205531132354</v>
      </c>
      <c r="EC92" s="171">
        <f t="shared" si="203"/>
        <v>3.8681205531132354</v>
      </c>
      <c r="ED92" s="162"/>
      <c r="EE92" s="162">
        <f t="shared" si="204"/>
        <v>1.680000000000001</v>
      </c>
      <c r="EF92" s="170">
        <f t="shared" si="205"/>
        <v>1.680000000000001</v>
      </c>
      <c r="EG92" s="162">
        <f t="shared" si="131"/>
        <v>3.8681205531132354</v>
      </c>
      <c r="EH92" s="171">
        <f t="shared" si="206"/>
        <v>3.8681205531132354</v>
      </c>
      <c r="EI92" s="162"/>
      <c r="EJ92" s="162">
        <f t="shared" si="207"/>
        <v>1.680000000000001</v>
      </c>
      <c r="EK92" s="170">
        <f t="shared" si="208"/>
        <v>1.680000000000001</v>
      </c>
      <c r="EL92" s="162">
        <f t="shared" si="132"/>
        <v>3.8681205531132354</v>
      </c>
      <c r="EM92" s="171">
        <f t="shared" si="209"/>
        <v>3.8681205531132354</v>
      </c>
      <c r="EN92" s="162"/>
      <c r="EO92" s="162">
        <f t="shared" si="210"/>
        <v>1.680000000000001</v>
      </c>
      <c r="EP92" s="162">
        <f t="shared" si="211"/>
        <v>1.680000000000001</v>
      </c>
      <c r="EQ92" s="162">
        <f t="shared" si="133"/>
        <v>3.8681205531132354</v>
      </c>
      <c r="ER92" s="171">
        <f t="shared" si="212"/>
        <v>3.8681205531132354</v>
      </c>
      <c r="ES92" s="162"/>
      <c r="ET92" s="162">
        <f t="shared" si="213"/>
        <v>1.680000000000001</v>
      </c>
      <c r="EU92" s="170">
        <f t="shared" si="214"/>
        <v>1.680000000000001</v>
      </c>
      <c r="EV92" s="162">
        <f t="shared" si="134"/>
        <v>3.8681205531132354</v>
      </c>
      <c r="EW92" s="171">
        <f t="shared" si="215"/>
        <v>3.8681205531132354</v>
      </c>
      <c r="EX92" s="162"/>
    </row>
    <row r="93" spans="20:154" s="181" customFormat="1" x14ac:dyDescent="0.25">
      <c r="T93" s="162">
        <f t="shared" si="135"/>
        <v>1.7000000000000011</v>
      </c>
      <c r="U93" s="170">
        <f t="shared" si="136"/>
        <v>1.7000000000000011</v>
      </c>
      <c r="V93" s="162">
        <f t="shared" si="108"/>
        <v>3.7966768640025128</v>
      </c>
      <c r="W93" s="171">
        <f t="shared" si="137"/>
        <v>3.7966768640025128</v>
      </c>
      <c r="X93" s="162"/>
      <c r="Y93" s="162">
        <f t="shared" si="138"/>
        <v>1.7000000000000011</v>
      </c>
      <c r="Z93" s="162">
        <f t="shared" si="139"/>
        <v>1.7000000000000011</v>
      </c>
      <c r="AA93" s="162">
        <f t="shared" si="109"/>
        <v>3.7966768640025128</v>
      </c>
      <c r="AB93" s="171">
        <f t="shared" si="140"/>
        <v>3.7966768640025128</v>
      </c>
      <c r="AC93" s="162"/>
      <c r="AD93" s="162">
        <f t="shared" si="141"/>
        <v>1.7000000000000011</v>
      </c>
      <c r="AE93" s="170">
        <f t="shared" si="142"/>
        <v>1.7000000000000011</v>
      </c>
      <c r="AF93" s="162">
        <f t="shared" si="110"/>
        <v>3.7966768640025128</v>
      </c>
      <c r="AG93" s="171">
        <f t="shared" si="143"/>
        <v>3.7966768640025128</v>
      </c>
      <c r="AH93" s="162"/>
      <c r="AI93" s="162">
        <f t="shared" si="144"/>
        <v>1.7000000000000011</v>
      </c>
      <c r="AJ93" s="170">
        <f t="shared" si="145"/>
        <v>1.7000000000000011</v>
      </c>
      <c r="AK93" s="162">
        <f t="shared" si="111"/>
        <v>3.7966768640025128</v>
      </c>
      <c r="AL93" s="171">
        <f t="shared" si="146"/>
        <v>3.7966768640025128</v>
      </c>
      <c r="AM93" s="162"/>
      <c r="AN93" s="162">
        <f t="shared" si="147"/>
        <v>1.7000000000000011</v>
      </c>
      <c r="AO93" s="162">
        <f t="shared" si="148"/>
        <v>1.7000000000000011</v>
      </c>
      <c r="AP93" s="162">
        <f t="shared" si="112"/>
        <v>3.7966768640025128</v>
      </c>
      <c r="AQ93" s="171">
        <f t="shared" si="149"/>
        <v>3.7966768640025128</v>
      </c>
      <c r="AR93" s="162"/>
      <c r="AS93" s="162">
        <f t="shared" si="150"/>
        <v>1.7000000000000011</v>
      </c>
      <c r="AT93" s="170">
        <f t="shared" si="151"/>
        <v>1.7000000000000011</v>
      </c>
      <c r="AU93" s="162">
        <f t="shared" si="113"/>
        <v>3.7966768640025128</v>
      </c>
      <c r="AV93" s="171">
        <f t="shared" si="152"/>
        <v>3.7966768640025128</v>
      </c>
      <c r="AW93" s="162"/>
      <c r="AX93" s="162">
        <f t="shared" si="153"/>
        <v>1.7000000000000011</v>
      </c>
      <c r="AY93" s="170">
        <f t="shared" si="154"/>
        <v>1.7000000000000011</v>
      </c>
      <c r="AZ93" s="162">
        <f t="shared" si="114"/>
        <v>3.7966768640025128</v>
      </c>
      <c r="BA93" s="171">
        <f t="shared" si="155"/>
        <v>3.7966768640025128</v>
      </c>
      <c r="BB93" s="162"/>
      <c r="BC93" s="162">
        <f t="shared" si="156"/>
        <v>1.7000000000000011</v>
      </c>
      <c r="BD93" s="162">
        <f t="shared" si="157"/>
        <v>1.7000000000000011</v>
      </c>
      <c r="BE93" s="162">
        <f t="shared" si="115"/>
        <v>3.7966768640025128</v>
      </c>
      <c r="BF93" s="171">
        <f t="shared" si="158"/>
        <v>3.7966768640025128</v>
      </c>
      <c r="BG93" s="162"/>
      <c r="BH93" s="162">
        <f t="shared" si="159"/>
        <v>1.7000000000000011</v>
      </c>
      <c r="BI93" s="170">
        <f t="shared" si="160"/>
        <v>1.7000000000000011</v>
      </c>
      <c r="BJ93" s="162">
        <f t="shared" si="116"/>
        <v>3.7966768640025128</v>
      </c>
      <c r="BK93" s="171">
        <f t="shared" si="161"/>
        <v>3.7966768640025128</v>
      </c>
      <c r="BL93" s="162"/>
      <c r="BM93" s="162">
        <f t="shared" si="162"/>
        <v>1.7000000000000011</v>
      </c>
      <c r="BN93" s="170">
        <f t="shared" si="163"/>
        <v>1.7000000000000011</v>
      </c>
      <c r="BO93" s="162">
        <f t="shared" si="117"/>
        <v>3.7966768640025128</v>
      </c>
      <c r="BP93" s="171">
        <f t="shared" si="164"/>
        <v>3.7966768640025128</v>
      </c>
      <c r="BQ93" s="162"/>
      <c r="BR93" s="162">
        <f t="shared" si="165"/>
        <v>1.7000000000000011</v>
      </c>
      <c r="BS93" s="162">
        <f t="shared" si="166"/>
        <v>1.7000000000000011</v>
      </c>
      <c r="BT93" s="162">
        <f t="shared" si="118"/>
        <v>3.7966768640025128</v>
      </c>
      <c r="BU93" s="171">
        <f t="shared" si="167"/>
        <v>3.7966768640025128</v>
      </c>
      <c r="BV93" s="162"/>
      <c r="BW93" s="162">
        <f t="shared" si="168"/>
        <v>1.7000000000000011</v>
      </c>
      <c r="BX93" s="170">
        <f t="shared" si="169"/>
        <v>1.7000000000000011</v>
      </c>
      <c r="BY93" s="162">
        <f t="shared" si="119"/>
        <v>3.7966768640025128</v>
      </c>
      <c r="BZ93" s="171">
        <f t="shared" si="170"/>
        <v>3.7966768640025128</v>
      </c>
      <c r="CA93" s="162"/>
      <c r="CB93" s="162">
        <f t="shared" si="171"/>
        <v>1.7000000000000011</v>
      </c>
      <c r="CC93" s="170">
        <f t="shared" si="172"/>
        <v>1.7000000000000011</v>
      </c>
      <c r="CD93" s="162">
        <f t="shared" si="120"/>
        <v>3.7966768640025128</v>
      </c>
      <c r="CE93" s="171">
        <f t="shared" si="173"/>
        <v>3.7966768640025128</v>
      </c>
      <c r="CF93" s="162"/>
      <c r="CG93" s="172">
        <f t="shared" si="174"/>
        <v>1.7000000000000011</v>
      </c>
      <c r="CH93" s="172">
        <f t="shared" si="175"/>
        <v>1.7000000000000011</v>
      </c>
      <c r="CI93" s="172">
        <f t="shared" si="121"/>
        <v>3.7966768640025128</v>
      </c>
      <c r="CJ93" s="171">
        <f t="shared" si="176"/>
        <v>3.7966768640025128</v>
      </c>
      <c r="CK93" s="172"/>
      <c r="CL93" s="162">
        <f t="shared" si="177"/>
        <v>1.7000000000000011</v>
      </c>
      <c r="CM93" s="170">
        <f t="shared" si="178"/>
        <v>1.7000000000000011</v>
      </c>
      <c r="CN93" s="162">
        <f t="shared" si="122"/>
        <v>3.7966768640025128</v>
      </c>
      <c r="CO93" s="171">
        <f t="shared" si="179"/>
        <v>3.7966768640025128</v>
      </c>
      <c r="CP93" s="162"/>
      <c r="CQ93" s="162">
        <f t="shared" si="180"/>
        <v>1.7000000000000011</v>
      </c>
      <c r="CR93" s="170">
        <f t="shared" si="181"/>
        <v>1.7000000000000011</v>
      </c>
      <c r="CS93" s="162">
        <f t="shared" si="123"/>
        <v>3.7966768640025128</v>
      </c>
      <c r="CT93" s="171">
        <f t="shared" si="182"/>
        <v>3.7966768640025128</v>
      </c>
      <c r="CU93" s="162"/>
      <c r="CV93" s="162">
        <f t="shared" si="183"/>
        <v>1.7000000000000011</v>
      </c>
      <c r="CW93" s="162">
        <f t="shared" si="184"/>
        <v>1.7000000000000011</v>
      </c>
      <c r="CX93" s="162">
        <f t="shared" si="124"/>
        <v>3.7966768640025128</v>
      </c>
      <c r="CY93" s="171">
        <f t="shared" si="185"/>
        <v>3.7966768640025128</v>
      </c>
      <c r="CZ93" s="162"/>
      <c r="DA93" s="162">
        <f t="shared" si="186"/>
        <v>1.7000000000000011</v>
      </c>
      <c r="DB93" s="170">
        <f t="shared" si="187"/>
        <v>1.7000000000000011</v>
      </c>
      <c r="DC93" s="162">
        <f t="shared" si="125"/>
        <v>3.7966768640025128</v>
      </c>
      <c r="DD93" s="171">
        <f t="shared" si="188"/>
        <v>3.7966768640025128</v>
      </c>
      <c r="DE93" s="162"/>
      <c r="DF93" s="162">
        <f t="shared" si="189"/>
        <v>1.7000000000000011</v>
      </c>
      <c r="DG93" s="170">
        <f t="shared" si="190"/>
        <v>1.7000000000000011</v>
      </c>
      <c r="DH93" s="162">
        <f t="shared" si="126"/>
        <v>3.7966768640025128</v>
      </c>
      <c r="DI93" s="171">
        <f t="shared" si="191"/>
        <v>3.7966768640025128</v>
      </c>
      <c r="DJ93" s="162"/>
      <c r="DK93" s="162">
        <f t="shared" si="192"/>
        <v>1.7000000000000011</v>
      </c>
      <c r="DL93" s="162">
        <f t="shared" si="193"/>
        <v>1.7000000000000011</v>
      </c>
      <c r="DM93" s="162">
        <f t="shared" si="127"/>
        <v>3.7966768640025128</v>
      </c>
      <c r="DN93" s="171">
        <f t="shared" si="194"/>
        <v>3.7966768640025128</v>
      </c>
      <c r="DO93" s="162"/>
      <c r="DP93" s="162">
        <f t="shared" si="195"/>
        <v>1.7000000000000011</v>
      </c>
      <c r="DQ93" s="170">
        <f t="shared" si="196"/>
        <v>1.7000000000000011</v>
      </c>
      <c r="DR93" s="162">
        <f t="shared" si="128"/>
        <v>3.7966768640025128</v>
      </c>
      <c r="DS93" s="171">
        <f t="shared" si="197"/>
        <v>3.7966768640025128</v>
      </c>
      <c r="DT93" s="162"/>
      <c r="DU93" s="162">
        <f t="shared" si="198"/>
        <v>1.7000000000000011</v>
      </c>
      <c r="DV93" s="170">
        <f t="shared" si="199"/>
        <v>1.7000000000000011</v>
      </c>
      <c r="DW93" s="162">
        <f t="shared" si="129"/>
        <v>3.7966768640025128</v>
      </c>
      <c r="DX93" s="171">
        <f t="shared" si="200"/>
        <v>3.7966768640025128</v>
      </c>
      <c r="DY93" s="162"/>
      <c r="DZ93" s="162">
        <f t="shared" si="201"/>
        <v>1.7000000000000011</v>
      </c>
      <c r="EA93" s="162">
        <f t="shared" si="202"/>
        <v>1.7000000000000011</v>
      </c>
      <c r="EB93" s="162">
        <f t="shared" si="130"/>
        <v>3.7966768640025128</v>
      </c>
      <c r="EC93" s="171">
        <f t="shared" si="203"/>
        <v>3.7966768640025128</v>
      </c>
      <c r="ED93" s="162"/>
      <c r="EE93" s="162">
        <f t="shared" si="204"/>
        <v>1.7000000000000011</v>
      </c>
      <c r="EF93" s="170">
        <f t="shared" si="205"/>
        <v>1.7000000000000011</v>
      </c>
      <c r="EG93" s="162">
        <f t="shared" si="131"/>
        <v>3.7966768640025128</v>
      </c>
      <c r="EH93" s="171">
        <f t="shared" si="206"/>
        <v>3.7966768640025128</v>
      </c>
      <c r="EI93" s="162"/>
      <c r="EJ93" s="162">
        <f t="shared" si="207"/>
        <v>1.7000000000000011</v>
      </c>
      <c r="EK93" s="170">
        <f t="shared" si="208"/>
        <v>1.7000000000000011</v>
      </c>
      <c r="EL93" s="162">
        <f t="shared" si="132"/>
        <v>3.7966768640025128</v>
      </c>
      <c r="EM93" s="171">
        <f t="shared" si="209"/>
        <v>3.7966768640025128</v>
      </c>
      <c r="EN93" s="162"/>
      <c r="EO93" s="162">
        <f t="shared" si="210"/>
        <v>1.7000000000000011</v>
      </c>
      <c r="EP93" s="162">
        <f t="shared" si="211"/>
        <v>1.7000000000000011</v>
      </c>
      <c r="EQ93" s="162">
        <f t="shared" si="133"/>
        <v>3.7966768640025128</v>
      </c>
      <c r="ER93" s="171">
        <f t="shared" si="212"/>
        <v>3.7966768640025128</v>
      </c>
      <c r="ES93" s="162"/>
      <c r="ET93" s="162">
        <f t="shared" si="213"/>
        <v>1.7000000000000011</v>
      </c>
      <c r="EU93" s="170">
        <f t="shared" si="214"/>
        <v>1.7000000000000011</v>
      </c>
      <c r="EV93" s="162">
        <f t="shared" si="134"/>
        <v>3.7966768640025128</v>
      </c>
      <c r="EW93" s="171">
        <f t="shared" si="215"/>
        <v>3.7966768640025128</v>
      </c>
      <c r="EX93" s="162"/>
    </row>
    <row r="94" spans="20:154" s="181" customFormat="1" x14ac:dyDescent="0.25">
      <c r="T94" s="162">
        <f t="shared" si="135"/>
        <v>1.7200000000000011</v>
      </c>
      <c r="U94" s="170">
        <f t="shared" si="136"/>
        <v>1.7200000000000011</v>
      </c>
      <c r="V94" s="162">
        <f t="shared" si="108"/>
        <v>3.7225246621639405</v>
      </c>
      <c r="W94" s="171">
        <f t="shared" si="137"/>
        <v>3.7225246621639405</v>
      </c>
      <c r="X94" s="162"/>
      <c r="Y94" s="162">
        <f t="shared" si="138"/>
        <v>1.7200000000000011</v>
      </c>
      <c r="Z94" s="162">
        <f t="shared" si="139"/>
        <v>1.7200000000000011</v>
      </c>
      <c r="AA94" s="162">
        <f t="shared" si="109"/>
        <v>3.7225246621639405</v>
      </c>
      <c r="AB94" s="171">
        <f t="shared" si="140"/>
        <v>3.7225246621639405</v>
      </c>
      <c r="AC94" s="162"/>
      <c r="AD94" s="162">
        <f t="shared" si="141"/>
        <v>1.7200000000000011</v>
      </c>
      <c r="AE94" s="170">
        <f t="shared" si="142"/>
        <v>1.7200000000000011</v>
      </c>
      <c r="AF94" s="162">
        <f t="shared" si="110"/>
        <v>3.7225246621639405</v>
      </c>
      <c r="AG94" s="171">
        <f t="shared" si="143"/>
        <v>3.7225246621639405</v>
      </c>
      <c r="AH94" s="162"/>
      <c r="AI94" s="162">
        <f t="shared" si="144"/>
        <v>1.7200000000000011</v>
      </c>
      <c r="AJ94" s="170">
        <f t="shared" si="145"/>
        <v>1.7200000000000011</v>
      </c>
      <c r="AK94" s="162">
        <f t="shared" si="111"/>
        <v>3.7225246621639405</v>
      </c>
      <c r="AL94" s="171">
        <f t="shared" si="146"/>
        <v>3.7225246621639405</v>
      </c>
      <c r="AM94" s="162"/>
      <c r="AN94" s="162">
        <f t="shared" si="147"/>
        <v>1.7200000000000011</v>
      </c>
      <c r="AO94" s="162">
        <f t="shared" si="148"/>
        <v>1.7200000000000011</v>
      </c>
      <c r="AP94" s="162">
        <f t="shared" si="112"/>
        <v>3.7225246621639405</v>
      </c>
      <c r="AQ94" s="171">
        <f t="shared" si="149"/>
        <v>3.7225246621639405</v>
      </c>
      <c r="AR94" s="162"/>
      <c r="AS94" s="162">
        <f t="shared" si="150"/>
        <v>1.7200000000000011</v>
      </c>
      <c r="AT94" s="170">
        <f t="shared" si="151"/>
        <v>1.7200000000000011</v>
      </c>
      <c r="AU94" s="162">
        <f t="shared" si="113"/>
        <v>3.7225246621639405</v>
      </c>
      <c r="AV94" s="171">
        <f t="shared" si="152"/>
        <v>3.7225246621639405</v>
      </c>
      <c r="AW94" s="162"/>
      <c r="AX94" s="162">
        <f t="shared" si="153"/>
        <v>1.7200000000000011</v>
      </c>
      <c r="AY94" s="170">
        <f t="shared" si="154"/>
        <v>1.7200000000000011</v>
      </c>
      <c r="AZ94" s="162">
        <f t="shared" si="114"/>
        <v>3.7225246621639405</v>
      </c>
      <c r="BA94" s="171">
        <f t="shared" si="155"/>
        <v>3.7225246621639405</v>
      </c>
      <c r="BB94" s="162"/>
      <c r="BC94" s="162">
        <f t="shared" si="156"/>
        <v>1.7200000000000011</v>
      </c>
      <c r="BD94" s="162">
        <f t="shared" si="157"/>
        <v>1.7200000000000011</v>
      </c>
      <c r="BE94" s="162">
        <f t="shared" si="115"/>
        <v>3.7225246621639405</v>
      </c>
      <c r="BF94" s="171">
        <f t="shared" si="158"/>
        <v>3.7225246621639405</v>
      </c>
      <c r="BG94" s="162"/>
      <c r="BH94" s="162">
        <f t="shared" si="159"/>
        <v>1.7200000000000011</v>
      </c>
      <c r="BI94" s="170">
        <f t="shared" si="160"/>
        <v>1.7200000000000011</v>
      </c>
      <c r="BJ94" s="162">
        <f t="shared" si="116"/>
        <v>3.7225246621639405</v>
      </c>
      <c r="BK94" s="171">
        <f t="shared" si="161"/>
        <v>3.7225246621639405</v>
      </c>
      <c r="BL94" s="162"/>
      <c r="BM94" s="162">
        <f t="shared" si="162"/>
        <v>1.7200000000000011</v>
      </c>
      <c r="BN94" s="170">
        <f t="shared" si="163"/>
        <v>1.7200000000000011</v>
      </c>
      <c r="BO94" s="162">
        <f t="shared" si="117"/>
        <v>3.7225246621639405</v>
      </c>
      <c r="BP94" s="171">
        <f t="shared" si="164"/>
        <v>3.7225246621639405</v>
      </c>
      <c r="BQ94" s="162"/>
      <c r="BR94" s="162">
        <f t="shared" si="165"/>
        <v>1.7200000000000011</v>
      </c>
      <c r="BS94" s="162">
        <f t="shared" si="166"/>
        <v>1.7200000000000011</v>
      </c>
      <c r="BT94" s="162">
        <f t="shared" si="118"/>
        <v>3.7225246621639405</v>
      </c>
      <c r="BU94" s="171">
        <f t="shared" si="167"/>
        <v>3.7225246621639405</v>
      </c>
      <c r="BV94" s="162"/>
      <c r="BW94" s="162">
        <f t="shared" si="168"/>
        <v>1.7200000000000011</v>
      </c>
      <c r="BX94" s="170">
        <f t="shared" si="169"/>
        <v>1.7200000000000011</v>
      </c>
      <c r="BY94" s="162">
        <f t="shared" si="119"/>
        <v>3.7225246621639405</v>
      </c>
      <c r="BZ94" s="171">
        <f t="shared" si="170"/>
        <v>3.7225246621639405</v>
      </c>
      <c r="CA94" s="162"/>
      <c r="CB94" s="162">
        <f t="shared" si="171"/>
        <v>1.7200000000000011</v>
      </c>
      <c r="CC94" s="170">
        <f t="shared" si="172"/>
        <v>1.7200000000000011</v>
      </c>
      <c r="CD94" s="162">
        <f t="shared" si="120"/>
        <v>3.7225246621639405</v>
      </c>
      <c r="CE94" s="171">
        <f t="shared" si="173"/>
        <v>3.7225246621639405</v>
      </c>
      <c r="CF94" s="162"/>
      <c r="CG94" s="172">
        <f t="shared" si="174"/>
        <v>1.7200000000000011</v>
      </c>
      <c r="CH94" s="172">
        <f t="shared" si="175"/>
        <v>1.7200000000000011</v>
      </c>
      <c r="CI94" s="172">
        <f t="shared" si="121"/>
        <v>3.7225246621639405</v>
      </c>
      <c r="CJ94" s="171">
        <f t="shared" si="176"/>
        <v>3.7225246621639405</v>
      </c>
      <c r="CK94" s="172"/>
      <c r="CL94" s="162">
        <f t="shared" si="177"/>
        <v>1.7200000000000011</v>
      </c>
      <c r="CM94" s="170">
        <f t="shared" si="178"/>
        <v>1.7200000000000011</v>
      </c>
      <c r="CN94" s="162">
        <f t="shared" si="122"/>
        <v>3.7225246621639405</v>
      </c>
      <c r="CO94" s="171">
        <f t="shared" si="179"/>
        <v>3.7225246621639405</v>
      </c>
      <c r="CP94" s="162"/>
      <c r="CQ94" s="162">
        <f t="shared" si="180"/>
        <v>1.7200000000000011</v>
      </c>
      <c r="CR94" s="170">
        <f t="shared" si="181"/>
        <v>1.7200000000000011</v>
      </c>
      <c r="CS94" s="162">
        <f t="shared" si="123"/>
        <v>3.7225246621639405</v>
      </c>
      <c r="CT94" s="171">
        <f t="shared" si="182"/>
        <v>3.7225246621639405</v>
      </c>
      <c r="CU94" s="162"/>
      <c r="CV94" s="162">
        <f t="shared" si="183"/>
        <v>1.7200000000000011</v>
      </c>
      <c r="CW94" s="162">
        <f t="shared" si="184"/>
        <v>1.7200000000000011</v>
      </c>
      <c r="CX94" s="162">
        <f t="shared" si="124"/>
        <v>3.7225246621639405</v>
      </c>
      <c r="CY94" s="171">
        <f t="shared" si="185"/>
        <v>3.7225246621639405</v>
      </c>
      <c r="CZ94" s="162"/>
      <c r="DA94" s="162">
        <f t="shared" si="186"/>
        <v>1.7200000000000011</v>
      </c>
      <c r="DB94" s="170">
        <f t="shared" si="187"/>
        <v>1.7200000000000011</v>
      </c>
      <c r="DC94" s="162">
        <f t="shared" si="125"/>
        <v>3.7225246621639405</v>
      </c>
      <c r="DD94" s="171">
        <f t="shared" si="188"/>
        <v>3.7225246621639405</v>
      </c>
      <c r="DE94" s="162"/>
      <c r="DF94" s="162">
        <f t="shared" si="189"/>
        <v>1.7200000000000011</v>
      </c>
      <c r="DG94" s="170">
        <f t="shared" si="190"/>
        <v>1.7200000000000011</v>
      </c>
      <c r="DH94" s="162">
        <f t="shared" si="126"/>
        <v>3.7225246621639405</v>
      </c>
      <c r="DI94" s="171">
        <f t="shared" si="191"/>
        <v>3.7225246621639405</v>
      </c>
      <c r="DJ94" s="162"/>
      <c r="DK94" s="162">
        <f t="shared" si="192"/>
        <v>1.7200000000000011</v>
      </c>
      <c r="DL94" s="162">
        <f t="shared" si="193"/>
        <v>1.7200000000000011</v>
      </c>
      <c r="DM94" s="162">
        <f t="shared" si="127"/>
        <v>3.7225246621639405</v>
      </c>
      <c r="DN94" s="171">
        <f t="shared" si="194"/>
        <v>3.7225246621639405</v>
      </c>
      <c r="DO94" s="162"/>
      <c r="DP94" s="162">
        <f t="shared" si="195"/>
        <v>1.7200000000000011</v>
      </c>
      <c r="DQ94" s="170">
        <f t="shared" si="196"/>
        <v>1.7200000000000011</v>
      </c>
      <c r="DR94" s="162">
        <f t="shared" si="128"/>
        <v>3.7225246621639405</v>
      </c>
      <c r="DS94" s="171">
        <f t="shared" si="197"/>
        <v>3.7225246621639405</v>
      </c>
      <c r="DT94" s="162"/>
      <c r="DU94" s="162">
        <f t="shared" si="198"/>
        <v>1.7200000000000011</v>
      </c>
      <c r="DV94" s="170">
        <f t="shared" si="199"/>
        <v>1.7200000000000011</v>
      </c>
      <c r="DW94" s="162">
        <f t="shared" si="129"/>
        <v>3.7225246621639405</v>
      </c>
      <c r="DX94" s="171">
        <f t="shared" si="200"/>
        <v>3.7225246621639405</v>
      </c>
      <c r="DY94" s="162"/>
      <c r="DZ94" s="162">
        <f t="shared" si="201"/>
        <v>1.7200000000000011</v>
      </c>
      <c r="EA94" s="162">
        <f t="shared" si="202"/>
        <v>1.7200000000000011</v>
      </c>
      <c r="EB94" s="162">
        <f t="shared" si="130"/>
        <v>3.7225246621639405</v>
      </c>
      <c r="EC94" s="171">
        <f t="shared" si="203"/>
        <v>3.7225246621639405</v>
      </c>
      <c r="ED94" s="162"/>
      <c r="EE94" s="162">
        <f t="shared" si="204"/>
        <v>1.7200000000000011</v>
      </c>
      <c r="EF94" s="170">
        <f t="shared" si="205"/>
        <v>1.7200000000000011</v>
      </c>
      <c r="EG94" s="162">
        <f t="shared" si="131"/>
        <v>3.7225246621639405</v>
      </c>
      <c r="EH94" s="171">
        <f t="shared" si="206"/>
        <v>3.7225246621639405</v>
      </c>
      <c r="EI94" s="162"/>
      <c r="EJ94" s="162">
        <f t="shared" si="207"/>
        <v>1.7200000000000011</v>
      </c>
      <c r="EK94" s="170">
        <f t="shared" si="208"/>
        <v>1.7200000000000011</v>
      </c>
      <c r="EL94" s="162">
        <f t="shared" si="132"/>
        <v>3.7225246621639405</v>
      </c>
      <c r="EM94" s="171">
        <f t="shared" si="209"/>
        <v>3.7225246621639405</v>
      </c>
      <c r="EN94" s="162"/>
      <c r="EO94" s="162">
        <f t="shared" si="210"/>
        <v>1.7200000000000011</v>
      </c>
      <c r="EP94" s="162">
        <f t="shared" si="211"/>
        <v>1.7200000000000011</v>
      </c>
      <c r="EQ94" s="162">
        <f t="shared" si="133"/>
        <v>3.7225246621639405</v>
      </c>
      <c r="ER94" s="171">
        <f t="shared" si="212"/>
        <v>3.7225246621639405</v>
      </c>
      <c r="ES94" s="162"/>
      <c r="ET94" s="162">
        <f t="shared" si="213"/>
        <v>1.7200000000000011</v>
      </c>
      <c r="EU94" s="170">
        <f t="shared" si="214"/>
        <v>1.7200000000000011</v>
      </c>
      <c r="EV94" s="162">
        <f t="shared" si="134"/>
        <v>3.7225246621639405</v>
      </c>
      <c r="EW94" s="171">
        <f t="shared" si="215"/>
        <v>3.7225246621639405</v>
      </c>
      <c r="EX94" s="162"/>
    </row>
    <row r="95" spans="20:154" s="181" customFormat="1" x14ac:dyDescent="0.25">
      <c r="T95" s="162">
        <f t="shared" si="135"/>
        <v>1.7400000000000011</v>
      </c>
      <c r="U95" s="170">
        <f t="shared" si="136"/>
        <v>1.7400000000000011</v>
      </c>
      <c r="V95" s="162">
        <f t="shared" si="108"/>
        <v>3.6456639475975221</v>
      </c>
      <c r="W95" s="171">
        <f t="shared" si="137"/>
        <v>3.6456639475975221</v>
      </c>
      <c r="X95" s="162"/>
      <c r="Y95" s="162">
        <f t="shared" si="138"/>
        <v>1.7400000000000011</v>
      </c>
      <c r="Z95" s="162">
        <f t="shared" si="139"/>
        <v>1.7400000000000011</v>
      </c>
      <c r="AA95" s="162">
        <f t="shared" si="109"/>
        <v>3.6456639475975221</v>
      </c>
      <c r="AB95" s="171">
        <f t="shared" si="140"/>
        <v>3.6456639475975221</v>
      </c>
      <c r="AC95" s="162"/>
      <c r="AD95" s="162">
        <f t="shared" si="141"/>
        <v>1.7400000000000011</v>
      </c>
      <c r="AE95" s="170">
        <f t="shared" si="142"/>
        <v>1.7400000000000011</v>
      </c>
      <c r="AF95" s="162">
        <f t="shared" si="110"/>
        <v>3.6456639475975221</v>
      </c>
      <c r="AG95" s="171">
        <f t="shared" si="143"/>
        <v>3.6456639475975221</v>
      </c>
      <c r="AH95" s="162"/>
      <c r="AI95" s="162">
        <f t="shared" si="144"/>
        <v>1.7400000000000011</v>
      </c>
      <c r="AJ95" s="170">
        <f t="shared" si="145"/>
        <v>1.7400000000000011</v>
      </c>
      <c r="AK95" s="162">
        <f t="shared" si="111"/>
        <v>3.6456639475975221</v>
      </c>
      <c r="AL95" s="171">
        <f t="shared" si="146"/>
        <v>3.6456639475975221</v>
      </c>
      <c r="AM95" s="162"/>
      <c r="AN95" s="162">
        <f t="shared" si="147"/>
        <v>1.7400000000000011</v>
      </c>
      <c r="AO95" s="162">
        <f t="shared" si="148"/>
        <v>1.7400000000000011</v>
      </c>
      <c r="AP95" s="162">
        <f t="shared" si="112"/>
        <v>3.6456639475975221</v>
      </c>
      <c r="AQ95" s="171">
        <f t="shared" si="149"/>
        <v>3.6456639475975221</v>
      </c>
      <c r="AR95" s="162"/>
      <c r="AS95" s="162">
        <f t="shared" si="150"/>
        <v>1.7400000000000011</v>
      </c>
      <c r="AT95" s="170">
        <f t="shared" si="151"/>
        <v>1.7400000000000011</v>
      </c>
      <c r="AU95" s="162">
        <f t="shared" si="113"/>
        <v>3.6456639475975221</v>
      </c>
      <c r="AV95" s="171">
        <f t="shared" si="152"/>
        <v>3.6456639475975221</v>
      </c>
      <c r="AW95" s="162"/>
      <c r="AX95" s="162">
        <f t="shared" si="153"/>
        <v>1.7400000000000011</v>
      </c>
      <c r="AY95" s="170">
        <f t="shared" si="154"/>
        <v>1.7400000000000011</v>
      </c>
      <c r="AZ95" s="162">
        <f t="shared" si="114"/>
        <v>3.6456639475975221</v>
      </c>
      <c r="BA95" s="171">
        <f t="shared" si="155"/>
        <v>3.6456639475975221</v>
      </c>
      <c r="BB95" s="162"/>
      <c r="BC95" s="162">
        <f t="shared" si="156"/>
        <v>1.7400000000000011</v>
      </c>
      <c r="BD95" s="162">
        <f t="shared" si="157"/>
        <v>1.7400000000000011</v>
      </c>
      <c r="BE95" s="162">
        <f t="shared" si="115"/>
        <v>3.6456639475975221</v>
      </c>
      <c r="BF95" s="171">
        <f t="shared" si="158"/>
        <v>3.6456639475975221</v>
      </c>
      <c r="BG95" s="162"/>
      <c r="BH95" s="162">
        <f t="shared" si="159"/>
        <v>1.7400000000000011</v>
      </c>
      <c r="BI95" s="170">
        <f t="shared" si="160"/>
        <v>1.7400000000000011</v>
      </c>
      <c r="BJ95" s="162">
        <f t="shared" si="116"/>
        <v>3.6456639475975221</v>
      </c>
      <c r="BK95" s="171">
        <f t="shared" si="161"/>
        <v>3.6456639475975221</v>
      </c>
      <c r="BL95" s="162"/>
      <c r="BM95" s="162">
        <f t="shared" si="162"/>
        <v>1.7400000000000011</v>
      </c>
      <c r="BN95" s="170">
        <f t="shared" si="163"/>
        <v>1.7400000000000011</v>
      </c>
      <c r="BO95" s="162">
        <f t="shared" si="117"/>
        <v>3.6456639475975221</v>
      </c>
      <c r="BP95" s="171">
        <f t="shared" si="164"/>
        <v>3.6456639475975221</v>
      </c>
      <c r="BQ95" s="162"/>
      <c r="BR95" s="162">
        <f t="shared" si="165"/>
        <v>1.7400000000000011</v>
      </c>
      <c r="BS95" s="162">
        <f t="shared" si="166"/>
        <v>1.7400000000000011</v>
      </c>
      <c r="BT95" s="162">
        <f t="shared" si="118"/>
        <v>3.6456639475975221</v>
      </c>
      <c r="BU95" s="171">
        <f t="shared" si="167"/>
        <v>3.6456639475975221</v>
      </c>
      <c r="BV95" s="162"/>
      <c r="BW95" s="162">
        <f t="shared" si="168"/>
        <v>1.7400000000000011</v>
      </c>
      <c r="BX95" s="170">
        <f t="shared" si="169"/>
        <v>1.7400000000000011</v>
      </c>
      <c r="BY95" s="162">
        <f t="shared" si="119"/>
        <v>3.6456639475975221</v>
      </c>
      <c r="BZ95" s="171">
        <f t="shared" si="170"/>
        <v>3.6456639475975221</v>
      </c>
      <c r="CA95" s="162"/>
      <c r="CB95" s="162">
        <f t="shared" si="171"/>
        <v>1.7400000000000011</v>
      </c>
      <c r="CC95" s="170">
        <f t="shared" si="172"/>
        <v>1.7400000000000011</v>
      </c>
      <c r="CD95" s="162">
        <f t="shared" si="120"/>
        <v>3.6456639475975221</v>
      </c>
      <c r="CE95" s="171">
        <f t="shared" si="173"/>
        <v>3.6456639475975221</v>
      </c>
      <c r="CF95" s="162"/>
      <c r="CG95" s="172">
        <f t="shared" si="174"/>
        <v>1.7400000000000011</v>
      </c>
      <c r="CH95" s="172">
        <f t="shared" si="175"/>
        <v>1.7400000000000011</v>
      </c>
      <c r="CI95" s="172">
        <f t="shared" si="121"/>
        <v>3.6456639475975221</v>
      </c>
      <c r="CJ95" s="171">
        <f t="shared" si="176"/>
        <v>3.6456639475975221</v>
      </c>
      <c r="CK95" s="172"/>
      <c r="CL95" s="162">
        <f t="shared" si="177"/>
        <v>1.7400000000000011</v>
      </c>
      <c r="CM95" s="170">
        <f t="shared" si="178"/>
        <v>1.7400000000000011</v>
      </c>
      <c r="CN95" s="162">
        <f t="shared" si="122"/>
        <v>3.6456639475975221</v>
      </c>
      <c r="CO95" s="171">
        <f t="shared" si="179"/>
        <v>3.6456639475975221</v>
      </c>
      <c r="CP95" s="162"/>
      <c r="CQ95" s="162">
        <f t="shared" si="180"/>
        <v>1.7400000000000011</v>
      </c>
      <c r="CR95" s="170">
        <f t="shared" si="181"/>
        <v>1.7400000000000011</v>
      </c>
      <c r="CS95" s="162">
        <f t="shared" si="123"/>
        <v>3.6456639475975221</v>
      </c>
      <c r="CT95" s="171">
        <f t="shared" si="182"/>
        <v>3.6456639475975221</v>
      </c>
      <c r="CU95" s="162"/>
      <c r="CV95" s="162">
        <f t="shared" si="183"/>
        <v>1.7400000000000011</v>
      </c>
      <c r="CW95" s="162">
        <f t="shared" si="184"/>
        <v>1.7400000000000011</v>
      </c>
      <c r="CX95" s="162">
        <f t="shared" si="124"/>
        <v>3.6456639475975221</v>
      </c>
      <c r="CY95" s="171">
        <f t="shared" si="185"/>
        <v>3.6456639475975221</v>
      </c>
      <c r="CZ95" s="162"/>
      <c r="DA95" s="162">
        <f t="shared" si="186"/>
        <v>1.7400000000000011</v>
      </c>
      <c r="DB95" s="170">
        <f t="shared" si="187"/>
        <v>1.7400000000000011</v>
      </c>
      <c r="DC95" s="162">
        <f t="shared" si="125"/>
        <v>3.6456639475975221</v>
      </c>
      <c r="DD95" s="171">
        <f t="shared" si="188"/>
        <v>3.6456639475975221</v>
      </c>
      <c r="DE95" s="162"/>
      <c r="DF95" s="162">
        <f t="shared" si="189"/>
        <v>1.7400000000000011</v>
      </c>
      <c r="DG95" s="170">
        <f t="shared" si="190"/>
        <v>1.7400000000000011</v>
      </c>
      <c r="DH95" s="162">
        <f t="shared" si="126"/>
        <v>3.6456639475975221</v>
      </c>
      <c r="DI95" s="171">
        <f t="shared" si="191"/>
        <v>3.6456639475975221</v>
      </c>
      <c r="DJ95" s="162"/>
      <c r="DK95" s="162">
        <f t="shared" si="192"/>
        <v>1.7400000000000011</v>
      </c>
      <c r="DL95" s="162">
        <f t="shared" si="193"/>
        <v>1.7400000000000011</v>
      </c>
      <c r="DM95" s="162">
        <f t="shared" si="127"/>
        <v>3.6456639475975221</v>
      </c>
      <c r="DN95" s="171">
        <f t="shared" si="194"/>
        <v>3.6456639475975221</v>
      </c>
      <c r="DO95" s="162"/>
      <c r="DP95" s="162">
        <f t="shared" si="195"/>
        <v>1.7400000000000011</v>
      </c>
      <c r="DQ95" s="170">
        <f t="shared" si="196"/>
        <v>1.7400000000000011</v>
      </c>
      <c r="DR95" s="162">
        <f t="shared" si="128"/>
        <v>3.6456639475975221</v>
      </c>
      <c r="DS95" s="171">
        <f t="shared" si="197"/>
        <v>3.6456639475975221</v>
      </c>
      <c r="DT95" s="162"/>
      <c r="DU95" s="162">
        <f t="shared" si="198"/>
        <v>1.7400000000000011</v>
      </c>
      <c r="DV95" s="170">
        <f t="shared" si="199"/>
        <v>1.7400000000000011</v>
      </c>
      <c r="DW95" s="162">
        <f t="shared" si="129"/>
        <v>3.6456639475975221</v>
      </c>
      <c r="DX95" s="171">
        <f t="shared" si="200"/>
        <v>3.6456639475975221</v>
      </c>
      <c r="DY95" s="162"/>
      <c r="DZ95" s="162">
        <f t="shared" si="201"/>
        <v>1.7400000000000011</v>
      </c>
      <c r="EA95" s="162">
        <f t="shared" si="202"/>
        <v>1.7400000000000011</v>
      </c>
      <c r="EB95" s="162">
        <f t="shared" si="130"/>
        <v>3.6456639475975221</v>
      </c>
      <c r="EC95" s="171">
        <f t="shared" si="203"/>
        <v>3.6456639475975221</v>
      </c>
      <c r="ED95" s="162"/>
      <c r="EE95" s="162">
        <f t="shared" si="204"/>
        <v>1.7400000000000011</v>
      </c>
      <c r="EF95" s="170">
        <f t="shared" si="205"/>
        <v>1.7400000000000011</v>
      </c>
      <c r="EG95" s="162">
        <f t="shared" si="131"/>
        <v>3.6456639475975221</v>
      </c>
      <c r="EH95" s="171">
        <f t="shared" si="206"/>
        <v>3.6456639475975221</v>
      </c>
      <c r="EI95" s="162"/>
      <c r="EJ95" s="162">
        <f t="shared" si="207"/>
        <v>1.7400000000000011</v>
      </c>
      <c r="EK95" s="170">
        <f t="shared" si="208"/>
        <v>1.7400000000000011</v>
      </c>
      <c r="EL95" s="162">
        <f t="shared" si="132"/>
        <v>3.6456639475975221</v>
      </c>
      <c r="EM95" s="171">
        <f t="shared" si="209"/>
        <v>3.6456639475975221</v>
      </c>
      <c r="EN95" s="162"/>
      <c r="EO95" s="162">
        <f t="shared" si="210"/>
        <v>1.7400000000000011</v>
      </c>
      <c r="EP95" s="162">
        <f t="shared" si="211"/>
        <v>1.7400000000000011</v>
      </c>
      <c r="EQ95" s="162">
        <f t="shared" si="133"/>
        <v>3.6456639475975221</v>
      </c>
      <c r="ER95" s="171">
        <f t="shared" si="212"/>
        <v>3.6456639475975221</v>
      </c>
      <c r="ES95" s="162"/>
      <c r="ET95" s="162">
        <f t="shared" si="213"/>
        <v>1.7400000000000011</v>
      </c>
      <c r="EU95" s="170">
        <f t="shared" si="214"/>
        <v>1.7400000000000011</v>
      </c>
      <c r="EV95" s="162">
        <f t="shared" si="134"/>
        <v>3.6456639475975221</v>
      </c>
      <c r="EW95" s="171">
        <f t="shared" si="215"/>
        <v>3.6456639475975221</v>
      </c>
      <c r="EX95" s="162"/>
    </row>
    <row r="96" spans="20:154" s="181" customFormat="1" x14ac:dyDescent="0.25">
      <c r="T96" s="162">
        <f t="shared" si="135"/>
        <v>1.7600000000000011</v>
      </c>
      <c r="U96" s="170">
        <f t="shared" si="136"/>
        <v>1.7600000000000011</v>
      </c>
      <c r="V96" s="162">
        <f t="shared" si="108"/>
        <v>3.5660947203032576</v>
      </c>
      <c r="W96" s="171">
        <f t="shared" si="137"/>
        <v>3.5660947203032576</v>
      </c>
      <c r="X96" s="162"/>
      <c r="Y96" s="162">
        <f t="shared" si="138"/>
        <v>1.7600000000000011</v>
      </c>
      <c r="Z96" s="162">
        <f t="shared" si="139"/>
        <v>1.7600000000000011</v>
      </c>
      <c r="AA96" s="162">
        <f t="shared" si="109"/>
        <v>3.5660947203032576</v>
      </c>
      <c r="AB96" s="171">
        <f t="shared" si="140"/>
        <v>3.5660947203032576</v>
      </c>
      <c r="AC96" s="162"/>
      <c r="AD96" s="162">
        <f t="shared" si="141"/>
        <v>1.7600000000000011</v>
      </c>
      <c r="AE96" s="170">
        <f t="shared" si="142"/>
        <v>1.7600000000000011</v>
      </c>
      <c r="AF96" s="162">
        <f t="shared" si="110"/>
        <v>3.5660947203032576</v>
      </c>
      <c r="AG96" s="171">
        <f t="shared" si="143"/>
        <v>3.5660947203032576</v>
      </c>
      <c r="AH96" s="162"/>
      <c r="AI96" s="162">
        <f t="shared" si="144"/>
        <v>1.7600000000000011</v>
      </c>
      <c r="AJ96" s="170">
        <f t="shared" si="145"/>
        <v>1.7600000000000011</v>
      </c>
      <c r="AK96" s="162">
        <f t="shared" si="111"/>
        <v>3.5660947203032576</v>
      </c>
      <c r="AL96" s="171">
        <f t="shared" si="146"/>
        <v>3.5660947203032576</v>
      </c>
      <c r="AM96" s="162"/>
      <c r="AN96" s="162">
        <f t="shared" si="147"/>
        <v>1.7600000000000011</v>
      </c>
      <c r="AO96" s="162">
        <f t="shared" si="148"/>
        <v>1.7600000000000011</v>
      </c>
      <c r="AP96" s="162">
        <f t="shared" si="112"/>
        <v>3.5660947203032576</v>
      </c>
      <c r="AQ96" s="171">
        <f t="shared" si="149"/>
        <v>3.5660947203032576</v>
      </c>
      <c r="AR96" s="162"/>
      <c r="AS96" s="162">
        <f t="shared" si="150"/>
        <v>1.7600000000000011</v>
      </c>
      <c r="AT96" s="170">
        <f t="shared" si="151"/>
        <v>1.7600000000000011</v>
      </c>
      <c r="AU96" s="162">
        <f t="shared" si="113"/>
        <v>3.5660947203032576</v>
      </c>
      <c r="AV96" s="171">
        <f t="shared" si="152"/>
        <v>3.5660947203032576</v>
      </c>
      <c r="AW96" s="162"/>
      <c r="AX96" s="162">
        <f t="shared" si="153"/>
        <v>1.7600000000000011</v>
      </c>
      <c r="AY96" s="170">
        <f t="shared" si="154"/>
        <v>1.7600000000000011</v>
      </c>
      <c r="AZ96" s="162">
        <f t="shared" si="114"/>
        <v>3.5660947203032576</v>
      </c>
      <c r="BA96" s="171">
        <f t="shared" si="155"/>
        <v>3.5660947203032576</v>
      </c>
      <c r="BB96" s="162"/>
      <c r="BC96" s="162">
        <f t="shared" si="156"/>
        <v>1.7600000000000011</v>
      </c>
      <c r="BD96" s="162">
        <f t="shared" si="157"/>
        <v>1.7600000000000011</v>
      </c>
      <c r="BE96" s="162">
        <f t="shared" si="115"/>
        <v>3.5660947203032576</v>
      </c>
      <c r="BF96" s="171">
        <f t="shared" si="158"/>
        <v>3.5660947203032576</v>
      </c>
      <c r="BG96" s="162"/>
      <c r="BH96" s="162">
        <f t="shared" si="159"/>
        <v>1.7600000000000011</v>
      </c>
      <c r="BI96" s="170">
        <f t="shared" si="160"/>
        <v>1.7600000000000011</v>
      </c>
      <c r="BJ96" s="162">
        <f t="shared" si="116"/>
        <v>3.5660947203032576</v>
      </c>
      <c r="BK96" s="171">
        <f t="shared" si="161"/>
        <v>3.5660947203032576</v>
      </c>
      <c r="BL96" s="162"/>
      <c r="BM96" s="162">
        <f t="shared" si="162"/>
        <v>1.7600000000000011</v>
      </c>
      <c r="BN96" s="170">
        <f t="shared" si="163"/>
        <v>1.7600000000000011</v>
      </c>
      <c r="BO96" s="162">
        <f t="shared" si="117"/>
        <v>3.5660947203032576</v>
      </c>
      <c r="BP96" s="171">
        <f t="shared" si="164"/>
        <v>3.5660947203032576</v>
      </c>
      <c r="BQ96" s="162"/>
      <c r="BR96" s="162">
        <f t="shared" si="165"/>
        <v>1.7600000000000011</v>
      </c>
      <c r="BS96" s="162">
        <f t="shared" si="166"/>
        <v>1.7600000000000011</v>
      </c>
      <c r="BT96" s="162">
        <f t="shared" si="118"/>
        <v>3.5660947203032576</v>
      </c>
      <c r="BU96" s="171">
        <f t="shared" si="167"/>
        <v>3.5660947203032576</v>
      </c>
      <c r="BV96" s="162"/>
      <c r="BW96" s="162">
        <f t="shared" si="168"/>
        <v>1.7600000000000011</v>
      </c>
      <c r="BX96" s="170">
        <f t="shared" si="169"/>
        <v>1.7600000000000011</v>
      </c>
      <c r="BY96" s="162">
        <f t="shared" si="119"/>
        <v>3.5660947203032576</v>
      </c>
      <c r="BZ96" s="171">
        <f t="shared" si="170"/>
        <v>3.5660947203032576</v>
      </c>
      <c r="CA96" s="162"/>
      <c r="CB96" s="162">
        <f t="shared" si="171"/>
        <v>1.7600000000000011</v>
      </c>
      <c r="CC96" s="170">
        <f t="shared" si="172"/>
        <v>1.7600000000000011</v>
      </c>
      <c r="CD96" s="162">
        <f t="shared" si="120"/>
        <v>3.5660947203032576</v>
      </c>
      <c r="CE96" s="171">
        <f t="shared" si="173"/>
        <v>3.5660947203032576</v>
      </c>
      <c r="CF96" s="162"/>
      <c r="CG96" s="172">
        <f t="shared" si="174"/>
        <v>1.7600000000000011</v>
      </c>
      <c r="CH96" s="172">
        <f t="shared" si="175"/>
        <v>1.7600000000000011</v>
      </c>
      <c r="CI96" s="172">
        <f t="shared" si="121"/>
        <v>3.5660947203032576</v>
      </c>
      <c r="CJ96" s="171">
        <f t="shared" si="176"/>
        <v>3.5660947203032576</v>
      </c>
      <c r="CK96" s="172"/>
      <c r="CL96" s="162">
        <f t="shared" si="177"/>
        <v>1.7600000000000011</v>
      </c>
      <c r="CM96" s="170">
        <f t="shared" si="178"/>
        <v>1.7600000000000011</v>
      </c>
      <c r="CN96" s="162">
        <f t="shared" si="122"/>
        <v>3.5660947203032576</v>
      </c>
      <c r="CO96" s="171">
        <f t="shared" si="179"/>
        <v>3.5660947203032576</v>
      </c>
      <c r="CP96" s="162"/>
      <c r="CQ96" s="162">
        <f t="shared" si="180"/>
        <v>1.7600000000000011</v>
      </c>
      <c r="CR96" s="170">
        <f t="shared" si="181"/>
        <v>1.7600000000000011</v>
      </c>
      <c r="CS96" s="162">
        <f t="shared" si="123"/>
        <v>3.5660947203032576</v>
      </c>
      <c r="CT96" s="171">
        <f t="shared" si="182"/>
        <v>3.5660947203032576</v>
      </c>
      <c r="CU96" s="162"/>
      <c r="CV96" s="162">
        <f t="shared" si="183"/>
        <v>1.7600000000000011</v>
      </c>
      <c r="CW96" s="162">
        <f t="shared" si="184"/>
        <v>1.7600000000000011</v>
      </c>
      <c r="CX96" s="162">
        <f t="shared" si="124"/>
        <v>3.5660947203032576</v>
      </c>
      <c r="CY96" s="171">
        <f t="shared" si="185"/>
        <v>3.5660947203032576</v>
      </c>
      <c r="CZ96" s="162"/>
      <c r="DA96" s="162">
        <f t="shared" si="186"/>
        <v>1.7600000000000011</v>
      </c>
      <c r="DB96" s="170">
        <f t="shared" si="187"/>
        <v>1.7600000000000011</v>
      </c>
      <c r="DC96" s="162">
        <f t="shared" si="125"/>
        <v>3.5660947203032576</v>
      </c>
      <c r="DD96" s="171">
        <f t="shared" si="188"/>
        <v>3.5660947203032576</v>
      </c>
      <c r="DE96" s="162"/>
      <c r="DF96" s="162">
        <f t="shared" si="189"/>
        <v>1.7600000000000011</v>
      </c>
      <c r="DG96" s="170">
        <f t="shared" si="190"/>
        <v>1.7600000000000011</v>
      </c>
      <c r="DH96" s="162">
        <f t="shared" si="126"/>
        <v>3.5660947203032576</v>
      </c>
      <c r="DI96" s="171">
        <f t="shared" si="191"/>
        <v>3.5660947203032576</v>
      </c>
      <c r="DJ96" s="162"/>
      <c r="DK96" s="162">
        <f t="shared" si="192"/>
        <v>1.7600000000000011</v>
      </c>
      <c r="DL96" s="162">
        <f t="shared" si="193"/>
        <v>1.7600000000000011</v>
      </c>
      <c r="DM96" s="162">
        <f t="shared" si="127"/>
        <v>3.5660947203032576</v>
      </c>
      <c r="DN96" s="171">
        <f t="shared" si="194"/>
        <v>3.5660947203032576</v>
      </c>
      <c r="DO96" s="162"/>
      <c r="DP96" s="162">
        <f t="shared" si="195"/>
        <v>1.7600000000000011</v>
      </c>
      <c r="DQ96" s="170">
        <f t="shared" si="196"/>
        <v>1.7600000000000011</v>
      </c>
      <c r="DR96" s="162">
        <f t="shared" si="128"/>
        <v>3.5660947203032576</v>
      </c>
      <c r="DS96" s="171">
        <f t="shared" si="197"/>
        <v>3.5660947203032576</v>
      </c>
      <c r="DT96" s="162"/>
      <c r="DU96" s="162">
        <f t="shared" si="198"/>
        <v>1.7600000000000011</v>
      </c>
      <c r="DV96" s="170">
        <f t="shared" si="199"/>
        <v>1.7600000000000011</v>
      </c>
      <c r="DW96" s="162">
        <f t="shared" si="129"/>
        <v>3.5660947203032576</v>
      </c>
      <c r="DX96" s="171">
        <f t="shared" si="200"/>
        <v>3.5660947203032576</v>
      </c>
      <c r="DY96" s="162"/>
      <c r="DZ96" s="162">
        <f t="shared" si="201"/>
        <v>1.7600000000000011</v>
      </c>
      <c r="EA96" s="162">
        <f t="shared" si="202"/>
        <v>1.7600000000000011</v>
      </c>
      <c r="EB96" s="162">
        <f t="shared" si="130"/>
        <v>3.5660947203032576</v>
      </c>
      <c r="EC96" s="171">
        <f t="shared" si="203"/>
        <v>3.5660947203032576</v>
      </c>
      <c r="ED96" s="162"/>
      <c r="EE96" s="162">
        <f t="shared" si="204"/>
        <v>1.7600000000000011</v>
      </c>
      <c r="EF96" s="170">
        <f t="shared" si="205"/>
        <v>1.7600000000000011</v>
      </c>
      <c r="EG96" s="162">
        <f t="shared" si="131"/>
        <v>3.5660947203032576</v>
      </c>
      <c r="EH96" s="171">
        <f t="shared" si="206"/>
        <v>3.5660947203032576</v>
      </c>
      <c r="EI96" s="162"/>
      <c r="EJ96" s="162">
        <f t="shared" si="207"/>
        <v>1.7600000000000011</v>
      </c>
      <c r="EK96" s="170">
        <f t="shared" si="208"/>
        <v>1.7600000000000011</v>
      </c>
      <c r="EL96" s="162">
        <f t="shared" si="132"/>
        <v>3.5660947203032576</v>
      </c>
      <c r="EM96" s="171">
        <f t="shared" si="209"/>
        <v>3.5660947203032576</v>
      </c>
      <c r="EN96" s="162"/>
      <c r="EO96" s="162">
        <f t="shared" si="210"/>
        <v>1.7600000000000011</v>
      </c>
      <c r="EP96" s="162">
        <f t="shared" si="211"/>
        <v>1.7600000000000011</v>
      </c>
      <c r="EQ96" s="162">
        <f t="shared" si="133"/>
        <v>3.5660947203032576</v>
      </c>
      <c r="ER96" s="171">
        <f t="shared" si="212"/>
        <v>3.5660947203032576</v>
      </c>
      <c r="ES96" s="162"/>
      <c r="ET96" s="162">
        <f t="shared" si="213"/>
        <v>1.7600000000000011</v>
      </c>
      <c r="EU96" s="170">
        <f t="shared" si="214"/>
        <v>1.7600000000000011</v>
      </c>
      <c r="EV96" s="162">
        <f t="shared" si="134"/>
        <v>3.5660947203032576</v>
      </c>
      <c r="EW96" s="171">
        <f t="shared" si="215"/>
        <v>3.5660947203032576</v>
      </c>
      <c r="EX96" s="162"/>
    </row>
    <row r="97" spans="20:154" s="181" customFormat="1" x14ac:dyDescent="0.25">
      <c r="T97" s="162">
        <f t="shared" si="135"/>
        <v>1.7800000000000011</v>
      </c>
      <c r="U97" s="170">
        <f t="shared" si="136"/>
        <v>1.7800000000000011</v>
      </c>
      <c r="V97" s="162">
        <f t="shared" si="108"/>
        <v>3.4838169802811434</v>
      </c>
      <c r="W97" s="171">
        <f t="shared" si="137"/>
        <v>3.4838169802811434</v>
      </c>
      <c r="X97" s="162"/>
      <c r="Y97" s="162">
        <f t="shared" si="138"/>
        <v>1.7800000000000011</v>
      </c>
      <c r="Z97" s="162">
        <f t="shared" si="139"/>
        <v>1.7800000000000011</v>
      </c>
      <c r="AA97" s="162">
        <f t="shared" si="109"/>
        <v>3.4838169802811434</v>
      </c>
      <c r="AB97" s="171">
        <f t="shared" si="140"/>
        <v>3.4838169802811434</v>
      </c>
      <c r="AC97" s="162"/>
      <c r="AD97" s="162">
        <f t="shared" si="141"/>
        <v>1.7800000000000011</v>
      </c>
      <c r="AE97" s="170">
        <f t="shared" si="142"/>
        <v>1.7800000000000011</v>
      </c>
      <c r="AF97" s="162">
        <f t="shared" si="110"/>
        <v>3.4838169802811434</v>
      </c>
      <c r="AG97" s="171">
        <f t="shared" si="143"/>
        <v>3.4838169802811434</v>
      </c>
      <c r="AH97" s="162"/>
      <c r="AI97" s="162">
        <f t="shared" si="144"/>
        <v>1.7800000000000011</v>
      </c>
      <c r="AJ97" s="170">
        <f t="shared" si="145"/>
        <v>1.7800000000000011</v>
      </c>
      <c r="AK97" s="162">
        <f t="shared" si="111"/>
        <v>3.4838169802811434</v>
      </c>
      <c r="AL97" s="171">
        <f t="shared" si="146"/>
        <v>3.4838169802811434</v>
      </c>
      <c r="AM97" s="162"/>
      <c r="AN97" s="162">
        <f t="shared" si="147"/>
        <v>1.7800000000000011</v>
      </c>
      <c r="AO97" s="162">
        <f t="shared" si="148"/>
        <v>1.7800000000000011</v>
      </c>
      <c r="AP97" s="162">
        <f t="shared" si="112"/>
        <v>3.4838169802811434</v>
      </c>
      <c r="AQ97" s="171">
        <f t="shared" si="149"/>
        <v>3.4838169802811434</v>
      </c>
      <c r="AR97" s="162"/>
      <c r="AS97" s="162">
        <f t="shared" si="150"/>
        <v>1.7800000000000011</v>
      </c>
      <c r="AT97" s="170">
        <f t="shared" si="151"/>
        <v>1.7800000000000011</v>
      </c>
      <c r="AU97" s="162">
        <f t="shared" si="113"/>
        <v>3.4838169802811434</v>
      </c>
      <c r="AV97" s="171">
        <f t="shared" si="152"/>
        <v>3.4838169802811434</v>
      </c>
      <c r="AW97" s="162"/>
      <c r="AX97" s="162">
        <f t="shared" si="153"/>
        <v>1.7800000000000011</v>
      </c>
      <c r="AY97" s="170">
        <f t="shared" si="154"/>
        <v>1.7800000000000011</v>
      </c>
      <c r="AZ97" s="162">
        <f t="shared" si="114"/>
        <v>3.4838169802811434</v>
      </c>
      <c r="BA97" s="171">
        <f t="shared" si="155"/>
        <v>3.4838169802811434</v>
      </c>
      <c r="BB97" s="162"/>
      <c r="BC97" s="162">
        <f t="shared" si="156"/>
        <v>1.7800000000000011</v>
      </c>
      <c r="BD97" s="162">
        <f t="shared" si="157"/>
        <v>1.7800000000000011</v>
      </c>
      <c r="BE97" s="162">
        <f t="shared" si="115"/>
        <v>3.4838169802811434</v>
      </c>
      <c r="BF97" s="171">
        <f t="shared" si="158"/>
        <v>3.4838169802811434</v>
      </c>
      <c r="BG97" s="162"/>
      <c r="BH97" s="162">
        <f t="shared" si="159"/>
        <v>1.7800000000000011</v>
      </c>
      <c r="BI97" s="170">
        <f t="shared" si="160"/>
        <v>1.7800000000000011</v>
      </c>
      <c r="BJ97" s="162">
        <f t="shared" si="116"/>
        <v>3.4838169802811434</v>
      </c>
      <c r="BK97" s="171">
        <f t="shared" si="161"/>
        <v>3.4838169802811434</v>
      </c>
      <c r="BL97" s="162"/>
      <c r="BM97" s="162">
        <f t="shared" si="162"/>
        <v>1.7800000000000011</v>
      </c>
      <c r="BN97" s="170">
        <f t="shared" si="163"/>
        <v>1.7800000000000011</v>
      </c>
      <c r="BO97" s="162">
        <f t="shared" si="117"/>
        <v>3.4838169802811434</v>
      </c>
      <c r="BP97" s="171">
        <f t="shared" si="164"/>
        <v>3.4838169802811434</v>
      </c>
      <c r="BQ97" s="162"/>
      <c r="BR97" s="162">
        <f t="shared" si="165"/>
        <v>1.7800000000000011</v>
      </c>
      <c r="BS97" s="162">
        <f t="shared" si="166"/>
        <v>1.7800000000000011</v>
      </c>
      <c r="BT97" s="162">
        <f t="shared" si="118"/>
        <v>3.4838169802811434</v>
      </c>
      <c r="BU97" s="171">
        <f t="shared" si="167"/>
        <v>3.4838169802811434</v>
      </c>
      <c r="BV97" s="162"/>
      <c r="BW97" s="162">
        <f t="shared" si="168"/>
        <v>1.7800000000000011</v>
      </c>
      <c r="BX97" s="170">
        <f t="shared" si="169"/>
        <v>1.7800000000000011</v>
      </c>
      <c r="BY97" s="162">
        <f t="shared" si="119"/>
        <v>3.4838169802811434</v>
      </c>
      <c r="BZ97" s="171">
        <f t="shared" si="170"/>
        <v>3.4838169802811434</v>
      </c>
      <c r="CA97" s="162"/>
      <c r="CB97" s="162">
        <f t="shared" si="171"/>
        <v>1.7800000000000011</v>
      </c>
      <c r="CC97" s="170">
        <f t="shared" si="172"/>
        <v>1.7800000000000011</v>
      </c>
      <c r="CD97" s="162">
        <f t="shared" si="120"/>
        <v>3.4838169802811434</v>
      </c>
      <c r="CE97" s="171">
        <f t="shared" si="173"/>
        <v>3.4838169802811434</v>
      </c>
      <c r="CF97" s="162"/>
      <c r="CG97" s="172">
        <f t="shared" si="174"/>
        <v>1.7800000000000011</v>
      </c>
      <c r="CH97" s="172">
        <f t="shared" si="175"/>
        <v>1.7800000000000011</v>
      </c>
      <c r="CI97" s="172">
        <f t="shared" si="121"/>
        <v>3.4838169802811434</v>
      </c>
      <c r="CJ97" s="171">
        <f t="shared" si="176"/>
        <v>3.4838169802811434</v>
      </c>
      <c r="CK97" s="172"/>
      <c r="CL97" s="162">
        <f t="shared" si="177"/>
        <v>1.7800000000000011</v>
      </c>
      <c r="CM97" s="170">
        <f t="shared" si="178"/>
        <v>1.7800000000000011</v>
      </c>
      <c r="CN97" s="162">
        <f t="shared" si="122"/>
        <v>3.4838169802811434</v>
      </c>
      <c r="CO97" s="171">
        <f t="shared" si="179"/>
        <v>3.4838169802811434</v>
      </c>
      <c r="CP97" s="162"/>
      <c r="CQ97" s="162">
        <f t="shared" si="180"/>
        <v>1.7800000000000011</v>
      </c>
      <c r="CR97" s="170">
        <f t="shared" si="181"/>
        <v>1.7800000000000011</v>
      </c>
      <c r="CS97" s="162">
        <f t="shared" si="123"/>
        <v>3.4838169802811434</v>
      </c>
      <c r="CT97" s="171">
        <f t="shared" si="182"/>
        <v>3.4838169802811434</v>
      </c>
      <c r="CU97" s="162"/>
      <c r="CV97" s="162">
        <f t="shared" si="183"/>
        <v>1.7800000000000011</v>
      </c>
      <c r="CW97" s="162">
        <f t="shared" si="184"/>
        <v>1.7800000000000011</v>
      </c>
      <c r="CX97" s="162">
        <f t="shared" si="124"/>
        <v>3.4838169802811434</v>
      </c>
      <c r="CY97" s="171">
        <f t="shared" si="185"/>
        <v>3.4838169802811434</v>
      </c>
      <c r="CZ97" s="162"/>
      <c r="DA97" s="162">
        <f t="shared" si="186"/>
        <v>1.7800000000000011</v>
      </c>
      <c r="DB97" s="170">
        <f t="shared" si="187"/>
        <v>1.7800000000000011</v>
      </c>
      <c r="DC97" s="162">
        <f t="shared" si="125"/>
        <v>3.4838169802811434</v>
      </c>
      <c r="DD97" s="171">
        <f t="shared" si="188"/>
        <v>3.4838169802811434</v>
      </c>
      <c r="DE97" s="162"/>
      <c r="DF97" s="162">
        <f t="shared" si="189"/>
        <v>1.7800000000000011</v>
      </c>
      <c r="DG97" s="170">
        <f t="shared" si="190"/>
        <v>1.7800000000000011</v>
      </c>
      <c r="DH97" s="162">
        <f t="shared" si="126"/>
        <v>3.4838169802811434</v>
      </c>
      <c r="DI97" s="171">
        <f t="shared" si="191"/>
        <v>3.4838169802811434</v>
      </c>
      <c r="DJ97" s="162"/>
      <c r="DK97" s="162">
        <f t="shared" si="192"/>
        <v>1.7800000000000011</v>
      </c>
      <c r="DL97" s="162">
        <f t="shared" si="193"/>
        <v>1.7800000000000011</v>
      </c>
      <c r="DM97" s="162">
        <f t="shared" si="127"/>
        <v>3.4838169802811434</v>
      </c>
      <c r="DN97" s="171">
        <f t="shared" si="194"/>
        <v>3.4838169802811434</v>
      </c>
      <c r="DO97" s="162"/>
      <c r="DP97" s="162">
        <f t="shared" si="195"/>
        <v>1.7800000000000011</v>
      </c>
      <c r="DQ97" s="170">
        <f t="shared" si="196"/>
        <v>1.7800000000000011</v>
      </c>
      <c r="DR97" s="162">
        <f t="shared" si="128"/>
        <v>3.4838169802811434</v>
      </c>
      <c r="DS97" s="171">
        <f t="shared" si="197"/>
        <v>3.4838169802811434</v>
      </c>
      <c r="DT97" s="162"/>
      <c r="DU97" s="162">
        <f t="shared" si="198"/>
        <v>1.7800000000000011</v>
      </c>
      <c r="DV97" s="170">
        <f t="shared" si="199"/>
        <v>1.7800000000000011</v>
      </c>
      <c r="DW97" s="162">
        <f t="shared" si="129"/>
        <v>3.4838169802811434</v>
      </c>
      <c r="DX97" s="171">
        <f t="shared" si="200"/>
        <v>3.4838169802811434</v>
      </c>
      <c r="DY97" s="162"/>
      <c r="DZ97" s="162">
        <f t="shared" si="201"/>
        <v>1.7800000000000011</v>
      </c>
      <c r="EA97" s="162">
        <f t="shared" si="202"/>
        <v>1.7800000000000011</v>
      </c>
      <c r="EB97" s="162">
        <f t="shared" si="130"/>
        <v>3.4838169802811434</v>
      </c>
      <c r="EC97" s="171">
        <f t="shared" si="203"/>
        <v>3.4838169802811434</v>
      </c>
      <c r="ED97" s="162"/>
      <c r="EE97" s="162">
        <f t="shared" si="204"/>
        <v>1.7800000000000011</v>
      </c>
      <c r="EF97" s="170">
        <f t="shared" si="205"/>
        <v>1.7800000000000011</v>
      </c>
      <c r="EG97" s="162">
        <f t="shared" si="131"/>
        <v>3.4838169802811434</v>
      </c>
      <c r="EH97" s="171">
        <f t="shared" si="206"/>
        <v>3.4838169802811434</v>
      </c>
      <c r="EI97" s="162"/>
      <c r="EJ97" s="162">
        <f t="shared" si="207"/>
        <v>1.7800000000000011</v>
      </c>
      <c r="EK97" s="170">
        <f t="shared" si="208"/>
        <v>1.7800000000000011</v>
      </c>
      <c r="EL97" s="162">
        <f t="shared" si="132"/>
        <v>3.4838169802811434</v>
      </c>
      <c r="EM97" s="171">
        <f t="shared" si="209"/>
        <v>3.4838169802811434</v>
      </c>
      <c r="EN97" s="162"/>
      <c r="EO97" s="162">
        <f t="shared" si="210"/>
        <v>1.7800000000000011</v>
      </c>
      <c r="EP97" s="162">
        <f t="shared" si="211"/>
        <v>1.7800000000000011</v>
      </c>
      <c r="EQ97" s="162">
        <f t="shared" si="133"/>
        <v>3.4838169802811434</v>
      </c>
      <c r="ER97" s="171">
        <f t="shared" si="212"/>
        <v>3.4838169802811434</v>
      </c>
      <c r="ES97" s="162"/>
      <c r="ET97" s="162">
        <f t="shared" si="213"/>
        <v>1.7800000000000011</v>
      </c>
      <c r="EU97" s="170">
        <f t="shared" si="214"/>
        <v>1.7800000000000011</v>
      </c>
      <c r="EV97" s="162">
        <f t="shared" si="134"/>
        <v>3.4838169802811434</v>
      </c>
      <c r="EW97" s="171">
        <f t="shared" si="215"/>
        <v>3.4838169802811434</v>
      </c>
      <c r="EX97" s="162"/>
    </row>
    <row r="98" spans="20:154" s="181" customFormat="1" x14ac:dyDescent="0.25">
      <c r="T98" s="162">
        <f t="shared" si="135"/>
        <v>1.8000000000000012</v>
      </c>
      <c r="U98" s="170">
        <f t="shared" si="136"/>
        <v>1.8000000000000012</v>
      </c>
      <c r="V98" s="162">
        <f t="shared" si="108"/>
        <v>3.3988307275311831</v>
      </c>
      <c r="W98" s="171">
        <f t="shared" si="137"/>
        <v>3.3988307275311831</v>
      </c>
      <c r="X98" s="162"/>
      <c r="Y98" s="162">
        <f t="shared" si="138"/>
        <v>1.8000000000000012</v>
      </c>
      <c r="Z98" s="162">
        <f t="shared" si="139"/>
        <v>1.8000000000000012</v>
      </c>
      <c r="AA98" s="162">
        <f t="shared" si="109"/>
        <v>3.3988307275311831</v>
      </c>
      <c r="AB98" s="171">
        <f t="shared" si="140"/>
        <v>3.3988307275311831</v>
      </c>
      <c r="AC98" s="162"/>
      <c r="AD98" s="162">
        <f t="shared" si="141"/>
        <v>1.8000000000000012</v>
      </c>
      <c r="AE98" s="170">
        <f t="shared" si="142"/>
        <v>1.8000000000000012</v>
      </c>
      <c r="AF98" s="162">
        <f t="shared" si="110"/>
        <v>3.3988307275311831</v>
      </c>
      <c r="AG98" s="171">
        <f t="shared" si="143"/>
        <v>3.3988307275311831</v>
      </c>
      <c r="AH98" s="162"/>
      <c r="AI98" s="162">
        <f t="shared" si="144"/>
        <v>1.8000000000000012</v>
      </c>
      <c r="AJ98" s="170">
        <f t="shared" si="145"/>
        <v>1.8000000000000012</v>
      </c>
      <c r="AK98" s="162">
        <f t="shared" si="111"/>
        <v>3.3988307275311831</v>
      </c>
      <c r="AL98" s="171">
        <f t="shared" si="146"/>
        <v>3.3988307275311831</v>
      </c>
      <c r="AM98" s="162"/>
      <c r="AN98" s="162">
        <f t="shared" si="147"/>
        <v>1.8000000000000012</v>
      </c>
      <c r="AO98" s="162">
        <f t="shared" si="148"/>
        <v>1.8000000000000012</v>
      </c>
      <c r="AP98" s="162">
        <f t="shared" si="112"/>
        <v>3.3988307275311831</v>
      </c>
      <c r="AQ98" s="171">
        <f t="shared" si="149"/>
        <v>3.3988307275311831</v>
      </c>
      <c r="AR98" s="162"/>
      <c r="AS98" s="162">
        <f t="shared" si="150"/>
        <v>1.8000000000000012</v>
      </c>
      <c r="AT98" s="170">
        <f t="shared" si="151"/>
        <v>1.8000000000000012</v>
      </c>
      <c r="AU98" s="162">
        <f t="shared" si="113"/>
        <v>3.3988307275311831</v>
      </c>
      <c r="AV98" s="171">
        <f t="shared" si="152"/>
        <v>3.3988307275311831</v>
      </c>
      <c r="AW98" s="162"/>
      <c r="AX98" s="162">
        <f t="shared" si="153"/>
        <v>1.8000000000000012</v>
      </c>
      <c r="AY98" s="170">
        <f t="shared" si="154"/>
        <v>1.8000000000000012</v>
      </c>
      <c r="AZ98" s="162">
        <f t="shared" si="114"/>
        <v>3.3988307275311831</v>
      </c>
      <c r="BA98" s="171">
        <f t="shared" si="155"/>
        <v>3.3988307275311831</v>
      </c>
      <c r="BB98" s="162"/>
      <c r="BC98" s="162">
        <f t="shared" si="156"/>
        <v>1.8000000000000012</v>
      </c>
      <c r="BD98" s="162">
        <f t="shared" si="157"/>
        <v>1.8000000000000012</v>
      </c>
      <c r="BE98" s="162">
        <f t="shared" si="115"/>
        <v>3.3988307275311831</v>
      </c>
      <c r="BF98" s="171">
        <f t="shared" si="158"/>
        <v>3.3988307275311831</v>
      </c>
      <c r="BG98" s="162"/>
      <c r="BH98" s="162">
        <f t="shared" si="159"/>
        <v>1.8000000000000012</v>
      </c>
      <c r="BI98" s="170">
        <f t="shared" si="160"/>
        <v>1.8000000000000012</v>
      </c>
      <c r="BJ98" s="162">
        <f t="shared" si="116"/>
        <v>3.3988307275311831</v>
      </c>
      <c r="BK98" s="171">
        <f t="shared" si="161"/>
        <v>3.3988307275311831</v>
      </c>
      <c r="BL98" s="162"/>
      <c r="BM98" s="162">
        <f t="shared" si="162"/>
        <v>1.8000000000000012</v>
      </c>
      <c r="BN98" s="170">
        <f t="shared" si="163"/>
        <v>1.8000000000000012</v>
      </c>
      <c r="BO98" s="162">
        <f t="shared" si="117"/>
        <v>3.3988307275311831</v>
      </c>
      <c r="BP98" s="171">
        <f t="shared" si="164"/>
        <v>3.3988307275311831</v>
      </c>
      <c r="BQ98" s="162"/>
      <c r="BR98" s="162">
        <f t="shared" si="165"/>
        <v>1.8000000000000012</v>
      </c>
      <c r="BS98" s="162">
        <f t="shared" si="166"/>
        <v>1.8000000000000012</v>
      </c>
      <c r="BT98" s="162">
        <f t="shared" si="118"/>
        <v>3.3988307275311831</v>
      </c>
      <c r="BU98" s="171">
        <f t="shared" si="167"/>
        <v>3.3988307275311831</v>
      </c>
      <c r="BV98" s="162"/>
      <c r="BW98" s="162">
        <f t="shared" si="168"/>
        <v>1.8000000000000012</v>
      </c>
      <c r="BX98" s="170">
        <f t="shared" si="169"/>
        <v>1.8000000000000012</v>
      </c>
      <c r="BY98" s="162">
        <f t="shared" si="119"/>
        <v>3.3988307275311831</v>
      </c>
      <c r="BZ98" s="171">
        <f t="shared" si="170"/>
        <v>3.3988307275311831</v>
      </c>
      <c r="CA98" s="162"/>
      <c r="CB98" s="162">
        <f t="shared" si="171"/>
        <v>1.8000000000000012</v>
      </c>
      <c r="CC98" s="170">
        <f t="shared" si="172"/>
        <v>1.8000000000000012</v>
      </c>
      <c r="CD98" s="162">
        <f t="shared" si="120"/>
        <v>3.3988307275311831</v>
      </c>
      <c r="CE98" s="171">
        <f t="shared" si="173"/>
        <v>3.3988307275311831</v>
      </c>
      <c r="CF98" s="162"/>
      <c r="CG98" s="172">
        <f t="shared" si="174"/>
        <v>1.8000000000000012</v>
      </c>
      <c r="CH98" s="172">
        <f t="shared" si="175"/>
        <v>1.8000000000000012</v>
      </c>
      <c r="CI98" s="172">
        <f t="shared" si="121"/>
        <v>3.3988307275311831</v>
      </c>
      <c r="CJ98" s="171">
        <f t="shared" si="176"/>
        <v>3.3988307275311831</v>
      </c>
      <c r="CK98" s="172"/>
      <c r="CL98" s="162">
        <f t="shared" si="177"/>
        <v>1.8000000000000012</v>
      </c>
      <c r="CM98" s="170">
        <f t="shared" si="178"/>
        <v>1.8000000000000012</v>
      </c>
      <c r="CN98" s="162">
        <f t="shared" si="122"/>
        <v>3.3988307275311831</v>
      </c>
      <c r="CO98" s="171">
        <f t="shared" si="179"/>
        <v>3.3988307275311831</v>
      </c>
      <c r="CP98" s="162"/>
      <c r="CQ98" s="162">
        <f t="shared" si="180"/>
        <v>1.8000000000000012</v>
      </c>
      <c r="CR98" s="170">
        <f t="shared" si="181"/>
        <v>1.8000000000000012</v>
      </c>
      <c r="CS98" s="162">
        <f t="shared" si="123"/>
        <v>3.3988307275311831</v>
      </c>
      <c r="CT98" s="171">
        <f t="shared" si="182"/>
        <v>3.3988307275311831</v>
      </c>
      <c r="CU98" s="162"/>
      <c r="CV98" s="162">
        <f t="shared" si="183"/>
        <v>1.8000000000000012</v>
      </c>
      <c r="CW98" s="162">
        <f t="shared" si="184"/>
        <v>1.8000000000000012</v>
      </c>
      <c r="CX98" s="162">
        <f t="shared" si="124"/>
        <v>3.3988307275311831</v>
      </c>
      <c r="CY98" s="171">
        <f t="shared" si="185"/>
        <v>3.3988307275311831</v>
      </c>
      <c r="CZ98" s="162"/>
      <c r="DA98" s="162">
        <f t="shared" si="186"/>
        <v>1.8000000000000012</v>
      </c>
      <c r="DB98" s="170">
        <f t="shared" si="187"/>
        <v>1.8000000000000012</v>
      </c>
      <c r="DC98" s="162">
        <f t="shared" si="125"/>
        <v>3.3988307275311831</v>
      </c>
      <c r="DD98" s="171">
        <f t="shared" si="188"/>
        <v>3.3988307275311831</v>
      </c>
      <c r="DE98" s="162"/>
      <c r="DF98" s="162">
        <f t="shared" si="189"/>
        <v>1.8000000000000012</v>
      </c>
      <c r="DG98" s="170">
        <f t="shared" si="190"/>
        <v>1.8000000000000012</v>
      </c>
      <c r="DH98" s="162">
        <f t="shared" si="126"/>
        <v>3.3988307275311831</v>
      </c>
      <c r="DI98" s="171">
        <f t="shared" si="191"/>
        <v>3.3988307275311831</v>
      </c>
      <c r="DJ98" s="162"/>
      <c r="DK98" s="162">
        <f t="shared" si="192"/>
        <v>1.8000000000000012</v>
      </c>
      <c r="DL98" s="162">
        <f t="shared" si="193"/>
        <v>1.8000000000000012</v>
      </c>
      <c r="DM98" s="162">
        <f t="shared" si="127"/>
        <v>3.3988307275311831</v>
      </c>
      <c r="DN98" s="171">
        <f t="shared" si="194"/>
        <v>3.3988307275311831</v>
      </c>
      <c r="DO98" s="162"/>
      <c r="DP98" s="162">
        <f t="shared" si="195"/>
        <v>1.8000000000000012</v>
      </c>
      <c r="DQ98" s="170">
        <f t="shared" si="196"/>
        <v>1.8000000000000012</v>
      </c>
      <c r="DR98" s="162">
        <f t="shared" si="128"/>
        <v>3.3988307275311831</v>
      </c>
      <c r="DS98" s="171">
        <f t="shared" si="197"/>
        <v>3.3988307275311831</v>
      </c>
      <c r="DT98" s="162"/>
      <c r="DU98" s="162">
        <f t="shared" si="198"/>
        <v>1.8000000000000012</v>
      </c>
      <c r="DV98" s="170">
        <f t="shared" si="199"/>
        <v>1.8000000000000012</v>
      </c>
      <c r="DW98" s="162">
        <f t="shared" si="129"/>
        <v>3.3988307275311831</v>
      </c>
      <c r="DX98" s="171">
        <f t="shared" si="200"/>
        <v>3.3988307275311831</v>
      </c>
      <c r="DY98" s="162"/>
      <c r="DZ98" s="162">
        <f t="shared" si="201"/>
        <v>1.8000000000000012</v>
      </c>
      <c r="EA98" s="162">
        <f t="shared" si="202"/>
        <v>1.8000000000000012</v>
      </c>
      <c r="EB98" s="162">
        <f t="shared" si="130"/>
        <v>3.3988307275311831</v>
      </c>
      <c r="EC98" s="171">
        <f t="shared" si="203"/>
        <v>3.3988307275311831</v>
      </c>
      <c r="ED98" s="162"/>
      <c r="EE98" s="162">
        <f t="shared" si="204"/>
        <v>1.8000000000000012</v>
      </c>
      <c r="EF98" s="170">
        <f t="shared" si="205"/>
        <v>1.8000000000000012</v>
      </c>
      <c r="EG98" s="162">
        <f t="shared" si="131"/>
        <v>3.3988307275311831</v>
      </c>
      <c r="EH98" s="171">
        <f t="shared" si="206"/>
        <v>3.3988307275311831</v>
      </c>
      <c r="EI98" s="162"/>
      <c r="EJ98" s="162">
        <f t="shared" si="207"/>
        <v>1.8000000000000012</v>
      </c>
      <c r="EK98" s="170">
        <f t="shared" si="208"/>
        <v>1.8000000000000012</v>
      </c>
      <c r="EL98" s="162">
        <f t="shared" si="132"/>
        <v>3.3988307275311831</v>
      </c>
      <c r="EM98" s="171">
        <f t="shared" si="209"/>
        <v>3.3988307275311831</v>
      </c>
      <c r="EN98" s="162"/>
      <c r="EO98" s="162">
        <f t="shared" si="210"/>
        <v>1.8000000000000012</v>
      </c>
      <c r="EP98" s="162">
        <f t="shared" si="211"/>
        <v>1.8000000000000012</v>
      </c>
      <c r="EQ98" s="162">
        <f t="shared" si="133"/>
        <v>3.3988307275311831</v>
      </c>
      <c r="ER98" s="171">
        <f t="shared" si="212"/>
        <v>3.3988307275311831</v>
      </c>
      <c r="ES98" s="162"/>
      <c r="ET98" s="162">
        <f t="shared" si="213"/>
        <v>1.8000000000000012</v>
      </c>
      <c r="EU98" s="170">
        <f t="shared" si="214"/>
        <v>1.8000000000000012</v>
      </c>
      <c r="EV98" s="162">
        <f t="shared" si="134"/>
        <v>3.3988307275311831</v>
      </c>
      <c r="EW98" s="171">
        <f t="shared" si="215"/>
        <v>3.3988307275311831</v>
      </c>
      <c r="EX98" s="162"/>
    </row>
    <row r="99" spans="20:154" s="181" customFormat="1" x14ac:dyDescent="0.25">
      <c r="T99" s="162">
        <f t="shared" si="135"/>
        <v>1.8200000000000012</v>
      </c>
      <c r="U99" s="170">
        <f t="shared" si="136"/>
        <v>1.8200000000000012</v>
      </c>
      <c r="V99" s="162">
        <f t="shared" si="108"/>
        <v>3.3111359620533767</v>
      </c>
      <c r="W99" s="171">
        <f t="shared" si="137"/>
        <v>3.3111359620533767</v>
      </c>
      <c r="X99" s="162"/>
      <c r="Y99" s="162">
        <f t="shared" si="138"/>
        <v>1.8200000000000012</v>
      </c>
      <c r="Z99" s="162">
        <f t="shared" si="139"/>
        <v>1.8200000000000012</v>
      </c>
      <c r="AA99" s="162">
        <f t="shared" si="109"/>
        <v>3.3111359620533767</v>
      </c>
      <c r="AB99" s="171">
        <f t="shared" si="140"/>
        <v>3.3111359620533767</v>
      </c>
      <c r="AC99" s="162"/>
      <c r="AD99" s="162">
        <f t="shared" si="141"/>
        <v>1.8200000000000012</v>
      </c>
      <c r="AE99" s="170">
        <f t="shared" si="142"/>
        <v>1.8200000000000012</v>
      </c>
      <c r="AF99" s="162">
        <f t="shared" si="110"/>
        <v>3.3111359620533767</v>
      </c>
      <c r="AG99" s="171">
        <f t="shared" si="143"/>
        <v>3.3111359620533767</v>
      </c>
      <c r="AH99" s="162"/>
      <c r="AI99" s="162">
        <f t="shared" si="144"/>
        <v>1.8200000000000012</v>
      </c>
      <c r="AJ99" s="170">
        <f t="shared" si="145"/>
        <v>1.8200000000000012</v>
      </c>
      <c r="AK99" s="162">
        <f t="shared" si="111"/>
        <v>3.3111359620533767</v>
      </c>
      <c r="AL99" s="171">
        <f t="shared" si="146"/>
        <v>3.3111359620533767</v>
      </c>
      <c r="AM99" s="162"/>
      <c r="AN99" s="162">
        <f t="shared" si="147"/>
        <v>1.8200000000000012</v>
      </c>
      <c r="AO99" s="162">
        <f t="shared" si="148"/>
        <v>1.8200000000000012</v>
      </c>
      <c r="AP99" s="162">
        <f t="shared" si="112"/>
        <v>3.3111359620533767</v>
      </c>
      <c r="AQ99" s="171">
        <f t="shared" si="149"/>
        <v>3.3111359620533767</v>
      </c>
      <c r="AR99" s="162"/>
      <c r="AS99" s="162">
        <f t="shared" si="150"/>
        <v>1.8200000000000012</v>
      </c>
      <c r="AT99" s="170">
        <f t="shared" si="151"/>
        <v>1.8200000000000012</v>
      </c>
      <c r="AU99" s="162">
        <f t="shared" si="113"/>
        <v>3.3111359620533767</v>
      </c>
      <c r="AV99" s="171">
        <f t="shared" si="152"/>
        <v>3.3111359620533767</v>
      </c>
      <c r="AW99" s="162"/>
      <c r="AX99" s="162">
        <f t="shared" si="153"/>
        <v>1.8200000000000012</v>
      </c>
      <c r="AY99" s="170">
        <f t="shared" si="154"/>
        <v>1.8200000000000012</v>
      </c>
      <c r="AZ99" s="162">
        <f t="shared" si="114"/>
        <v>3.3111359620533767</v>
      </c>
      <c r="BA99" s="171">
        <f t="shared" si="155"/>
        <v>3.3111359620533767</v>
      </c>
      <c r="BB99" s="162"/>
      <c r="BC99" s="162">
        <f t="shared" si="156"/>
        <v>1.8200000000000012</v>
      </c>
      <c r="BD99" s="162">
        <f t="shared" si="157"/>
        <v>1.8200000000000012</v>
      </c>
      <c r="BE99" s="162">
        <f t="shared" si="115"/>
        <v>3.3111359620533767</v>
      </c>
      <c r="BF99" s="171">
        <f t="shared" si="158"/>
        <v>3.3111359620533767</v>
      </c>
      <c r="BG99" s="162"/>
      <c r="BH99" s="162">
        <f t="shared" si="159"/>
        <v>1.8200000000000012</v>
      </c>
      <c r="BI99" s="170">
        <f t="shared" si="160"/>
        <v>1.8200000000000012</v>
      </c>
      <c r="BJ99" s="162">
        <f t="shared" si="116"/>
        <v>3.3111359620533767</v>
      </c>
      <c r="BK99" s="171">
        <f t="shared" si="161"/>
        <v>3.3111359620533767</v>
      </c>
      <c r="BL99" s="162"/>
      <c r="BM99" s="162">
        <f t="shared" si="162"/>
        <v>1.8200000000000012</v>
      </c>
      <c r="BN99" s="170">
        <f t="shared" si="163"/>
        <v>1.8200000000000012</v>
      </c>
      <c r="BO99" s="162">
        <f t="shared" si="117"/>
        <v>3.3111359620533767</v>
      </c>
      <c r="BP99" s="171">
        <f t="shared" si="164"/>
        <v>3.3111359620533767</v>
      </c>
      <c r="BQ99" s="162"/>
      <c r="BR99" s="162">
        <f t="shared" si="165"/>
        <v>1.8200000000000012</v>
      </c>
      <c r="BS99" s="162">
        <f t="shared" si="166"/>
        <v>1.8200000000000012</v>
      </c>
      <c r="BT99" s="162">
        <f t="shared" si="118"/>
        <v>3.3111359620533767</v>
      </c>
      <c r="BU99" s="171">
        <f t="shared" si="167"/>
        <v>3.3111359620533767</v>
      </c>
      <c r="BV99" s="162"/>
      <c r="BW99" s="162">
        <f t="shared" si="168"/>
        <v>1.8200000000000012</v>
      </c>
      <c r="BX99" s="170">
        <f t="shared" si="169"/>
        <v>1.8200000000000012</v>
      </c>
      <c r="BY99" s="162">
        <f t="shared" si="119"/>
        <v>3.3111359620533767</v>
      </c>
      <c r="BZ99" s="171">
        <f t="shared" si="170"/>
        <v>3.3111359620533767</v>
      </c>
      <c r="CA99" s="162"/>
      <c r="CB99" s="162">
        <f t="shared" si="171"/>
        <v>1.8200000000000012</v>
      </c>
      <c r="CC99" s="170">
        <f t="shared" si="172"/>
        <v>1.8200000000000012</v>
      </c>
      <c r="CD99" s="162">
        <f t="shared" si="120"/>
        <v>3.3111359620533767</v>
      </c>
      <c r="CE99" s="171">
        <f t="shared" si="173"/>
        <v>3.3111359620533767</v>
      </c>
      <c r="CF99" s="162"/>
      <c r="CG99" s="172">
        <f t="shared" si="174"/>
        <v>1.8200000000000012</v>
      </c>
      <c r="CH99" s="172">
        <f t="shared" si="175"/>
        <v>1.8200000000000012</v>
      </c>
      <c r="CI99" s="172">
        <f t="shared" si="121"/>
        <v>3.3111359620533767</v>
      </c>
      <c r="CJ99" s="171">
        <f t="shared" si="176"/>
        <v>3.3111359620533767</v>
      </c>
      <c r="CK99" s="172"/>
      <c r="CL99" s="162">
        <f t="shared" si="177"/>
        <v>1.8200000000000012</v>
      </c>
      <c r="CM99" s="170">
        <f t="shared" si="178"/>
        <v>1.8200000000000012</v>
      </c>
      <c r="CN99" s="162">
        <f t="shared" si="122"/>
        <v>3.3111359620533767</v>
      </c>
      <c r="CO99" s="171">
        <f t="shared" si="179"/>
        <v>3.3111359620533767</v>
      </c>
      <c r="CP99" s="162"/>
      <c r="CQ99" s="162">
        <f t="shared" si="180"/>
        <v>1.8200000000000012</v>
      </c>
      <c r="CR99" s="170">
        <f t="shared" si="181"/>
        <v>1.8200000000000012</v>
      </c>
      <c r="CS99" s="162">
        <f t="shared" si="123"/>
        <v>3.3111359620533767</v>
      </c>
      <c r="CT99" s="171">
        <f t="shared" si="182"/>
        <v>3.3111359620533767</v>
      </c>
      <c r="CU99" s="162"/>
      <c r="CV99" s="162">
        <f t="shared" si="183"/>
        <v>1.8200000000000012</v>
      </c>
      <c r="CW99" s="162">
        <f t="shared" si="184"/>
        <v>1.8200000000000012</v>
      </c>
      <c r="CX99" s="162">
        <f t="shared" si="124"/>
        <v>3.3111359620533767</v>
      </c>
      <c r="CY99" s="171">
        <f t="shared" si="185"/>
        <v>3.3111359620533767</v>
      </c>
      <c r="CZ99" s="162"/>
      <c r="DA99" s="162">
        <f t="shared" si="186"/>
        <v>1.8200000000000012</v>
      </c>
      <c r="DB99" s="170">
        <f t="shared" si="187"/>
        <v>1.8200000000000012</v>
      </c>
      <c r="DC99" s="162">
        <f t="shared" si="125"/>
        <v>3.3111359620533767</v>
      </c>
      <c r="DD99" s="171">
        <f t="shared" si="188"/>
        <v>3.3111359620533767</v>
      </c>
      <c r="DE99" s="162"/>
      <c r="DF99" s="162">
        <f t="shared" si="189"/>
        <v>1.8200000000000012</v>
      </c>
      <c r="DG99" s="170">
        <f t="shared" si="190"/>
        <v>1.8200000000000012</v>
      </c>
      <c r="DH99" s="162">
        <f t="shared" si="126"/>
        <v>3.3111359620533767</v>
      </c>
      <c r="DI99" s="171">
        <f t="shared" si="191"/>
        <v>3.3111359620533767</v>
      </c>
      <c r="DJ99" s="162"/>
      <c r="DK99" s="162">
        <f t="shared" si="192"/>
        <v>1.8200000000000012</v>
      </c>
      <c r="DL99" s="162">
        <f t="shared" si="193"/>
        <v>1.8200000000000012</v>
      </c>
      <c r="DM99" s="162">
        <f t="shared" si="127"/>
        <v>3.3111359620533767</v>
      </c>
      <c r="DN99" s="171">
        <f t="shared" si="194"/>
        <v>3.3111359620533767</v>
      </c>
      <c r="DO99" s="162"/>
      <c r="DP99" s="162">
        <f t="shared" si="195"/>
        <v>1.8200000000000012</v>
      </c>
      <c r="DQ99" s="170">
        <f t="shared" si="196"/>
        <v>1.8200000000000012</v>
      </c>
      <c r="DR99" s="162">
        <f t="shared" si="128"/>
        <v>3.3111359620533767</v>
      </c>
      <c r="DS99" s="171">
        <f t="shared" si="197"/>
        <v>3.3111359620533767</v>
      </c>
      <c r="DT99" s="162"/>
      <c r="DU99" s="162">
        <f t="shared" si="198"/>
        <v>1.8200000000000012</v>
      </c>
      <c r="DV99" s="170">
        <f t="shared" si="199"/>
        <v>1.8200000000000012</v>
      </c>
      <c r="DW99" s="162">
        <f t="shared" si="129"/>
        <v>3.3111359620533767</v>
      </c>
      <c r="DX99" s="171">
        <f t="shared" si="200"/>
        <v>3.3111359620533767</v>
      </c>
      <c r="DY99" s="162"/>
      <c r="DZ99" s="162">
        <f t="shared" si="201"/>
        <v>1.8200000000000012</v>
      </c>
      <c r="EA99" s="162">
        <f t="shared" si="202"/>
        <v>1.8200000000000012</v>
      </c>
      <c r="EB99" s="162">
        <f t="shared" si="130"/>
        <v>3.3111359620533767</v>
      </c>
      <c r="EC99" s="171">
        <f t="shared" si="203"/>
        <v>3.3111359620533767</v>
      </c>
      <c r="ED99" s="162"/>
      <c r="EE99" s="162">
        <f t="shared" si="204"/>
        <v>1.8200000000000012</v>
      </c>
      <c r="EF99" s="170">
        <f t="shared" si="205"/>
        <v>1.8200000000000012</v>
      </c>
      <c r="EG99" s="162">
        <f t="shared" si="131"/>
        <v>3.3111359620533767</v>
      </c>
      <c r="EH99" s="171">
        <f t="shared" si="206"/>
        <v>3.3111359620533767</v>
      </c>
      <c r="EI99" s="162"/>
      <c r="EJ99" s="162">
        <f t="shared" si="207"/>
        <v>1.8200000000000012</v>
      </c>
      <c r="EK99" s="170">
        <f t="shared" si="208"/>
        <v>1.8200000000000012</v>
      </c>
      <c r="EL99" s="162">
        <f t="shared" si="132"/>
        <v>3.3111359620533767</v>
      </c>
      <c r="EM99" s="171">
        <f t="shared" si="209"/>
        <v>3.3111359620533767</v>
      </c>
      <c r="EN99" s="162"/>
      <c r="EO99" s="162">
        <f t="shared" si="210"/>
        <v>1.8200000000000012</v>
      </c>
      <c r="EP99" s="162">
        <f t="shared" si="211"/>
        <v>1.8200000000000012</v>
      </c>
      <c r="EQ99" s="162">
        <f t="shared" si="133"/>
        <v>3.3111359620533767</v>
      </c>
      <c r="ER99" s="171">
        <f t="shared" si="212"/>
        <v>3.3111359620533767</v>
      </c>
      <c r="ES99" s="162"/>
      <c r="ET99" s="162">
        <f t="shared" si="213"/>
        <v>1.8200000000000012</v>
      </c>
      <c r="EU99" s="170">
        <f t="shared" si="214"/>
        <v>1.8200000000000012</v>
      </c>
      <c r="EV99" s="162">
        <f t="shared" si="134"/>
        <v>3.3111359620533767</v>
      </c>
      <c r="EW99" s="171">
        <f t="shared" si="215"/>
        <v>3.3111359620533767</v>
      </c>
      <c r="EX99" s="162"/>
    </row>
    <row r="100" spans="20:154" s="181" customFormat="1" x14ac:dyDescent="0.25">
      <c r="T100" s="162">
        <f t="shared" si="135"/>
        <v>1.8400000000000012</v>
      </c>
      <c r="U100" s="170">
        <f t="shared" si="136"/>
        <v>1.8400000000000012</v>
      </c>
      <c r="V100" s="162">
        <f t="shared" si="108"/>
        <v>3.2207326838477224</v>
      </c>
      <c r="W100" s="171">
        <f t="shared" si="137"/>
        <v>3.2207326838477224</v>
      </c>
      <c r="X100" s="162"/>
      <c r="Y100" s="162">
        <f t="shared" si="138"/>
        <v>1.8400000000000012</v>
      </c>
      <c r="Z100" s="162">
        <f t="shared" si="139"/>
        <v>1.8400000000000012</v>
      </c>
      <c r="AA100" s="162">
        <f t="shared" si="109"/>
        <v>3.2207326838477224</v>
      </c>
      <c r="AB100" s="171">
        <f t="shared" si="140"/>
        <v>3.2207326838477224</v>
      </c>
      <c r="AC100" s="162"/>
      <c r="AD100" s="162">
        <f t="shared" si="141"/>
        <v>1.8400000000000012</v>
      </c>
      <c r="AE100" s="170">
        <f t="shared" si="142"/>
        <v>1.8400000000000012</v>
      </c>
      <c r="AF100" s="162">
        <f t="shared" si="110"/>
        <v>3.2207326838477224</v>
      </c>
      <c r="AG100" s="171">
        <f t="shared" si="143"/>
        <v>3.2207326838477224</v>
      </c>
      <c r="AH100" s="162"/>
      <c r="AI100" s="162">
        <f t="shared" si="144"/>
        <v>1.8400000000000012</v>
      </c>
      <c r="AJ100" s="170">
        <f t="shared" si="145"/>
        <v>1.8400000000000012</v>
      </c>
      <c r="AK100" s="162">
        <f t="shared" si="111"/>
        <v>3.2207326838477224</v>
      </c>
      <c r="AL100" s="171">
        <f t="shared" si="146"/>
        <v>3.2207326838477224</v>
      </c>
      <c r="AM100" s="162"/>
      <c r="AN100" s="162">
        <f t="shared" si="147"/>
        <v>1.8400000000000012</v>
      </c>
      <c r="AO100" s="162">
        <f t="shared" si="148"/>
        <v>1.8400000000000012</v>
      </c>
      <c r="AP100" s="162">
        <f t="shared" si="112"/>
        <v>3.2207326838477224</v>
      </c>
      <c r="AQ100" s="171">
        <f t="shared" si="149"/>
        <v>3.2207326838477224</v>
      </c>
      <c r="AR100" s="162"/>
      <c r="AS100" s="162">
        <f t="shared" si="150"/>
        <v>1.8400000000000012</v>
      </c>
      <c r="AT100" s="170">
        <f t="shared" si="151"/>
        <v>1.8400000000000012</v>
      </c>
      <c r="AU100" s="162">
        <f t="shared" si="113"/>
        <v>3.2207326838477224</v>
      </c>
      <c r="AV100" s="171">
        <f t="shared" si="152"/>
        <v>3.2207326838477224</v>
      </c>
      <c r="AW100" s="162"/>
      <c r="AX100" s="162">
        <f t="shared" si="153"/>
        <v>1.8400000000000012</v>
      </c>
      <c r="AY100" s="170">
        <f t="shared" si="154"/>
        <v>1.8400000000000012</v>
      </c>
      <c r="AZ100" s="162">
        <f t="shared" si="114"/>
        <v>3.2207326838477224</v>
      </c>
      <c r="BA100" s="171">
        <f t="shared" si="155"/>
        <v>3.2207326838477224</v>
      </c>
      <c r="BB100" s="162"/>
      <c r="BC100" s="162">
        <f t="shared" si="156"/>
        <v>1.8400000000000012</v>
      </c>
      <c r="BD100" s="162">
        <f t="shared" si="157"/>
        <v>1.8400000000000012</v>
      </c>
      <c r="BE100" s="162">
        <f t="shared" si="115"/>
        <v>3.2207326838477224</v>
      </c>
      <c r="BF100" s="171">
        <f t="shared" si="158"/>
        <v>3.2207326838477224</v>
      </c>
      <c r="BG100" s="162"/>
      <c r="BH100" s="162">
        <f t="shared" si="159"/>
        <v>1.8400000000000012</v>
      </c>
      <c r="BI100" s="170">
        <f t="shared" si="160"/>
        <v>1.8400000000000012</v>
      </c>
      <c r="BJ100" s="162">
        <f t="shared" si="116"/>
        <v>3.2207326838477224</v>
      </c>
      <c r="BK100" s="171">
        <f t="shared" si="161"/>
        <v>3.2207326838477224</v>
      </c>
      <c r="BL100" s="162"/>
      <c r="BM100" s="162">
        <f t="shared" si="162"/>
        <v>1.8400000000000012</v>
      </c>
      <c r="BN100" s="170">
        <f t="shared" si="163"/>
        <v>1.8400000000000012</v>
      </c>
      <c r="BO100" s="162">
        <f t="shared" si="117"/>
        <v>3.2207326838477224</v>
      </c>
      <c r="BP100" s="171">
        <f t="shared" si="164"/>
        <v>3.2207326838477224</v>
      </c>
      <c r="BQ100" s="162"/>
      <c r="BR100" s="162">
        <f t="shared" si="165"/>
        <v>1.8400000000000012</v>
      </c>
      <c r="BS100" s="162">
        <f t="shared" si="166"/>
        <v>1.8400000000000012</v>
      </c>
      <c r="BT100" s="162">
        <f t="shared" si="118"/>
        <v>3.2207326838477224</v>
      </c>
      <c r="BU100" s="171">
        <f t="shared" si="167"/>
        <v>3.2207326838477224</v>
      </c>
      <c r="BV100" s="162"/>
      <c r="BW100" s="162">
        <f t="shared" si="168"/>
        <v>1.8400000000000012</v>
      </c>
      <c r="BX100" s="170">
        <f t="shared" si="169"/>
        <v>1.8400000000000012</v>
      </c>
      <c r="BY100" s="162">
        <f t="shared" si="119"/>
        <v>3.2207326838477224</v>
      </c>
      <c r="BZ100" s="171">
        <f t="shared" si="170"/>
        <v>3.2207326838477224</v>
      </c>
      <c r="CA100" s="162"/>
      <c r="CB100" s="162">
        <f t="shared" si="171"/>
        <v>1.8400000000000012</v>
      </c>
      <c r="CC100" s="170">
        <f t="shared" si="172"/>
        <v>1.8400000000000012</v>
      </c>
      <c r="CD100" s="162">
        <f t="shared" si="120"/>
        <v>3.2207326838477224</v>
      </c>
      <c r="CE100" s="171">
        <f t="shared" si="173"/>
        <v>3.2207326838477224</v>
      </c>
      <c r="CF100" s="162"/>
      <c r="CG100" s="172">
        <f t="shared" si="174"/>
        <v>1.8400000000000012</v>
      </c>
      <c r="CH100" s="172">
        <f t="shared" si="175"/>
        <v>1.8400000000000012</v>
      </c>
      <c r="CI100" s="172">
        <f t="shared" si="121"/>
        <v>3.2207326838477224</v>
      </c>
      <c r="CJ100" s="171">
        <f t="shared" si="176"/>
        <v>3.2207326838477224</v>
      </c>
      <c r="CK100" s="172"/>
      <c r="CL100" s="162">
        <f t="shared" si="177"/>
        <v>1.8400000000000012</v>
      </c>
      <c r="CM100" s="170">
        <f t="shared" si="178"/>
        <v>1.8400000000000012</v>
      </c>
      <c r="CN100" s="162">
        <f t="shared" si="122"/>
        <v>3.2207326838477224</v>
      </c>
      <c r="CO100" s="171">
        <f t="shared" si="179"/>
        <v>3.2207326838477224</v>
      </c>
      <c r="CP100" s="162"/>
      <c r="CQ100" s="162">
        <f t="shared" si="180"/>
        <v>1.8400000000000012</v>
      </c>
      <c r="CR100" s="170">
        <f t="shared" si="181"/>
        <v>1.8400000000000012</v>
      </c>
      <c r="CS100" s="162">
        <f t="shared" si="123"/>
        <v>3.2207326838477224</v>
      </c>
      <c r="CT100" s="171">
        <f t="shared" si="182"/>
        <v>3.2207326838477224</v>
      </c>
      <c r="CU100" s="162"/>
      <c r="CV100" s="162">
        <f t="shared" si="183"/>
        <v>1.8400000000000012</v>
      </c>
      <c r="CW100" s="162">
        <f t="shared" si="184"/>
        <v>1.8400000000000012</v>
      </c>
      <c r="CX100" s="162">
        <f t="shared" si="124"/>
        <v>3.2207326838477224</v>
      </c>
      <c r="CY100" s="171">
        <f t="shared" si="185"/>
        <v>3.2207326838477224</v>
      </c>
      <c r="CZ100" s="162"/>
      <c r="DA100" s="162">
        <f t="shared" si="186"/>
        <v>1.8400000000000012</v>
      </c>
      <c r="DB100" s="170">
        <f t="shared" si="187"/>
        <v>1.8400000000000012</v>
      </c>
      <c r="DC100" s="162">
        <f t="shared" si="125"/>
        <v>3.2207326838477224</v>
      </c>
      <c r="DD100" s="171">
        <f t="shared" si="188"/>
        <v>3.2207326838477224</v>
      </c>
      <c r="DE100" s="162"/>
      <c r="DF100" s="162">
        <f t="shared" si="189"/>
        <v>1.8400000000000012</v>
      </c>
      <c r="DG100" s="170">
        <f t="shared" si="190"/>
        <v>1.8400000000000012</v>
      </c>
      <c r="DH100" s="162">
        <f t="shared" si="126"/>
        <v>3.2207326838477224</v>
      </c>
      <c r="DI100" s="171">
        <f t="shared" si="191"/>
        <v>3.2207326838477224</v>
      </c>
      <c r="DJ100" s="162"/>
      <c r="DK100" s="162">
        <f t="shared" si="192"/>
        <v>1.8400000000000012</v>
      </c>
      <c r="DL100" s="162">
        <f t="shared" si="193"/>
        <v>1.8400000000000012</v>
      </c>
      <c r="DM100" s="162">
        <f t="shared" si="127"/>
        <v>3.2207326838477224</v>
      </c>
      <c r="DN100" s="171">
        <f t="shared" si="194"/>
        <v>3.2207326838477224</v>
      </c>
      <c r="DO100" s="162"/>
      <c r="DP100" s="162">
        <f t="shared" si="195"/>
        <v>1.8400000000000012</v>
      </c>
      <c r="DQ100" s="170">
        <f t="shared" si="196"/>
        <v>1.8400000000000012</v>
      </c>
      <c r="DR100" s="162">
        <f t="shared" si="128"/>
        <v>3.2207326838477224</v>
      </c>
      <c r="DS100" s="171">
        <f t="shared" si="197"/>
        <v>3.2207326838477224</v>
      </c>
      <c r="DT100" s="162"/>
      <c r="DU100" s="162">
        <f t="shared" si="198"/>
        <v>1.8400000000000012</v>
      </c>
      <c r="DV100" s="170">
        <f t="shared" si="199"/>
        <v>1.8400000000000012</v>
      </c>
      <c r="DW100" s="162">
        <f t="shared" si="129"/>
        <v>3.2207326838477224</v>
      </c>
      <c r="DX100" s="171">
        <f t="shared" si="200"/>
        <v>3.2207326838477224</v>
      </c>
      <c r="DY100" s="162"/>
      <c r="DZ100" s="162">
        <f t="shared" si="201"/>
        <v>1.8400000000000012</v>
      </c>
      <c r="EA100" s="162">
        <f t="shared" si="202"/>
        <v>1.8400000000000012</v>
      </c>
      <c r="EB100" s="162">
        <f t="shared" si="130"/>
        <v>3.2207326838477224</v>
      </c>
      <c r="EC100" s="171">
        <f t="shared" si="203"/>
        <v>3.2207326838477224</v>
      </c>
      <c r="ED100" s="162"/>
      <c r="EE100" s="162">
        <f t="shared" si="204"/>
        <v>1.8400000000000012</v>
      </c>
      <c r="EF100" s="170">
        <f t="shared" si="205"/>
        <v>1.8400000000000012</v>
      </c>
      <c r="EG100" s="162">
        <f t="shared" si="131"/>
        <v>3.2207326838477224</v>
      </c>
      <c r="EH100" s="171">
        <f t="shared" si="206"/>
        <v>3.2207326838477224</v>
      </c>
      <c r="EI100" s="162"/>
      <c r="EJ100" s="162">
        <f t="shared" si="207"/>
        <v>1.8400000000000012</v>
      </c>
      <c r="EK100" s="170">
        <f t="shared" si="208"/>
        <v>1.8400000000000012</v>
      </c>
      <c r="EL100" s="162">
        <f t="shared" si="132"/>
        <v>3.2207326838477224</v>
      </c>
      <c r="EM100" s="171">
        <f t="shared" si="209"/>
        <v>3.2207326838477224</v>
      </c>
      <c r="EN100" s="162"/>
      <c r="EO100" s="162">
        <f t="shared" si="210"/>
        <v>1.8400000000000012</v>
      </c>
      <c r="EP100" s="162">
        <f t="shared" si="211"/>
        <v>1.8400000000000012</v>
      </c>
      <c r="EQ100" s="162">
        <f t="shared" si="133"/>
        <v>3.2207326838477224</v>
      </c>
      <c r="ER100" s="171">
        <f t="shared" si="212"/>
        <v>3.2207326838477224</v>
      </c>
      <c r="ES100" s="162"/>
      <c r="ET100" s="162">
        <f t="shared" si="213"/>
        <v>1.8400000000000012</v>
      </c>
      <c r="EU100" s="170">
        <f t="shared" si="214"/>
        <v>1.8400000000000012</v>
      </c>
      <c r="EV100" s="162">
        <f t="shared" si="134"/>
        <v>3.2207326838477224</v>
      </c>
      <c r="EW100" s="171">
        <f t="shared" si="215"/>
        <v>3.2207326838477224</v>
      </c>
      <c r="EX100" s="162"/>
    </row>
    <row r="101" spans="20:154" s="181" customFormat="1" x14ac:dyDescent="0.25">
      <c r="T101" s="162">
        <f t="shared" si="135"/>
        <v>1.8600000000000012</v>
      </c>
      <c r="U101" s="170">
        <f t="shared" si="136"/>
        <v>1.8600000000000012</v>
      </c>
      <c r="V101" s="162">
        <f t="shared" si="108"/>
        <v>3.1276208929142202</v>
      </c>
      <c r="W101" s="171">
        <f t="shared" si="137"/>
        <v>3.1276208929142202</v>
      </c>
      <c r="X101" s="162"/>
      <c r="Y101" s="162">
        <f t="shared" si="138"/>
        <v>1.8600000000000012</v>
      </c>
      <c r="Z101" s="162">
        <f t="shared" si="139"/>
        <v>1.8600000000000012</v>
      </c>
      <c r="AA101" s="162">
        <f t="shared" si="109"/>
        <v>3.1276208929142202</v>
      </c>
      <c r="AB101" s="171">
        <f t="shared" si="140"/>
        <v>3.1276208929142202</v>
      </c>
      <c r="AC101" s="162"/>
      <c r="AD101" s="162">
        <f t="shared" si="141"/>
        <v>1.8600000000000012</v>
      </c>
      <c r="AE101" s="170">
        <f t="shared" si="142"/>
        <v>1.8600000000000012</v>
      </c>
      <c r="AF101" s="162">
        <f t="shared" si="110"/>
        <v>3.1276208929142202</v>
      </c>
      <c r="AG101" s="171">
        <f t="shared" si="143"/>
        <v>3.1276208929142202</v>
      </c>
      <c r="AH101" s="162"/>
      <c r="AI101" s="162">
        <f t="shared" si="144"/>
        <v>1.8600000000000012</v>
      </c>
      <c r="AJ101" s="170">
        <f t="shared" si="145"/>
        <v>1.8600000000000012</v>
      </c>
      <c r="AK101" s="162">
        <f t="shared" si="111"/>
        <v>3.1276208929142202</v>
      </c>
      <c r="AL101" s="171">
        <f t="shared" si="146"/>
        <v>3.1276208929142202</v>
      </c>
      <c r="AM101" s="162"/>
      <c r="AN101" s="162">
        <f t="shared" si="147"/>
        <v>1.8600000000000012</v>
      </c>
      <c r="AO101" s="162">
        <f t="shared" si="148"/>
        <v>1.8600000000000012</v>
      </c>
      <c r="AP101" s="162">
        <f t="shared" si="112"/>
        <v>3.1276208929142202</v>
      </c>
      <c r="AQ101" s="171">
        <f t="shared" si="149"/>
        <v>3.1276208929142202</v>
      </c>
      <c r="AR101" s="162"/>
      <c r="AS101" s="162">
        <f t="shared" si="150"/>
        <v>1.8600000000000012</v>
      </c>
      <c r="AT101" s="170">
        <f t="shared" si="151"/>
        <v>1.8600000000000012</v>
      </c>
      <c r="AU101" s="162">
        <f t="shared" si="113"/>
        <v>3.1276208929142202</v>
      </c>
      <c r="AV101" s="171">
        <f t="shared" si="152"/>
        <v>3.1276208929142202</v>
      </c>
      <c r="AW101" s="162"/>
      <c r="AX101" s="162">
        <f t="shared" si="153"/>
        <v>1.8600000000000012</v>
      </c>
      <c r="AY101" s="170">
        <f t="shared" si="154"/>
        <v>1.8600000000000012</v>
      </c>
      <c r="AZ101" s="162">
        <f t="shared" si="114"/>
        <v>3.1276208929142202</v>
      </c>
      <c r="BA101" s="171">
        <f t="shared" si="155"/>
        <v>3.1276208929142202</v>
      </c>
      <c r="BB101" s="162"/>
      <c r="BC101" s="162">
        <f t="shared" si="156"/>
        <v>1.8600000000000012</v>
      </c>
      <c r="BD101" s="162">
        <f t="shared" si="157"/>
        <v>1.8600000000000012</v>
      </c>
      <c r="BE101" s="162">
        <f t="shared" si="115"/>
        <v>3.1276208929142202</v>
      </c>
      <c r="BF101" s="171">
        <f t="shared" si="158"/>
        <v>3.1276208929142202</v>
      </c>
      <c r="BG101" s="162"/>
      <c r="BH101" s="162">
        <f t="shared" si="159"/>
        <v>1.8600000000000012</v>
      </c>
      <c r="BI101" s="170">
        <f t="shared" si="160"/>
        <v>1.8600000000000012</v>
      </c>
      <c r="BJ101" s="162">
        <f t="shared" si="116"/>
        <v>3.1276208929142202</v>
      </c>
      <c r="BK101" s="171">
        <f t="shared" si="161"/>
        <v>3.1276208929142202</v>
      </c>
      <c r="BL101" s="162"/>
      <c r="BM101" s="162">
        <f t="shared" si="162"/>
        <v>1.8600000000000012</v>
      </c>
      <c r="BN101" s="170">
        <f t="shared" si="163"/>
        <v>1.8600000000000012</v>
      </c>
      <c r="BO101" s="162">
        <f t="shared" si="117"/>
        <v>3.1276208929142202</v>
      </c>
      <c r="BP101" s="171">
        <f t="shared" si="164"/>
        <v>3.1276208929142202</v>
      </c>
      <c r="BQ101" s="162"/>
      <c r="BR101" s="162">
        <f t="shared" si="165"/>
        <v>1.8600000000000012</v>
      </c>
      <c r="BS101" s="162">
        <f t="shared" si="166"/>
        <v>1.8600000000000012</v>
      </c>
      <c r="BT101" s="162">
        <f t="shared" si="118"/>
        <v>3.1276208929142202</v>
      </c>
      <c r="BU101" s="171">
        <f t="shared" si="167"/>
        <v>3.1276208929142202</v>
      </c>
      <c r="BV101" s="162"/>
      <c r="BW101" s="162">
        <f t="shared" si="168"/>
        <v>1.8600000000000012</v>
      </c>
      <c r="BX101" s="170">
        <f t="shared" si="169"/>
        <v>1.8600000000000012</v>
      </c>
      <c r="BY101" s="162">
        <f t="shared" si="119"/>
        <v>3.1276208929142202</v>
      </c>
      <c r="BZ101" s="171">
        <f t="shared" si="170"/>
        <v>3.1276208929142202</v>
      </c>
      <c r="CA101" s="162"/>
      <c r="CB101" s="162">
        <f t="shared" si="171"/>
        <v>1.8600000000000012</v>
      </c>
      <c r="CC101" s="170">
        <f t="shared" si="172"/>
        <v>1.8600000000000012</v>
      </c>
      <c r="CD101" s="162">
        <f t="shared" si="120"/>
        <v>3.1276208929142202</v>
      </c>
      <c r="CE101" s="171">
        <f t="shared" si="173"/>
        <v>3.1276208929142202</v>
      </c>
      <c r="CF101" s="162"/>
      <c r="CG101" s="172">
        <f t="shared" si="174"/>
        <v>1.8600000000000012</v>
      </c>
      <c r="CH101" s="172">
        <f t="shared" si="175"/>
        <v>1.8600000000000012</v>
      </c>
      <c r="CI101" s="172">
        <f t="shared" si="121"/>
        <v>3.1276208929142202</v>
      </c>
      <c r="CJ101" s="171">
        <f t="shared" si="176"/>
        <v>3.1276208929142202</v>
      </c>
      <c r="CK101" s="172"/>
      <c r="CL101" s="162">
        <f t="shared" si="177"/>
        <v>1.8600000000000012</v>
      </c>
      <c r="CM101" s="170">
        <f t="shared" si="178"/>
        <v>1.8600000000000012</v>
      </c>
      <c r="CN101" s="162">
        <f t="shared" si="122"/>
        <v>3.1276208929142202</v>
      </c>
      <c r="CO101" s="171">
        <f t="shared" si="179"/>
        <v>3.1276208929142202</v>
      </c>
      <c r="CP101" s="162"/>
      <c r="CQ101" s="162">
        <f t="shared" si="180"/>
        <v>1.8600000000000012</v>
      </c>
      <c r="CR101" s="170">
        <f t="shared" si="181"/>
        <v>1.8600000000000012</v>
      </c>
      <c r="CS101" s="162">
        <f t="shared" si="123"/>
        <v>3.1276208929142202</v>
      </c>
      <c r="CT101" s="171">
        <f t="shared" si="182"/>
        <v>3.1276208929142202</v>
      </c>
      <c r="CU101" s="162"/>
      <c r="CV101" s="162">
        <f t="shared" si="183"/>
        <v>1.8600000000000012</v>
      </c>
      <c r="CW101" s="162">
        <f t="shared" si="184"/>
        <v>1.8600000000000012</v>
      </c>
      <c r="CX101" s="162">
        <f t="shared" si="124"/>
        <v>3.1276208929142202</v>
      </c>
      <c r="CY101" s="171">
        <f t="shared" si="185"/>
        <v>3.1276208929142202</v>
      </c>
      <c r="CZ101" s="162"/>
      <c r="DA101" s="162">
        <f t="shared" si="186"/>
        <v>1.8600000000000012</v>
      </c>
      <c r="DB101" s="170">
        <f t="shared" si="187"/>
        <v>1.8600000000000012</v>
      </c>
      <c r="DC101" s="162">
        <f t="shared" si="125"/>
        <v>3.1276208929142202</v>
      </c>
      <c r="DD101" s="171">
        <f t="shared" si="188"/>
        <v>3.1276208929142202</v>
      </c>
      <c r="DE101" s="162"/>
      <c r="DF101" s="162">
        <f t="shared" si="189"/>
        <v>1.8600000000000012</v>
      </c>
      <c r="DG101" s="170">
        <f t="shared" si="190"/>
        <v>1.8600000000000012</v>
      </c>
      <c r="DH101" s="162">
        <f t="shared" si="126"/>
        <v>3.1276208929142202</v>
      </c>
      <c r="DI101" s="171">
        <f t="shared" si="191"/>
        <v>3.1276208929142202</v>
      </c>
      <c r="DJ101" s="162"/>
      <c r="DK101" s="162">
        <f t="shared" si="192"/>
        <v>1.8600000000000012</v>
      </c>
      <c r="DL101" s="162">
        <f t="shared" si="193"/>
        <v>1.8600000000000012</v>
      </c>
      <c r="DM101" s="162">
        <f t="shared" si="127"/>
        <v>3.1276208929142202</v>
      </c>
      <c r="DN101" s="171">
        <f t="shared" si="194"/>
        <v>3.1276208929142202</v>
      </c>
      <c r="DO101" s="162"/>
      <c r="DP101" s="162">
        <f t="shared" si="195"/>
        <v>1.8600000000000012</v>
      </c>
      <c r="DQ101" s="170">
        <f t="shared" si="196"/>
        <v>1.8600000000000012</v>
      </c>
      <c r="DR101" s="162">
        <f t="shared" si="128"/>
        <v>3.1276208929142202</v>
      </c>
      <c r="DS101" s="171">
        <f t="shared" si="197"/>
        <v>3.1276208929142202</v>
      </c>
      <c r="DT101" s="162"/>
      <c r="DU101" s="162">
        <f t="shared" si="198"/>
        <v>1.8600000000000012</v>
      </c>
      <c r="DV101" s="170">
        <f t="shared" si="199"/>
        <v>1.8600000000000012</v>
      </c>
      <c r="DW101" s="162">
        <f t="shared" si="129"/>
        <v>3.1276208929142202</v>
      </c>
      <c r="DX101" s="171">
        <f t="shared" si="200"/>
        <v>3.1276208929142202</v>
      </c>
      <c r="DY101" s="162"/>
      <c r="DZ101" s="162">
        <f t="shared" si="201"/>
        <v>1.8600000000000012</v>
      </c>
      <c r="EA101" s="162">
        <f t="shared" si="202"/>
        <v>1.8600000000000012</v>
      </c>
      <c r="EB101" s="162">
        <f t="shared" si="130"/>
        <v>3.1276208929142202</v>
      </c>
      <c r="EC101" s="171">
        <f t="shared" si="203"/>
        <v>3.1276208929142202</v>
      </c>
      <c r="ED101" s="162"/>
      <c r="EE101" s="162">
        <f t="shared" si="204"/>
        <v>1.8600000000000012</v>
      </c>
      <c r="EF101" s="170">
        <f t="shared" si="205"/>
        <v>1.8600000000000012</v>
      </c>
      <c r="EG101" s="162">
        <f t="shared" si="131"/>
        <v>3.1276208929142202</v>
      </c>
      <c r="EH101" s="171">
        <f t="shared" si="206"/>
        <v>3.1276208929142202</v>
      </c>
      <c r="EI101" s="162"/>
      <c r="EJ101" s="162">
        <f t="shared" si="207"/>
        <v>1.8600000000000012</v>
      </c>
      <c r="EK101" s="170">
        <f t="shared" si="208"/>
        <v>1.8600000000000012</v>
      </c>
      <c r="EL101" s="162">
        <f t="shared" si="132"/>
        <v>3.1276208929142202</v>
      </c>
      <c r="EM101" s="171">
        <f t="shared" si="209"/>
        <v>3.1276208929142202</v>
      </c>
      <c r="EN101" s="162"/>
      <c r="EO101" s="162">
        <f t="shared" si="210"/>
        <v>1.8600000000000012</v>
      </c>
      <c r="EP101" s="162">
        <f t="shared" si="211"/>
        <v>1.8600000000000012</v>
      </c>
      <c r="EQ101" s="162">
        <f t="shared" si="133"/>
        <v>3.1276208929142202</v>
      </c>
      <c r="ER101" s="171">
        <f t="shared" si="212"/>
        <v>3.1276208929142202</v>
      </c>
      <c r="ES101" s="162"/>
      <c r="ET101" s="162">
        <f t="shared" si="213"/>
        <v>1.8600000000000012</v>
      </c>
      <c r="EU101" s="170">
        <f t="shared" si="214"/>
        <v>1.8600000000000012</v>
      </c>
      <c r="EV101" s="162">
        <f t="shared" si="134"/>
        <v>3.1276208929142202</v>
      </c>
      <c r="EW101" s="171">
        <f t="shared" si="215"/>
        <v>3.1276208929142202</v>
      </c>
      <c r="EX101" s="162"/>
    </row>
    <row r="102" spans="20:154" s="181" customFormat="1" x14ac:dyDescent="0.25">
      <c r="T102" s="162">
        <f t="shared" si="135"/>
        <v>1.8800000000000012</v>
      </c>
      <c r="U102" s="170">
        <f t="shared" si="136"/>
        <v>1.8800000000000012</v>
      </c>
      <c r="V102" s="162">
        <f t="shared" si="108"/>
        <v>3.0318005892528701</v>
      </c>
      <c r="W102" s="171">
        <f t="shared" si="137"/>
        <v>3.0318005892528701</v>
      </c>
      <c r="X102" s="162"/>
      <c r="Y102" s="162">
        <f t="shared" si="138"/>
        <v>1.8800000000000012</v>
      </c>
      <c r="Z102" s="162">
        <f t="shared" si="139"/>
        <v>1.8800000000000012</v>
      </c>
      <c r="AA102" s="162">
        <f t="shared" si="109"/>
        <v>3.0318005892528701</v>
      </c>
      <c r="AB102" s="171">
        <f t="shared" si="140"/>
        <v>3.0318005892528701</v>
      </c>
      <c r="AC102" s="162"/>
      <c r="AD102" s="162">
        <f t="shared" si="141"/>
        <v>1.8800000000000012</v>
      </c>
      <c r="AE102" s="170">
        <f t="shared" si="142"/>
        <v>1.8800000000000012</v>
      </c>
      <c r="AF102" s="162">
        <f t="shared" si="110"/>
        <v>3.0318005892528701</v>
      </c>
      <c r="AG102" s="171">
        <f t="shared" si="143"/>
        <v>3.0318005892528701</v>
      </c>
      <c r="AH102" s="162"/>
      <c r="AI102" s="162">
        <f t="shared" si="144"/>
        <v>1.8800000000000012</v>
      </c>
      <c r="AJ102" s="170">
        <f t="shared" si="145"/>
        <v>1.8800000000000012</v>
      </c>
      <c r="AK102" s="162">
        <f t="shared" si="111"/>
        <v>3.0318005892528701</v>
      </c>
      <c r="AL102" s="171">
        <f t="shared" si="146"/>
        <v>3.0318005892528701</v>
      </c>
      <c r="AM102" s="162"/>
      <c r="AN102" s="162">
        <f t="shared" si="147"/>
        <v>1.8800000000000012</v>
      </c>
      <c r="AO102" s="162">
        <f t="shared" si="148"/>
        <v>1.8800000000000012</v>
      </c>
      <c r="AP102" s="162">
        <f t="shared" si="112"/>
        <v>3.0318005892528701</v>
      </c>
      <c r="AQ102" s="171">
        <f t="shared" si="149"/>
        <v>3.0318005892528701</v>
      </c>
      <c r="AR102" s="162"/>
      <c r="AS102" s="162">
        <f t="shared" si="150"/>
        <v>1.8800000000000012</v>
      </c>
      <c r="AT102" s="170">
        <f t="shared" si="151"/>
        <v>1.8800000000000012</v>
      </c>
      <c r="AU102" s="162">
        <f t="shared" si="113"/>
        <v>3.0318005892528701</v>
      </c>
      <c r="AV102" s="171">
        <f t="shared" si="152"/>
        <v>3.0318005892528701</v>
      </c>
      <c r="AW102" s="162"/>
      <c r="AX102" s="162">
        <f t="shared" si="153"/>
        <v>1.8800000000000012</v>
      </c>
      <c r="AY102" s="170">
        <f t="shared" si="154"/>
        <v>1.8800000000000012</v>
      </c>
      <c r="AZ102" s="162">
        <f t="shared" si="114"/>
        <v>3.0318005892528701</v>
      </c>
      <c r="BA102" s="171">
        <f t="shared" si="155"/>
        <v>3.0318005892528701</v>
      </c>
      <c r="BB102" s="162"/>
      <c r="BC102" s="162">
        <f t="shared" si="156"/>
        <v>1.8800000000000012</v>
      </c>
      <c r="BD102" s="162">
        <f t="shared" si="157"/>
        <v>1.8800000000000012</v>
      </c>
      <c r="BE102" s="162">
        <f t="shared" si="115"/>
        <v>3.0318005892528701</v>
      </c>
      <c r="BF102" s="171">
        <f t="shared" si="158"/>
        <v>3.0318005892528701</v>
      </c>
      <c r="BG102" s="162"/>
      <c r="BH102" s="162">
        <f t="shared" si="159"/>
        <v>1.8800000000000012</v>
      </c>
      <c r="BI102" s="170">
        <f t="shared" si="160"/>
        <v>1.8800000000000012</v>
      </c>
      <c r="BJ102" s="162">
        <f t="shared" si="116"/>
        <v>3.0318005892528701</v>
      </c>
      <c r="BK102" s="171">
        <f t="shared" si="161"/>
        <v>3.0318005892528701</v>
      </c>
      <c r="BL102" s="162"/>
      <c r="BM102" s="162">
        <f t="shared" si="162"/>
        <v>1.8800000000000012</v>
      </c>
      <c r="BN102" s="170">
        <f t="shared" si="163"/>
        <v>1.8800000000000012</v>
      </c>
      <c r="BO102" s="162">
        <f t="shared" si="117"/>
        <v>3.0318005892528701</v>
      </c>
      <c r="BP102" s="171">
        <f t="shared" si="164"/>
        <v>3.0318005892528701</v>
      </c>
      <c r="BQ102" s="162"/>
      <c r="BR102" s="162">
        <f t="shared" si="165"/>
        <v>1.8800000000000012</v>
      </c>
      <c r="BS102" s="162">
        <f t="shared" si="166"/>
        <v>1.8800000000000012</v>
      </c>
      <c r="BT102" s="162">
        <f t="shared" si="118"/>
        <v>3.0318005892528701</v>
      </c>
      <c r="BU102" s="171">
        <f t="shared" si="167"/>
        <v>3.0318005892528701</v>
      </c>
      <c r="BV102" s="162"/>
      <c r="BW102" s="162">
        <f t="shared" si="168"/>
        <v>1.8800000000000012</v>
      </c>
      <c r="BX102" s="170">
        <f t="shared" si="169"/>
        <v>1.8800000000000012</v>
      </c>
      <c r="BY102" s="162">
        <f t="shared" si="119"/>
        <v>3.0318005892528701</v>
      </c>
      <c r="BZ102" s="171">
        <f t="shared" si="170"/>
        <v>3.0318005892528701</v>
      </c>
      <c r="CA102" s="162"/>
      <c r="CB102" s="162">
        <f t="shared" si="171"/>
        <v>1.8800000000000012</v>
      </c>
      <c r="CC102" s="170">
        <f t="shared" si="172"/>
        <v>1.8800000000000012</v>
      </c>
      <c r="CD102" s="162">
        <f t="shared" si="120"/>
        <v>3.0318005892528701</v>
      </c>
      <c r="CE102" s="171">
        <f t="shared" si="173"/>
        <v>3.0318005892528701</v>
      </c>
      <c r="CF102" s="162"/>
      <c r="CG102" s="172">
        <f t="shared" si="174"/>
        <v>1.8800000000000012</v>
      </c>
      <c r="CH102" s="172">
        <f t="shared" si="175"/>
        <v>1.8800000000000012</v>
      </c>
      <c r="CI102" s="172">
        <f t="shared" si="121"/>
        <v>3.0318005892528701</v>
      </c>
      <c r="CJ102" s="171">
        <f t="shared" si="176"/>
        <v>3.0318005892528701</v>
      </c>
      <c r="CK102" s="172"/>
      <c r="CL102" s="162">
        <f t="shared" si="177"/>
        <v>1.8800000000000012</v>
      </c>
      <c r="CM102" s="170">
        <f t="shared" si="178"/>
        <v>1.8800000000000012</v>
      </c>
      <c r="CN102" s="162">
        <f t="shared" si="122"/>
        <v>3.0318005892528701</v>
      </c>
      <c r="CO102" s="171">
        <f t="shared" si="179"/>
        <v>3.0318005892528701</v>
      </c>
      <c r="CP102" s="162"/>
      <c r="CQ102" s="162">
        <f t="shared" si="180"/>
        <v>1.8800000000000012</v>
      </c>
      <c r="CR102" s="170">
        <f t="shared" si="181"/>
        <v>1.8800000000000012</v>
      </c>
      <c r="CS102" s="162">
        <f t="shared" si="123"/>
        <v>3.0318005892528701</v>
      </c>
      <c r="CT102" s="171">
        <f t="shared" si="182"/>
        <v>3.0318005892528701</v>
      </c>
      <c r="CU102" s="162"/>
      <c r="CV102" s="162">
        <f t="shared" si="183"/>
        <v>1.8800000000000012</v>
      </c>
      <c r="CW102" s="162">
        <f t="shared" si="184"/>
        <v>1.8800000000000012</v>
      </c>
      <c r="CX102" s="162">
        <f t="shared" si="124"/>
        <v>3.0318005892528701</v>
      </c>
      <c r="CY102" s="171">
        <f t="shared" si="185"/>
        <v>3.0318005892528701</v>
      </c>
      <c r="CZ102" s="162"/>
      <c r="DA102" s="162">
        <f t="shared" si="186"/>
        <v>1.8800000000000012</v>
      </c>
      <c r="DB102" s="170">
        <f t="shared" si="187"/>
        <v>1.8800000000000012</v>
      </c>
      <c r="DC102" s="162">
        <f t="shared" si="125"/>
        <v>3.0318005892528701</v>
      </c>
      <c r="DD102" s="171">
        <f t="shared" si="188"/>
        <v>3.0318005892528701</v>
      </c>
      <c r="DE102" s="162"/>
      <c r="DF102" s="162">
        <f t="shared" si="189"/>
        <v>1.8800000000000012</v>
      </c>
      <c r="DG102" s="170">
        <f t="shared" si="190"/>
        <v>1.8800000000000012</v>
      </c>
      <c r="DH102" s="162">
        <f t="shared" si="126"/>
        <v>3.0318005892528701</v>
      </c>
      <c r="DI102" s="171">
        <f t="shared" si="191"/>
        <v>3.0318005892528701</v>
      </c>
      <c r="DJ102" s="162"/>
      <c r="DK102" s="162">
        <f t="shared" si="192"/>
        <v>1.8800000000000012</v>
      </c>
      <c r="DL102" s="162">
        <f t="shared" si="193"/>
        <v>1.8800000000000012</v>
      </c>
      <c r="DM102" s="162">
        <f t="shared" si="127"/>
        <v>3.0318005892528701</v>
      </c>
      <c r="DN102" s="171">
        <f t="shared" si="194"/>
        <v>3.0318005892528701</v>
      </c>
      <c r="DO102" s="162"/>
      <c r="DP102" s="162">
        <f t="shared" si="195"/>
        <v>1.8800000000000012</v>
      </c>
      <c r="DQ102" s="170">
        <f t="shared" si="196"/>
        <v>1.8800000000000012</v>
      </c>
      <c r="DR102" s="162">
        <f t="shared" si="128"/>
        <v>3.0318005892528701</v>
      </c>
      <c r="DS102" s="171">
        <f t="shared" si="197"/>
        <v>3.0318005892528701</v>
      </c>
      <c r="DT102" s="162"/>
      <c r="DU102" s="162">
        <f t="shared" si="198"/>
        <v>1.8800000000000012</v>
      </c>
      <c r="DV102" s="170">
        <f t="shared" si="199"/>
        <v>1.8800000000000012</v>
      </c>
      <c r="DW102" s="162">
        <f t="shared" si="129"/>
        <v>3.0318005892528701</v>
      </c>
      <c r="DX102" s="171">
        <f t="shared" si="200"/>
        <v>3.0318005892528701</v>
      </c>
      <c r="DY102" s="162"/>
      <c r="DZ102" s="162">
        <f t="shared" si="201"/>
        <v>1.8800000000000012</v>
      </c>
      <c r="EA102" s="162">
        <f t="shared" si="202"/>
        <v>1.8800000000000012</v>
      </c>
      <c r="EB102" s="162">
        <f t="shared" si="130"/>
        <v>3.0318005892528701</v>
      </c>
      <c r="EC102" s="171">
        <f t="shared" si="203"/>
        <v>3.0318005892528701</v>
      </c>
      <c r="ED102" s="162"/>
      <c r="EE102" s="162">
        <f t="shared" si="204"/>
        <v>1.8800000000000012</v>
      </c>
      <c r="EF102" s="170">
        <f t="shared" si="205"/>
        <v>1.8800000000000012</v>
      </c>
      <c r="EG102" s="162">
        <f t="shared" si="131"/>
        <v>3.0318005892528701</v>
      </c>
      <c r="EH102" s="171">
        <f t="shared" si="206"/>
        <v>3.0318005892528701</v>
      </c>
      <c r="EI102" s="162"/>
      <c r="EJ102" s="162">
        <f t="shared" si="207"/>
        <v>1.8800000000000012</v>
      </c>
      <c r="EK102" s="170">
        <f t="shared" si="208"/>
        <v>1.8800000000000012</v>
      </c>
      <c r="EL102" s="162">
        <f t="shared" si="132"/>
        <v>3.0318005892528701</v>
      </c>
      <c r="EM102" s="171">
        <f t="shared" si="209"/>
        <v>3.0318005892528701</v>
      </c>
      <c r="EN102" s="162"/>
      <c r="EO102" s="162">
        <f t="shared" si="210"/>
        <v>1.8800000000000012</v>
      </c>
      <c r="EP102" s="162">
        <f t="shared" si="211"/>
        <v>1.8800000000000012</v>
      </c>
      <c r="EQ102" s="162">
        <f t="shared" si="133"/>
        <v>3.0318005892528701</v>
      </c>
      <c r="ER102" s="171">
        <f t="shared" si="212"/>
        <v>3.0318005892528701</v>
      </c>
      <c r="ES102" s="162"/>
      <c r="ET102" s="162">
        <f t="shared" si="213"/>
        <v>1.8800000000000012</v>
      </c>
      <c r="EU102" s="170">
        <f t="shared" si="214"/>
        <v>1.8800000000000012</v>
      </c>
      <c r="EV102" s="162">
        <f t="shared" si="134"/>
        <v>3.0318005892528701</v>
      </c>
      <c r="EW102" s="171">
        <f t="shared" si="215"/>
        <v>3.0318005892528701</v>
      </c>
      <c r="EX102" s="162"/>
    </row>
    <row r="103" spans="20:154" s="181" customFormat="1" x14ac:dyDescent="0.25">
      <c r="T103" s="162">
        <f t="shared" si="135"/>
        <v>1.9000000000000012</v>
      </c>
      <c r="U103" s="170">
        <f t="shared" si="136"/>
        <v>1.9000000000000012</v>
      </c>
      <c r="V103" s="162">
        <f t="shared" si="108"/>
        <v>2.9332717728636775</v>
      </c>
      <c r="W103" s="171">
        <f t="shared" si="137"/>
        <v>2.9332717728636775</v>
      </c>
      <c r="X103" s="162"/>
      <c r="Y103" s="162">
        <f t="shared" si="138"/>
        <v>1.9000000000000012</v>
      </c>
      <c r="Z103" s="162">
        <f t="shared" si="139"/>
        <v>1.9000000000000012</v>
      </c>
      <c r="AA103" s="162">
        <f t="shared" si="109"/>
        <v>2.9332717728636775</v>
      </c>
      <c r="AB103" s="171">
        <f t="shared" si="140"/>
        <v>2.9332717728636775</v>
      </c>
      <c r="AC103" s="162"/>
      <c r="AD103" s="162">
        <f t="shared" si="141"/>
        <v>1.9000000000000012</v>
      </c>
      <c r="AE103" s="170">
        <f t="shared" si="142"/>
        <v>1.9000000000000012</v>
      </c>
      <c r="AF103" s="162">
        <f t="shared" si="110"/>
        <v>2.9332717728636775</v>
      </c>
      <c r="AG103" s="171">
        <f t="shared" si="143"/>
        <v>2.9332717728636775</v>
      </c>
      <c r="AH103" s="162"/>
      <c r="AI103" s="162">
        <f t="shared" si="144"/>
        <v>1.9000000000000012</v>
      </c>
      <c r="AJ103" s="170">
        <f t="shared" si="145"/>
        <v>1.9000000000000012</v>
      </c>
      <c r="AK103" s="162">
        <f t="shared" si="111"/>
        <v>2.9332717728636775</v>
      </c>
      <c r="AL103" s="171">
        <f t="shared" si="146"/>
        <v>2.9332717728636775</v>
      </c>
      <c r="AM103" s="162"/>
      <c r="AN103" s="162">
        <f t="shared" si="147"/>
        <v>1.9000000000000012</v>
      </c>
      <c r="AO103" s="162">
        <f t="shared" si="148"/>
        <v>1.9000000000000012</v>
      </c>
      <c r="AP103" s="162">
        <f t="shared" si="112"/>
        <v>2.9332717728636775</v>
      </c>
      <c r="AQ103" s="171">
        <f t="shared" si="149"/>
        <v>2.9332717728636775</v>
      </c>
      <c r="AR103" s="162"/>
      <c r="AS103" s="162">
        <f t="shared" si="150"/>
        <v>1.9000000000000012</v>
      </c>
      <c r="AT103" s="170">
        <f t="shared" si="151"/>
        <v>1.9000000000000012</v>
      </c>
      <c r="AU103" s="162">
        <f t="shared" si="113"/>
        <v>2.9332717728636775</v>
      </c>
      <c r="AV103" s="171">
        <f t="shared" si="152"/>
        <v>2.9332717728636775</v>
      </c>
      <c r="AW103" s="162"/>
      <c r="AX103" s="162">
        <f t="shared" si="153"/>
        <v>1.9000000000000012</v>
      </c>
      <c r="AY103" s="170">
        <f t="shared" si="154"/>
        <v>1.9000000000000012</v>
      </c>
      <c r="AZ103" s="162">
        <f t="shared" si="114"/>
        <v>2.9332717728636775</v>
      </c>
      <c r="BA103" s="171">
        <f t="shared" si="155"/>
        <v>2.9332717728636775</v>
      </c>
      <c r="BB103" s="162"/>
      <c r="BC103" s="162">
        <f t="shared" si="156"/>
        <v>1.9000000000000012</v>
      </c>
      <c r="BD103" s="162">
        <f t="shared" si="157"/>
        <v>1.9000000000000012</v>
      </c>
      <c r="BE103" s="162">
        <f t="shared" si="115"/>
        <v>2.9332717728636775</v>
      </c>
      <c r="BF103" s="171">
        <f t="shared" si="158"/>
        <v>2.9332717728636775</v>
      </c>
      <c r="BG103" s="162"/>
      <c r="BH103" s="162">
        <f t="shared" si="159"/>
        <v>1.9000000000000012</v>
      </c>
      <c r="BI103" s="170">
        <f t="shared" si="160"/>
        <v>1.9000000000000012</v>
      </c>
      <c r="BJ103" s="162">
        <f t="shared" si="116"/>
        <v>2.9332717728636775</v>
      </c>
      <c r="BK103" s="171">
        <f t="shared" si="161"/>
        <v>2.9332717728636775</v>
      </c>
      <c r="BL103" s="162"/>
      <c r="BM103" s="162">
        <f t="shared" si="162"/>
        <v>1.9000000000000012</v>
      </c>
      <c r="BN103" s="170">
        <f t="shared" si="163"/>
        <v>1.9000000000000012</v>
      </c>
      <c r="BO103" s="162">
        <f t="shared" si="117"/>
        <v>2.9332717728636775</v>
      </c>
      <c r="BP103" s="171">
        <f t="shared" si="164"/>
        <v>2.9332717728636775</v>
      </c>
      <c r="BQ103" s="162"/>
      <c r="BR103" s="162">
        <f t="shared" si="165"/>
        <v>1.9000000000000012</v>
      </c>
      <c r="BS103" s="162">
        <f t="shared" si="166"/>
        <v>1.9000000000000012</v>
      </c>
      <c r="BT103" s="162">
        <f t="shared" si="118"/>
        <v>2.9332717728636775</v>
      </c>
      <c r="BU103" s="171">
        <f t="shared" si="167"/>
        <v>2.9332717728636775</v>
      </c>
      <c r="BV103" s="162"/>
      <c r="BW103" s="162">
        <f t="shared" si="168"/>
        <v>1.9000000000000012</v>
      </c>
      <c r="BX103" s="170">
        <f t="shared" si="169"/>
        <v>1.9000000000000012</v>
      </c>
      <c r="BY103" s="162">
        <f t="shared" si="119"/>
        <v>2.9332717728636775</v>
      </c>
      <c r="BZ103" s="171">
        <f t="shared" si="170"/>
        <v>2.9332717728636775</v>
      </c>
      <c r="CA103" s="162"/>
      <c r="CB103" s="162">
        <f t="shared" si="171"/>
        <v>1.9000000000000012</v>
      </c>
      <c r="CC103" s="170">
        <f t="shared" si="172"/>
        <v>1.9000000000000012</v>
      </c>
      <c r="CD103" s="162">
        <f t="shared" si="120"/>
        <v>2.9332717728636775</v>
      </c>
      <c r="CE103" s="171">
        <f t="shared" si="173"/>
        <v>2.9332717728636775</v>
      </c>
      <c r="CF103" s="162"/>
      <c r="CG103" s="172">
        <f t="shared" si="174"/>
        <v>1.9000000000000012</v>
      </c>
      <c r="CH103" s="172">
        <f t="shared" si="175"/>
        <v>1.9000000000000012</v>
      </c>
      <c r="CI103" s="172">
        <f t="shared" si="121"/>
        <v>2.9332717728636775</v>
      </c>
      <c r="CJ103" s="171">
        <f t="shared" si="176"/>
        <v>2.9332717728636775</v>
      </c>
      <c r="CK103" s="172"/>
      <c r="CL103" s="162">
        <f t="shared" si="177"/>
        <v>1.9000000000000012</v>
      </c>
      <c r="CM103" s="170">
        <f t="shared" si="178"/>
        <v>1.9000000000000012</v>
      </c>
      <c r="CN103" s="162">
        <f t="shared" si="122"/>
        <v>2.9332717728636775</v>
      </c>
      <c r="CO103" s="171">
        <f t="shared" si="179"/>
        <v>2.9332717728636775</v>
      </c>
      <c r="CP103" s="162"/>
      <c r="CQ103" s="162">
        <f t="shared" si="180"/>
        <v>1.9000000000000012</v>
      </c>
      <c r="CR103" s="170">
        <f t="shared" si="181"/>
        <v>1.9000000000000012</v>
      </c>
      <c r="CS103" s="162">
        <f t="shared" si="123"/>
        <v>2.9332717728636775</v>
      </c>
      <c r="CT103" s="171">
        <f t="shared" si="182"/>
        <v>2.9332717728636775</v>
      </c>
      <c r="CU103" s="162"/>
      <c r="CV103" s="162">
        <f t="shared" si="183"/>
        <v>1.9000000000000012</v>
      </c>
      <c r="CW103" s="162">
        <f t="shared" si="184"/>
        <v>1.9000000000000012</v>
      </c>
      <c r="CX103" s="162">
        <f t="shared" si="124"/>
        <v>2.9332717728636775</v>
      </c>
      <c r="CY103" s="171">
        <f t="shared" si="185"/>
        <v>2.9332717728636775</v>
      </c>
      <c r="CZ103" s="162"/>
      <c r="DA103" s="162">
        <f t="shared" si="186"/>
        <v>1.9000000000000012</v>
      </c>
      <c r="DB103" s="170">
        <f t="shared" si="187"/>
        <v>1.9000000000000012</v>
      </c>
      <c r="DC103" s="162">
        <f t="shared" si="125"/>
        <v>2.9332717728636775</v>
      </c>
      <c r="DD103" s="171">
        <f t="shared" si="188"/>
        <v>2.9332717728636775</v>
      </c>
      <c r="DE103" s="162"/>
      <c r="DF103" s="162">
        <f t="shared" si="189"/>
        <v>1.9000000000000012</v>
      </c>
      <c r="DG103" s="170">
        <f t="shared" si="190"/>
        <v>1.9000000000000012</v>
      </c>
      <c r="DH103" s="162">
        <f t="shared" si="126"/>
        <v>2.9332717728636775</v>
      </c>
      <c r="DI103" s="171">
        <f t="shared" si="191"/>
        <v>2.9332717728636775</v>
      </c>
      <c r="DJ103" s="162"/>
      <c r="DK103" s="162">
        <f t="shared" si="192"/>
        <v>1.9000000000000012</v>
      </c>
      <c r="DL103" s="162">
        <f t="shared" si="193"/>
        <v>1.9000000000000012</v>
      </c>
      <c r="DM103" s="162">
        <f t="shared" si="127"/>
        <v>2.9332717728636775</v>
      </c>
      <c r="DN103" s="171">
        <f t="shared" si="194"/>
        <v>2.9332717728636775</v>
      </c>
      <c r="DO103" s="162"/>
      <c r="DP103" s="162">
        <f t="shared" si="195"/>
        <v>1.9000000000000012</v>
      </c>
      <c r="DQ103" s="170">
        <f t="shared" si="196"/>
        <v>1.9000000000000012</v>
      </c>
      <c r="DR103" s="162">
        <f t="shared" si="128"/>
        <v>2.9332717728636775</v>
      </c>
      <c r="DS103" s="171">
        <f t="shared" si="197"/>
        <v>2.9332717728636775</v>
      </c>
      <c r="DT103" s="162"/>
      <c r="DU103" s="162">
        <f t="shared" si="198"/>
        <v>1.9000000000000012</v>
      </c>
      <c r="DV103" s="170">
        <f t="shared" si="199"/>
        <v>1.9000000000000012</v>
      </c>
      <c r="DW103" s="162">
        <f t="shared" si="129"/>
        <v>2.9332717728636775</v>
      </c>
      <c r="DX103" s="171">
        <f t="shared" si="200"/>
        <v>2.9332717728636775</v>
      </c>
      <c r="DY103" s="162"/>
      <c r="DZ103" s="162">
        <f t="shared" si="201"/>
        <v>1.9000000000000012</v>
      </c>
      <c r="EA103" s="162">
        <f t="shared" si="202"/>
        <v>1.9000000000000012</v>
      </c>
      <c r="EB103" s="162">
        <f t="shared" si="130"/>
        <v>2.9332717728636775</v>
      </c>
      <c r="EC103" s="171">
        <f t="shared" si="203"/>
        <v>2.9332717728636775</v>
      </c>
      <c r="ED103" s="162"/>
      <c r="EE103" s="162">
        <f t="shared" si="204"/>
        <v>1.9000000000000012</v>
      </c>
      <c r="EF103" s="170">
        <f t="shared" si="205"/>
        <v>1.9000000000000012</v>
      </c>
      <c r="EG103" s="162">
        <f t="shared" si="131"/>
        <v>2.9332717728636775</v>
      </c>
      <c r="EH103" s="171">
        <f t="shared" si="206"/>
        <v>2.9332717728636775</v>
      </c>
      <c r="EI103" s="162"/>
      <c r="EJ103" s="162">
        <f t="shared" si="207"/>
        <v>1.9000000000000012</v>
      </c>
      <c r="EK103" s="170">
        <f t="shared" si="208"/>
        <v>1.9000000000000012</v>
      </c>
      <c r="EL103" s="162">
        <f t="shared" si="132"/>
        <v>2.9332717728636775</v>
      </c>
      <c r="EM103" s="171">
        <f t="shared" si="209"/>
        <v>2.9332717728636775</v>
      </c>
      <c r="EN103" s="162"/>
      <c r="EO103" s="162">
        <f t="shared" si="210"/>
        <v>1.9000000000000012</v>
      </c>
      <c r="EP103" s="162">
        <f t="shared" si="211"/>
        <v>1.9000000000000012</v>
      </c>
      <c r="EQ103" s="162">
        <f t="shared" si="133"/>
        <v>2.9332717728636775</v>
      </c>
      <c r="ER103" s="171">
        <f t="shared" si="212"/>
        <v>2.9332717728636775</v>
      </c>
      <c r="ES103" s="162"/>
      <c r="ET103" s="162">
        <f t="shared" si="213"/>
        <v>1.9000000000000012</v>
      </c>
      <c r="EU103" s="170">
        <f t="shared" si="214"/>
        <v>1.9000000000000012</v>
      </c>
      <c r="EV103" s="162">
        <f t="shared" si="134"/>
        <v>2.9332717728636775</v>
      </c>
      <c r="EW103" s="171">
        <f t="shared" si="215"/>
        <v>2.9332717728636775</v>
      </c>
      <c r="EX103" s="162"/>
    </row>
    <row r="104" spans="20:154" s="181" customFormat="1" x14ac:dyDescent="0.25">
      <c r="T104" s="162">
        <f t="shared" si="135"/>
        <v>1.9200000000000013</v>
      </c>
      <c r="U104" s="170">
        <f t="shared" si="136"/>
        <v>1.9200000000000013</v>
      </c>
      <c r="V104" s="162">
        <f t="shared" si="108"/>
        <v>2.8320344437466334</v>
      </c>
      <c r="W104" s="171">
        <f t="shared" si="137"/>
        <v>2.8320344437466334</v>
      </c>
      <c r="X104" s="162"/>
      <c r="Y104" s="162">
        <f t="shared" si="138"/>
        <v>1.9200000000000013</v>
      </c>
      <c r="Z104" s="162">
        <f t="shared" si="139"/>
        <v>1.9200000000000013</v>
      </c>
      <c r="AA104" s="162">
        <f t="shared" si="109"/>
        <v>2.8320344437466334</v>
      </c>
      <c r="AB104" s="171">
        <f t="shared" si="140"/>
        <v>2.8320344437466334</v>
      </c>
      <c r="AC104" s="162"/>
      <c r="AD104" s="162">
        <f t="shared" si="141"/>
        <v>1.9200000000000013</v>
      </c>
      <c r="AE104" s="170">
        <f t="shared" si="142"/>
        <v>1.9200000000000013</v>
      </c>
      <c r="AF104" s="162">
        <f t="shared" si="110"/>
        <v>2.8320344437466334</v>
      </c>
      <c r="AG104" s="171">
        <f t="shared" si="143"/>
        <v>2.8320344437466334</v>
      </c>
      <c r="AH104" s="162"/>
      <c r="AI104" s="162">
        <f t="shared" si="144"/>
        <v>1.9200000000000013</v>
      </c>
      <c r="AJ104" s="170">
        <f t="shared" si="145"/>
        <v>1.9200000000000013</v>
      </c>
      <c r="AK104" s="162">
        <f t="shared" si="111"/>
        <v>2.8320344437466334</v>
      </c>
      <c r="AL104" s="171">
        <f t="shared" si="146"/>
        <v>2.8320344437466334</v>
      </c>
      <c r="AM104" s="162"/>
      <c r="AN104" s="162">
        <f t="shared" si="147"/>
        <v>1.9200000000000013</v>
      </c>
      <c r="AO104" s="162">
        <f t="shared" si="148"/>
        <v>1.9200000000000013</v>
      </c>
      <c r="AP104" s="162">
        <f t="shared" si="112"/>
        <v>2.8320344437466334</v>
      </c>
      <c r="AQ104" s="171">
        <f t="shared" si="149"/>
        <v>2.8320344437466334</v>
      </c>
      <c r="AR104" s="162"/>
      <c r="AS104" s="162">
        <f t="shared" si="150"/>
        <v>1.9200000000000013</v>
      </c>
      <c r="AT104" s="170">
        <f t="shared" si="151"/>
        <v>1.9200000000000013</v>
      </c>
      <c r="AU104" s="162">
        <f t="shared" si="113"/>
        <v>2.8320344437466334</v>
      </c>
      <c r="AV104" s="171">
        <f t="shared" si="152"/>
        <v>2.8320344437466334</v>
      </c>
      <c r="AW104" s="162"/>
      <c r="AX104" s="162">
        <f t="shared" si="153"/>
        <v>1.9200000000000013</v>
      </c>
      <c r="AY104" s="170">
        <f t="shared" si="154"/>
        <v>1.9200000000000013</v>
      </c>
      <c r="AZ104" s="162">
        <f t="shared" si="114"/>
        <v>2.8320344437466334</v>
      </c>
      <c r="BA104" s="171">
        <f t="shared" si="155"/>
        <v>2.8320344437466334</v>
      </c>
      <c r="BB104" s="162"/>
      <c r="BC104" s="162">
        <f t="shared" si="156"/>
        <v>1.9200000000000013</v>
      </c>
      <c r="BD104" s="162">
        <f t="shared" si="157"/>
        <v>1.9200000000000013</v>
      </c>
      <c r="BE104" s="162">
        <f t="shared" si="115"/>
        <v>2.8320344437466334</v>
      </c>
      <c r="BF104" s="171">
        <f t="shared" si="158"/>
        <v>2.8320344437466334</v>
      </c>
      <c r="BG104" s="162"/>
      <c r="BH104" s="162">
        <f t="shared" si="159"/>
        <v>1.9200000000000013</v>
      </c>
      <c r="BI104" s="170">
        <f t="shared" si="160"/>
        <v>1.9200000000000013</v>
      </c>
      <c r="BJ104" s="162">
        <f t="shared" si="116"/>
        <v>2.8320344437466334</v>
      </c>
      <c r="BK104" s="171">
        <f t="shared" si="161"/>
        <v>2.8320344437466334</v>
      </c>
      <c r="BL104" s="162"/>
      <c r="BM104" s="162">
        <f t="shared" si="162"/>
        <v>1.9200000000000013</v>
      </c>
      <c r="BN104" s="170">
        <f t="shared" si="163"/>
        <v>1.9200000000000013</v>
      </c>
      <c r="BO104" s="162">
        <f t="shared" si="117"/>
        <v>2.8320344437466334</v>
      </c>
      <c r="BP104" s="171">
        <f t="shared" si="164"/>
        <v>2.8320344437466334</v>
      </c>
      <c r="BQ104" s="162"/>
      <c r="BR104" s="162">
        <f t="shared" si="165"/>
        <v>1.9200000000000013</v>
      </c>
      <c r="BS104" s="162">
        <f t="shared" si="166"/>
        <v>1.9200000000000013</v>
      </c>
      <c r="BT104" s="162">
        <f t="shared" si="118"/>
        <v>2.8320344437466334</v>
      </c>
      <c r="BU104" s="171">
        <f t="shared" si="167"/>
        <v>2.8320344437466334</v>
      </c>
      <c r="BV104" s="162"/>
      <c r="BW104" s="162">
        <f t="shared" si="168"/>
        <v>1.9200000000000013</v>
      </c>
      <c r="BX104" s="170">
        <f t="shared" si="169"/>
        <v>1.9200000000000013</v>
      </c>
      <c r="BY104" s="162">
        <f t="shared" si="119"/>
        <v>2.8320344437466334</v>
      </c>
      <c r="BZ104" s="171">
        <f t="shared" si="170"/>
        <v>2.8320344437466334</v>
      </c>
      <c r="CA104" s="162"/>
      <c r="CB104" s="162">
        <f t="shared" si="171"/>
        <v>1.9200000000000013</v>
      </c>
      <c r="CC104" s="170">
        <f t="shared" si="172"/>
        <v>1.9200000000000013</v>
      </c>
      <c r="CD104" s="162">
        <f t="shared" si="120"/>
        <v>2.8320344437466334</v>
      </c>
      <c r="CE104" s="171">
        <f t="shared" si="173"/>
        <v>2.8320344437466334</v>
      </c>
      <c r="CF104" s="162"/>
      <c r="CG104" s="172">
        <f t="shared" si="174"/>
        <v>1.9200000000000013</v>
      </c>
      <c r="CH104" s="172">
        <f t="shared" si="175"/>
        <v>1.9200000000000013</v>
      </c>
      <c r="CI104" s="172">
        <f t="shared" si="121"/>
        <v>2.8320344437466334</v>
      </c>
      <c r="CJ104" s="171">
        <f t="shared" si="176"/>
        <v>2.8320344437466334</v>
      </c>
      <c r="CK104" s="172"/>
      <c r="CL104" s="162">
        <f t="shared" si="177"/>
        <v>1.9200000000000013</v>
      </c>
      <c r="CM104" s="170">
        <f t="shared" si="178"/>
        <v>1.9200000000000013</v>
      </c>
      <c r="CN104" s="162">
        <f t="shared" si="122"/>
        <v>2.8320344437466334</v>
      </c>
      <c r="CO104" s="171">
        <f t="shared" si="179"/>
        <v>2.8320344437466334</v>
      </c>
      <c r="CP104" s="162"/>
      <c r="CQ104" s="162">
        <f t="shared" si="180"/>
        <v>1.9200000000000013</v>
      </c>
      <c r="CR104" s="170">
        <f t="shared" si="181"/>
        <v>1.9200000000000013</v>
      </c>
      <c r="CS104" s="162">
        <f t="shared" si="123"/>
        <v>2.8320344437466334</v>
      </c>
      <c r="CT104" s="171">
        <f t="shared" si="182"/>
        <v>2.8320344437466334</v>
      </c>
      <c r="CU104" s="162"/>
      <c r="CV104" s="162">
        <f t="shared" si="183"/>
        <v>1.9200000000000013</v>
      </c>
      <c r="CW104" s="162">
        <f t="shared" si="184"/>
        <v>1.9200000000000013</v>
      </c>
      <c r="CX104" s="162">
        <f t="shared" si="124"/>
        <v>2.8320344437466334</v>
      </c>
      <c r="CY104" s="171">
        <f t="shared" si="185"/>
        <v>2.8320344437466334</v>
      </c>
      <c r="CZ104" s="162"/>
      <c r="DA104" s="162">
        <f t="shared" si="186"/>
        <v>1.9200000000000013</v>
      </c>
      <c r="DB104" s="170">
        <f t="shared" si="187"/>
        <v>1.9200000000000013</v>
      </c>
      <c r="DC104" s="162">
        <f t="shared" si="125"/>
        <v>2.8320344437466334</v>
      </c>
      <c r="DD104" s="171">
        <f t="shared" si="188"/>
        <v>2.8320344437466334</v>
      </c>
      <c r="DE104" s="162"/>
      <c r="DF104" s="162">
        <f t="shared" si="189"/>
        <v>1.9200000000000013</v>
      </c>
      <c r="DG104" s="170">
        <f t="shared" si="190"/>
        <v>1.9200000000000013</v>
      </c>
      <c r="DH104" s="162">
        <f t="shared" si="126"/>
        <v>2.8320344437466334</v>
      </c>
      <c r="DI104" s="171">
        <f t="shared" si="191"/>
        <v>2.8320344437466334</v>
      </c>
      <c r="DJ104" s="162"/>
      <c r="DK104" s="162">
        <f t="shared" si="192"/>
        <v>1.9200000000000013</v>
      </c>
      <c r="DL104" s="162">
        <f t="shared" si="193"/>
        <v>1.9200000000000013</v>
      </c>
      <c r="DM104" s="162">
        <f t="shared" si="127"/>
        <v>2.8320344437466334</v>
      </c>
      <c r="DN104" s="171">
        <f t="shared" si="194"/>
        <v>2.8320344437466334</v>
      </c>
      <c r="DO104" s="162"/>
      <c r="DP104" s="162">
        <f t="shared" si="195"/>
        <v>1.9200000000000013</v>
      </c>
      <c r="DQ104" s="170">
        <f t="shared" si="196"/>
        <v>1.9200000000000013</v>
      </c>
      <c r="DR104" s="162">
        <f t="shared" si="128"/>
        <v>2.8320344437466334</v>
      </c>
      <c r="DS104" s="171">
        <f t="shared" si="197"/>
        <v>2.8320344437466334</v>
      </c>
      <c r="DT104" s="162"/>
      <c r="DU104" s="162">
        <f t="shared" si="198"/>
        <v>1.9200000000000013</v>
      </c>
      <c r="DV104" s="170">
        <f t="shared" si="199"/>
        <v>1.9200000000000013</v>
      </c>
      <c r="DW104" s="162">
        <f t="shared" si="129"/>
        <v>2.8320344437466334</v>
      </c>
      <c r="DX104" s="171">
        <f t="shared" si="200"/>
        <v>2.8320344437466334</v>
      </c>
      <c r="DY104" s="162"/>
      <c r="DZ104" s="162">
        <f t="shared" si="201"/>
        <v>1.9200000000000013</v>
      </c>
      <c r="EA104" s="162">
        <f t="shared" si="202"/>
        <v>1.9200000000000013</v>
      </c>
      <c r="EB104" s="162">
        <f t="shared" si="130"/>
        <v>2.8320344437466334</v>
      </c>
      <c r="EC104" s="171">
        <f t="shared" si="203"/>
        <v>2.8320344437466334</v>
      </c>
      <c r="ED104" s="162"/>
      <c r="EE104" s="162">
        <f t="shared" si="204"/>
        <v>1.9200000000000013</v>
      </c>
      <c r="EF104" s="170">
        <f t="shared" si="205"/>
        <v>1.9200000000000013</v>
      </c>
      <c r="EG104" s="162">
        <f t="shared" si="131"/>
        <v>2.8320344437466334</v>
      </c>
      <c r="EH104" s="171">
        <f t="shared" si="206"/>
        <v>2.8320344437466334</v>
      </c>
      <c r="EI104" s="162"/>
      <c r="EJ104" s="162">
        <f t="shared" si="207"/>
        <v>1.9200000000000013</v>
      </c>
      <c r="EK104" s="170">
        <f t="shared" si="208"/>
        <v>1.9200000000000013</v>
      </c>
      <c r="EL104" s="162">
        <f t="shared" si="132"/>
        <v>2.8320344437466334</v>
      </c>
      <c r="EM104" s="171">
        <f t="shared" si="209"/>
        <v>2.8320344437466334</v>
      </c>
      <c r="EN104" s="162"/>
      <c r="EO104" s="162">
        <f t="shared" si="210"/>
        <v>1.9200000000000013</v>
      </c>
      <c r="EP104" s="162">
        <f t="shared" si="211"/>
        <v>1.9200000000000013</v>
      </c>
      <c r="EQ104" s="162">
        <f t="shared" si="133"/>
        <v>2.8320344437466334</v>
      </c>
      <c r="ER104" s="171">
        <f t="shared" si="212"/>
        <v>2.8320344437466334</v>
      </c>
      <c r="ES104" s="162"/>
      <c r="ET104" s="162">
        <f t="shared" si="213"/>
        <v>1.9200000000000013</v>
      </c>
      <c r="EU104" s="170">
        <f t="shared" si="214"/>
        <v>1.9200000000000013</v>
      </c>
      <c r="EV104" s="162">
        <f t="shared" si="134"/>
        <v>2.8320344437466334</v>
      </c>
      <c r="EW104" s="171">
        <f t="shared" si="215"/>
        <v>2.8320344437466334</v>
      </c>
      <c r="EX104" s="162"/>
    </row>
    <row r="105" spans="20:154" s="181" customFormat="1" x14ac:dyDescent="0.25">
      <c r="T105" s="162">
        <f t="shared" si="135"/>
        <v>1.9400000000000013</v>
      </c>
      <c r="U105" s="170">
        <f t="shared" si="136"/>
        <v>1.9400000000000013</v>
      </c>
      <c r="V105" s="162">
        <f t="shared" si="108"/>
        <v>2.728088601901745</v>
      </c>
      <c r="W105" s="171">
        <f t="shared" si="137"/>
        <v>2.728088601901745</v>
      </c>
      <c r="X105" s="162"/>
      <c r="Y105" s="162">
        <f t="shared" si="138"/>
        <v>1.9400000000000013</v>
      </c>
      <c r="Z105" s="162">
        <f t="shared" si="139"/>
        <v>1.9400000000000013</v>
      </c>
      <c r="AA105" s="162">
        <f t="shared" si="109"/>
        <v>2.728088601901745</v>
      </c>
      <c r="AB105" s="171">
        <f t="shared" si="140"/>
        <v>2.728088601901745</v>
      </c>
      <c r="AC105" s="162"/>
      <c r="AD105" s="162">
        <f t="shared" si="141"/>
        <v>1.9400000000000013</v>
      </c>
      <c r="AE105" s="170">
        <f t="shared" si="142"/>
        <v>1.9400000000000013</v>
      </c>
      <c r="AF105" s="162">
        <f t="shared" si="110"/>
        <v>2.728088601901745</v>
      </c>
      <c r="AG105" s="171">
        <f t="shared" si="143"/>
        <v>2.728088601901745</v>
      </c>
      <c r="AH105" s="162"/>
      <c r="AI105" s="162">
        <f t="shared" si="144"/>
        <v>1.9400000000000013</v>
      </c>
      <c r="AJ105" s="170">
        <f t="shared" si="145"/>
        <v>1.9400000000000013</v>
      </c>
      <c r="AK105" s="162">
        <f t="shared" si="111"/>
        <v>2.728088601901745</v>
      </c>
      <c r="AL105" s="171">
        <f t="shared" si="146"/>
        <v>2.728088601901745</v>
      </c>
      <c r="AM105" s="162"/>
      <c r="AN105" s="162">
        <f t="shared" si="147"/>
        <v>1.9400000000000013</v>
      </c>
      <c r="AO105" s="162">
        <f t="shared" si="148"/>
        <v>1.9400000000000013</v>
      </c>
      <c r="AP105" s="162">
        <f t="shared" si="112"/>
        <v>2.728088601901745</v>
      </c>
      <c r="AQ105" s="171">
        <f t="shared" si="149"/>
        <v>2.728088601901745</v>
      </c>
      <c r="AR105" s="162"/>
      <c r="AS105" s="162">
        <f t="shared" si="150"/>
        <v>1.9400000000000013</v>
      </c>
      <c r="AT105" s="170">
        <f t="shared" si="151"/>
        <v>1.9400000000000013</v>
      </c>
      <c r="AU105" s="162">
        <f t="shared" si="113"/>
        <v>2.728088601901745</v>
      </c>
      <c r="AV105" s="171">
        <f t="shared" si="152"/>
        <v>2.728088601901745</v>
      </c>
      <c r="AW105" s="162"/>
      <c r="AX105" s="162">
        <f t="shared" si="153"/>
        <v>1.9400000000000013</v>
      </c>
      <c r="AY105" s="170">
        <f t="shared" si="154"/>
        <v>1.9400000000000013</v>
      </c>
      <c r="AZ105" s="162">
        <f t="shared" si="114"/>
        <v>2.728088601901745</v>
      </c>
      <c r="BA105" s="171">
        <f t="shared" si="155"/>
        <v>2.728088601901745</v>
      </c>
      <c r="BB105" s="162"/>
      <c r="BC105" s="162">
        <f t="shared" si="156"/>
        <v>1.9400000000000013</v>
      </c>
      <c r="BD105" s="162">
        <f t="shared" si="157"/>
        <v>1.9400000000000013</v>
      </c>
      <c r="BE105" s="162">
        <f t="shared" si="115"/>
        <v>2.728088601901745</v>
      </c>
      <c r="BF105" s="171">
        <f t="shared" si="158"/>
        <v>2.728088601901745</v>
      </c>
      <c r="BG105" s="162"/>
      <c r="BH105" s="162">
        <f t="shared" si="159"/>
        <v>1.9400000000000013</v>
      </c>
      <c r="BI105" s="170">
        <f t="shared" si="160"/>
        <v>1.9400000000000013</v>
      </c>
      <c r="BJ105" s="162">
        <f t="shared" si="116"/>
        <v>2.728088601901745</v>
      </c>
      <c r="BK105" s="171">
        <f t="shared" si="161"/>
        <v>2.728088601901745</v>
      </c>
      <c r="BL105" s="162"/>
      <c r="BM105" s="162">
        <f t="shared" si="162"/>
        <v>1.9400000000000013</v>
      </c>
      <c r="BN105" s="170">
        <f t="shared" si="163"/>
        <v>1.9400000000000013</v>
      </c>
      <c r="BO105" s="162">
        <f t="shared" si="117"/>
        <v>2.728088601901745</v>
      </c>
      <c r="BP105" s="171">
        <f t="shared" si="164"/>
        <v>2.728088601901745</v>
      </c>
      <c r="BQ105" s="162"/>
      <c r="BR105" s="162">
        <f t="shared" si="165"/>
        <v>1.9400000000000013</v>
      </c>
      <c r="BS105" s="162">
        <f t="shared" si="166"/>
        <v>1.9400000000000013</v>
      </c>
      <c r="BT105" s="162">
        <f t="shared" si="118"/>
        <v>2.728088601901745</v>
      </c>
      <c r="BU105" s="171">
        <f t="shared" si="167"/>
        <v>2.728088601901745</v>
      </c>
      <c r="BV105" s="162"/>
      <c r="BW105" s="162">
        <f t="shared" si="168"/>
        <v>1.9400000000000013</v>
      </c>
      <c r="BX105" s="170">
        <f t="shared" si="169"/>
        <v>1.9400000000000013</v>
      </c>
      <c r="BY105" s="162">
        <f t="shared" si="119"/>
        <v>2.728088601901745</v>
      </c>
      <c r="BZ105" s="171">
        <f t="shared" si="170"/>
        <v>2.728088601901745</v>
      </c>
      <c r="CA105" s="162"/>
      <c r="CB105" s="162">
        <f t="shared" si="171"/>
        <v>1.9400000000000013</v>
      </c>
      <c r="CC105" s="170">
        <f t="shared" si="172"/>
        <v>1.9400000000000013</v>
      </c>
      <c r="CD105" s="162">
        <f t="shared" si="120"/>
        <v>2.728088601901745</v>
      </c>
      <c r="CE105" s="171">
        <f t="shared" si="173"/>
        <v>2.728088601901745</v>
      </c>
      <c r="CF105" s="162"/>
      <c r="CG105" s="172">
        <f t="shared" si="174"/>
        <v>1.9400000000000013</v>
      </c>
      <c r="CH105" s="172">
        <f t="shared" si="175"/>
        <v>1.9400000000000013</v>
      </c>
      <c r="CI105" s="172">
        <f t="shared" si="121"/>
        <v>2.728088601901745</v>
      </c>
      <c r="CJ105" s="171">
        <f t="shared" si="176"/>
        <v>2.728088601901745</v>
      </c>
      <c r="CK105" s="172"/>
      <c r="CL105" s="162">
        <f t="shared" si="177"/>
        <v>1.9400000000000013</v>
      </c>
      <c r="CM105" s="170">
        <f t="shared" si="178"/>
        <v>1.9400000000000013</v>
      </c>
      <c r="CN105" s="162">
        <f t="shared" si="122"/>
        <v>2.728088601901745</v>
      </c>
      <c r="CO105" s="171">
        <f t="shared" si="179"/>
        <v>2.728088601901745</v>
      </c>
      <c r="CP105" s="162"/>
      <c r="CQ105" s="162">
        <f t="shared" si="180"/>
        <v>1.9400000000000013</v>
      </c>
      <c r="CR105" s="170">
        <f t="shared" si="181"/>
        <v>1.9400000000000013</v>
      </c>
      <c r="CS105" s="162">
        <f t="shared" si="123"/>
        <v>2.728088601901745</v>
      </c>
      <c r="CT105" s="171">
        <f t="shared" si="182"/>
        <v>2.728088601901745</v>
      </c>
      <c r="CU105" s="162"/>
      <c r="CV105" s="162">
        <f t="shared" si="183"/>
        <v>1.9400000000000013</v>
      </c>
      <c r="CW105" s="162">
        <f t="shared" si="184"/>
        <v>1.9400000000000013</v>
      </c>
      <c r="CX105" s="162">
        <f t="shared" si="124"/>
        <v>2.728088601901745</v>
      </c>
      <c r="CY105" s="171">
        <f t="shared" si="185"/>
        <v>2.728088601901745</v>
      </c>
      <c r="CZ105" s="162"/>
      <c r="DA105" s="162">
        <f t="shared" si="186"/>
        <v>1.9400000000000013</v>
      </c>
      <c r="DB105" s="170">
        <f t="shared" si="187"/>
        <v>1.9400000000000013</v>
      </c>
      <c r="DC105" s="162">
        <f t="shared" si="125"/>
        <v>2.728088601901745</v>
      </c>
      <c r="DD105" s="171">
        <f t="shared" si="188"/>
        <v>2.728088601901745</v>
      </c>
      <c r="DE105" s="162"/>
      <c r="DF105" s="162">
        <f t="shared" si="189"/>
        <v>1.9400000000000013</v>
      </c>
      <c r="DG105" s="170">
        <f t="shared" si="190"/>
        <v>1.9400000000000013</v>
      </c>
      <c r="DH105" s="162">
        <f t="shared" si="126"/>
        <v>2.728088601901745</v>
      </c>
      <c r="DI105" s="171">
        <f t="shared" si="191"/>
        <v>2.728088601901745</v>
      </c>
      <c r="DJ105" s="162"/>
      <c r="DK105" s="162">
        <f t="shared" si="192"/>
        <v>1.9400000000000013</v>
      </c>
      <c r="DL105" s="162">
        <f t="shared" si="193"/>
        <v>1.9400000000000013</v>
      </c>
      <c r="DM105" s="162">
        <f t="shared" si="127"/>
        <v>2.728088601901745</v>
      </c>
      <c r="DN105" s="171">
        <f t="shared" si="194"/>
        <v>2.728088601901745</v>
      </c>
      <c r="DO105" s="162"/>
      <c r="DP105" s="162">
        <f t="shared" si="195"/>
        <v>1.9400000000000013</v>
      </c>
      <c r="DQ105" s="170">
        <f t="shared" si="196"/>
        <v>1.9400000000000013</v>
      </c>
      <c r="DR105" s="162">
        <f t="shared" si="128"/>
        <v>2.728088601901745</v>
      </c>
      <c r="DS105" s="171">
        <f t="shared" si="197"/>
        <v>2.728088601901745</v>
      </c>
      <c r="DT105" s="162"/>
      <c r="DU105" s="162">
        <f t="shared" si="198"/>
        <v>1.9400000000000013</v>
      </c>
      <c r="DV105" s="170">
        <f t="shared" si="199"/>
        <v>1.9400000000000013</v>
      </c>
      <c r="DW105" s="162">
        <f t="shared" si="129"/>
        <v>2.728088601901745</v>
      </c>
      <c r="DX105" s="171">
        <f t="shared" si="200"/>
        <v>2.728088601901745</v>
      </c>
      <c r="DY105" s="162"/>
      <c r="DZ105" s="162">
        <f t="shared" si="201"/>
        <v>1.9400000000000013</v>
      </c>
      <c r="EA105" s="162">
        <f t="shared" si="202"/>
        <v>1.9400000000000013</v>
      </c>
      <c r="EB105" s="162">
        <f t="shared" si="130"/>
        <v>2.728088601901745</v>
      </c>
      <c r="EC105" s="171">
        <f t="shared" si="203"/>
        <v>2.728088601901745</v>
      </c>
      <c r="ED105" s="162"/>
      <c r="EE105" s="162">
        <f t="shared" si="204"/>
        <v>1.9400000000000013</v>
      </c>
      <c r="EF105" s="170">
        <f t="shared" si="205"/>
        <v>1.9400000000000013</v>
      </c>
      <c r="EG105" s="162">
        <f t="shared" si="131"/>
        <v>2.728088601901745</v>
      </c>
      <c r="EH105" s="171">
        <f t="shared" si="206"/>
        <v>2.728088601901745</v>
      </c>
      <c r="EI105" s="162"/>
      <c r="EJ105" s="162">
        <f t="shared" si="207"/>
        <v>1.9400000000000013</v>
      </c>
      <c r="EK105" s="170">
        <f t="shared" si="208"/>
        <v>1.9400000000000013</v>
      </c>
      <c r="EL105" s="162">
        <f t="shared" si="132"/>
        <v>2.728088601901745</v>
      </c>
      <c r="EM105" s="171">
        <f t="shared" si="209"/>
        <v>2.728088601901745</v>
      </c>
      <c r="EN105" s="162"/>
      <c r="EO105" s="162">
        <f t="shared" si="210"/>
        <v>1.9400000000000013</v>
      </c>
      <c r="EP105" s="162">
        <f t="shared" si="211"/>
        <v>1.9400000000000013</v>
      </c>
      <c r="EQ105" s="162">
        <f t="shared" si="133"/>
        <v>2.728088601901745</v>
      </c>
      <c r="ER105" s="171">
        <f t="shared" si="212"/>
        <v>2.728088601901745</v>
      </c>
      <c r="ES105" s="162"/>
      <c r="ET105" s="162">
        <f t="shared" si="213"/>
        <v>1.9400000000000013</v>
      </c>
      <c r="EU105" s="170">
        <f t="shared" si="214"/>
        <v>1.9400000000000013</v>
      </c>
      <c r="EV105" s="162">
        <f t="shared" si="134"/>
        <v>2.728088601901745</v>
      </c>
      <c r="EW105" s="171">
        <f t="shared" si="215"/>
        <v>2.728088601901745</v>
      </c>
      <c r="EX105" s="162"/>
    </row>
    <row r="106" spans="20:154" s="181" customFormat="1" x14ac:dyDescent="0.25">
      <c r="T106" s="162">
        <f t="shared" si="135"/>
        <v>1.9600000000000013</v>
      </c>
      <c r="U106" s="170">
        <f t="shared" si="136"/>
        <v>1.9600000000000013</v>
      </c>
      <c r="V106" s="162">
        <f t="shared" si="108"/>
        <v>2.6214342473290069</v>
      </c>
      <c r="W106" s="171">
        <f t="shared" si="137"/>
        <v>2.6214342473290069</v>
      </c>
      <c r="X106" s="162"/>
      <c r="Y106" s="162">
        <f t="shared" si="138"/>
        <v>1.9600000000000013</v>
      </c>
      <c r="Z106" s="162">
        <f t="shared" si="139"/>
        <v>1.9600000000000013</v>
      </c>
      <c r="AA106" s="162">
        <f t="shared" si="109"/>
        <v>2.6214342473290069</v>
      </c>
      <c r="AB106" s="171">
        <f t="shared" si="140"/>
        <v>2.6214342473290069</v>
      </c>
      <c r="AC106" s="162"/>
      <c r="AD106" s="162">
        <f t="shared" si="141"/>
        <v>1.9600000000000013</v>
      </c>
      <c r="AE106" s="170">
        <f t="shared" si="142"/>
        <v>1.9600000000000013</v>
      </c>
      <c r="AF106" s="162">
        <f t="shared" si="110"/>
        <v>2.6214342473290069</v>
      </c>
      <c r="AG106" s="171">
        <f t="shared" si="143"/>
        <v>2.6214342473290069</v>
      </c>
      <c r="AH106" s="162"/>
      <c r="AI106" s="162">
        <f t="shared" si="144"/>
        <v>1.9600000000000013</v>
      </c>
      <c r="AJ106" s="170">
        <f t="shared" si="145"/>
        <v>1.9600000000000013</v>
      </c>
      <c r="AK106" s="162">
        <f t="shared" si="111"/>
        <v>2.6214342473290069</v>
      </c>
      <c r="AL106" s="171">
        <f t="shared" si="146"/>
        <v>2.6214342473290069</v>
      </c>
      <c r="AM106" s="162"/>
      <c r="AN106" s="162">
        <f t="shared" si="147"/>
        <v>1.9600000000000013</v>
      </c>
      <c r="AO106" s="162">
        <f t="shared" si="148"/>
        <v>1.9600000000000013</v>
      </c>
      <c r="AP106" s="162">
        <f t="shared" si="112"/>
        <v>2.6214342473290069</v>
      </c>
      <c r="AQ106" s="171">
        <f t="shared" si="149"/>
        <v>2.6214342473290069</v>
      </c>
      <c r="AR106" s="162"/>
      <c r="AS106" s="162">
        <f t="shared" si="150"/>
        <v>1.9600000000000013</v>
      </c>
      <c r="AT106" s="170">
        <f t="shared" si="151"/>
        <v>1.9600000000000013</v>
      </c>
      <c r="AU106" s="162">
        <f t="shared" si="113"/>
        <v>2.6214342473290069</v>
      </c>
      <c r="AV106" s="171">
        <f t="shared" si="152"/>
        <v>2.6214342473290069</v>
      </c>
      <c r="AW106" s="162"/>
      <c r="AX106" s="162">
        <f t="shared" si="153"/>
        <v>1.9600000000000013</v>
      </c>
      <c r="AY106" s="170">
        <f t="shared" si="154"/>
        <v>1.9600000000000013</v>
      </c>
      <c r="AZ106" s="162">
        <f t="shared" si="114"/>
        <v>2.6214342473290069</v>
      </c>
      <c r="BA106" s="171">
        <f t="shared" si="155"/>
        <v>2.6214342473290069</v>
      </c>
      <c r="BB106" s="162"/>
      <c r="BC106" s="162">
        <f t="shared" si="156"/>
        <v>1.9600000000000013</v>
      </c>
      <c r="BD106" s="162">
        <f t="shared" si="157"/>
        <v>1.9600000000000013</v>
      </c>
      <c r="BE106" s="162">
        <f t="shared" si="115"/>
        <v>2.6214342473290069</v>
      </c>
      <c r="BF106" s="171">
        <f t="shared" si="158"/>
        <v>2.6214342473290069</v>
      </c>
      <c r="BG106" s="162"/>
      <c r="BH106" s="162">
        <f t="shared" si="159"/>
        <v>1.9600000000000013</v>
      </c>
      <c r="BI106" s="170">
        <f t="shared" si="160"/>
        <v>1.9600000000000013</v>
      </c>
      <c r="BJ106" s="162">
        <f t="shared" si="116"/>
        <v>2.6214342473290069</v>
      </c>
      <c r="BK106" s="171">
        <f t="shared" si="161"/>
        <v>2.6214342473290069</v>
      </c>
      <c r="BL106" s="162"/>
      <c r="BM106" s="162">
        <f t="shared" si="162"/>
        <v>1.9600000000000013</v>
      </c>
      <c r="BN106" s="170">
        <f t="shared" si="163"/>
        <v>1.9600000000000013</v>
      </c>
      <c r="BO106" s="162">
        <f t="shared" si="117"/>
        <v>2.6214342473290069</v>
      </c>
      <c r="BP106" s="171">
        <f t="shared" si="164"/>
        <v>2.6214342473290069</v>
      </c>
      <c r="BQ106" s="162"/>
      <c r="BR106" s="162">
        <f t="shared" si="165"/>
        <v>1.9600000000000013</v>
      </c>
      <c r="BS106" s="162">
        <f t="shared" si="166"/>
        <v>1.9600000000000013</v>
      </c>
      <c r="BT106" s="162">
        <f t="shared" si="118"/>
        <v>2.6214342473290069</v>
      </c>
      <c r="BU106" s="171">
        <f t="shared" si="167"/>
        <v>2.6214342473290069</v>
      </c>
      <c r="BV106" s="162"/>
      <c r="BW106" s="162">
        <f t="shared" si="168"/>
        <v>1.9600000000000013</v>
      </c>
      <c r="BX106" s="170">
        <f t="shared" si="169"/>
        <v>1.9600000000000013</v>
      </c>
      <c r="BY106" s="162">
        <f t="shared" si="119"/>
        <v>2.6214342473290069</v>
      </c>
      <c r="BZ106" s="171">
        <f t="shared" si="170"/>
        <v>2.6214342473290069</v>
      </c>
      <c r="CA106" s="162"/>
      <c r="CB106" s="162">
        <f t="shared" si="171"/>
        <v>1.9600000000000013</v>
      </c>
      <c r="CC106" s="170">
        <f t="shared" si="172"/>
        <v>1.9600000000000013</v>
      </c>
      <c r="CD106" s="162">
        <f t="shared" si="120"/>
        <v>2.6214342473290069</v>
      </c>
      <c r="CE106" s="171">
        <f t="shared" si="173"/>
        <v>2.6214342473290069</v>
      </c>
      <c r="CF106" s="162"/>
      <c r="CG106" s="172">
        <f t="shared" si="174"/>
        <v>1.9600000000000013</v>
      </c>
      <c r="CH106" s="172">
        <f t="shared" si="175"/>
        <v>1.9600000000000013</v>
      </c>
      <c r="CI106" s="172">
        <f t="shared" si="121"/>
        <v>2.6214342473290069</v>
      </c>
      <c r="CJ106" s="171">
        <f t="shared" si="176"/>
        <v>2.6214342473290069</v>
      </c>
      <c r="CK106" s="172"/>
      <c r="CL106" s="162">
        <f t="shared" si="177"/>
        <v>1.9600000000000013</v>
      </c>
      <c r="CM106" s="170">
        <f t="shared" si="178"/>
        <v>1.9600000000000013</v>
      </c>
      <c r="CN106" s="162">
        <f t="shared" si="122"/>
        <v>2.6214342473290069</v>
      </c>
      <c r="CO106" s="171">
        <f t="shared" si="179"/>
        <v>2.6214342473290069</v>
      </c>
      <c r="CP106" s="162"/>
      <c r="CQ106" s="162">
        <f t="shared" si="180"/>
        <v>1.9600000000000013</v>
      </c>
      <c r="CR106" s="170">
        <f t="shared" si="181"/>
        <v>1.9600000000000013</v>
      </c>
      <c r="CS106" s="162">
        <f t="shared" si="123"/>
        <v>2.6214342473290069</v>
      </c>
      <c r="CT106" s="171">
        <f t="shared" si="182"/>
        <v>2.6214342473290069</v>
      </c>
      <c r="CU106" s="162"/>
      <c r="CV106" s="162">
        <f t="shared" si="183"/>
        <v>1.9600000000000013</v>
      </c>
      <c r="CW106" s="162">
        <f t="shared" si="184"/>
        <v>1.9600000000000013</v>
      </c>
      <c r="CX106" s="162">
        <f t="shared" si="124"/>
        <v>2.6214342473290069</v>
      </c>
      <c r="CY106" s="171">
        <f t="shared" si="185"/>
        <v>2.6214342473290069</v>
      </c>
      <c r="CZ106" s="162"/>
      <c r="DA106" s="162">
        <f t="shared" si="186"/>
        <v>1.9600000000000013</v>
      </c>
      <c r="DB106" s="170">
        <f t="shared" si="187"/>
        <v>1.9600000000000013</v>
      </c>
      <c r="DC106" s="162">
        <f t="shared" si="125"/>
        <v>2.6214342473290069</v>
      </c>
      <c r="DD106" s="171">
        <f t="shared" si="188"/>
        <v>2.6214342473290069</v>
      </c>
      <c r="DE106" s="162"/>
      <c r="DF106" s="162">
        <f t="shared" si="189"/>
        <v>1.9600000000000013</v>
      </c>
      <c r="DG106" s="170">
        <f t="shared" si="190"/>
        <v>1.9600000000000013</v>
      </c>
      <c r="DH106" s="162">
        <f t="shared" si="126"/>
        <v>2.6214342473290069</v>
      </c>
      <c r="DI106" s="171">
        <f t="shared" si="191"/>
        <v>2.6214342473290069</v>
      </c>
      <c r="DJ106" s="162"/>
      <c r="DK106" s="162">
        <f t="shared" si="192"/>
        <v>1.9600000000000013</v>
      </c>
      <c r="DL106" s="162">
        <f t="shared" si="193"/>
        <v>1.9600000000000013</v>
      </c>
      <c r="DM106" s="162">
        <f t="shared" si="127"/>
        <v>2.6214342473290069</v>
      </c>
      <c r="DN106" s="171">
        <f t="shared" si="194"/>
        <v>2.6214342473290069</v>
      </c>
      <c r="DO106" s="162"/>
      <c r="DP106" s="162">
        <f t="shared" si="195"/>
        <v>1.9600000000000013</v>
      </c>
      <c r="DQ106" s="170">
        <f t="shared" si="196"/>
        <v>1.9600000000000013</v>
      </c>
      <c r="DR106" s="162">
        <f t="shared" si="128"/>
        <v>2.6214342473290069</v>
      </c>
      <c r="DS106" s="171">
        <f t="shared" si="197"/>
        <v>2.6214342473290069</v>
      </c>
      <c r="DT106" s="162"/>
      <c r="DU106" s="162">
        <f t="shared" si="198"/>
        <v>1.9600000000000013</v>
      </c>
      <c r="DV106" s="170">
        <f t="shared" si="199"/>
        <v>1.9600000000000013</v>
      </c>
      <c r="DW106" s="162">
        <f t="shared" si="129"/>
        <v>2.6214342473290069</v>
      </c>
      <c r="DX106" s="171">
        <f t="shared" si="200"/>
        <v>2.6214342473290069</v>
      </c>
      <c r="DY106" s="162"/>
      <c r="DZ106" s="162">
        <f t="shared" si="201"/>
        <v>1.9600000000000013</v>
      </c>
      <c r="EA106" s="162">
        <f t="shared" si="202"/>
        <v>1.9600000000000013</v>
      </c>
      <c r="EB106" s="162">
        <f t="shared" si="130"/>
        <v>2.6214342473290069</v>
      </c>
      <c r="EC106" s="171">
        <f t="shared" si="203"/>
        <v>2.6214342473290069</v>
      </c>
      <c r="ED106" s="162"/>
      <c r="EE106" s="162">
        <f t="shared" si="204"/>
        <v>1.9600000000000013</v>
      </c>
      <c r="EF106" s="170">
        <f t="shared" si="205"/>
        <v>1.9600000000000013</v>
      </c>
      <c r="EG106" s="162">
        <f t="shared" si="131"/>
        <v>2.6214342473290069</v>
      </c>
      <c r="EH106" s="171">
        <f t="shared" si="206"/>
        <v>2.6214342473290069</v>
      </c>
      <c r="EI106" s="162"/>
      <c r="EJ106" s="162">
        <f t="shared" si="207"/>
        <v>1.9600000000000013</v>
      </c>
      <c r="EK106" s="170">
        <f t="shared" si="208"/>
        <v>1.9600000000000013</v>
      </c>
      <c r="EL106" s="162">
        <f t="shared" si="132"/>
        <v>2.6214342473290069</v>
      </c>
      <c r="EM106" s="171">
        <f t="shared" si="209"/>
        <v>2.6214342473290069</v>
      </c>
      <c r="EN106" s="162"/>
      <c r="EO106" s="162">
        <f t="shared" si="210"/>
        <v>1.9600000000000013</v>
      </c>
      <c r="EP106" s="162">
        <f t="shared" si="211"/>
        <v>1.9600000000000013</v>
      </c>
      <c r="EQ106" s="162">
        <f t="shared" si="133"/>
        <v>2.6214342473290069</v>
      </c>
      <c r="ER106" s="171">
        <f t="shared" si="212"/>
        <v>2.6214342473290069</v>
      </c>
      <c r="ES106" s="162"/>
      <c r="ET106" s="162">
        <f t="shared" si="213"/>
        <v>1.9600000000000013</v>
      </c>
      <c r="EU106" s="170">
        <f t="shared" si="214"/>
        <v>1.9600000000000013</v>
      </c>
      <c r="EV106" s="162">
        <f t="shared" si="134"/>
        <v>2.6214342473290069</v>
      </c>
      <c r="EW106" s="171">
        <f t="shared" si="215"/>
        <v>2.6214342473290069</v>
      </c>
      <c r="EX106" s="162"/>
    </row>
    <row r="107" spans="20:154" s="181" customFormat="1" x14ac:dyDescent="0.25">
      <c r="T107" s="162">
        <f t="shared" si="135"/>
        <v>1.9800000000000013</v>
      </c>
      <c r="U107" s="170">
        <f t="shared" si="136"/>
        <v>1.9800000000000013</v>
      </c>
      <c r="V107" s="162">
        <f t="shared" si="108"/>
        <v>2.5120713800284244</v>
      </c>
      <c r="W107" s="171">
        <f t="shared" si="137"/>
        <v>2.5120713800284244</v>
      </c>
      <c r="X107" s="162"/>
      <c r="Y107" s="162">
        <f t="shared" si="138"/>
        <v>1.9800000000000013</v>
      </c>
      <c r="Z107" s="162">
        <f t="shared" si="139"/>
        <v>1.9800000000000013</v>
      </c>
      <c r="AA107" s="162">
        <f t="shared" si="109"/>
        <v>2.5120713800284244</v>
      </c>
      <c r="AB107" s="171">
        <f t="shared" si="140"/>
        <v>2.5120713800284244</v>
      </c>
      <c r="AC107" s="162"/>
      <c r="AD107" s="162">
        <f t="shared" si="141"/>
        <v>1.9800000000000013</v>
      </c>
      <c r="AE107" s="170">
        <f t="shared" si="142"/>
        <v>1.9800000000000013</v>
      </c>
      <c r="AF107" s="162">
        <f t="shared" si="110"/>
        <v>2.5120713800284244</v>
      </c>
      <c r="AG107" s="171">
        <f t="shared" si="143"/>
        <v>2.5120713800284244</v>
      </c>
      <c r="AH107" s="162"/>
      <c r="AI107" s="162">
        <f t="shared" si="144"/>
        <v>1.9800000000000013</v>
      </c>
      <c r="AJ107" s="170">
        <f t="shared" si="145"/>
        <v>1.9800000000000013</v>
      </c>
      <c r="AK107" s="162">
        <f t="shared" si="111"/>
        <v>2.5120713800284244</v>
      </c>
      <c r="AL107" s="171">
        <f t="shared" si="146"/>
        <v>2.5120713800284244</v>
      </c>
      <c r="AM107" s="162"/>
      <c r="AN107" s="162">
        <f t="shared" si="147"/>
        <v>1.9800000000000013</v>
      </c>
      <c r="AO107" s="162">
        <f t="shared" si="148"/>
        <v>1.9800000000000013</v>
      </c>
      <c r="AP107" s="162">
        <f t="shared" si="112"/>
        <v>2.5120713800284244</v>
      </c>
      <c r="AQ107" s="171">
        <f t="shared" si="149"/>
        <v>2.5120713800284244</v>
      </c>
      <c r="AR107" s="162"/>
      <c r="AS107" s="162">
        <f t="shared" si="150"/>
        <v>1.9800000000000013</v>
      </c>
      <c r="AT107" s="170">
        <f t="shared" si="151"/>
        <v>1.9800000000000013</v>
      </c>
      <c r="AU107" s="162">
        <f t="shared" si="113"/>
        <v>2.5120713800284244</v>
      </c>
      <c r="AV107" s="171">
        <f t="shared" si="152"/>
        <v>2.5120713800284244</v>
      </c>
      <c r="AW107" s="162"/>
      <c r="AX107" s="162">
        <f t="shared" si="153"/>
        <v>1.9800000000000013</v>
      </c>
      <c r="AY107" s="170">
        <f t="shared" si="154"/>
        <v>1.9800000000000013</v>
      </c>
      <c r="AZ107" s="162">
        <f t="shared" si="114"/>
        <v>2.5120713800284244</v>
      </c>
      <c r="BA107" s="171">
        <f t="shared" si="155"/>
        <v>2.5120713800284244</v>
      </c>
      <c r="BB107" s="162"/>
      <c r="BC107" s="162">
        <f t="shared" si="156"/>
        <v>1.9800000000000013</v>
      </c>
      <c r="BD107" s="162">
        <f t="shared" si="157"/>
        <v>1.9800000000000013</v>
      </c>
      <c r="BE107" s="162">
        <f t="shared" si="115"/>
        <v>2.5120713800284244</v>
      </c>
      <c r="BF107" s="171">
        <f t="shared" si="158"/>
        <v>2.5120713800284244</v>
      </c>
      <c r="BG107" s="162"/>
      <c r="BH107" s="162">
        <f t="shared" si="159"/>
        <v>1.9800000000000013</v>
      </c>
      <c r="BI107" s="170">
        <f t="shared" si="160"/>
        <v>1.9800000000000013</v>
      </c>
      <c r="BJ107" s="162">
        <f t="shared" si="116"/>
        <v>2.5120713800284244</v>
      </c>
      <c r="BK107" s="171">
        <f t="shared" si="161"/>
        <v>2.5120713800284244</v>
      </c>
      <c r="BL107" s="162"/>
      <c r="BM107" s="162">
        <f t="shared" si="162"/>
        <v>1.9800000000000013</v>
      </c>
      <c r="BN107" s="170">
        <f t="shared" si="163"/>
        <v>1.9800000000000013</v>
      </c>
      <c r="BO107" s="162">
        <f t="shared" si="117"/>
        <v>2.5120713800284244</v>
      </c>
      <c r="BP107" s="171">
        <f t="shared" si="164"/>
        <v>2.5120713800284244</v>
      </c>
      <c r="BQ107" s="162"/>
      <c r="BR107" s="162">
        <f t="shared" si="165"/>
        <v>1.9800000000000013</v>
      </c>
      <c r="BS107" s="162">
        <f t="shared" si="166"/>
        <v>1.9800000000000013</v>
      </c>
      <c r="BT107" s="162">
        <f t="shared" si="118"/>
        <v>2.5120713800284244</v>
      </c>
      <c r="BU107" s="171">
        <f t="shared" si="167"/>
        <v>2.5120713800284244</v>
      </c>
      <c r="BV107" s="162"/>
      <c r="BW107" s="162">
        <f t="shared" si="168"/>
        <v>1.9800000000000013</v>
      </c>
      <c r="BX107" s="170">
        <f t="shared" si="169"/>
        <v>1.9800000000000013</v>
      </c>
      <c r="BY107" s="162">
        <f t="shared" si="119"/>
        <v>2.5120713800284244</v>
      </c>
      <c r="BZ107" s="171">
        <f t="shared" si="170"/>
        <v>2.5120713800284244</v>
      </c>
      <c r="CA107" s="162"/>
      <c r="CB107" s="162">
        <f t="shared" si="171"/>
        <v>1.9800000000000013</v>
      </c>
      <c r="CC107" s="170">
        <f t="shared" si="172"/>
        <v>1.9800000000000013</v>
      </c>
      <c r="CD107" s="162">
        <f t="shared" si="120"/>
        <v>2.5120713800284244</v>
      </c>
      <c r="CE107" s="171">
        <f t="shared" si="173"/>
        <v>2.5120713800284244</v>
      </c>
      <c r="CF107" s="162"/>
      <c r="CG107" s="172">
        <f t="shared" si="174"/>
        <v>1.9800000000000013</v>
      </c>
      <c r="CH107" s="172">
        <f t="shared" si="175"/>
        <v>1.9800000000000013</v>
      </c>
      <c r="CI107" s="172">
        <f t="shared" si="121"/>
        <v>2.5120713800284244</v>
      </c>
      <c r="CJ107" s="171">
        <f t="shared" si="176"/>
        <v>2.5120713800284244</v>
      </c>
      <c r="CK107" s="172"/>
      <c r="CL107" s="162">
        <f t="shared" si="177"/>
        <v>1.9800000000000013</v>
      </c>
      <c r="CM107" s="170">
        <f t="shared" si="178"/>
        <v>1.9800000000000013</v>
      </c>
      <c r="CN107" s="162">
        <f t="shared" si="122"/>
        <v>2.5120713800284244</v>
      </c>
      <c r="CO107" s="171">
        <f t="shared" si="179"/>
        <v>2.5120713800284244</v>
      </c>
      <c r="CP107" s="162"/>
      <c r="CQ107" s="162">
        <f t="shared" si="180"/>
        <v>1.9800000000000013</v>
      </c>
      <c r="CR107" s="170">
        <f t="shared" si="181"/>
        <v>1.9800000000000013</v>
      </c>
      <c r="CS107" s="162">
        <f t="shared" si="123"/>
        <v>2.5120713800284244</v>
      </c>
      <c r="CT107" s="171">
        <f t="shared" si="182"/>
        <v>2.5120713800284244</v>
      </c>
      <c r="CU107" s="162"/>
      <c r="CV107" s="162">
        <f t="shared" si="183"/>
        <v>1.9800000000000013</v>
      </c>
      <c r="CW107" s="162">
        <f t="shared" si="184"/>
        <v>1.9800000000000013</v>
      </c>
      <c r="CX107" s="162">
        <f t="shared" si="124"/>
        <v>2.5120713800284244</v>
      </c>
      <c r="CY107" s="171">
        <f t="shared" si="185"/>
        <v>2.5120713800284244</v>
      </c>
      <c r="CZ107" s="162"/>
      <c r="DA107" s="162">
        <f t="shared" si="186"/>
        <v>1.9800000000000013</v>
      </c>
      <c r="DB107" s="170">
        <f t="shared" si="187"/>
        <v>1.9800000000000013</v>
      </c>
      <c r="DC107" s="162">
        <f t="shared" si="125"/>
        <v>2.5120713800284244</v>
      </c>
      <c r="DD107" s="171">
        <f t="shared" si="188"/>
        <v>2.5120713800284244</v>
      </c>
      <c r="DE107" s="162"/>
      <c r="DF107" s="162">
        <f t="shared" si="189"/>
        <v>1.9800000000000013</v>
      </c>
      <c r="DG107" s="170">
        <f t="shared" si="190"/>
        <v>1.9800000000000013</v>
      </c>
      <c r="DH107" s="162">
        <f t="shared" si="126"/>
        <v>2.5120713800284244</v>
      </c>
      <c r="DI107" s="171">
        <f t="shared" si="191"/>
        <v>2.5120713800284244</v>
      </c>
      <c r="DJ107" s="162"/>
      <c r="DK107" s="162">
        <f t="shared" si="192"/>
        <v>1.9800000000000013</v>
      </c>
      <c r="DL107" s="162">
        <f t="shared" si="193"/>
        <v>1.9800000000000013</v>
      </c>
      <c r="DM107" s="162">
        <f t="shared" si="127"/>
        <v>2.5120713800284244</v>
      </c>
      <c r="DN107" s="171">
        <f t="shared" si="194"/>
        <v>2.5120713800284244</v>
      </c>
      <c r="DO107" s="162"/>
      <c r="DP107" s="162">
        <f t="shared" si="195"/>
        <v>1.9800000000000013</v>
      </c>
      <c r="DQ107" s="170">
        <f t="shared" si="196"/>
        <v>1.9800000000000013</v>
      </c>
      <c r="DR107" s="162">
        <f t="shared" si="128"/>
        <v>2.5120713800284244</v>
      </c>
      <c r="DS107" s="171">
        <f t="shared" si="197"/>
        <v>2.5120713800284244</v>
      </c>
      <c r="DT107" s="162"/>
      <c r="DU107" s="162">
        <f t="shared" si="198"/>
        <v>1.9800000000000013</v>
      </c>
      <c r="DV107" s="170">
        <f t="shared" si="199"/>
        <v>1.9800000000000013</v>
      </c>
      <c r="DW107" s="162">
        <f t="shared" si="129"/>
        <v>2.5120713800284244</v>
      </c>
      <c r="DX107" s="171">
        <f t="shared" si="200"/>
        <v>2.5120713800284244</v>
      </c>
      <c r="DY107" s="162"/>
      <c r="DZ107" s="162">
        <f t="shared" si="201"/>
        <v>1.9800000000000013</v>
      </c>
      <c r="EA107" s="162">
        <f t="shared" si="202"/>
        <v>1.9800000000000013</v>
      </c>
      <c r="EB107" s="162">
        <f t="shared" si="130"/>
        <v>2.5120713800284244</v>
      </c>
      <c r="EC107" s="171">
        <f t="shared" si="203"/>
        <v>2.5120713800284244</v>
      </c>
      <c r="ED107" s="162"/>
      <c r="EE107" s="162">
        <f t="shared" si="204"/>
        <v>1.9800000000000013</v>
      </c>
      <c r="EF107" s="170">
        <f t="shared" si="205"/>
        <v>1.9800000000000013</v>
      </c>
      <c r="EG107" s="162">
        <f t="shared" si="131"/>
        <v>2.5120713800284244</v>
      </c>
      <c r="EH107" s="171">
        <f t="shared" si="206"/>
        <v>2.5120713800284244</v>
      </c>
      <c r="EI107" s="162"/>
      <c r="EJ107" s="162">
        <f t="shared" si="207"/>
        <v>1.9800000000000013</v>
      </c>
      <c r="EK107" s="170">
        <f t="shared" si="208"/>
        <v>1.9800000000000013</v>
      </c>
      <c r="EL107" s="162">
        <f t="shared" si="132"/>
        <v>2.5120713800284244</v>
      </c>
      <c r="EM107" s="171">
        <f t="shared" si="209"/>
        <v>2.5120713800284244</v>
      </c>
      <c r="EN107" s="162"/>
      <c r="EO107" s="162">
        <f t="shared" si="210"/>
        <v>1.9800000000000013</v>
      </c>
      <c r="EP107" s="162">
        <f t="shared" si="211"/>
        <v>1.9800000000000013</v>
      </c>
      <c r="EQ107" s="162">
        <f t="shared" si="133"/>
        <v>2.5120713800284244</v>
      </c>
      <c r="ER107" s="171">
        <f t="shared" si="212"/>
        <v>2.5120713800284244</v>
      </c>
      <c r="ES107" s="162"/>
      <c r="ET107" s="162">
        <f t="shared" si="213"/>
        <v>1.9800000000000013</v>
      </c>
      <c r="EU107" s="170">
        <f t="shared" si="214"/>
        <v>1.9800000000000013</v>
      </c>
      <c r="EV107" s="162">
        <f t="shared" si="134"/>
        <v>2.5120713800284244</v>
      </c>
      <c r="EW107" s="171">
        <f t="shared" si="215"/>
        <v>2.5120713800284244</v>
      </c>
      <c r="EX107" s="162"/>
    </row>
    <row r="108" spans="20:154" s="181" customFormat="1" x14ac:dyDescent="0.25">
      <c r="T108" s="162">
        <f t="shared" si="135"/>
        <v>2.0000000000000013</v>
      </c>
      <c r="U108" s="170">
        <f t="shared" si="136"/>
        <v>2.0000000000000013</v>
      </c>
      <c r="V108" s="162">
        <f t="shared" si="108"/>
        <v>2.3999999999999941</v>
      </c>
      <c r="W108" s="171">
        <f t="shared" si="137"/>
        <v>2.3999999999999941</v>
      </c>
      <c r="X108" s="162"/>
      <c r="Y108" s="162">
        <f t="shared" si="138"/>
        <v>2.0000000000000013</v>
      </c>
      <c r="Z108" s="162">
        <f t="shared" si="139"/>
        <v>2.0000000000000013</v>
      </c>
      <c r="AA108" s="162">
        <f t="shared" si="109"/>
        <v>2.3999999999999941</v>
      </c>
      <c r="AB108" s="171">
        <f t="shared" si="140"/>
        <v>2.3999999999999941</v>
      </c>
      <c r="AC108" s="162"/>
      <c r="AD108" s="162">
        <f t="shared" si="141"/>
        <v>2.0000000000000013</v>
      </c>
      <c r="AE108" s="170">
        <f t="shared" si="142"/>
        <v>2.0000000000000013</v>
      </c>
      <c r="AF108" s="162">
        <f t="shared" si="110"/>
        <v>2.3999999999999941</v>
      </c>
      <c r="AG108" s="171">
        <f t="shared" si="143"/>
        <v>2.3999999999999941</v>
      </c>
      <c r="AH108" s="162"/>
      <c r="AI108" s="162">
        <f t="shared" si="144"/>
        <v>2.0000000000000013</v>
      </c>
      <c r="AJ108" s="170">
        <f t="shared" si="145"/>
        <v>2.0000000000000013</v>
      </c>
      <c r="AK108" s="162">
        <f t="shared" si="111"/>
        <v>2.3999999999999941</v>
      </c>
      <c r="AL108" s="171">
        <f t="shared" si="146"/>
        <v>2.3999999999999941</v>
      </c>
      <c r="AM108" s="162"/>
      <c r="AN108" s="162">
        <f t="shared" si="147"/>
        <v>2.0000000000000013</v>
      </c>
      <c r="AO108" s="162">
        <f t="shared" si="148"/>
        <v>2.0000000000000013</v>
      </c>
      <c r="AP108" s="162">
        <f t="shared" si="112"/>
        <v>2.3999999999999941</v>
      </c>
      <c r="AQ108" s="171">
        <f t="shared" si="149"/>
        <v>2.3999999999999941</v>
      </c>
      <c r="AR108" s="162"/>
      <c r="AS108" s="162">
        <f t="shared" si="150"/>
        <v>2.0000000000000013</v>
      </c>
      <c r="AT108" s="170">
        <f t="shared" si="151"/>
        <v>2.0000000000000013</v>
      </c>
      <c r="AU108" s="162">
        <f t="shared" si="113"/>
        <v>2.3999999999999941</v>
      </c>
      <c r="AV108" s="171">
        <f t="shared" si="152"/>
        <v>2.3999999999999941</v>
      </c>
      <c r="AW108" s="162"/>
      <c r="AX108" s="162">
        <f t="shared" si="153"/>
        <v>2.0000000000000013</v>
      </c>
      <c r="AY108" s="170">
        <f t="shared" si="154"/>
        <v>2.0000000000000013</v>
      </c>
      <c r="AZ108" s="162">
        <f t="shared" si="114"/>
        <v>2.3999999999999941</v>
      </c>
      <c r="BA108" s="171">
        <f t="shared" si="155"/>
        <v>2.3999999999999941</v>
      </c>
      <c r="BB108" s="162"/>
      <c r="BC108" s="162">
        <f t="shared" si="156"/>
        <v>2.0000000000000013</v>
      </c>
      <c r="BD108" s="162">
        <f t="shared" si="157"/>
        <v>2.0000000000000013</v>
      </c>
      <c r="BE108" s="162">
        <f t="shared" si="115"/>
        <v>2.3999999999999941</v>
      </c>
      <c r="BF108" s="171">
        <f t="shared" si="158"/>
        <v>2.3999999999999941</v>
      </c>
      <c r="BG108" s="162"/>
      <c r="BH108" s="162">
        <f t="shared" si="159"/>
        <v>2.0000000000000013</v>
      </c>
      <c r="BI108" s="170">
        <f t="shared" si="160"/>
        <v>2.0000000000000013</v>
      </c>
      <c r="BJ108" s="162">
        <f t="shared" si="116"/>
        <v>2.3999999999999941</v>
      </c>
      <c r="BK108" s="171">
        <f t="shared" si="161"/>
        <v>2.3999999999999941</v>
      </c>
      <c r="BL108" s="162"/>
      <c r="BM108" s="162">
        <f t="shared" si="162"/>
        <v>2.0000000000000013</v>
      </c>
      <c r="BN108" s="170">
        <f t="shared" si="163"/>
        <v>2.0000000000000013</v>
      </c>
      <c r="BO108" s="162">
        <f t="shared" si="117"/>
        <v>2.3999999999999941</v>
      </c>
      <c r="BP108" s="171">
        <f t="shared" si="164"/>
        <v>2.3999999999999941</v>
      </c>
      <c r="BQ108" s="162"/>
      <c r="BR108" s="162">
        <f t="shared" si="165"/>
        <v>2.0000000000000013</v>
      </c>
      <c r="BS108" s="162">
        <f t="shared" si="166"/>
        <v>2.0000000000000013</v>
      </c>
      <c r="BT108" s="162">
        <f t="shared" si="118"/>
        <v>2.3999999999999941</v>
      </c>
      <c r="BU108" s="171">
        <f t="shared" si="167"/>
        <v>2.3999999999999941</v>
      </c>
      <c r="BV108" s="162"/>
      <c r="BW108" s="162">
        <f t="shared" si="168"/>
        <v>2.0000000000000013</v>
      </c>
      <c r="BX108" s="170">
        <f t="shared" si="169"/>
        <v>2.0000000000000013</v>
      </c>
      <c r="BY108" s="162">
        <f t="shared" si="119"/>
        <v>2.3999999999999941</v>
      </c>
      <c r="BZ108" s="171">
        <f t="shared" si="170"/>
        <v>2.3999999999999941</v>
      </c>
      <c r="CA108" s="162"/>
      <c r="CB108" s="162">
        <f t="shared" si="171"/>
        <v>2.0000000000000013</v>
      </c>
      <c r="CC108" s="170">
        <f t="shared" si="172"/>
        <v>2.0000000000000013</v>
      </c>
      <c r="CD108" s="162">
        <f t="shared" si="120"/>
        <v>2.3999999999999941</v>
      </c>
      <c r="CE108" s="171">
        <f t="shared" si="173"/>
        <v>2.3999999999999941</v>
      </c>
      <c r="CF108" s="162"/>
      <c r="CG108" s="172">
        <f t="shared" si="174"/>
        <v>2.0000000000000013</v>
      </c>
      <c r="CH108" s="172">
        <f t="shared" si="175"/>
        <v>2.0000000000000013</v>
      </c>
      <c r="CI108" s="172">
        <f t="shared" si="121"/>
        <v>2.3999999999999941</v>
      </c>
      <c r="CJ108" s="171">
        <f t="shared" si="176"/>
        <v>2.3999999999999941</v>
      </c>
      <c r="CK108" s="172"/>
      <c r="CL108" s="162">
        <f t="shared" si="177"/>
        <v>2.0000000000000013</v>
      </c>
      <c r="CM108" s="170">
        <f t="shared" si="178"/>
        <v>2.0000000000000013</v>
      </c>
      <c r="CN108" s="162">
        <f t="shared" si="122"/>
        <v>2.3999999999999941</v>
      </c>
      <c r="CO108" s="171">
        <f t="shared" si="179"/>
        <v>2.3999999999999941</v>
      </c>
      <c r="CP108" s="162"/>
      <c r="CQ108" s="162">
        <f t="shared" si="180"/>
        <v>2.0000000000000013</v>
      </c>
      <c r="CR108" s="170">
        <f t="shared" si="181"/>
        <v>2.0000000000000013</v>
      </c>
      <c r="CS108" s="162">
        <f t="shared" si="123"/>
        <v>2.3999999999999941</v>
      </c>
      <c r="CT108" s="171">
        <f t="shared" si="182"/>
        <v>2.3999999999999941</v>
      </c>
      <c r="CU108" s="162"/>
      <c r="CV108" s="162">
        <f t="shared" si="183"/>
        <v>2.0000000000000013</v>
      </c>
      <c r="CW108" s="162">
        <f t="shared" si="184"/>
        <v>2.0000000000000013</v>
      </c>
      <c r="CX108" s="162">
        <f t="shared" si="124"/>
        <v>2.3999999999999941</v>
      </c>
      <c r="CY108" s="171">
        <f t="shared" si="185"/>
        <v>2.3999999999999941</v>
      </c>
      <c r="CZ108" s="162"/>
      <c r="DA108" s="162">
        <f t="shared" si="186"/>
        <v>2.0000000000000013</v>
      </c>
      <c r="DB108" s="170">
        <f t="shared" si="187"/>
        <v>2.0000000000000013</v>
      </c>
      <c r="DC108" s="162">
        <f t="shared" si="125"/>
        <v>2.3999999999999941</v>
      </c>
      <c r="DD108" s="171">
        <f t="shared" si="188"/>
        <v>2.3999999999999941</v>
      </c>
      <c r="DE108" s="162"/>
      <c r="DF108" s="162">
        <f t="shared" si="189"/>
        <v>2.0000000000000013</v>
      </c>
      <c r="DG108" s="170">
        <f t="shared" si="190"/>
        <v>2.0000000000000013</v>
      </c>
      <c r="DH108" s="162">
        <f t="shared" si="126"/>
        <v>2.3999999999999941</v>
      </c>
      <c r="DI108" s="171">
        <f t="shared" si="191"/>
        <v>2.3999999999999941</v>
      </c>
      <c r="DJ108" s="162"/>
      <c r="DK108" s="162">
        <f t="shared" si="192"/>
        <v>2.0000000000000013</v>
      </c>
      <c r="DL108" s="162">
        <f t="shared" si="193"/>
        <v>2.0000000000000013</v>
      </c>
      <c r="DM108" s="162">
        <f t="shared" si="127"/>
        <v>2.3999999999999941</v>
      </c>
      <c r="DN108" s="171">
        <f t="shared" si="194"/>
        <v>2.3999999999999941</v>
      </c>
      <c r="DO108" s="162"/>
      <c r="DP108" s="162">
        <f t="shared" si="195"/>
        <v>2.0000000000000013</v>
      </c>
      <c r="DQ108" s="170">
        <f t="shared" si="196"/>
        <v>2.0000000000000013</v>
      </c>
      <c r="DR108" s="162">
        <f t="shared" si="128"/>
        <v>2.3999999999999941</v>
      </c>
      <c r="DS108" s="171">
        <f t="shared" si="197"/>
        <v>2.3999999999999941</v>
      </c>
      <c r="DT108" s="162"/>
      <c r="DU108" s="162">
        <f t="shared" si="198"/>
        <v>2.0000000000000013</v>
      </c>
      <c r="DV108" s="170">
        <f t="shared" si="199"/>
        <v>2.0000000000000013</v>
      </c>
      <c r="DW108" s="162">
        <f t="shared" si="129"/>
        <v>2.3999999999999941</v>
      </c>
      <c r="DX108" s="171">
        <f t="shared" si="200"/>
        <v>2.3999999999999941</v>
      </c>
      <c r="DY108" s="162"/>
      <c r="DZ108" s="162">
        <f t="shared" si="201"/>
        <v>2.0000000000000013</v>
      </c>
      <c r="EA108" s="162">
        <f t="shared" si="202"/>
        <v>2.0000000000000013</v>
      </c>
      <c r="EB108" s="162">
        <f t="shared" si="130"/>
        <v>2.3999999999999941</v>
      </c>
      <c r="EC108" s="171">
        <f t="shared" si="203"/>
        <v>2.3999999999999941</v>
      </c>
      <c r="ED108" s="162"/>
      <c r="EE108" s="162">
        <f t="shared" si="204"/>
        <v>2.0000000000000013</v>
      </c>
      <c r="EF108" s="170">
        <f t="shared" si="205"/>
        <v>2.0000000000000013</v>
      </c>
      <c r="EG108" s="162">
        <f t="shared" si="131"/>
        <v>2.3999999999999941</v>
      </c>
      <c r="EH108" s="171">
        <f t="shared" si="206"/>
        <v>2.3999999999999941</v>
      </c>
      <c r="EI108" s="162"/>
      <c r="EJ108" s="162">
        <f t="shared" si="207"/>
        <v>2.0000000000000013</v>
      </c>
      <c r="EK108" s="170">
        <f t="shared" si="208"/>
        <v>2.0000000000000013</v>
      </c>
      <c r="EL108" s="162">
        <f t="shared" si="132"/>
        <v>2.3999999999999941</v>
      </c>
      <c r="EM108" s="171">
        <f t="shared" si="209"/>
        <v>2.3999999999999941</v>
      </c>
      <c r="EN108" s="162"/>
      <c r="EO108" s="162">
        <f t="shared" si="210"/>
        <v>2.0000000000000013</v>
      </c>
      <c r="EP108" s="162">
        <f t="shared" si="211"/>
        <v>2.0000000000000013</v>
      </c>
      <c r="EQ108" s="162">
        <f t="shared" si="133"/>
        <v>2.3999999999999941</v>
      </c>
      <c r="ER108" s="171">
        <f t="shared" si="212"/>
        <v>2.3999999999999941</v>
      </c>
      <c r="ES108" s="162"/>
      <c r="ET108" s="162">
        <f t="shared" si="213"/>
        <v>2.0000000000000013</v>
      </c>
      <c r="EU108" s="170">
        <f t="shared" si="214"/>
        <v>2.0000000000000013</v>
      </c>
      <c r="EV108" s="162">
        <f t="shared" si="134"/>
        <v>2.3999999999999941</v>
      </c>
      <c r="EW108" s="171">
        <f t="shared" si="215"/>
        <v>2.3999999999999941</v>
      </c>
      <c r="EX108" s="162"/>
    </row>
    <row r="111" spans="20:154" s="181" customFormat="1" x14ac:dyDescent="0.25">
      <c r="T111" s="163">
        <f>$D$8-$D$9</f>
        <v>10</v>
      </c>
      <c r="U111" s="163">
        <f>$D$8</f>
        <v>10</v>
      </c>
      <c r="V111" s="163">
        <f>$D$8+$D$9</f>
        <v>10</v>
      </c>
      <c r="W111" s="163">
        <f t="shared" ref="W111" si="216">$D$8-$D$9</f>
        <v>10</v>
      </c>
      <c r="X111" s="163">
        <f t="shared" ref="X111" si="217">$D$8</f>
        <v>10</v>
      </c>
      <c r="Y111" s="163">
        <f t="shared" ref="Y111" si="218">$D$8+$D$9</f>
        <v>10</v>
      </c>
      <c r="Z111" s="163">
        <f t="shared" ref="Z111" si="219">$D$8-$D$9</f>
        <v>10</v>
      </c>
      <c r="AA111" s="163">
        <f t="shared" ref="AA111" si="220">$D$8</f>
        <v>10</v>
      </c>
      <c r="AB111" s="163">
        <f t="shared" ref="AB111" si="221">$D$8+$D$9</f>
        <v>10</v>
      </c>
      <c r="AC111" s="163">
        <f>$D$8-$D$9</f>
        <v>10</v>
      </c>
      <c r="AD111" s="163">
        <f>$D$8</f>
        <v>10</v>
      </c>
      <c r="AE111" s="163">
        <f>$D$8+$D$9</f>
        <v>10</v>
      </c>
      <c r="AF111" s="163">
        <f t="shared" ref="AF111" si="222">$D$8-$D$9</f>
        <v>10</v>
      </c>
      <c r="AG111" s="163">
        <f t="shared" ref="AG111" si="223">$D$8</f>
        <v>10</v>
      </c>
      <c r="AH111" s="163">
        <f t="shared" ref="AH111" si="224">$D$8+$D$9</f>
        <v>10</v>
      </c>
      <c r="AI111" s="163">
        <f t="shared" ref="AI111" si="225">$D$8-$D$9</f>
        <v>10</v>
      </c>
      <c r="AJ111" s="163">
        <f t="shared" ref="AJ111" si="226">$D$8</f>
        <v>10</v>
      </c>
      <c r="AK111" s="163">
        <f t="shared" ref="AK111" si="227">$D$8+$D$9</f>
        <v>10</v>
      </c>
      <c r="AL111" s="163">
        <f>$D$8-$D$9</f>
        <v>10</v>
      </c>
      <c r="AM111" s="163">
        <f>$D$8</f>
        <v>10</v>
      </c>
      <c r="AN111" s="163">
        <f>$D$8+$D$9</f>
        <v>10</v>
      </c>
      <c r="AO111" s="163">
        <f t="shared" ref="AO111" si="228">$D$8-$D$9</f>
        <v>10</v>
      </c>
      <c r="AP111" s="163">
        <f t="shared" ref="AP111" si="229">$D$8</f>
        <v>10</v>
      </c>
      <c r="AQ111" s="163">
        <f t="shared" ref="AQ111" si="230">$D$8+$D$9</f>
        <v>10</v>
      </c>
      <c r="AR111" s="163">
        <f t="shared" ref="AR111" si="231">$D$8-$D$9</f>
        <v>10</v>
      </c>
      <c r="AS111" s="163">
        <f t="shared" ref="AS111" si="232">$D$8</f>
        <v>10</v>
      </c>
      <c r="AT111" s="163">
        <f t="shared" ref="AT111" si="233">$D$8+$D$9</f>
        <v>10</v>
      </c>
      <c r="AU111" s="162"/>
      <c r="AV111" s="162"/>
      <c r="AW111" s="162"/>
      <c r="AX111" s="162"/>
      <c r="AY111" s="162"/>
      <c r="AZ111" s="162"/>
      <c r="BA111" s="162"/>
      <c r="BB111" s="162"/>
      <c r="BC111" s="162"/>
      <c r="BD111" s="162"/>
      <c r="BE111" s="162"/>
      <c r="BF111" s="162"/>
      <c r="BG111" s="162"/>
      <c r="BH111" s="162"/>
      <c r="BI111" s="162"/>
      <c r="BJ111" s="162"/>
      <c r="BK111" s="162"/>
      <c r="BL111" s="162"/>
      <c r="BM111" s="162"/>
      <c r="BN111" s="162"/>
      <c r="BO111" s="162"/>
      <c r="BP111" s="162"/>
      <c r="BQ111" s="162"/>
      <c r="BR111" s="162"/>
      <c r="BS111" s="162"/>
      <c r="BT111" s="162"/>
      <c r="BU111" s="162"/>
      <c r="BV111" s="162"/>
      <c r="BW111" s="162"/>
      <c r="BX111" s="162"/>
      <c r="BY111" s="162"/>
      <c r="BZ111" s="162"/>
      <c r="CA111" s="162"/>
      <c r="CB111" s="162"/>
      <c r="CC111" s="162"/>
      <c r="CD111" s="162"/>
      <c r="CE111" s="162"/>
      <c r="CF111" s="162"/>
      <c r="CG111" s="162"/>
      <c r="CH111" s="162"/>
      <c r="CI111" s="162"/>
      <c r="CJ111" s="162"/>
      <c r="CK111" s="162"/>
      <c r="CL111" s="162"/>
      <c r="CM111" s="162"/>
      <c r="CN111" s="162"/>
      <c r="CO111" s="162"/>
      <c r="CP111" s="162"/>
      <c r="CQ111" s="162"/>
      <c r="CR111" s="162"/>
      <c r="CS111" s="162"/>
      <c r="CT111" s="162"/>
      <c r="CU111" s="162"/>
      <c r="CV111" s="162"/>
      <c r="CW111" s="162"/>
      <c r="CX111" s="162"/>
      <c r="CY111" s="162"/>
      <c r="CZ111" s="162"/>
      <c r="DA111" s="162"/>
      <c r="DB111" s="162"/>
      <c r="DC111" s="162"/>
      <c r="DD111" s="162"/>
      <c r="DE111" s="162"/>
      <c r="DF111" s="162"/>
      <c r="DG111" s="162"/>
      <c r="DH111" s="162"/>
      <c r="DI111" s="162"/>
      <c r="DJ111" s="162"/>
      <c r="DK111" s="162"/>
      <c r="DL111" s="162"/>
      <c r="DM111" s="162"/>
      <c r="DN111" s="162"/>
      <c r="DO111" s="162"/>
      <c r="DP111" s="162"/>
      <c r="DQ111" s="162"/>
      <c r="DR111" s="162"/>
      <c r="DS111" s="162"/>
      <c r="DT111" s="162"/>
      <c r="DU111" s="162"/>
      <c r="DV111" s="162"/>
      <c r="DW111" s="162"/>
      <c r="DX111" s="162"/>
      <c r="DY111" s="162"/>
      <c r="DZ111" s="162"/>
      <c r="EA111" s="162"/>
      <c r="EB111" s="162"/>
      <c r="EC111" s="162"/>
      <c r="ED111" s="162"/>
      <c r="EE111" s="162"/>
      <c r="EF111" s="162"/>
      <c r="EG111" s="162"/>
      <c r="EH111" s="162"/>
      <c r="EI111" s="162"/>
      <c r="EJ111" s="162"/>
      <c r="EK111" s="162"/>
      <c r="EL111" s="162"/>
      <c r="EM111" s="162"/>
      <c r="EN111" s="162"/>
      <c r="EO111" s="162"/>
      <c r="EP111" s="162"/>
      <c r="EQ111" s="162"/>
      <c r="ER111" s="162"/>
      <c r="ES111" s="162"/>
      <c r="ET111" s="162"/>
      <c r="EU111" s="162"/>
      <c r="EV111" s="162"/>
      <c r="EW111" s="162"/>
      <c r="EX111" s="162"/>
    </row>
    <row r="112" spans="20:154" s="181" customFormat="1" x14ac:dyDescent="0.25">
      <c r="T112" s="163">
        <f>$D$10*(1-$D$11)</f>
        <v>20</v>
      </c>
      <c r="U112" s="163">
        <f t="shared" ref="U112:AE112" si="234">$D$10*(1-$D$11)</f>
        <v>20</v>
      </c>
      <c r="V112" s="163">
        <f t="shared" si="234"/>
        <v>20</v>
      </c>
      <c r="W112" s="163">
        <f>$D$10</f>
        <v>20</v>
      </c>
      <c r="X112" s="163">
        <f t="shared" ref="X112:Y112" si="235">$D$10</f>
        <v>20</v>
      </c>
      <c r="Y112" s="163">
        <f t="shared" si="235"/>
        <v>20</v>
      </c>
      <c r="Z112" s="163">
        <f>$D$10*(1+$D$11)</f>
        <v>20</v>
      </c>
      <c r="AA112" s="163">
        <f t="shared" ref="AA112:AB112" si="236">$D$10*(1+$D$11)</f>
        <v>20</v>
      </c>
      <c r="AB112" s="163">
        <f t="shared" si="236"/>
        <v>20</v>
      </c>
      <c r="AC112" s="163">
        <f>$D$10*(1-$D$11)</f>
        <v>20</v>
      </c>
      <c r="AD112" s="163">
        <f t="shared" si="234"/>
        <v>20</v>
      </c>
      <c r="AE112" s="163">
        <f t="shared" si="234"/>
        <v>20</v>
      </c>
      <c r="AF112" s="163">
        <f>$D$10</f>
        <v>20</v>
      </c>
      <c r="AG112" s="163">
        <f t="shared" ref="AG112:AH112" si="237">$D$10</f>
        <v>20</v>
      </c>
      <c r="AH112" s="163">
        <f t="shared" si="237"/>
        <v>20</v>
      </c>
      <c r="AI112" s="163">
        <f>$D$10*(1+$D$11)</f>
        <v>20</v>
      </c>
      <c r="AJ112" s="163">
        <f t="shared" ref="AJ112:AK112" si="238">$D$10*(1+$D$11)</f>
        <v>20</v>
      </c>
      <c r="AK112" s="163">
        <f t="shared" si="238"/>
        <v>20</v>
      </c>
      <c r="AL112" s="163">
        <f>$D$10*(1-$D$11)</f>
        <v>20</v>
      </c>
      <c r="AM112" s="163">
        <f t="shared" ref="AM112:AN112" si="239">$D$10*(1-$D$11)</f>
        <v>20</v>
      </c>
      <c r="AN112" s="163">
        <f t="shared" si="239"/>
        <v>20</v>
      </c>
      <c r="AO112" s="163">
        <f>$D$10</f>
        <v>20</v>
      </c>
      <c r="AP112" s="163">
        <f t="shared" ref="AP112:AQ112" si="240">$D$10</f>
        <v>20</v>
      </c>
      <c r="AQ112" s="163">
        <f t="shared" si="240"/>
        <v>20</v>
      </c>
      <c r="AR112" s="163">
        <f>$D$10*(1+$D$11)</f>
        <v>20</v>
      </c>
      <c r="AS112" s="163">
        <f t="shared" ref="AS112:AT112" si="241">$D$10*(1+$D$11)</f>
        <v>20</v>
      </c>
      <c r="AT112" s="163">
        <f t="shared" si="241"/>
        <v>20</v>
      </c>
      <c r="AU112" s="162"/>
      <c r="AV112" s="162"/>
      <c r="AW112" s="162"/>
      <c r="AX112" s="162"/>
      <c r="AY112" s="162"/>
      <c r="AZ112" s="162"/>
      <c r="BA112" s="162"/>
      <c r="BB112" s="162"/>
      <c r="BC112" s="162"/>
      <c r="BD112" s="162"/>
      <c r="BE112" s="162"/>
      <c r="BF112" s="162"/>
      <c r="BG112" s="162"/>
      <c r="BH112" s="162"/>
      <c r="BI112" s="162"/>
      <c r="BJ112" s="162"/>
      <c r="BK112" s="162"/>
      <c r="BL112" s="162"/>
      <c r="BM112" s="162"/>
      <c r="BN112" s="162"/>
      <c r="BO112" s="162"/>
      <c r="BP112" s="162"/>
      <c r="BQ112" s="162"/>
      <c r="BR112" s="162"/>
      <c r="BS112" s="162"/>
      <c r="BT112" s="162"/>
      <c r="BU112" s="162"/>
      <c r="BV112" s="162"/>
      <c r="BW112" s="162"/>
      <c r="BX112" s="162"/>
      <c r="BY112" s="162"/>
      <c r="BZ112" s="162"/>
      <c r="CA112" s="162"/>
      <c r="CB112" s="162"/>
      <c r="CC112" s="162"/>
      <c r="CD112" s="162"/>
      <c r="CE112" s="162"/>
      <c r="CF112" s="162"/>
      <c r="CG112" s="162"/>
      <c r="CH112" s="162"/>
      <c r="CI112" s="162"/>
      <c r="CJ112" s="162"/>
      <c r="CK112" s="162"/>
      <c r="CL112" s="162"/>
      <c r="CM112" s="162"/>
      <c r="CN112" s="162"/>
      <c r="CO112" s="162"/>
      <c r="CP112" s="162"/>
      <c r="CQ112" s="162"/>
      <c r="CR112" s="162"/>
      <c r="CS112" s="162"/>
      <c r="CT112" s="162"/>
      <c r="CU112" s="162"/>
      <c r="CV112" s="162"/>
      <c r="CW112" s="162"/>
      <c r="CX112" s="162"/>
      <c r="CY112" s="162"/>
      <c r="CZ112" s="162"/>
      <c r="DA112" s="162"/>
      <c r="DB112" s="162"/>
      <c r="DC112" s="162"/>
      <c r="DD112" s="162"/>
      <c r="DE112" s="162"/>
      <c r="DF112" s="162"/>
      <c r="DG112" s="162"/>
      <c r="DH112" s="162"/>
      <c r="DI112" s="162"/>
      <c r="DJ112" s="162"/>
      <c r="DK112" s="162"/>
      <c r="DL112" s="162"/>
      <c r="DM112" s="162"/>
      <c r="DN112" s="162"/>
      <c r="DO112" s="162"/>
      <c r="DP112" s="162"/>
      <c r="DQ112" s="162"/>
      <c r="DR112" s="162"/>
      <c r="DS112" s="162"/>
      <c r="DT112" s="162"/>
      <c r="DU112" s="162"/>
      <c r="DV112" s="162"/>
      <c r="DW112" s="162"/>
      <c r="DX112" s="162"/>
      <c r="DY112" s="162"/>
      <c r="DZ112" s="162"/>
      <c r="EA112" s="162"/>
      <c r="EB112" s="162"/>
      <c r="EC112" s="162"/>
      <c r="ED112" s="162"/>
      <c r="EE112" s="162"/>
      <c r="EF112" s="162"/>
      <c r="EG112" s="162"/>
      <c r="EH112" s="162"/>
      <c r="EI112" s="162"/>
      <c r="EJ112" s="162"/>
      <c r="EK112" s="162"/>
      <c r="EL112" s="162"/>
      <c r="EM112" s="162"/>
      <c r="EN112" s="162"/>
      <c r="EO112" s="162"/>
      <c r="EP112" s="162"/>
      <c r="EQ112" s="162"/>
      <c r="ER112" s="162"/>
      <c r="ES112" s="162"/>
      <c r="ET112" s="162"/>
      <c r="EU112" s="162"/>
      <c r="EV112" s="162"/>
      <c r="EW112" s="162"/>
      <c r="EX112" s="162"/>
    </row>
    <row r="113" spans="20:154" s="181" customFormat="1" x14ac:dyDescent="0.25">
      <c r="T113" s="164">
        <f>$D$12-$D$13</f>
        <v>80</v>
      </c>
      <c r="U113" s="164">
        <f t="shared" ref="U113:AB113" si="242">$D$12-$D$13</f>
        <v>80</v>
      </c>
      <c r="V113" s="164">
        <f t="shared" si="242"/>
        <v>80</v>
      </c>
      <c r="W113" s="164">
        <f t="shared" si="242"/>
        <v>80</v>
      </c>
      <c r="X113" s="164">
        <f t="shared" si="242"/>
        <v>80</v>
      </c>
      <c r="Y113" s="164">
        <f t="shared" si="242"/>
        <v>80</v>
      </c>
      <c r="Z113" s="164">
        <f t="shared" si="242"/>
        <v>80</v>
      </c>
      <c r="AA113" s="164">
        <f t="shared" si="242"/>
        <v>80</v>
      </c>
      <c r="AB113" s="164">
        <f t="shared" si="242"/>
        <v>80</v>
      </c>
      <c r="AC113" s="164">
        <f>$D$12</f>
        <v>80</v>
      </c>
      <c r="AD113" s="164">
        <f t="shared" ref="AD113:AK113" si="243">$D$12</f>
        <v>80</v>
      </c>
      <c r="AE113" s="164">
        <f t="shared" si="243"/>
        <v>80</v>
      </c>
      <c r="AF113" s="164">
        <f t="shared" si="243"/>
        <v>80</v>
      </c>
      <c r="AG113" s="164">
        <f t="shared" si="243"/>
        <v>80</v>
      </c>
      <c r="AH113" s="164">
        <f t="shared" si="243"/>
        <v>80</v>
      </c>
      <c r="AI113" s="164">
        <f t="shared" si="243"/>
        <v>80</v>
      </c>
      <c r="AJ113" s="164">
        <f t="shared" si="243"/>
        <v>80</v>
      </c>
      <c r="AK113" s="164">
        <f t="shared" si="243"/>
        <v>80</v>
      </c>
      <c r="AL113" s="164">
        <f>$D$12+$D$13</f>
        <v>80</v>
      </c>
      <c r="AM113" s="164">
        <f t="shared" ref="AM113:AT113" si="244">$D$12+$D$13</f>
        <v>80</v>
      </c>
      <c r="AN113" s="164">
        <f t="shared" si="244"/>
        <v>80</v>
      </c>
      <c r="AO113" s="164">
        <f t="shared" si="244"/>
        <v>80</v>
      </c>
      <c r="AP113" s="164">
        <f t="shared" si="244"/>
        <v>80</v>
      </c>
      <c r="AQ113" s="164">
        <f t="shared" si="244"/>
        <v>80</v>
      </c>
      <c r="AR113" s="164">
        <f t="shared" si="244"/>
        <v>80</v>
      </c>
      <c r="AS113" s="164">
        <f t="shared" si="244"/>
        <v>80</v>
      </c>
      <c r="AT113" s="164">
        <f t="shared" si="244"/>
        <v>80</v>
      </c>
      <c r="AU113" s="162"/>
      <c r="AV113" s="162"/>
      <c r="AW113" s="162"/>
      <c r="AX113" s="162"/>
      <c r="AY113" s="162"/>
      <c r="AZ113" s="162"/>
      <c r="BA113" s="162"/>
      <c r="BB113" s="162"/>
      <c r="BC113" s="162"/>
      <c r="BD113" s="162"/>
      <c r="BE113" s="162"/>
      <c r="BF113" s="162"/>
      <c r="BG113" s="162"/>
      <c r="BH113" s="162"/>
      <c r="BI113" s="162"/>
      <c r="BJ113" s="162"/>
      <c r="BK113" s="162"/>
      <c r="BL113" s="162"/>
      <c r="BM113" s="162"/>
      <c r="BN113" s="162"/>
      <c r="BO113" s="162"/>
      <c r="BP113" s="162"/>
      <c r="BQ113" s="162"/>
      <c r="BR113" s="162"/>
      <c r="BS113" s="162"/>
      <c r="BT113" s="162"/>
      <c r="BU113" s="162"/>
      <c r="BV113" s="162"/>
      <c r="BW113" s="162"/>
      <c r="BX113" s="162"/>
      <c r="BY113" s="162"/>
      <c r="BZ113" s="162"/>
      <c r="CA113" s="162"/>
      <c r="CB113" s="162"/>
      <c r="CC113" s="162"/>
      <c r="CD113" s="162"/>
      <c r="CE113" s="162"/>
      <c r="CF113" s="162"/>
      <c r="CG113" s="162"/>
      <c r="CH113" s="162"/>
      <c r="CI113" s="162"/>
      <c r="CJ113" s="162"/>
      <c r="CK113" s="162"/>
      <c r="CL113" s="162"/>
      <c r="CM113" s="162"/>
      <c r="CN113" s="162"/>
      <c r="CO113" s="162"/>
      <c r="CP113" s="162"/>
      <c r="CQ113" s="162"/>
      <c r="CR113" s="162"/>
      <c r="CS113" s="162"/>
      <c r="CT113" s="162"/>
      <c r="CU113" s="162"/>
      <c r="CV113" s="162"/>
      <c r="CW113" s="162"/>
      <c r="CX113" s="162"/>
      <c r="CY113" s="162"/>
      <c r="CZ113" s="162"/>
      <c r="DA113" s="162"/>
      <c r="DB113" s="162"/>
      <c r="DC113" s="162"/>
      <c r="DD113" s="162"/>
      <c r="DE113" s="162"/>
      <c r="DF113" s="162"/>
      <c r="DG113" s="162"/>
      <c r="DH113" s="162"/>
      <c r="DI113" s="162"/>
      <c r="DJ113" s="162"/>
      <c r="DK113" s="162"/>
      <c r="DL113" s="162"/>
      <c r="DM113" s="162"/>
      <c r="DN113" s="162"/>
      <c r="DO113" s="162"/>
      <c r="DP113" s="162"/>
      <c r="DQ113" s="162"/>
      <c r="DR113" s="162"/>
      <c r="DS113" s="162"/>
      <c r="DT113" s="162"/>
      <c r="DU113" s="162"/>
      <c r="DV113" s="162"/>
      <c r="DW113" s="162"/>
      <c r="DX113" s="162"/>
      <c r="DY113" s="162"/>
      <c r="DZ113" s="162"/>
      <c r="EA113" s="162"/>
      <c r="EB113" s="162"/>
      <c r="EC113" s="162"/>
      <c r="ED113" s="162"/>
      <c r="EE113" s="162"/>
      <c r="EF113" s="162"/>
      <c r="EG113" s="162"/>
      <c r="EH113" s="162"/>
      <c r="EI113" s="162"/>
      <c r="EJ113" s="162"/>
      <c r="EK113" s="162"/>
      <c r="EL113" s="162"/>
      <c r="EM113" s="162"/>
      <c r="EN113" s="162"/>
      <c r="EO113" s="162"/>
      <c r="EP113" s="162"/>
      <c r="EQ113" s="162"/>
      <c r="ER113" s="162"/>
      <c r="ES113" s="162"/>
      <c r="ET113" s="162"/>
      <c r="EU113" s="162"/>
      <c r="EV113" s="162"/>
      <c r="EW113" s="162"/>
      <c r="EX113" s="162"/>
    </row>
    <row r="114" spans="20:154" s="181" customFormat="1" x14ac:dyDescent="0.25">
      <c r="T114" s="165">
        <f>T111*TAN(RADIANS(T113))-(IF($B$4, 9.807, 32.174)*T111^2)/(2*T112^2*COS(RADIANS(T113))^2)+$D$7</f>
        <v>16.258589278414473</v>
      </c>
      <c r="U114" s="165">
        <f t="shared" ref="U114:AB114" si="245">U111*TAN(RADIANS(U113))-(IF($B$4, 9.807, 32.174)*U111^2)/(2*U112^2*COS(RADIANS(U113))^2)+$D$7</f>
        <v>16.258589278414473</v>
      </c>
      <c r="V114" s="165">
        <f t="shared" si="245"/>
        <v>16.258589278414473</v>
      </c>
      <c r="W114" s="165">
        <f t="shared" si="245"/>
        <v>16.258589278414473</v>
      </c>
      <c r="X114" s="165">
        <f t="shared" si="245"/>
        <v>16.258589278414473</v>
      </c>
      <c r="Y114" s="165">
        <f t="shared" si="245"/>
        <v>16.258589278414473</v>
      </c>
      <c r="Z114" s="165">
        <f t="shared" si="245"/>
        <v>16.258589278414473</v>
      </c>
      <c r="AA114" s="165">
        <f t="shared" si="245"/>
        <v>16.258589278414473</v>
      </c>
      <c r="AB114" s="165">
        <f t="shared" si="245"/>
        <v>16.258589278414473</v>
      </c>
      <c r="AC114" s="165">
        <f>AC111*TAN(RADIANS(AC113))-(IF($B$4, 9.807, 32.174)*AC111^2)/(2*AC112^2*COS(RADIANS(AC113))^2)+$D$7</f>
        <v>16.258589278414473</v>
      </c>
      <c r="AD114" s="165">
        <f t="shared" ref="AD114:AK114" si="246">AD111*TAN(RADIANS(AD113))-(IF($B$4, 9.807, 32.174)*AD111^2)/(2*AD112^2*COS(RADIANS(AD113))^2)+$D$7</f>
        <v>16.258589278414473</v>
      </c>
      <c r="AE114" s="165">
        <f t="shared" si="246"/>
        <v>16.258589278414473</v>
      </c>
      <c r="AF114" s="165">
        <f t="shared" si="246"/>
        <v>16.258589278414473</v>
      </c>
      <c r="AG114" s="165">
        <f t="shared" si="246"/>
        <v>16.258589278414473</v>
      </c>
      <c r="AH114" s="165">
        <f t="shared" si="246"/>
        <v>16.258589278414473</v>
      </c>
      <c r="AI114" s="165">
        <f t="shared" si="246"/>
        <v>16.258589278414473</v>
      </c>
      <c r="AJ114" s="165">
        <f t="shared" si="246"/>
        <v>16.258589278414473</v>
      </c>
      <c r="AK114" s="165">
        <f t="shared" si="246"/>
        <v>16.258589278414473</v>
      </c>
      <c r="AL114" s="165">
        <f>AL111*TAN(RADIANS(AL113))-(IF($B$4, 9.807, 32.174)*AL111^2)/(2*AL112^2*COS(RADIANS(AL113))^2)+$D$7</f>
        <v>16.258589278414473</v>
      </c>
      <c r="AM114" s="165">
        <f t="shared" ref="AM114:AT114" si="247">AM111*TAN(RADIANS(AM113))-(IF($B$4, 9.807, 32.174)*AM111^2)/(2*AM112^2*COS(RADIANS(AM113))^2)+$D$7</f>
        <v>16.258589278414473</v>
      </c>
      <c r="AN114" s="165">
        <f t="shared" si="247"/>
        <v>16.258589278414473</v>
      </c>
      <c r="AO114" s="165">
        <f t="shared" si="247"/>
        <v>16.258589278414473</v>
      </c>
      <c r="AP114" s="165">
        <f t="shared" si="247"/>
        <v>16.258589278414473</v>
      </c>
      <c r="AQ114" s="165">
        <f t="shared" si="247"/>
        <v>16.258589278414473</v>
      </c>
      <c r="AR114" s="165">
        <f t="shared" si="247"/>
        <v>16.258589278414473</v>
      </c>
      <c r="AS114" s="165">
        <f t="shared" si="247"/>
        <v>16.258589278414473</v>
      </c>
      <c r="AT114" s="165">
        <f t="shared" si="247"/>
        <v>16.258589278414473</v>
      </c>
      <c r="AU114" s="162"/>
      <c r="AV114" s="162"/>
      <c r="AW114" s="162"/>
      <c r="AX114" s="162"/>
      <c r="AY114" s="162"/>
      <c r="AZ114" s="162"/>
      <c r="BA114" s="162"/>
      <c r="BB114" s="162"/>
      <c r="BC114" s="162"/>
      <c r="BD114" s="162"/>
      <c r="BE114" s="162"/>
      <c r="BF114" s="162"/>
      <c r="BG114" s="162"/>
      <c r="BH114" s="162"/>
      <c r="BI114" s="162"/>
      <c r="BJ114" s="162"/>
      <c r="BK114" s="162"/>
      <c r="BL114" s="162"/>
      <c r="BM114" s="162"/>
      <c r="BN114" s="162"/>
      <c r="BO114" s="162"/>
      <c r="BP114" s="162"/>
      <c r="BQ114" s="162"/>
      <c r="BR114" s="162"/>
      <c r="BS114" s="162"/>
      <c r="BT114" s="162"/>
      <c r="BU114" s="162"/>
      <c r="BV114" s="162"/>
      <c r="BW114" s="162"/>
      <c r="BX114" s="162"/>
      <c r="BY114" s="162"/>
      <c r="BZ114" s="162"/>
      <c r="CA114" s="162"/>
      <c r="CB114" s="162"/>
      <c r="CC114" s="162"/>
      <c r="CD114" s="162"/>
      <c r="CE114" s="162"/>
      <c r="CF114" s="162"/>
      <c r="CG114" s="162"/>
      <c r="CH114" s="162"/>
      <c r="CI114" s="162"/>
      <c r="CJ114" s="162"/>
      <c r="CK114" s="162"/>
      <c r="CL114" s="162"/>
      <c r="CM114" s="162"/>
      <c r="CN114" s="162"/>
      <c r="CO114" s="162"/>
      <c r="CP114" s="162"/>
      <c r="CQ114" s="162"/>
      <c r="CR114" s="162"/>
      <c r="CS114" s="162"/>
      <c r="CT114" s="162"/>
      <c r="CU114" s="162"/>
      <c r="CV114" s="162"/>
      <c r="CW114" s="162"/>
      <c r="CX114" s="162"/>
      <c r="CY114" s="162"/>
      <c r="CZ114" s="162"/>
      <c r="DA114" s="162"/>
      <c r="DB114" s="162"/>
      <c r="DC114" s="162"/>
      <c r="DD114" s="162"/>
      <c r="DE114" s="162"/>
      <c r="DF114" s="162"/>
      <c r="DG114" s="162"/>
      <c r="DH114" s="162"/>
      <c r="DI114" s="162"/>
      <c r="DJ114" s="162"/>
      <c r="DK114" s="162"/>
      <c r="DL114" s="162"/>
      <c r="DM114" s="162"/>
      <c r="DN114" s="162"/>
      <c r="DO114" s="162"/>
      <c r="DP114" s="162"/>
      <c r="DQ114" s="162"/>
      <c r="DR114" s="162"/>
      <c r="DS114" s="162"/>
      <c r="DT114" s="162"/>
      <c r="DU114" s="162"/>
      <c r="DV114" s="162"/>
      <c r="DW114" s="162"/>
      <c r="DX114" s="162"/>
      <c r="DY114" s="162"/>
      <c r="DZ114" s="162"/>
      <c r="EA114" s="162"/>
      <c r="EB114" s="162"/>
      <c r="EC114" s="162"/>
      <c r="ED114" s="162"/>
      <c r="EE114" s="162"/>
      <c r="EF114" s="162"/>
      <c r="EG114" s="162"/>
      <c r="EH114" s="162"/>
      <c r="EI114" s="162"/>
      <c r="EJ114" s="162"/>
      <c r="EK114" s="162"/>
      <c r="EL114" s="162"/>
      <c r="EM114" s="162"/>
      <c r="EN114" s="162"/>
      <c r="EO114" s="162"/>
      <c r="EP114" s="162"/>
      <c r="EQ114" s="162"/>
      <c r="ER114" s="162"/>
      <c r="ES114" s="162"/>
      <c r="ET114" s="162"/>
      <c r="EU114" s="162"/>
      <c r="EV114" s="162"/>
      <c r="EW114" s="162"/>
      <c r="EX114" s="162"/>
    </row>
    <row r="115" spans="20:154" s="181" customFormat="1" x14ac:dyDescent="0.25">
      <c r="T115" s="164">
        <f>DEGREES(ATAN(2*(T114-$D$7)/T111-TAN(RADIANS(T113))))</f>
        <v>-67.874514601509873</v>
      </c>
      <c r="U115" s="164">
        <f t="shared" ref="U115:AB115" si="248">DEGREES(ATAN(2*(U114-$D$7)/U111-TAN(RADIANS(U113))))</f>
        <v>-67.874514601509873</v>
      </c>
      <c r="V115" s="164">
        <f t="shared" si="248"/>
        <v>-67.874514601509873</v>
      </c>
      <c r="W115" s="164">
        <f t="shared" si="248"/>
        <v>-67.874514601509873</v>
      </c>
      <c r="X115" s="164">
        <f t="shared" si="248"/>
        <v>-67.874514601509873</v>
      </c>
      <c r="Y115" s="164">
        <f t="shared" si="248"/>
        <v>-67.874514601509873</v>
      </c>
      <c r="Z115" s="164">
        <f t="shared" si="248"/>
        <v>-67.874514601509873</v>
      </c>
      <c r="AA115" s="164">
        <f t="shared" si="248"/>
        <v>-67.874514601509873</v>
      </c>
      <c r="AB115" s="164">
        <f t="shared" si="248"/>
        <v>-67.874514601509873</v>
      </c>
      <c r="AC115" s="164">
        <f>DEGREES(ATAN(2*(AC114-$D$7)/AC111-TAN(RADIANS(AC113))))</f>
        <v>-67.874514601509873</v>
      </c>
      <c r="AD115" s="164">
        <f t="shared" ref="AD115:AK115" si="249">DEGREES(ATAN(2*(AD114-$D$7)/AD111-TAN(RADIANS(AD113))))</f>
        <v>-67.874514601509873</v>
      </c>
      <c r="AE115" s="164">
        <f t="shared" si="249"/>
        <v>-67.874514601509873</v>
      </c>
      <c r="AF115" s="164">
        <f t="shared" si="249"/>
        <v>-67.874514601509873</v>
      </c>
      <c r="AG115" s="164">
        <f t="shared" si="249"/>
        <v>-67.874514601509873</v>
      </c>
      <c r="AH115" s="164">
        <f t="shared" si="249"/>
        <v>-67.874514601509873</v>
      </c>
      <c r="AI115" s="164">
        <f t="shared" si="249"/>
        <v>-67.874514601509873</v>
      </c>
      <c r="AJ115" s="164">
        <f t="shared" si="249"/>
        <v>-67.874514601509873</v>
      </c>
      <c r="AK115" s="164">
        <f t="shared" si="249"/>
        <v>-67.874514601509873</v>
      </c>
      <c r="AL115" s="164">
        <f>DEGREES(ATAN(2*(AL114-$D$7)/AL111-TAN(RADIANS(AL113))))</f>
        <v>-67.874514601509873</v>
      </c>
      <c r="AM115" s="164">
        <f t="shared" ref="AM115:AT115" si="250">DEGREES(ATAN(2*(AM114-$D$7)/AM111-TAN(RADIANS(AM113))))</f>
        <v>-67.874514601509873</v>
      </c>
      <c r="AN115" s="164">
        <f t="shared" si="250"/>
        <v>-67.874514601509873</v>
      </c>
      <c r="AO115" s="164">
        <f t="shared" si="250"/>
        <v>-67.874514601509873</v>
      </c>
      <c r="AP115" s="164">
        <f t="shared" si="250"/>
        <v>-67.874514601509873</v>
      </c>
      <c r="AQ115" s="164">
        <f t="shared" si="250"/>
        <v>-67.874514601509873</v>
      </c>
      <c r="AR115" s="164">
        <f t="shared" si="250"/>
        <v>-67.874514601509873</v>
      </c>
      <c r="AS115" s="164">
        <f t="shared" si="250"/>
        <v>-67.874514601509873</v>
      </c>
      <c r="AT115" s="164">
        <f t="shared" si="250"/>
        <v>-67.874514601509873</v>
      </c>
      <c r="AU115" s="162"/>
      <c r="AV115" s="162"/>
      <c r="AW115" s="162"/>
      <c r="AX115" s="162"/>
      <c r="AY115" s="162"/>
      <c r="AZ115" s="162"/>
      <c r="BA115" s="162"/>
      <c r="BB115" s="162"/>
      <c r="BC115" s="162"/>
      <c r="BD115" s="162"/>
      <c r="BE115" s="162"/>
      <c r="BF115" s="162"/>
      <c r="BG115" s="162"/>
      <c r="BH115" s="162"/>
      <c r="BI115" s="162"/>
      <c r="BJ115" s="162"/>
      <c r="BK115" s="162"/>
      <c r="BL115" s="162"/>
      <c r="BM115" s="162"/>
      <c r="BN115" s="162"/>
      <c r="BO115" s="162"/>
      <c r="BP115" s="162"/>
      <c r="BQ115" s="162"/>
      <c r="BR115" s="162"/>
      <c r="BS115" s="162"/>
      <c r="BT115" s="162"/>
      <c r="BU115" s="162"/>
      <c r="BV115" s="162"/>
      <c r="BW115" s="162"/>
      <c r="BX115" s="162"/>
      <c r="BY115" s="162"/>
      <c r="BZ115" s="162"/>
      <c r="CA115" s="162"/>
      <c r="CB115" s="162"/>
      <c r="CC115" s="162"/>
      <c r="CD115" s="162"/>
      <c r="CE115" s="162"/>
      <c r="CF115" s="162"/>
      <c r="CG115" s="162"/>
      <c r="CH115" s="162"/>
      <c r="CI115" s="162"/>
      <c r="CJ115" s="162"/>
      <c r="CK115" s="162"/>
      <c r="CL115" s="162"/>
      <c r="CM115" s="162"/>
      <c r="CN115" s="162"/>
      <c r="CO115" s="162"/>
      <c r="CP115" s="162"/>
      <c r="CQ115" s="162"/>
      <c r="CR115" s="162"/>
      <c r="CS115" s="162"/>
      <c r="CT115" s="162"/>
      <c r="CU115" s="162"/>
      <c r="CV115" s="162"/>
      <c r="CW115" s="162"/>
      <c r="CX115" s="162"/>
      <c r="CY115" s="162"/>
      <c r="CZ115" s="162"/>
      <c r="DA115" s="162"/>
      <c r="DB115" s="162"/>
      <c r="DC115" s="162"/>
      <c r="DD115" s="162"/>
      <c r="DE115" s="162"/>
      <c r="DF115" s="162"/>
      <c r="DG115" s="162"/>
      <c r="DH115" s="162"/>
      <c r="DI115" s="162"/>
      <c r="DJ115" s="162"/>
      <c r="DK115" s="162"/>
      <c r="DL115" s="162"/>
      <c r="DM115" s="162"/>
      <c r="DN115" s="162"/>
      <c r="DO115" s="162"/>
      <c r="DP115" s="162"/>
      <c r="DQ115" s="162"/>
      <c r="DR115" s="162"/>
      <c r="DS115" s="162"/>
      <c r="DT115" s="162"/>
      <c r="DU115" s="162"/>
      <c r="DV115" s="162"/>
      <c r="DW115" s="162"/>
      <c r="DX115" s="162"/>
      <c r="DY115" s="162"/>
      <c r="DZ115" s="162"/>
      <c r="EA115" s="162"/>
      <c r="EB115" s="162"/>
      <c r="EC115" s="162"/>
      <c r="ED115" s="162"/>
      <c r="EE115" s="162"/>
      <c r="EF115" s="162"/>
      <c r="EG115" s="162"/>
      <c r="EH115" s="162"/>
      <c r="EI115" s="162"/>
      <c r="EJ115" s="162"/>
      <c r="EK115" s="162"/>
      <c r="EL115" s="162"/>
      <c r="EM115" s="162"/>
      <c r="EN115" s="162"/>
      <c r="EO115" s="162"/>
      <c r="EP115" s="162"/>
      <c r="EQ115" s="162"/>
      <c r="ER115" s="162"/>
      <c r="ES115" s="162"/>
      <c r="ET115" s="162"/>
      <c r="EU115" s="162"/>
      <c r="EV115" s="162"/>
      <c r="EW115" s="162"/>
      <c r="EX115" s="162"/>
    </row>
    <row r="117" spans="20:154" s="181" customFormat="1" x14ac:dyDescent="0.25">
      <c r="T117" s="163">
        <f>$G$8-$G$9</f>
        <v>1.9999999999999998</v>
      </c>
      <c r="U117" s="163">
        <f>$G$8</f>
        <v>1.9999999999999998</v>
      </c>
      <c r="V117" s="163">
        <f>$G$8+$G$9</f>
        <v>1.9999999999999998</v>
      </c>
      <c r="W117" s="163">
        <f>$G$8-$G$9</f>
        <v>1.9999999999999998</v>
      </c>
      <c r="X117" s="163">
        <f t="shared" ref="X117" si="251">$G$8</f>
        <v>1.9999999999999998</v>
      </c>
      <c r="Y117" s="163">
        <f>$G$8+$G$9</f>
        <v>1.9999999999999998</v>
      </c>
      <c r="Z117" s="163">
        <f>$G$8-$G$9</f>
        <v>1.9999999999999998</v>
      </c>
      <c r="AA117" s="163">
        <f t="shared" ref="AA117" si="252">$G$8</f>
        <v>1.9999999999999998</v>
      </c>
      <c r="AB117" s="163">
        <f>$G$8+$G$9</f>
        <v>1.9999999999999998</v>
      </c>
      <c r="AC117" s="163">
        <f>$G$8-$G$9</f>
        <v>1.9999999999999998</v>
      </c>
      <c r="AD117" s="163">
        <f>$G$8</f>
        <v>1.9999999999999998</v>
      </c>
      <c r="AE117" s="163">
        <f>$G$8+$G$9</f>
        <v>1.9999999999999998</v>
      </c>
      <c r="AF117" s="163">
        <f>$G$8-$G$9</f>
        <v>1.9999999999999998</v>
      </c>
      <c r="AG117" s="163">
        <f t="shared" ref="AG117" si="253">$G$8</f>
        <v>1.9999999999999998</v>
      </c>
      <c r="AH117" s="163">
        <f>$G$8+$G$9</f>
        <v>1.9999999999999998</v>
      </c>
      <c r="AI117" s="163">
        <f>$G$8-$G$9</f>
        <v>1.9999999999999998</v>
      </c>
      <c r="AJ117" s="163">
        <f t="shared" ref="AJ117" si="254">$G$8</f>
        <v>1.9999999999999998</v>
      </c>
      <c r="AK117" s="163">
        <f>$G$8+$G$9</f>
        <v>1.9999999999999998</v>
      </c>
      <c r="AL117" s="163">
        <f>$G$8-$G$9</f>
        <v>1.9999999999999998</v>
      </c>
      <c r="AM117" s="163">
        <f>$G$8</f>
        <v>1.9999999999999998</v>
      </c>
      <c r="AN117" s="163">
        <f>$G$8+$G$9</f>
        <v>1.9999999999999998</v>
      </c>
      <c r="AO117" s="163">
        <f>$G$8-$G$9</f>
        <v>1.9999999999999998</v>
      </c>
      <c r="AP117" s="163">
        <f t="shared" ref="AP117" si="255">$G$8</f>
        <v>1.9999999999999998</v>
      </c>
      <c r="AQ117" s="163">
        <f>$G$8+$G$9</f>
        <v>1.9999999999999998</v>
      </c>
      <c r="AR117" s="163">
        <f>$G$8-$G$9</f>
        <v>1.9999999999999998</v>
      </c>
      <c r="AS117" s="163">
        <f t="shared" ref="AS117" si="256">$G$8</f>
        <v>1.9999999999999998</v>
      </c>
      <c r="AT117" s="163">
        <f>$G$8+$G$9</f>
        <v>1.9999999999999998</v>
      </c>
      <c r="AU117" s="162"/>
      <c r="AV117" s="162"/>
      <c r="AW117" s="162"/>
      <c r="AX117" s="162"/>
      <c r="AY117" s="162"/>
      <c r="AZ117" s="162"/>
      <c r="BA117" s="162"/>
      <c r="BB117" s="162"/>
      <c r="BC117" s="162"/>
      <c r="BD117" s="162"/>
      <c r="BE117" s="162"/>
      <c r="BF117" s="162"/>
      <c r="BG117" s="162"/>
      <c r="BH117" s="162"/>
      <c r="BI117" s="162"/>
      <c r="BJ117" s="162"/>
      <c r="BK117" s="162"/>
      <c r="BL117" s="162"/>
      <c r="BM117" s="162"/>
      <c r="BN117" s="162"/>
      <c r="BO117" s="162"/>
      <c r="BP117" s="162"/>
      <c r="BQ117" s="162"/>
      <c r="BR117" s="162"/>
      <c r="BS117" s="162"/>
      <c r="BT117" s="162"/>
      <c r="BU117" s="162"/>
      <c r="BV117" s="162"/>
      <c r="BW117" s="162"/>
      <c r="BX117" s="162"/>
      <c r="BY117" s="162"/>
      <c r="BZ117" s="162"/>
      <c r="CA117" s="162"/>
      <c r="CB117" s="162"/>
      <c r="CC117" s="162"/>
      <c r="CD117" s="162"/>
      <c r="CE117" s="162"/>
      <c r="CF117" s="162"/>
      <c r="CG117" s="162"/>
      <c r="CH117" s="162"/>
      <c r="CI117" s="162"/>
      <c r="CJ117" s="162"/>
      <c r="CK117" s="162"/>
      <c r="CL117" s="162"/>
      <c r="CM117" s="162"/>
      <c r="CN117" s="162"/>
      <c r="CO117" s="162"/>
      <c r="CP117" s="162"/>
      <c r="CQ117" s="162"/>
      <c r="CR117" s="162"/>
      <c r="CS117" s="162"/>
      <c r="CT117" s="162"/>
      <c r="CU117" s="162"/>
      <c r="CV117" s="162"/>
      <c r="CW117" s="162"/>
      <c r="CX117" s="162"/>
      <c r="CY117" s="162"/>
      <c r="CZ117" s="162"/>
      <c r="DA117" s="162"/>
      <c r="DB117" s="162"/>
      <c r="DC117" s="162"/>
      <c r="DD117" s="162"/>
      <c r="DE117" s="162"/>
      <c r="DF117" s="162"/>
      <c r="DG117" s="162"/>
      <c r="DH117" s="162"/>
      <c r="DI117" s="162"/>
      <c r="DJ117" s="162"/>
      <c r="DK117" s="162"/>
      <c r="DL117" s="162"/>
      <c r="DM117" s="162"/>
      <c r="DN117" s="162"/>
      <c r="DO117" s="162"/>
      <c r="DP117" s="162"/>
      <c r="DQ117" s="162"/>
      <c r="DR117" s="162"/>
      <c r="DS117" s="162"/>
      <c r="DT117" s="162"/>
      <c r="DU117" s="162"/>
      <c r="DV117" s="162"/>
      <c r="DW117" s="162"/>
      <c r="DX117" s="162"/>
      <c r="DY117" s="162"/>
      <c r="DZ117" s="162"/>
      <c r="EA117" s="162"/>
      <c r="EB117" s="162"/>
      <c r="EC117" s="162"/>
      <c r="ED117" s="162"/>
      <c r="EE117" s="162"/>
      <c r="EF117" s="162"/>
      <c r="EG117" s="162"/>
      <c r="EH117" s="162"/>
      <c r="EI117" s="162"/>
      <c r="EJ117" s="162"/>
      <c r="EK117" s="162"/>
      <c r="EL117" s="162"/>
      <c r="EM117" s="162"/>
      <c r="EN117" s="162"/>
      <c r="EO117" s="162"/>
      <c r="EP117" s="162"/>
      <c r="EQ117" s="162"/>
      <c r="ER117" s="162"/>
      <c r="ES117" s="162"/>
      <c r="ET117" s="162"/>
      <c r="EU117" s="162"/>
      <c r="EV117" s="162"/>
      <c r="EW117" s="162"/>
      <c r="EX117" s="162"/>
    </row>
    <row r="118" spans="20:154" s="181" customFormat="1" x14ac:dyDescent="0.25">
      <c r="T118" s="163">
        <f>$G$10-$G$11</f>
        <v>2.5</v>
      </c>
      <c r="U118" s="163">
        <f t="shared" ref="U118:AE118" si="257">$G$10-$G$11</f>
        <v>2.5</v>
      </c>
      <c r="V118" s="163">
        <f t="shared" si="257"/>
        <v>2.5</v>
      </c>
      <c r="W118" s="163">
        <f>$G$10</f>
        <v>2.5</v>
      </c>
      <c r="X118" s="163">
        <f t="shared" ref="X118:Y118" si="258">$G$10</f>
        <v>2.5</v>
      </c>
      <c r="Y118" s="163">
        <f t="shared" si="258"/>
        <v>2.5</v>
      </c>
      <c r="Z118" s="163">
        <f>$G$10+$G$11</f>
        <v>2.5</v>
      </c>
      <c r="AA118" s="163">
        <f t="shared" ref="AA118:AB118" si="259">$G$10+$G$11</f>
        <v>2.5</v>
      </c>
      <c r="AB118" s="163">
        <f t="shared" si="259"/>
        <v>2.5</v>
      </c>
      <c r="AC118" s="163">
        <f>$G$10-$G$11</f>
        <v>2.5</v>
      </c>
      <c r="AD118" s="163">
        <f t="shared" si="257"/>
        <v>2.5</v>
      </c>
      <c r="AE118" s="163">
        <f t="shared" si="257"/>
        <v>2.5</v>
      </c>
      <c r="AF118" s="163">
        <f>$G$10</f>
        <v>2.5</v>
      </c>
      <c r="AG118" s="163">
        <f t="shared" ref="AG118:AH118" si="260">$G$10</f>
        <v>2.5</v>
      </c>
      <c r="AH118" s="163">
        <f t="shared" si="260"/>
        <v>2.5</v>
      </c>
      <c r="AI118" s="163">
        <f>$G$10+$G$11</f>
        <v>2.5</v>
      </c>
      <c r="AJ118" s="163">
        <f t="shared" ref="AJ118:AK118" si="261">$G$10+$G$11</f>
        <v>2.5</v>
      </c>
      <c r="AK118" s="163">
        <f t="shared" si="261"/>
        <v>2.5</v>
      </c>
      <c r="AL118" s="163">
        <f>$G$10-$G$11</f>
        <v>2.5</v>
      </c>
      <c r="AM118" s="163">
        <f t="shared" ref="AM118:AN118" si="262">$G$10-$G$11</f>
        <v>2.5</v>
      </c>
      <c r="AN118" s="163">
        <f t="shared" si="262"/>
        <v>2.5</v>
      </c>
      <c r="AO118" s="163">
        <f>$G$10</f>
        <v>2.5</v>
      </c>
      <c r="AP118" s="163">
        <f t="shared" ref="AP118:AQ118" si="263">$G$10</f>
        <v>2.5</v>
      </c>
      <c r="AQ118" s="163">
        <f t="shared" si="263"/>
        <v>2.5</v>
      </c>
      <c r="AR118" s="163">
        <f>$G$10+$G$11</f>
        <v>2.5</v>
      </c>
      <c r="AS118" s="163">
        <f t="shared" ref="AS118:AT118" si="264">$G$10+$G$11</f>
        <v>2.5</v>
      </c>
      <c r="AT118" s="163">
        <f t="shared" si="264"/>
        <v>2.5</v>
      </c>
      <c r="AU118" s="162"/>
      <c r="AV118" s="162"/>
      <c r="AW118" s="162"/>
      <c r="AX118" s="162"/>
      <c r="AY118" s="162"/>
      <c r="AZ118" s="162"/>
      <c r="BA118" s="162"/>
      <c r="BB118" s="162"/>
      <c r="BC118" s="162"/>
      <c r="BD118" s="162"/>
      <c r="BE118" s="162"/>
      <c r="BF118" s="162"/>
      <c r="BG118" s="162"/>
      <c r="BH118" s="162"/>
      <c r="BI118" s="162"/>
      <c r="BJ118" s="162"/>
      <c r="BK118" s="162"/>
      <c r="BL118" s="162"/>
      <c r="BM118" s="162"/>
      <c r="BN118" s="162"/>
      <c r="BO118" s="162"/>
      <c r="BP118" s="162"/>
      <c r="BQ118" s="162"/>
      <c r="BR118" s="162"/>
      <c r="BS118" s="162"/>
      <c r="BT118" s="162"/>
      <c r="BU118" s="162"/>
      <c r="BV118" s="162"/>
      <c r="BW118" s="162"/>
      <c r="BX118" s="162"/>
      <c r="BY118" s="162"/>
      <c r="BZ118" s="162"/>
      <c r="CA118" s="162"/>
      <c r="CB118" s="162"/>
      <c r="CC118" s="162"/>
      <c r="CD118" s="162"/>
      <c r="CE118" s="162"/>
      <c r="CF118" s="162"/>
      <c r="CG118" s="162"/>
      <c r="CH118" s="162"/>
      <c r="CI118" s="162"/>
      <c r="CJ118" s="162"/>
      <c r="CK118" s="162"/>
      <c r="CL118" s="162"/>
      <c r="CM118" s="162"/>
      <c r="CN118" s="162"/>
      <c r="CO118" s="162"/>
      <c r="CP118" s="162"/>
      <c r="CQ118" s="162"/>
      <c r="CR118" s="162"/>
      <c r="CS118" s="162"/>
      <c r="CT118" s="162"/>
      <c r="CU118" s="162"/>
      <c r="CV118" s="162"/>
      <c r="CW118" s="162"/>
      <c r="CX118" s="162"/>
      <c r="CY118" s="162"/>
      <c r="CZ118" s="162"/>
      <c r="DA118" s="162"/>
      <c r="DB118" s="162"/>
      <c r="DC118" s="162"/>
      <c r="DD118" s="162"/>
      <c r="DE118" s="162"/>
      <c r="DF118" s="162"/>
      <c r="DG118" s="162"/>
      <c r="DH118" s="162"/>
      <c r="DI118" s="162"/>
      <c r="DJ118" s="162"/>
      <c r="DK118" s="162"/>
      <c r="DL118" s="162"/>
      <c r="DM118" s="162"/>
      <c r="DN118" s="162"/>
      <c r="DO118" s="162"/>
      <c r="DP118" s="162"/>
      <c r="DQ118" s="162"/>
      <c r="DR118" s="162"/>
      <c r="DS118" s="162"/>
      <c r="DT118" s="162"/>
      <c r="DU118" s="162"/>
      <c r="DV118" s="162"/>
      <c r="DW118" s="162"/>
      <c r="DX118" s="162"/>
      <c r="DY118" s="162"/>
      <c r="DZ118" s="162"/>
      <c r="EA118" s="162"/>
      <c r="EB118" s="162"/>
      <c r="EC118" s="162"/>
      <c r="ED118" s="162"/>
      <c r="EE118" s="162"/>
      <c r="EF118" s="162"/>
      <c r="EG118" s="162"/>
      <c r="EH118" s="162"/>
      <c r="EI118" s="162"/>
      <c r="EJ118" s="162"/>
      <c r="EK118" s="162"/>
      <c r="EL118" s="162"/>
      <c r="EM118" s="162"/>
      <c r="EN118" s="162"/>
      <c r="EO118" s="162"/>
      <c r="EP118" s="162"/>
      <c r="EQ118" s="162"/>
      <c r="ER118" s="162"/>
      <c r="ES118" s="162"/>
      <c r="ET118" s="162"/>
      <c r="EU118" s="162"/>
      <c r="EV118" s="162"/>
      <c r="EW118" s="162"/>
      <c r="EX118" s="162"/>
    </row>
    <row r="119" spans="20:154" s="181" customFormat="1" x14ac:dyDescent="0.25">
      <c r="T119" s="163">
        <f>$G$12-$G$13</f>
        <v>-80</v>
      </c>
      <c r="U119" s="163">
        <f t="shared" ref="U119:AB119" si="265">$G$12-$G$13</f>
        <v>-80</v>
      </c>
      <c r="V119" s="163">
        <f t="shared" si="265"/>
        <v>-80</v>
      </c>
      <c r="W119" s="163">
        <f t="shared" si="265"/>
        <v>-80</v>
      </c>
      <c r="X119" s="163">
        <f t="shared" si="265"/>
        <v>-80</v>
      </c>
      <c r="Y119" s="163">
        <f t="shared" si="265"/>
        <v>-80</v>
      </c>
      <c r="Z119" s="163">
        <f t="shared" si="265"/>
        <v>-80</v>
      </c>
      <c r="AA119" s="163">
        <f t="shared" si="265"/>
        <v>-80</v>
      </c>
      <c r="AB119" s="163">
        <f t="shared" si="265"/>
        <v>-80</v>
      </c>
      <c r="AC119" s="163">
        <f>$G$12</f>
        <v>-80</v>
      </c>
      <c r="AD119" s="163">
        <f t="shared" ref="AD119:AK119" si="266">$G$12</f>
        <v>-80</v>
      </c>
      <c r="AE119" s="163">
        <f t="shared" si="266"/>
        <v>-80</v>
      </c>
      <c r="AF119" s="163">
        <f t="shared" si="266"/>
        <v>-80</v>
      </c>
      <c r="AG119" s="163">
        <f t="shared" si="266"/>
        <v>-80</v>
      </c>
      <c r="AH119" s="163">
        <f t="shared" si="266"/>
        <v>-80</v>
      </c>
      <c r="AI119" s="163">
        <f t="shared" si="266"/>
        <v>-80</v>
      </c>
      <c r="AJ119" s="163">
        <f t="shared" si="266"/>
        <v>-80</v>
      </c>
      <c r="AK119" s="163">
        <f t="shared" si="266"/>
        <v>-80</v>
      </c>
      <c r="AL119" s="163">
        <f>$G$12+$G$13</f>
        <v>-80</v>
      </c>
      <c r="AM119" s="163">
        <f t="shared" ref="AM119:AT119" si="267">$G$12+$G$13</f>
        <v>-80</v>
      </c>
      <c r="AN119" s="163">
        <f t="shared" si="267"/>
        <v>-80</v>
      </c>
      <c r="AO119" s="163">
        <f t="shared" si="267"/>
        <v>-80</v>
      </c>
      <c r="AP119" s="163">
        <f t="shared" si="267"/>
        <v>-80</v>
      </c>
      <c r="AQ119" s="163">
        <f t="shared" si="267"/>
        <v>-80</v>
      </c>
      <c r="AR119" s="163">
        <f t="shared" si="267"/>
        <v>-80</v>
      </c>
      <c r="AS119" s="163">
        <f t="shared" si="267"/>
        <v>-80</v>
      </c>
      <c r="AT119" s="163">
        <f t="shared" si="267"/>
        <v>-80</v>
      </c>
      <c r="AU119" s="162"/>
      <c r="AV119" s="162"/>
      <c r="AW119" s="162"/>
      <c r="AX119" s="162"/>
      <c r="AY119" s="162"/>
      <c r="AZ119" s="162"/>
      <c r="BA119" s="162"/>
      <c r="BB119" s="162"/>
      <c r="BC119" s="162"/>
      <c r="BD119" s="162"/>
      <c r="BE119" s="162"/>
      <c r="BF119" s="162"/>
      <c r="BG119" s="162"/>
      <c r="BH119" s="162"/>
      <c r="BI119" s="162"/>
      <c r="BJ119" s="162"/>
      <c r="BK119" s="162"/>
      <c r="BL119" s="162"/>
      <c r="BM119" s="162"/>
      <c r="BN119" s="162"/>
      <c r="BO119" s="162"/>
      <c r="BP119" s="162"/>
      <c r="BQ119" s="162"/>
      <c r="BR119" s="162"/>
      <c r="BS119" s="162"/>
      <c r="BT119" s="162"/>
      <c r="BU119" s="162"/>
      <c r="BV119" s="162"/>
      <c r="BW119" s="162"/>
      <c r="BX119" s="162"/>
      <c r="BY119" s="162"/>
      <c r="BZ119" s="162"/>
      <c r="CA119" s="162"/>
      <c r="CB119" s="162"/>
      <c r="CC119" s="162"/>
      <c r="CD119" s="162"/>
      <c r="CE119" s="162"/>
      <c r="CF119" s="162"/>
      <c r="CG119" s="162"/>
      <c r="CH119" s="162"/>
      <c r="CI119" s="162"/>
      <c r="CJ119" s="162"/>
      <c r="CK119" s="162"/>
      <c r="CL119" s="162"/>
      <c r="CM119" s="162"/>
      <c r="CN119" s="162"/>
      <c r="CO119" s="162"/>
      <c r="CP119" s="162"/>
      <c r="CQ119" s="162"/>
      <c r="CR119" s="162"/>
      <c r="CS119" s="162"/>
      <c r="CT119" s="162"/>
      <c r="CU119" s="162"/>
      <c r="CV119" s="162"/>
      <c r="CW119" s="162"/>
      <c r="CX119" s="162"/>
      <c r="CY119" s="162"/>
      <c r="CZ119" s="162"/>
      <c r="DA119" s="162"/>
      <c r="DB119" s="162"/>
      <c r="DC119" s="162"/>
      <c r="DD119" s="162"/>
      <c r="DE119" s="162"/>
      <c r="DF119" s="162"/>
      <c r="DG119" s="162"/>
      <c r="DH119" s="162"/>
      <c r="DI119" s="162"/>
      <c r="DJ119" s="162"/>
      <c r="DK119" s="162"/>
      <c r="DL119" s="162"/>
      <c r="DM119" s="162"/>
      <c r="DN119" s="162"/>
      <c r="DO119" s="162"/>
      <c r="DP119" s="162"/>
      <c r="DQ119" s="162"/>
      <c r="DR119" s="162"/>
      <c r="DS119" s="162"/>
      <c r="DT119" s="162"/>
      <c r="DU119" s="162"/>
      <c r="DV119" s="162"/>
      <c r="DW119" s="162"/>
      <c r="DX119" s="162"/>
      <c r="DY119" s="162"/>
      <c r="DZ119" s="162"/>
      <c r="EA119" s="162"/>
      <c r="EB119" s="162"/>
      <c r="EC119" s="162"/>
      <c r="ED119" s="162"/>
      <c r="EE119" s="162"/>
      <c r="EF119" s="162"/>
      <c r="EG119" s="162"/>
      <c r="EH119" s="162"/>
      <c r="EI119" s="162"/>
      <c r="EJ119" s="162"/>
      <c r="EK119" s="162"/>
      <c r="EL119" s="162"/>
      <c r="EM119" s="162"/>
      <c r="EN119" s="162"/>
      <c r="EO119" s="162"/>
      <c r="EP119" s="162"/>
      <c r="EQ119" s="162"/>
      <c r="ER119" s="162"/>
      <c r="ES119" s="162"/>
      <c r="ET119" s="162"/>
      <c r="EU119" s="162"/>
      <c r="EV119" s="162"/>
      <c r="EW119" s="162"/>
      <c r="EX119" s="162"/>
    </row>
    <row r="120" spans="20:154" s="181" customFormat="1" x14ac:dyDescent="0.25">
      <c r="T120" s="163">
        <f>SQRT((IF($B$4, 9.807, 32.174)*T117)/(ABS(TAN(RADIANS(T121))-TAN(RADIANS(T119)))))/COS(RADIANS(T121))</f>
        <v>9.5489346835634272</v>
      </c>
      <c r="U120" s="163">
        <f t="shared" ref="U120:AB120" si="268">SQRT((IF($B$4, 9.807, 32.174)*U117)/(ABS(TAN(RADIANS(U121))-TAN(RADIANS(U119)))))/COS(RADIANS(U121))</f>
        <v>9.5489346835634272</v>
      </c>
      <c r="V120" s="163">
        <f t="shared" si="268"/>
        <v>9.5489346835634272</v>
      </c>
      <c r="W120" s="163">
        <f t="shared" si="268"/>
        <v>9.5489346835634272</v>
      </c>
      <c r="X120" s="163">
        <f t="shared" si="268"/>
        <v>9.5489346835634272</v>
      </c>
      <c r="Y120" s="163">
        <f t="shared" si="268"/>
        <v>9.5489346835634272</v>
      </c>
      <c r="Z120" s="163">
        <f t="shared" si="268"/>
        <v>9.5489346835634272</v>
      </c>
      <c r="AA120" s="163">
        <f t="shared" si="268"/>
        <v>9.5489346835634272</v>
      </c>
      <c r="AB120" s="163">
        <f t="shared" si="268"/>
        <v>9.5489346835634272</v>
      </c>
      <c r="AC120" s="163">
        <f>SQRT((IF($B$4, 9.807, 32.174)*AC117)/(ABS(TAN(RADIANS(AC121))-TAN(RADIANS(AC119)))))/COS(RADIANS(AC121))</f>
        <v>9.5489346835634272</v>
      </c>
      <c r="AD120" s="163">
        <f t="shared" ref="AD120:AK120" si="269">SQRT((IF($B$4, 9.807, 32.174)*AD117)/(ABS(TAN(RADIANS(AD121))-TAN(RADIANS(AD119)))))/COS(RADIANS(AD121))</f>
        <v>9.5489346835634272</v>
      </c>
      <c r="AE120" s="163">
        <f t="shared" si="269"/>
        <v>9.5489346835634272</v>
      </c>
      <c r="AF120" s="163">
        <f t="shared" si="269"/>
        <v>9.5489346835634272</v>
      </c>
      <c r="AG120" s="163">
        <f t="shared" si="269"/>
        <v>9.5489346835634272</v>
      </c>
      <c r="AH120" s="163">
        <f t="shared" si="269"/>
        <v>9.5489346835634272</v>
      </c>
      <c r="AI120" s="163">
        <f t="shared" si="269"/>
        <v>9.5489346835634272</v>
      </c>
      <c r="AJ120" s="163">
        <f t="shared" si="269"/>
        <v>9.5489346835634272</v>
      </c>
      <c r="AK120" s="163">
        <f t="shared" si="269"/>
        <v>9.5489346835634272</v>
      </c>
      <c r="AL120" s="163">
        <f>SQRT((IF($B$4, 9.807, 32.174)*AL117)/(ABS(TAN(RADIANS(AL121))-TAN(RADIANS(AL119)))))/COS(RADIANS(AL121))</f>
        <v>9.5489346835634272</v>
      </c>
      <c r="AM120" s="163">
        <f t="shared" ref="AM120:AT120" si="270">SQRT((IF($B$4, 9.807, 32.174)*AM117)/(ABS(TAN(RADIANS(AM121))-TAN(RADIANS(AM119)))))/COS(RADIANS(AM121))</f>
        <v>9.5489346835634272</v>
      </c>
      <c r="AN120" s="163">
        <f t="shared" si="270"/>
        <v>9.5489346835634272</v>
      </c>
      <c r="AO120" s="163">
        <f t="shared" si="270"/>
        <v>9.5489346835634272</v>
      </c>
      <c r="AP120" s="163">
        <f t="shared" si="270"/>
        <v>9.5489346835634272</v>
      </c>
      <c r="AQ120" s="163">
        <f t="shared" si="270"/>
        <v>9.5489346835634272</v>
      </c>
      <c r="AR120" s="163">
        <f t="shared" si="270"/>
        <v>9.5489346835634272</v>
      </c>
      <c r="AS120" s="163">
        <f t="shared" si="270"/>
        <v>9.5489346835634272</v>
      </c>
      <c r="AT120" s="163">
        <f t="shared" si="270"/>
        <v>9.5489346835634272</v>
      </c>
      <c r="AU120" s="162"/>
      <c r="AV120" s="162"/>
      <c r="AW120" s="162"/>
      <c r="AX120" s="162"/>
      <c r="AY120" s="162"/>
      <c r="AZ120" s="162"/>
      <c r="BA120" s="162"/>
      <c r="BB120" s="162"/>
      <c r="BC120" s="162"/>
      <c r="BD120" s="162"/>
      <c r="BE120" s="162"/>
      <c r="BF120" s="162"/>
      <c r="BG120" s="162"/>
      <c r="BH120" s="162"/>
      <c r="BI120" s="162"/>
      <c r="BJ120" s="162"/>
      <c r="BK120" s="162"/>
      <c r="BL120" s="162"/>
      <c r="BM120" s="162"/>
      <c r="BN120" s="162"/>
      <c r="BO120" s="162"/>
      <c r="BP120" s="162"/>
      <c r="BQ120" s="162"/>
      <c r="BR120" s="162"/>
      <c r="BS120" s="162"/>
      <c r="BT120" s="162"/>
      <c r="BU120" s="162"/>
      <c r="BV120" s="162"/>
      <c r="BW120" s="162"/>
      <c r="BX120" s="162"/>
      <c r="BY120" s="162"/>
      <c r="BZ120" s="162"/>
      <c r="CA120" s="162"/>
      <c r="CB120" s="162"/>
      <c r="CC120" s="162"/>
      <c r="CD120" s="162"/>
      <c r="CE120" s="162"/>
      <c r="CF120" s="162"/>
      <c r="CG120" s="162"/>
      <c r="CH120" s="162"/>
      <c r="CI120" s="162"/>
      <c r="CJ120" s="162"/>
      <c r="CK120" s="162"/>
      <c r="CL120" s="162"/>
      <c r="CM120" s="162"/>
      <c r="CN120" s="162"/>
      <c r="CO120" s="162"/>
      <c r="CP120" s="162"/>
      <c r="CQ120" s="162"/>
      <c r="CR120" s="162"/>
      <c r="CS120" s="162"/>
      <c r="CT120" s="162"/>
      <c r="CU120" s="162"/>
      <c r="CV120" s="162"/>
      <c r="CW120" s="162"/>
      <c r="CX120" s="162"/>
      <c r="CY120" s="162"/>
      <c r="CZ120" s="162"/>
      <c r="DA120" s="162"/>
      <c r="DB120" s="162"/>
      <c r="DC120" s="162"/>
      <c r="DD120" s="162"/>
      <c r="DE120" s="162"/>
      <c r="DF120" s="162"/>
      <c r="DG120" s="162"/>
      <c r="DH120" s="162"/>
      <c r="DI120" s="162"/>
      <c r="DJ120" s="162"/>
      <c r="DK120" s="162"/>
      <c r="DL120" s="162"/>
      <c r="DM120" s="162"/>
      <c r="DN120" s="162"/>
      <c r="DO120" s="162"/>
      <c r="DP120" s="162"/>
      <c r="DQ120" s="162"/>
      <c r="DR120" s="162"/>
      <c r="DS120" s="162"/>
      <c r="DT120" s="162"/>
      <c r="DU120" s="162"/>
      <c r="DV120" s="162"/>
      <c r="DW120" s="162"/>
      <c r="DX120" s="162"/>
      <c r="DY120" s="162"/>
      <c r="DZ120" s="162"/>
      <c r="EA120" s="162"/>
      <c r="EB120" s="162"/>
      <c r="EC120" s="162"/>
      <c r="ED120" s="162"/>
      <c r="EE120" s="162"/>
      <c r="EF120" s="162"/>
      <c r="EG120" s="162"/>
      <c r="EH120" s="162"/>
      <c r="EI120" s="162"/>
      <c r="EJ120" s="162"/>
      <c r="EK120" s="162"/>
      <c r="EL120" s="162"/>
      <c r="EM120" s="162"/>
      <c r="EN120" s="162"/>
      <c r="EO120" s="162"/>
      <c r="EP120" s="162"/>
      <c r="EQ120" s="162"/>
      <c r="ER120" s="162"/>
      <c r="ES120" s="162"/>
      <c r="ET120" s="162"/>
      <c r="EU120" s="162"/>
      <c r="EV120" s="162"/>
      <c r="EW120" s="162"/>
      <c r="EX120" s="162"/>
    </row>
    <row r="121" spans="20:154" s="181" customFormat="1" x14ac:dyDescent="0.25">
      <c r="T121" s="164">
        <f>DEGREES(ATAN(2*(T118-$T$5)/T117-TAN(RADIANS(T119))))</f>
        <v>82.759695716411017</v>
      </c>
      <c r="U121" s="164">
        <f t="shared" ref="U121:AB121" si="271">DEGREES(ATAN(2*(U118-$T$5)/U117-TAN(RADIANS(U119))))</f>
        <v>82.759695716411017</v>
      </c>
      <c r="V121" s="164">
        <f t="shared" si="271"/>
        <v>82.759695716411017</v>
      </c>
      <c r="W121" s="164">
        <f t="shared" si="271"/>
        <v>82.759695716411017</v>
      </c>
      <c r="X121" s="164">
        <f t="shared" si="271"/>
        <v>82.759695716411017</v>
      </c>
      <c r="Y121" s="164">
        <f t="shared" si="271"/>
        <v>82.759695716411017</v>
      </c>
      <c r="Z121" s="164">
        <f t="shared" si="271"/>
        <v>82.759695716411017</v>
      </c>
      <c r="AA121" s="164">
        <f t="shared" si="271"/>
        <v>82.759695716411017</v>
      </c>
      <c r="AB121" s="164">
        <f t="shared" si="271"/>
        <v>82.759695716411017</v>
      </c>
      <c r="AC121" s="164">
        <f>DEGREES(ATAN(2*(AC118-$T$5)/AC117-TAN(RADIANS(AC119))))</f>
        <v>82.759695716411017</v>
      </c>
      <c r="AD121" s="164">
        <f t="shared" ref="AD121:AK121" si="272">DEGREES(ATAN(2*(AD118-$T$5)/AD117-TAN(RADIANS(AD119))))</f>
        <v>82.759695716411017</v>
      </c>
      <c r="AE121" s="164">
        <f t="shared" si="272"/>
        <v>82.759695716411017</v>
      </c>
      <c r="AF121" s="164">
        <f t="shared" si="272"/>
        <v>82.759695716411017</v>
      </c>
      <c r="AG121" s="164">
        <f t="shared" si="272"/>
        <v>82.759695716411017</v>
      </c>
      <c r="AH121" s="164">
        <f t="shared" si="272"/>
        <v>82.759695716411017</v>
      </c>
      <c r="AI121" s="164">
        <f t="shared" si="272"/>
        <v>82.759695716411017</v>
      </c>
      <c r="AJ121" s="164">
        <f t="shared" si="272"/>
        <v>82.759695716411017</v>
      </c>
      <c r="AK121" s="164">
        <f t="shared" si="272"/>
        <v>82.759695716411017</v>
      </c>
      <c r="AL121" s="164">
        <f>DEGREES(ATAN(2*(AL118-$T$5)/AL117-TAN(RADIANS(AL119))))</f>
        <v>82.759695716411017</v>
      </c>
      <c r="AM121" s="164">
        <f t="shared" ref="AM121:AT121" si="273">DEGREES(ATAN(2*(AM118-$T$5)/AM117-TAN(RADIANS(AM119))))</f>
        <v>82.759695716411017</v>
      </c>
      <c r="AN121" s="164">
        <f t="shared" si="273"/>
        <v>82.759695716411017</v>
      </c>
      <c r="AO121" s="164">
        <f t="shared" si="273"/>
        <v>82.759695716411017</v>
      </c>
      <c r="AP121" s="164">
        <f t="shared" si="273"/>
        <v>82.759695716411017</v>
      </c>
      <c r="AQ121" s="164">
        <f t="shared" si="273"/>
        <v>82.759695716411017</v>
      </c>
      <c r="AR121" s="164">
        <f t="shared" si="273"/>
        <v>82.759695716411017</v>
      </c>
      <c r="AS121" s="164">
        <f t="shared" si="273"/>
        <v>82.759695716411017</v>
      </c>
      <c r="AT121" s="164">
        <f t="shared" si="273"/>
        <v>82.759695716411017</v>
      </c>
      <c r="AU121" s="162"/>
      <c r="AV121" s="162"/>
      <c r="AW121" s="162"/>
      <c r="AX121" s="162"/>
      <c r="AY121" s="162"/>
      <c r="AZ121" s="162"/>
      <c r="BA121" s="162"/>
      <c r="BB121" s="162"/>
      <c r="BC121" s="162"/>
      <c r="BD121" s="162"/>
      <c r="BE121" s="162"/>
      <c r="BF121" s="162"/>
      <c r="BG121" s="162"/>
      <c r="BH121" s="162"/>
      <c r="BI121" s="162"/>
      <c r="BJ121" s="162"/>
      <c r="BK121" s="162"/>
      <c r="BL121" s="162"/>
      <c r="BM121" s="162"/>
      <c r="BN121" s="162"/>
      <c r="BO121" s="162"/>
      <c r="BP121" s="162"/>
      <c r="BQ121" s="162"/>
      <c r="BR121" s="162"/>
      <c r="BS121" s="162"/>
      <c r="BT121" s="162"/>
      <c r="BU121" s="162"/>
      <c r="BV121" s="162"/>
      <c r="BW121" s="162"/>
      <c r="BX121" s="162"/>
      <c r="BY121" s="162"/>
      <c r="BZ121" s="162"/>
      <c r="CA121" s="162"/>
      <c r="CB121" s="162"/>
      <c r="CC121" s="162"/>
      <c r="CD121" s="162"/>
      <c r="CE121" s="162"/>
      <c r="CF121" s="162"/>
      <c r="CG121" s="162"/>
      <c r="CH121" s="162"/>
      <c r="CI121" s="162"/>
      <c r="CJ121" s="162"/>
      <c r="CK121" s="162"/>
      <c r="CL121" s="162"/>
      <c r="CM121" s="162"/>
      <c r="CN121" s="162"/>
      <c r="CO121" s="162"/>
      <c r="CP121" s="162"/>
      <c r="CQ121" s="162"/>
      <c r="CR121" s="162"/>
      <c r="CS121" s="162"/>
      <c r="CT121" s="162"/>
      <c r="CU121" s="162"/>
      <c r="CV121" s="162"/>
      <c r="CW121" s="162"/>
      <c r="CX121" s="162"/>
      <c r="CY121" s="162"/>
      <c r="CZ121" s="162"/>
      <c r="DA121" s="162"/>
      <c r="DB121" s="162"/>
      <c r="DC121" s="162"/>
      <c r="DD121" s="162"/>
      <c r="DE121" s="162"/>
      <c r="DF121" s="162"/>
      <c r="DG121" s="162"/>
      <c r="DH121" s="162"/>
      <c r="DI121" s="162"/>
      <c r="DJ121" s="162"/>
      <c r="DK121" s="162"/>
      <c r="DL121" s="162"/>
      <c r="DM121" s="162"/>
      <c r="DN121" s="162"/>
      <c r="DO121" s="162"/>
      <c r="DP121" s="162"/>
      <c r="DQ121" s="162"/>
      <c r="DR121" s="162"/>
      <c r="DS121" s="162"/>
      <c r="DT121" s="162"/>
      <c r="DU121" s="162"/>
      <c r="DV121" s="162"/>
      <c r="DW121" s="162"/>
      <c r="DX121" s="162"/>
      <c r="DY121" s="162"/>
      <c r="DZ121" s="162"/>
      <c r="EA121" s="162"/>
      <c r="EB121" s="162"/>
      <c r="EC121" s="162"/>
      <c r="ED121" s="162"/>
      <c r="EE121" s="162"/>
      <c r="EF121" s="162"/>
      <c r="EG121" s="162"/>
      <c r="EH121" s="162"/>
      <c r="EI121" s="162"/>
      <c r="EJ121" s="162"/>
      <c r="EK121" s="162"/>
      <c r="EL121" s="162"/>
      <c r="EM121" s="162"/>
      <c r="EN121" s="162"/>
      <c r="EO121" s="162"/>
      <c r="EP121" s="162"/>
      <c r="EQ121" s="162"/>
      <c r="ER121" s="162"/>
      <c r="ES121" s="162"/>
      <c r="ET121" s="162"/>
      <c r="EU121" s="162"/>
      <c r="EV121" s="162"/>
      <c r="EW121" s="162"/>
      <c r="EX121" s="162"/>
    </row>
  </sheetData>
  <sheetProtection sheet="1" objects="1" scenarios="1" formatCells="0" formatColumns="0" formatRows="0"/>
  <mergeCells count="6">
    <mergeCell ref="C31:G34"/>
    <mergeCell ref="C22:G25"/>
    <mergeCell ref="I3:J3"/>
    <mergeCell ref="C6:D6"/>
    <mergeCell ref="F6:G6"/>
    <mergeCell ref="C27:G29"/>
  </mergeCells>
  <conditionalFormatting sqref="G8 D8 D10">
    <cfRule type="cellIs" dxfId="51" priority="28" operator="lessThanOrEqual">
      <formula>0</formula>
    </cfRule>
  </conditionalFormatting>
  <conditionalFormatting sqref="G7 G9:G11 G13 D7 D9 D11 D13">
    <cfRule type="cellIs" dxfId="50" priority="27" operator="lessThan">
      <formula>0</formula>
    </cfRule>
  </conditionalFormatting>
  <conditionalFormatting sqref="G12">
    <cfRule type="expression" dxfId="49" priority="25">
      <formula>OR($G$12+$G$13&gt;=90, $G$12-$G$13&lt;=-90)</formula>
    </cfRule>
  </conditionalFormatting>
  <conditionalFormatting sqref="D7:D13 G7:G13">
    <cfRule type="expression" dxfId="48" priority="23">
      <formula>ISTEXT(D7)</formula>
    </cfRule>
  </conditionalFormatting>
  <conditionalFormatting sqref="D7:D13 G7:G13 I3">
    <cfRule type="containsBlanks" dxfId="47" priority="22">
      <formula>LEN(TRIM(D3))=0</formula>
    </cfRule>
  </conditionalFormatting>
  <conditionalFormatting sqref="D12">
    <cfRule type="expression" dxfId="46" priority="24">
      <formula>OR($D$12+$D$13&gt;=90, $D$12-$D$13&lt;=-90)</formula>
    </cfRule>
  </conditionalFormatting>
  <conditionalFormatting sqref="D16:D17">
    <cfRule type="cellIs" dxfId="45" priority="18" operator="lessThanOrEqual">
      <formula>0</formula>
    </cfRule>
  </conditionalFormatting>
  <conditionalFormatting sqref="D19">
    <cfRule type="cellIs" dxfId="44" priority="2" operator="lessThanOrEqual">
      <formula>0</formula>
    </cfRule>
  </conditionalFormatting>
  <dataValidations count="1">
    <dataValidation type="list" allowBlank="1" showInputMessage="1" showErrorMessage="1" sqref="I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Metric">
              <controlPr locked="0" defaultSize="0" autoFill="0" autoLine="0" autoPict="0" macro="[0]!Projectile_Metric">
                <anchor moveWithCells="1">
                  <from>
                    <xdr:col>1</xdr:col>
                    <xdr:colOff>0</xdr:colOff>
                    <xdr:row>3</xdr:row>
                    <xdr:rowOff>0</xdr:rowOff>
                  </from>
                  <to>
                    <xdr:col>1</xdr:col>
                    <xdr:colOff>209550</xdr:colOff>
                    <xdr:row>3</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S22"/>
  <sheetViews>
    <sheetView zoomScaleNormal="100" workbookViewId="0"/>
  </sheetViews>
  <sheetFormatPr defaultColWidth="9.140625" defaultRowHeight="15" x14ac:dyDescent="0.25"/>
  <cols>
    <col min="1" max="1" width="7.140625" style="1" customWidth="1"/>
    <col min="2" max="2" width="3.28515625" style="1" customWidth="1"/>
    <col min="3" max="3" width="18.85546875" style="1" customWidth="1"/>
    <col min="4" max="4" width="9.42578125" style="1" customWidth="1"/>
    <col min="5" max="5" width="13" style="1" customWidth="1"/>
    <col min="6" max="6" width="17.85546875" style="1" customWidth="1"/>
    <col min="7" max="7" width="9.140625" style="1"/>
    <col min="8" max="8" width="12.5703125" style="1" customWidth="1"/>
    <col min="9" max="9" width="19.42578125" style="1" customWidth="1"/>
    <col min="10" max="12" width="9.140625" style="1"/>
    <col min="13" max="19" width="0" style="1" hidden="1" customWidth="1"/>
    <col min="20" max="16384" width="9.140625" style="1"/>
  </cols>
  <sheetData>
    <row r="2" spans="2:19" ht="31.15" x14ac:dyDescent="0.3">
      <c r="C2" s="2" t="s">
        <v>101</v>
      </c>
    </row>
    <row r="4" spans="2:19" ht="14.45" x14ac:dyDescent="0.3">
      <c r="B4" s="8" t="b">
        <v>1</v>
      </c>
      <c r="C4" s="1" t="s">
        <v>0</v>
      </c>
    </row>
    <row r="6" spans="2:19" ht="18" x14ac:dyDescent="0.3">
      <c r="F6" s="217" t="s">
        <v>95</v>
      </c>
      <c r="G6" s="217"/>
      <c r="I6" s="217" t="s">
        <v>98</v>
      </c>
      <c r="J6" s="217"/>
    </row>
    <row r="7" spans="2:19" ht="14.45" x14ac:dyDescent="0.3">
      <c r="C7" s="88" t="s">
        <v>102</v>
      </c>
      <c r="D7" s="11" t="s">
        <v>26</v>
      </c>
      <c r="F7" s="88" t="s">
        <v>105</v>
      </c>
      <c r="G7" s="11">
        <v>50</v>
      </c>
      <c r="I7" s="88" t="str">
        <f>"Estimated Dist. (" &amp; IF($B$4, "mm", "in") &amp; ")"</f>
        <v>Estimated Dist. (mm)</v>
      </c>
      <c r="J7" s="51">
        <v>70</v>
      </c>
      <c r="M7" s="114" t="s">
        <v>227</v>
      </c>
      <c r="N7" s="115" t="s">
        <v>228</v>
      </c>
      <c r="O7" s="114" t="s">
        <v>222</v>
      </c>
      <c r="P7" s="114" t="s">
        <v>229</v>
      </c>
      <c r="Q7" s="114" t="s">
        <v>230</v>
      </c>
      <c r="R7" s="114" t="s">
        <v>231</v>
      </c>
      <c r="S7" s="116" t="s">
        <v>232</v>
      </c>
    </row>
    <row r="8" spans="2:19" ht="14.45" x14ac:dyDescent="0.3">
      <c r="I8" s="88" t="s">
        <v>106</v>
      </c>
      <c r="J8" s="71" t="s">
        <v>108</v>
      </c>
      <c r="M8" s="117">
        <f>G7*$D$17/2</f>
        <v>238.24999999999997</v>
      </c>
      <c r="N8" s="117">
        <f t="shared" ref="N8:N14" si="0">ACOS((D$13-D$10)/(2*M8))</f>
        <v>1.5516965723780121</v>
      </c>
      <c r="O8" s="117">
        <f t="shared" ref="O8:O14" si="1">SQRT(M8^2-(D$10/2-D$13/2)^2)</f>
        <v>238.20654444736232</v>
      </c>
      <c r="P8" s="117">
        <f t="shared" ref="P8:P14" si="2">(2*O8+D$9*$D$17*N8/PI()+D$12*$D$17*(PI()-N8)/PI())/$D$17</f>
        <v>63.509119183739664</v>
      </c>
      <c r="Q8" s="117">
        <f>G7</f>
        <v>50</v>
      </c>
      <c r="R8" s="117">
        <f t="shared" ref="R8:R14" si="3">P8-Q8</f>
        <v>13.509119183739664</v>
      </c>
      <c r="S8" s="117"/>
    </row>
    <row r="9" spans="2:19" ht="14.45" x14ac:dyDescent="0.3">
      <c r="C9" s="88" t="s">
        <v>103</v>
      </c>
      <c r="D9" s="11">
        <v>12</v>
      </c>
      <c r="I9" s="88" t="s">
        <v>107</v>
      </c>
      <c r="J9" s="11">
        <v>2</v>
      </c>
      <c r="M9" s="117">
        <f>IF(Q8&gt;P8, M8+$D$17/10, M8-$D$17/10)</f>
        <v>237.29699999999997</v>
      </c>
      <c r="N9" s="117">
        <f t="shared" si="0"/>
        <v>1.5516198571518878</v>
      </c>
      <c r="O9" s="117">
        <f t="shared" si="1"/>
        <v>237.25336989504109</v>
      </c>
      <c r="P9" s="117">
        <f t="shared" si="2"/>
        <v>63.309155809207809</v>
      </c>
      <c r="Q9" s="117">
        <f t="shared" ref="Q9:Q14" si="4">Q8</f>
        <v>50</v>
      </c>
      <c r="R9" s="117">
        <f t="shared" si="3"/>
        <v>13.309155809207809</v>
      </c>
      <c r="S9" s="117">
        <f t="shared" ref="S9:S14" si="5">(R9-R8)/(M9-M8)</f>
        <v>0.20982515690645764</v>
      </c>
    </row>
    <row r="10" spans="2:19" ht="14.45" x14ac:dyDescent="0.3">
      <c r="C10" s="88" t="str">
        <f>"Pitch Diam. 1 (" &amp; IF($B$4, "mm", "in") &amp; ")"</f>
        <v>Pitch Diam. 1 (mm)</v>
      </c>
      <c r="D10" s="42">
        <f>$D$17*D9/PI()</f>
        <v>36.401918583978301</v>
      </c>
      <c r="M10" s="117">
        <f>IF(ABS(R9)&lt;0.000000000001,M9,M9-R9/S9)</f>
        <v>173.86725684893835</v>
      </c>
      <c r="N10" s="117">
        <f t="shared" si="0"/>
        <v>1.544622569398344</v>
      </c>
      <c r="O10" s="117">
        <f t="shared" si="1"/>
        <v>173.80770501254514</v>
      </c>
      <c r="P10" s="117">
        <f t="shared" si="2"/>
        <v>50.000902809185398</v>
      </c>
      <c r="Q10" s="117">
        <f t="shared" si="4"/>
        <v>50</v>
      </c>
      <c r="R10" s="117">
        <f t="shared" si="3"/>
        <v>9.0280918539775712E-4</v>
      </c>
      <c r="S10" s="117">
        <f t="shared" si="5"/>
        <v>0.2098109236912411</v>
      </c>
    </row>
    <row r="11" spans="2:19" ht="14.45" x14ac:dyDescent="0.3">
      <c r="F11" s="88" t="str">
        <f>"C-C Dist. (" &amp; IF($B$4, "mm", "in") &amp; ")"</f>
        <v>C-C Dist. (mm)</v>
      </c>
      <c r="G11" s="42">
        <f>M14+D20</f>
        <v>174.27295348917576</v>
      </c>
      <c r="I11" s="88" t="str">
        <f>"Actual Dist. (" &amp; IF($B$4, "mm", "in") &amp; ")"</f>
        <v>Actual Dist. (mm)</v>
      </c>
      <c r="J11" s="42">
        <f>M22+D20</f>
        <v>69.352285889877948</v>
      </c>
      <c r="M11" s="117">
        <f>IF(ABS(R10)&lt;0.000000000001,M10,M10-R10/S10)</f>
        <v>173.86295388334671</v>
      </c>
      <c r="N11" s="117">
        <f t="shared" si="0"/>
        <v>1.5446219214713335</v>
      </c>
      <c r="O11" s="117">
        <f t="shared" si="1"/>
        <v>173.80340057258937</v>
      </c>
      <c r="P11" s="117">
        <f t="shared" si="2"/>
        <v>50.000000082693795</v>
      </c>
      <c r="Q11" s="117">
        <f t="shared" si="4"/>
        <v>50</v>
      </c>
      <c r="R11" s="117">
        <f t="shared" si="3"/>
        <v>8.2693794922761299E-8</v>
      </c>
      <c r="S11" s="117">
        <f t="shared" si="5"/>
        <v>0.20979170583072324</v>
      </c>
    </row>
    <row r="12" spans="2:19" ht="14.45" x14ac:dyDescent="0.3">
      <c r="C12" s="88" t="s">
        <v>104</v>
      </c>
      <c r="D12" s="11">
        <v>15</v>
      </c>
      <c r="F12" s="88" t="str">
        <f>"Chain Length (" &amp; IF($B$4, "mm", "in") &amp; ")"</f>
        <v>Chain Length (mm)</v>
      </c>
      <c r="G12" s="42">
        <f>G7*$D$17</f>
        <v>476.49999999999994</v>
      </c>
      <c r="I12" s="88" t="str">
        <f>"Chain Length (" &amp; IF($B$4, "mm", "in") &amp; ")"</f>
        <v>Chain Length (mm)</v>
      </c>
      <c r="J12" s="42">
        <f>J13*D17</f>
        <v>266.83999999999997</v>
      </c>
      <c r="M12" s="117">
        <f>IF(ABS(R11)&lt;0.000000000001,M11,M11-R11/S11)</f>
        <v>173.86295348917577</v>
      </c>
      <c r="N12" s="117">
        <f t="shared" si="0"/>
        <v>1.544621921411979</v>
      </c>
      <c r="O12" s="117">
        <f t="shared" si="1"/>
        <v>173.80340017828334</v>
      </c>
      <c r="P12" s="117">
        <f t="shared" si="2"/>
        <v>49.999999999999993</v>
      </c>
      <c r="Q12" s="117">
        <f t="shared" si="4"/>
        <v>50</v>
      </c>
      <c r="R12" s="117">
        <f t="shared" si="3"/>
        <v>0</v>
      </c>
      <c r="S12" s="117">
        <f t="shared" si="5"/>
        <v>0.20979170874295902</v>
      </c>
    </row>
    <row r="13" spans="2:19" ht="14.45" x14ac:dyDescent="0.3">
      <c r="C13" s="88" t="str">
        <f>"Pitch Diam. 2 (" &amp; IF($B$4, "mm", "in") &amp; ")"</f>
        <v>Pitch Diam. 2 (mm)</v>
      </c>
      <c r="D13" s="42">
        <f>$D$17*D12/PI()</f>
        <v>45.502398229972876</v>
      </c>
      <c r="F13" s="88" t="str">
        <f>"Clearance (" &amp; IF($B$4, "mm", "in") &amp; ")"</f>
        <v>Clearance (mm)</v>
      </c>
      <c r="G13" s="42">
        <f>G11 - ($D$10+$D$13)/2</f>
        <v>133.32079508220016</v>
      </c>
      <c r="I13" s="88" t="s">
        <v>105</v>
      </c>
      <c r="J13" s="6">
        <f>Q16</f>
        <v>28</v>
      </c>
      <c r="M13" s="117">
        <f>IF(ABS(R12)&lt;0.000000000001,M12,M12-R12/S12)</f>
        <v>173.86295348917577</v>
      </c>
      <c r="N13" s="117">
        <f t="shared" si="0"/>
        <v>1.544621921411979</v>
      </c>
      <c r="O13" s="117">
        <f t="shared" si="1"/>
        <v>173.80340017828334</v>
      </c>
      <c r="P13" s="117">
        <f t="shared" si="2"/>
        <v>49.999999999999993</v>
      </c>
      <c r="Q13" s="117">
        <f t="shared" si="4"/>
        <v>50</v>
      </c>
      <c r="R13" s="117">
        <f t="shared" si="3"/>
        <v>0</v>
      </c>
      <c r="S13" s="117" t="e">
        <f t="shared" si="5"/>
        <v>#DIV/0!</v>
      </c>
    </row>
    <row r="14" spans="2:19" ht="14.45" x14ac:dyDescent="0.3">
      <c r="I14" s="88" t="str">
        <f>"Clearance (" &amp; IF($B$4, "mm", "in") &amp; ")"</f>
        <v>Clearance (mm)</v>
      </c>
      <c r="J14" s="42">
        <f>J11 - ($D$10+$D$13)/2</f>
        <v>28.400127482902363</v>
      </c>
      <c r="M14" s="117">
        <f>IF(ABS(R13)&lt;0.000000000001,M13,M13-R13/S13)</f>
        <v>173.86295348917577</v>
      </c>
      <c r="N14" s="117">
        <f t="shared" si="0"/>
        <v>1.544621921411979</v>
      </c>
      <c r="O14" s="117">
        <f t="shared" si="1"/>
        <v>173.80340017828334</v>
      </c>
      <c r="P14" s="117">
        <f t="shared" si="2"/>
        <v>49.999999999999993</v>
      </c>
      <c r="Q14" s="117">
        <f t="shared" si="4"/>
        <v>50</v>
      </c>
      <c r="R14" s="117">
        <f t="shared" si="3"/>
        <v>0</v>
      </c>
      <c r="S14" s="117" t="e">
        <f t="shared" si="5"/>
        <v>#DIV/0!</v>
      </c>
    </row>
    <row r="15" spans="2:19" ht="14.45" x14ac:dyDescent="0.3">
      <c r="M15" s="113"/>
      <c r="N15" s="113"/>
      <c r="O15" s="113"/>
      <c r="P15" s="113"/>
      <c r="Q15" s="113"/>
      <c r="R15" s="113"/>
      <c r="S15" s="113"/>
    </row>
    <row r="16" spans="2:19" ht="14.45" x14ac:dyDescent="0.3">
      <c r="C16" s="235" t="s">
        <v>20</v>
      </c>
      <c r="D16" s="235"/>
      <c r="M16" s="118">
        <f>J7-D20</f>
        <v>69.59</v>
      </c>
      <c r="N16" s="117">
        <f t="shared" ref="N16:N22" si="6">ACOS((D$13-D$10)/(2*M16))</f>
        <v>1.5053632414045293</v>
      </c>
      <c r="O16" s="117">
        <f t="shared" ref="O16:O22" si="7">SQRT(M16^2-(D$10/2-D$13/2)^2)</f>
        <v>69.441078747044315</v>
      </c>
      <c r="P16" s="117">
        <f t="shared" ref="P16:P22" si="8">(2*O16+D$9*$D$17*N16/PI()+D$12*$D$17*(PI()-N16)/PI())/$D$17</f>
        <v>28.135637980677682</v>
      </c>
      <c r="Q16" s="117">
        <f>IF(J8="Nearest", MROUND(P16, J9), IF(J8="Up",CEILING(P16, J9),FLOOR(P16, J9)))</f>
        <v>28</v>
      </c>
      <c r="R16" s="117">
        <f t="shared" ref="R16:R22" si="9">P16-Q16</f>
        <v>0.13563798067768218</v>
      </c>
      <c r="S16" s="117"/>
    </row>
    <row r="17" spans="3:19" ht="14.45" x14ac:dyDescent="0.3">
      <c r="C17" s="61" t="str">
        <f>"Pitch (" &amp; IF($B$4, "mm", "in") &amp; ")"</f>
        <v>Pitch (mm)</v>
      </c>
      <c r="D17" s="62">
        <f>VLOOKUP($D$7, ChainBeltSpecs, 2, FALSE) / IF($B$4, 1, 25.4)</f>
        <v>9.5299999999999994</v>
      </c>
      <c r="M17" s="117">
        <f>IF(Q16&gt;P16, M16+$D$17/10, M16-$D$17/10)</f>
        <v>68.637</v>
      </c>
      <c r="N17" s="117">
        <f t="shared" si="6"/>
        <v>1.5044534005334584</v>
      </c>
      <c r="O17" s="117">
        <f t="shared" si="7"/>
        <v>68.486006501716901</v>
      </c>
      <c r="P17" s="117">
        <f t="shared" si="8"/>
        <v>27.936071925869019</v>
      </c>
      <c r="Q17" s="117">
        <f t="shared" ref="Q17:Q22" si="10">Q16</f>
        <v>28</v>
      </c>
      <c r="R17" s="117">
        <f t="shared" si="9"/>
        <v>-6.3928074130981116E-2</v>
      </c>
      <c r="S17" s="117">
        <f t="shared" ref="S17:S22" si="11">(R17-R16)/(M17-M16)</f>
        <v>0.20940824219167123</v>
      </c>
    </row>
    <row r="18" spans="3:19" ht="14.45" x14ac:dyDescent="0.3">
      <c r="C18" s="61" t="str">
        <f>"Width (" &amp; IF($B$4, "mm", "in") &amp; ")"</f>
        <v>Width (mm)</v>
      </c>
      <c r="D18" s="62">
        <f>VLOOKUP($D$7, ChainBeltSpecs, 3, FALSE) / IF($B$4, 1, 25.4)</f>
        <v>11.76</v>
      </c>
      <c r="M18" s="117">
        <f>IF(ABS(R17)&lt;0.000000000001,M17,M17-R17/S17)</f>
        <v>68.942279646406988</v>
      </c>
      <c r="N18" s="117">
        <f t="shared" si="6"/>
        <v>1.5047475990078809</v>
      </c>
      <c r="O18" s="117">
        <f t="shared" si="7"/>
        <v>68.791956218707668</v>
      </c>
      <c r="P18" s="117">
        <f t="shared" si="8"/>
        <v>27.999998692579737</v>
      </c>
      <c r="Q18" s="117">
        <f t="shared" si="10"/>
        <v>28</v>
      </c>
      <c r="R18" s="117">
        <f t="shared" si="9"/>
        <v>-1.3074202627194609E-6</v>
      </c>
      <c r="S18" s="117">
        <f t="shared" si="11"/>
        <v>0.2094039594945471</v>
      </c>
    </row>
    <row r="19" spans="3:19" ht="14.45" x14ac:dyDescent="0.3">
      <c r="C19" s="61" t="str">
        <f>"Thickness (" &amp; IF($B$4, "mm", "in") &amp; ")"</f>
        <v>Thickness (mm)</v>
      </c>
      <c r="D19" s="62">
        <f>VLOOKUP($D$7, ChainBeltSpecs, 4, FALSE) / IF($B$4, 1, 25.4)</f>
        <v>8.94</v>
      </c>
      <c r="M19" s="117">
        <f>IF(ABS(R18)&lt;0.000000000001,M18,M18-R18/S18)</f>
        <v>68.942285889938702</v>
      </c>
      <c r="N19" s="117">
        <f t="shared" si="6"/>
        <v>1.5047476049980801</v>
      </c>
      <c r="O19" s="117">
        <f t="shared" si="7"/>
        <v>68.791962475882684</v>
      </c>
      <c r="P19" s="117">
        <f t="shared" si="8"/>
        <v>28.000000000012722</v>
      </c>
      <c r="Q19" s="117">
        <f t="shared" si="10"/>
        <v>28</v>
      </c>
      <c r="R19" s="117">
        <f t="shared" si="9"/>
        <v>1.2722267683784594E-11</v>
      </c>
      <c r="S19" s="117">
        <f t="shared" si="11"/>
        <v>0.20940599723382855</v>
      </c>
    </row>
    <row r="20" spans="3:19" ht="14.45" x14ac:dyDescent="0.3">
      <c r="C20" s="61" t="str">
        <f>"C-C Addition (" &amp; IF($B$4, "mm", "in") &amp; ")"</f>
        <v>C-C Addition (mm)</v>
      </c>
      <c r="D20" s="62">
        <f>VLOOKUP($D$7, ChainBeltSpecs, 5, FALSE) / IF($B$4, 1, 25.4)</f>
        <v>0.41</v>
      </c>
      <c r="M20" s="117">
        <f>IF(ABS(R19)&lt;0.000000000001,M19,M19-R19/S19)</f>
        <v>68.942285889877951</v>
      </c>
      <c r="N20" s="117">
        <f t="shared" si="6"/>
        <v>1.504747604998022</v>
      </c>
      <c r="O20" s="117">
        <f t="shared" si="7"/>
        <v>68.791962475821791</v>
      </c>
      <c r="P20" s="117">
        <f t="shared" si="8"/>
        <v>28</v>
      </c>
      <c r="Q20" s="117">
        <f t="shared" si="10"/>
        <v>28</v>
      </c>
      <c r="R20" s="117">
        <f t="shared" si="9"/>
        <v>0</v>
      </c>
      <c r="S20" s="117">
        <f t="shared" si="11"/>
        <v>0.20941520467836258</v>
      </c>
    </row>
    <row r="21" spans="3:19" ht="14.45" x14ac:dyDescent="0.3">
      <c r="M21" s="117">
        <f>IF(ABS(R20)&lt;0.000000000001,M20,M20-R20/S20)</f>
        <v>68.942285889877951</v>
      </c>
      <c r="N21" s="117">
        <f t="shared" si="6"/>
        <v>1.504747604998022</v>
      </c>
      <c r="O21" s="117">
        <f t="shared" si="7"/>
        <v>68.791962475821791</v>
      </c>
      <c r="P21" s="117">
        <f t="shared" si="8"/>
        <v>28</v>
      </c>
      <c r="Q21" s="117">
        <f t="shared" si="10"/>
        <v>28</v>
      </c>
      <c r="R21" s="117">
        <f t="shared" si="9"/>
        <v>0</v>
      </c>
      <c r="S21" s="117" t="e">
        <f t="shared" si="11"/>
        <v>#DIV/0!</v>
      </c>
    </row>
    <row r="22" spans="3:19" ht="14.45" x14ac:dyDescent="0.3">
      <c r="M22" s="117">
        <f>IF(ABS(R21)&lt;0.000000000001,M21,M21-R21/S21)</f>
        <v>68.942285889877951</v>
      </c>
      <c r="N22" s="117">
        <f t="shared" si="6"/>
        <v>1.504747604998022</v>
      </c>
      <c r="O22" s="117">
        <f t="shared" si="7"/>
        <v>68.791962475821791</v>
      </c>
      <c r="P22" s="117">
        <f t="shared" si="8"/>
        <v>28</v>
      </c>
      <c r="Q22" s="117">
        <f t="shared" si="10"/>
        <v>28</v>
      </c>
      <c r="R22" s="117">
        <f t="shared" si="9"/>
        <v>0</v>
      </c>
      <c r="S22" s="117" t="e">
        <f t="shared" si="11"/>
        <v>#DIV/0!</v>
      </c>
    </row>
  </sheetData>
  <sheetProtection sheet="1" objects="1" scenarios="1" formatCells="0" formatColumns="0" formatRows="0"/>
  <mergeCells count="3">
    <mergeCell ref="F6:G6"/>
    <mergeCell ref="I6:J6"/>
    <mergeCell ref="C16:D16"/>
  </mergeCells>
  <conditionalFormatting sqref="D9 D12 G7 J7 J9">
    <cfRule type="expression" dxfId="43" priority="3">
      <formula>ISTEXT(D7)</formula>
    </cfRule>
    <cfRule type="cellIs" dxfId="42" priority="8" operator="lessThanOrEqual">
      <formula>0</formula>
    </cfRule>
  </conditionalFormatting>
  <conditionalFormatting sqref="D7 D9 D12 G7 J7:J9">
    <cfRule type="containsBlanks" dxfId="41" priority="4">
      <formula>LEN(TRIM(D7))=0</formula>
    </cfRule>
    <cfRule type="containsBlanks" dxfId="40" priority="7">
      <formula>LEN(TRIM(D7))=0</formula>
    </cfRule>
  </conditionalFormatting>
  <conditionalFormatting sqref="G11:G13">
    <cfRule type="expression" dxfId="39" priority="2">
      <formula>ISERROR($G$11)</formula>
    </cfRule>
    <cfRule type="expression" dxfId="38" priority="6">
      <formula>$G$13&lt;=0</formula>
    </cfRule>
  </conditionalFormatting>
  <conditionalFormatting sqref="J11:J14">
    <cfRule type="expression" dxfId="37" priority="1">
      <formula>ISERROR($J$11)</formula>
    </cfRule>
    <cfRule type="expression" dxfId="36" priority="5">
      <formula>$J$14&lt;=0</formula>
    </cfRule>
  </conditionalFormatting>
  <dataValidations count="2">
    <dataValidation type="list" allowBlank="1" showInputMessage="1" showErrorMessage="1" errorTitle="Error" error="Invalid chain/belt type" sqref="D7">
      <formula1>ChainBelts</formula1>
    </dataValidation>
    <dataValidation type="list" allowBlank="1" showInputMessage="1" showErrorMessage="1" sqref="J8">
      <formula1>"Nearest,Up,Down"</formula1>
    </dataValidation>
  </dataValidations>
  <pageMargins left="0.7" right="0.7" top="0.75" bottom="0.75" header="0.3" footer="0.3"/>
  <pageSetup orientation="portrait" r:id="rId1"/>
  <ignoredErrors>
    <ignoredError sqref="S13:S14 S2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Metric">
              <controlPr locked="0" defaultSize="0" autoFill="0" autoLine="0" autoPict="0" macro="[0]!ChainBel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12.28515625" style="1" customWidth="1"/>
    <col min="4" max="4" width="9.140625" style="1"/>
    <col min="5" max="5" width="15.42578125" style="1" customWidth="1"/>
    <col min="6" max="6" width="14.85546875" style="1" customWidth="1"/>
    <col min="7" max="7" width="9.140625" style="1"/>
    <col min="8" max="8" width="13.7109375" style="1" customWidth="1"/>
    <col min="9" max="9" width="15" style="1" customWidth="1"/>
    <col min="10" max="16384" width="9.140625" style="1"/>
  </cols>
  <sheetData>
    <row r="2" spans="2:10" ht="31.15" x14ac:dyDescent="0.3">
      <c r="C2" s="2" t="s">
        <v>109</v>
      </c>
    </row>
    <row r="4" spans="2:10" ht="14.45" x14ac:dyDescent="0.3">
      <c r="B4" s="8" t="b">
        <v>1</v>
      </c>
      <c r="C4" s="1" t="s">
        <v>0</v>
      </c>
    </row>
    <row r="5" spans="2:10" ht="14.45" x14ac:dyDescent="0.3">
      <c r="B5" s="4"/>
    </row>
    <row r="6" spans="2:10" ht="18" x14ac:dyDescent="0.3">
      <c r="F6" s="217" t="s">
        <v>116</v>
      </c>
      <c r="G6" s="217"/>
      <c r="I6" s="217" t="s">
        <v>121</v>
      </c>
      <c r="J6" s="217"/>
    </row>
    <row r="7" spans="2:10" ht="14.45" x14ac:dyDescent="0.3">
      <c r="C7" s="88" t="s">
        <v>110</v>
      </c>
      <c r="D7" s="11">
        <v>100</v>
      </c>
      <c r="F7" s="88" t="s">
        <v>115</v>
      </c>
      <c r="G7" s="11" t="s">
        <v>117</v>
      </c>
      <c r="I7" s="88" t="s">
        <v>119</v>
      </c>
      <c r="J7" s="11">
        <v>20</v>
      </c>
    </row>
    <row r="8" spans="2:10" ht="14.45" x14ac:dyDescent="0.3">
      <c r="C8" s="88" t="s">
        <v>111</v>
      </c>
      <c r="D8" s="11">
        <v>32</v>
      </c>
      <c r="I8" s="88" t="s">
        <v>120</v>
      </c>
      <c r="J8" s="11">
        <v>20</v>
      </c>
    </row>
    <row r="10" spans="2:10" ht="14.45" x14ac:dyDescent="0.3">
      <c r="C10" s="88" t="s">
        <v>112</v>
      </c>
      <c r="D10" s="48">
        <v>30</v>
      </c>
      <c r="F10" s="88" t="str">
        <f>"Clearance (" &amp; IF($B$4, "mm", "in") &amp; ")"</f>
        <v>Clearance (mm)</v>
      </c>
      <c r="G10" s="42">
        <f>(($D$10+$D$11)/(2*$D$12) - ($D$7+2)/(2*$D$8) - IFERROR(CHOOSE(MATCH(G7, {"1/2"" Hex","1/2"" Round","3/8"" Hex","3/8"" Round","1/4"" Square"}, 0), 0.577, 0.5, 0.433, 0.375, 0.354), G7/IF($B$4, 25.4, 1))/2) * IF($B$4, 25.4, 1)</f>
        <v>9.3408499999999997</v>
      </c>
      <c r="I10" s="88" t="str">
        <f>"Clearance (" &amp; IF($B$4, "mm", "in") &amp; ")"</f>
        <v>Clearance (mm)</v>
      </c>
      <c r="J10" s="42">
        <f>(($D$10+$D$11)/(2*$D$12) - ($D$7+2)/(2*$D$8) - (J7+2)/(2*J8)) * IF($B$4, 25.4, 1)</f>
        <v>2.6987499999999986</v>
      </c>
    </row>
    <row r="11" spans="2:10" ht="14.45" x14ac:dyDescent="0.3">
      <c r="C11" s="88" t="s">
        <v>113</v>
      </c>
      <c r="D11" s="11">
        <v>60</v>
      </c>
      <c r="F11" s="88" t="s">
        <v>118</v>
      </c>
      <c r="G11" s="42" t="b">
        <f>G10&gt;0</f>
        <v>1</v>
      </c>
      <c r="I11" s="88" t="s">
        <v>118</v>
      </c>
      <c r="J11" s="42" t="b">
        <f>J10&gt;0</f>
        <v>1</v>
      </c>
    </row>
    <row r="12" spans="2:10" ht="14.45" x14ac:dyDescent="0.3">
      <c r="C12" s="88" t="s">
        <v>114</v>
      </c>
      <c r="D12" s="11">
        <v>20</v>
      </c>
      <c r="G12" s="5"/>
      <c r="J12" s="5"/>
    </row>
    <row r="13" spans="2:10" ht="14.45" x14ac:dyDescent="0.3">
      <c r="D13" s="5"/>
      <c r="G13" s="5"/>
    </row>
    <row r="14" spans="2:10" ht="14.45" x14ac:dyDescent="0.3">
      <c r="J14" s="5"/>
    </row>
    <row r="17" spans="4:4" ht="14.45" x14ac:dyDescent="0.3">
      <c r="D17" s="5"/>
    </row>
    <row r="18" spans="4:4" ht="14.45" x14ac:dyDescent="0.3">
      <c r="D18" s="5"/>
    </row>
    <row r="19" spans="4:4" ht="14.45" x14ac:dyDescent="0.3">
      <c r="D19" s="5"/>
    </row>
    <row r="20" spans="4:4" ht="14.45" x14ac:dyDescent="0.3">
      <c r="D20" s="5"/>
    </row>
  </sheetData>
  <sheetProtection sheet="1" objects="1" scenarios="1" formatCells="0" formatColumns="0" formatRows="0"/>
  <mergeCells count="2">
    <mergeCell ref="F6:G6"/>
    <mergeCell ref="I6:J6"/>
  </mergeCells>
  <conditionalFormatting sqref="D7:D8 D10:D12 G7 J7:J8">
    <cfRule type="containsBlanks" dxfId="35" priority="4">
      <formula>LEN(TRIM(D7))=0</formula>
    </cfRule>
    <cfRule type="cellIs" dxfId="34" priority="5" operator="lessThanOrEqual">
      <formula>0</formula>
    </cfRule>
  </conditionalFormatting>
  <conditionalFormatting sqref="G10:G11">
    <cfRule type="expression" dxfId="33" priority="3">
      <formula>$G$10&lt;=0</formula>
    </cfRule>
  </conditionalFormatting>
  <conditionalFormatting sqref="J10:J11">
    <cfRule type="expression" dxfId="32" priority="2">
      <formula>$J$10&lt;=0</formula>
    </cfRule>
  </conditionalFormatting>
  <conditionalFormatting sqref="D7:D8 D10:D12 J7:J8">
    <cfRule type="expression" dxfId="31" priority="1">
      <formula>ISTEXT(D7)</formula>
    </cfRule>
  </conditionalFormatting>
  <dataValidations count="1">
    <dataValidation type="list" allowBlank="1" showInputMessage="1" prompt="You can select an axle type from the drop-down list or enter a diameter manually." sqref="G7">
      <formula1>"1/2"" Hex,1/2"" Round,3/8"" Hex,3/8"" Round,1/4"" Square"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Metric">
              <controlPr locked="0" defaultSize="0" autoFill="0" autoLine="0" autoPict="0" macro="[0]!GearClear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J20"/>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6384" width="9.140625" style="1"/>
  </cols>
  <sheetData>
    <row r="2" spans="2:10" ht="31.15" x14ac:dyDescent="0.3">
      <c r="C2" s="2" t="s">
        <v>122</v>
      </c>
    </row>
    <row r="4" spans="2:10" ht="14.45" x14ac:dyDescent="0.3">
      <c r="B4" s="8" t="b">
        <v>0</v>
      </c>
      <c r="C4" s="1" t="s">
        <v>0</v>
      </c>
    </row>
    <row r="5" spans="2:10" ht="14.45" x14ac:dyDescent="0.3">
      <c r="B5" s="4"/>
    </row>
    <row r="6" spans="2:10" ht="14.45" x14ac:dyDescent="0.3">
      <c r="C6" s="88" t="s">
        <v>123</v>
      </c>
      <c r="D6" s="48">
        <v>20</v>
      </c>
    </row>
    <row r="8" spans="2:10" ht="14.45" x14ac:dyDescent="0.3">
      <c r="C8" s="88" t="s">
        <v>124</v>
      </c>
      <c r="D8" s="70">
        <v>3</v>
      </c>
    </row>
    <row r="9" spans="2:10" ht="14.45" x14ac:dyDescent="0.3">
      <c r="C9" s="88" t="str">
        <f>"Desired Distance (" &amp; IF($B$4, "mm", "in") &amp; ")"</f>
        <v>Desired Distance (in)</v>
      </c>
      <c r="D9" s="15">
        <v>2</v>
      </c>
    </row>
    <row r="10" spans="2:10" ht="14.45" x14ac:dyDescent="0.3">
      <c r="D10" s="5"/>
      <c r="G10" s="5"/>
      <c r="J10" s="5"/>
    </row>
    <row r="11" spans="2:10" ht="14.45" x14ac:dyDescent="0.3">
      <c r="C11" s="88" t="s">
        <v>125</v>
      </c>
      <c r="D11" s="6">
        <f>2*D9/IF($B$4, 25.4, 1)*D6/(D8+1)</f>
        <v>20</v>
      </c>
    </row>
    <row r="12" spans="2:10" ht="14.45" x14ac:dyDescent="0.3">
      <c r="C12" s="88" t="str">
        <f>"Pitch Diameter (" &amp; IF($B$4, "mm", "in") &amp; ")"</f>
        <v>Pitch Diameter (in)</v>
      </c>
      <c r="D12" s="7">
        <f>D11/$D$6*IF($B$4, 25.4, 1)</f>
        <v>1</v>
      </c>
    </row>
    <row r="13" spans="2:10" ht="14.45" x14ac:dyDescent="0.3">
      <c r="C13" s="88" t="str">
        <f>"Outside Diameter (" &amp; IF($B$4, "mm", "in") &amp; ")"</f>
        <v>Outside Diameter (in)</v>
      </c>
      <c r="D13" s="7">
        <f>(D11+2)/$D$6*IF($B$4, 25.4, 1)</f>
        <v>1.1000000000000001</v>
      </c>
    </row>
    <row r="15" spans="2:10" ht="14.45" x14ac:dyDescent="0.3">
      <c r="C15" s="88" t="s">
        <v>126</v>
      </c>
      <c r="D15" s="6">
        <f>D11*D8</f>
        <v>60</v>
      </c>
    </row>
    <row r="16" spans="2:10" ht="14.45" x14ac:dyDescent="0.3">
      <c r="C16" s="88" t="str">
        <f>"Pitch Diameter (" &amp; IF($B$4, "mm", "in") &amp; ")"</f>
        <v>Pitch Diameter (in)</v>
      </c>
      <c r="D16" s="7">
        <f>D15/$D$6*IF($B$4, 25.4, 1)</f>
        <v>3</v>
      </c>
    </row>
    <row r="17" spans="3:4" ht="14.45" x14ac:dyDescent="0.3">
      <c r="C17" s="88" t="str">
        <f>"Outside Diameter (" &amp; IF($B$4, "mm", "in") &amp; ")"</f>
        <v>Outside Diameter (in)</v>
      </c>
      <c r="D17" s="7">
        <f>(D15+2)/$D$6*IF($B$4, 25.4, 1)</f>
        <v>3.1</v>
      </c>
    </row>
    <row r="19" spans="3:4" ht="14.45" customHeight="1" x14ac:dyDescent="0.3">
      <c r="C19" s="236" t="s">
        <v>127</v>
      </c>
      <c r="D19" s="236"/>
    </row>
    <row r="20" spans="3:4" ht="14.45" customHeight="1" x14ac:dyDescent="0.3">
      <c r="C20" s="237" t="s">
        <v>128</v>
      </c>
      <c r="D20" s="237"/>
    </row>
  </sheetData>
  <sheetProtection sheet="1" objects="1" scenarios="1" formatCells="0" formatColumns="0" formatRows="0"/>
  <mergeCells count="2">
    <mergeCell ref="C19:D19"/>
    <mergeCell ref="C20:D20"/>
  </mergeCells>
  <conditionalFormatting sqref="D11:D13 D15:D17">
    <cfRule type="expression" dxfId="30" priority="5">
      <formula>NOT(AND(INT($D$11)=$D$11, INT($D$15)=$D$15))</formula>
    </cfRule>
  </conditionalFormatting>
  <conditionalFormatting sqref="C19:D20">
    <cfRule type="expression" dxfId="29" priority="4">
      <formula>AND(INT($D$11)=$D$11, INT($D$15)=$D$15)</formula>
    </cfRule>
  </conditionalFormatting>
  <conditionalFormatting sqref="D6 D8:D9">
    <cfRule type="expression" dxfId="28" priority="1">
      <formula>ISTEXT(D6)</formula>
    </cfRule>
    <cfRule type="containsBlanks" dxfId="27" priority="2">
      <formula>LEN(TRIM(D6))=0</formula>
    </cfRule>
    <cfRule type="cellIs" dxfId="26" priority="3" operator="lessThan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Metric">
              <controlPr locked="0" defaultSize="0" autoFill="0" autoLine="0" autoPict="0" macro="[0]!RatioDist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2:Q192"/>
  <sheetViews>
    <sheetView zoomScaleNormal="100" workbookViewId="0"/>
  </sheetViews>
  <sheetFormatPr defaultColWidth="9.140625" defaultRowHeight="15" x14ac:dyDescent="0.25"/>
  <cols>
    <col min="1" max="1" width="7.140625" style="1" customWidth="1"/>
    <col min="2" max="2" width="3.28515625" style="1" customWidth="1"/>
    <col min="3" max="3" width="20.140625" style="1" customWidth="1"/>
    <col min="4" max="11" width="10.85546875" style="1" customWidth="1"/>
    <col min="12" max="12" width="9.140625" style="1"/>
    <col min="13" max="13" width="19.7109375" style="1" customWidth="1"/>
    <col min="14" max="16384" width="9.140625" style="1"/>
  </cols>
  <sheetData>
    <row r="2" spans="2:17" ht="31.15" x14ac:dyDescent="0.3">
      <c r="C2" s="2" t="s">
        <v>129</v>
      </c>
    </row>
    <row r="4" spans="2:17" ht="14.45" x14ac:dyDescent="0.3">
      <c r="B4" s="8" t="b">
        <v>0</v>
      </c>
      <c r="C4" s="1" t="s">
        <v>0</v>
      </c>
      <c r="G4" s="5"/>
      <c r="H4" s="5"/>
      <c r="I4" s="5"/>
    </row>
    <row r="5" spans="2:17" ht="14.45" x14ac:dyDescent="0.3">
      <c r="B5" s="4"/>
      <c r="G5" s="5"/>
      <c r="H5" s="5"/>
      <c r="I5" s="5"/>
    </row>
    <row r="6" spans="2:17" ht="14.45" x14ac:dyDescent="0.3">
      <c r="D6" s="63" t="s">
        <v>134</v>
      </c>
      <c r="E6" s="63" t="s">
        <v>135</v>
      </c>
      <c r="F6" s="63" t="s">
        <v>136</v>
      </c>
      <c r="G6" s="63" t="s">
        <v>137</v>
      </c>
      <c r="H6" s="63" t="s">
        <v>138</v>
      </c>
      <c r="I6" s="63" t="s">
        <v>139</v>
      </c>
      <c r="J6" s="63" t="s">
        <v>140</v>
      </c>
      <c r="K6" s="63" t="s">
        <v>141</v>
      </c>
      <c r="N6" s="63" t="s">
        <v>144</v>
      </c>
      <c r="O6" s="63" t="s">
        <v>146</v>
      </c>
      <c r="P6" s="63" t="s">
        <v>145</v>
      </c>
      <c r="Q6" s="63" t="s">
        <v>147</v>
      </c>
    </row>
    <row r="7" spans="2:17" ht="14.45" x14ac:dyDescent="0.3">
      <c r="C7" s="63" t="str">
        <f>"Diameter (" &amp; IF($B$4, "mm", "in") &amp; ")"</f>
        <v>Diameter (in)</v>
      </c>
      <c r="D7" s="76">
        <v>1.4999999999999998</v>
      </c>
      <c r="E7" s="9"/>
      <c r="F7" s="9"/>
      <c r="G7" s="9"/>
      <c r="H7" s="9"/>
      <c r="I7" s="9"/>
      <c r="J7" s="9"/>
      <c r="K7" s="9"/>
      <c r="M7" s="63" t="str">
        <f>"Tank Volume (" &amp; IF($B$4, "mL", "in^3") &amp; ")"</f>
        <v>Tank Volume (in^3)</v>
      </c>
      <c r="N7" s="12">
        <v>35.000000000000014</v>
      </c>
      <c r="O7" s="12"/>
      <c r="P7" s="12"/>
      <c r="Q7" s="12"/>
    </row>
    <row r="8" spans="2:17" ht="14.45" x14ac:dyDescent="0.3">
      <c r="C8" s="64" t="str">
        <f>"Rod Diameter (" &amp; IF($B$4, "mm", "in") &amp; ")"</f>
        <v>Rod Diameter (in)</v>
      </c>
      <c r="D8" s="76">
        <v>0.37499999999999994</v>
      </c>
      <c r="E8" s="9"/>
      <c r="F8" s="9"/>
      <c r="G8" s="9"/>
      <c r="H8" s="9"/>
      <c r="I8" s="9"/>
      <c r="J8" s="9"/>
      <c r="K8" s="9"/>
      <c r="M8" s="64" t="s">
        <v>142</v>
      </c>
      <c r="N8" s="67">
        <v>3</v>
      </c>
      <c r="O8" s="67"/>
      <c r="P8" s="67"/>
      <c r="Q8" s="67"/>
    </row>
    <row r="9" spans="2:17" ht="14.45" x14ac:dyDescent="0.3">
      <c r="C9" s="64" t="str">
        <f>"Stroke Length (" &amp; IF($B$4, "mm", "in") &amp; ")"</f>
        <v>Stroke Length (in)</v>
      </c>
      <c r="D9" s="76">
        <v>11.999999999999998</v>
      </c>
      <c r="E9" s="9"/>
      <c r="F9" s="9"/>
      <c r="G9" s="9"/>
      <c r="H9" s="9"/>
      <c r="I9" s="9"/>
      <c r="J9" s="9"/>
      <c r="K9" s="9"/>
      <c r="M9" s="65" t="s">
        <v>143</v>
      </c>
      <c r="N9" s="69">
        <v>120</v>
      </c>
      <c r="O9" s="69"/>
      <c r="P9" s="69"/>
      <c r="Q9" s="69"/>
    </row>
    <row r="10" spans="2:17" ht="14.45" x14ac:dyDescent="0.3">
      <c r="C10" s="64" t="s">
        <v>130</v>
      </c>
      <c r="D10" s="67">
        <v>40</v>
      </c>
      <c r="E10" s="67"/>
      <c r="F10" s="67"/>
      <c r="G10" s="67"/>
      <c r="H10" s="67"/>
      <c r="I10" s="67"/>
      <c r="J10" s="67"/>
      <c r="K10" s="67"/>
      <c r="M10" s="88" t="str">
        <f>"Total Tank Vol. (" &amp; IF($B$4, "mL", "in^3") &amp; ")"</f>
        <v>Total Tank Vol. (in^3)</v>
      </c>
      <c r="N10" s="29">
        <f>SUMPRODUCT(N7:Q7,N8:Q8,N9:Q9)/120</f>
        <v>105.00000000000004</v>
      </c>
      <c r="O10" s="1" t="s">
        <v>153</v>
      </c>
    </row>
    <row r="11" spans="2:17" ht="14.45" x14ac:dyDescent="0.3">
      <c r="C11" s="64" t="str">
        <f>"Push Force (" &amp; IF($B$4, "N", "lbf") &amp; ")"</f>
        <v>Push Force (lbf)</v>
      </c>
      <c r="D11" s="75">
        <f>IF(COUNTBLANK(D7:D10)=0, (D$7/2)^2*PI()*D$10/IF($B$4, 145.04, 1), "")</f>
        <v>70.685834705770318</v>
      </c>
      <c r="E11" s="75" t="str">
        <f t="shared" ref="E11:K11" si="0">IF(COUNTBLANK(E7:E10)=0, (E$7/2)^2*PI()*E$10/IF($B$4, 145.04, 1), "")</f>
        <v/>
      </c>
      <c r="F11" s="75" t="str">
        <f t="shared" si="0"/>
        <v/>
      </c>
      <c r="G11" s="75" t="str">
        <f t="shared" si="0"/>
        <v/>
      </c>
      <c r="H11" s="75" t="str">
        <f t="shared" si="0"/>
        <v/>
      </c>
      <c r="I11" s="75" t="str">
        <f t="shared" si="0"/>
        <v/>
      </c>
      <c r="J11" s="75" t="str">
        <f t="shared" si="0"/>
        <v/>
      </c>
      <c r="K11" s="75" t="str">
        <f t="shared" si="0"/>
        <v/>
      </c>
    </row>
    <row r="12" spans="2:17" ht="14.45" x14ac:dyDescent="0.3">
      <c r="C12" s="64" t="s">
        <v>131</v>
      </c>
      <c r="D12" s="12">
        <v>15</v>
      </c>
      <c r="E12" s="67"/>
      <c r="F12" s="67"/>
      <c r="G12" s="67"/>
      <c r="H12" s="67"/>
      <c r="I12" s="67"/>
      <c r="J12" s="67"/>
      <c r="K12" s="67"/>
      <c r="M12" s="88" t="s">
        <v>148</v>
      </c>
      <c r="N12" s="238" t="s">
        <v>154</v>
      </c>
      <c r="O12" s="239"/>
    </row>
    <row r="13" spans="2:17" ht="14.45" x14ac:dyDescent="0.3">
      <c r="C13" s="64" t="str">
        <f>"Pull Force (" &amp; IF($B$4, "N", "lbf") &amp; ")"</f>
        <v>Pull Force (lbf)</v>
      </c>
      <c r="D13" s="75">
        <f>IF(COUNTBLANK(D9:D12)=0, (D$7^2 - D$8^2)*PI()/4*D$12/IF($B$4, 145.04, 1), "")</f>
        <v>24.850488763747375</v>
      </c>
      <c r="E13" s="75" t="str">
        <f t="shared" ref="E13:K13" si="1">IF(COUNTBLANK(E9:E12)=0, (E$7^2 - E$8^2)*PI()/4*E$12/IF($B$4, 145.04, 1), "")</f>
        <v/>
      </c>
      <c r="F13" s="75" t="str">
        <f t="shared" si="1"/>
        <v/>
      </c>
      <c r="G13" s="75" t="str">
        <f t="shared" si="1"/>
        <v/>
      </c>
      <c r="H13" s="75" t="str">
        <f t="shared" si="1"/>
        <v/>
      </c>
      <c r="I13" s="75" t="str">
        <f t="shared" si="1"/>
        <v/>
      </c>
      <c r="J13" s="75" t="str">
        <f t="shared" si="1"/>
        <v/>
      </c>
      <c r="K13" s="75" t="str">
        <f t="shared" si="1"/>
        <v/>
      </c>
    </row>
    <row r="14" spans="2:17" ht="14.45" x14ac:dyDescent="0.3">
      <c r="C14" s="64" t="s">
        <v>166</v>
      </c>
      <c r="D14" s="67">
        <v>5</v>
      </c>
      <c r="E14" s="67"/>
      <c r="F14" s="67"/>
      <c r="G14" s="67"/>
      <c r="H14" s="67"/>
      <c r="I14" s="67"/>
      <c r="J14" s="67"/>
      <c r="K14" s="67"/>
      <c r="M14" s="88" t="s">
        <v>149</v>
      </c>
      <c r="N14" s="11">
        <v>120</v>
      </c>
    </row>
    <row r="15" spans="2:17" ht="14.45" x14ac:dyDescent="0.3">
      <c r="C15" s="64" t="s">
        <v>132</v>
      </c>
      <c r="D15" s="67">
        <v>8</v>
      </c>
      <c r="E15" s="67"/>
      <c r="F15" s="67"/>
      <c r="G15" s="67"/>
      <c r="H15" s="67"/>
      <c r="I15" s="67"/>
      <c r="J15" s="67"/>
      <c r="K15" s="67"/>
      <c r="M15" s="88" t="s">
        <v>150</v>
      </c>
      <c r="N15" s="11">
        <v>95</v>
      </c>
    </row>
    <row r="16" spans="2:17" ht="14.45" x14ac:dyDescent="0.3">
      <c r="C16" s="65" t="s">
        <v>133</v>
      </c>
      <c r="D16" s="68">
        <v>140</v>
      </c>
      <c r="E16" s="69"/>
      <c r="F16" s="69"/>
      <c r="G16" s="69"/>
      <c r="H16" s="69"/>
      <c r="I16" s="69"/>
      <c r="J16" s="69"/>
      <c r="K16" s="69"/>
      <c r="M16" s="88" t="s">
        <v>151</v>
      </c>
      <c r="N16" s="43">
        <f>MIN(D42:D192)</f>
        <v>33.320099200506633</v>
      </c>
    </row>
    <row r="17" spans="4:14" ht="14.45" x14ac:dyDescent="0.3">
      <c r="D17" s="56"/>
      <c r="M17" s="88" t="s">
        <v>152</v>
      </c>
      <c r="N17" s="43">
        <f>D192</f>
        <v>56.540434019763524</v>
      </c>
    </row>
    <row r="39" spans="3:14" x14ac:dyDescent="0.25">
      <c r="C39" s="4"/>
      <c r="D39" s="4"/>
      <c r="E39" s="4"/>
      <c r="F39" s="4"/>
      <c r="G39" s="4"/>
      <c r="H39" s="4"/>
      <c r="I39" s="4"/>
      <c r="J39" s="4"/>
      <c r="K39" s="4"/>
      <c r="L39" s="4"/>
      <c r="M39" s="4"/>
      <c r="N39" s="4"/>
    </row>
    <row r="40" spans="3:14" x14ac:dyDescent="0.25">
      <c r="C40" s="3"/>
      <c r="D40" s="66">
        <f>IFERROR(CHOOSE(MATCH($N$12,{"1.1 Pump","Viair 90C"},0), 0.0000003865, -0.000000437), 0)</f>
        <v>3.8650000000000003E-7</v>
      </c>
      <c r="E40" s="3">
        <f>IFERROR(CHOOSE(MATCH($N$12,{"1.1 Pump","Viair 90C"},0), -0.00003916, 0.000123), 0)</f>
        <v>-3.9159999999999998E-5</v>
      </c>
      <c r="F40" s="3">
        <f>IFERROR(CHOOSE(MATCH($N$12,{"1.1 Pump","Viair 90C"},0), -0.003809, -0.01186), 0)</f>
        <v>-3.8089999999999999E-3</v>
      </c>
      <c r="G40" s="3">
        <f>IFERROR(CHOOSE(MATCH($N$12,{"1.1 Pump","Viair 90C"},0), 0.692, 0.6123), 0)</f>
        <v>0.69199999999999995</v>
      </c>
      <c r="H40" s="3"/>
      <c r="I40" s="59">
        <f>MAX(D10:K10,D12:K12)</f>
        <v>40</v>
      </c>
      <c r="J40" s="3"/>
      <c r="K40" s="3"/>
      <c r="L40" s="3"/>
      <c r="M40" s="3"/>
      <c r="N40" s="4"/>
    </row>
    <row r="41" spans="3:14" x14ac:dyDescent="0.25">
      <c r="C41" s="3" t="s">
        <v>155</v>
      </c>
      <c r="D41" s="3" t="s">
        <v>156</v>
      </c>
      <c r="E41" s="3" t="s">
        <v>157</v>
      </c>
      <c r="F41" s="3" t="s">
        <v>158</v>
      </c>
      <c r="G41" s="3" t="s">
        <v>159</v>
      </c>
      <c r="H41" s="3" t="s">
        <v>160</v>
      </c>
      <c r="I41" s="3" t="s">
        <v>161</v>
      </c>
      <c r="J41" s="3" t="s">
        <v>162</v>
      </c>
      <c r="K41" s="3" t="s">
        <v>163</v>
      </c>
      <c r="L41" s="3" t="s">
        <v>164</v>
      </c>
      <c r="M41" s="3" t="s">
        <v>165</v>
      </c>
      <c r="N41" s="4"/>
    </row>
    <row r="42" spans="3:14" x14ac:dyDescent="0.25">
      <c r="C42" s="3">
        <v>0</v>
      </c>
      <c r="D42" s="3">
        <f>MAX((N14*($N$10/IF($B$4, 16.387, 1))+E42-SUM(F42:M42))/($N$10/IF($B$4, 16.387, 1)), 0)</f>
        <v>120</v>
      </c>
      <c r="E42" s="3">
        <f>IF(N14&lt;$N$15, $D$40*N14^3+$E$40*N14^2+$F$40*N14+$G$40, 0) * 12^3/60*14.7</f>
        <v>0</v>
      </c>
      <c r="F42" s="3">
        <f>IFERROR(IF(AND($C42&gt;=D$15, $C42&lt;=D$16), IF(D$14&gt;1, N(MOD($C42-D$15, D$14)&lt;1), 1/D$14)*PI()*D$9/4*(D$7^2*MIN(D$10, $N$14)+(D$7^2-D$8^2)*MIN(D$12, $N$14))/IF($B$4, 25.4^3, 1), 0), 0)</f>
        <v>0</v>
      </c>
      <c r="G42" s="3">
        <f t="shared" ref="G42:M42" si="2">IFERROR(IF(AND($C42&gt;=E$15, $C42&lt;=E$16), IF(E$14&gt;1, N(MOD($C42-E$15, E$14)&lt;1), 1/E$14)*PI()*E$9/4*(E$7^2*MIN(E$10, $N$14)+(E$7^2-E$8^2)*MIN(E$12, $N$14))/IF($B$4, 25.4^3, 1), 0), 0)</f>
        <v>0</v>
      </c>
      <c r="H42" s="3">
        <f t="shared" si="2"/>
        <v>0</v>
      </c>
      <c r="I42" s="3">
        <f t="shared" si="2"/>
        <v>0</v>
      </c>
      <c r="J42" s="3">
        <f t="shared" si="2"/>
        <v>0</v>
      </c>
      <c r="K42" s="3">
        <f t="shared" si="2"/>
        <v>0</v>
      </c>
      <c r="L42" s="3">
        <f t="shared" si="2"/>
        <v>0</v>
      </c>
      <c r="M42" s="3">
        <f t="shared" si="2"/>
        <v>0</v>
      </c>
      <c r="N42" s="4"/>
    </row>
    <row r="43" spans="3:14" x14ac:dyDescent="0.25">
      <c r="C43" s="3">
        <v>1</v>
      </c>
      <c r="D43" s="3">
        <f>MAX((D42*($N$10/IF($B$4, 16.387, 1))+E43-SUM(F43:M43))/($N$10/IF($B$4, 16.387, 1)), 0)</f>
        <v>120</v>
      </c>
      <c r="E43" s="3">
        <f>IF(D42&lt;$N$15, $D$40*D42^3+$E$40*D42^2+$F$40*D42+$G$40, 0) * 12^3/60*14.7</f>
        <v>0</v>
      </c>
      <c r="F43" s="3">
        <f>IFERROR(IF(AND($C43&gt;=D$15, $C43&lt;=D$16), IF(D$14&gt;1, N(MOD($C43-D$15, D$14)&lt;1), 1/D$14)*PI()*D$9/4*(D$7^2*MIN(D$10, $D42)+(D$7^2-D$8^2)*MIN(D$12, D$42))/IF($B$4, 25.4^3, 1), 0), 0)</f>
        <v>0</v>
      </c>
      <c r="G43" s="3">
        <f t="shared" ref="G43:M43" si="3">IFERROR(IF(AND($C43&gt;=E$15, $C43&lt;=E$16), IF(E$14&gt;1, N(MOD($C43-E$15, E$14)&lt;1), 1/E$14)*PI()*E$9/4*(E$7^2*MIN(E$10, $D42)+(E$7^2-E$8^2)*MIN(E$12, E$42))/IF($B$4, 25.4^3, 1), 0), 0)</f>
        <v>0</v>
      </c>
      <c r="H43" s="3">
        <f t="shared" si="3"/>
        <v>0</v>
      </c>
      <c r="I43" s="3">
        <f t="shared" si="3"/>
        <v>0</v>
      </c>
      <c r="J43" s="3">
        <f t="shared" si="3"/>
        <v>0</v>
      </c>
      <c r="K43" s="3">
        <f t="shared" si="3"/>
        <v>0</v>
      </c>
      <c r="L43" s="3">
        <f t="shared" si="3"/>
        <v>0</v>
      </c>
      <c r="M43" s="3">
        <f t="shared" si="3"/>
        <v>0</v>
      </c>
      <c r="N43" s="4"/>
    </row>
    <row r="44" spans="3:14" x14ac:dyDescent="0.25">
      <c r="C44" s="3">
        <v>2</v>
      </c>
      <c r="D44" s="3">
        <f t="shared" ref="D44:D107" si="4">MAX((D43*($N$10/IF($B$4, 16.387, 1))+E44-SUM(F44:M44))/($N$10/IF($B$4, 16.387, 1)), 0)</f>
        <v>120</v>
      </c>
      <c r="E44" s="3">
        <f t="shared" ref="E44:E107" si="5">IF(D43&lt;$N$15, $D$40*D43^3+$E$40*D43^2+$F$40*D43+$G$40, 0) * 12^3/60*14.7</f>
        <v>0</v>
      </c>
      <c r="F44" s="3">
        <f t="shared" ref="F44:F107" si="6">IFERROR(IF(AND($C44&gt;=D$15, $C44&lt;=D$16), IF(D$14&gt;1, N(MOD($C44-D$15, D$14)&lt;1), 1/D$14)*PI()*D$9/4*(D$7^2*MIN(D$10, $D43)+(D$7^2-D$8^2)*MIN(D$12, D$42))/IF($B$4, 25.4^3, 1), 0), 0)</f>
        <v>0</v>
      </c>
      <c r="G44" s="3">
        <f t="shared" ref="G44:G107" si="7">IFERROR(IF(AND($C44&gt;=E$15, $C44&lt;=E$16), IF(E$14&gt;1, N(MOD($C44-E$15, E$14)&lt;1), 1/E$14)*PI()*E$9/4*(E$7^2*MIN(E$10, $D43)+(E$7^2-E$8^2)*MIN(E$12, E$42))/IF($B$4, 25.4^3, 1), 0), 0)</f>
        <v>0</v>
      </c>
      <c r="H44" s="3">
        <f t="shared" ref="H44:H107" si="8">IFERROR(IF(AND($C44&gt;=F$15, $C44&lt;=F$16), IF(F$14&gt;1, N(MOD($C44-F$15, F$14)&lt;1), 1/F$14)*PI()*F$9/4*(F$7^2*MIN(F$10, $D43)+(F$7^2-F$8^2)*MIN(F$12, F$42))/IF($B$4, 25.4^3, 1), 0), 0)</f>
        <v>0</v>
      </c>
      <c r="I44" s="3">
        <f t="shared" ref="I44:I107" si="9">IFERROR(IF(AND($C44&gt;=G$15, $C44&lt;=G$16), IF(G$14&gt;1, N(MOD($C44-G$15, G$14)&lt;1), 1/G$14)*PI()*G$9/4*(G$7^2*MIN(G$10, $D43)+(G$7^2-G$8^2)*MIN(G$12, G$42))/IF($B$4, 25.4^3, 1), 0), 0)</f>
        <v>0</v>
      </c>
      <c r="J44" s="3">
        <f t="shared" ref="J44:J107" si="10">IFERROR(IF(AND($C44&gt;=H$15, $C44&lt;=H$16), IF(H$14&gt;1, N(MOD($C44-H$15, H$14)&lt;1), 1/H$14)*PI()*H$9/4*(H$7^2*MIN(H$10, $D43)+(H$7^2-H$8^2)*MIN(H$12, H$42))/IF($B$4, 25.4^3, 1), 0), 0)</f>
        <v>0</v>
      </c>
      <c r="K44" s="3">
        <f t="shared" ref="K44:K107" si="11">IFERROR(IF(AND($C44&gt;=I$15, $C44&lt;=I$16), IF(I$14&gt;1, N(MOD($C44-I$15, I$14)&lt;1), 1/I$14)*PI()*I$9/4*(I$7^2*MIN(I$10, $D43)+(I$7^2-I$8^2)*MIN(I$12, I$42))/IF($B$4, 25.4^3, 1), 0), 0)</f>
        <v>0</v>
      </c>
      <c r="L44" s="3">
        <f t="shared" ref="L44:L107" si="12">IFERROR(IF(AND($C44&gt;=J$15, $C44&lt;=J$16), IF(J$14&gt;1, N(MOD($C44-J$15, J$14)&lt;1), 1/J$14)*PI()*J$9/4*(J$7^2*MIN(J$10, $D43)+(J$7^2-J$8^2)*MIN(J$12, J$42))/IF($B$4, 25.4^3, 1), 0), 0)</f>
        <v>0</v>
      </c>
      <c r="M44" s="3">
        <f t="shared" ref="M44:M107" si="13">IFERROR(IF(AND($C44&gt;=K$15, $C44&lt;=K$16), IF(K$14&gt;1, N(MOD($C44-K$15, K$14)&lt;1), 1/K$14)*PI()*K$9/4*(K$7^2*MIN(K$10, $D43)+(K$7^2-K$8^2)*MIN(K$12, K$42))/IF($B$4, 25.4^3, 1), 0), 0)</f>
        <v>0</v>
      </c>
      <c r="N44" s="4"/>
    </row>
    <row r="45" spans="3:14" x14ac:dyDescent="0.25">
      <c r="C45" s="3">
        <v>3</v>
      </c>
      <c r="D45" s="3">
        <f t="shared" si="4"/>
        <v>120</v>
      </c>
      <c r="E45" s="3">
        <f t="shared" si="5"/>
        <v>0</v>
      </c>
      <c r="F45" s="3">
        <f t="shared" si="6"/>
        <v>0</v>
      </c>
      <c r="G45" s="3">
        <f t="shared" si="7"/>
        <v>0</v>
      </c>
      <c r="H45" s="3">
        <f t="shared" si="8"/>
        <v>0</v>
      </c>
      <c r="I45" s="3">
        <f t="shared" si="9"/>
        <v>0</v>
      </c>
      <c r="J45" s="3">
        <f t="shared" si="10"/>
        <v>0</v>
      </c>
      <c r="K45" s="3">
        <f t="shared" si="11"/>
        <v>0</v>
      </c>
      <c r="L45" s="3">
        <f t="shared" si="12"/>
        <v>0</v>
      </c>
      <c r="M45" s="3">
        <f t="shared" si="13"/>
        <v>0</v>
      </c>
      <c r="N45" s="4"/>
    </row>
    <row r="46" spans="3:14" x14ac:dyDescent="0.25">
      <c r="C46" s="3">
        <v>4</v>
      </c>
      <c r="D46" s="3">
        <f t="shared" si="4"/>
        <v>120</v>
      </c>
      <c r="E46" s="3">
        <f t="shared" si="5"/>
        <v>0</v>
      </c>
      <c r="F46" s="3">
        <f t="shared" si="6"/>
        <v>0</v>
      </c>
      <c r="G46" s="3">
        <f t="shared" si="7"/>
        <v>0</v>
      </c>
      <c r="H46" s="3">
        <f t="shared" si="8"/>
        <v>0</v>
      </c>
      <c r="I46" s="3">
        <f t="shared" si="9"/>
        <v>0</v>
      </c>
      <c r="J46" s="3">
        <f t="shared" si="10"/>
        <v>0</v>
      </c>
      <c r="K46" s="3">
        <f t="shared" si="11"/>
        <v>0</v>
      </c>
      <c r="L46" s="3">
        <f t="shared" si="12"/>
        <v>0</v>
      </c>
      <c r="M46" s="3">
        <f t="shared" si="13"/>
        <v>0</v>
      </c>
      <c r="N46" s="4"/>
    </row>
    <row r="47" spans="3:14" x14ac:dyDescent="0.25">
      <c r="C47" s="3">
        <v>5</v>
      </c>
      <c r="D47" s="3">
        <f t="shared" si="4"/>
        <v>120</v>
      </c>
      <c r="E47" s="3">
        <f t="shared" si="5"/>
        <v>0</v>
      </c>
      <c r="F47" s="3">
        <f t="shared" si="6"/>
        <v>0</v>
      </c>
      <c r="G47" s="3">
        <f t="shared" si="7"/>
        <v>0</v>
      </c>
      <c r="H47" s="3">
        <f t="shared" si="8"/>
        <v>0</v>
      </c>
      <c r="I47" s="3">
        <f t="shared" si="9"/>
        <v>0</v>
      </c>
      <c r="J47" s="3">
        <f t="shared" si="10"/>
        <v>0</v>
      </c>
      <c r="K47" s="3">
        <f t="shared" si="11"/>
        <v>0</v>
      </c>
      <c r="L47" s="3">
        <f t="shared" si="12"/>
        <v>0</v>
      </c>
      <c r="M47" s="3">
        <f t="shared" si="13"/>
        <v>0</v>
      </c>
    </row>
    <row r="48" spans="3:14" x14ac:dyDescent="0.25">
      <c r="C48" s="3">
        <v>6</v>
      </c>
      <c r="D48" s="3">
        <f t="shared" si="4"/>
        <v>120</v>
      </c>
      <c r="E48" s="3">
        <f t="shared" si="5"/>
        <v>0</v>
      </c>
      <c r="F48" s="3">
        <f t="shared" si="6"/>
        <v>0</v>
      </c>
      <c r="G48" s="3">
        <f t="shared" si="7"/>
        <v>0</v>
      </c>
      <c r="H48" s="3">
        <f t="shared" si="8"/>
        <v>0</v>
      </c>
      <c r="I48" s="3">
        <f t="shared" si="9"/>
        <v>0</v>
      </c>
      <c r="J48" s="3">
        <f t="shared" si="10"/>
        <v>0</v>
      </c>
      <c r="K48" s="3">
        <f t="shared" si="11"/>
        <v>0</v>
      </c>
      <c r="L48" s="3">
        <f t="shared" si="12"/>
        <v>0</v>
      </c>
      <c r="M48" s="3">
        <f t="shared" si="13"/>
        <v>0</v>
      </c>
    </row>
    <row r="49" spans="3:13" x14ac:dyDescent="0.25">
      <c r="C49" s="3">
        <v>7</v>
      </c>
      <c r="D49" s="3">
        <f t="shared" si="4"/>
        <v>120</v>
      </c>
      <c r="E49" s="3">
        <f t="shared" si="5"/>
        <v>0</v>
      </c>
      <c r="F49" s="3">
        <f t="shared" si="6"/>
        <v>0</v>
      </c>
      <c r="G49" s="3">
        <f t="shared" si="7"/>
        <v>0</v>
      </c>
      <c r="H49" s="3">
        <f t="shared" si="8"/>
        <v>0</v>
      </c>
      <c r="I49" s="3">
        <f t="shared" si="9"/>
        <v>0</v>
      </c>
      <c r="J49" s="3">
        <f t="shared" si="10"/>
        <v>0</v>
      </c>
      <c r="K49" s="3">
        <f t="shared" si="11"/>
        <v>0</v>
      </c>
      <c r="L49" s="3">
        <f t="shared" si="12"/>
        <v>0</v>
      </c>
      <c r="M49" s="3">
        <f t="shared" si="13"/>
        <v>0</v>
      </c>
    </row>
    <row r="50" spans="3:13" x14ac:dyDescent="0.25">
      <c r="C50" s="3">
        <v>8</v>
      </c>
      <c r="D50" s="3">
        <f t="shared" si="4"/>
        <v>109.08156303205513</v>
      </c>
      <c r="E50" s="3">
        <f t="shared" si="5"/>
        <v>0</v>
      </c>
      <c r="F50" s="3">
        <f t="shared" si="6"/>
        <v>1146.4358816342121</v>
      </c>
      <c r="G50" s="3">
        <f t="shared" si="7"/>
        <v>0</v>
      </c>
      <c r="H50" s="3">
        <f t="shared" si="8"/>
        <v>0</v>
      </c>
      <c r="I50" s="3">
        <f t="shared" si="9"/>
        <v>0</v>
      </c>
      <c r="J50" s="3">
        <f t="shared" si="10"/>
        <v>0</v>
      </c>
      <c r="K50" s="3">
        <f t="shared" si="11"/>
        <v>0</v>
      </c>
      <c r="L50" s="3">
        <f t="shared" si="12"/>
        <v>0</v>
      </c>
      <c r="M50" s="3">
        <f t="shared" si="13"/>
        <v>0</v>
      </c>
    </row>
    <row r="51" spans="3:13" x14ac:dyDescent="0.25">
      <c r="C51" s="3">
        <v>9</v>
      </c>
      <c r="D51" s="3">
        <f t="shared" si="4"/>
        <v>109.08156303205513</v>
      </c>
      <c r="E51" s="3">
        <f t="shared" si="5"/>
        <v>0</v>
      </c>
      <c r="F51" s="3">
        <f t="shared" si="6"/>
        <v>0</v>
      </c>
      <c r="G51" s="3">
        <f t="shared" si="7"/>
        <v>0</v>
      </c>
      <c r="H51" s="3">
        <f t="shared" si="8"/>
        <v>0</v>
      </c>
      <c r="I51" s="3">
        <f t="shared" si="9"/>
        <v>0</v>
      </c>
      <c r="J51" s="3">
        <f t="shared" si="10"/>
        <v>0</v>
      </c>
      <c r="K51" s="3">
        <f t="shared" si="11"/>
        <v>0</v>
      </c>
      <c r="L51" s="3">
        <f t="shared" si="12"/>
        <v>0</v>
      </c>
      <c r="M51" s="3">
        <f t="shared" si="13"/>
        <v>0</v>
      </c>
    </row>
    <row r="52" spans="3:13" x14ac:dyDescent="0.25">
      <c r="C52" s="3">
        <v>10</v>
      </c>
      <c r="D52" s="3">
        <f t="shared" si="4"/>
        <v>109.08156303205513</v>
      </c>
      <c r="E52" s="3">
        <f t="shared" si="5"/>
        <v>0</v>
      </c>
      <c r="F52" s="3">
        <f t="shared" si="6"/>
        <v>0</v>
      </c>
      <c r="G52" s="3">
        <f t="shared" si="7"/>
        <v>0</v>
      </c>
      <c r="H52" s="3">
        <f t="shared" si="8"/>
        <v>0</v>
      </c>
      <c r="I52" s="3">
        <f t="shared" si="9"/>
        <v>0</v>
      </c>
      <c r="J52" s="3">
        <f t="shared" si="10"/>
        <v>0</v>
      </c>
      <c r="K52" s="3">
        <f t="shared" si="11"/>
        <v>0</v>
      </c>
      <c r="L52" s="3">
        <f t="shared" si="12"/>
        <v>0</v>
      </c>
      <c r="M52" s="3">
        <f t="shared" si="13"/>
        <v>0</v>
      </c>
    </row>
    <row r="53" spans="3:13" x14ac:dyDescent="0.25">
      <c r="C53" s="3">
        <v>11</v>
      </c>
      <c r="D53" s="3">
        <f t="shared" si="4"/>
        <v>109.08156303205513</v>
      </c>
      <c r="E53" s="3">
        <f t="shared" si="5"/>
        <v>0</v>
      </c>
      <c r="F53" s="3">
        <f t="shared" si="6"/>
        <v>0</v>
      </c>
      <c r="G53" s="3">
        <f t="shared" si="7"/>
        <v>0</v>
      </c>
      <c r="H53" s="3">
        <f t="shared" si="8"/>
        <v>0</v>
      </c>
      <c r="I53" s="3">
        <f t="shared" si="9"/>
        <v>0</v>
      </c>
      <c r="J53" s="3">
        <f t="shared" si="10"/>
        <v>0</v>
      </c>
      <c r="K53" s="3">
        <f t="shared" si="11"/>
        <v>0</v>
      </c>
      <c r="L53" s="3">
        <f t="shared" si="12"/>
        <v>0</v>
      </c>
      <c r="M53" s="3">
        <f t="shared" si="13"/>
        <v>0</v>
      </c>
    </row>
    <row r="54" spans="3:13" x14ac:dyDescent="0.25">
      <c r="C54" s="3">
        <v>12</v>
      </c>
      <c r="D54" s="3">
        <f t="shared" si="4"/>
        <v>109.08156303205513</v>
      </c>
      <c r="E54" s="3">
        <f t="shared" si="5"/>
        <v>0</v>
      </c>
      <c r="F54" s="3">
        <f t="shared" si="6"/>
        <v>0</v>
      </c>
      <c r="G54" s="3">
        <f t="shared" si="7"/>
        <v>0</v>
      </c>
      <c r="H54" s="3">
        <f t="shared" si="8"/>
        <v>0</v>
      </c>
      <c r="I54" s="3">
        <f t="shared" si="9"/>
        <v>0</v>
      </c>
      <c r="J54" s="3">
        <f t="shared" si="10"/>
        <v>0</v>
      </c>
      <c r="K54" s="3">
        <f t="shared" si="11"/>
        <v>0</v>
      </c>
      <c r="L54" s="3">
        <f t="shared" si="12"/>
        <v>0</v>
      </c>
      <c r="M54" s="3">
        <f t="shared" si="13"/>
        <v>0</v>
      </c>
    </row>
    <row r="55" spans="3:13" x14ac:dyDescent="0.25">
      <c r="C55" s="3">
        <v>13</v>
      </c>
      <c r="D55" s="3">
        <f t="shared" si="4"/>
        <v>98.163126064110259</v>
      </c>
      <c r="E55" s="3">
        <f t="shared" si="5"/>
        <v>0</v>
      </c>
      <c r="F55" s="3">
        <f t="shared" si="6"/>
        <v>1146.4358816342121</v>
      </c>
      <c r="G55" s="3">
        <f t="shared" si="7"/>
        <v>0</v>
      </c>
      <c r="H55" s="3">
        <f t="shared" si="8"/>
        <v>0</v>
      </c>
      <c r="I55" s="3">
        <f t="shared" si="9"/>
        <v>0</v>
      </c>
      <c r="J55" s="3">
        <f t="shared" si="10"/>
        <v>0</v>
      </c>
      <c r="K55" s="3">
        <f t="shared" si="11"/>
        <v>0</v>
      </c>
      <c r="L55" s="3">
        <f t="shared" si="12"/>
        <v>0</v>
      </c>
      <c r="M55" s="3">
        <f t="shared" si="13"/>
        <v>0</v>
      </c>
    </row>
    <row r="56" spans="3:13" x14ac:dyDescent="0.25">
      <c r="C56" s="3">
        <v>14</v>
      </c>
      <c r="D56" s="3">
        <f t="shared" si="4"/>
        <v>98.163126064110259</v>
      </c>
      <c r="E56" s="3">
        <f t="shared" si="5"/>
        <v>0</v>
      </c>
      <c r="F56" s="3">
        <f t="shared" si="6"/>
        <v>0</v>
      </c>
      <c r="G56" s="3">
        <f t="shared" si="7"/>
        <v>0</v>
      </c>
      <c r="H56" s="3">
        <f t="shared" si="8"/>
        <v>0</v>
      </c>
      <c r="I56" s="3">
        <f t="shared" si="9"/>
        <v>0</v>
      </c>
      <c r="J56" s="3">
        <f t="shared" si="10"/>
        <v>0</v>
      </c>
      <c r="K56" s="3">
        <f t="shared" si="11"/>
        <v>0</v>
      </c>
      <c r="L56" s="3">
        <f t="shared" si="12"/>
        <v>0</v>
      </c>
      <c r="M56" s="3">
        <f t="shared" si="13"/>
        <v>0</v>
      </c>
    </row>
    <row r="57" spans="3:13" x14ac:dyDescent="0.25">
      <c r="C57" s="3">
        <v>15</v>
      </c>
      <c r="D57" s="3">
        <f t="shared" si="4"/>
        <v>98.163126064110259</v>
      </c>
      <c r="E57" s="3">
        <f t="shared" si="5"/>
        <v>0</v>
      </c>
      <c r="F57" s="3">
        <f t="shared" si="6"/>
        <v>0</v>
      </c>
      <c r="G57" s="3">
        <f t="shared" si="7"/>
        <v>0</v>
      </c>
      <c r="H57" s="3">
        <f t="shared" si="8"/>
        <v>0</v>
      </c>
      <c r="I57" s="3">
        <f t="shared" si="9"/>
        <v>0</v>
      </c>
      <c r="J57" s="3">
        <f t="shared" si="10"/>
        <v>0</v>
      </c>
      <c r="K57" s="3">
        <f t="shared" si="11"/>
        <v>0</v>
      </c>
      <c r="L57" s="3">
        <f t="shared" si="12"/>
        <v>0</v>
      </c>
      <c r="M57" s="3">
        <f t="shared" si="13"/>
        <v>0</v>
      </c>
    </row>
    <row r="58" spans="3:13" x14ac:dyDescent="0.25">
      <c r="C58" s="3">
        <v>16</v>
      </c>
      <c r="D58" s="3">
        <f t="shared" si="4"/>
        <v>98.163126064110259</v>
      </c>
      <c r="E58" s="3">
        <f t="shared" si="5"/>
        <v>0</v>
      </c>
      <c r="F58" s="3">
        <f t="shared" si="6"/>
        <v>0</v>
      </c>
      <c r="G58" s="3">
        <f t="shared" si="7"/>
        <v>0</v>
      </c>
      <c r="H58" s="3">
        <f t="shared" si="8"/>
        <v>0</v>
      </c>
      <c r="I58" s="3">
        <f t="shared" si="9"/>
        <v>0</v>
      </c>
      <c r="J58" s="3">
        <f t="shared" si="10"/>
        <v>0</v>
      </c>
      <c r="K58" s="3">
        <f t="shared" si="11"/>
        <v>0</v>
      </c>
      <c r="L58" s="3">
        <f t="shared" si="12"/>
        <v>0</v>
      </c>
      <c r="M58" s="3">
        <f t="shared" si="13"/>
        <v>0</v>
      </c>
    </row>
    <row r="59" spans="3:13" x14ac:dyDescent="0.25">
      <c r="C59" s="3">
        <v>17</v>
      </c>
      <c r="D59" s="3">
        <f t="shared" si="4"/>
        <v>98.163126064110259</v>
      </c>
      <c r="E59" s="3">
        <f t="shared" si="5"/>
        <v>0</v>
      </c>
      <c r="F59" s="3">
        <f t="shared" si="6"/>
        <v>0</v>
      </c>
      <c r="G59" s="3">
        <f t="shared" si="7"/>
        <v>0</v>
      </c>
      <c r="H59" s="3">
        <f t="shared" si="8"/>
        <v>0</v>
      </c>
      <c r="I59" s="3">
        <f t="shared" si="9"/>
        <v>0</v>
      </c>
      <c r="J59" s="3">
        <f t="shared" si="10"/>
        <v>0</v>
      </c>
      <c r="K59" s="3">
        <f t="shared" si="11"/>
        <v>0</v>
      </c>
      <c r="L59" s="3">
        <f t="shared" si="12"/>
        <v>0</v>
      </c>
      <c r="M59" s="3">
        <f t="shared" si="13"/>
        <v>0</v>
      </c>
    </row>
    <row r="60" spans="3:13" x14ac:dyDescent="0.25">
      <c r="C60" s="3">
        <v>18</v>
      </c>
      <c r="D60" s="3">
        <f t="shared" si="4"/>
        <v>87.244689096165388</v>
      </c>
      <c r="E60" s="3">
        <f t="shared" si="5"/>
        <v>0</v>
      </c>
      <c r="F60" s="3">
        <f t="shared" si="6"/>
        <v>1146.4358816342121</v>
      </c>
      <c r="G60" s="3">
        <f t="shared" si="7"/>
        <v>0</v>
      </c>
      <c r="H60" s="3">
        <f t="shared" si="8"/>
        <v>0</v>
      </c>
      <c r="I60" s="3">
        <f t="shared" si="9"/>
        <v>0</v>
      </c>
      <c r="J60" s="3">
        <f t="shared" si="10"/>
        <v>0</v>
      </c>
      <c r="K60" s="3">
        <f t="shared" si="11"/>
        <v>0</v>
      </c>
      <c r="L60" s="3">
        <f t="shared" si="12"/>
        <v>0</v>
      </c>
      <c r="M60" s="3">
        <f t="shared" si="13"/>
        <v>0</v>
      </c>
    </row>
    <row r="61" spans="3:13" x14ac:dyDescent="0.25">
      <c r="C61" s="3">
        <v>19</v>
      </c>
      <c r="D61" s="3">
        <f t="shared" si="4"/>
        <v>88.527986924391286</v>
      </c>
      <c r="E61" s="3">
        <f t="shared" si="5"/>
        <v>134.74627196371799</v>
      </c>
      <c r="F61" s="3">
        <f t="shared" si="6"/>
        <v>0</v>
      </c>
      <c r="G61" s="3">
        <f t="shared" si="7"/>
        <v>0</v>
      </c>
      <c r="H61" s="3">
        <f t="shared" si="8"/>
        <v>0</v>
      </c>
      <c r="I61" s="3">
        <f t="shared" si="9"/>
        <v>0</v>
      </c>
      <c r="J61" s="3">
        <f t="shared" si="10"/>
        <v>0</v>
      </c>
      <c r="K61" s="3">
        <f t="shared" si="11"/>
        <v>0</v>
      </c>
      <c r="L61" s="3">
        <f t="shared" si="12"/>
        <v>0</v>
      </c>
      <c r="M61" s="3">
        <f t="shared" si="13"/>
        <v>0</v>
      </c>
    </row>
    <row r="62" spans="3:13" x14ac:dyDescent="0.25">
      <c r="C62" s="3">
        <v>20</v>
      </c>
      <c r="D62" s="3">
        <f t="shared" si="4"/>
        <v>89.802301667795874</v>
      </c>
      <c r="E62" s="3">
        <f t="shared" si="5"/>
        <v>133.80304805748227</v>
      </c>
      <c r="F62" s="3">
        <f t="shared" si="6"/>
        <v>0</v>
      </c>
      <c r="G62" s="3">
        <f t="shared" si="7"/>
        <v>0</v>
      </c>
      <c r="H62" s="3">
        <f t="shared" si="8"/>
        <v>0</v>
      </c>
      <c r="I62" s="3">
        <f t="shared" si="9"/>
        <v>0</v>
      </c>
      <c r="J62" s="3">
        <f t="shared" si="10"/>
        <v>0</v>
      </c>
      <c r="K62" s="3">
        <f t="shared" si="11"/>
        <v>0</v>
      </c>
      <c r="L62" s="3">
        <f t="shared" si="12"/>
        <v>0</v>
      </c>
      <c r="M62" s="3">
        <f t="shared" si="13"/>
        <v>0</v>
      </c>
    </row>
    <row r="63" spans="3:13" x14ac:dyDescent="0.25">
      <c r="C63" s="3">
        <v>21</v>
      </c>
      <c r="D63" s="3">
        <f t="shared" si="4"/>
        <v>91.068530467660537</v>
      </c>
      <c r="E63" s="3">
        <f t="shared" si="5"/>
        <v>132.95402398579068</v>
      </c>
      <c r="F63" s="3">
        <f t="shared" si="6"/>
        <v>0</v>
      </c>
      <c r="G63" s="3">
        <f t="shared" si="7"/>
        <v>0</v>
      </c>
      <c r="H63" s="3">
        <f t="shared" si="8"/>
        <v>0</v>
      </c>
      <c r="I63" s="3">
        <f t="shared" si="9"/>
        <v>0</v>
      </c>
      <c r="J63" s="3">
        <f t="shared" si="10"/>
        <v>0</v>
      </c>
      <c r="K63" s="3">
        <f t="shared" si="11"/>
        <v>0</v>
      </c>
      <c r="L63" s="3">
        <f t="shared" si="12"/>
        <v>0</v>
      </c>
      <c r="M63" s="3">
        <f t="shared" si="13"/>
        <v>0</v>
      </c>
    </row>
    <row r="64" spans="3:13" x14ac:dyDescent="0.25">
      <c r="C64" s="3">
        <v>22</v>
      </c>
      <c r="D64" s="3">
        <f t="shared" si="4"/>
        <v>92.327567235021306</v>
      </c>
      <c r="E64" s="3">
        <f t="shared" si="5"/>
        <v>132.19886057288005</v>
      </c>
      <c r="F64" s="3">
        <f t="shared" si="6"/>
        <v>0</v>
      </c>
      <c r="G64" s="3">
        <f t="shared" si="7"/>
        <v>0</v>
      </c>
      <c r="H64" s="3">
        <f t="shared" si="8"/>
        <v>0</v>
      </c>
      <c r="I64" s="3">
        <f t="shared" si="9"/>
        <v>0</v>
      </c>
      <c r="J64" s="3">
        <f t="shared" si="10"/>
        <v>0</v>
      </c>
      <c r="K64" s="3">
        <f t="shared" si="11"/>
        <v>0</v>
      </c>
      <c r="L64" s="3">
        <f t="shared" si="12"/>
        <v>0</v>
      </c>
      <c r="M64" s="3">
        <f t="shared" si="13"/>
        <v>0</v>
      </c>
    </row>
    <row r="65" spans="3:13" x14ac:dyDescent="0.25">
      <c r="C65" s="3">
        <v>23</v>
      </c>
      <c r="D65" s="3">
        <f t="shared" si="4"/>
        <v>82.661867456384414</v>
      </c>
      <c r="E65" s="3">
        <f t="shared" si="5"/>
        <v>131.53740487733668</v>
      </c>
      <c r="F65" s="3">
        <f t="shared" si="6"/>
        <v>1146.4358816342121</v>
      </c>
      <c r="G65" s="3">
        <f t="shared" si="7"/>
        <v>0</v>
      </c>
      <c r="H65" s="3">
        <f t="shared" si="8"/>
        <v>0</v>
      </c>
      <c r="I65" s="3">
        <f t="shared" si="9"/>
        <v>0</v>
      </c>
      <c r="J65" s="3">
        <f t="shared" si="10"/>
        <v>0</v>
      </c>
      <c r="K65" s="3">
        <f t="shared" si="11"/>
        <v>0</v>
      </c>
      <c r="L65" s="3">
        <f t="shared" si="12"/>
        <v>0</v>
      </c>
      <c r="M65" s="3">
        <f t="shared" si="13"/>
        <v>0</v>
      </c>
    </row>
    <row r="66" spans="3:13" x14ac:dyDescent="0.25">
      <c r="C66" s="3">
        <v>24</v>
      </c>
      <c r="D66" s="3">
        <f t="shared" si="4"/>
        <v>83.9838272434678</v>
      </c>
      <c r="E66" s="3">
        <f t="shared" si="5"/>
        <v>138.80577764375587</v>
      </c>
      <c r="F66" s="3">
        <f t="shared" si="6"/>
        <v>0</v>
      </c>
      <c r="G66" s="3">
        <f t="shared" si="7"/>
        <v>0</v>
      </c>
      <c r="H66" s="3">
        <f t="shared" si="8"/>
        <v>0</v>
      </c>
      <c r="I66" s="3">
        <f t="shared" si="9"/>
        <v>0</v>
      </c>
      <c r="J66" s="3">
        <f t="shared" si="10"/>
        <v>0</v>
      </c>
      <c r="K66" s="3">
        <f t="shared" si="11"/>
        <v>0</v>
      </c>
      <c r="L66" s="3">
        <f t="shared" si="12"/>
        <v>0</v>
      </c>
      <c r="M66" s="3">
        <f t="shared" si="13"/>
        <v>0</v>
      </c>
    </row>
    <row r="67" spans="3:13" x14ac:dyDescent="0.25">
      <c r="C67" s="3">
        <v>25</v>
      </c>
      <c r="D67" s="3">
        <f t="shared" si="4"/>
        <v>85.293609684515431</v>
      </c>
      <c r="E67" s="3">
        <f t="shared" si="5"/>
        <v>137.52715631000061</v>
      </c>
      <c r="F67" s="3">
        <f t="shared" si="6"/>
        <v>0</v>
      </c>
      <c r="G67" s="3">
        <f t="shared" si="7"/>
        <v>0</v>
      </c>
      <c r="H67" s="3">
        <f t="shared" si="8"/>
        <v>0</v>
      </c>
      <c r="I67" s="3">
        <f t="shared" si="9"/>
        <v>0</v>
      </c>
      <c r="J67" s="3">
        <f t="shared" si="10"/>
        <v>0</v>
      </c>
      <c r="K67" s="3">
        <f t="shared" si="11"/>
        <v>0</v>
      </c>
      <c r="L67" s="3">
        <f t="shared" si="12"/>
        <v>0</v>
      </c>
      <c r="M67" s="3">
        <f t="shared" si="13"/>
        <v>0</v>
      </c>
    </row>
    <row r="68" spans="3:13" x14ac:dyDescent="0.25">
      <c r="C68" s="3">
        <v>26</v>
      </c>
      <c r="D68" s="3">
        <f t="shared" si="4"/>
        <v>86.592136037876287</v>
      </c>
      <c r="E68" s="3">
        <f t="shared" si="5"/>
        <v>136.3452671028902</v>
      </c>
      <c r="F68" s="3">
        <f t="shared" si="6"/>
        <v>0</v>
      </c>
      <c r="G68" s="3">
        <f t="shared" si="7"/>
        <v>0</v>
      </c>
      <c r="H68" s="3">
        <f t="shared" si="8"/>
        <v>0</v>
      </c>
      <c r="I68" s="3">
        <f t="shared" si="9"/>
        <v>0</v>
      </c>
      <c r="J68" s="3">
        <f t="shared" si="10"/>
        <v>0</v>
      </c>
      <c r="K68" s="3">
        <f t="shared" si="11"/>
        <v>0</v>
      </c>
      <c r="L68" s="3">
        <f t="shared" si="12"/>
        <v>0</v>
      </c>
      <c r="M68" s="3">
        <f t="shared" si="13"/>
        <v>0</v>
      </c>
    </row>
    <row r="69" spans="3:13" x14ac:dyDescent="0.25">
      <c r="C69" s="3">
        <v>27</v>
      </c>
      <c r="D69" s="3">
        <f t="shared" si="4"/>
        <v>87.880318771454668</v>
      </c>
      <c r="E69" s="3">
        <f t="shared" si="5"/>
        <v>135.25918702572926</v>
      </c>
      <c r="F69" s="3">
        <f t="shared" si="6"/>
        <v>0</v>
      </c>
      <c r="G69" s="3">
        <f t="shared" si="7"/>
        <v>0</v>
      </c>
      <c r="H69" s="3">
        <f t="shared" si="8"/>
        <v>0</v>
      </c>
      <c r="I69" s="3">
        <f t="shared" si="9"/>
        <v>0</v>
      </c>
      <c r="J69" s="3">
        <f t="shared" si="10"/>
        <v>0</v>
      </c>
      <c r="K69" s="3">
        <f t="shared" si="11"/>
        <v>0</v>
      </c>
      <c r="L69" s="3">
        <f t="shared" si="12"/>
        <v>0</v>
      </c>
      <c r="M69" s="3">
        <f t="shared" si="13"/>
        <v>0</v>
      </c>
    </row>
    <row r="70" spans="3:13" x14ac:dyDescent="0.25">
      <c r="C70" s="3">
        <v>28</v>
      </c>
      <c r="D70" s="3">
        <f t="shared" si="4"/>
        <v>78.240626079871873</v>
      </c>
      <c r="E70" s="3">
        <f t="shared" si="5"/>
        <v>134.26814901801879</v>
      </c>
      <c r="F70" s="3">
        <f t="shared" si="6"/>
        <v>1146.4358816342121</v>
      </c>
      <c r="G70" s="3">
        <f t="shared" si="7"/>
        <v>0</v>
      </c>
      <c r="H70" s="3">
        <f t="shared" si="8"/>
        <v>0</v>
      </c>
      <c r="I70" s="3">
        <f t="shared" si="9"/>
        <v>0</v>
      </c>
      <c r="J70" s="3">
        <f t="shared" si="10"/>
        <v>0</v>
      </c>
      <c r="K70" s="3">
        <f t="shared" si="11"/>
        <v>0</v>
      </c>
      <c r="L70" s="3">
        <f t="shared" si="12"/>
        <v>0</v>
      </c>
      <c r="M70" s="3">
        <f t="shared" si="13"/>
        <v>0</v>
      </c>
    </row>
    <row r="71" spans="3:13" x14ac:dyDescent="0.25">
      <c r="C71" s="3">
        <v>29</v>
      </c>
      <c r="D71" s="3">
        <f t="shared" si="4"/>
        <v>79.608993478200574</v>
      </c>
      <c r="E71" s="3">
        <f t="shared" si="5"/>
        <v>143.67857682451333</v>
      </c>
      <c r="F71" s="3">
        <f t="shared" si="6"/>
        <v>0</v>
      </c>
      <c r="G71" s="3">
        <f t="shared" si="7"/>
        <v>0</v>
      </c>
      <c r="H71" s="3">
        <f t="shared" si="8"/>
        <v>0</v>
      </c>
      <c r="I71" s="3">
        <f t="shared" si="9"/>
        <v>0</v>
      </c>
      <c r="J71" s="3">
        <f t="shared" si="10"/>
        <v>0</v>
      </c>
      <c r="K71" s="3">
        <f t="shared" si="11"/>
        <v>0</v>
      </c>
      <c r="L71" s="3">
        <f t="shared" si="12"/>
        <v>0</v>
      </c>
      <c r="M71" s="3">
        <f t="shared" si="13"/>
        <v>0</v>
      </c>
    </row>
    <row r="72" spans="3:13" x14ac:dyDescent="0.25">
      <c r="C72" s="3">
        <v>30</v>
      </c>
      <c r="D72" s="3">
        <f t="shared" si="4"/>
        <v>80.962091651381911</v>
      </c>
      <c r="E72" s="3">
        <f t="shared" si="5"/>
        <v>142.07530818404109</v>
      </c>
      <c r="F72" s="3">
        <f t="shared" si="6"/>
        <v>0</v>
      </c>
      <c r="G72" s="3">
        <f t="shared" si="7"/>
        <v>0</v>
      </c>
      <c r="H72" s="3">
        <f t="shared" si="8"/>
        <v>0</v>
      </c>
      <c r="I72" s="3">
        <f t="shared" si="9"/>
        <v>0</v>
      </c>
      <c r="J72" s="3">
        <f t="shared" si="10"/>
        <v>0</v>
      </c>
      <c r="K72" s="3">
        <f t="shared" si="11"/>
        <v>0</v>
      </c>
      <c r="L72" s="3">
        <f t="shared" si="12"/>
        <v>0</v>
      </c>
      <c r="M72" s="3">
        <f t="shared" si="13"/>
        <v>0</v>
      </c>
    </row>
    <row r="73" spans="3:13" x14ac:dyDescent="0.25">
      <c r="C73" s="3">
        <v>31</v>
      </c>
      <c r="D73" s="3">
        <f t="shared" si="4"/>
        <v>82.300879990123875</v>
      </c>
      <c r="E73" s="3">
        <f t="shared" si="5"/>
        <v>140.57277556790513</v>
      </c>
      <c r="F73" s="3">
        <f t="shared" si="6"/>
        <v>0</v>
      </c>
      <c r="G73" s="3">
        <f t="shared" si="7"/>
        <v>0</v>
      </c>
      <c r="H73" s="3">
        <f t="shared" si="8"/>
        <v>0</v>
      </c>
      <c r="I73" s="3">
        <f t="shared" si="9"/>
        <v>0</v>
      </c>
      <c r="J73" s="3">
        <f t="shared" si="10"/>
        <v>0</v>
      </c>
      <c r="K73" s="3">
        <f t="shared" si="11"/>
        <v>0</v>
      </c>
      <c r="L73" s="3">
        <f t="shared" si="12"/>
        <v>0</v>
      </c>
      <c r="M73" s="3">
        <f t="shared" si="13"/>
        <v>0</v>
      </c>
    </row>
    <row r="74" spans="3:13" x14ac:dyDescent="0.25">
      <c r="C74" s="3">
        <v>32</v>
      </c>
      <c r="D74" s="3">
        <f t="shared" si="4"/>
        <v>83.626304809277485</v>
      </c>
      <c r="E74" s="3">
        <f t="shared" si="5"/>
        <v>139.16960601112996</v>
      </c>
      <c r="F74" s="3">
        <f t="shared" si="6"/>
        <v>0</v>
      </c>
      <c r="G74" s="3">
        <f t="shared" si="7"/>
        <v>0</v>
      </c>
      <c r="H74" s="3">
        <f t="shared" si="8"/>
        <v>0</v>
      </c>
      <c r="I74" s="3">
        <f t="shared" si="9"/>
        <v>0</v>
      </c>
      <c r="J74" s="3">
        <f t="shared" si="10"/>
        <v>0</v>
      </c>
      <c r="K74" s="3">
        <f t="shared" si="11"/>
        <v>0</v>
      </c>
      <c r="L74" s="3">
        <f t="shared" si="12"/>
        <v>0</v>
      </c>
      <c r="M74" s="3">
        <f t="shared" si="13"/>
        <v>0</v>
      </c>
    </row>
    <row r="75" spans="3:13" x14ac:dyDescent="0.25">
      <c r="C75" s="3">
        <v>33</v>
      </c>
      <c r="D75" s="3">
        <f t="shared" si="4"/>
        <v>74.020863593186405</v>
      </c>
      <c r="E75" s="3">
        <f t="shared" si="5"/>
        <v>137.86455394464735</v>
      </c>
      <c r="F75" s="3">
        <f t="shared" si="6"/>
        <v>1146.4358816342121</v>
      </c>
      <c r="G75" s="3">
        <f t="shared" si="7"/>
        <v>0</v>
      </c>
      <c r="H75" s="3">
        <f t="shared" si="8"/>
        <v>0</v>
      </c>
      <c r="I75" s="3">
        <f t="shared" si="9"/>
        <v>0</v>
      </c>
      <c r="J75" s="3">
        <f t="shared" si="10"/>
        <v>0</v>
      </c>
      <c r="K75" s="3">
        <f t="shared" si="11"/>
        <v>0</v>
      </c>
      <c r="L75" s="3">
        <f t="shared" si="12"/>
        <v>0</v>
      </c>
      <c r="M75" s="3">
        <f t="shared" si="13"/>
        <v>0</v>
      </c>
    </row>
    <row r="76" spans="3:13" x14ac:dyDescent="0.25">
      <c r="C76" s="3">
        <v>34</v>
      </c>
      <c r="D76" s="3">
        <f t="shared" si="4"/>
        <v>75.441115513536474</v>
      </c>
      <c r="E76" s="3">
        <f t="shared" si="5"/>
        <v>149.12645163675637</v>
      </c>
      <c r="F76" s="3">
        <f t="shared" si="6"/>
        <v>0</v>
      </c>
      <c r="G76" s="3">
        <f t="shared" si="7"/>
        <v>0</v>
      </c>
      <c r="H76" s="3">
        <f t="shared" si="8"/>
        <v>0</v>
      </c>
      <c r="I76" s="3">
        <f t="shared" si="9"/>
        <v>0</v>
      </c>
      <c r="J76" s="3">
        <f t="shared" si="10"/>
        <v>0</v>
      </c>
      <c r="K76" s="3">
        <f t="shared" si="11"/>
        <v>0</v>
      </c>
      <c r="L76" s="3">
        <f t="shared" si="12"/>
        <v>0</v>
      </c>
      <c r="M76" s="3">
        <f t="shared" si="13"/>
        <v>0</v>
      </c>
    </row>
    <row r="77" spans="3:13" x14ac:dyDescent="0.25">
      <c r="C77" s="3">
        <v>35</v>
      </c>
      <c r="D77" s="3">
        <f t="shared" si="4"/>
        <v>76.843121500355622</v>
      </c>
      <c r="E77" s="3">
        <f t="shared" si="5"/>
        <v>147.2106286160101</v>
      </c>
      <c r="F77" s="3">
        <f t="shared" si="6"/>
        <v>0</v>
      </c>
      <c r="G77" s="3">
        <f t="shared" si="7"/>
        <v>0</v>
      </c>
      <c r="H77" s="3">
        <f t="shared" si="8"/>
        <v>0</v>
      </c>
      <c r="I77" s="3">
        <f t="shared" si="9"/>
        <v>0</v>
      </c>
      <c r="J77" s="3">
        <f t="shared" si="10"/>
        <v>0</v>
      </c>
      <c r="K77" s="3">
        <f t="shared" si="11"/>
        <v>0</v>
      </c>
      <c r="L77" s="3">
        <f t="shared" si="12"/>
        <v>0</v>
      </c>
      <c r="M77" s="3">
        <f t="shared" si="13"/>
        <v>0</v>
      </c>
    </row>
    <row r="78" spans="3:13" x14ac:dyDescent="0.25">
      <c r="C78" s="3">
        <v>36</v>
      </c>
      <c r="D78" s="3">
        <f t="shared" si="4"/>
        <v>78.227886642792441</v>
      </c>
      <c r="E78" s="3">
        <f t="shared" si="5"/>
        <v>145.40033995586606</v>
      </c>
      <c r="F78" s="3">
        <f t="shared" si="6"/>
        <v>0</v>
      </c>
      <c r="G78" s="3">
        <f t="shared" si="7"/>
        <v>0</v>
      </c>
      <c r="H78" s="3">
        <f t="shared" si="8"/>
        <v>0</v>
      </c>
      <c r="I78" s="3">
        <f t="shared" si="9"/>
        <v>0</v>
      </c>
      <c r="J78" s="3">
        <f t="shared" si="10"/>
        <v>0</v>
      </c>
      <c r="K78" s="3">
        <f t="shared" si="11"/>
        <v>0</v>
      </c>
      <c r="L78" s="3">
        <f t="shared" si="12"/>
        <v>0</v>
      </c>
      <c r="M78" s="3">
        <f t="shared" si="13"/>
        <v>0</v>
      </c>
    </row>
    <row r="79" spans="3:13" x14ac:dyDescent="0.25">
      <c r="C79" s="3">
        <v>37</v>
      </c>
      <c r="D79" s="3">
        <f t="shared" si="4"/>
        <v>79.596399891793965</v>
      </c>
      <c r="E79" s="3">
        <f t="shared" si="5"/>
        <v>143.69389114515903</v>
      </c>
      <c r="F79" s="3">
        <f t="shared" si="6"/>
        <v>0</v>
      </c>
      <c r="G79" s="3">
        <f t="shared" si="7"/>
        <v>0</v>
      </c>
      <c r="H79" s="3">
        <f t="shared" si="8"/>
        <v>0</v>
      </c>
      <c r="I79" s="3">
        <f t="shared" si="9"/>
        <v>0</v>
      </c>
      <c r="J79" s="3">
        <f t="shared" si="10"/>
        <v>0</v>
      </c>
      <c r="K79" s="3">
        <f t="shared" si="11"/>
        <v>0</v>
      </c>
      <c r="L79" s="3">
        <f t="shared" si="12"/>
        <v>0</v>
      </c>
      <c r="M79" s="3">
        <f t="shared" si="13"/>
        <v>0</v>
      </c>
    </row>
    <row r="80" spans="3:13" x14ac:dyDescent="0.25">
      <c r="C80" s="3">
        <v>38</v>
      </c>
      <c r="D80" s="3">
        <f t="shared" si="4"/>
        <v>70.031198003295373</v>
      </c>
      <c r="E80" s="3">
        <f t="shared" si="5"/>
        <v>142.0896833418594</v>
      </c>
      <c r="F80" s="3">
        <f t="shared" si="6"/>
        <v>1146.4358816342121</v>
      </c>
      <c r="G80" s="3">
        <f t="shared" si="7"/>
        <v>0</v>
      </c>
      <c r="H80" s="3">
        <f t="shared" si="8"/>
        <v>0</v>
      </c>
      <c r="I80" s="3">
        <f t="shared" si="9"/>
        <v>0</v>
      </c>
      <c r="J80" s="3">
        <f t="shared" si="10"/>
        <v>0</v>
      </c>
      <c r="K80" s="3">
        <f t="shared" si="11"/>
        <v>0</v>
      </c>
      <c r="L80" s="3">
        <f t="shared" si="12"/>
        <v>0</v>
      </c>
      <c r="M80" s="3">
        <f t="shared" si="13"/>
        <v>0</v>
      </c>
    </row>
    <row r="81" spans="3:13" x14ac:dyDescent="0.25">
      <c r="C81" s="3">
        <v>39</v>
      </c>
      <c r="D81" s="3">
        <f t="shared" si="4"/>
        <v>71.506679859895073</v>
      </c>
      <c r="E81" s="3">
        <f t="shared" si="5"/>
        <v>154.92559494296785</v>
      </c>
      <c r="F81" s="3">
        <f t="shared" si="6"/>
        <v>0</v>
      </c>
      <c r="G81" s="3">
        <f t="shared" si="7"/>
        <v>0</v>
      </c>
      <c r="H81" s="3">
        <f t="shared" si="8"/>
        <v>0</v>
      </c>
      <c r="I81" s="3">
        <f t="shared" si="9"/>
        <v>0</v>
      </c>
      <c r="J81" s="3">
        <f t="shared" si="10"/>
        <v>0</v>
      </c>
      <c r="K81" s="3">
        <f t="shared" si="11"/>
        <v>0</v>
      </c>
      <c r="L81" s="3">
        <f t="shared" si="12"/>
        <v>0</v>
      </c>
      <c r="M81" s="3">
        <f t="shared" si="13"/>
        <v>0</v>
      </c>
    </row>
    <row r="82" spans="3:13" x14ac:dyDescent="0.25">
      <c r="C82" s="3">
        <v>40</v>
      </c>
      <c r="D82" s="3">
        <f t="shared" si="4"/>
        <v>72.961075839275168</v>
      </c>
      <c r="E82" s="3">
        <f t="shared" si="5"/>
        <v>152.71157783490943</v>
      </c>
      <c r="F82" s="3">
        <f t="shared" si="6"/>
        <v>0</v>
      </c>
      <c r="G82" s="3">
        <f t="shared" si="7"/>
        <v>0</v>
      </c>
      <c r="H82" s="3">
        <f t="shared" si="8"/>
        <v>0</v>
      </c>
      <c r="I82" s="3">
        <f t="shared" si="9"/>
        <v>0</v>
      </c>
      <c r="J82" s="3">
        <f t="shared" si="10"/>
        <v>0</v>
      </c>
      <c r="K82" s="3">
        <f t="shared" si="11"/>
        <v>0</v>
      </c>
      <c r="L82" s="3">
        <f t="shared" si="12"/>
        <v>0</v>
      </c>
      <c r="M82" s="3">
        <f t="shared" si="13"/>
        <v>0</v>
      </c>
    </row>
    <row r="83" spans="3:13" x14ac:dyDescent="0.25">
      <c r="C83" s="3">
        <v>41</v>
      </c>
      <c r="D83" s="3">
        <f t="shared" si="4"/>
        <v>74.395438846752256</v>
      </c>
      <c r="E83" s="3">
        <f t="shared" si="5"/>
        <v>150.60811578509359</v>
      </c>
      <c r="F83" s="3">
        <f t="shared" si="6"/>
        <v>0</v>
      </c>
      <c r="G83" s="3">
        <f t="shared" si="7"/>
        <v>0</v>
      </c>
      <c r="H83" s="3">
        <f t="shared" si="8"/>
        <v>0</v>
      </c>
      <c r="I83" s="3">
        <f t="shared" si="9"/>
        <v>0</v>
      </c>
      <c r="J83" s="3">
        <f t="shared" si="10"/>
        <v>0</v>
      </c>
      <c r="K83" s="3">
        <f t="shared" si="11"/>
        <v>0</v>
      </c>
      <c r="L83" s="3">
        <f t="shared" si="12"/>
        <v>0</v>
      </c>
      <c r="M83" s="3">
        <f t="shared" si="13"/>
        <v>0</v>
      </c>
    </row>
    <row r="84" spans="3:13" x14ac:dyDescent="0.25">
      <c r="C84" s="3">
        <v>42</v>
      </c>
      <c r="D84" s="3">
        <f t="shared" si="4"/>
        <v>75.810803814385707</v>
      </c>
      <c r="E84" s="3">
        <f t="shared" si="5"/>
        <v>148.61332160151346</v>
      </c>
      <c r="F84" s="3">
        <f t="shared" si="6"/>
        <v>0</v>
      </c>
      <c r="G84" s="3">
        <f t="shared" si="7"/>
        <v>0</v>
      </c>
      <c r="H84" s="3">
        <f t="shared" si="8"/>
        <v>0</v>
      </c>
      <c r="I84" s="3">
        <f t="shared" si="9"/>
        <v>0</v>
      </c>
      <c r="J84" s="3">
        <f t="shared" si="10"/>
        <v>0</v>
      </c>
      <c r="K84" s="3">
        <f t="shared" si="11"/>
        <v>0</v>
      </c>
      <c r="L84" s="3">
        <f t="shared" si="12"/>
        <v>0</v>
      </c>
      <c r="M84" s="3">
        <f t="shared" si="13"/>
        <v>0</v>
      </c>
    </row>
    <row r="85" spans="3:13" x14ac:dyDescent="0.25">
      <c r="C85" s="3">
        <v>43</v>
      </c>
      <c r="D85" s="3">
        <f t="shared" si="4"/>
        <v>66.289751279810872</v>
      </c>
      <c r="E85" s="3">
        <f t="shared" si="5"/>
        <v>146.72536550385269</v>
      </c>
      <c r="F85" s="3">
        <f t="shared" si="6"/>
        <v>1146.4358816342121</v>
      </c>
      <c r="G85" s="3">
        <f t="shared" si="7"/>
        <v>0</v>
      </c>
      <c r="H85" s="3">
        <f t="shared" si="8"/>
        <v>0</v>
      </c>
      <c r="I85" s="3">
        <f t="shared" si="9"/>
        <v>0</v>
      </c>
      <c r="J85" s="3">
        <f t="shared" si="10"/>
        <v>0</v>
      </c>
      <c r="K85" s="3">
        <f t="shared" si="11"/>
        <v>0</v>
      </c>
      <c r="L85" s="3">
        <f t="shared" si="12"/>
        <v>0</v>
      </c>
      <c r="M85" s="3">
        <f t="shared" si="13"/>
        <v>0</v>
      </c>
    </row>
    <row r="86" spans="3:13" x14ac:dyDescent="0.25">
      <c r="C86" s="3">
        <v>44</v>
      </c>
      <c r="D86" s="3">
        <f t="shared" si="4"/>
        <v>67.821941275338204</v>
      </c>
      <c r="E86" s="3">
        <f t="shared" si="5"/>
        <v>160.87994953037054</v>
      </c>
      <c r="F86" s="3">
        <f t="shared" si="6"/>
        <v>0</v>
      </c>
      <c r="G86" s="3">
        <f t="shared" si="7"/>
        <v>0</v>
      </c>
      <c r="H86" s="3">
        <f t="shared" si="8"/>
        <v>0</v>
      </c>
      <c r="I86" s="3">
        <f t="shared" si="9"/>
        <v>0</v>
      </c>
      <c r="J86" s="3">
        <f t="shared" si="10"/>
        <v>0</v>
      </c>
      <c r="K86" s="3">
        <f t="shared" si="11"/>
        <v>0</v>
      </c>
      <c r="L86" s="3">
        <f t="shared" si="12"/>
        <v>0</v>
      </c>
      <c r="M86" s="3">
        <f t="shared" si="13"/>
        <v>0</v>
      </c>
    </row>
    <row r="87" spans="3:13" x14ac:dyDescent="0.25">
      <c r="C87" s="3">
        <v>45</v>
      </c>
      <c r="D87" s="3">
        <f t="shared" si="4"/>
        <v>69.33036586279573</v>
      </c>
      <c r="E87" s="3">
        <f t="shared" si="5"/>
        <v>158.38458168304021</v>
      </c>
      <c r="F87" s="3">
        <f t="shared" si="6"/>
        <v>0</v>
      </c>
      <c r="G87" s="3">
        <f t="shared" si="7"/>
        <v>0</v>
      </c>
      <c r="H87" s="3">
        <f t="shared" si="8"/>
        <v>0</v>
      </c>
      <c r="I87" s="3">
        <f t="shared" si="9"/>
        <v>0</v>
      </c>
      <c r="J87" s="3">
        <f t="shared" si="10"/>
        <v>0</v>
      </c>
      <c r="K87" s="3">
        <f t="shared" si="11"/>
        <v>0</v>
      </c>
      <c r="L87" s="3">
        <f t="shared" si="12"/>
        <v>0</v>
      </c>
      <c r="M87" s="3">
        <f t="shared" si="13"/>
        <v>0</v>
      </c>
    </row>
    <row r="88" spans="3:13" x14ac:dyDescent="0.25">
      <c r="C88" s="3">
        <v>46</v>
      </c>
      <c r="D88" s="3">
        <f t="shared" si="4"/>
        <v>70.816123583508002</v>
      </c>
      <c r="E88" s="3">
        <f t="shared" si="5"/>
        <v>156.00456067478862</v>
      </c>
      <c r="F88" s="3">
        <f t="shared" si="6"/>
        <v>0</v>
      </c>
      <c r="G88" s="3">
        <f t="shared" si="7"/>
        <v>0</v>
      </c>
      <c r="H88" s="3">
        <f t="shared" si="8"/>
        <v>0</v>
      </c>
      <c r="I88" s="3">
        <f t="shared" si="9"/>
        <v>0</v>
      </c>
      <c r="J88" s="3">
        <f t="shared" si="10"/>
        <v>0</v>
      </c>
      <c r="K88" s="3">
        <f t="shared" si="11"/>
        <v>0</v>
      </c>
      <c r="L88" s="3">
        <f t="shared" si="12"/>
        <v>0</v>
      </c>
      <c r="M88" s="3">
        <f t="shared" si="13"/>
        <v>0</v>
      </c>
    </row>
    <row r="89" spans="3:13" x14ac:dyDescent="0.25">
      <c r="C89" s="3">
        <v>47</v>
      </c>
      <c r="D89" s="3">
        <f t="shared" si="4"/>
        <v>72.280294403366881</v>
      </c>
      <c r="E89" s="3">
        <f t="shared" si="5"/>
        <v>153.73793608518321</v>
      </c>
      <c r="F89" s="3">
        <f t="shared" si="6"/>
        <v>0</v>
      </c>
      <c r="G89" s="3">
        <f t="shared" si="7"/>
        <v>0</v>
      </c>
      <c r="H89" s="3">
        <f t="shared" si="8"/>
        <v>0</v>
      </c>
      <c r="I89" s="3">
        <f t="shared" si="9"/>
        <v>0</v>
      </c>
      <c r="J89" s="3">
        <f t="shared" si="10"/>
        <v>0</v>
      </c>
      <c r="K89" s="3">
        <f t="shared" si="11"/>
        <v>0</v>
      </c>
      <c r="L89" s="3">
        <f t="shared" si="12"/>
        <v>0</v>
      </c>
      <c r="M89" s="3">
        <f t="shared" si="13"/>
        <v>0</v>
      </c>
    </row>
    <row r="90" spans="3:13" x14ac:dyDescent="0.25">
      <c r="C90" s="3">
        <v>48</v>
      </c>
      <c r="D90" s="3">
        <f t="shared" si="4"/>
        <v>62.805502847263789</v>
      </c>
      <c r="E90" s="3">
        <f t="shared" si="5"/>
        <v>151.58276824338688</v>
      </c>
      <c r="F90" s="3">
        <f t="shared" si="6"/>
        <v>1146.4358816342121</v>
      </c>
      <c r="G90" s="3">
        <f t="shared" si="7"/>
        <v>0</v>
      </c>
      <c r="H90" s="3">
        <f t="shared" si="8"/>
        <v>0</v>
      </c>
      <c r="I90" s="3">
        <f t="shared" si="9"/>
        <v>0</v>
      </c>
      <c r="J90" s="3">
        <f t="shared" si="10"/>
        <v>0</v>
      </c>
      <c r="K90" s="3">
        <f t="shared" si="11"/>
        <v>0</v>
      </c>
      <c r="L90" s="3">
        <f t="shared" si="12"/>
        <v>0</v>
      </c>
      <c r="M90" s="3">
        <f t="shared" si="13"/>
        <v>0</v>
      </c>
    </row>
    <row r="91" spans="3:13" x14ac:dyDescent="0.25">
      <c r="C91" s="3">
        <v>49</v>
      </c>
      <c r="D91" s="3">
        <f t="shared" si="4"/>
        <v>64.39434001672339</v>
      </c>
      <c r="E91" s="3">
        <f t="shared" si="5"/>
        <v>166.82790279325758</v>
      </c>
      <c r="F91" s="3">
        <f t="shared" si="6"/>
        <v>0</v>
      </c>
      <c r="G91" s="3">
        <f t="shared" si="7"/>
        <v>0</v>
      </c>
      <c r="H91" s="3">
        <f t="shared" si="8"/>
        <v>0</v>
      </c>
      <c r="I91" s="3">
        <f t="shared" si="9"/>
        <v>0</v>
      </c>
      <c r="J91" s="3">
        <f t="shared" si="10"/>
        <v>0</v>
      </c>
      <c r="K91" s="3">
        <f t="shared" si="11"/>
        <v>0</v>
      </c>
      <c r="L91" s="3">
        <f t="shared" si="12"/>
        <v>0</v>
      </c>
      <c r="M91" s="3">
        <f t="shared" si="13"/>
        <v>0</v>
      </c>
    </row>
    <row r="92" spans="3:13" x14ac:dyDescent="0.25">
      <c r="C92" s="3">
        <v>50</v>
      </c>
      <c r="D92" s="3">
        <f t="shared" si="4"/>
        <v>65.956913195193408</v>
      </c>
      <c r="E92" s="3">
        <f t="shared" si="5"/>
        <v>164.07018373935199</v>
      </c>
      <c r="F92" s="3">
        <f t="shared" si="6"/>
        <v>0</v>
      </c>
      <c r="G92" s="3">
        <f t="shared" si="7"/>
        <v>0</v>
      </c>
      <c r="H92" s="3">
        <f t="shared" si="8"/>
        <v>0</v>
      </c>
      <c r="I92" s="3">
        <f t="shared" si="9"/>
        <v>0</v>
      </c>
      <c r="J92" s="3">
        <f t="shared" si="10"/>
        <v>0</v>
      </c>
      <c r="K92" s="3">
        <f t="shared" si="11"/>
        <v>0</v>
      </c>
      <c r="L92" s="3">
        <f t="shared" si="12"/>
        <v>0</v>
      </c>
      <c r="M92" s="3">
        <f t="shared" si="13"/>
        <v>0</v>
      </c>
    </row>
    <row r="93" spans="3:13" x14ac:dyDescent="0.25">
      <c r="C93" s="3">
        <v>51</v>
      </c>
      <c r="D93" s="3">
        <f t="shared" si="4"/>
        <v>67.494361283289422</v>
      </c>
      <c r="E93" s="3">
        <f t="shared" si="5"/>
        <v>161.43204925008101</v>
      </c>
      <c r="F93" s="3">
        <f t="shared" si="6"/>
        <v>0</v>
      </c>
      <c r="G93" s="3">
        <f t="shared" si="7"/>
        <v>0</v>
      </c>
      <c r="H93" s="3">
        <f t="shared" si="8"/>
        <v>0</v>
      </c>
      <c r="I93" s="3">
        <f t="shared" si="9"/>
        <v>0</v>
      </c>
      <c r="J93" s="3">
        <f t="shared" si="10"/>
        <v>0</v>
      </c>
      <c r="K93" s="3">
        <f t="shared" si="11"/>
        <v>0</v>
      </c>
      <c r="L93" s="3">
        <f t="shared" si="12"/>
        <v>0</v>
      </c>
      <c r="M93" s="3">
        <f t="shared" si="13"/>
        <v>0</v>
      </c>
    </row>
    <row r="94" spans="3:13" x14ac:dyDescent="0.25">
      <c r="C94" s="3">
        <v>52</v>
      </c>
      <c r="D94" s="3">
        <f t="shared" si="4"/>
        <v>69.007805210068724</v>
      </c>
      <c r="E94" s="3">
        <f t="shared" si="5"/>
        <v>158.91161231182622</v>
      </c>
      <c r="F94" s="3">
        <f t="shared" si="6"/>
        <v>0</v>
      </c>
      <c r="G94" s="3">
        <f t="shared" si="7"/>
        <v>0</v>
      </c>
      <c r="H94" s="3">
        <f t="shared" si="8"/>
        <v>0</v>
      </c>
      <c r="I94" s="3">
        <f t="shared" si="9"/>
        <v>0</v>
      </c>
      <c r="J94" s="3">
        <f t="shared" si="10"/>
        <v>0</v>
      </c>
      <c r="K94" s="3">
        <f t="shared" si="11"/>
        <v>0</v>
      </c>
      <c r="L94" s="3">
        <f t="shared" si="12"/>
        <v>0</v>
      </c>
      <c r="M94" s="3">
        <f t="shared" si="13"/>
        <v>0</v>
      </c>
    </row>
    <row r="95" spans="3:13" x14ac:dyDescent="0.25">
      <c r="C95" s="3">
        <v>53</v>
      </c>
      <c r="D95" s="3">
        <f t="shared" si="4"/>
        <v>59.579910537623476</v>
      </c>
      <c r="E95" s="3">
        <f t="shared" si="5"/>
        <v>156.50694102746004</v>
      </c>
      <c r="F95" s="3">
        <f t="shared" si="6"/>
        <v>1146.4358816342121</v>
      </c>
      <c r="G95" s="3">
        <f t="shared" si="7"/>
        <v>0</v>
      </c>
      <c r="H95" s="3">
        <f t="shared" si="8"/>
        <v>0</v>
      </c>
      <c r="I95" s="3">
        <f t="shared" si="9"/>
        <v>0</v>
      </c>
      <c r="J95" s="3">
        <f t="shared" si="10"/>
        <v>0</v>
      </c>
      <c r="K95" s="3">
        <f t="shared" si="11"/>
        <v>0</v>
      </c>
      <c r="L95" s="3">
        <f t="shared" si="12"/>
        <v>0</v>
      </c>
      <c r="M95" s="3">
        <f t="shared" si="13"/>
        <v>0</v>
      </c>
    </row>
    <row r="96" spans="3:13" x14ac:dyDescent="0.25">
      <c r="C96" s="3">
        <v>54</v>
      </c>
      <c r="D96" s="3">
        <f t="shared" si="4"/>
        <v>61.224135968549959</v>
      </c>
      <c r="E96" s="3">
        <f t="shared" si="5"/>
        <v>172.64367024728074</v>
      </c>
      <c r="F96" s="3">
        <f t="shared" si="6"/>
        <v>0</v>
      </c>
      <c r="G96" s="3">
        <f t="shared" si="7"/>
        <v>0</v>
      </c>
      <c r="H96" s="3">
        <f t="shared" si="8"/>
        <v>0</v>
      </c>
      <c r="I96" s="3">
        <f t="shared" si="9"/>
        <v>0</v>
      </c>
      <c r="J96" s="3">
        <f t="shared" si="10"/>
        <v>0</v>
      </c>
      <c r="K96" s="3">
        <f t="shared" si="11"/>
        <v>0</v>
      </c>
      <c r="L96" s="3">
        <f t="shared" si="12"/>
        <v>0</v>
      </c>
      <c r="M96" s="3">
        <f t="shared" si="13"/>
        <v>0</v>
      </c>
    </row>
    <row r="97" spans="3:13" x14ac:dyDescent="0.25">
      <c r="C97" s="3">
        <v>55</v>
      </c>
      <c r="D97" s="3">
        <f t="shared" si="4"/>
        <v>62.83979414591473</v>
      </c>
      <c r="E97" s="3">
        <f t="shared" si="5"/>
        <v>169.64410862330067</v>
      </c>
      <c r="F97" s="3">
        <f t="shared" si="6"/>
        <v>0</v>
      </c>
      <c r="G97" s="3">
        <f t="shared" si="7"/>
        <v>0</v>
      </c>
      <c r="H97" s="3">
        <f t="shared" si="8"/>
        <v>0</v>
      </c>
      <c r="I97" s="3">
        <f t="shared" si="9"/>
        <v>0</v>
      </c>
      <c r="J97" s="3">
        <f t="shared" si="10"/>
        <v>0</v>
      </c>
      <c r="K97" s="3">
        <f t="shared" si="11"/>
        <v>0</v>
      </c>
      <c r="L97" s="3">
        <f t="shared" si="12"/>
        <v>0</v>
      </c>
      <c r="M97" s="3">
        <f t="shared" si="13"/>
        <v>0</v>
      </c>
    </row>
    <row r="98" spans="3:13" x14ac:dyDescent="0.25">
      <c r="C98" s="3">
        <v>56</v>
      </c>
      <c r="D98" s="3">
        <f t="shared" si="4"/>
        <v>64.428057098940442</v>
      </c>
      <c r="E98" s="3">
        <f t="shared" si="5"/>
        <v>166.76761006769962</v>
      </c>
      <c r="F98" s="3">
        <f t="shared" si="6"/>
        <v>0</v>
      </c>
      <c r="G98" s="3">
        <f t="shared" si="7"/>
        <v>0</v>
      </c>
      <c r="H98" s="3">
        <f t="shared" si="8"/>
        <v>0</v>
      </c>
      <c r="I98" s="3">
        <f t="shared" si="9"/>
        <v>0</v>
      </c>
      <c r="J98" s="3">
        <f t="shared" si="10"/>
        <v>0</v>
      </c>
      <c r="K98" s="3">
        <f t="shared" si="11"/>
        <v>0</v>
      </c>
      <c r="L98" s="3">
        <f t="shared" si="12"/>
        <v>0</v>
      </c>
      <c r="M98" s="3">
        <f t="shared" si="13"/>
        <v>0</v>
      </c>
    </row>
    <row r="99" spans="3:13" x14ac:dyDescent="0.25">
      <c r="C99" s="3">
        <v>57</v>
      </c>
      <c r="D99" s="3">
        <f t="shared" si="4"/>
        <v>65.990080622392497</v>
      </c>
      <c r="E99" s="3">
        <f t="shared" si="5"/>
        <v>164.01246996246581</v>
      </c>
      <c r="F99" s="3">
        <f t="shared" si="6"/>
        <v>0</v>
      </c>
      <c r="G99" s="3">
        <f t="shared" si="7"/>
        <v>0</v>
      </c>
      <c r="H99" s="3">
        <f t="shared" si="8"/>
        <v>0</v>
      </c>
      <c r="I99" s="3">
        <f t="shared" si="9"/>
        <v>0</v>
      </c>
      <c r="J99" s="3">
        <f t="shared" si="10"/>
        <v>0</v>
      </c>
      <c r="K99" s="3">
        <f t="shared" si="11"/>
        <v>0</v>
      </c>
      <c r="L99" s="3">
        <f t="shared" si="12"/>
        <v>0</v>
      </c>
      <c r="M99" s="3">
        <f t="shared" si="13"/>
        <v>0</v>
      </c>
    </row>
    <row r="100" spans="3:13" x14ac:dyDescent="0.25">
      <c r="C100" s="3">
        <v>58</v>
      </c>
      <c r="D100" s="3">
        <f t="shared" si="4"/>
        <v>56.608566270688932</v>
      </c>
      <c r="E100" s="3">
        <f t="shared" si="5"/>
        <v>161.37687470533734</v>
      </c>
      <c r="F100" s="3">
        <f t="shared" si="6"/>
        <v>1146.4358816342121</v>
      </c>
      <c r="G100" s="3">
        <f t="shared" si="7"/>
        <v>0</v>
      </c>
      <c r="H100" s="3">
        <f t="shared" si="8"/>
        <v>0</v>
      </c>
      <c r="I100" s="3">
        <f t="shared" si="9"/>
        <v>0</v>
      </c>
      <c r="J100" s="3">
        <f t="shared" si="10"/>
        <v>0</v>
      </c>
      <c r="K100" s="3">
        <f t="shared" si="11"/>
        <v>0</v>
      </c>
      <c r="L100" s="3">
        <f t="shared" si="12"/>
        <v>0</v>
      </c>
      <c r="M100" s="3">
        <f t="shared" si="13"/>
        <v>0</v>
      </c>
    </row>
    <row r="101" spans="3:13" x14ac:dyDescent="0.25">
      <c r="C101" s="3">
        <v>59</v>
      </c>
      <c r="D101" s="3">
        <f t="shared" si="4"/>
        <v>58.306042979049145</v>
      </c>
      <c r="E101" s="3">
        <f t="shared" si="5"/>
        <v>178.23505437782308</v>
      </c>
      <c r="F101" s="3">
        <f t="shared" si="6"/>
        <v>0</v>
      </c>
      <c r="G101" s="3">
        <f t="shared" si="7"/>
        <v>0</v>
      </c>
      <c r="H101" s="3">
        <f t="shared" si="8"/>
        <v>0</v>
      </c>
      <c r="I101" s="3">
        <f t="shared" si="9"/>
        <v>0</v>
      </c>
      <c r="J101" s="3">
        <f t="shared" si="10"/>
        <v>0</v>
      </c>
      <c r="K101" s="3">
        <f t="shared" si="11"/>
        <v>0</v>
      </c>
      <c r="L101" s="3">
        <f t="shared" si="12"/>
        <v>0</v>
      </c>
      <c r="M101" s="3">
        <f t="shared" si="13"/>
        <v>0</v>
      </c>
    </row>
    <row r="102" spans="3:13" x14ac:dyDescent="0.25">
      <c r="C102" s="3">
        <v>60</v>
      </c>
      <c r="D102" s="3">
        <f t="shared" si="4"/>
        <v>59.972851587740188</v>
      </c>
      <c r="E102" s="3">
        <f t="shared" si="5"/>
        <v>175.01490391255868</v>
      </c>
      <c r="F102" s="3">
        <f t="shared" si="6"/>
        <v>0</v>
      </c>
      <c r="G102" s="3">
        <f t="shared" si="7"/>
        <v>0</v>
      </c>
      <c r="H102" s="3">
        <f t="shared" si="8"/>
        <v>0</v>
      </c>
      <c r="I102" s="3">
        <f t="shared" si="9"/>
        <v>0</v>
      </c>
      <c r="J102" s="3">
        <f t="shared" si="10"/>
        <v>0</v>
      </c>
      <c r="K102" s="3">
        <f t="shared" si="11"/>
        <v>0</v>
      </c>
      <c r="L102" s="3">
        <f t="shared" si="12"/>
        <v>0</v>
      </c>
      <c r="M102" s="3">
        <f t="shared" si="13"/>
        <v>0</v>
      </c>
    </row>
    <row r="103" spans="3:13" x14ac:dyDescent="0.25">
      <c r="C103" s="3">
        <v>61</v>
      </c>
      <c r="D103" s="3">
        <f t="shared" si="4"/>
        <v>61.61018906411325</v>
      </c>
      <c r="E103" s="3">
        <f t="shared" si="5"/>
        <v>171.9204350191726</v>
      </c>
      <c r="F103" s="3">
        <f t="shared" si="6"/>
        <v>0</v>
      </c>
      <c r="G103" s="3">
        <f t="shared" si="7"/>
        <v>0</v>
      </c>
      <c r="H103" s="3">
        <f t="shared" si="8"/>
        <v>0</v>
      </c>
      <c r="I103" s="3">
        <f t="shared" si="9"/>
        <v>0</v>
      </c>
      <c r="J103" s="3">
        <f t="shared" si="10"/>
        <v>0</v>
      </c>
      <c r="K103" s="3">
        <f t="shared" si="11"/>
        <v>0</v>
      </c>
      <c r="L103" s="3">
        <f t="shared" si="12"/>
        <v>0</v>
      </c>
      <c r="M103" s="3">
        <f t="shared" si="13"/>
        <v>0</v>
      </c>
    </row>
    <row r="104" spans="3:13" x14ac:dyDescent="0.25">
      <c r="C104" s="3">
        <v>62</v>
      </c>
      <c r="D104" s="3">
        <f t="shared" si="4"/>
        <v>63.219238894513779</v>
      </c>
      <c r="E104" s="3">
        <f t="shared" si="5"/>
        <v>168.95023219205524</v>
      </c>
      <c r="F104" s="3">
        <f t="shared" si="6"/>
        <v>0</v>
      </c>
      <c r="G104" s="3">
        <f t="shared" si="7"/>
        <v>0</v>
      </c>
      <c r="H104" s="3">
        <f t="shared" si="8"/>
        <v>0</v>
      </c>
      <c r="I104" s="3">
        <f t="shared" si="9"/>
        <v>0</v>
      </c>
      <c r="J104" s="3">
        <f t="shared" si="10"/>
        <v>0</v>
      </c>
      <c r="K104" s="3">
        <f t="shared" si="11"/>
        <v>0</v>
      </c>
      <c r="L104" s="3">
        <f t="shared" si="12"/>
        <v>0</v>
      </c>
      <c r="M104" s="3">
        <f t="shared" si="13"/>
        <v>0</v>
      </c>
    </row>
    <row r="105" spans="3:13" x14ac:dyDescent="0.25">
      <c r="C105" s="3">
        <v>63</v>
      </c>
      <c r="D105" s="3">
        <f t="shared" si="4"/>
        <v>53.882732399419588</v>
      </c>
      <c r="E105" s="3">
        <f t="shared" si="5"/>
        <v>166.10269964932098</v>
      </c>
      <c r="F105" s="3">
        <f t="shared" si="6"/>
        <v>1146.4358816342121</v>
      </c>
      <c r="G105" s="3">
        <f t="shared" si="7"/>
        <v>0</v>
      </c>
      <c r="H105" s="3">
        <f t="shared" si="8"/>
        <v>0</v>
      </c>
      <c r="I105" s="3">
        <f t="shared" si="9"/>
        <v>0</v>
      </c>
      <c r="J105" s="3">
        <f t="shared" si="10"/>
        <v>0</v>
      </c>
      <c r="K105" s="3">
        <f t="shared" si="11"/>
        <v>0</v>
      </c>
      <c r="L105" s="3">
        <f t="shared" si="12"/>
        <v>0</v>
      </c>
      <c r="M105" s="3">
        <f t="shared" si="13"/>
        <v>0</v>
      </c>
    </row>
    <row r="106" spans="3:13" x14ac:dyDescent="0.25">
      <c r="C106" s="3">
        <v>64</v>
      </c>
      <c r="D106" s="3">
        <f t="shared" si="4"/>
        <v>55.63072428684567</v>
      </c>
      <c r="E106" s="3">
        <f t="shared" si="5"/>
        <v>183.53914817973899</v>
      </c>
      <c r="F106" s="3">
        <f t="shared" si="6"/>
        <v>0</v>
      </c>
      <c r="G106" s="3">
        <f t="shared" si="7"/>
        <v>0</v>
      </c>
      <c r="H106" s="3">
        <f t="shared" si="8"/>
        <v>0</v>
      </c>
      <c r="I106" s="3">
        <f t="shared" si="9"/>
        <v>0</v>
      </c>
      <c r="J106" s="3">
        <f t="shared" si="10"/>
        <v>0</v>
      </c>
      <c r="K106" s="3">
        <f t="shared" si="11"/>
        <v>0</v>
      </c>
      <c r="L106" s="3">
        <f t="shared" si="12"/>
        <v>0</v>
      </c>
      <c r="M106" s="3">
        <f t="shared" si="13"/>
        <v>0</v>
      </c>
    </row>
    <row r="107" spans="3:13" x14ac:dyDescent="0.25">
      <c r="C107" s="3">
        <v>65</v>
      </c>
      <c r="D107" s="3">
        <f t="shared" si="4"/>
        <v>57.34614976056384</v>
      </c>
      <c r="E107" s="3">
        <f t="shared" si="5"/>
        <v>180.11967474040799</v>
      </c>
      <c r="F107" s="3">
        <f t="shared" si="6"/>
        <v>0</v>
      </c>
      <c r="G107" s="3">
        <f t="shared" si="7"/>
        <v>0</v>
      </c>
      <c r="H107" s="3">
        <f t="shared" si="8"/>
        <v>0</v>
      </c>
      <c r="I107" s="3">
        <f t="shared" si="9"/>
        <v>0</v>
      </c>
      <c r="J107" s="3">
        <f t="shared" si="10"/>
        <v>0</v>
      </c>
      <c r="K107" s="3">
        <f t="shared" si="11"/>
        <v>0</v>
      </c>
      <c r="L107" s="3">
        <f t="shared" si="12"/>
        <v>0</v>
      </c>
      <c r="M107" s="3">
        <f t="shared" si="13"/>
        <v>0</v>
      </c>
    </row>
    <row r="108" spans="3:13" x14ac:dyDescent="0.25">
      <c r="C108" s="3">
        <v>66</v>
      </c>
      <c r="D108" s="3">
        <f t="shared" ref="D108:D171" si="14">MAX((D107*($N$10/IF($B$4, 16.387, 1))+E108-SUM(F108:M108))/($N$10/IF($B$4, 16.387, 1)), 0)</f>
        <v>59.030222368791151</v>
      </c>
      <c r="E108" s="3">
        <f t="shared" ref="E108:E171" si="15">IF(D107&lt;$N$15, $D$40*D107^3+$E$40*D107^2+$F$40*D107+$G$40, 0) * 12^3/60*14.7</f>
        <v>176.8276238638673</v>
      </c>
      <c r="F108" s="3">
        <f t="shared" ref="F108:F171" si="16">IFERROR(IF(AND($C108&gt;=D$15, $C108&lt;=D$16), IF(D$14&gt;1, N(MOD($C108-D$15, D$14)&lt;1), 1/D$14)*PI()*D$9/4*(D$7^2*MIN(D$10, $D107)+(D$7^2-D$8^2)*MIN(D$12, D$42))/IF($B$4, 25.4^3, 1), 0), 0)</f>
        <v>0</v>
      </c>
      <c r="G108" s="3">
        <f t="shared" ref="G108:G171" si="17">IFERROR(IF(AND($C108&gt;=E$15, $C108&lt;=E$16), IF(E$14&gt;1, N(MOD($C108-E$15, E$14)&lt;1), 1/E$14)*PI()*E$9/4*(E$7^2*MIN(E$10, $D107)+(E$7^2-E$8^2)*MIN(E$12, E$42))/IF($B$4, 25.4^3, 1), 0), 0)</f>
        <v>0</v>
      </c>
      <c r="H108" s="3">
        <f t="shared" ref="H108:H171" si="18">IFERROR(IF(AND($C108&gt;=F$15, $C108&lt;=F$16), IF(F$14&gt;1, N(MOD($C108-F$15, F$14)&lt;1), 1/F$14)*PI()*F$9/4*(F$7^2*MIN(F$10, $D107)+(F$7^2-F$8^2)*MIN(F$12, F$42))/IF($B$4, 25.4^3, 1), 0), 0)</f>
        <v>0</v>
      </c>
      <c r="I108" s="3">
        <f t="shared" ref="I108:I171" si="19">IFERROR(IF(AND($C108&gt;=G$15, $C108&lt;=G$16), IF(G$14&gt;1, N(MOD($C108-G$15, G$14)&lt;1), 1/G$14)*PI()*G$9/4*(G$7^2*MIN(G$10, $D107)+(G$7^2-G$8^2)*MIN(G$12, G$42))/IF($B$4, 25.4^3, 1), 0), 0)</f>
        <v>0</v>
      </c>
      <c r="J108" s="3">
        <f t="shared" ref="J108:J171" si="20">IFERROR(IF(AND($C108&gt;=H$15, $C108&lt;=H$16), IF(H$14&gt;1, N(MOD($C108-H$15, H$14)&lt;1), 1/H$14)*PI()*H$9/4*(H$7^2*MIN(H$10, $D107)+(H$7^2-H$8^2)*MIN(H$12, H$42))/IF($B$4, 25.4^3, 1), 0), 0)</f>
        <v>0</v>
      </c>
      <c r="K108" s="3">
        <f t="shared" ref="K108:K171" si="21">IFERROR(IF(AND($C108&gt;=I$15, $C108&lt;=I$16), IF(I$14&gt;1, N(MOD($C108-I$15, I$14)&lt;1), 1/I$14)*PI()*I$9/4*(I$7^2*MIN(I$10, $D107)+(I$7^2-I$8^2)*MIN(I$12, I$42))/IF($B$4, 25.4^3, 1), 0), 0)</f>
        <v>0</v>
      </c>
      <c r="L108" s="3">
        <f t="shared" ref="L108:L171" si="22">IFERROR(IF(AND($C108&gt;=J$15, $C108&lt;=J$16), IF(J$14&gt;1, N(MOD($C108-J$15, J$14)&lt;1), 1/J$14)*PI()*J$9/4*(J$7^2*MIN(J$10, $D107)+(J$7^2-J$8^2)*MIN(J$12, J$42))/IF($B$4, 25.4^3, 1), 0), 0)</f>
        <v>0</v>
      </c>
      <c r="M108" s="3">
        <f t="shared" ref="M108:M171" si="23">IFERROR(IF(AND($C108&gt;=K$15, $C108&lt;=K$16), IF(K$14&gt;1, N(MOD($C108-K$15, K$14)&lt;1), 1/K$14)*PI()*K$9/4*(K$7^2*MIN(K$10, $D107)+(K$7^2-K$8^2)*MIN(K$12, K$42))/IF($B$4, 25.4^3, 1), 0), 0)</f>
        <v>0</v>
      </c>
    </row>
    <row r="109" spans="3:13" x14ac:dyDescent="0.25">
      <c r="C109" s="3">
        <v>67</v>
      </c>
      <c r="D109" s="3">
        <f t="shared" si="14"/>
        <v>60.684145798819365</v>
      </c>
      <c r="E109" s="3">
        <f t="shared" si="15"/>
        <v>173.66196015296279</v>
      </c>
      <c r="F109" s="3">
        <f t="shared" si="16"/>
        <v>0</v>
      </c>
      <c r="G109" s="3">
        <f t="shared" si="17"/>
        <v>0</v>
      </c>
      <c r="H109" s="3">
        <f t="shared" si="18"/>
        <v>0</v>
      </c>
      <c r="I109" s="3">
        <f t="shared" si="19"/>
        <v>0</v>
      </c>
      <c r="J109" s="3">
        <f t="shared" si="20"/>
        <v>0</v>
      </c>
      <c r="K109" s="3">
        <f t="shared" si="21"/>
        <v>0</v>
      </c>
      <c r="L109" s="3">
        <f t="shared" si="22"/>
        <v>0</v>
      </c>
      <c r="M109" s="3">
        <f t="shared" si="23"/>
        <v>0</v>
      </c>
    </row>
    <row r="110" spans="3:13" x14ac:dyDescent="0.25">
      <c r="C110" s="3">
        <v>68</v>
      </c>
      <c r="D110" s="3">
        <f t="shared" si="14"/>
        <v>51.390674461253397</v>
      </c>
      <c r="E110" s="3">
        <f t="shared" si="15"/>
        <v>170.62139118978453</v>
      </c>
      <c r="F110" s="3">
        <f t="shared" si="16"/>
        <v>1146.4358816342121</v>
      </c>
      <c r="G110" s="3">
        <f t="shared" si="17"/>
        <v>0</v>
      </c>
      <c r="H110" s="3">
        <f t="shared" si="18"/>
        <v>0</v>
      </c>
      <c r="I110" s="3">
        <f t="shared" si="19"/>
        <v>0</v>
      </c>
      <c r="J110" s="3">
        <f t="shared" si="20"/>
        <v>0</v>
      </c>
      <c r="K110" s="3">
        <f t="shared" si="21"/>
        <v>0</v>
      </c>
      <c r="L110" s="3">
        <f t="shared" si="22"/>
        <v>0</v>
      </c>
      <c r="M110" s="3">
        <f t="shared" si="23"/>
        <v>0</v>
      </c>
    </row>
    <row r="111" spans="3:13" x14ac:dyDescent="0.25">
      <c r="C111" s="3">
        <v>69</v>
      </c>
      <c r="D111" s="3">
        <f t="shared" si="14"/>
        <v>53.186076421693876</v>
      </c>
      <c r="E111" s="3">
        <f t="shared" si="15"/>
        <v>188.51720584625002</v>
      </c>
      <c r="F111" s="3">
        <f t="shared" si="16"/>
        <v>0</v>
      </c>
      <c r="G111" s="3">
        <f t="shared" si="17"/>
        <v>0</v>
      </c>
      <c r="H111" s="3">
        <f t="shared" si="18"/>
        <v>0</v>
      </c>
      <c r="I111" s="3">
        <f t="shared" si="19"/>
        <v>0</v>
      </c>
      <c r="J111" s="3">
        <f t="shared" si="20"/>
        <v>0</v>
      </c>
      <c r="K111" s="3">
        <f t="shared" si="21"/>
        <v>0</v>
      </c>
      <c r="L111" s="3">
        <f t="shared" si="22"/>
        <v>0</v>
      </c>
      <c r="M111" s="3">
        <f t="shared" si="23"/>
        <v>0</v>
      </c>
    </row>
    <row r="112" spans="3:13" x14ac:dyDescent="0.25">
      <c r="C112" s="3">
        <v>70</v>
      </c>
      <c r="D112" s="3">
        <f t="shared" si="14"/>
        <v>54.947210441932825</v>
      </c>
      <c r="E112" s="3">
        <f t="shared" si="15"/>
        <v>184.91907212508977</v>
      </c>
      <c r="F112" s="3">
        <f t="shared" si="16"/>
        <v>0</v>
      </c>
      <c r="G112" s="3">
        <f t="shared" si="17"/>
        <v>0</v>
      </c>
      <c r="H112" s="3">
        <f t="shared" si="18"/>
        <v>0</v>
      </c>
      <c r="I112" s="3">
        <f t="shared" si="19"/>
        <v>0</v>
      </c>
      <c r="J112" s="3">
        <f t="shared" si="20"/>
        <v>0</v>
      </c>
      <c r="K112" s="3">
        <f t="shared" si="21"/>
        <v>0</v>
      </c>
      <c r="L112" s="3">
        <f t="shared" si="22"/>
        <v>0</v>
      </c>
      <c r="M112" s="3">
        <f t="shared" si="23"/>
        <v>0</v>
      </c>
    </row>
    <row r="113" spans="3:13" x14ac:dyDescent="0.25">
      <c r="C113" s="3">
        <v>71</v>
      </c>
      <c r="D113" s="3">
        <f t="shared" si="14"/>
        <v>56.675298704316916</v>
      </c>
      <c r="E113" s="3">
        <f t="shared" si="15"/>
        <v>181.44926755032975</v>
      </c>
      <c r="F113" s="3">
        <f t="shared" si="16"/>
        <v>0</v>
      </c>
      <c r="G113" s="3">
        <f t="shared" si="17"/>
        <v>0</v>
      </c>
      <c r="H113" s="3">
        <f t="shared" si="18"/>
        <v>0</v>
      </c>
      <c r="I113" s="3">
        <f t="shared" si="19"/>
        <v>0</v>
      </c>
      <c r="J113" s="3">
        <f t="shared" si="20"/>
        <v>0</v>
      </c>
      <c r="K113" s="3">
        <f t="shared" si="21"/>
        <v>0</v>
      </c>
      <c r="L113" s="3">
        <f t="shared" si="22"/>
        <v>0</v>
      </c>
      <c r="M113" s="3">
        <f t="shared" si="23"/>
        <v>0</v>
      </c>
    </row>
    <row r="114" spans="3:13" x14ac:dyDescent="0.25">
      <c r="C114" s="3">
        <v>72</v>
      </c>
      <c r="D114" s="3">
        <f t="shared" si="14"/>
        <v>58.371557849184079</v>
      </c>
      <c r="E114" s="3">
        <f t="shared" si="15"/>
        <v>178.10721021105235</v>
      </c>
      <c r="F114" s="3">
        <f t="shared" si="16"/>
        <v>0</v>
      </c>
      <c r="G114" s="3">
        <f t="shared" si="17"/>
        <v>0</v>
      </c>
      <c r="H114" s="3">
        <f t="shared" si="18"/>
        <v>0</v>
      </c>
      <c r="I114" s="3">
        <f t="shared" si="19"/>
        <v>0</v>
      </c>
      <c r="J114" s="3">
        <f t="shared" si="20"/>
        <v>0</v>
      </c>
      <c r="K114" s="3">
        <f t="shared" si="21"/>
        <v>0</v>
      </c>
      <c r="L114" s="3">
        <f t="shared" si="22"/>
        <v>0</v>
      </c>
      <c r="M114" s="3">
        <f t="shared" si="23"/>
        <v>0</v>
      </c>
    </row>
    <row r="115" spans="3:13" x14ac:dyDescent="0.25">
      <c r="C115" s="3">
        <v>73</v>
      </c>
      <c r="D115" s="3">
        <f t="shared" si="14"/>
        <v>49.118758794579755</v>
      </c>
      <c r="E115" s="3">
        <f t="shared" si="15"/>
        <v>174.89198090075777</v>
      </c>
      <c r="F115" s="3">
        <f t="shared" si="16"/>
        <v>1146.4358816342121</v>
      </c>
      <c r="G115" s="3">
        <f t="shared" si="17"/>
        <v>0</v>
      </c>
      <c r="H115" s="3">
        <f t="shared" si="18"/>
        <v>0</v>
      </c>
      <c r="I115" s="3">
        <f t="shared" si="19"/>
        <v>0</v>
      </c>
      <c r="J115" s="3">
        <f t="shared" si="20"/>
        <v>0</v>
      </c>
      <c r="K115" s="3">
        <f t="shared" si="21"/>
        <v>0</v>
      </c>
      <c r="L115" s="3">
        <f t="shared" si="22"/>
        <v>0</v>
      </c>
      <c r="M115" s="3">
        <f t="shared" si="23"/>
        <v>0</v>
      </c>
    </row>
    <row r="116" spans="3:13" x14ac:dyDescent="0.25">
      <c r="C116" s="3">
        <v>74</v>
      </c>
      <c r="D116" s="3">
        <f t="shared" si="14"/>
        <v>50.958277901891968</v>
      </c>
      <c r="E116" s="3">
        <f t="shared" si="15"/>
        <v>193.14950626778264</v>
      </c>
      <c r="F116" s="3">
        <f t="shared" si="16"/>
        <v>0</v>
      </c>
      <c r="G116" s="3">
        <f t="shared" si="17"/>
        <v>0</v>
      </c>
      <c r="H116" s="3">
        <f t="shared" si="18"/>
        <v>0</v>
      </c>
      <c r="I116" s="3">
        <f t="shared" si="19"/>
        <v>0</v>
      </c>
      <c r="J116" s="3">
        <f t="shared" si="20"/>
        <v>0</v>
      </c>
      <c r="K116" s="3">
        <f t="shared" si="21"/>
        <v>0</v>
      </c>
      <c r="L116" s="3">
        <f t="shared" si="22"/>
        <v>0</v>
      </c>
      <c r="M116" s="3">
        <f t="shared" si="23"/>
        <v>0</v>
      </c>
    </row>
    <row r="117" spans="3:13" x14ac:dyDescent="0.25">
      <c r="C117" s="3">
        <v>75</v>
      </c>
      <c r="D117" s="3">
        <f t="shared" si="14"/>
        <v>52.762014185779925</v>
      </c>
      <c r="E117" s="3">
        <f t="shared" si="15"/>
        <v>189.39230980823609</v>
      </c>
      <c r="F117" s="3">
        <f t="shared" si="16"/>
        <v>0</v>
      </c>
      <c r="G117" s="3">
        <f t="shared" si="17"/>
        <v>0</v>
      </c>
      <c r="H117" s="3">
        <f t="shared" si="18"/>
        <v>0</v>
      </c>
      <c r="I117" s="3">
        <f t="shared" si="19"/>
        <v>0</v>
      </c>
      <c r="J117" s="3">
        <f t="shared" si="20"/>
        <v>0</v>
      </c>
      <c r="K117" s="3">
        <f t="shared" si="21"/>
        <v>0</v>
      </c>
      <c r="L117" s="3">
        <f t="shared" si="22"/>
        <v>0</v>
      </c>
      <c r="M117" s="3">
        <f t="shared" si="23"/>
        <v>0</v>
      </c>
    </row>
    <row r="118" spans="3:13" x14ac:dyDescent="0.25">
      <c r="C118" s="3">
        <v>76</v>
      </c>
      <c r="D118" s="3">
        <f t="shared" si="14"/>
        <v>54.531191303008903</v>
      </c>
      <c r="E118" s="3">
        <f t="shared" si="15"/>
        <v>185.76359730904298</v>
      </c>
      <c r="F118" s="3">
        <f t="shared" si="16"/>
        <v>0</v>
      </c>
      <c r="G118" s="3">
        <f t="shared" si="17"/>
        <v>0</v>
      </c>
      <c r="H118" s="3">
        <f t="shared" si="18"/>
        <v>0</v>
      </c>
      <c r="I118" s="3">
        <f t="shared" si="19"/>
        <v>0</v>
      </c>
      <c r="J118" s="3">
        <f t="shared" si="20"/>
        <v>0</v>
      </c>
      <c r="K118" s="3">
        <f t="shared" si="21"/>
        <v>0</v>
      </c>
      <c r="L118" s="3">
        <f t="shared" si="22"/>
        <v>0</v>
      </c>
      <c r="M118" s="3">
        <f t="shared" si="23"/>
        <v>0</v>
      </c>
    </row>
    <row r="119" spans="3:13" x14ac:dyDescent="0.25">
      <c r="C119" s="3">
        <v>77</v>
      </c>
      <c r="D119" s="3">
        <f t="shared" si="14"/>
        <v>56.267032214486051</v>
      </c>
      <c r="E119" s="3">
        <f t="shared" si="15"/>
        <v>182.26329570510001</v>
      </c>
      <c r="F119" s="3">
        <f t="shared" si="16"/>
        <v>0</v>
      </c>
      <c r="G119" s="3">
        <f t="shared" si="17"/>
        <v>0</v>
      </c>
      <c r="H119" s="3">
        <f t="shared" si="18"/>
        <v>0</v>
      </c>
      <c r="I119" s="3">
        <f t="shared" si="19"/>
        <v>0</v>
      </c>
      <c r="J119" s="3">
        <f t="shared" si="20"/>
        <v>0</v>
      </c>
      <c r="K119" s="3">
        <f t="shared" si="21"/>
        <v>0</v>
      </c>
      <c r="L119" s="3">
        <f t="shared" si="22"/>
        <v>0</v>
      </c>
      <c r="M119" s="3">
        <f t="shared" si="23"/>
        <v>0</v>
      </c>
    </row>
    <row r="120" spans="3:13" x14ac:dyDescent="0.25">
      <c r="C120" s="3">
        <v>78</v>
      </c>
      <c r="D120" s="3">
        <f t="shared" si="14"/>
        <v>47.052318224798796</v>
      </c>
      <c r="E120" s="3">
        <f t="shared" si="15"/>
        <v>178.89091271704973</v>
      </c>
      <c r="F120" s="3">
        <f t="shared" si="16"/>
        <v>1146.4358816342121</v>
      </c>
      <c r="G120" s="3">
        <f t="shared" si="17"/>
        <v>0</v>
      </c>
      <c r="H120" s="3">
        <f t="shared" si="18"/>
        <v>0</v>
      </c>
      <c r="I120" s="3">
        <f t="shared" si="19"/>
        <v>0</v>
      </c>
      <c r="J120" s="3">
        <f t="shared" si="20"/>
        <v>0</v>
      </c>
      <c r="K120" s="3">
        <f t="shared" si="21"/>
        <v>0</v>
      </c>
      <c r="L120" s="3">
        <f t="shared" si="22"/>
        <v>0</v>
      </c>
      <c r="M120" s="3">
        <f t="shared" si="23"/>
        <v>0</v>
      </c>
    </row>
    <row r="121" spans="3:13" x14ac:dyDescent="0.25">
      <c r="C121" s="3">
        <v>79</v>
      </c>
      <c r="D121" s="3">
        <f t="shared" si="14"/>
        <v>48.932610501231125</v>
      </c>
      <c r="E121" s="3">
        <f t="shared" si="15"/>
        <v>197.43068902539457</v>
      </c>
      <c r="F121" s="3">
        <f t="shared" si="16"/>
        <v>0</v>
      </c>
      <c r="G121" s="3">
        <f t="shared" si="17"/>
        <v>0</v>
      </c>
      <c r="H121" s="3">
        <f t="shared" si="18"/>
        <v>0</v>
      </c>
      <c r="I121" s="3">
        <f t="shared" si="19"/>
        <v>0</v>
      </c>
      <c r="J121" s="3">
        <f t="shared" si="20"/>
        <v>0</v>
      </c>
      <c r="K121" s="3">
        <f t="shared" si="21"/>
        <v>0</v>
      </c>
      <c r="L121" s="3">
        <f t="shared" si="22"/>
        <v>0</v>
      </c>
      <c r="M121" s="3">
        <f t="shared" si="23"/>
        <v>0</v>
      </c>
    </row>
    <row r="122" spans="3:13" x14ac:dyDescent="0.25">
      <c r="C122" s="3">
        <v>80</v>
      </c>
      <c r="D122" s="3">
        <f t="shared" si="14"/>
        <v>50.775778639220896</v>
      </c>
      <c r="E122" s="3">
        <f t="shared" si="15"/>
        <v>193.53265448892535</v>
      </c>
      <c r="F122" s="3">
        <f t="shared" si="16"/>
        <v>0</v>
      </c>
      <c r="G122" s="3">
        <f t="shared" si="17"/>
        <v>0</v>
      </c>
      <c r="H122" s="3">
        <f t="shared" si="18"/>
        <v>0</v>
      </c>
      <c r="I122" s="3">
        <f t="shared" si="19"/>
        <v>0</v>
      </c>
      <c r="J122" s="3">
        <f t="shared" si="20"/>
        <v>0</v>
      </c>
      <c r="K122" s="3">
        <f t="shared" si="21"/>
        <v>0</v>
      </c>
      <c r="L122" s="3">
        <f t="shared" si="22"/>
        <v>0</v>
      </c>
      <c r="M122" s="3">
        <f t="shared" si="23"/>
        <v>0</v>
      </c>
    </row>
    <row r="123" spans="3:13" x14ac:dyDescent="0.25">
      <c r="C123" s="3">
        <v>81</v>
      </c>
      <c r="D123" s="3">
        <f t="shared" si="14"/>
        <v>52.583041605187283</v>
      </c>
      <c r="E123" s="3">
        <f t="shared" si="15"/>
        <v>189.76261142647169</v>
      </c>
      <c r="F123" s="3">
        <f t="shared" si="16"/>
        <v>0</v>
      </c>
      <c r="G123" s="3">
        <f t="shared" si="17"/>
        <v>0</v>
      </c>
      <c r="H123" s="3">
        <f t="shared" si="18"/>
        <v>0</v>
      </c>
      <c r="I123" s="3">
        <f t="shared" si="19"/>
        <v>0</v>
      </c>
      <c r="J123" s="3">
        <f t="shared" si="20"/>
        <v>0</v>
      </c>
      <c r="K123" s="3">
        <f t="shared" si="21"/>
        <v>0</v>
      </c>
      <c r="L123" s="3">
        <f t="shared" si="22"/>
        <v>0</v>
      </c>
      <c r="M123" s="3">
        <f t="shared" si="23"/>
        <v>0</v>
      </c>
    </row>
    <row r="124" spans="3:13" x14ac:dyDescent="0.25">
      <c r="C124" s="3">
        <v>82</v>
      </c>
      <c r="D124" s="3">
        <f t="shared" si="14"/>
        <v>54.355622879152051</v>
      </c>
      <c r="E124" s="3">
        <f t="shared" si="15"/>
        <v>186.12103376630054</v>
      </c>
      <c r="F124" s="3">
        <f t="shared" si="16"/>
        <v>0</v>
      </c>
      <c r="G124" s="3">
        <f t="shared" si="17"/>
        <v>0</v>
      </c>
      <c r="H124" s="3">
        <f t="shared" si="18"/>
        <v>0</v>
      </c>
      <c r="I124" s="3">
        <f t="shared" si="19"/>
        <v>0</v>
      </c>
      <c r="J124" s="3">
        <f t="shared" si="20"/>
        <v>0</v>
      </c>
      <c r="K124" s="3">
        <f t="shared" si="21"/>
        <v>0</v>
      </c>
      <c r="L124" s="3">
        <f t="shared" si="22"/>
        <v>0</v>
      </c>
      <c r="M124" s="3">
        <f t="shared" si="23"/>
        <v>0</v>
      </c>
    </row>
    <row r="125" spans="3:13" x14ac:dyDescent="0.25">
      <c r="C125" s="3">
        <v>83</v>
      </c>
      <c r="D125" s="3">
        <f t="shared" si="14"/>
        <v>45.176308714655498</v>
      </c>
      <c r="E125" s="3">
        <f t="shared" si="15"/>
        <v>182.60789436207361</v>
      </c>
      <c r="F125" s="3">
        <f t="shared" si="16"/>
        <v>1146.4358816342121</v>
      </c>
      <c r="G125" s="3">
        <f t="shared" si="17"/>
        <v>0</v>
      </c>
      <c r="H125" s="3">
        <f t="shared" si="18"/>
        <v>0</v>
      </c>
      <c r="I125" s="3">
        <f t="shared" si="19"/>
        <v>0</v>
      </c>
      <c r="J125" s="3">
        <f t="shared" si="20"/>
        <v>0</v>
      </c>
      <c r="K125" s="3">
        <f t="shared" si="21"/>
        <v>0</v>
      </c>
      <c r="L125" s="3">
        <f t="shared" si="22"/>
        <v>0</v>
      </c>
      <c r="M125" s="3">
        <f t="shared" si="23"/>
        <v>0</v>
      </c>
    </row>
    <row r="126" spans="3:13" x14ac:dyDescent="0.25">
      <c r="C126" s="3">
        <v>84</v>
      </c>
      <c r="D126" s="3">
        <f t="shared" si="14"/>
        <v>47.094078096955378</v>
      </c>
      <c r="E126" s="3">
        <f t="shared" si="15"/>
        <v>201.36578514148769</v>
      </c>
      <c r="F126" s="3">
        <f t="shared" si="16"/>
        <v>0</v>
      </c>
      <c r="G126" s="3">
        <f t="shared" si="17"/>
        <v>0</v>
      </c>
      <c r="H126" s="3">
        <f t="shared" si="18"/>
        <v>0</v>
      </c>
      <c r="I126" s="3">
        <f t="shared" si="19"/>
        <v>0</v>
      </c>
      <c r="J126" s="3">
        <f t="shared" si="20"/>
        <v>0</v>
      </c>
      <c r="K126" s="3">
        <f t="shared" si="21"/>
        <v>0</v>
      </c>
      <c r="L126" s="3">
        <f t="shared" si="22"/>
        <v>0</v>
      </c>
      <c r="M126" s="3">
        <f t="shared" si="23"/>
        <v>0</v>
      </c>
    </row>
    <row r="127" spans="3:13" x14ac:dyDescent="0.25">
      <c r="C127" s="3">
        <v>85</v>
      </c>
      <c r="D127" s="3">
        <f t="shared" si="14"/>
        <v>48.973540877915184</v>
      </c>
      <c r="E127" s="3">
        <f t="shared" si="15"/>
        <v>197.34359200077995</v>
      </c>
      <c r="F127" s="3">
        <f t="shared" si="16"/>
        <v>0</v>
      </c>
      <c r="G127" s="3">
        <f t="shared" si="17"/>
        <v>0</v>
      </c>
      <c r="H127" s="3">
        <f t="shared" si="18"/>
        <v>0</v>
      </c>
      <c r="I127" s="3">
        <f t="shared" si="19"/>
        <v>0</v>
      </c>
      <c r="J127" s="3">
        <f t="shared" si="20"/>
        <v>0</v>
      </c>
      <c r="K127" s="3">
        <f t="shared" si="21"/>
        <v>0</v>
      </c>
      <c r="L127" s="3">
        <f t="shared" si="22"/>
        <v>0</v>
      </c>
      <c r="M127" s="3">
        <f t="shared" si="23"/>
        <v>0</v>
      </c>
    </row>
    <row r="128" spans="3:13" x14ac:dyDescent="0.25">
      <c r="C128" s="3">
        <v>86</v>
      </c>
      <c r="D128" s="3">
        <f t="shared" si="14"/>
        <v>50.815906241922846</v>
      </c>
      <c r="E128" s="3">
        <f t="shared" si="15"/>
        <v>193.44836322080479</v>
      </c>
      <c r="F128" s="3">
        <f t="shared" si="16"/>
        <v>0</v>
      </c>
      <c r="G128" s="3">
        <f t="shared" si="17"/>
        <v>0</v>
      </c>
      <c r="H128" s="3">
        <f t="shared" si="18"/>
        <v>0</v>
      </c>
      <c r="I128" s="3">
        <f t="shared" si="19"/>
        <v>0</v>
      </c>
      <c r="J128" s="3">
        <f t="shared" si="20"/>
        <v>0</v>
      </c>
      <c r="K128" s="3">
        <f t="shared" si="21"/>
        <v>0</v>
      </c>
      <c r="L128" s="3">
        <f t="shared" si="22"/>
        <v>0</v>
      </c>
      <c r="M128" s="3">
        <f t="shared" si="23"/>
        <v>0</v>
      </c>
    </row>
    <row r="129" spans="3:13" x14ac:dyDescent="0.25">
      <c r="C129" s="3">
        <v>87</v>
      </c>
      <c r="D129" s="3">
        <f t="shared" si="14"/>
        <v>52.622393311405922</v>
      </c>
      <c r="E129" s="3">
        <f t="shared" si="15"/>
        <v>189.6811422957235</v>
      </c>
      <c r="F129" s="3">
        <f t="shared" si="16"/>
        <v>0</v>
      </c>
      <c r="G129" s="3">
        <f t="shared" si="17"/>
        <v>0</v>
      </c>
      <c r="H129" s="3">
        <f t="shared" si="18"/>
        <v>0</v>
      </c>
      <c r="I129" s="3">
        <f t="shared" si="19"/>
        <v>0</v>
      </c>
      <c r="J129" s="3">
        <f t="shared" si="20"/>
        <v>0</v>
      </c>
      <c r="K129" s="3">
        <f t="shared" si="21"/>
        <v>0</v>
      </c>
      <c r="L129" s="3">
        <f t="shared" si="22"/>
        <v>0</v>
      </c>
      <c r="M129" s="3">
        <f t="shared" si="23"/>
        <v>0</v>
      </c>
    </row>
    <row r="130" spans="3:13" x14ac:dyDescent="0.25">
      <c r="C130" s="3">
        <v>88</v>
      </c>
      <c r="D130" s="3">
        <f t="shared" si="14"/>
        <v>43.475788641340934</v>
      </c>
      <c r="E130" s="3">
        <f t="shared" si="15"/>
        <v>186.04239127738788</v>
      </c>
      <c r="F130" s="3">
        <f t="shared" si="16"/>
        <v>1146.4358816342121</v>
      </c>
      <c r="G130" s="3">
        <f t="shared" si="17"/>
        <v>0</v>
      </c>
      <c r="H130" s="3">
        <f t="shared" si="18"/>
        <v>0</v>
      </c>
      <c r="I130" s="3">
        <f t="shared" si="19"/>
        <v>0</v>
      </c>
      <c r="J130" s="3">
        <f t="shared" si="20"/>
        <v>0</v>
      </c>
      <c r="K130" s="3">
        <f t="shared" si="21"/>
        <v>0</v>
      </c>
      <c r="L130" s="3">
        <f t="shared" si="22"/>
        <v>0</v>
      </c>
      <c r="M130" s="3">
        <f t="shared" si="23"/>
        <v>0</v>
      </c>
    </row>
    <row r="131" spans="3:13" x14ac:dyDescent="0.25">
      <c r="C131" s="3">
        <v>89</v>
      </c>
      <c r="D131" s="3">
        <f t="shared" si="14"/>
        <v>45.427855268632982</v>
      </c>
      <c r="E131" s="3">
        <f t="shared" si="15"/>
        <v>204.9669958656647</v>
      </c>
      <c r="F131" s="3">
        <f t="shared" si="16"/>
        <v>0</v>
      </c>
      <c r="G131" s="3">
        <f t="shared" si="17"/>
        <v>0</v>
      </c>
      <c r="H131" s="3">
        <f t="shared" si="18"/>
        <v>0</v>
      </c>
      <c r="I131" s="3">
        <f t="shared" si="19"/>
        <v>0</v>
      </c>
      <c r="J131" s="3">
        <f t="shared" si="20"/>
        <v>0</v>
      </c>
      <c r="K131" s="3">
        <f t="shared" si="21"/>
        <v>0</v>
      </c>
      <c r="L131" s="3">
        <f t="shared" si="22"/>
        <v>0</v>
      </c>
      <c r="M131" s="3">
        <f t="shared" si="23"/>
        <v>0</v>
      </c>
    </row>
    <row r="132" spans="3:13" x14ac:dyDescent="0.25">
      <c r="C132" s="3">
        <v>90</v>
      </c>
      <c r="D132" s="3">
        <f t="shared" si="14"/>
        <v>47.340576357748084</v>
      </c>
      <c r="E132" s="3">
        <f t="shared" si="15"/>
        <v>200.83571435708552</v>
      </c>
      <c r="F132" s="3">
        <f t="shared" si="16"/>
        <v>0</v>
      </c>
      <c r="G132" s="3">
        <f t="shared" si="17"/>
        <v>0</v>
      </c>
      <c r="H132" s="3">
        <f t="shared" si="18"/>
        <v>0</v>
      </c>
      <c r="I132" s="3">
        <f t="shared" si="19"/>
        <v>0</v>
      </c>
      <c r="J132" s="3">
        <f t="shared" si="20"/>
        <v>0</v>
      </c>
      <c r="K132" s="3">
        <f t="shared" si="21"/>
        <v>0</v>
      </c>
      <c r="L132" s="3">
        <f t="shared" si="22"/>
        <v>0</v>
      </c>
      <c r="M132" s="3">
        <f t="shared" si="23"/>
        <v>0</v>
      </c>
    </row>
    <row r="133" spans="3:13" x14ac:dyDescent="0.25">
      <c r="C133" s="3">
        <v>91</v>
      </c>
      <c r="D133" s="3">
        <f t="shared" si="14"/>
        <v>49.215147278565013</v>
      </c>
      <c r="E133" s="3">
        <f t="shared" si="15"/>
        <v>196.82994668577777</v>
      </c>
      <c r="F133" s="3">
        <f t="shared" si="16"/>
        <v>0</v>
      </c>
      <c r="G133" s="3">
        <f t="shared" si="17"/>
        <v>0</v>
      </c>
      <c r="H133" s="3">
        <f t="shared" si="18"/>
        <v>0</v>
      </c>
      <c r="I133" s="3">
        <f t="shared" si="19"/>
        <v>0</v>
      </c>
      <c r="J133" s="3">
        <f t="shared" si="20"/>
        <v>0</v>
      </c>
      <c r="K133" s="3">
        <f t="shared" si="21"/>
        <v>0</v>
      </c>
      <c r="L133" s="3">
        <f t="shared" si="22"/>
        <v>0</v>
      </c>
      <c r="M133" s="3">
        <f t="shared" si="23"/>
        <v>0</v>
      </c>
    </row>
    <row r="134" spans="3:13" x14ac:dyDescent="0.25">
      <c r="C134" s="3">
        <v>92</v>
      </c>
      <c r="D134" s="3">
        <f t="shared" si="14"/>
        <v>51.052778850161666</v>
      </c>
      <c r="E134" s="3">
        <f t="shared" si="15"/>
        <v>192.951315017648</v>
      </c>
      <c r="F134" s="3">
        <f t="shared" si="16"/>
        <v>0</v>
      </c>
      <c r="G134" s="3">
        <f t="shared" si="17"/>
        <v>0</v>
      </c>
      <c r="H134" s="3">
        <f t="shared" si="18"/>
        <v>0</v>
      </c>
      <c r="I134" s="3">
        <f t="shared" si="19"/>
        <v>0</v>
      </c>
      <c r="J134" s="3">
        <f t="shared" si="20"/>
        <v>0</v>
      </c>
      <c r="K134" s="3">
        <f t="shared" si="21"/>
        <v>0</v>
      </c>
      <c r="L134" s="3">
        <f t="shared" si="22"/>
        <v>0</v>
      </c>
      <c r="M134" s="3">
        <f t="shared" si="23"/>
        <v>0</v>
      </c>
    </row>
    <row r="135" spans="3:13" x14ac:dyDescent="0.25">
      <c r="C135" s="3">
        <v>93</v>
      </c>
      <c r="D135" s="3">
        <f t="shared" si="14"/>
        <v>41.936254094944175</v>
      </c>
      <c r="E135" s="3">
        <f t="shared" si="15"/>
        <v>189.2007823363758</v>
      </c>
      <c r="F135" s="3">
        <f t="shared" si="16"/>
        <v>1146.4358816342121</v>
      </c>
      <c r="G135" s="3">
        <f t="shared" si="17"/>
        <v>0</v>
      </c>
      <c r="H135" s="3">
        <f t="shared" si="18"/>
        <v>0</v>
      </c>
      <c r="I135" s="3">
        <f t="shared" si="19"/>
        <v>0</v>
      </c>
      <c r="J135" s="3">
        <f t="shared" si="20"/>
        <v>0</v>
      </c>
      <c r="K135" s="3">
        <f t="shared" si="21"/>
        <v>0</v>
      </c>
      <c r="L135" s="3">
        <f t="shared" si="22"/>
        <v>0</v>
      </c>
      <c r="M135" s="3">
        <f t="shared" si="23"/>
        <v>0</v>
      </c>
    </row>
    <row r="136" spans="3:13" x14ac:dyDescent="0.25">
      <c r="C136" s="3">
        <v>94</v>
      </c>
      <c r="D136" s="3">
        <f t="shared" si="14"/>
        <v>43.919598620300121</v>
      </c>
      <c r="E136" s="3">
        <f t="shared" si="15"/>
        <v>208.25117516237404</v>
      </c>
      <c r="F136" s="3">
        <f t="shared" si="16"/>
        <v>0</v>
      </c>
      <c r="G136" s="3">
        <f t="shared" si="17"/>
        <v>0</v>
      </c>
      <c r="H136" s="3">
        <f t="shared" si="18"/>
        <v>0</v>
      </c>
      <c r="I136" s="3">
        <f t="shared" si="19"/>
        <v>0</v>
      </c>
      <c r="J136" s="3">
        <f t="shared" si="20"/>
        <v>0</v>
      </c>
      <c r="K136" s="3">
        <f t="shared" si="21"/>
        <v>0</v>
      </c>
      <c r="L136" s="3">
        <f t="shared" si="22"/>
        <v>0</v>
      </c>
      <c r="M136" s="3">
        <f t="shared" si="23"/>
        <v>0</v>
      </c>
    </row>
    <row r="137" spans="3:13" x14ac:dyDescent="0.25">
      <c r="C137" s="3">
        <v>95</v>
      </c>
      <c r="D137" s="3">
        <f t="shared" si="14"/>
        <v>45.862687022915424</v>
      </c>
      <c r="E137" s="3">
        <f t="shared" si="15"/>
        <v>204.02428227460669</v>
      </c>
      <c r="F137" s="3">
        <f t="shared" si="16"/>
        <v>0</v>
      </c>
      <c r="G137" s="3">
        <f t="shared" si="17"/>
        <v>0</v>
      </c>
      <c r="H137" s="3">
        <f t="shared" si="18"/>
        <v>0</v>
      </c>
      <c r="I137" s="3">
        <f t="shared" si="19"/>
        <v>0</v>
      </c>
      <c r="J137" s="3">
        <f t="shared" si="20"/>
        <v>0</v>
      </c>
      <c r="K137" s="3">
        <f t="shared" si="21"/>
        <v>0</v>
      </c>
      <c r="L137" s="3">
        <f t="shared" si="22"/>
        <v>0</v>
      </c>
      <c r="M137" s="3">
        <f t="shared" si="23"/>
        <v>0</v>
      </c>
    </row>
    <row r="138" spans="3:13" x14ac:dyDescent="0.25">
      <c r="C138" s="3">
        <v>96</v>
      </c>
      <c r="D138" s="3">
        <f t="shared" si="14"/>
        <v>47.766697811567646</v>
      </c>
      <c r="E138" s="3">
        <f t="shared" si="15"/>
        <v>199.92113280848264</v>
      </c>
      <c r="F138" s="3">
        <f t="shared" si="16"/>
        <v>0</v>
      </c>
      <c r="G138" s="3">
        <f t="shared" si="17"/>
        <v>0</v>
      </c>
      <c r="H138" s="3">
        <f t="shared" si="18"/>
        <v>0</v>
      </c>
      <c r="I138" s="3">
        <f t="shared" si="19"/>
        <v>0</v>
      </c>
      <c r="J138" s="3">
        <f t="shared" si="20"/>
        <v>0</v>
      </c>
      <c r="K138" s="3">
        <f t="shared" si="21"/>
        <v>0</v>
      </c>
      <c r="L138" s="3">
        <f t="shared" si="22"/>
        <v>0</v>
      </c>
      <c r="M138" s="3">
        <f t="shared" si="23"/>
        <v>0</v>
      </c>
    </row>
    <row r="139" spans="3:13" x14ac:dyDescent="0.25">
      <c r="C139" s="3">
        <v>97</v>
      </c>
      <c r="D139" s="3">
        <f t="shared" si="14"/>
        <v>49.632830435636627</v>
      </c>
      <c r="E139" s="3">
        <f t="shared" si="15"/>
        <v>195.94392552724347</v>
      </c>
      <c r="F139" s="3">
        <f t="shared" si="16"/>
        <v>0</v>
      </c>
      <c r="G139" s="3">
        <f t="shared" si="17"/>
        <v>0</v>
      </c>
      <c r="H139" s="3">
        <f t="shared" si="18"/>
        <v>0</v>
      </c>
      <c r="I139" s="3">
        <f t="shared" si="19"/>
        <v>0</v>
      </c>
      <c r="J139" s="3">
        <f t="shared" si="20"/>
        <v>0</v>
      </c>
      <c r="K139" s="3">
        <f t="shared" si="21"/>
        <v>0</v>
      </c>
      <c r="L139" s="3">
        <f t="shared" si="22"/>
        <v>0</v>
      </c>
      <c r="M139" s="3">
        <f t="shared" si="23"/>
        <v>0</v>
      </c>
    </row>
    <row r="140" spans="3:13" x14ac:dyDescent="0.25">
      <c r="C140" s="3">
        <v>98</v>
      </c>
      <c r="D140" s="3">
        <f t="shared" si="14"/>
        <v>40.543861331892707</v>
      </c>
      <c r="E140" s="3">
        <f t="shared" si="15"/>
        <v>192.09412574109928</v>
      </c>
      <c r="F140" s="3">
        <f t="shared" si="16"/>
        <v>1146.4358816342121</v>
      </c>
      <c r="G140" s="3">
        <f t="shared" si="17"/>
        <v>0</v>
      </c>
      <c r="H140" s="3">
        <f t="shared" si="18"/>
        <v>0</v>
      </c>
      <c r="I140" s="3">
        <f t="shared" si="19"/>
        <v>0</v>
      </c>
      <c r="J140" s="3">
        <f t="shared" si="20"/>
        <v>0</v>
      </c>
      <c r="K140" s="3">
        <f t="shared" si="21"/>
        <v>0</v>
      </c>
      <c r="L140" s="3">
        <f t="shared" si="22"/>
        <v>0</v>
      </c>
      <c r="M140" s="3">
        <f t="shared" si="23"/>
        <v>0</v>
      </c>
    </row>
    <row r="141" spans="3:13" x14ac:dyDescent="0.25">
      <c r="C141" s="3">
        <v>99</v>
      </c>
      <c r="D141" s="3">
        <f t="shared" si="14"/>
        <v>42.555651088029734</v>
      </c>
      <c r="E141" s="3">
        <f t="shared" si="15"/>
        <v>211.23792439438782</v>
      </c>
      <c r="F141" s="3">
        <f t="shared" si="16"/>
        <v>0</v>
      </c>
      <c r="G141" s="3">
        <f t="shared" si="17"/>
        <v>0</v>
      </c>
      <c r="H141" s="3">
        <f t="shared" si="18"/>
        <v>0</v>
      </c>
      <c r="I141" s="3">
        <f t="shared" si="19"/>
        <v>0</v>
      </c>
      <c r="J141" s="3">
        <f t="shared" si="20"/>
        <v>0</v>
      </c>
      <c r="K141" s="3">
        <f t="shared" si="21"/>
        <v>0</v>
      </c>
      <c r="L141" s="3">
        <f t="shared" si="22"/>
        <v>0</v>
      </c>
      <c r="M141" s="3">
        <f t="shared" si="23"/>
        <v>0</v>
      </c>
    </row>
    <row r="142" spans="3:13" x14ac:dyDescent="0.25">
      <c r="C142" s="3">
        <v>100</v>
      </c>
      <c r="D142" s="3">
        <f t="shared" si="14"/>
        <v>44.526387988858765</v>
      </c>
      <c r="E142" s="3">
        <f t="shared" si="15"/>
        <v>206.92737458704863</v>
      </c>
      <c r="F142" s="3">
        <f t="shared" si="16"/>
        <v>0</v>
      </c>
      <c r="G142" s="3">
        <f t="shared" si="17"/>
        <v>0</v>
      </c>
      <c r="H142" s="3">
        <f t="shared" si="18"/>
        <v>0</v>
      </c>
      <c r="I142" s="3">
        <f t="shared" si="19"/>
        <v>0</v>
      </c>
      <c r="J142" s="3">
        <f t="shared" si="20"/>
        <v>0</v>
      </c>
      <c r="K142" s="3">
        <f t="shared" si="21"/>
        <v>0</v>
      </c>
      <c r="L142" s="3">
        <f t="shared" si="22"/>
        <v>0</v>
      </c>
      <c r="M142" s="3">
        <f t="shared" si="23"/>
        <v>0</v>
      </c>
    </row>
    <row r="143" spans="3:13" x14ac:dyDescent="0.25">
      <c r="C143" s="3">
        <v>101</v>
      </c>
      <c r="D143" s="3">
        <f t="shared" si="14"/>
        <v>46.457231514280011</v>
      </c>
      <c r="E143" s="3">
        <f t="shared" si="15"/>
        <v>202.73857016923105</v>
      </c>
      <c r="F143" s="3">
        <f t="shared" si="16"/>
        <v>0</v>
      </c>
      <c r="G143" s="3">
        <f t="shared" si="17"/>
        <v>0</v>
      </c>
      <c r="H143" s="3">
        <f t="shared" si="18"/>
        <v>0</v>
      </c>
      <c r="I143" s="3">
        <f t="shared" si="19"/>
        <v>0</v>
      </c>
      <c r="J143" s="3">
        <f t="shared" si="20"/>
        <v>0</v>
      </c>
      <c r="K143" s="3">
        <f t="shared" si="21"/>
        <v>0</v>
      </c>
      <c r="L143" s="3">
        <f t="shared" si="22"/>
        <v>0</v>
      </c>
      <c r="M143" s="3">
        <f t="shared" si="23"/>
        <v>0</v>
      </c>
    </row>
    <row r="144" spans="3:13" x14ac:dyDescent="0.25">
      <c r="C144" s="3">
        <v>102</v>
      </c>
      <c r="D144" s="3">
        <f t="shared" si="14"/>
        <v>48.349367471416251</v>
      </c>
      <c r="E144" s="3">
        <f t="shared" si="15"/>
        <v>198.67427549930488</v>
      </c>
      <c r="F144" s="3">
        <f t="shared" si="16"/>
        <v>0</v>
      </c>
      <c r="G144" s="3">
        <f t="shared" si="17"/>
        <v>0</v>
      </c>
      <c r="H144" s="3">
        <f t="shared" si="18"/>
        <v>0</v>
      </c>
      <c r="I144" s="3">
        <f t="shared" si="19"/>
        <v>0</v>
      </c>
      <c r="J144" s="3">
        <f t="shared" si="20"/>
        <v>0</v>
      </c>
      <c r="K144" s="3">
        <f t="shared" si="21"/>
        <v>0</v>
      </c>
      <c r="L144" s="3">
        <f t="shared" si="22"/>
        <v>0</v>
      </c>
      <c r="M144" s="3">
        <f t="shared" si="23"/>
        <v>0</v>
      </c>
    </row>
    <row r="145" spans="3:13" x14ac:dyDescent="0.25">
      <c r="C145" s="3">
        <v>103</v>
      </c>
      <c r="D145" s="3">
        <f t="shared" si="14"/>
        <v>39.285563372579091</v>
      </c>
      <c r="E145" s="3">
        <f t="shared" si="15"/>
        <v>194.73645125630992</v>
      </c>
      <c r="F145" s="3">
        <f t="shared" si="16"/>
        <v>1146.4358816342121</v>
      </c>
      <c r="G145" s="3">
        <f t="shared" si="17"/>
        <v>0</v>
      </c>
      <c r="H145" s="3">
        <f t="shared" si="18"/>
        <v>0</v>
      </c>
      <c r="I145" s="3">
        <f t="shared" si="19"/>
        <v>0</v>
      </c>
      <c r="J145" s="3">
        <f t="shared" si="20"/>
        <v>0</v>
      </c>
      <c r="K145" s="3">
        <f t="shared" si="21"/>
        <v>0</v>
      </c>
      <c r="L145" s="3">
        <f t="shared" si="22"/>
        <v>0</v>
      </c>
      <c r="M145" s="3">
        <f t="shared" si="23"/>
        <v>0</v>
      </c>
    </row>
    <row r="146" spans="3:13" x14ac:dyDescent="0.25">
      <c r="C146" s="3">
        <v>104</v>
      </c>
      <c r="D146" s="3">
        <f t="shared" si="14"/>
        <v>41.323165206252149</v>
      </c>
      <c r="E146" s="3">
        <f t="shared" si="15"/>
        <v>213.94819253567155</v>
      </c>
      <c r="F146" s="3">
        <f t="shared" si="16"/>
        <v>0</v>
      </c>
      <c r="G146" s="3">
        <f t="shared" si="17"/>
        <v>0</v>
      </c>
      <c r="H146" s="3">
        <f t="shared" si="18"/>
        <v>0</v>
      </c>
      <c r="I146" s="3">
        <f t="shared" si="19"/>
        <v>0</v>
      </c>
      <c r="J146" s="3">
        <f t="shared" si="20"/>
        <v>0</v>
      </c>
      <c r="K146" s="3">
        <f t="shared" si="21"/>
        <v>0</v>
      </c>
      <c r="L146" s="3">
        <f t="shared" si="22"/>
        <v>0</v>
      </c>
      <c r="M146" s="3">
        <f t="shared" si="23"/>
        <v>0</v>
      </c>
    </row>
    <row r="147" spans="3:13" x14ac:dyDescent="0.25">
      <c r="C147" s="3">
        <v>105</v>
      </c>
      <c r="D147" s="3">
        <f t="shared" si="14"/>
        <v>43.319017801176905</v>
      </c>
      <c r="E147" s="3">
        <f t="shared" si="15"/>
        <v>209.56452246709966</v>
      </c>
      <c r="F147" s="3">
        <f t="shared" si="16"/>
        <v>0</v>
      </c>
      <c r="G147" s="3">
        <f t="shared" si="17"/>
        <v>0</v>
      </c>
      <c r="H147" s="3">
        <f t="shared" si="18"/>
        <v>0</v>
      </c>
      <c r="I147" s="3">
        <f t="shared" si="19"/>
        <v>0</v>
      </c>
      <c r="J147" s="3">
        <f t="shared" si="20"/>
        <v>0</v>
      </c>
      <c r="K147" s="3">
        <f t="shared" si="21"/>
        <v>0</v>
      </c>
      <c r="L147" s="3">
        <f t="shared" si="22"/>
        <v>0</v>
      </c>
      <c r="M147" s="3">
        <f t="shared" si="23"/>
        <v>0</v>
      </c>
    </row>
    <row r="148" spans="3:13" x14ac:dyDescent="0.25">
      <c r="C148" s="3">
        <v>106</v>
      </c>
      <c r="D148" s="3">
        <f t="shared" si="14"/>
        <v>45.274260197469204</v>
      </c>
      <c r="E148" s="3">
        <f t="shared" si="15"/>
        <v>205.30045161069108</v>
      </c>
      <c r="F148" s="3">
        <f t="shared" si="16"/>
        <v>0</v>
      </c>
      <c r="G148" s="3">
        <f t="shared" si="17"/>
        <v>0</v>
      </c>
      <c r="H148" s="3">
        <f t="shared" si="18"/>
        <v>0</v>
      </c>
      <c r="I148" s="3">
        <f t="shared" si="19"/>
        <v>0</v>
      </c>
      <c r="J148" s="3">
        <f t="shared" si="20"/>
        <v>0</v>
      </c>
      <c r="K148" s="3">
        <f t="shared" si="21"/>
        <v>0</v>
      </c>
      <c r="L148" s="3">
        <f t="shared" si="22"/>
        <v>0</v>
      </c>
      <c r="M148" s="3">
        <f t="shared" si="23"/>
        <v>0</v>
      </c>
    </row>
    <row r="149" spans="3:13" x14ac:dyDescent="0.25">
      <c r="C149" s="3">
        <v>107</v>
      </c>
      <c r="D149" s="3">
        <f t="shared" si="14"/>
        <v>47.190062979112234</v>
      </c>
      <c r="E149" s="3">
        <f t="shared" si="15"/>
        <v>201.15929207251781</v>
      </c>
      <c r="F149" s="3">
        <f t="shared" si="16"/>
        <v>0</v>
      </c>
      <c r="G149" s="3">
        <f t="shared" si="17"/>
        <v>0</v>
      </c>
      <c r="H149" s="3">
        <f t="shared" si="18"/>
        <v>0</v>
      </c>
      <c r="I149" s="3">
        <f t="shared" si="19"/>
        <v>0</v>
      </c>
      <c r="J149" s="3">
        <f t="shared" si="20"/>
        <v>0</v>
      </c>
      <c r="K149" s="3">
        <f t="shared" si="21"/>
        <v>0</v>
      </c>
      <c r="L149" s="3">
        <f t="shared" si="22"/>
        <v>0</v>
      </c>
      <c r="M149" s="3">
        <f t="shared" si="23"/>
        <v>0</v>
      </c>
    </row>
    <row r="150" spans="3:13" x14ac:dyDescent="0.25">
      <c r="C150" s="3">
        <v>108</v>
      </c>
      <c r="D150" s="3">
        <f t="shared" si="14"/>
        <v>38.149183024940221</v>
      </c>
      <c r="E150" s="3">
        <f t="shared" si="15"/>
        <v>197.14348644615038</v>
      </c>
      <c r="F150" s="3">
        <f t="shared" si="16"/>
        <v>1146.4358816342121</v>
      </c>
      <c r="G150" s="3">
        <f t="shared" si="17"/>
        <v>0</v>
      </c>
      <c r="H150" s="3">
        <f t="shared" si="18"/>
        <v>0</v>
      </c>
      <c r="I150" s="3">
        <f t="shared" si="19"/>
        <v>0</v>
      </c>
      <c r="J150" s="3">
        <f t="shared" si="20"/>
        <v>0</v>
      </c>
      <c r="K150" s="3">
        <f t="shared" si="21"/>
        <v>0</v>
      </c>
      <c r="L150" s="3">
        <f t="shared" si="22"/>
        <v>0</v>
      </c>
      <c r="M150" s="3">
        <f t="shared" si="23"/>
        <v>0</v>
      </c>
    </row>
    <row r="151" spans="3:13" x14ac:dyDescent="0.25">
      <c r="C151" s="3">
        <v>109</v>
      </c>
      <c r="D151" s="3">
        <f t="shared" si="14"/>
        <v>40.210166627612885</v>
      </c>
      <c r="E151" s="3">
        <f t="shared" si="15"/>
        <v>216.40327828063005</v>
      </c>
      <c r="F151" s="3">
        <f t="shared" si="16"/>
        <v>0</v>
      </c>
      <c r="G151" s="3">
        <f t="shared" si="17"/>
        <v>0</v>
      </c>
      <c r="H151" s="3">
        <f t="shared" si="18"/>
        <v>0</v>
      </c>
      <c r="I151" s="3">
        <f t="shared" si="19"/>
        <v>0</v>
      </c>
      <c r="J151" s="3">
        <f t="shared" si="20"/>
        <v>0</v>
      </c>
      <c r="K151" s="3">
        <f t="shared" si="21"/>
        <v>0</v>
      </c>
      <c r="L151" s="3">
        <f t="shared" si="22"/>
        <v>0</v>
      </c>
      <c r="M151" s="3">
        <f t="shared" si="23"/>
        <v>0</v>
      </c>
    </row>
    <row r="152" spans="3:13" x14ac:dyDescent="0.25">
      <c r="C152" s="3">
        <v>110</v>
      </c>
      <c r="D152" s="3">
        <f t="shared" si="14"/>
        <v>42.228792624568044</v>
      </c>
      <c r="E152" s="3">
        <f t="shared" si="15"/>
        <v>211.95572968029131</v>
      </c>
      <c r="F152" s="3">
        <f t="shared" si="16"/>
        <v>0</v>
      </c>
      <c r="G152" s="3">
        <f t="shared" si="17"/>
        <v>0</v>
      </c>
      <c r="H152" s="3">
        <f t="shared" si="18"/>
        <v>0</v>
      </c>
      <c r="I152" s="3">
        <f t="shared" si="19"/>
        <v>0</v>
      </c>
      <c r="J152" s="3">
        <f t="shared" si="20"/>
        <v>0</v>
      </c>
      <c r="K152" s="3">
        <f t="shared" si="21"/>
        <v>0</v>
      </c>
      <c r="L152" s="3">
        <f t="shared" si="22"/>
        <v>0</v>
      </c>
      <c r="M152" s="3">
        <f t="shared" si="23"/>
        <v>0</v>
      </c>
    </row>
    <row r="153" spans="3:13" x14ac:dyDescent="0.25">
      <c r="C153" s="3">
        <v>111</v>
      </c>
      <c r="D153" s="3">
        <f t="shared" si="14"/>
        <v>44.206178838206341</v>
      </c>
      <c r="E153" s="3">
        <f t="shared" si="15"/>
        <v>207.62555243202087</v>
      </c>
      <c r="F153" s="3">
        <f t="shared" si="16"/>
        <v>0</v>
      </c>
      <c r="G153" s="3">
        <f t="shared" si="17"/>
        <v>0</v>
      </c>
      <c r="H153" s="3">
        <f t="shared" si="18"/>
        <v>0</v>
      </c>
      <c r="I153" s="3">
        <f t="shared" si="19"/>
        <v>0</v>
      </c>
      <c r="J153" s="3">
        <f t="shared" si="20"/>
        <v>0</v>
      </c>
      <c r="K153" s="3">
        <f t="shared" si="21"/>
        <v>0</v>
      </c>
      <c r="L153" s="3">
        <f t="shared" si="22"/>
        <v>0</v>
      </c>
      <c r="M153" s="3">
        <f t="shared" si="23"/>
        <v>0</v>
      </c>
    </row>
    <row r="154" spans="3:13" x14ac:dyDescent="0.25">
      <c r="C154" s="3">
        <v>112</v>
      </c>
      <c r="D154" s="3">
        <f t="shared" si="14"/>
        <v>46.143479633780942</v>
      </c>
      <c r="E154" s="3">
        <f t="shared" si="15"/>
        <v>203.41658353533333</v>
      </c>
      <c r="F154" s="3">
        <f t="shared" si="16"/>
        <v>0</v>
      </c>
      <c r="G154" s="3">
        <f t="shared" si="17"/>
        <v>0</v>
      </c>
      <c r="H154" s="3">
        <f t="shared" si="18"/>
        <v>0</v>
      </c>
      <c r="I154" s="3">
        <f t="shared" si="19"/>
        <v>0</v>
      </c>
      <c r="J154" s="3">
        <f t="shared" si="20"/>
        <v>0</v>
      </c>
      <c r="K154" s="3">
        <f t="shared" si="21"/>
        <v>0</v>
      </c>
      <c r="L154" s="3">
        <f t="shared" si="22"/>
        <v>0</v>
      </c>
      <c r="M154" s="3">
        <f t="shared" si="23"/>
        <v>0</v>
      </c>
    </row>
    <row r="155" spans="3:13" x14ac:dyDescent="0.25">
      <c r="C155" s="3">
        <v>113</v>
      </c>
      <c r="D155" s="3">
        <f t="shared" si="14"/>
        <v>37.123440086803178</v>
      </c>
      <c r="E155" s="3">
        <f t="shared" si="15"/>
        <v>199.33172920154612</v>
      </c>
      <c r="F155" s="3">
        <f t="shared" si="16"/>
        <v>1146.4358816342121</v>
      </c>
      <c r="G155" s="3">
        <f t="shared" si="17"/>
        <v>0</v>
      </c>
      <c r="H155" s="3">
        <f t="shared" si="18"/>
        <v>0</v>
      </c>
      <c r="I155" s="3">
        <f t="shared" si="19"/>
        <v>0</v>
      </c>
      <c r="J155" s="3">
        <f t="shared" si="20"/>
        <v>0</v>
      </c>
      <c r="K155" s="3">
        <f t="shared" si="21"/>
        <v>0</v>
      </c>
      <c r="L155" s="3">
        <f t="shared" si="22"/>
        <v>0</v>
      </c>
      <c r="M155" s="3">
        <f t="shared" si="23"/>
        <v>0</v>
      </c>
    </row>
    <row r="156" spans="3:13" x14ac:dyDescent="0.25">
      <c r="C156" s="3">
        <v>114</v>
      </c>
      <c r="D156" s="3">
        <f t="shared" si="14"/>
        <v>39.205574775794609</v>
      </c>
      <c r="E156" s="3">
        <f t="shared" si="15"/>
        <v>218.62414234410031</v>
      </c>
      <c r="F156" s="3">
        <f t="shared" si="16"/>
        <v>0</v>
      </c>
      <c r="G156" s="3">
        <f t="shared" si="17"/>
        <v>0</v>
      </c>
      <c r="H156" s="3">
        <f t="shared" si="18"/>
        <v>0</v>
      </c>
      <c r="I156" s="3">
        <f t="shared" si="19"/>
        <v>0</v>
      </c>
      <c r="J156" s="3">
        <f t="shared" si="20"/>
        <v>0</v>
      </c>
      <c r="K156" s="3">
        <f t="shared" si="21"/>
        <v>0</v>
      </c>
      <c r="L156" s="3">
        <f t="shared" si="22"/>
        <v>0</v>
      </c>
      <c r="M156" s="3">
        <f t="shared" si="23"/>
        <v>0</v>
      </c>
    </row>
    <row r="157" spans="3:13" x14ac:dyDescent="0.25">
      <c r="C157" s="3">
        <v>115</v>
      </c>
      <c r="D157" s="3">
        <f t="shared" si="14"/>
        <v>41.244820409713441</v>
      </c>
      <c r="E157" s="3">
        <f t="shared" si="15"/>
        <v>214.12079156147701</v>
      </c>
      <c r="F157" s="3">
        <f t="shared" si="16"/>
        <v>0</v>
      </c>
      <c r="G157" s="3">
        <f t="shared" si="17"/>
        <v>0</v>
      </c>
      <c r="H157" s="3">
        <f t="shared" si="18"/>
        <v>0</v>
      </c>
      <c r="I157" s="3">
        <f t="shared" si="19"/>
        <v>0</v>
      </c>
      <c r="J157" s="3">
        <f t="shared" si="20"/>
        <v>0</v>
      </c>
      <c r="K157" s="3">
        <f t="shared" si="21"/>
        <v>0</v>
      </c>
      <c r="L157" s="3">
        <f t="shared" si="22"/>
        <v>0</v>
      </c>
      <c r="M157" s="3">
        <f t="shared" si="23"/>
        <v>0</v>
      </c>
    </row>
    <row r="158" spans="3:13" x14ac:dyDescent="0.25">
      <c r="C158" s="3">
        <v>116</v>
      </c>
      <c r="D158" s="3">
        <f t="shared" si="14"/>
        <v>43.242273330648146</v>
      </c>
      <c r="E158" s="3">
        <f t="shared" si="15"/>
        <v>209.7325566981448</v>
      </c>
      <c r="F158" s="3">
        <f t="shared" si="16"/>
        <v>0</v>
      </c>
      <c r="G158" s="3">
        <f t="shared" si="17"/>
        <v>0</v>
      </c>
      <c r="H158" s="3">
        <f t="shared" si="18"/>
        <v>0</v>
      </c>
      <c r="I158" s="3">
        <f t="shared" si="19"/>
        <v>0</v>
      </c>
      <c r="J158" s="3">
        <f t="shared" si="20"/>
        <v>0</v>
      </c>
      <c r="K158" s="3">
        <f t="shared" si="21"/>
        <v>0</v>
      </c>
      <c r="L158" s="3">
        <f t="shared" si="22"/>
        <v>0</v>
      </c>
      <c r="M158" s="3">
        <f t="shared" si="23"/>
        <v>0</v>
      </c>
    </row>
    <row r="159" spans="3:13" x14ac:dyDescent="0.25">
      <c r="C159" s="3">
        <v>117</v>
      </c>
      <c r="D159" s="3">
        <f t="shared" si="14"/>
        <v>45.199071172085574</v>
      </c>
      <c r="E159" s="3">
        <f t="shared" si="15"/>
        <v>205.46377335092947</v>
      </c>
      <c r="F159" s="3">
        <f t="shared" si="16"/>
        <v>0</v>
      </c>
      <c r="G159" s="3">
        <f t="shared" si="17"/>
        <v>0</v>
      </c>
      <c r="H159" s="3">
        <f t="shared" si="18"/>
        <v>0</v>
      </c>
      <c r="I159" s="3">
        <f t="shared" si="19"/>
        <v>0</v>
      </c>
      <c r="J159" s="3">
        <f t="shared" si="20"/>
        <v>0</v>
      </c>
      <c r="K159" s="3">
        <f t="shared" si="21"/>
        <v>0</v>
      </c>
      <c r="L159" s="3">
        <f t="shared" si="22"/>
        <v>0</v>
      </c>
      <c r="M159" s="3">
        <f t="shared" si="23"/>
        <v>0</v>
      </c>
    </row>
    <row r="160" spans="3:13" x14ac:dyDescent="0.25">
      <c r="C160" s="3">
        <v>118</v>
      </c>
      <c r="D160" s="3">
        <f t="shared" si="14"/>
        <v>36.197946486342111</v>
      </c>
      <c r="E160" s="3">
        <f t="shared" si="15"/>
        <v>201.31778963114829</v>
      </c>
      <c r="F160" s="3">
        <f t="shared" si="16"/>
        <v>1146.4358816342121</v>
      </c>
      <c r="G160" s="3">
        <f t="shared" si="17"/>
        <v>0</v>
      </c>
      <c r="H160" s="3">
        <f t="shared" si="18"/>
        <v>0</v>
      </c>
      <c r="I160" s="3">
        <f t="shared" si="19"/>
        <v>0</v>
      </c>
      <c r="J160" s="3">
        <f t="shared" si="20"/>
        <v>0</v>
      </c>
      <c r="K160" s="3">
        <f t="shared" si="21"/>
        <v>0</v>
      </c>
      <c r="L160" s="3">
        <f t="shared" si="22"/>
        <v>0</v>
      </c>
      <c r="M160" s="3">
        <f t="shared" si="23"/>
        <v>0</v>
      </c>
    </row>
    <row r="161" spans="3:13" x14ac:dyDescent="0.25">
      <c r="C161" s="3">
        <v>119</v>
      </c>
      <c r="D161" s="3">
        <f t="shared" si="14"/>
        <v>38.299193661159563</v>
      </c>
      <c r="E161" s="3">
        <f t="shared" si="15"/>
        <v>220.63095335583259</v>
      </c>
      <c r="F161" s="3">
        <f t="shared" si="16"/>
        <v>0</v>
      </c>
      <c r="G161" s="3">
        <f t="shared" si="17"/>
        <v>0</v>
      </c>
      <c r="H161" s="3">
        <f t="shared" si="18"/>
        <v>0</v>
      </c>
      <c r="I161" s="3">
        <f t="shared" si="19"/>
        <v>0</v>
      </c>
      <c r="J161" s="3">
        <f t="shared" si="20"/>
        <v>0</v>
      </c>
      <c r="K161" s="3">
        <f t="shared" si="21"/>
        <v>0</v>
      </c>
      <c r="L161" s="3">
        <f t="shared" si="22"/>
        <v>0</v>
      </c>
      <c r="M161" s="3">
        <f t="shared" si="23"/>
        <v>0</v>
      </c>
    </row>
    <row r="162" spans="3:13" x14ac:dyDescent="0.25">
      <c r="C162" s="3">
        <v>120</v>
      </c>
      <c r="D162" s="3">
        <f t="shared" si="14"/>
        <v>40.357087373113202</v>
      </c>
      <c r="E162" s="3">
        <f t="shared" si="15"/>
        <v>216.07883975513275</v>
      </c>
      <c r="F162" s="3">
        <f t="shared" si="16"/>
        <v>0</v>
      </c>
      <c r="G162" s="3">
        <f t="shared" si="17"/>
        <v>0</v>
      </c>
      <c r="H162" s="3">
        <f t="shared" si="18"/>
        <v>0</v>
      </c>
      <c r="I162" s="3">
        <f t="shared" si="19"/>
        <v>0</v>
      </c>
      <c r="J162" s="3">
        <f t="shared" si="20"/>
        <v>0</v>
      </c>
      <c r="K162" s="3">
        <f t="shared" si="21"/>
        <v>0</v>
      </c>
      <c r="L162" s="3">
        <f t="shared" si="22"/>
        <v>0</v>
      </c>
      <c r="M162" s="3">
        <f t="shared" si="23"/>
        <v>0</v>
      </c>
    </row>
    <row r="163" spans="3:13" x14ac:dyDescent="0.25">
      <c r="C163" s="3">
        <v>121</v>
      </c>
      <c r="D163" s="3">
        <f t="shared" si="14"/>
        <v>42.372702629990613</v>
      </c>
      <c r="E163" s="3">
        <f t="shared" si="15"/>
        <v>211.63960197212825</v>
      </c>
      <c r="F163" s="3">
        <f t="shared" si="16"/>
        <v>0</v>
      </c>
      <c r="G163" s="3">
        <f t="shared" si="17"/>
        <v>0</v>
      </c>
      <c r="H163" s="3">
        <f t="shared" si="18"/>
        <v>0</v>
      </c>
      <c r="I163" s="3">
        <f t="shared" si="19"/>
        <v>0</v>
      </c>
      <c r="J163" s="3">
        <f t="shared" si="20"/>
        <v>0</v>
      </c>
      <c r="K163" s="3">
        <f t="shared" si="21"/>
        <v>0</v>
      </c>
      <c r="L163" s="3">
        <f t="shared" si="22"/>
        <v>0</v>
      </c>
      <c r="M163" s="3">
        <f t="shared" si="23"/>
        <v>0</v>
      </c>
    </row>
    <row r="164" spans="3:13" x14ac:dyDescent="0.25">
      <c r="C164" s="3">
        <v>122</v>
      </c>
      <c r="D164" s="3">
        <f t="shared" si="14"/>
        <v>44.347160208612969</v>
      </c>
      <c r="E164" s="3">
        <f t="shared" si="15"/>
        <v>207.31804575534827</v>
      </c>
      <c r="F164" s="3">
        <f t="shared" si="16"/>
        <v>0</v>
      </c>
      <c r="G164" s="3">
        <f t="shared" si="17"/>
        <v>0</v>
      </c>
      <c r="H164" s="3">
        <f t="shared" si="18"/>
        <v>0</v>
      </c>
      <c r="I164" s="3">
        <f t="shared" si="19"/>
        <v>0</v>
      </c>
      <c r="J164" s="3">
        <f t="shared" si="20"/>
        <v>0</v>
      </c>
      <c r="K164" s="3">
        <f t="shared" si="21"/>
        <v>0</v>
      </c>
      <c r="L164" s="3">
        <f t="shared" si="22"/>
        <v>0</v>
      </c>
      <c r="M164" s="3">
        <f t="shared" si="23"/>
        <v>0</v>
      </c>
    </row>
    <row r="165" spans="3:13" x14ac:dyDescent="0.25">
      <c r="C165" s="3">
        <v>123</v>
      </c>
      <c r="D165" s="3">
        <f t="shared" si="14"/>
        <v>35.363179785075438</v>
      </c>
      <c r="E165" s="3">
        <f t="shared" si="15"/>
        <v>203.11793716277069</v>
      </c>
      <c r="F165" s="3">
        <f t="shared" si="16"/>
        <v>1146.4358816342121</v>
      </c>
      <c r="G165" s="3">
        <f t="shared" si="17"/>
        <v>0</v>
      </c>
      <c r="H165" s="3">
        <f t="shared" si="18"/>
        <v>0</v>
      </c>
      <c r="I165" s="3">
        <f t="shared" si="19"/>
        <v>0</v>
      </c>
      <c r="J165" s="3">
        <f t="shared" si="20"/>
        <v>0</v>
      </c>
      <c r="K165" s="3">
        <f t="shared" si="21"/>
        <v>0</v>
      </c>
      <c r="L165" s="3">
        <f t="shared" si="22"/>
        <v>0</v>
      </c>
      <c r="M165" s="3">
        <f t="shared" si="23"/>
        <v>0</v>
      </c>
    </row>
    <row r="166" spans="3:13" x14ac:dyDescent="0.25">
      <c r="C166" s="3">
        <v>124</v>
      </c>
      <c r="D166" s="3">
        <f t="shared" si="14"/>
        <v>37.481682698019526</v>
      </c>
      <c r="E166" s="3">
        <f t="shared" si="15"/>
        <v>222.44280585912946</v>
      </c>
      <c r="F166" s="3">
        <f t="shared" si="16"/>
        <v>0</v>
      </c>
      <c r="G166" s="3">
        <f t="shared" si="17"/>
        <v>0</v>
      </c>
      <c r="H166" s="3">
        <f t="shared" si="18"/>
        <v>0</v>
      </c>
      <c r="I166" s="3">
        <f t="shared" si="19"/>
        <v>0</v>
      </c>
      <c r="J166" s="3">
        <f t="shared" si="20"/>
        <v>0</v>
      </c>
      <c r="K166" s="3">
        <f t="shared" si="21"/>
        <v>0</v>
      </c>
      <c r="L166" s="3">
        <f t="shared" si="22"/>
        <v>0</v>
      </c>
      <c r="M166" s="3">
        <f t="shared" si="23"/>
        <v>0</v>
      </c>
    </row>
    <row r="167" spans="3:13" x14ac:dyDescent="0.25">
      <c r="C167" s="3">
        <v>125</v>
      </c>
      <c r="D167" s="3">
        <f t="shared" si="14"/>
        <v>39.556426069996085</v>
      </c>
      <c r="E167" s="3">
        <f t="shared" si="15"/>
        <v>217.84805405753906</v>
      </c>
      <c r="F167" s="3">
        <f t="shared" si="16"/>
        <v>0</v>
      </c>
      <c r="G167" s="3">
        <f t="shared" si="17"/>
        <v>0</v>
      </c>
      <c r="H167" s="3">
        <f t="shared" si="18"/>
        <v>0</v>
      </c>
      <c r="I167" s="3">
        <f t="shared" si="19"/>
        <v>0</v>
      </c>
      <c r="J167" s="3">
        <f t="shared" si="20"/>
        <v>0</v>
      </c>
      <c r="K167" s="3">
        <f t="shared" si="21"/>
        <v>0</v>
      </c>
      <c r="L167" s="3">
        <f t="shared" si="22"/>
        <v>0</v>
      </c>
      <c r="M167" s="3">
        <f t="shared" si="23"/>
        <v>0</v>
      </c>
    </row>
    <row r="168" spans="3:13" x14ac:dyDescent="0.25">
      <c r="C168" s="3">
        <v>126</v>
      </c>
      <c r="D168" s="3">
        <f t="shared" si="14"/>
        <v>41.588464035482367</v>
      </c>
      <c r="E168" s="3">
        <f t="shared" si="15"/>
        <v>213.36398637605905</v>
      </c>
      <c r="F168" s="3">
        <f t="shared" si="16"/>
        <v>0</v>
      </c>
      <c r="G168" s="3">
        <f t="shared" si="17"/>
        <v>0</v>
      </c>
      <c r="H168" s="3">
        <f t="shared" si="18"/>
        <v>0</v>
      </c>
      <c r="I168" s="3">
        <f t="shared" si="19"/>
        <v>0</v>
      </c>
      <c r="J168" s="3">
        <f t="shared" si="20"/>
        <v>0</v>
      </c>
      <c r="K168" s="3">
        <f t="shared" si="21"/>
        <v>0</v>
      </c>
      <c r="L168" s="3">
        <f t="shared" si="22"/>
        <v>0</v>
      </c>
      <c r="M168" s="3">
        <f t="shared" si="23"/>
        <v>0</v>
      </c>
    </row>
    <row r="169" spans="3:13" x14ac:dyDescent="0.25">
      <c r="C169" s="3">
        <v>127</v>
      </c>
      <c r="D169" s="3">
        <f t="shared" si="14"/>
        <v>43.578900694136394</v>
      </c>
      <c r="E169" s="3">
        <f t="shared" si="15"/>
        <v>208.99584915867351</v>
      </c>
      <c r="F169" s="3">
        <f t="shared" si="16"/>
        <v>0</v>
      </c>
      <c r="G169" s="3">
        <f t="shared" si="17"/>
        <v>0</v>
      </c>
      <c r="H169" s="3">
        <f t="shared" si="18"/>
        <v>0</v>
      </c>
      <c r="I169" s="3">
        <f t="shared" si="19"/>
        <v>0</v>
      </c>
      <c r="J169" s="3">
        <f t="shared" si="20"/>
        <v>0</v>
      </c>
      <c r="K169" s="3">
        <f t="shared" si="21"/>
        <v>0</v>
      </c>
      <c r="L169" s="3">
        <f t="shared" si="22"/>
        <v>0</v>
      </c>
      <c r="M169" s="3">
        <f t="shared" si="23"/>
        <v>0</v>
      </c>
    </row>
    <row r="170" spans="3:13" x14ac:dyDescent="0.25">
      <c r="C170" s="3">
        <v>128</v>
      </c>
      <c r="D170" s="3">
        <f t="shared" si="14"/>
        <v>34.610442785084189</v>
      </c>
      <c r="E170" s="3">
        <f t="shared" si="15"/>
        <v>204.74780118373045</v>
      </c>
      <c r="F170" s="3">
        <f t="shared" si="16"/>
        <v>1146.4358816342121</v>
      </c>
      <c r="G170" s="3">
        <f t="shared" si="17"/>
        <v>0</v>
      </c>
      <c r="H170" s="3">
        <f t="shared" si="18"/>
        <v>0</v>
      </c>
      <c r="I170" s="3">
        <f t="shared" si="19"/>
        <v>0</v>
      </c>
      <c r="J170" s="3">
        <f t="shared" si="20"/>
        <v>0</v>
      </c>
      <c r="K170" s="3">
        <f t="shared" si="21"/>
        <v>0</v>
      </c>
      <c r="L170" s="3">
        <f t="shared" si="22"/>
        <v>0</v>
      </c>
      <c r="M170" s="3">
        <f t="shared" si="23"/>
        <v>0</v>
      </c>
    </row>
    <row r="171" spans="3:13" x14ac:dyDescent="0.25">
      <c r="C171" s="3">
        <v>129</v>
      </c>
      <c r="D171" s="3">
        <f t="shared" si="14"/>
        <v>36.744514808607903</v>
      </c>
      <c r="E171" s="3">
        <f t="shared" si="15"/>
        <v>224.07756246998986</v>
      </c>
      <c r="F171" s="3">
        <f t="shared" si="16"/>
        <v>0</v>
      </c>
      <c r="G171" s="3">
        <f t="shared" si="17"/>
        <v>0</v>
      </c>
      <c r="H171" s="3">
        <f t="shared" si="18"/>
        <v>0</v>
      </c>
      <c r="I171" s="3">
        <f t="shared" si="19"/>
        <v>0</v>
      </c>
      <c r="J171" s="3">
        <f t="shared" si="20"/>
        <v>0</v>
      </c>
      <c r="K171" s="3">
        <f t="shared" si="21"/>
        <v>0</v>
      </c>
      <c r="L171" s="3">
        <f t="shared" si="22"/>
        <v>0</v>
      </c>
      <c r="M171" s="3">
        <f t="shared" si="23"/>
        <v>0</v>
      </c>
    </row>
    <row r="172" spans="3:13" x14ac:dyDescent="0.25">
      <c r="C172" s="3">
        <v>130</v>
      </c>
      <c r="D172" s="3">
        <f t="shared" ref="D172:D192" si="24">MAX((D171*($N$10/IF($B$4, 16.387, 1))+E172-SUM(F172:M172))/($N$10/IF($B$4, 16.387, 1)), 0)</f>
        <v>38.834471908718704</v>
      </c>
      <c r="E172" s="3">
        <f t="shared" ref="E172:E192" si="25">IF(D171&lt;$N$15, $D$40*D171^3+$E$40*D171^2+$F$40*D171+$G$40, 0) * 12^3/60*14.7</f>
        <v>219.44549551163382</v>
      </c>
      <c r="F172" s="3">
        <f t="shared" ref="F172:F192" si="26">IFERROR(IF(AND($C172&gt;=D$15, $C172&lt;=D$16), IF(D$14&gt;1, N(MOD($C172-D$15, D$14)&lt;1), 1/D$14)*PI()*D$9/4*(D$7^2*MIN(D$10, $D171)+(D$7^2-D$8^2)*MIN(D$12, D$42))/IF($B$4, 25.4^3, 1), 0), 0)</f>
        <v>0</v>
      </c>
      <c r="G172" s="3">
        <f t="shared" ref="G172:G192" si="27">IFERROR(IF(AND($C172&gt;=E$15, $C172&lt;=E$16), IF(E$14&gt;1, N(MOD($C172-E$15, E$14)&lt;1), 1/E$14)*PI()*E$9/4*(E$7^2*MIN(E$10, $D171)+(E$7^2-E$8^2)*MIN(E$12, E$42))/IF($B$4, 25.4^3, 1), 0), 0)</f>
        <v>0</v>
      </c>
      <c r="H172" s="3">
        <f t="shared" ref="H172:H192" si="28">IFERROR(IF(AND($C172&gt;=F$15, $C172&lt;=F$16), IF(F$14&gt;1, N(MOD($C172-F$15, F$14)&lt;1), 1/F$14)*PI()*F$9/4*(F$7^2*MIN(F$10, $D171)+(F$7^2-F$8^2)*MIN(F$12, F$42))/IF($B$4, 25.4^3, 1), 0), 0)</f>
        <v>0</v>
      </c>
      <c r="I172" s="3">
        <f t="shared" ref="I172:I192" si="29">IFERROR(IF(AND($C172&gt;=G$15, $C172&lt;=G$16), IF(G$14&gt;1, N(MOD($C172-G$15, G$14)&lt;1), 1/G$14)*PI()*G$9/4*(G$7^2*MIN(G$10, $D171)+(G$7^2-G$8^2)*MIN(G$12, G$42))/IF($B$4, 25.4^3, 1), 0), 0)</f>
        <v>0</v>
      </c>
      <c r="J172" s="3">
        <f t="shared" ref="J172:J192" si="30">IFERROR(IF(AND($C172&gt;=H$15, $C172&lt;=H$16), IF(H$14&gt;1, N(MOD($C172-H$15, H$14)&lt;1), 1/H$14)*PI()*H$9/4*(H$7^2*MIN(H$10, $D171)+(H$7^2-H$8^2)*MIN(H$12, H$42))/IF($B$4, 25.4^3, 1), 0), 0)</f>
        <v>0</v>
      </c>
      <c r="K172" s="3">
        <f t="shared" ref="K172:K192" si="31">IFERROR(IF(AND($C172&gt;=I$15, $C172&lt;=I$16), IF(I$14&gt;1, N(MOD($C172-I$15, I$14)&lt;1), 1/I$14)*PI()*I$9/4*(I$7^2*MIN(I$10, $D171)+(I$7^2-I$8^2)*MIN(I$12, I$42))/IF($B$4, 25.4^3, 1), 0), 0)</f>
        <v>0</v>
      </c>
      <c r="L172" s="3">
        <f t="shared" ref="L172:L192" si="32">IFERROR(IF(AND($C172&gt;=J$15, $C172&lt;=J$16), IF(J$14&gt;1, N(MOD($C172-J$15, J$14)&lt;1), 1/J$14)*PI()*J$9/4*(J$7^2*MIN(J$10, $D171)+(J$7^2-J$8^2)*MIN(J$12, J$42))/IF($B$4, 25.4^3, 1), 0), 0)</f>
        <v>0</v>
      </c>
      <c r="M172" s="3">
        <f t="shared" ref="M172:M192" si="33">IFERROR(IF(AND($C172&gt;=K$15, $C172&lt;=K$16), IF(K$14&gt;1, N(MOD($C172-K$15, K$14)&lt;1), 1/K$14)*PI()*K$9/4*(K$7^2*MIN(K$10, $D171)+(K$7^2-K$8^2)*MIN(K$12, K$42))/IF($B$4, 25.4^3, 1), 0), 0)</f>
        <v>0</v>
      </c>
    </row>
    <row r="173" spans="3:13" x14ac:dyDescent="0.25">
      <c r="C173" s="3">
        <v>131</v>
      </c>
      <c r="D173" s="3">
        <f t="shared" si="24"/>
        <v>40.881348042547742</v>
      </c>
      <c r="E173" s="3">
        <f t="shared" si="25"/>
        <v>214.92199405204914</v>
      </c>
      <c r="F173" s="3">
        <f t="shared" si="26"/>
        <v>0</v>
      </c>
      <c r="G173" s="3">
        <f t="shared" si="27"/>
        <v>0</v>
      </c>
      <c r="H173" s="3">
        <f t="shared" si="28"/>
        <v>0</v>
      </c>
      <c r="I173" s="3">
        <f t="shared" si="29"/>
        <v>0</v>
      </c>
      <c r="J173" s="3">
        <f t="shared" si="30"/>
        <v>0</v>
      </c>
      <c r="K173" s="3">
        <f t="shared" si="31"/>
        <v>0</v>
      </c>
      <c r="L173" s="3">
        <f t="shared" si="32"/>
        <v>0</v>
      </c>
      <c r="M173" s="3">
        <f t="shared" si="33"/>
        <v>0</v>
      </c>
    </row>
    <row r="174" spans="3:13" x14ac:dyDescent="0.25">
      <c r="C174" s="3">
        <v>132</v>
      </c>
      <c r="D174" s="3">
        <f t="shared" si="24"/>
        <v>42.886231044238258</v>
      </c>
      <c r="E174" s="3">
        <f t="shared" si="25"/>
        <v>210.51271517750376</v>
      </c>
      <c r="F174" s="3">
        <f t="shared" si="26"/>
        <v>0</v>
      </c>
      <c r="G174" s="3">
        <f t="shared" si="27"/>
        <v>0</v>
      </c>
      <c r="H174" s="3">
        <f t="shared" si="28"/>
        <v>0</v>
      </c>
      <c r="I174" s="3">
        <f t="shared" si="29"/>
        <v>0</v>
      </c>
      <c r="J174" s="3">
        <f t="shared" si="30"/>
        <v>0</v>
      </c>
      <c r="K174" s="3">
        <f t="shared" si="31"/>
        <v>0</v>
      </c>
      <c r="L174" s="3">
        <f t="shared" si="32"/>
        <v>0</v>
      </c>
      <c r="M174" s="3">
        <f t="shared" si="33"/>
        <v>0</v>
      </c>
    </row>
    <row r="175" spans="3:13" x14ac:dyDescent="0.25">
      <c r="C175" s="3">
        <v>133</v>
      </c>
      <c r="D175" s="3">
        <f t="shared" si="24"/>
        <v>33.931814882484524</v>
      </c>
      <c r="E175" s="3">
        <f t="shared" si="25"/>
        <v>206.22218465006978</v>
      </c>
      <c r="F175" s="3">
        <f t="shared" si="26"/>
        <v>1146.4358816342121</v>
      </c>
      <c r="G175" s="3">
        <f t="shared" si="27"/>
        <v>0</v>
      </c>
      <c r="H175" s="3">
        <f t="shared" si="28"/>
        <v>0</v>
      </c>
      <c r="I175" s="3">
        <f t="shared" si="29"/>
        <v>0</v>
      </c>
      <c r="J175" s="3">
        <f t="shared" si="30"/>
        <v>0</v>
      </c>
      <c r="K175" s="3">
        <f t="shared" si="31"/>
        <v>0</v>
      </c>
      <c r="L175" s="3">
        <f t="shared" si="32"/>
        <v>0</v>
      </c>
      <c r="M175" s="3">
        <f t="shared" si="33"/>
        <v>0</v>
      </c>
    </row>
    <row r="176" spans="3:13" x14ac:dyDescent="0.25">
      <c r="C176" s="3">
        <v>134</v>
      </c>
      <c r="D176" s="3">
        <f t="shared" si="24"/>
        <v>36.079927107786659</v>
      </c>
      <c r="E176" s="3">
        <f t="shared" si="25"/>
        <v>225.55178365672452</v>
      </c>
      <c r="F176" s="3">
        <f t="shared" si="26"/>
        <v>0</v>
      </c>
      <c r="G176" s="3">
        <f t="shared" si="27"/>
        <v>0</v>
      </c>
      <c r="H176" s="3">
        <f t="shared" si="28"/>
        <v>0</v>
      </c>
      <c r="I176" s="3">
        <f t="shared" si="29"/>
        <v>0</v>
      </c>
      <c r="J176" s="3">
        <f t="shared" si="30"/>
        <v>0</v>
      </c>
      <c r="K176" s="3">
        <f t="shared" si="31"/>
        <v>0</v>
      </c>
      <c r="L176" s="3">
        <f t="shared" si="32"/>
        <v>0</v>
      </c>
      <c r="M176" s="3">
        <f t="shared" si="33"/>
        <v>0</v>
      </c>
    </row>
    <row r="177" spans="3:13" x14ac:dyDescent="0.25">
      <c r="C177" s="3">
        <v>135</v>
      </c>
      <c r="D177" s="3">
        <f t="shared" si="24"/>
        <v>38.183613066830688</v>
      </c>
      <c r="E177" s="3">
        <f t="shared" si="25"/>
        <v>220.88702569962274</v>
      </c>
      <c r="F177" s="3">
        <f t="shared" si="26"/>
        <v>0</v>
      </c>
      <c r="G177" s="3">
        <f t="shared" si="27"/>
        <v>0</v>
      </c>
      <c r="H177" s="3">
        <f t="shared" si="28"/>
        <v>0</v>
      </c>
      <c r="I177" s="3">
        <f t="shared" si="29"/>
        <v>0</v>
      </c>
      <c r="J177" s="3">
        <f t="shared" si="30"/>
        <v>0</v>
      </c>
      <c r="K177" s="3">
        <f t="shared" si="31"/>
        <v>0</v>
      </c>
      <c r="L177" s="3">
        <f t="shared" si="32"/>
        <v>0</v>
      </c>
      <c r="M177" s="3">
        <f t="shared" si="33"/>
        <v>0</v>
      </c>
    </row>
    <row r="178" spans="3:13" x14ac:dyDescent="0.25">
      <c r="C178" s="3">
        <v>136</v>
      </c>
      <c r="D178" s="3">
        <f t="shared" si="24"/>
        <v>40.243887403454558</v>
      </c>
      <c r="E178" s="3">
        <f t="shared" si="25"/>
        <v>216.32880534550651</v>
      </c>
      <c r="F178" s="3">
        <f t="shared" si="26"/>
        <v>0</v>
      </c>
      <c r="G178" s="3">
        <f t="shared" si="27"/>
        <v>0</v>
      </c>
      <c r="H178" s="3">
        <f t="shared" si="28"/>
        <v>0</v>
      </c>
      <c r="I178" s="3">
        <f t="shared" si="29"/>
        <v>0</v>
      </c>
      <c r="J178" s="3">
        <f t="shared" si="30"/>
        <v>0</v>
      </c>
      <c r="K178" s="3">
        <f t="shared" si="31"/>
        <v>0</v>
      </c>
      <c r="L178" s="3">
        <f t="shared" si="32"/>
        <v>0</v>
      </c>
      <c r="M178" s="3">
        <f t="shared" si="33"/>
        <v>0</v>
      </c>
    </row>
    <row r="179" spans="3:13" x14ac:dyDescent="0.25">
      <c r="C179" s="3">
        <v>137</v>
      </c>
      <c r="D179" s="3">
        <f t="shared" si="24"/>
        <v>42.261822269106005</v>
      </c>
      <c r="E179" s="3">
        <f t="shared" si="25"/>
        <v>211.88316089340285</v>
      </c>
      <c r="F179" s="3">
        <f t="shared" si="26"/>
        <v>0</v>
      </c>
      <c r="G179" s="3">
        <f t="shared" si="27"/>
        <v>0</v>
      </c>
      <c r="H179" s="3">
        <f t="shared" si="28"/>
        <v>0</v>
      </c>
      <c r="I179" s="3">
        <f t="shared" si="29"/>
        <v>0</v>
      </c>
      <c r="J179" s="3">
        <f t="shared" si="30"/>
        <v>0</v>
      </c>
      <c r="K179" s="3">
        <f t="shared" si="31"/>
        <v>0</v>
      </c>
      <c r="L179" s="3">
        <f t="shared" si="32"/>
        <v>0</v>
      </c>
      <c r="M179" s="3">
        <f t="shared" si="33"/>
        <v>0</v>
      </c>
    </row>
    <row r="180" spans="3:13" x14ac:dyDescent="0.25">
      <c r="C180" s="3">
        <v>138</v>
      </c>
      <c r="D180" s="3">
        <f t="shared" si="24"/>
        <v>33.320099200506633</v>
      </c>
      <c r="E180" s="3">
        <f t="shared" si="25"/>
        <v>207.55495943127673</v>
      </c>
      <c r="F180" s="3">
        <f t="shared" si="26"/>
        <v>1146.4358816342121</v>
      </c>
      <c r="G180" s="3">
        <f t="shared" si="27"/>
        <v>0</v>
      </c>
      <c r="H180" s="3">
        <f t="shared" si="28"/>
        <v>0</v>
      </c>
      <c r="I180" s="3">
        <f t="shared" si="29"/>
        <v>0</v>
      </c>
      <c r="J180" s="3">
        <f t="shared" si="30"/>
        <v>0</v>
      </c>
      <c r="K180" s="3">
        <f t="shared" si="31"/>
        <v>0</v>
      </c>
      <c r="L180" s="3">
        <f t="shared" si="32"/>
        <v>0</v>
      </c>
      <c r="M180" s="3">
        <f t="shared" si="33"/>
        <v>0</v>
      </c>
    </row>
    <row r="181" spans="3:13" x14ac:dyDescent="0.25">
      <c r="C181" s="3">
        <v>139</v>
      </c>
      <c r="D181" s="3">
        <f t="shared" si="24"/>
        <v>35.48086794154375</v>
      </c>
      <c r="E181" s="3">
        <f t="shared" si="25"/>
        <v>226.88071780889749</v>
      </c>
      <c r="F181" s="3">
        <f t="shared" si="26"/>
        <v>0</v>
      </c>
      <c r="G181" s="3">
        <f t="shared" si="27"/>
        <v>0</v>
      </c>
      <c r="H181" s="3">
        <f t="shared" si="28"/>
        <v>0</v>
      </c>
      <c r="I181" s="3">
        <f t="shared" si="29"/>
        <v>0</v>
      </c>
      <c r="J181" s="3">
        <f t="shared" si="30"/>
        <v>0</v>
      </c>
      <c r="K181" s="3">
        <f t="shared" si="31"/>
        <v>0</v>
      </c>
      <c r="L181" s="3">
        <f t="shared" si="32"/>
        <v>0</v>
      </c>
      <c r="M181" s="3">
        <f t="shared" si="33"/>
        <v>0</v>
      </c>
    </row>
    <row r="182" spans="3:13" x14ac:dyDescent="0.25">
      <c r="C182" s="3">
        <v>140</v>
      </c>
      <c r="D182" s="3">
        <f t="shared" si="24"/>
        <v>37.596937331164874</v>
      </c>
      <c r="E182" s="3">
        <f t="shared" si="25"/>
        <v>222.18728591021826</v>
      </c>
      <c r="F182" s="3">
        <f t="shared" si="26"/>
        <v>0</v>
      </c>
      <c r="G182" s="3">
        <f t="shared" si="27"/>
        <v>0</v>
      </c>
      <c r="H182" s="3">
        <f t="shared" si="28"/>
        <v>0</v>
      </c>
      <c r="I182" s="3">
        <f t="shared" si="29"/>
        <v>0</v>
      </c>
      <c r="J182" s="3">
        <f t="shared" si="30"/>
        <v>0</v>
      </c>
      <c r="K182" s="3">
        <f t="shared" si="31"/>
        <v>0</v>
      </c>
      <c r="L182" s="3">
        <f t="shared" si="32"/>
        <v>0</v>
      </c>
      <c r="M182" s="3">
        <f t="shared" si="33"/>
        <v>0</v>
      </c>
    </row>
    <row r="183" spans="3:13" x14ac:dyDescent="0.25">
      <c r="C183" s="3">
        <v>141</v>
      </c>
      <c r="D183" s="3">
        <f t="shared" si="24"/>
        <v>39.669303677205775</v>
      </c>
      <c r="E183" s="3">
        <f t="shared" si="25"/>
        <v>217.59846633429501</v>
      </c>
      <c r="F183" s="3">
        <f t="shared" si="26"/>
        <v>0</v>
      </c>
      <c r="G183" s="3">
        <f t="shared" si="27"/>
        <v>0</v>
      </c>
      <c r="H183" s="3">
        <f t="shared" si="28"/>
        <v>0</v>
      </c>
      <c r="I183" s="3">
        <f t="shared" si="29"/>
        <v>0</v>
      </c>
      <c r="J183" s="3">
        <f t="shared" si="30"/>
        <v>0</v>
      </c>
      <c r="K183" s="3">
        <f t="shared" si="31"/>
        <v>0</v>
      </c>
      <c r="L183" s="3">
        <f t="shared" si="32"/>
        <v>0</v>
      </c>
      <c r="M183" s="3">
        <f t="shared" si="33"/>
        <v>0</v>
      </c>
    </row>
    <row r="184" spans="3:13" x14ac:dyDescent="0.25">
      <c r="C184" s="3">
        <v>142</v>
      </c>
      <c r="D184" s="3">
        <f t="shared" si="24"/>
        <v>41.699024151931859</v>
      </c>
      <c r="E184" s="3">
        <f t="shared" si="25"/>
        <v>213.12064984623908</v>
      </c>
      <c r="F184" s="3">
        <f t="shared" si="26"/>
        <v>0</v>
      </c>
      <c r="G184" s="3">
        <f t="shared" si="27"/>
        <v>0</v>
      </c>
      <c r="H184" s="3">
        <f t="shared" si="28"/>
        <v>0</v>
      </c>
      <c r="I184" s="3">
        <f t="shared" si="29"/>
        <v>0</v>
      </c>
      <c r="J184" s="3">
        <f t="shared" si="30"/>
        <v>0</v>
      </c>
      <c r="K184" s="3">
        <f t="shared" si="31"/>
        <v>0</v>
      </c>
      <c r="L184" s="3">
        <f t="shared" si="32"/>
        <v>0</v>
      </c>
      <c r="M184" s="3">
        <f t="shared" si="33"/>
        <v>0</v>
      </c>
    </row>
    <row r="185" spans="3:13" x14ac:dyDescent="0.25">
      <c r="C185" s="3">
        <v>143</v>
      </c>
      <c r="D185" s="3">
        <f t="shared" si="24"/>
        <v>43.687205292158055</v>
      </c>
      <c r="E185" s="3">
        <f t="shared" si="25"/>
        <v>208.75901972375073</v>
      </c>
      <c r="F185" s="3">
        <f t="shared" si="26"/>
        <v>0</v>
      </c>
      <c r="G185" s="3">
        <f t="shared" si="27"/>
        <v>0</v>
      </c>
      <c r="H185" s="3">
        <f t="shared" si="28"/>
        <v>0</v>
      </c>
      <c r="I185" s="3">
        <f t="shared" si="29"/>
        <v>0</v>
      </c>
      <c r="J185" s="3">
        <f t="shared" si="30"/>
        <v>0</v>
      </c>
      <c r="K185" s="3">
        <f t="shared" si="31"/>
        <v>0</v>
      </c>
      <c r="L185" s="3">
        <f t="shared" si="32"/>
        <v>0</v>
      </c>
      <c r="M185" s="3">
        <f t="shared" si="33"/>
        <v>0</v>
      </c>
    </row>
    <row r="186" spans="3:13" x14ac:dyDescent="0.25">
      <c r="C186" s="3">
        <v>144</v>
      </c>
      <c r="D186" s="3">
        <f t="shared" si="24"/>
        <v>45.634992706170848</v>
      </c>
      <c r="E186" s="3">
        <f t="shared" si="25"/>
        <v>204.51767847134386</v>
      </c>
      <c r="F186" s="3">
        <f t="shared" si="26"/>
        <v>0</v>
      </c>
      <c r="G186" s="3">
        <f t="shared" si="27"/>
        <v>0</v>
      </c>
      <c r="H186" s="3">
        <f t="shared" si="28"/>
        <v>0</v>
      </c>
      <c r="I186" s="3">
        <f t="shared" si="29"/>
        <v>0</v>
      </c>
      <c r="J186" s="3">
        <f t="shared" si="30"/>
        <v>0</v>
      </c>
      <c r="K186" s="3">
        <f t="shared" si="31"/>
        <v>0</v>
      </c>
      <c r="L186" s="3">
        <f t="shared" si="32"/>
        <v>0</v>
      </c>
      <c r="M186" s="3">
        <f t="shared" si="33"/>
        <v>0</v>
      </c>
    </row>
    <row r="187" spans="3:13" x14ac:dyDescent="0.25">
      <c r="C187" s="3">
        <v>145</v>
      </c>
      <c r="D187" s="3">
        <f t="shared" si="24"/>
        <v>47.543561919863478</v>
      </c>
      <c r="E187" s="3">
        <f t="shared" si="25"/>
        <v>200.39976743772598</v>
      </c>
      <c r="F187" s="3">
        <f t="shared" si="26"/>
        <v>0</v>
      </c>
      <c r="G187" s="3">
        <f t="shared" si="27"/>
        <v>0</v>
      </c>
      <c r="H187" s="3">
        <f t="shared" si="28"/>
        <v>0</v>
      </c>
      <c r="I187" s="3">
        <f t="shared" si="29"/>
        <v>0</v>
      </c>
      <c r="J187" s="3">
        <f t="shared" si="30"/>
        <v>0</v>
      </c>
      <c r="K187" s="3">
        <f t="shared" si="31"/>
        <v>0</v>
      </c>
      <c r="L187" s="3">
        <f t="shared" si="32"/>
        <v>0</v>
      </c>
      <c r="M187" s="3">
        <f t="shared" si="33"/>
        <v>0</v>
      </c>
    </row>
    <row r="188" spans="3:13" x14ac:dyDescent="0.25">
      <c r="C188" s="3">
        <v>146</v>
      </c>
      <c r="D188" s="3">
        <f t="shared" si="24"/>
        <v>49.414110289070159</v>
      </c>
      <c r="E188" s="3">
        <f t="shared" si="25"/>
        <v>196.40757876670125</v>
      </c>
      <c r="F188" s="3">
        <f t="shared" si="26"/>
        <v>0</v>
      </c>
      <c r="G188" s="3">
        <f t="shared" si="27"/>
        <v>0</v>
      </c>
      <c r="H188" s="3">
        <f t="shared" si="28"/>
        <v>0</v>
      </c>
      <c r="I188" s="3">
        <f t="shared" si="29"/>
        <v>0</v>
      </c>
      <c r="J188" s="3">
        <f t="shared" si="30"/>
        <v>0</v>
      </c>
      <c r="K188" s="3">
        <f t="shared" si="31"/>
        <v>0</v>
      </c>
      <c r="L188" s="3">
        <f t="shared" si="32"/>
        <v>0</v>
      </c>
      <c r="M188" s="3">
        <f t="shared" si="33"/>
        <v>0</v>
      </c>
    </row>
    <row r="189" spans="3:13" x14ac:dyDescent="0.25">
      <c r="C189" s="3">
        <v>147</v>
      </c>
      <c r="D189" s="3">
        <f t="shared" si="24"/>
        <v>51.247849902263063</v>
      </c>
      <c r="E189" s="3">
        <f t="shared" si="25"/>
        <v>192.54265938525538</v>
      </c>
      <c r="F189" s="3">
        <f t="shared" si="26"/>
        <v>0</v>
      </c>
      <c r="G189" s="3">
        <f t="shared" si="27"/>
        <v>0</v>
      </c>
      <c r="H189" s="3">
        <f t="shared" si="28"/>
        <v>0</v>
      </c>
      <c r="I189" s="3">
        <f t="shared" si="29"/>
        <v>0</v>
      </c>
      <c r="J189" s="3">
        <f t="shared" si="30"/>
        <v>0</v>
      </c>
      <c r="K189" s="3">
        <f t="shared" si="31"/>
        <v>0</v>
      </c>
      <c r="L189" s="3">
        <f t="shared" si="32"/>
        <v>0</v>
      </c>
      <c r="M189" s="3">
        <f t="shared" si="33"/>
        <v>0</v>
      </c>
    </row>
    <row r="190" spans="3:13" x14ac:dyDescent="0.25">
      <c r="C190" s="3">
        <v>148</v>
      </c>
      <c r="D190" s="3">
        <f t="shared" si="24"/>
        <v>53.046001397042815</v>
      </c>
      <c r="E190" s="3">
        <f t="shared" si="25"/>
        <v>188.80590695187402</v>
      </c>
      <c r="F190" s="3">
        <f t="shared" si="26"/>
        <v>0</v>
      </c>
      <c r="G190" s="3">
        <f t="shared" si="27"/>
        <v>0</v>
      </c>
      <c r="H190" s="3">
        <f t="shared" si="28"/>
        <v>0</v>
      </c>
      <c r="I190" s="3">
        <f t="shared" si="29"/>
        <v>0</v>
      </c>
      <c r="J190" s="3">
        <f t="shared" si="30"/>
        <v>0</v>
      </c>
      <c r="K190" s="3">
        <f t="shared" si="31"/>
        <v>0</v>
      </c>
      <c r="L190" s="3">
        <f t="shared" si="32"/>
        <v>0</v>
      </c>
      <c r="M190" s="3">
        <f t="shared" si="33"/>
        <v>0</v>
      </c>
    </row>
    <row r="191" spans="3:13" x14ac:dyDescent="0.25">
      <c r="C191" s="3">
        <v>149</v>
      </c>
      <c r="D191" s="3">
        <f t="shared" si="24"/>
        <v>54.809788614759931</v>
      </c>
      <c r="E191" s="3">
        <f t="shared" si="25"/>
        <v>185.1976578602972</v>
      </c>
      <c r="F191" s="3">
        <f t="shared" si="26"/>
        <v>0</v>
      </c>
      <c r="G191" s="3">
        <f t="shared" si="27"/>
        <v>0</v>
      </c>
      <c r="H191" s="3">
        <f t="shared" si="28"/>
        <v>0</v>
      </c>
      <c r="I191" s="3">
        <f t="shared" si="29"/>
        <v>0</v>
      </c>
      <c r="J191" s="3">
        <f t="shared" si="30"/>
        <v>0</v>
      </c>
      <c r="K191" s="3">
        <f t="shared" si="31"/>
        <v>0</v>
      </c>
      <c r="L191" s="3">
        <f t="shared" si="32"/>
        <v>0</v>
      </c>
      <c r="M191" s="3">
        <f t="shared" si="33"/>
        <v>0</v>
      </c>
    </row>
    <row r="192" spans="3:13" x14ac:dyDescent="0.25">
      <c r="C192" s="3">
        <v>150</v>
      </c>
      <c r="D192" s="3">
        <f t="shared" si="24"/>
        <v>56.540434019763524</v>
      </c>
      <c r="E192" s="3">
        <f t="shared" si="25"/>
        <v>181.71776752537667</v>
      </c>
      <c r="F192" s="3">
        <f t="shared" si="26"/>
        <v>0</v>
      </c>
      <c r="G192" s="3">
        <f t="shared" si="27"/>
        <v>0</v>
      </c>
      <c r="H192" s="3">
        <f t="shared" si="28"/>
        <v>0</v>
      </c>
      <c r="I192" s="3">
        <f t="shared" si="29"/>
        <v>0</v>
      </c>
      <c r="J192" s="3">
        <f t="shared" si="30"/>
        <v>0</v>
      </c>
      <c r="K192" s="3">
        <f t="shared" si="31"/>
        <v>0</v>
      </c>
      <c r="L192" s="3">
        <f t="shared" si="32"/>
        <v>0</v>
      </c>
      <c r="M192" s="3">
        <f t="shared" si="33"/>
        <v>0</v>
      </c>
    </row>
  </sheetData>
  <sheetProtection sheet="1" objects="1" scenarios="1" formatCells="0" formatColumns="0" formatRows="0"/>
  <mergeCells count="1">
    <mergeCell ref="N12:O12"/>
  </mergeCells>
  <conditionalFormatting sqref="D7:K10 D12:K12 D14:K16">
    <cfRule type="expression" dxfId="25" priority="5">
      <formula>AND(COUNTBLANK(D$7:D$16)&lt;10, ISBLANK(D7))</formula>
    </cfRule>
    <cfRule type="cellIs" dxfId="24" priority="8" operator="lessThan">
      <formula>0</formula>
    </cfRule>
  </conditionalFormatting>
  <conditionalFormatting sqref="N16:N17">
    <cfRule type="cellIs" dxfId="23" priority="7" operator="lessThanOrEqual">
      <formula>$I$40</formula>
    </cfRule>
  </conditionalFormatting>
  <conditionalFormatting sqref="N7:Q9">
    <cfRule type="expression" dxfId="22" priority="3">
      <formula>AND(COUNTBLANK(N$7:N$9)&lt;3, ISBLANK(N7))</formula>
    </cfRule>
  </conditionalFormatting>
  <conditionalFormatting sqref="D7:K10 D12:K12 D14:K16 N7:Q9 N14:N15">
    <cfRule type="expression" dxfId="21" priority="4">
      <formula>ISTEXT(D7)</formula>
    </cfRule>
  </conditionalFormatting>
  <conditionalFormatting sqref="D8:K8">
    <cfRule type="cellIs" dxfId="20" priority="1" operator="greaterThan">
      <formula>D7</formula>
    </cfRule>
  </conditionalFormatting>
  <dataValidations count="1">
    <dataValidation type="list" allowBlank="1" showInputMessage="1" showErrorMessage="1" sqref="N12:O12">
      <formula1>"No Compressor,1.1 Pump,Viair 90C"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Metric">
              <controlPr locked="0" defaultSize="0" autoFill="0" autoLine="0" autoPict="0" macro="[0]!Pneumatics_Metric">
                <anchor moveWithCells="1">
                  <from>
                    <xdr:col>1</xdr:col>
                    <xdr:colOff>0</xdr:colOff>
                    <xdr:row>2</xdr:row>
                    <xdr:rowOff>180975</xdr:rowOff>
                  </from>
                  <to>
                    <xdr:col>1</xdr:col>
                    <xdr:colOff>209550</xdr:colOff>
                    <xdr:row>3</xdr:row>
                    <xdr:rowOff>180975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C2:R41"/>
  <sheetViews>
    <sheetView zoomScaleNormal="100" workbookViewId="0"/>
  </sheetViews>
  <sheetFormatPr defaultColWidth="9.140625" defaultRowHeight="15" x14ac:dyDescent="0.25"/>
  <cols>
    <col min="1" max="1" width="7.140625" style="1" customWidth="1"/>
    <col min="2" max="2" width="3.28515625" style="1" customWidth="1"/>
    <col min="3" max="3" width="12.85546875" style="1" customWidth="1"/>
    <col min="4" max="4" width="9.140625" style="1"/>
    <col min="5" max="5" width="14.7109375" style="1" customWidth="1"/>
    <col min="6" max="6" width="12.85546875" style="1" customWidth="1"/>
    <col min="7" max="7" width="9.140625" style="1"/>
    <col min="8" max="8" width="3.140625" style="1" customWidth="1"/>
    <col min="9" max="9" width="22.42578125" style="1" customWidth="1"/>
    <col min="10" max="10" width="3.140625" style="1" customWidth="1"/>
    <col min="11" max="16384" width="9.140625" style="1"/>
  </cols>
  <sheetData>
    <row r="2" spans="3:16" ht="31.15" x14ac:dyDescent="0.3">
      <c r="C2" s="2" t="s">
        <v>209</v>
      </c>
    </row>
    <row r="3" spans="3:16" ht="14.45" x14ac:dyDescent="0.3">
      <c r="K3" s="78" t="s">
        <v>98</v>
      </c>
      <c r="M3" s="111" t="b">
        <v>1</v>
      </c>
      <c r="N3" s="109"/>
      <c r="O3" s="112" t="b">
        <v>1</v>
      </c>
      <c r="P3" s="110"/>
    </row>
    <row r="4" spans="3:16" ht="18.75" x14ac:dyDescent="0.25">
      <c r="C4" s="217" t="s">
        <v>95</v>
      </c>
      <c r="D4" s="217"/>
      <c r="F4" s="217" t="s">
        <v>98</v>
      </c>
      <c r="G4" s="217"/>
      <c r="I4" s="241" t="s">
        <v>226</v>
      </c>
    </row>
    <row r="5" spans="3:16" ht="15" customHeight="1" x14ac:dyDescent="0.25">
      <c r="C5" s="88" t="s">
        <v>167</v>
      </c>
      <c r="D5" s="51">
        <v>40</v>
      </c>
      <c r="F5" s="88" t="s">
        <v>169</v>
      </c>
      <c r="G5" s="51">
        <v>120</v>
      </c>
      <c r="I5" s="242"/>
    </row>
    <row r="6" spans="3:16" x14ac:dyDescent="0.25">
      <c r="C6" s="88" t="s">
        <v>168</v>
      </c>
      <c r="D6" s="51">
        <v>90</v>
      </c>
      <c r="F6" s="88" t="s">
        <v>170</v>
      </c>
      <c r="G6" s="51">
        <v>10</v>
      </c>
      <c r="I6" s="242"/>
    </row>
    <row r="7" spans="3:16" x14ac:dyDescent="0.25">
      <c r="C7" s="88" t="s">
        <v>169</v>
      </c>
      <c r="D7" s="51">
        <v>100</v>
      </c>
      <c r="F7" s="88" t="s">
        <v>171</v>
      </c>
      <c r="G7" s="51">
        <v>100</v>
      </c>
      <c r="I7" s="242"/>
    </row>
    <row r="8" spans="3:16" x14ac:dyDescent="0.25">
      <c r="C8" s="88" t="s">
        <v>170</v>
      </c>
      <c r="D8" s="51">
        <v>20</v>
      </c>
      <c r="F8" s="88" t="s">
        <v>172</v>
      </c>
      <c r="G8" s="51">
        <v>50</v>
      </c>
      <c r="I8" s="243"/>
    </row>
    <row r="9" spans="3:16" ht="15" customHeight="1" x14ac:dyDescent="0.25">
      <c r="C9" s="88" t="s">
        <v>171</v>
      </c>
      <c r="D9" s="51">
        <v>100</v>
      </c>
      <c r="F9" s="88" t="s">
        <v>173</v>
      </c>
      <c r="G9" s="72">
        <v>95</v>
      </c>
      <c r="H9" s="3">
        <f>RADIANS(G9)</f>
        <v>1.6580627893946132</v>
      </c>
    </row>
    <row r="10" spans="3:16" ht="15" customHeight="1" x14ac:dyDescent="0.25">
      <c r="C10" s="88" t="s">
        <v>172</v>
      </c>
      <c r="D10" s="51">
        <v>50</v>
      </c>
      <c r="F10" s="88" t="s">
        <v>174</v>
      </c>
      <c r="G10" s="72">
        <v>-10</v>
      </c>
      <c r="H10" s="3">
        <f>RADIANS(G10)</f>
        <v>-0.17453292519943295</v>
      </c>
      <c r="I10" s="241" t="s">
        <v>177</v>
      </c>
    </row>
    <row r="11" spans="3:16" x14ac:dyDescent="0.25">
      <c r="I11" s="242"/>
    </row>
    <row r="12" spans="3:16" x14ac:dyDescent="0.25">
      <c r="C12" s="88" t="s">
        <v>173</v>
      </c>
      <c r="D12" s="60">
        <f>DEGREES(ACOS(((-4*D5^3*D7 + 4*D5^2*D6*D8 + SQRT((4*D5^3*D7 - 4*D5^2*D6*D8 + 4*D5*D6^2*D7 - 4*D5*D9^2*D7 + 4*D5*D7^3 + 4*D5*D7*D8^2 - 4*D6^3*D8 + 4*D6*D9^2*D8 - 4*D6*D7^2*D8 - 4*D6*D8^3)^2 - 4*(4*D5^2*D7^2 + 4*D5^2*D8^2 + 4*D6^2*D7^2 + 4*D6^2*D8^2)*(D5^4 + 2*D5^2*D6^2 - 2*D5^2*D9^2 + 2*D5^2*D7^2 - 2*D5^2*D8^2 - 8*D5*D6*D7*D8 + D6^4 - 2*D6^2*D9^2 - 2*D6^2*D7^2 + 2*D6^2*D8^2 + D9^4 - 2*D9^2*D7^2 - 2*D9^2*D8^2 + D7^4 + 2*D7^2*D8^2 + D8^4)) - 4*D5*D6^2*D7 + 4*D5*D9^2*D7 - 4*D5*D7^3 - 4*D5*D7*D8^2 + 4*D6^3*D8 - 4*D6*D9^2*D8 + 4*D6*D7^2*D8 + 4*D6*D8^3)/(2*(4*D5^2*D7^2 + 4*D5^2*D8^2 + 4*D6^2*D7^2 + 4*D6^2*D8^2))))) * IF(D9&gt;SQRT((D6-D8)^2+(D5+D7)^2),-1,1)</f>
        <v>42.837483303602141</v>
      </c>
      <c r="F12" s="88" t="s">
        <v>167</v>
      </c>
      <c r="G12" s="43">
        <f>-G5*COS(H9)+G6*SIN(H9)+(G7*(4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SQRT((-4*G7^3*G5*COS(H9)+4*G7*(G7+G8)^2*G5*COS(H9)-4*G7*G5^3*COS(H9)^3-4*G7*G5*G6^2*COS(H9)^3+4*G7^3*G5*COS(H10)-4*G7*(G7+G8)^2*G5*COS(H10)+12*G7*G5^3*COS(H9)^2*COS(H10)+12*G7*G5*G6^2*COS(H9)^2*COS(H10)-12*G7*G5^3*COS(H9)*COS(H10)^2-12*G7*G5*G6^2*COS(H9)*COS(H10)^2+4*G7*G5^3*COS(H10)^3+4*G7*G5*G6^2*COS(H10)^3+4*G7^3*G6*SIN(H9)-4*G7*(G7+G8)^2*G6*SIN(H9)+4*G7*G5^2*G6*COS(H9)^2*SIN(H9)+4*G7*G6^3*COS(H9)^2*SIN(H9)-8*G7*G5^2*G6*COS(H9)*COS(H10)*SIN(H9)-8*G7*G6^3*COS(H9)*COS(H10)*SIN(H9)+4*G7*G5^2*G6*COS(H10)^2*SIN(H9)+4*G7*G6^3*COS(H10)^2*SIN(H9)-4*G7*G5^3*COS(H9)*SIN(H9)^2-4*G7*G5*G6^2*COS(H9)*SIN(H9)^2+4*G7*G5^3*COS(H10)*SIN(H9)^2+4*G7*G5*G6^2*COS(H10)*SIN(H9)^2+4*G7*G5^2*G6*SIN(H9)^3+4*G7*G6^3*SIN(H9)^3-4*G7^3*G6*SIN(H10)+4*G7*(G7+G8)^2*G6*SIN(H10)-4*G7*G5^2*G6*COS(H9)^2*SIN(H10)-4*G7*G6^3*COS(H9)^2*SIN(H10)+8*G7*G5^2*G6*COS(H9)*COS(H10)*SIN(H10)+8*G7*G6^3*COS(H9)*COS(H10)*SIN(H10)-4*G7*G5^2*G6*COS(H10)^2*SIN(H10)-4*G7*G6^3*COS(H10)^2*SIN(H10)+8*G7*G5^3*COS(H9)*SIN(H9)*SIN(H10)+8*G7*G5*G6^2*COS(H9)*SIN(H9)*SIN(H10)-8*G7*G5^3*COS(H10)*SIN(H9)*SIN(H10)-8*G7*G5*G6^2*COS(H10)*SIN(H9)*SIN(H10)-12*G7*G5^2*G6*SIN(H9)^2*SIN(H10)-12*G7*G6^3*SIN(H9)^2*SIN(H10)-4*G7*G5^3*COS(H9)*SIN(H10)^2-4*G7*G5*G6^2*COS(H9)*SIN(H10)^2+4*G7*G5^3*COS(H10)*SIN(H10)^2+4*G7*G5*G6^2*COS(H10)*SIN(H10)^2+12*G7*G5^2*G6*SIN(H9)*SIN(H10)^2+12*G7*G6^3*SIN(H9)*SIN(H10)^2-4*G7*G5^2*G6*SIN(H10)^3-4*G7*G6^3*SIN(H10)^3)^2-4*(4*G7^2*G5^2*COS(H9)^2+4*G7^2*G6^2*COS(H9)^2-8*G7^2*G5^2*COS(H9)*COS(H10)-8*G7^2*G6^2*COS(H9)*COS(H10)+4*G7^2*G5^2*COS(H10)^2+4*G7^2*G6^2*COS(H10)^2+4*G7^2*G5^2*SIN(H9)^2+4*G7^2*G6^2*SIN(H9)^2-8*G7^2*G5^2*SIN(H9)*SIN(H10)-8*G7^2*G6^2*SIN(H9)*SIN(H10)+4*G7^2*G5^2*SIN(H10)^2+4*G7^2*G6^2*SIN(H10)^2)*(G7^4-2*G7^2*(G7+G8)^2+(G7+G8)^4+2*G7^2*G5^2*COS(H9)^2-2*(G7+G8)^2*G5^2*COS(H9)^2-2*G7^2*G6^2*COS(H9)^2-2*(G7+G8)^2*G6^2*COS(H9)^2+G5^4*COS(H9)^4+2*G5^2*G6^2*COS(H9)^4+G6^4*COS(H9)^4-4*G7^2*G5^2*COS(H9)*COS(H10)+4*(G7+G8)^2*G5^2*COS(H9)*COS(H10)+4*G7^2*G6^2*COS(H9)*COS(H10)+4*(G7+G8)^2*G6^2*COS(H9)*COS(H10)-4*G5^4*COS(H9)^3*COS(H10)-8*G5^2*G6^2*COS(H9)^3*COS(H10)-4*G6^4*COS(H9)^3*COS(H10)+2*G7^2*G5^2*COS(H10)^2-2*(G7+G8)^2*G5^2*COS(H10)^2-2*G7^2*G6^2*COS(H10)^2-2*(G7+G8)^2*G6^2*COS(H10)^2+6*G5^4*COS(H9)^2*COS(H10)^2+12*G5^2*G6^2*COS(H9)^2*COS(H10)^2+6*G6^4*COS(H9)^2*COS(H10)^2-4*G5^4*COS(H9)*COS(H10)^3-8*G5^2*G6^2*COS(H9)*COS(H10)^3-4*G6^4*COS(H9)*COS(H10)^3+G5^4*COS(H10)^4+2*G5^2*G6^2*COS(H10)^4+G6^4*COS(H10)^4-8*G7^2*G5*G6*COS(H9)*SIN(H9)+8*G7^2*G5*G6*COS(H10)*SIN(H9)-2*G7^2*G5^2*SIN(H9)^2-2*(G7+G8)^2*G5^2*SIN(H9)^2+2*G7^2*G6^2*SIN(H9)^2-2*(G7+G8)^2*G6^2*SIN(H9)^2+2*G5^4*COS(H9)^2*SIN(H9)^2+4*G5^2*G6^2*COS(H9)^2*SIN(H9)^2+2*G6^4*COS(H9)^2*SIN(H9)^2-4*G5^4*COS(H9)*COS(H10)*SIN(H9)^2-8*G5^2*G6^2*COS(H9)*COS(H10)*SIN(H9)^2-4*G6^4*COS(H9)*COS(H10)*SIN(H9)^2+2*G5^4*COS(H10)^2*SIN(H9)^2+4*G5^2*G6^2*COS(H10)^2*SIN(H9)^2+2*G6^4*COS(H10)^2*SIN(H9)^2+G5^4*SIN(H9)^4+2*G5^2*G6^2*SIN(H9)^4+G6^4*SIN(H9)^4+8*G7^2*G5*G6*COS(H9)*SIN(H10)-8*G7^2*G5*G6*COS(H10)*SIN(H10)+4*G7^2*G5^2*SIN(H9)*SIN(H10)+4*(G7+G8)^2*G5^2*SIN(H9)*SIN(H10)-4*G7^2*G6^2*SIN(H9)*SIN(H10)+4*(G7+G8)^2*G6^2*SIN(H9)*SIN(H10)-4*G5^4*COS(H9)^2*SIN(H9)*SIN(H10)-8*G5^2*G6^2*COS(H9)^2*SIN(H9)*SIN(H10)-4*G6^4*COS(H9)^2*SIN(H9)*SIN(H10)+8*G5^4*COS(H9)*COS(H10)*SIN(H9)*SIN(H10)+16*G5^2*G6^2*COS(H9)*COS(H10)*SIN(H9)*SIN(H10)+8*G6^4*COS(H9)*COS(H10)*SIN(H9)*SIN(H10)-4*G5^4*COS(H10)^2*SIN(H9)*SIN(H10)-8*G5^2*G6^2*COS(H10)^2*SIN(H9)*SIN(H10)-4*G6^4*COS(H10)^2*SIN(H9)*SIN(H10)-4*G5^4*SIN(H9)^3*SIN(H10)-8*G5^2*G6^2*SIN(H9)^3*SIN(H10)-4*G6^4*SIN(H9)^3*SIN(H10)-2*G7^2*G5^2*SIN(H10)^2-2*(G7+G8)^2*G5^2*SIN(H10)^2+2*G7^2*G6^2*SIN(H10)^2-2*(G7+G8)^2*G6^2*SIN(H10)^2+2*G5^4*COS(H9)^2*SIN(H10)^2+4*G5^2*G6^2*COS(H9)^2*SIN(H10)^2+2*G6^4*COS(H9)^2*SIN(H10)^2-4*G5^4*COS(H9)*COS(H10)*SIN(H10)^2-8*G5^2*G6^2*COS(H9)*COS(H10)*SIN(H10)^2-4*G6^4*COS(H9)*COS(H10)*SIN(H10)^2+2*G5^4*COS(H10)^2*SIN(H10)^2+4*G5^2*G6^2*COS(H10)^2*SIN(H10)^2+2*G6^4*COS(H10)^2*SIN(H10)^2+6*G5^4*SIN(H9)^2*SIN(H10)^2+12*G5^2*G6^2*SIN(H9)^2*SIN(H10)^2+6*G6^4*SIN(H9)^2*SIN(H10)^2-4*G5^4*SIN(H9)*SIN(H10)^3-8*G5^2*G6^2*SIN(H9)*SIN(H10)^3-4*G6^4*SIN(H9)*SIN(H10)^3+G5^4*SIN(H10)^4+2*G5^2*G6^2*SIN(H10)^4+G6^4*SIN(H10)^4))))/(2*(4*G7^2*G5^2*COS(H9)^2+4*G7^2*G6^2*COS(H9)^2-8*G7^2*G5^2*COS(H9)*COS(H10)-8*G7^2*G6^2*COS(H9)*COS(H10)+4*G7^2*G5^2*COS(H10)^2+4*G7^2*G6^2*COS(H10)^2+4*G7^2*G5^2*SIN(H9)^2+4*G7^2*G6^2*SIN(H9)^2-8*G7^2*G5^2*SIN(H9)*SIN(H10)-8*G7^2*G6^2*SIN(H9)*SIN(H10)+4*G7^2*G5^2*SIN(H10)^2+4*G7^2*G6^2*SIN(H10)^2))</f>
        <v>27.079710328018926</v>
      </c>
      <c r="I12" s="242"/>
    </row>
    <row r="13" spans="3:16" x14ac:dyDescent="0.25">
      <c r="C13" s="88" t="s">
        <v>174</v>
      </c>
      <c r="D13" s="60">
        <f>DEGREES(ACOS(((-4*D5^3*D7 + 4*D5^2*D6*D8 + SQRT((4*D5^3*D7 - 4*D5^2*D6*D8 + 4*D5*D6^2*D7 - 4*D5*(D9+D10)^2*D7 + 4*D5*D7^3 + 4*D5*D7*D8^2 - 4*D6^3*D8 + 4*D6*(D9+D10)^2*D8 - 4*D6*D7^2*D8 - 4*D6*D8^3)^2 - 4*(4*D5^2*D7^2 + 4*D5^2*D8^2 + 4*D6^2*D7^2 + 4*D6^2*D8^2)*(D5^4 + 2*D5^2*D6^2 - 2*D5^2*(D9+D10)^2 + 2*D5^2*D7^2 - 2*D5^2*D8^2 - 8*D5*D6*D7*D8 + D6^4 - 2*D6^2*(D9+D10)^2 - 2*D6^2*D7^2 + 2*D6^2*D8^2 + (D9+D10)^4 - 2*(D9+D10)^2*D7^2 - 2*(D9+D10)^2*D8^2 + D7^4 + 2*D7^2*D8^2 + D8^4)) - 4*D5*D6^2*D7 + 4*D5*(D9+D10)^2*D7 - 4*D5*D7^3 - 4*D5*D7*D8^2 + 4*D6^3*D8 - 4*D6*(D9+D10)^2*D8 + 4*D6*D7^2*D8 + 4*D6*D8^3)/(2*(4*D5^2*D7^2 + 4*D5^2*D8^2 + 4*D6^2*D7^2 + 4*D6^2*D8^2))))) * IF((D9+D10)&gt;SQRT((D6-D8)^2+(D5+D7)^2),-1,1)</f>
        <v>5.7907256701870562</v>
      </c>
      <c r="F13" s="88" t="s">
        <v>168</v>
      </c>
      <c r="G13" s="43">
        <f>G5*SIN(H9)+G6*COS(H9)-SQRT(G7^2-(G12+G5*COS(H9)-G6*SIN(H9))^2)</f>
        <v>18.893769027862092</v>
      </c>
      <c r="I13" s="243"/>
    </row>
    <row r="30" spans="11:18" x14ac:dyDescent="0.25">
      <c r="K30" s="240" t="s">
        <v>224</v>
      </c>
      <c r="L30" s="240"/>
      <c r="M30" s="240"/>
      <c r="N30" s="240"/>
      <c r="O30" s="240"/>
      <c r="P30" s="240"/>
      <c r="Q30" s="240"/>
      <c r="R30" s="240"/>
    </row>
    <row r="31" spans="11:18" x14ac:dyDescent="0.25">
      <c r="K31" s="1" t="s">
        <v>225</v>
      </c>
    </row>
    <row r="32" spans="11:18" x14ac:dyDescent="0.25">
      <c r="K32" s="1" t="s">
        <v>178</v>
      </c>
    </row>
    <row r="33" spans="11:18" x14ac:dyDescent="0.25">
      <c r="K33" s="3" t="s">
        <v>167</v>
      </c>
      <c r="L33" s="3" t="s">
        <v>168</v>
      </c>
      <c r="M33" s="3" t="s">
        <v>169</v>
      </c>
      <c r="N33" s="3" t="s">
        <v>170</v>
      </c>
      <c r="O33" s="3" t="s">
        <v>175</v>
      </c>
      <c r="P33" s="3" t="s">
        <v>176</v>
      </c>
      <c r="Q33" s="3" t="s">
        <v>222</v>
      </c>
      <c r="R33" s="3" t="s">
        <v>223</v>
      </c>
    </row>
    <row r="34" spans="11:18" ht="14.45" x14ac:dyDescent="0.3">
      <c r="K34" s="77">
        <f>IF($K$3="Forward", D5, G12)</f>
        <v>27.079710328018926</v>
      </c>
      <c r="L34" s="77">
        <f>IF($K$3="Forward", D6, G13)</f>
        <v>18.893769027862092</v>
      </c>
      <c r="M34" s="77">
        <f>IF($K$3="Forward", D7, G5)</f>
        <v>120</v>
      </c>
      <c r="N34" s="77">
        <f>IF($K$3="Forward", D8, G6)</f>
        <v>10</v>
      </c>
      <c r="O34" s="77">
        <f>RADIANS(IF($K$3="Forward", D12, G9))</f>
        <v>1.6580627893946132</v>
      </c>
      <c r="P34" s="77">
        <f>RADIANS(IF($K$3="Forward", D13, G10))</f>
        <v>-0.17453292519943295</v>
      </c>
      <c r="Q34" s="77">
        <f>IF($K$3="Forward", D9, G7)</f>
        <v>100</v>
      </c>
      <c r="R34" s="77">
        <f>Q34+IF($K$3="Forward", D10, G8)</f>
        <v>150</v>
      </c>
    </row>
    <row r="35" spans="11:18" ht="14.45" x14ac:dyDescent="0.3">
      <c r="K35" s="3">
        <v>0</v>
      </c>
      <c r="L35" s="3">
        <v>0</v>
      </c>
      <c r="M35" s="3">
        <f>IF($M$3, 1.5*$M$34*COS(O34), 0)</f>
        <v>-15.688033694578483</v>
      </c>
      <c r="N35" s="3">
        <f>IF($M$3, 1.5*$M$34*SIN(O34), 0)</f>
        <v>179.3150456565142</v>
      </c>
      <c r="O35" s="3"/>
      <c r="P35" s="3"/>
      <c r="Q35" s="3"/>
      <c r="R35" s="3"/>
    </row>
    <row r="36" spans="11:18" ht="14.45" x14ac:dyDescent="0.3">
      <c r="K36" s="3">
        <f>IF($M$3, $M$34*COS(O34), 0)</f>
        <v>-10.458689129718989</v>
      </c>
      <c r="L36" s="3">
        <f>IF($M$3, $M$34*SIN(O34), 0)</f>
        <v>119.54336377100947</v>
      </c>
      <c r="M36" s="3">
        <f>IF($M$3, K36-$N$34*SIN(O34), 0)</f>
        <v>-20.420636110636444</v>
      </c>
      <c r="N36" s="3">
        <f>IF($M$3, L36+$N$34*COS(O34), 0)</f>
        <v>118.67180634353288</v>
      </c>
      <c r="O36" s="3"/>
      <c r="P36" s="3"/>
      <c r="Q36" s="3"/>
      <c r="R36" s="3"/>
    </row>
    <row r="37" spans="11:18" ht="14.45" x14ac:dyDescent="0.3">
      <c r="K37" s="77">
        <f>IF($M$3, -$K$34, 0)</f>
        <v>-27.079710328018926</v>
      </c>
      <c r="L37" s="77">
        <f>IF($M$3, $L$34, 0)</f>
        <v>18.893769027862092</v>
      </c>
      <c r="M37" s="3">
        <f>IF($M$3, K37+(M36-K37)*0.9, 0)</f>
        <v>-21.086543532374691</v>
      </c>
      <c r="N37" s="3">
        <f>IF($M$3, L37+(N36-L37)*0.9, 0)</f>
        <v>108.6940026119658</v>
      </c>
      <c r="O37" s="3"/>
      <c r="P37" s="77">
        <f>IF(OR($M$3, $O$3), -K34, 0)</f>
        <v>-27.079710328018926</v>
      </c>
      <c r="Q37" s="77">
        <f>IF(OR($M$3, $O$3), L34, 0)</f>
        <v>18.893769027862092</v>
      </c>
      <c r="R37" s="3"/>
    </row>
    <row r="38" spans="11:18" ht="14.45" x14ac:dyDescent="0.3">
      <c r="K38" s="3">
        <v>0</v>
      </c>
      <c r="L38" s="3">
        <v>0</v>
      </c>
      <c r="M38" s="3">
        <f>IF($O$3, 1.5*$M$34*COS(P34), 0)</f>
        <v>177.26539554219744</v>
      </c>
      <c r="N38" s="3">
        <f>IF($O$3, 1.5*$M$34*SIN(P34), 0)</f>
        <v>-31.256671980047461</v>
      </c>
      <c r="O38" s="3"/>
      <c r="P38" s="3"/>
      <c r="Q38" s="3"/>
      <c r="R38" s="3"/>
    </row>
    <row r="39" spans="11:18" x14ac:dyDescent="0.25">
      <c r="K39" s="3">
        <f>IF($O$3, $M$34*COS(P34), 0)</f>
        <v>118.17693036146497</v>
      </c>
      <c r="L39" s="3">
        <f>IF($O$3, $M$34*SIN(P34), 0)</f>
        <v>-20.837781320031638</v>
      </c>
      <c r="M39" s="3">
        <f>IF($O$3, K39-$N$34*SIN(P34), 0)</f>
        <v>119.91341213813428</v>
      </c>
      <c r="N39" s="3">
        <f>IF($O$3, L39+$N$34*COS(P34), 0)</f>
        <v>-10.989703789909559</v>
      </c>
      <c r="O39" s="3"/>
      <c r="P39" s="3"/>
      <c r="Q39" s="3"/>
      <c r="R39" s="3"/>
    </row>
    <row r="40" spans="11:18" x14ac:dyDescent="0.25">
      <c r="K40" s="77">
        <f>IF($O$3, -$K$34, 0)</f>
        <v>-27.079710328018926</v>
      </c>
      <c r="L40" s="77">
        <f>IF($O$3, $L$34, 0)</f>
        <v>18.893769027862092</v>
      </c>
      <c r="M40" s="3">
        <f>IF($O$3, K40+(M39-K40)*($Q$34/$R$34)*0.9, 0)</f>
        <v>61.116163151673</v>
      </c>
      <c r="N40" s="3">
        <f>IF($O$3, L40+(N39-L40)*($Q$34/$R$34)*0.9, 0)</f>
        <v>0.96368533719910232</v>
      </c>
      <c r="O40" s="3"/>
      <c r="P40" s="3"/>
      <c r="Q40" s="3"/>
      <c r="R40" s="3"/>
    </row>
    <row r="41" spans="11:18" x14ac:dyDescent="0.25">
      <c r="K41" s="3">
        <v>0</v>
      </c>
      <c r="L41" s="3">
        <f>MIN(K35:N40)*1.1</f>
        <v>-34.382339178052213</v>
      </c>
      <c r="M41" s="3">
        <f>MAX(K35:N40)*1.1</f>
        <v>197.24655022216564</v>
      </c>
      <c r="N41" s="3">
        <f>M41/1.1</f>
        <v>179.3150456565142</v>
      </c>
      <c r="O41" s="3"/>
      <c r="P41" s="3"/>
      <c r="Q41" s="3"/>
      <c r="R41" s="3"/>
    </row>
  </sheetData>
  <sheetProtection sheet="1" objects="1" scenarios="1" formatCells="0" formatColumns="0" formatRows="0"/>
  <mergeCells count="5">
    <mergeCell ref="K30:R30"/>
    <mergeCell ref="C4:D4"/>
    <mergeCell ref="F4:G4"/>
    <mergeCell ref="I10:I13"/>
    <mergeCell ref="I4:I8"/>
  </mergeCells>
  <conditionalFormatting sqref="D5:D10 G5:G8">
    <cfRule type="cellIs" dxfId="19" priority="7" operator="lessThan">
      <formula>0</formula>
    </cfRule>
  </conditionalFormatting>
  <conditionalFormatting sqref="D7 G5">
    <cfRule type="cellIs" dxfId="18" priority="6" operator="equal">
      <formula>0</formula>
    </cfRule>
  </conditionalFormatting>
  <conditionalFormatting sqref="D5:D10 G5:G10">
    <cfRule type="expression" dxfId="17" priority="4">
      <formula>ISTEXT(D5)</formula>
    </cfRule>
  </conditionalFormatting>
  <conditionalFormatting sqref="D5:D10 G5:G10 K3">
    <cfRule type="containsBlanks" dxfId="16" priority="5">
      <formula>LEN(TRIM(D3))=0</formula>
    </cfRule>
  </conditionalFormatting>
  <conditionalFormatting sqref="D5:D10">
    <cfRule type="expression" dxfId="15" priority="3">
      <formula>ISERROR($D$12:$D$13)</formula>
    </cfRule>
  </conditionalFormatting>
  <conditionalFormatting sqref="G9:G10">
    <cfRule type="cellIs" dxfId="14" priority="2" operator="notBetween">
      <formula>180</formula>
      <formula>-90</formula>
    </cfRule>
  </conditionalFormatting>
  <conditionalFormatting sqref="G5:G10">
    <cfRule type="expression" dxfId="13" priority="1">
      <formula>ISERROR($G$12:$G$13)</formula>
    </cfRule>
  </conditionalFormatting>
  <dataValidations count="1">
    <dataValidation type="list" allowBlank="1" showErrorMessage="1" sqref="K3">
      <formula1>"Forward,Reverse"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Check Box 2">
              <controlPr locked="0" defaultSize="0" autoFill="0" autoLine="0" autoPict="0">
                <anchor moveWithCells="1">
                  <from>
                    <xdr:col>12</xdr:col>
                    <xdr:colOff>0</xdr:colOff>
                    <xdr:row>2</xdr:row>
                    <xdr:rowOff>9525</xdr:rowOff>
                  </from>
                  <to>
                    <xdr:col>13</xdr:col>
                    <xdr:colOff>409575</xdr:colOff>
                    <xdr:row>2</xdr:row>
                    <xdr:rowOff>180975</xdr:rowOff>
                  </to>
                </anchor>
              </controlPr>
            </control>
          </mc:Choice>
        </mc:AlternateContent>
        <mc:AlternateContent xmlns:mc="http://schemas.openxmlformats.org/markup-compatibility/2006">
          <mc:Choice Requires="x14">
            <control shapeId="26627" r:id="rId5" name="Check Box 3">
              <controlPr locked="0" defaultSize="0" autoFill="0" autoLine="0" autoPict="0">
                <anchor moveWithCells="1">
                  <from>
                    <xdr:col>13</xdr:col>
                    <xdr:colOff>409575</xdr:colOff>
                    <xdr:row>2</xdr:row>
                    <xdr:rowOff>9525</xdr:rowOff>
                  </from>
                  <to>
                    <xdr:col>15</xdr:col>
                    <xdr:colOff>209550</xdr:colOff>
                    <xdr:row>2</xdr:row>
                    <xdr:rowOff>180975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V1216"/>
  <sheetViews>
    <sheetView workbookViewId="0">
      <pane ySplit="1" topLeftCell="A2" activePane="bottomLeft" state="frozen"/>
      <selection pane="bottomLeft"/>
    </sheetView>
  </sheetViews>
  <sheetFormatPr defaultColWidth="14" defaultRowHeight="15" customHeight="1" x14ac:dyDescent="0.25"/>
  <cols>
    <col min="1" max="1" width="10.85546875" style="132" bestFit="1" customWidth="1"/>
    <col min="2" max="2" width="10.5703125" style="132" bestFit="1" customWidth="1"/>
    <col min="3" max="3" width="9.140625" style="132" bestFit="1" customWidth="1"/>
    <col min="4" max="4" width="24.7109375" style="132" bestFit="1" customWidth="1"/>
    <col min="5" max="28" width="8.42578125" style="132" customWidth="1"/>
    <col min="29" max="16384" width="14" style="132"/>
  </cols>
  <sheetData>
    <row r="1" spans="1:21" ht="14.25" customHeight="1" x14ac:dyDescent="0.25">
      <c r="A1" s="132" t="s">
        <v>234</v>
      </c>
      <c r="B1" s="132" t="s">
        <v>235</v>
      </c>
      <c r="C1" s="132" t="s">
        <v>337</v>
      </c>
      <c r="E1" s="132" t="s">
        <v>236</v>
      </c>
      <c r="F1" s="132" t="s">
        <v>338</v>
      </c>
      <c r="G1" s="132" t="s">
        <v>340</v>
      </c>
      <c r="H1" s="132" t="s">
        <v>339</v>
      </c>
      <c r="I1" s="132" t="s">
        <v>237</v>
      </c>
      <c r="J1" s="132" t="s">
        <v>341</v>
      </c>
      <c r="K1" s="132" t="s">
        <v>342</v>
      </c>
      <c r="L1" s="132" t="s">
        <v>343</v>
      </c>
    </row>
    <row r="2" spans="1:21" ht="14.25" customHeight="1" x14ac:dyDescent="0.25">
      <c r="A2" s="132" t="s">
        <v>117</v>
      </c>
      <c r="B2" s="132" t="s">
        <v>11</v>
      </c>
      <c r="C2" s="132">
        <v>-3</v>
      </c>
      <c r="D2" s="132" t="str">
        <f t="shared" ref="D2" si="0">A2&amp;" "&amp;B2&amp;" "&amp;C2</f>
        <v>1/2" Hex AM 9015 -3</v>
      </c>
      <c r="E2" s="132">
        <v>1</v>
      </c>
      <c r="I2" s="132">
        <v>1</v>
      </c>
      <c r="O2" s="132" t="s">
        <v>238</v>
      </c>
    </row>
    <row r="3" spans="1:21" ht="14.25" customHeight="1" x14ac:dyDescent="0.25">
      <c r="A3" s="132" t="s">
        <v>117</v>
      </c>
      <c r="B3" s="132" t="s">
        <v>11</v>
      </c>
      <c r="C3" s="132">
        <v>-4</v>
      </c>
      <c r="D3" s="132" t="str">
        <f t="shared" ref="D3:D7" si="1">A3&amp;" "&amp;B3&amp;" "&amp;C3</f>
        <v>1/2" Hex AM 9015 -4</v>
      </c>
      <c r="E3" s="132">
        <v>1</v>
      </c>
      <c r="I3" s="132">
        <v>1</v>
      </c>
      <c r="O3" s="132" t="s">
        <v>117</v>
      </c>
      <c r="P3" s="132">
        <v>39.99</v>
      </c>
      <c r="Q3" s="132">
        <f>Q5+13.99</f>
        <v>31.979999999999997</v>
      </c>
      <c r="R3" s="132">
        <v>0.34</v>
      </c>
      <c r="S3" s="132">
        <v>0.22</v>
      </c>
      <c r="T3" s="132" t="s">
        <v>239</v>
      </c>
      <c r="U3" s="132" t="s">
        <v>240</v>
      </c>
    </row>
    <row r="4" spans="1:21" ht="14.25" customHeight="1" x14ac:dyDescent="0.25">
      <c r="A4" s="132" t="s">
        <v>117</v>
      </c>
      <c r="B4" s="132" t="s">
        <v>11</v>
      </c>
      <c r="C4" s="132">
        <v>-5</v>
      </c>
      <c r="D4" s="132" t="str">
        <f t="shared" si="1"/>
        <v>1/2" Hex AM 9015 -5</v>
      </c>
      <c r="E4" s="132">
        <v>1</v>
      </c>
      <c r="I4" s="132">
        <v>1</v>
      </c>
      <c r="O4" s="132" t="s">
        <v>241</v>
      </c>
      <c r="P4" s="132">
        <v>39.99</v>
      </c>
      <c r="Q4" s="132">
        <f>Q5+9.99</f>
        <v>27.979999999999997</v>
      </c>
      <c r="R4" s="132">
        <v>0.34</v>
      </c>
      <c r="S4" s="132">
        <v>0.22</v>
      </c>
      <c r="T4" s="132" t="s">
        <v>242</v>
      </c>
      <c r="U4" s="132" t="s">
        <v>243</v>
      </c>
    </row>
    <row r="5" spans="1:21" ht="14.25" customHeight="1" x14ac:dyDescent="0.25">
      <c r="A5" s="132" t="s">
        <v>117</v>
      </c>
      <c r="B5" s="132" t="s">
        <v>11</v>
      </c>
      <c r="C5" s="132">
        <v>-7</v>
      </c>
      <c r="D5" s="132" t="str">
        <f t="shared" si="1"/>
        <v>1/2" Hex AM 9015 -7</v>
      </c>
      <c r="E5" s="132">
        <v>1</v>
      </c>
      <c r="I5" s="132">
        <v>1</v>
      </c>
      <c r="O5" s="132" t="s">
        <v>244</v>
      </c>
      <c r="P5" s="132">
        <v>39.99</v>
      </c>
      <c r="Q5" s="132">
        <v>17.989999999999998</v>
      </c>
      <c r="R5" s="132">
        <v>0.34</v>
      </c>
      <c r="S5" s="132">
        <v>0.22</v>
      </c>
      <c r="T5" s="132" t="s">
        <v>245</v>
      </c>
      <c r="U5" s="132" t="s">
        <v>246</v>
      </c>
    </row>
    <row r="6" spans="1:21" ht="14.25" customHeight="1" x14ac:dyDescent="0.25">
      <c r="A6" s="132" t="s">
        <v>117</v>
      </c>
      <c r="B6" s="132" t="s">
        <v>11</v>
      </c>
      <c r="C6" s="132">
        <v>-9</v>
      </c>
      <c r="D6" s="132" t="str">
        <f t="shared" si="1"/>
        <v>1/2" Hex AM 9015 -9</v>
      </c>
      <c r="E6" s="132">
        <v>1</v>
      </c>
      <c r="I6" s="132">
        <v>1</v>
      </c>
      <c r="O6" s="132" t="s">
        <v>247</v>
      </c>
      <c r="P6" s="132">
        <v>39.99</v>
      </c>
      <c r="Q6" s="132">
        <f>Q5+9.99</f>
        <v>27.979999999999997</v>
      </c>
      <c r="R6" s="132">
        <v>0.34</v>
      </c>
      <c r="S6" s="132">
        <v>0.22</v>
      </c>
      <c r="T6" s="132" t="s">
        <v>248</v>
      </c>
      <c r="U6" s="132" t="s">
        <v>249</v>
      </c>
    </row>
    <row r="7" spans="1:21" ht="14.25" customHeight="1" x14ac:dyDescent="0.25">
      <c r="A7" s="132" t="s">
        <v>117</v>
      </c>
      <c r="B7" s="132" t="s">
        <v>11</v>
      </c>
      <c r="C7" s="132">
        <v>-10</v>
      </c>
      <c r="D7" s="132" t="str">
        <f t="shared" si="1"/>
        <v>1/2" Hex AM 9015 -10</v>
      </c>
      <c r="E7" s="132">
        <v>1</v>
      </c>
      <c r="I7" s="132">
        <v>1</v>
      </c>
      <c r="O7" s="132" t="s">
        <v>250</v>
      </c>
      <c r="P7" s="132">
        <v>44.99</v>
      </c>
      <c r="Q7" s="132">
        <v>24.99</v>
      </c>
      <c r="R7" s="132">
        <v>0.34</v>
      </c>
      <c r="S7" s="132">
        <v>0.22</v>
      </c>
      <c r="T7" s="132" t="s">
        <v>251</v>
      </c>
      <c r="U7" s="132" t="s">
        <v>252</v>
      </c>
    </row>
    <row r="8" spans="1:21" ht="14.25" customHeight="1" x14ac:dyDescent="0.25">
      <c r="A8" s="132" t="s">
        <v>117</v>
      </c>
      <c r="B8" s="132" t="s">
        <v>11</v>
      </c>
      <c r="C8" s="132">
        <v>9</v>
      </c>
      <c r="D8" s="132" t="str">
        <f>A8&amp;" "&amp;B8&amp;" "&amp;C8</f>
        <v>1/2" Hex AM 9015 9</v>
      </c>
      <c r="E8" s="132">
        <v>10</v>
      </c>
      <c r="I8" s="132">
        <v>10</v>
      </c>
    </row>
    <row r="9" spans="1:21" ht="14.25" customHeight="1" x14ac:dyDescent="0.25">
      <c r="A9" s="132" t="s">
        <v>117</v>
      </c>
      <c r="B9" s="132" t="s">
        <v>11</v>
      </c>
      <c r="C9" s="132">
        <v>12</v>
      </c>
      <c r="D9" s="132" t="str">
        <f t="shared" ref="D9:D34" si="2">A9&amp;" "&amp;B9&amp;" "&amp;C9</f>
        <v>1/2" Hex AM 9015 12</v>
      </c>
      <c r="E9" s="132">
        <v>10</v>
      </c>
      <c r="I9" s="132">
        <v>7</v>
      </c>
    </row>
    <row r="10" spans="1:21" ht="14.25" customHeight="1" x14ac:dyDescent="0.25">
      <c r="A10" s="132" t="s">
        <v>117</v>
      </c>
      <c r="B10" s="132" t="s">
        <v>11</v>
      </c>
      <c r="C10" s="132">
        <v>15</v>
      </c>
      <c r="D10" s="132" t="str">
        <f t="shared" si="2"/>
        <v>1/2" Hex AM 9015 15</v>
      </c>
      <c r="E10" s="132">
        <v>10</v>
      </c>
      <c r="I10" s="132">
        <v>5</v>
      </c>
      <c r="O10" s="132" t="s">
        <v>253</v>
      </c>
    </row>
    <row r="11" spans="1:21" ht="14.25" customHeight="1" x14ac:dyDescent="0.25">
      <c r="A11" s="132" t="s">
        <v>117</v>
      </c>
      <c r="B11" s="132" t="s">
        <v>11</v>
      </c>
      <c r="C11" s="132">
        <v>16</v>
      </c>
      <c r="D11" s="132" t="str">
        <f t="shared" si="2"/>
        <v>1/2" Hex AM 9015 16</v>
      </c>
      <c r="E11" s="132">
        <v>10</v>
      </c>
      <c r="I11" s="132">
        <v>5</v>
      </c>
      <c r="O11" s="132" t="s">
        <v>11</v>
      </c>
      <c r="P11" s="132">
        <v>0</v>
      </c>
      <c r="Q11" s="132">
        <v>12.98</v>
      </c>
      <c r="R11" s="132">
        <v>0</v>
      </c>
      <c r="S11" s="132">
        <v>0</v>
      </c>
      <c r="U11" s="132" t="s">
        <v>254</v>
      </c>
    </row>
    <row r="12" spans="1:21" ht="14.25" customHeight="1" x14ac:dyDescent="0.25">
      <c r="A12" s="132" t="s">
        <v>117</v>
      </c>
      <c r="B12" s="132" t="s">
        <v>11</v>
      </c>
      <c r="C12" s="132">
        <v>20</v>
      </c>
      <c r="D12" s="132" t="str">
        <f t="shared" si="2"/>
        <v>1/2" Hex AM 9015 20</v>
      </c>
      <c r="E12" s="132">
        <v>10</v>
      </c>
      <c r="I12" s="132">
        <v>4</v>
      </c>
      <c r="O12" s="132" t="s">
        <v>331</v>
      </c>
      <c r="P12" s="132">
        <v>0</v>
      </c>
      <c r="Q12" s="132">
        <v>0</v>
      </c>
      <c r="R12" s="132">
        <v>0</v>
      </c>
      <c r="S12" s="132">
        <v>0</v>
      </c>
    </row>
    <row r="13" spans="1:21" ht="14.25" customHeight="1" x14ac:dyDescent="0.25">
      <c r="A13" s="132" t="s">
        <v>117</v>
      </c>
      <c r="B13" s="132" t="s">
        <v>11</v>
      </c>
      <c r="C13" s="132">
        <v>21</v>
      </c>
      <c r="D13" s="132" t="str">
        <f t="shared" si="2"/>
        <v>1/2" Hex AM 9015 21</v>
      </c>
      <c r="E13" s="132">
        <v>10</v>
      </c>
      <c r="I13" s="132">
        <v>4</v>
      </c>
      <c r="O13" s="132" t="s">
        <v>327</v>
      </c>
      <c r="P13" s="132">
        <v>0</v>
      </c>
      <c r="Q13" s="132">
        <v>0</v>
      </c>
      <c r="R13" s="132">
        <v>0</v>
      </c>
      <c r="S13" s="132">
        <v>0</v>
      </c>
    </row>
    <row r="14" spans="1:21" ht="14.25" customHeight="1" x14ac:dyDescent="0.25">
      <c r="A14" s="132" t="s">
        <v>117</v>
      </c>
      <c r="B14" s="132" t="s">
        <v>11</v>
      </c>
      <c r="C14" s="132">
        <v>25</v>
      </c>
      <c r="D14" s="132" t="str">
        <f t="shared" si="2"/>
        <v>1/2" Hex AM 9015 25</v>
      </c>
      <c r="E14" s="132">
        <v>7</v>
      </c>
      <c r="I14" s="132">
        <v>3</v>
      </c>
      <c r="O14" s="132" t="s">
        <v>328</v>
      </c>
      <c r="P14" s="132">
        <v>0</v>
      </c>
      <c r="Q14" s="132">
        <v>12.98</v>
      </c>
      <c r="R14" s="132">
        <v>0</v>
      </c>
      <c r="S14" s="132">
        <v>0</v>
      </c>
      <c r="U14" s="132" t="s">
        <v>254</v>
      </c>
    </row>
    <row r="15" spans="1:21" ht="14.25" customHeight="1" x14ac:dyDescent="0.25">
      <c r="A15" s="132" t="s">
        <v>117</v>
      </c>
      <c r="B15" s="132" t="s">
        <v>11</v>
      </c>
      <c r="C15" s="132">
        <v>27</v>
      </c>
      <c r="D15" s="132" t="str">
        <f t="shared" si="2"/>
        <v>1/2" Hex AM 9015 27</v>
      </c>
      <c r="E15" s="132">
        <v>7</v>
      </c>
      <c r="I15" s="132">
        <v>3</v>
      </c>
      <c r="O15" s="132" t="s">
        <v>8</v>
      </c>
      <c r="P15" s="132">
        <v>0</v>
      </c>
      <c r="Q15" s="132">
        <v>12.98</v>
      </c>
      <c r="R15" s="132">
        <v>0</v>
      </c>
      <c r="S15" s="132">
        <v>0</v>
      </c>
      <c r="U15" s="132" t="s">
        <v>254</v>
      </c>
    </row>
    <row r="16" spans="1:21" ht="14.25" customHeight="1" x14ac:dyDescent="0.25">
      <c r="A16" s="132" t="s">
        <v>117</v>
      </c>
      <c r="B16" s="132" t="s">
        <v>11</v>
      </c>
      <c r="C16" s="132">
        <v>28</v>
      </c>
      <c r="D16" s="132" t="str">
        <f t="shared" si="2"/>
        <v>1/2" Hex AM 9015 28</v>
      </c>
      <c r="E16" s="132">
        <v>7</v>
      </c>
      <c r="I16" s="132">
        <v>3</v>
      </c>
      <c r="O16" s="132" t="s">
        <v>7</v>
      </c>
      <c r="P16" s="132">
        <v>4.99</v>
      </c>
      <c r="Q16" s="132">
        <v>11.98</v>
      </c>
      <c r="R16" s="132">
        <v>0.7</v>
      </c>
      <c r="S16" s="132">
        <v>0.7</v>
      </c>
      <c r="T16" s="132" t="s">
        <v>255</v>
      </c>
      <c r="U16" s="132" t="s">
        <v>255</v>
      </c>
    </row>
    <row r="17" spans="1:21" ht="14.25" customHeight="1" x14ac:dyDescent="0.25">
      <c r="A17" s="132" t="s">
        <v>117</v>
      </c>
      <c r="B17" s="132" t="s">
        <v>11</v>
      </c>
      <c r="C17" s="132">
        <v>30</v>
      </c>
      <c r="D17" s="132" t="str">
        <f t="shared" si="2"/>
        <v>1/2" Hex AM 9015 30</v>
      </c>
      <c r="E17" s="132">
        <v>7</v>
      </c>
      <c r="I17" s="132">
        <v>3</v>
      </c>
      <c r="O17" s="132" t="s">
        <v>6</v>
      </c>
      <c r="P17" s="132">
        <v>4.99</v>
      </c>
      <c r="Q17" s="132">
        <v>11.98</v>
      </c>
      <c r="R17" s="132">
        <v>0.7</v>
      </c>
      <c r="S17" s="132">
        <v>0.7</v>
      </c>
      <c r="T17" s="132" t="s">
        <v>255</v>
      </c>
      <c r="U17" s="132" t="s">
        <v>255</v>
      </c>
    </row>
    <row r="18" spans="1:21" ht="14.25" customHeight="1" x14ac:dyDescent="0.25">
      <c r="A18" s="132" t="s">
        <v>117</v>
      </c>
      <c r="B18" s="132" t="s">
        <v>11</v>
      </c>
      <c r="C18" s="132">
        <v>35</v>
      </c>
      <c r="D18" s="132" t="str">
        <f t="shared" si="2"/>
        <v>1/2" Hex AM 9015 35</v>
      </c>
      <c r="E18" s="132">
        <v>5</v>
      </c>
      <c r="I18" s="132">
        <v>1</v>
      </c>
      <c r="O18" s="132" t="s">
        <v>256</v>
      </c>
      <c r="P18" s="132">
        <v>0</v>
      </c>
      <c r="Q18" s="132">
        <v>12.98</v>
      </c>
      <c r="R18" s="132">
        <v>0</v>
      </c>
      <c r="S18" s="132">
        <v>0</v>
      </c>
      <c r="U18" s="132" t="s">
        <v>254</v>
      </c>
    </row>
    <row r="19" spans="1:21" ht="14.25" customHeight="1" x14ac:dyDescent="0.25">
      <c r="A19" s="132" t="s">
        <v>117</v>
      </c>
      <c r="B19" s="132" t="s">
        <v>11</v>
      </c>
      <c r="C19" s="132">
        <v>36</v>
      </c>
      <c r="D19" s="132" t="str">
        <f t="shared" si="2"/>
        <v>1/2" Hex AM 9015 36</v>
      </c>
      <c r="E19" s="132">
        <v>5</v>
      </c>
      <c r="I19" s="132">
        <v>1</v>
      </c>
      <c r="O19" s="132" t="s">
        <v>9</v>
      </c>
      <c r="P19" s="132">
        <v>4.99</v>
      </c>
      <c r="Q19" s="132">
        <v>11.98</v>
      </c>
      <c r="R19" s="132">
        <v>0.7</v>
      </c>
      <c r="S19" s="132">
        <v>0.7</v>
      </c>
      <c r="T19" s="132" t="s">
        <v>255</v>
      </c>
      <c r="U19" s="132" t="s">
        <v>255</v>
      </c>
    </row>
    <row r="20" spans="1:21" ht="14.25" customHeight="1" x14ac:dyDescent="0.25">
      <c r="A20" s="132" t="s">
        <v>117</v>
      </c>
      <c r="B20" s="132" t="s">
        <v>11</v>
      </c>
      <c r="C20" s="132">
        <v>40</v>
      </c>
      <c r="D20" s="132" t="str">
        <f t="shared" si="2"/>
        <v>1/2" Hex AM 9015 40</v>
      </c>
      <c r="E20" s="132">
        <v>5</v>
      </c>
      <c r="I20" s="132">
        <v>1</v>
      </c>
      <c r="O20" s="132" t="s">
        <v>334</v>
      </c>
      <c r="P20" s="132">
        <v>4.99</v>
      </c>
      <c r="Q20" s="132">
        <v>11.98</v>
      </c>
      <c r="R20" s="132">
        <v>0.7</v>
      </c>
      <c r="S20" s="132">
        <v>0.7</v>
      </c>
      <c r="T20" s="132" t="s">
        <v>255</v>
      </c>
      <c r="U20" s="132" t="s">
        <v>255</v>
      </c>
    </row>
    <row r="21" spans="1:21" ht="14.25" customHeight="1" x14ac:dyDescent="0.25">
      <c r="A21" s="132" t="s">
        <v>117</v>
      </c>
      <c r="B21" s="132" t="s">
        <v>11</v>
      </c>
      <c r="C21" s="132">
        <v>45</v>
      </c>
      <c r="D21" s="132" t="str">
        <f t="shared" si="2"/>
        <v>1/2" Hex AM 9015 45</v>
      </c>
      <c r="E21" s="132">
        <v>5</v>
      </c>
      <c r="I21" s="132">
        <v>1</v>
      </c>
    </row>
    <row r="22" spans="1:21" ht="14.25" customHeight="1" x14ac:dyDescent="0.25">
      <c r="A22" s="132" t="s">
        <v>117</v>
      </c>
      <c r="B22" s="132" t="s">
        <v>11</v>
      </c>
      <c r="C22" s="132">
        <v>49</v>
      </c>
      <c r="D22" s="132" t="str">
        <f t="shared" si="2"/>
        <v>1/2" Hex AM 9015 49</v>
      </c>
      <c r="E22" s="132">
        <v>5</v>
      </c>
      <c r="I22" s="132">
        <v>1</v>
      </c>
    </row>
    <row r="23" spans="1:21" ht="14.25" customHeight="1" x14ac:dyDescent="0.25">
      <c r="A23" s="132" t="s">
        <v>117</v>
      </c>
      <c r="B23" s="132" t="s">
        <v>11</v>
      </c>
      <c r="C23" s="132">
        <v>50</v>
      </c>
      <c r="D23" s="132" t="str">
        <f t="shared" si="2"/>
        <v>1/2" Hex AM 9015 50</v>
      </c>
      <c r="E23" s="132">
        <v>5</v>
      </c>
      <c r="I23" s="132">
        <v>1</v>
      </c>
      <c r="O23" s="132" t="s">
        <v>257</v>
      </c>
    </row>
    <row r="24" spans="1:21" ht="14.25" customHeight="1" x14ac:dyDescent="0.25">
      <c r="A24" s="132" t="s">
        <v>117</v>
      </c>
      <c r="B24" s="132" t="s">
        <v>11</v>
      </c>
      <c r="C24" s="132">
        <v>63</v>
      </c>
      <c r="D24" s="132" t="str">
        <f t="shared" si="2"/>
        <v>1/2" Hex AM 9015 63</v>
      </c>
      <c r="E24" s="132">
        <v>5</v>
      </c>
      <c r="I24" s="132">
        <v>1</v>
      </c>
      <c r="O24" s="132" t="s">
        <v>258</v>
      </c>
      <c r="P24" s="132">
        <v>0</v>
      </c>
      <c r="Q24" s="132">
        <v>0</v>
      </c>
      <c r="R24" s="132">
        <v>0</v>
      </c>
      <c r="S24" s="132">
        <v>0</v>
      </c>
    </row>
    <row r="25" spans="1:21" ht="14.25" customHeight="1" x14ac:dyDescent="0.25">
      <c r="A25" s="132" t="s">
        <v>117</v>
      </c>
      <c r="B25" s="132" t="s">
        <v>11</v>
      </c>
      <c r="C25" s="132">
        <v>70</v>
      </c>
      <c r="D25" s="132" t="str">
        <f t="shared" si="2"/>
        <v>1/2" Hex AM 9015 70</v>
      </c>
      <c r="E25" s="132">
        <v>4</v>
      </c>
      <c r="I25" s="132">
        <v>1</v>
      </c>
      <c r="O25" s="132" t="s">
        <v>259</v>
      </c>
      <c r="P25" s="132">
        <v>24.98</v>
      </c>
      <c r="Q25" s="132">
        <v>16.98</v>
      </c>
      <c r="R25" s="132">
        <v>0.2</v>
      </c>
      <c r="S25" s="132">
        <v>0.18</v>
      </c>
      <c r="T25" s="132" t="s">
        <v>260</v>
      </c>
      <c r="U25" s="132" t="s">
        <v>261</v>
      </c>
    </row>
    <row r="26" spans="1:21" ht="14.25" customHeight="1" x14ac:dyDescent="0.25">
      <c r="A26" s="132" t="s">
        <v>117</v>
      </c>
      <c r="B26" s="132" t="s">
        <v>11</v>
      </c>
      <c r="C26" s="132">
        <v>81</v>
      </c>
      <c r="D26" s="132" t="str">
        <f t="shared" si="2"/>
        <v>1/2" Hex AM 9015 81</v>
      </c>
      <c r="E26" s="132">
        <v>4</v>
      </c>
      <c r="I26" s="132">
        <v>1</v>
      </c>
      <c r="O26" s="132" t="s">
        <v>262</v>
      </c>
      <c r="P26" s="132">
        <v>24.98</v>
      </c>
      <c r="Q26" s="132">
        <v>16.98</v>
      </c>
      <c r="R26" s="132">
        <v>0.2</v>
      </c>
      <c r="S26" s="132">
        <v>0.18</v>
      </c>
      <c r="T26" s="132" t="s">
        <v>263</v>
      </c>
      <c r="U26" s="132" t="s">
        <v>264</v>
      </c>
    </row>
    <row r="27" spans="1:21" ht="14.25" customHeight="1" x14ac:dyDescent="0.25">
      <c r="A27" s="132" t="s">
        <v>117</v>
      </c>
      <c r="B27" s="132" t="s">
        <v>11</v>
      </c>
      <c r="C27" s="132">
        <v>90</v>
      </c>
      <c r="D27" s="132" t="str">
        <f t="shared" si="2"/>
        <v>1/2" Hex AM 9015 90</v>
      </c>
      <c r="E27" s="132">
        <v>3</v>
      </c>
      <c r="I27" s="132">
        <v>1</v>
      </c>
      <c r="O27" s="132" t="s">
        <v>265</v>
      </c>
      <c r="P27" s="132">
        <v>24.98</v>
      </c>
      <c r="Q27" s="132">
        <v>16.98</v>
      </c>
      <c r="R27" s="132">
        <v>0.2</v>
      </c>
      <c r="S27" s="132">
        <v>0.18</v>
      </c>
      <c r="T27" s="132" t="s">
        <v>266</v>
      </c>
      <c r="U27" s="132" t="s">
        <v>267</v>
      </c>
    </row>
    <row r="28" spans="1:21" ht="14.25" customHeight="1" x14ac:dyDescent="0.25">
      <c r="A28" s="132" t="s">
        <v>117</v>
      </c>
      <c r="B28" s="132" t="s">
        <v>11</v>
      </c>
      <c r="C28" s="132">
        <v>100</v>
      </c>
      <c r="D28" s="132" t="str">
        <f t="shared" si="2"/>
        <v>1/2" Hex AM 9015 100</v>
      </c>
      <c r="E28" s="132">
        <v>3</v>
      </c>
      <c r="I28" s="132">
        <v>0</v>
      </c>
      <c r="O28" s="132" t="s">
        <v>268</v>
      </c>
      <c r="P28" s="132">
        <v>24.98</v>
      </c>
      <c r="Q28" s="132">
        <v>16.98</v>
      </c>
      <c r="R28" s="132">
        <v>0.2</v>
      </c>
      <c r="S28" s="132">
        <v>0.18</v>
      </c>
      <c r="T28" s="132" t="s">
        <v>269</v>
      </c>
      <c r="U28" s="132" t="s">
        <v>270</v>
      </c>
    </row>
    <row r="29" spans="1:21" ht="14.25" customHeight="1" x14ac:dyDescent="0.25">
      <c r="A29" s="132" t="s">
        <v>117</v>
      </c>
      <c r="B29" s="132" t="s">
        <v>327</v>
      </c>
      <c r="C29" s="132">
        <v>-3</v>
      </c>
      <c r="D29" s="132" t="str">
        <f t="shared" si="2"/>
        <v>1/2" Hex BB RS-550 -3</v>
      </c>
      <c r="E29" s="132">
        <v>1</v>
      </c>
      <c r="F29" s="132">
        <v>1</v>
      </c>
      <c r="G29" s="132">
        <v>1</v>
      </c>
      <c r="H29" s="132">
        <v>1</v>
      </c>
      <c r="I29" s="132">
        <v>1</v>
      </c>
      <c r="O29" s="132" t="s">
        <v>271</v>
      </c>
      <c r="P29" s="132">
        <v>24.98</v>
      </c>
      <c r="Q29" s="132">
        <v>16.98</v>
      </c>
      <c r="R29" s="132">
        <v>0.2</v>
      </c>
      <c r="S29" s="132">
        <v>0.18</v>
      </c>
      <c r="T29" s="132" t="s">
        <v>272</v>
      </c>
      <c r="U29" s="132" t="s">
        <v>273</v>
      </c>
    </row>
    <row r="30" spans="1:21" ht="14.25" customHeight="1" x14ac:dyDescent="0.25">
      <c r="A30" s="132" t="s">
        <v>117</v>
      </c>
      <c r="B30" s="132" t="s">
        <v>327</v>
      </c>
      <c r="C30" s="132">
        <v>-4</v>
      </c>
      <c r="D30" s="132" t="str">
        <f t="shared" si="2"/>
        <v>1/2" Hex BB RS-550 -4</v>
      </c>
      <c r="E30" s="132">
        <v>1</v>
      </c>
      <c r="F30" s="132">
        <v>1</v>
      </c>
      <c r="G30" s="132">
        <v>1</v>
      </c>
      <c r="H30" s="132">
        <v>1</v>
      </c>
      <c r="I30" s="132">
        <v>1</v>
      </c>
      <c r="O30" s="132" t="s">
        <v>274</v>
      </c>
      <c r="P30" s="132">
        <v>24.98</v>
      </c>
      <c r="Q30" s="132">
        <v>16.98</v>
      </c>
      <c r="R30" s="132">
        <v>0.2</v>
      </c>
      <c r="S30" s="132">
        <v>0.18</v>
      </c>
      <c r="T30" s="132" t="s">
        <v>275</v>
      </c>
      <c r="U30" s="132" t="s">
        <v>276</v>
      </c>
    </row>
    <row r="31" spans="1:21" ht="14.25" customHeight="1" x14ac:dyDescent="0.25">
      <c r="A31" s="132" t="s">
        <v>117</v>
      </c>
      <c r="B31" s="132" t="s">
        <v>327</v>
      </c>
      <c r="C31" s="132">
        <v>-5</v>
      </c>
      <c r="D31" s="132" t="str">
        <f t="shared" si="2"/>
        <v>1/2" Hex BB RS-550 -5</v>
      </c>
      <c r="E31" s="132">
        <v>1</v>
      </c>
      <c r="F31" s="132">
        <v>1</v>
      </c>
      <c r="G31" s="132">
        <v>1</v>
      </c>
      <c r="H31" s="132">
        <v>1</v>
      </c>
      <c r="I31" s="132">
        <v>1</v>
      </c>
    </row>
    <row r="32" spans="1:21" ht="14.25" customHeight="1" x14ac:dyDescent="0.25">
      <c r="A32" s="132" t="s">
        <v>117</v>
      </c>
      <c r="B32" s="132" t="s">
        <v>327</v>
      </c>
      <c r="C32" s="132">
        <v>-7</v>
      </c>
      <c r="D32" s="132" t="str">
        <f t="shared" si="2"/>
        <v>1/2" Hex BB RS-550 -7</v>
      </c>
      <c r="E32" s="132">
        <v>1</v>
      </c>
      <c r="F32" s="132">
        <v>1</v>
      </c>
      <c r="G32" s="132">
        <v>1</v>
      </c>
      <c r="H32" s="132">
        <v>0</v>
      </c>
      <c r="I32" s="132">
        <v>1</v>
      </c>
    </row>
    <row r="33" spans="1:22" ht="14.25" customHeight="1" x14ac:dyDescent="0.25">
      <c r="A33" s="132" t="s">
        <v>117</v>
      </c>
      <c r="B33" s="132" t="s">
        <v>327</v>
      </c>
      <c r="C33" s="132">
        <v>-9</v>
      </c>
      <c r="D33" s="132" t="str">
        <f t="shared" si="2"/>
        <v>1/2" Hex BB RS-550 -9</v>
      </c>
      <c r="E33" s="132">
        <v>1</v>
      </c>
      <c r="F33" s="132">
        <v>1</v>
      </c>
      <c r="G33" s="132">
        <v>0</v>
      </c>
      <c r="H33" s="132">
        <v>0</v>
      </c>
      <c r="I33" s="132">
        <v>1</v>
      </c>
      <c r="O33" s="132" t="s">
        <v>277</v>
      </c>
    </row>
    <row r="34" spans="1:22" ht="14.25" customHeight="1" x14ac:dyDescent="0.25">
      <c r="A34" s="132" t="s">
        <v>117</v>
      </c>
      <c r="B34" s="132" t="s">
        <v>327</v>
      </c>
      <c r="C34" s="132">
        <v>-10</v>
      </c>
      <c r="D34" s="132" t="str">
        <f t="shared" si="2"/>
        <v>1/2" Hex BB RS-550 -10</v>
      </c>
      <c r="E34" s="132">
        <v>1</v>
      </c>
      <c r="F34" s="132">
        <v>1</v>
      </c>
      <c r="G34" s="132">
        <v>0</v>
      </c>
      <c r="H34" s="132">
        <v>0</v>
      </c>
      <c r="I34" s="132">
        <v>1</v>
      </c>
      <c r="O34" s="132" t="s">
        <v>258</v>
      </c>
      <c r="P34" s="132">
        <v>0</v>
      </c>
      <c r="R34" s="132">
        <v>0</v>
      </c>
    </row>
    <row r="35" spans="1:22" ht="14.25" customHeight="1" x14ac:dyDescent="0.25">
      <c r="A35" s="132" t="s">
        <v>117</v>
      </c>
      <c r="B35" s="132" t="s">
        <v>327</v>
      </c>
      <c r="C35" s="132">
        <v>9</v>
      </c>
      <c r="D35" s="132" t="str">
        <f>A35&amp;" "&amp;B35&amp;" "&amp;C35</f>
        <v>1/2" Hex BB RS-550 9</v>
      </c>
      <c r="E35" s="132">
        <v>10</v>
      </c>
      <c r="F35" s="132">
        <v>10</v>
      </c>
      <c r="G35" s="132">
        <v>1</v>
      </c>
      <c r="H35" s="132">
        <v>0</v>
      </c>
      <c r="I35" s="132">
        <v>10</v>
      </c>
      <c r="O35" s="132" t="s">
        <v>278</v>
      </c>
      <c r="P35" s="132">
        <v>41.97</v>
      </c>
      <c r="R35" s="132">
        <v>0.31</v>
      </c>
      <c r="T35" s="132" t="s">
        <v>279</v>
      </c>
      <c r="U35" s="132" t="s">
        <v>279</v>
      </c>
      <c r="V35" s="132" t="s">
        <v>279</v>
      </c>
    </row>
    <row r="36" spans="1:22" ht="14.25" customHeight="1" x14ac:dyDescent="0.25">
      <c r="A36" s="132" t="s">
        <v>117</v>
      </c>
      <c r="B36" s="132" t="s">
        <v>327</v>
      </c>
      <c r="C36" s="132">
        <v>12</v>
      </c>
      <c r="D36" s="132" t="str">
        <f t="shared" ref="D36:D61" si="3">A36&amp;" "&amp;B36&amp;" "&amp;C36</f>
        <v>1/2" Hex BB RS-550 12</v>
      </c>
      <c r="E36" s="132">
        <v>10</v>
      </c>
      <c r="F36" s="132">
        <v>7</v>
      </c>
      <c r="G36" s="132">
        <v>0</v>
      </c>
      <c r="H36" s="132">
        <v>0</v>
      </c>
      <c r="I36" s="132">
        <v>7</v>
      </c>
      <c r="O36" s="132" t="s">
        <v>280</v>
      </c>
      <c r="P36" s="132">
        <v>42.97</v>
      </c>
      <c r="R36" s="132">
        <v>0.31</v>
      </c>
      <c r="T36" s="132" t="s">
        <v>281</v>
      </c>
      <c r="U36" s="132" t="s">
        <v>282</v>
      </c>
      <c r="V36" s="132" t="s">
        <v>283</v>
      </c>
    </row>
    <row r="37" spans="1:22" ht="14.25" customHeight="1" x14ac:dyDescent="0.25">
      <c r="A37" s="132" t="s">
        <v>117</v>
      </c>
      <c r="B37" s="132" t="s">
        <v>327</v>
      </c>
      <c r="C37" s="132">
        <v>15</v>
      </c>
      <c r="D37" s="132" t="str">
        <f t="shared" si="3"/>
        <v>1/2" Hex BB RS-550 15</v>
      </c>
      <c r="E37" s="132">
        <v>10</v>
      </c>
      <c r="F37" s="132">
        <v>5</v>
      </c>
      <c r="G37" s="132">
        <v>0</v>
      </c>
      <c r="H37" s="132">
        <v>0</v>
      </c>
      <c r="I37" s="132">
        <v>5</v>
      </c>
      <c r="O37" s="132" t="s">
        <v>284</v>
      </c>
      <c r="P37" s="132">
        <v>42.97</v>
      </c>
      <c r="R37" s="132">
        <v>0.31</v>
      </c>
      <c r="T37" s="132" t="s">
        <v>285</v>
      </c>
      <c r="U37" s="132" t="s">
        <v>286</v>
      </c>
      <c r="V37" s="132" t="s">
        <v>287</v>
      </c>
    </row>
    <row r="38" spans="1:22" ht="14.25" customHeight="1" x14ac:dyDescent="0.25">
      <c r="A38" s="132" t="s">
        <v>117</v>
      </c>
      <c r="B38" s="132" t="s">
        <v>327</v>
      </c>
      <c r="C38" s="132">
        <v>16</v>
      </c>
      <c r="D38" s="132" t="str">
        <f t="shared" si="3"/>
        <v>1/2" Hex BB RS-550 16</v>
      </c>
      <c r="E38" s="132">
        <v>10</v>
      </c>
      <c r="F38" s="132">
        <v>5</v>
      </c>
      <c r="G38" s="132">
        <v>0</v>
      </c>
      <c r="H38" s="132">
        <v>0</v>
      </c>
      <c r="I38" s="132">
        <v>5</v>
      </c>
      <c r="O38" s="132" t="s">
        <v>288</v>
      </c>
      <c r="P38" s="132">
        <v>56.97</v>
      </c>
      <c r="R38" s="132">
        <v>0.34</v>
      </c>
      <c r="T38" s="132" t="s">
        <v>289</v>
      </c>
      <c r="U38" s="132" t="s">
        <v>289</v>
      </c>
      <c r="V38" s="132" t="s">
        <v>289</v>
      </c>
    </row>
    <row r="39" spans="1:22" ht="14.25" customHeight="1" x14ac:dyDescent="0.25">
      <c r="A39" s="132" t="s">
        <v>117</v>
      </c>
      <c r="B39" s="132" t="s">
        <v>327</v>
      </c>
      <c r="C39" s="132">
        <v>20</v>
      </c>
      <c r="D39" s="132" t="str">
        <f t="shared" si="3"/>
        <v>1/2" Hex BB RS-550 20</v>
      </c>
      <c r="E39" s="132">
        <v>9</v>
      </c>
      <c r="F39" s="132">
        <v>5</v>
      </c>
      <c r="G39" s="132">
        <v>0</v>
      </c>
      <c r="H39" s="132">
        <v>0</v>
      </c>
      <c r="I39" s="132">
        <v>4</v>
      </c>
      <c r="O39" s="132" t="s">
        <v>290</v>
      </c>
      <c r="P39" s="132">
        <v>57.97</v>
      </c>
      <c r="R39" s="132">
        <v>0.34</v>
      </c>
      <c r="T39" s="132" t="s">
        <v>291</v>
      </c>
      <c r="U39" s="132" t="s">
        <v>292</v>
      </c>
      <c r="V39" s="132" t="s">
        <v>293</v>
      </c>
    </row>
    <row r="40" spans="1:22" ht="14.25" customHeight="1" x14ac:dyDescent="0.25">
      <c r="A40" s="132" t="s">
        <v>117</v>
      </c>
      <c r="B40" s="132" t="s">
        <v>327</v>
      </c>
      <c r="C40" s="132">
        <v>21</v>
      </c>
      <c r="D40" s="132" t="str">
        <f t="shared" si="3"/>
        <v>1/2" Hex BB RS-550 21</v>
      </c>
      <c r="E40" s="132">
        <v>9</v>
      </c>
      <c r="F40" s="132">
        <v>5</v>
      </c>
      <c r="G40" s="132">
        <v>0</v>
      </c>
      <c r="H40" s="132">
        <v>0</v>
      </c>
      <c r="I40" s="132">
        <v>4</v>
      </c>
      <c r="O40" s="132" t="s">
        <v>294</v>
      </c>
      <c r="P40" s="132">
        <v>57.97</v>
      </c>
      <c r="R40" s="132">
        <v>0.34</v>
      </c>
      <c r="T40" s="132" t="s">
        <v>295</v>
      </c>
      <c r="U40" s="132" t="s">
        <v>296</v>
      </c>
      <c r="V40" s="132" t="s">
        <v>297</v>
      </c>
    </row>
    <row r="41" spans="1:22" ht="14.25" customHeight="1" x14ac:dyDescent="0.25">
      <c r="A41" s="132" t="s">
        <v>117</v>
      </c>
      <c r="B41" s="132" t="s">
        <v>327</v>
      </c>
      <c r="C41" s="132">
        <v>25</v>
      </c>
      <c r="D41" s="132" t="str">
        <f t="shared" si="3"/>
        <v>1/2" Hex BB RS-550 25</v>
      </c>
      <c r="E41" s="132">
        <v>7</v>
      </c>
      <c r="F41" s="132">
        <v>5</v>
      </c>
      <c r="G41" s="132">
        <v>0</v>
      </c>
      <c r="H41" s="132">
        <v>0</v>
      </c>
      <c r="I41" s="132">
        <v>3</v>
      </c>
      <c r="O41" s="132" t="s">
        <v>277</v>
      </c>
      <c r="P41" s="132">
        <v>14.98</v>
      </c>
      <c r="R41" s="132">
        <v>0.2</v>
      </c>
      <c r="T41" s="132" t="s">
        <v>298</v>
      </c>
    </row>
    <row r="42" spans="1:22" ht="14.25" customHeight="1" x14ac:dyDescent="0.25">
      <c r="A42" s="132" t="s">
        <v>117</v>
      </c>
      <c r="B42" s="132" t="s">
        <v>327</v>
      </c>
      <c r="C42" s="132">
        <v>27</v>
      </c>
      <c r="D42" s="132" t="str">
        <f t="shared" si="3"/>
        <v>1/2" Hex BB RS-550 27</v>
      </c>
      <c r="E42" s="132">
        <v>7</v>
      </c>
      <c r="F42" s="132">
        <v>5</v>
      </c>
      <c r="G42" s="132">
        <v>0</v>
      </c>
      <c r="H42" s="132">
        <v>0</v>
      </c>
      <c r="I42" s="132">
        <v>3</v>
      </c>
    </row>
    <row r="43" spans="1:22" ht="14.25" customHeight="1" x14ac:dyDescent="0.25">
      <c r="A43" s="132" t="s">
        <v>117</v>
      </c>
      <c r="B43" s="132" t="s">
        <v>327</v>
      </c>
      <c r="C43" s="132">
        <v>28</v>
      </c>
      <c r="D43" s="132" t="str">
        <f t="shared" si="3"/>
        <v>1/2" Hex BB RS-550 28</v>
      </c>
      <c r="E43" s="132">
        <v>7</v>
      </c>
      <c r="F43" s="132">
        <v>5</v>
      </c>
      <c r="G43" s="132">
        <v>0</v>
      </c>
      <c r="H43" s="132">
        <v>0</v>
      </c>
      <c r="I43" s="132">
        <v>3</v>
      </c>
    </row>
    <row r="44" spans="1:22" ht="14.25" customHeight="1" x14ac:dyDescent="0.25">
      <c r="A44" s="132" t="s">
        <v>117</v>
      </c>
      <c r="B44" s="132" t="s">
        <v>327</v>
      </c>
      <c r="C44" s="132">
        <v>30</v>
      </c>
      <c r="D44" s="132" t="str">
        <f t="shared" si="3"/>
        <v>1/2" Hex BB RS-550 30</v>
      </c>
      <c r="E44" s="132">
        <v>5</v>
      </c>
      <c r="F44" s="132">
        <v>5</v>
      </c>
      <c r="G44" s="132">
        <v>0</v>
      </c>
      <c r="H44" s="132">
        <v>0</v>
      </c>
      <c r="I44" s="132">
        <v>3</v>
      </c>
      <c r="O44" s="132" t="s">
        <v>299</v>
      </c>
    </row>
    <row r="45" spans="1:22" ht="14.25" customHeight="1" x14ac:dyDescent="0.25">
      <c r="A45" s="132" t="s">
        <v>117</v>
      </c>
      <c r="B45" s="132" t="s">
        <v>327</v>
      </c>
      <c r="C45" s="132">
        <v>35</v>
      </c>
      <c r="D45" s="132" t="str">
        <f t="shared" si="3"/>
        <v>1/2" Hex BB RS-550 35</v>
      </c>
      <c r="E45" s="132">
        <v>5</v>
      </c>
      <c r="F45" s="132">
        <v>4</v>
      </c>
      <c r="G45" s="132">
        <v>0</v>
      </c>
      <c r="H45" s="132">
        <v>0</v>
      </c>
      <c r="I45" s="132">
        <v>1</v>
      </c>
      <c r="O45" s="132" t="s">
        <v>60</v>
      </c>
      <c r="P45" s="132">
        <v>67.95</v>
      </c>
      <c r="T45" s="132" t="s">
        <v>300</v>
      </c>
      <c r="U45" s="132" t="s">
        <v>301</v>
      </c>
      <c r="V45" s="132" t="s">
        <v>302</v>
      </c>
    </row>
    <row r="46" spans="1:22" ht="14.25" customHeight="1" x14ac:dyDescent="0.25">
      <c r="A46" s="132" t="s">
        <v>117</v>
      </c>
      <c r="B46" s="132" t="s">
        <v>327</v>
      </c>
      <c r="C46" s="132">
        <v>36</v>
      </c>
      <c r="D46" s="132" t="str">
        <f t="shared" si="3"/>
        <v>1/2" Hex BB RS-550 36</v>
      </c>
      <c r="E46" s="132">
        <v>5</v>
      </c>
      <c r="F46" s="132">
        <v>4</v>
      </c>
      <c r="G46" s="132">
        <v>0</v>
      </c>
      <c r="H46" s="132">
        <v>0</v>
      </c>
      <c r="I46" s="132">
        <v>1</v>
      </c>
      <c r="O46" s="132" t="s">
        <v>303</v>
      </c>
      <c r="P46" s="132">
        <v>0</v>
      </c>
    </row>
    <row r="47" spans="1:22" ht="14.25" customHeight="1" x14ac:dyDescent="0.25">
      <c r="A47" s="132" t="s">
        <v>117</v>
      </c>
      <c r="B47" s="132" t="s">
        <v>327</v>
      </c>
      <c r="C47" s="132">
        <v>40</v>
      </c>
      <c r="D47" s="132" t="str">
        <f t="shared" si="3"/>
        <v>1/2" Hex BB RS-550 40</v>
      </c>
      <c r="E47" s="132">
        <v>5</v>
      </c>
      <c r="F47" s="132">
        <v>3</v>
      </c>
      <c r="G47" s="132">
        <v>0</v>
      </c>
      <c r="H47" s="132">
        <v>0</v>
      </c>
      <c r="I47" s="132">
        <v>5</v>
      </c>
    </row>
    <row r="48" spans="1:22" ht="14.25" customHeight="1" x14ac:dyDescent="0.25">
      <c r="A48" s="132" t="s">
        <v>117</v>
      </c>
      <c r="B48" s="132" t="s">
        <v>327</v>
      </c>
      <c r="C48" s="132">
        <v>45</v>
      </c>
      <c r="D48" s="132" t="str">
        <f t="shared" si="3"/>
        <v>1/2" Hex BB RS-550 45</v>
      </c>
      <c r="E48" s="132">
        <v>5</v>
      </c>
      <c r="F48" s="132">
        <v>3</v>
      </c>
      <c r="G48" s="132">
        <v>0</v>
      </c>
      <c r="H48" s="132">
        <v>0</v>
      </c>
      <c r="I48" s="132">
        <v>4</v>
      </c>
    </row>
    <row r="49" spans="1:20" ht="14.25" customHeight="1" x14ac:dyDescent="0.25">
      <c r="A49" s="132" t="s">
        <v>117</v>
      </c>
      <c r="B49" s="132" t="s">
        <v>327</v>
      </c>
      <c r="C49" s="132">
        <v>49</v>
      </c>
      <c r="D49" s="132" t="str">
        <f t="shared" si="3"/>
        <v>1/2" Hex BB RS-550 49</v>
      </c>
      <c r="E49" s="132">
        <v>5</v>
      </c>
      <c r="F49" s="132">
        <v>3</v>
      </c>
      <c r="G49" s="132">
        <v>0</v>
      </c>
      <c r="H49" s="132">
        <v>0</v>
      </c>
      <c r="I49" s="132">
        <v>4</v>
      </c>
      <c r="O49" s="132" t="s">
        <v>304</v>
      </c>
    </row>
    <row r="50" spans="1:20" ht="14.25" customHeight="1" x14ac:dyDescent="0.25">
      <c r="A50" s="132" t="s">
        <v>117</v>
      </c>
      <c r="B50" s="132" t="s">
        <v>327</v>
      </c>
      <c r="C50" s="132">
        <v>50</v>
      </c>
      <c r="D50" s="132" t="str">
        <f t="shared" si="3"/>
        <v>1/2" Hex BB RS-550 50</v>
      </c>
      <c r="E50" s="132">
        <v>5</v>
      </c>
      <c r="F50" s="132">
        <v>3</v>
      </c>
      <c r="G50" s="132">
        <v>0</v>
      </c>
      <c r="H50" s="132">
        <v>0</v>
      </c>
      <c r="I50" s="132">
        <v>1</v>
      </c>
      <c r="O50" s="132" t="s">
        <v>60</v>
      </c>
      <c r="P50" s="132">
        <v>84.99</v>
      </c>
      <c r="R50" s="132">
        <v>0.57999999999999996</v>
      </c>
      <c r="T50" s="132" t="s">
        <v>305</v>
      </c>
    </row>
    <row r="51" spans="1:20" ht="14.25" customHeight="1" x14ac:dyDescent="0.25">
      <c r="A51" s="132" t="s">
        <v>117</v>
      </c>
      <c r="B51" s="132" t="s">
        <v>327</v>
      </c>
      <c r="C51" s="132">
        <v>63</v>
      </c>
      <c r="D51" s="132" t="str">
        <f t="shared" si="3"/>
        <v>1/2" Hex BB RS-550 63</v>
      </c>
      <c r="E51" s="132">
        <v>4</v>
      </c>
      <c r="F51" s="132">
        <v>1</v>
      </c>
      <c r="G51" s="132">
        <v>0</v>
      </c>
      <c r="H51" s="132">
        <v>0</v>
      </c>
      <c r="I51" s="132">
        <v>1</v>
      </c>
      <c r="O51" s="132" t="s">
        <v>303</v>
      </c>
      <c r="P51" s="132">
        <v>0</v>
      </c>
      <c r="R51" s="132">
        <v>0</v>
      </c>
    </row>
    <row r="52" spans="1:20" ht="14.25" customHeight="1" x14ac:dyDescent="0.25">
      <c r="A52" s="132" t="s">
        <v>117</v>
      </c>
      <c r="B52" s="132" t="s">
        <v>327</v>
      </c>
      <c r="C52" s="132">
        <v>70</v>
      </c>
      <c r="D52" s="132" t="str">
        <f t="shared" si="3"/>
        <v>1/2" Hex BB RS-550 70</v>
      </c>
      <c r="E52" s="132">
        <v>4</v>
      </c>
      <c r="F52" s="132">
        <v>1</v>
      </c>
      <c r="G52" s="132">
        <v>0</v>
      </c>
      <c r="H52" s="132">
        <v>0</v>
      </c>
      <c r="I52" s="132">
        <v>1</v>
      </c>
    </row>
    <row r="53" spans="1:20" ht="14.25" customHeight="1" x14ac:dyDescent="0.25">
      <c r="A53" s="132" t="s">
        <v>117</v>
      </c>
      <c r="B53" s="132" t="s">
        <v>327</v>
      </c>
      <c r="C53" s="132">
        <v>81</v>
      </c>
      <c r="D53" s="132" t="str">
        <f t="shared" si="3"/>
        <v>1/2" Hex BB RS-550 81</v>
      </c>
      <c r="E53" s="132">
        <v>3</v>
      </c>
      <c r="F53" s="132">
        <v>1</v>
      </c>
      <c r="G53" s="132">
        <v>0</v>
      </c>
      <c r="H53" s="132">
        <v>0</v>
      </c>
      <c r="I53" s="132">
        <v>1</v>
      </c>
    </row>
    <row r="54" spans="1:20" ht="14.25" customHeight="1" x14ac:dyDescent="0.25">
      <c r="A54" s="132" t="s">
        <v>117</v>
      </c>
      <c r="B54" s="132" t="s">
        <v>327</v>
      </c>
      <c r="C54" s="132">
        <v>90</v>
      </c>
      <c r="D54" s="132" t="str">
        <f t="shared" si="3"/>
        <v>1/2" Hex BB RS-550 90</v>
      </c>
      <c r="E54" s="132">
        <v>3</v>
      </c>
      <c r="F54" s="132">
        <v>1</v>
      </c>
      <c r="G54" s="132">
        <v>0</v>
      </c>
      <c r="H54" s="132">
        <v>0</v>
      </c>
      <c r="I54" s="132">
        <v>1</v>
      </c>
      <c r="O54" s="132" t="s">
        <v>306</v>
      </c>
    </row>
    <row r="55" spans="1:20" ht="14.25" customHeight="1" x14ac:dyDescent="0.25">
      <c r="A55" s="132" t="s">
        <v>117</v>
      </c>
      <c r="B55" s="132" t="s">
        <v>327</v>
      </c>
      <c r="C55" s="132">
        <v>100</v>
      </c>
      <c r="D55" s="132" t="str">
        <f t="shared" si="3"/>
        <v>1/2" Hex BB RS-550 100</v>
      </c>
      <c r="E55" s="132">
        <v>3</v>
      </c>
      <c r="F55" s="132">
        <v>0</v>
      </c>
      <c r="G55" s="132">
        <v>0</v>
      </c>
      <c r="H55" s="132">
        <v>0</v>
      </c>
      <c r="I55" s="132">
        <v>0</v>
      </c>
      <c r="O55" s="132" t="s">
        <v>60</v>
      </c>
      <c r="P55" s="132">
        <v>14.99</v>
      </c>
      <c r="T55" s="132" t="s">
        <v>307</v>
      </c>
    </row>
    <row r="56" spans="1:20" ht="14.25" customHeight="1" x14ac:dyDescent="0.25">
      <c r="A56" s="132" t="s">
        <v>117</v>
      </c>
      <c r="B56" s="132" t="s">
        <v>328</v>
      </c>
      <c r="C56" s="132">
        <v>-3</v>
      </c>
      <c r="D56" s="132" t="str">
        <f t="shared" si="3"/>
        <v>1/2" Hex BB RS-775 -3</v>
      </c>
      <c r="E56" s="132">
        <v>1</v>
      </c>
      <c r="F56" s="132">
        <v>1</v>
      </c>
      <c r="G56" s="132">
        <v>1</v>
      </c>
      <c r="H56" s="132">
        <v>0</v>
      </c>
      <c r="I56" s="132">
        <v>1</v>
      </c>
      <c r="O56" s="132" t="s">
        <v>303</v>
      </c>
      <c r="P56" s="132">
        <v>0</v>
      </c>
    </row>
    <row r="57" spans="1:20" ht="14.25" customHeight="1" x14ac:dyDescent="0.25">
      <c r="A57" s="132" t="s">
        <v>117</v>
      </c>
      <c r="B57" s="132" t="s">
        <v>328</v>
      </c>
      <c r="C57" s="132">
        <v>-4</v>
      </c>
      <c r="D57" s="132" t="str">
        <f t="shared" si="3"/>
        <v>1/2" Hex BB RS-775 -4</v>
      </c>
      <c r="E57" s="132">
        <v>1</v>
      </c>
      <c r="F57" s="132">
        <v>1</v>
      </c>
      <c r="G57" s="132">
        <v>1</v>
      </c>
      <c r="H57" s="132">
        <v>0</v>
      </c>
      <c r="I57" s="132">
        <v>1</v>
      </c>
    </row>
    <row r="58" spans="1:20" ht="14.25" customHeight="1" x14ac:dyDescent="0.25">
      <c r="A58" s="132" t="s">
        <v>117</v>
      </c>
      <c r="B58" s="132" t="s">
        <v>328</v>
      </c>
      <c r="C58" s="132">
        <v>-5</v>
      </c>
      <c r="D58" s="132" t="str">
        <f t="shared" si="3"/>
        <v>1/2" Hex BB RS-775 -5</v>
      </c>
      <c r="E58" s="132">
        <v>1</v>
      </c>
      <c r="F58" s="132">
        <v>1</v>
      </c>
      <c r="G58" s="132">
        <v>1</v>
      </c>
      <c r="H58" s="132">
        <v>0</v>
      </c>
      <c r="I58" s="132">
        <v>1</v>
      </c>
      <c r="O58" s="132" t="s">
        <v>308</v>
      </c>
    </row>
    <row r="59" spans="1:20" ht="14.25" customHeight="1" x14ac:dyDescent="0.25">
      <c r="A59" s="132" t="s">
        <v>117</v>
      </c>
      <c r="B59" s="132" t="s">
        <v>328</v>
      </c>
      <c r="C59" s="132">
        <v>-7</v>
      </c>
      <c r="D59" s="132" t="str">
        <f t="shared" si="3"/>
        <v>1/2" Hex BB RS-775 -7</v>
      </c>
      <c r="E59" s="132">
        <v>1</v>
      </c>
      <c r="F59" s="132">
        <v>1</v>
      </c>
      <c r="G59" s="132">
        <v>0</v>
      </c>
      <c r="H59" s="132">
        <v>0</v>
      </c>
      <c r="I59" s="132">
        <v>1</v>
      </c>
      <c r="O59" s="132" t="s">
        <v>60</v>
      </c>
      <c r="P59" s="132">
        <v>49.99</v>
      </c>
      <c r="R59" s="132">
        <v>0.08</v>
      </c>
      <c r="T59" s="132" t="s">
        <v>309</v>
      </c>
    </row>
    <row r="60" spans="1:20" ht="14.25" customHeight="1" x14ac:dyDescent="0.25">
      <c r="A60" s="132" t="s">
        <v>117</v>
      </c>
      <c r="B60" s="132" t="s">
        <v>328</v>
      </c>
      <c r="C60" s="132">
        <v>-9</v>
      </c>
      <c r="D60" s="132" t="str">
        <f t="shared" si="3"/>
        <v>1/2" Hex BB RS-775 -9</v>
      </c>
      <c r="E60" s="132">
        <v>1</v>
      </c>
      <c r="F60" s="132">
        <v>1</v>
      </c>
      <c r="G60" s="132">
        <v>0</v>
      </c>
      <c r="H60" s="132">
        <v>0</v>
      </c>
      <c r="I60" s="132">
        <v>1</v>
      </c>
      <c r="O60" s="132" t="s">
        <v>303</v>
      </c>
      <c r="P60" s="132">
        <v>0</v>
      </c>
      <c r="R60" s="132">
        <v>0</v>
      </c>
    </row>
    <row r="61" spans="1:20" ht="14.25" customHeight="1" x14ac:dyDescent="0.25">
      <c r="A61" s="132" t="s">
        <v>117</v>
      </c>
      <c r="B61" s="132" t="s">
        <v>328</v>
      </c>
      <c r="C61" s="132">
        <v>-10</v>
      </c>
      <c r="D61" s="132" t="str">
        <f t="shared" si="3"/>
        <v>1/2" Hex BB RS-775 -10</v>
      </c>
      <c r="E61" s="132">
        <v>1</v>
      </c>
      <c r="F61" s="132">
        <v>1</v>
      </c>
      <c r="G61" s="132">
        <v>0</v>
      </c>
      <c r="H61" s="132">
        <v>0</v>
      </c>
      <c r="I61" s="132">
        <v>1</v>
      </c>
    </row>
    <row r="62" spans="1:20" ht="14.25" customHeight="1" x14ac:dyDescent="0.25">
      <c r="A62" s="132" t="s">
        <v>117</v>
      </c>
      <c r="B62" s="132" t="s">
        <v>328</v>
      </c>
      <c r="C62" s="132">
        <v>9</v>
      </c>
      <c r="D62" s="132" t="str">
        <f>A62&amp;" "&amp;B62&amp;" "&amp;C62</f>
        <v>1/2" Hex BB RS-775 9</v>
      </c>
      <c r="E62" s="132">
        <v>10</v>
      </c>
      <c r="F62" s="132">
        <v>5</v>
      </c>
      <c r="G62" s="132">
        <v>0</v>
      </c>
      <c r="H62" s="132">
        <v>0</v>
      </c>
      <c r="I62" s="132">
        <v>10</v>
      </c>
    </row>
    <row r="63" spans="1:20" ht="14.25" customHeight="1" x14ac:dyDescent="0.25">
      <c r="A63" s="132" t="s">
        <v>117</v>
      </c>
      <c r="B63" s="132" t="s">
        <v>328</v>
      </c>
      <c r="C63" s="132">
        <v>12</v>
      </c>
      <c r="D63" s="132" t="str">
        <f t="shared" ref="D63:D88" si="4">A63&amp;" "&amp;B63&amp;" "&amp;C63</f>
        <v>1/2" Hex BB RS-775 12</v>
      </c>
      <c r="E63" s="132">
        <v>10</v>
      </c>
      <c r="F63" s="132">
        <v>5</v>
      </c>
      <c r="G63" s="132">
        <v>0</v>
      </c>
      <c r="H63" s="132">
        <v>0</v>
      </c>
      <c r="I63" s="132">
        <v>10</v>
      </c>
    </row>
    <row r="64" spans="1:20" ht="14.25" customHeight="1" x14ac:dyDescent="0.25">
      <c r="A64" s="132" t="s">
        <v>117</v>
      </c>
      <c r="B64" s="132" t="s">
        <v>328</v>
      </c>
      <c r="C64" s="132">
        <v>15</v>
      </c>
      <c r="D64" s="132" t="str">
        <f t="shared" si="4"/>
        <v>1/2" Hex BB RS-775 15</v>
      </c>
      <c r="E64" s="132">
        <v>10</v>
      </c>
      <c r="F64" s="132">
        <v>5</v>
      </c>
      <c r="G64" s="132">
        <v>0</v>
      </c>
      <c r="H64" s="132">
        <v>0</v>
      </c>
      <c r="I64" s="132">
        <v>7</v>
      </c>
    </row>
    <row r="65" spans="1:9" ht="14.25" customHeight="1" x14ac:dyDescent="0.25">
      <c r="A65" s="132" t="s">
        <v>117</v>
      </c>
      <c r="B65" s="132" t="s">
        <v>328</v>
      </c>
      <c r="C65" s="132">
        <v>16</v>
      </c>
      <c r="D65" s="132" t="str">
        <f t="shared" si="4"/>
        <v>1/2" Hex BB RS-775 16</v>
      </c>
      <c r="E65" s="132">
        <v>10</v>
      </c>
      <c r="F65" s="132">
        <v>5</v>
      </c>
      <c r="G65" s="132">
        <v>0</v>
      </c>
      <c r="H65" s="132">
        <v>0</v>
      </c>
      <c r="I65" s="132">
        <v>7</v>
      </c>
    </row>
    <row r="66" spans="1:9" ht="14.25" customHeight="1" x14ac:dyDescent="0.25">
      <c r="A66" s="132" t="s">
        <v>117</v>
      </c>
      <c r="B66" s="132" t="s">
        <v>328</v>
      </c>
      <c r="C66" s="132">
        <v>20</v>
      </c>
      <c r="D66" s="132" t="str">
        <f t="shared" si="4"/>
        <v>1/2" Hex BB RS-775 20</v>
      </c>
      <c r="E66" s="132">
        <v>10</v>
      </c>
      <c r="F66" s="132">
        <v>4</v>
      </c>
      <c r="G66" s="132">
        <v>0</v>
      </c>
      <c r="H66" s="132">
        <v>0</v>
      </c>
      <c r="I66" s="132">
        <v>5</v>
      </c>
    </row>
    <row r="67" spans="1:9" ht="14.25" customHeight="1" x14ac:dyDescent="0.25">
      <c r="A67" s="132" t="s">
        <v>117</v>
      </c>
      <c r="B67" s="132" t="s">
        <v>328</v>
      </c>
      <c r="C67" s="132">
        <v>21</v>
      </c>
      <c r="D67" s="132" t="str">
        <f t="shared" si="4"/>
        <v>1/2" Hex BB RS-775 21</v>
      </c>
      <c r="E67" s="132">
        <v>10</v>
      </c>
      <c r="F67" s="132">
        <v>4</v>
      </c>
      <c r="G67" s="132">
        <v>0</v>
      </c>
      <c r="H67" s="132">
        <v>0</v>
      </c>
      <c r="I67" s="132">
        <v>5</v>
      </c>
    </row>
    <row r="68" spans="1:9" ht="14.25" customHeight="1" x14ac:dyDescent="0.25">
      <c r="A68" s="132" t="s">
        <v>117</v>
      </c>
      <c r="B68" s="132" t="s">
        <v>328</v>
      </c>
      <c r="C68" s="132">
        <v>25</v>
      </c>
      <c r="D68" s="132" t="str">
        <f t="shared" si="4"/>
        <v>1/2" Hex BB RS-775 25</v>
      </c>
      <c r="E68" s="132">
        <v>7</v>
      </c>
      <c r="F68" s="132">
        <v>3</v>
      </c>
      <c r="G68" s="132">
        <v>0</v>
      </c>
      <c r="H68" s="132">
        <v>0</v>
      </c>
      <c r="I68" s="132">
        <v>5</v>
      </c>
    </row>
    <row r="69" spans="1:9" ht="14.25" customHeight="1" x14ac:dyDescent="0.25">
      <c r="A69" s="132" t="s">
        <v>117</v>
      </c>
      <c r="B69" s="132" t="s">
        <v>328</v>
      </c>
      <c r="C69" s="132">
        <v>27</v>
      </c>
      <c r="D69" s="132" t="str">
        <f t="shared" si="4"/>
        <v>1/2" Hex BB RS-775 27</v>
      </c>
      <c r="E69" s="132">
        <v>7</v>
      </c>
      <c r="F69" s="132">
        <v>3</v>
      </c>
      <c r="G69" s="132">
        <v>0</v>
      </c>
      <c r="H69" s="132">
        <v>0</v>
      </c>
      <c r="I69" s="132">
        <v>4</v>
      </c>
    </row>
    <row r="70" spans="1:9" ht="14.25" customHeight="1" x14ac:dyDescent="0.25">
      <c r="A70" s="132" t="s">
        <v>117</v>
      </c>
      <c r="B70" s="132" t="s">
        <v>328</v>
      </c>
      <c r="C70" s="132">
        <v>28</v>
      </c>
      <c r="D70" s="132" t="str">
        <f t="shared" si="4"/>
        <v>1/2" Hex BB RS-775 28</v>
      </c>
      <c r="E70" s="132">
        <v>7</v>
      </c>
      <c r="F70" s="132">
        <v>3</v>
      </c>
      <c r="G70" s="132">
        <v>0</v>
      </c>
      <c r="H70" s="132">
        <v>0</v>
      </c>
      <c r="I70" s="132">
        <v>4</v>
      </c>
    </row>
    <row r="71" spans="1:9" ht="14.25" customHeight="1" x14ac:dyDescent="0.25">
      <c r="A71" s="132" t="s">
        <v>117</v>
      </c>
      <c r="B71" s="132" t="s">
        <v>328</v>
      </c>
      <c r="C71" s="132">
        <v>30</v>
      </c>
      <c r="D71" s="132" t="str">
        <f t="shared" si="4"/>
        <v>1/2" Hex BB RS-775 30</v>
      </c>
      <c r="E71" s="132">
        <v>7</v>
      </c>
      <c r="F71" s="132">
        <v>3</v>
      </c>
      <c r="G71" s="132">
        <v>0</v>
      </c>
      <c r="H71" s="132">
        <v>0</v>
      </c>
      <c r="I71" s="132">
        <v>4</v>
      </c>
    </row>
    <row r="72" spans="1:9" ht="14.25" customHeight="1" x14ac:dyDescent="0.25">
      <c r="A72" s="132" t="s">
        <v>117</v>
      </c>
      <c r="B72" s="132" t="s">
        <v>328</v>
      </c>
      <c r="C72" s="132">
        <v>35</v>
      </c>
      <c r="D72" s="132" t="str">
        <f t="shared" si="4"/>
        <v>1/2" Hex BB RS-775 35</v>
      </c>
      <c r="E72" s="132">
        <v>5</v>
      </c>
      <c r="F72" s="132">
        <v>1</v>
      </c>
      <c r="G72" s="132">
        <v>0</v>
      </c>
      <c r="H72" s="132">
        <v>0</v>
      </c>
      <c r="I72" s="132">
        <v>3</v>
      </c>
    </row>
    <row r="73" spans="1:9" ht="14.25" customHeight="1" x14ac:dyDescent="0.25">
      <c r="A73" s="132" t="s">
        <v>117</v>
      </c>
      <c r="B73" s="132" t="s">
        <v>328</v>
      </c>
      <c r="C73" s="132">
        <v>36</v>
      </c>
      <c r="D73" s="132" t="str">
        <f t="shared" si="4"/>
        <v>1/2" Hex BB RS-775 36</v>
      </c>
      <c r="E73" s="132">
        <v>5</v>
      </c>
      <c r="F73" s="132">
        <v>1</v>
      </c>
      <c r="G73" s="132">
        <v>0</v>
      </c>
      <c r="H73" s="132">
        <v>0</v>
      </c>
      <c r="I73" s="132">
        <v>3</v>
      </c>
    </row>
    <row r="74" spans="1:9" ht="14.25" customHeight="1" x14ac:dyDescent="0.25">
      <c r="A74" s="132" t="s">
        <v>117</v>
      </c>
      <c r="B74" s="132" t="s">
        <v>328</v>
      </c>
      <c r="C74" s="132">
        <v>40</v>
      </c>
      <c r="D74" s="132" t="str">
        <f t="shared" si="4"/>
        <v>1/2" Hex BB RS-775 40</v>
      </c>
      <c r="E74" s="132">
        <v>5</v>
      </c>
      <c r="F74" s="132">
        <v>1</v>
      </c>
      <c r="G74" s="132">
        <v>0</v>
      </c>
      <c r="H74" s="132">
        <v>0</v>
      </c>
      <c r="I74" s="132">
        <v>3</v>
      </c>
    </row>
    <row r="75" spans="1:9" ht="14.25" customHeight="1" x14ac:dyDescent="0.25">
      <c r="A75" s="132" t="s">
        <v>117</v>
      </c>
      <c r="B75" s="132" t="s">
        <v>328</v>
      </c>
      <c r="C75" s="132">
        <v>45</v>
      </c>
      <c r="D75" s="132" t="str">
        <f t="shared" si="4"/>
        <v>1/2" Hex BB RS-775 45</v>
      </c>
      <c r="E75" s="132">
        <v>5</v>
      </c>
      <c r="F75" s="132">
        <v>1</v>
      </c>
      <c r="G75" s="132">
        <v>0</v>
      </c>
      <c r="H75" s="132">
        <v>0</v>
      </c>
      <c r="I75" s="132">
        <v>1</v>
      </c>
    </row>
    <row r="76" spans="1:9" ht="14.25" customHeight="1" x14ac:dyDescent="0.25">
      <c r="A76" s="132" t="s">
        <v>117</v>
      </c>
      <c r="B76" s="132" t="s">
        <v>328</v>
      </c>
      <c r="C76" s="132">
        <v>49</v>
      </c>
      <c r="D76" s="132" t="str">
        <f t="shared" si="4"/>
        <v>1/2" Hex BB RS-775 49</v>
      </c>
      <c r="E76" s="132">
        <v>5</v>
      </c>
      <c r="F76" s="132">
        <v>1</v>
      </c>
      <c r="G76" s="132">
        <v>0</v>
      </c>
      <c r="H76" s="132">
        <v>0</v>
      </c>
      <c r="I76" s="132">
        <v>1</v>
      </c>
    </row>
    <row r="77" spans="1:9" ht="14.25" customHeight="1" x14ac:dyDescent="0.25">
      <c r="A77" s="132" t="s">
        <v>117</v>
      </c>
      <c r="B77" s="132" t="s">
        <v>328</v>
      </c>
      <c r="C77" s="132">
        <v>50</v>
      </c>
      <c r="D77" s="132" t="str">
        <f t="shared" si="4"/>
        <v>1/2" Hex BB RS-775 50</v>
      </c>
      <c r="E77" s="132">
        <v>5</v>
      </c>
      <c r="F77" s="132">
        <v>1</v>
      </c>
      <c r="G77" s="132">
        <v>0</v>
      </c>
      <c r="H77" s="132">
        <v>0</v>
      </c>
      <c r="I77" s="132">
        <v>1</v>
      </c>
    </row>
    <row r="78" spans="1:9" ht="14.25" customHeight="1" x14ac:dyDescent="0.25">
      <c r="A78" s="132" t="s">
        <v>117</v>
      </c>
      <c r="B78" s="132" t="s">
        <v>328</v>
      </c>
      <c r="C78" s="132">
        <v>63</v>
      </c>
      <c r="D78" s="132" t="str">
        <f t="shared" si="4"/>
        <v>1/2" Hex BB RS-775 63</v>
      </c>
      <c r="E78" s="132">
        <v>5</v>
      </c>
      <c r="F78" s="132">
        <v>0</v>
      </c>
      <c r="G78" s="132">
        <v>0</v>
      </c>
      <c r="H78" s="132">
        <v>0</v>
      </c>
      <c r="I78" s="132">
        <v>1</v>
      </c>
    </row>
    <row r="79" spans="1:9" ht="14.25" customHeight="1" x14ac:dyDescent="0.25">
      <c r="A79" s="132" t="s">
        <v>117</v>
      </c>
      <c r="B79" s="132" t="s">
        <v>328</v>
      </c>
      <c r="C79" s="132">
        <v>70</v>
      </c>
      <c r="D79" s="132" t="str">
        <f t="shared" si="4"/>
        <v>1/2" Hex BB RS-775 70</v>
      </c>
      <c r="E79" s="132">
        <v>4</v>
      </c>
      <c r="F79" s="132">
        <v>0</v>
      </c>
      <c r="G79" s="132">
        <v>0</v>
      </c>
      <c r="H79" s="132">
        <v>0</v>
      </c>
      <c r="I79" s="132">
        <v>1</v>
      </c>
    </row>
    <row r="80" spans="1:9" ht="14.25" customHeight="1" x14ac:dyDescent="0.25">
      <c r="A80" s="132" t="s">
        <v>117</v>
      </c>
      <c r="B80" s="132" t="s">
        <v>328</v>
      </c>
      <c r="C80" s="132">
        <v>81</v>
      </c>
      <c r="D80" s="132" t="str">
        <f t="shared" si="4"/>
        <v>1/2" Hex BB RS-775 81</v>
      </c>
      <c r="E80" s="132">
        <v>4</v>
      </c>
      <c r="F80" s="132">
        <v>0</v>
      </c>
      <c r="G80" s="132">
        <v>0</v>
      </c>
      <c r="H80" s="132">
        <v>0</v>
      </c>
      <c r="I80" s="132">
        <v>1</v>
      </c>
    </row>
    <row r="81" spans="1:9" ht="14.25" customHeight="1" x14ac:dyDescent="0.25">
      <c r="A81" s="132" t="s">
        <v>117</v>
      </c>
      <c r="B81" s="132" t="s">
        <v>328</v>
      </c>
      <c r="C81" s="132">
        <v>90</v>
      </c>
      <c r="D81" s="132" t="str">
        <f t="shared" si="4"/>
        <v>1/2" Hex BB RS-775 90</v>
      </c>
      <c r="E81" s="132">
        <v>3</v>
      </c>
      <c r="F81" s="132">
        <v>0</v>
      </c>
      <c r="G81" s="132">
        <v>0</v>
      </c>
      <c r="H81" s="132">
        <v>0</v>
      </c>
      <c r="I81" s="132">
        <v>1</v>
      </c>
    </row>
    <row r="82" spans="1:9" ht="14.25" customHeight="1" x14ac:dyDescent="0.25">
      <c r="A82" s="132" t="s">
        <v>117</v>
      </c>
      <c r="B82" s="132" t="s">
        <v>328</v>
      </c>
      <c r="C82" s="132">
        <v>100</v>
      </c>
      <c r="D82" s="132" t="str">
        <f t="shared" si="4"/>
        <v>1/2" Hex BB RS-775 100</v>
      </c>
      <c r="E82" s="132">
        <v>3</v>
      </c>
      <c r="F82" s="132">
        <v>0</v>
      </c>
      <c r="G82" s="132">
        <v>0</v>
      </c>
      <c r="H82" s="132">
        <v>0</v>
      </c>
      <c r="I82" s="132">
        <v>1</v>
      </c>
    </row>
    <row r="83" spans="1:9" ht="14.25" customHeight="1" x14ac:dyDescent="0.25">
      <c r="A83" s="132" t="s">
        <v>117</v>
      </c>
      <c r="B83" s="132" t="s">
        <v>8</v>
      </c>
      <c r="C83" s="132">
        <v>-3</v>
      </c>
      <c r="D83" s="132" t="str">
        <f t="shared" si="4"/>
        <v>1/2" Hex BAG Motor -3</v>
      </c>
      <c r="E83" s="132">
        <v>1</v>
      </c>
      <c r="F83" s="132">
        <v>1</v>
      </c>
      <c r="G83" s="132">
        <v>1</v>
      </c>
      <c r="H83" s="132">
        <v>0</v>
      </c>
      <c r="I83" s="132">
        <v>1</v>
      </c>
    </row>
    <row r="84" spans="1:9" ht="14.25" customHeight="1" x14ac:dyDescent="0.25">
      <c r="A84" s="132" t="s">
        <v>117</v>
      </c>
      <c r="B84" s="132" t="s">
        <v>8</v>
      </c>
      <c r="C84" s="132">
        <v>-4</v>
      </c>
      <c r="D84" s="132" t="str">
        <f t="shared" si="4"/>
        <v>1/2" Hex BAG Motor -4</v>
      </c>
      <c r="E84" s="132">
        <v>1</v>
      </c>
      <c r="F84" s="132">
        <v>1</v>
      </c>
      <c r="G84" s="132">
        <v>1</v>
      </c>
      <c r="H84" s="132">
        <v>0</v>
      </c>
      <c r="I84" s="132">
        <v>1</v>
      </c>
    </row>
    <row r="85" spans="1:9" ht="14.25" customHeight="1" x14ac:dyDescent="0.25">
      <c r="A85" s="132" t="s">
        <v>117</v>
      </c>
      <c r="B85" s="132" t="s">
        <v>8</v>
      </c>
      <c r="C85" s="132">
        <v>-5</v>
      </c>
      <c r="D85" s="132" t="str">
        <f t="shared" si="4"/>
        <v>1/2" Hex BAG Motor -5</v>
      </c>
      <c r="E85" s="132">
        <v>1</v>
      </c>
      <c r="F85" s="132">
        <v>1</v>
      </c>
      <c r="G85" s="132">
        <v>1</v>
      </c>
      <c r="H85" s="132">
        <v>0</v>
      </c>
      <c r="I85" s="132">
        <v>1</v>
      </c>
    </row>
    <row r="86" spans="1:9" ht="14.25" customHeight="1" x14ac:dyDescent="0.25">
      <c r="A86" s="132" t="s">
        <v>117</v>
      </c>
      <c r="B86" s="132" t="s">
        <v>8</v>
      </c>
      <c r="C86" s="132">
        <v>-7</v>
      </c>
      <c r="D86" s="132" t="str">
        <f t="shared" si="4"/>
        <v>1/2" Hex BAG Motor -7</v>
      </c>
      <c r="E86" s="132">
        <v>1</v>
      </c>
      <c r="F86" s="132">
        <v>1</v>
      </c>
      <c r="G86" s="132">
        <v>1</v>
      </c>
      <c r="H86" s="132">
        <v>0</v>
      </c>
      <c r="I86" s="132">
        <v>1</v>
      </c>
    </row>
    <row r="87" spans="1:9" ht="14.25" customHeight="1" x14ac:dyDescent="0.25">
      <c r="A87" s="132" t="s">
        <v>117</v>
      </c>
      <c r="B87" s="132" t="s">
        <v>8</v>
      </c>
      <c r="C87" s="132">
        <v>-9</v>
      </c>
      <c r="D87" s="132" t="str">
        <f t="shared" si="4"/>
        <v>1/2" Hex BAG Motor -9</v>
      </c>
      <c r="E87" s="132">
        <v>1</v>
      </c>
      <c r="F87" s="132">
        <v>1</v>
      </c>
      <c r="G87" s="132">
        <v>0</v>
      </c>
      <c r="H87" s="132">
        <v>0</v>
      </c>
      <c r="I87" s="132">
        <v>1</v>
      </c>
    </row>
    <row r="88" spans="1:9" ht="14.25" customHeight="1" x14ac:dyDescent="0.25">
      <c r="A88" s="132" t="s">
        <v>117</v>
      </c>
      <c r="B88" s="132" t="s">
        <v>8</v>
      </c>
      <c r="C88" s="132">
        <v>-10</v>
      </c>
      <c r="D88" s="132" t="str">
        <f t="shared" si="4"/>
        <v>1/2" Hex BAG Motor -10</v>
      </c>
      <c r="E88" s="132">
        <v>1</v>
      </c>
      <c r="F88" s="132">
        <v>1</v>
      </c>
      <c r="G88" s="132">
        <v>0</v>
      </c>
      <c r="H88" s="132">
        <v>0</v>
      </c>
      <c r="I88" s="132">
        <v>1</v>
      </c>
    </row>
    <row r="89" spans="1:9" ht="14.25" customHeight="1" x14ac:dyDescent="0.25">
      <c r="A89" s="132" t="s">
        <v>117</v>
      </c>
      <c r="B89" s="132" t="s">
        <v>8</v>
      </c>
      <c r="C89" s="132">
        <v>9</v>
      </c>
      <c r="D89" s="132" t="str">
        <f t="shared" ref="D89:D109" si="5">A89&amp;" "&amp;B89&amp;" "&amp;C89</f>
        <v>1/2" Hex BAG Motor 9</v>
      </c>
      <c r="E89" s="132">
        <v>10</v>
      </c>
      <c r="F89" s="132">
        <v>10</v>
      </c>
      <c r="G89" s="132">
        <v>1</v>
      </c>
      <c r="H89" s="132">
        <v>0</v>
      </c>
      <c r="I89" s="132">
        <v>9</v>
      </c>
    </row>
    <row r="90" spans="1:9" ht="14.25" customHeight="1" x14ac:dyDescent="0.25">
      <c r="A90" s="132" t="s">
        <v>117</v>
      </c>
      <c r="B90" s="132" t="s">
        <v>8</v>
      </c>
      <c r="C90" s="132">
        <v>12</v>
      </c>
      <c r="D90" s="132" t="str">
        <f t="shared" si="5"/>
        <v>1/2" Hex BAG Motor 12</v>
      </c>
      <c r="E90" s="132">
        <v>10</v>
      </c>
      <c r="F90" s="132">
        <v>9</v>
      </c>
      <c r="G90" s="132">
        <v>1</v>
      </c>
      <c r="H90" s="132">
        <v>0</v>
      </c>
      <c r="I90" s="132">
        <v>5</v>
      </c>
    </row>
    <row r="91" spans="1:9" ht="14.25" customHeight="1" x14ac:dyDescent="0.25">
      <c r="A91" s="132" t="s">
        <v>117</v>
      </c>
      <c r="B91" s="132" t="s">
        <v>8</v>
      </c>
      <c r="C91" s="132">
        <v>15</v>
      </c>
      <c r="D91" s="132" t="str">
        <f t="shared" si="5"/>
        <v>1/2" Hex BAG Motor 15</v>
      </c>
      <c r="E91" s="132">
        <v>10</v>
      </c>
      <c r="F91" s="132">
        <v>7</v>
      </c>
      <c r="G91" s="132">
        <v>0</v>
      </c>
      <c r="H91" s="132">
        <v>0</v>
      </c>
      <c r="I91" s="132">
        <v>5</v>
      </c>
    </row>
    <row r="92" spans="1:9" ht="14.25" customHeight="1" x14ac:dyDescent="0.25">
      <c r="A92" s="132" t="s">
        <v>117</v>
      </c>
      <c r="B92" s="132" t="s">
        <v>8</v>
      </c>
      <c r="C92" s="132">
        <v>16</v>
      </c>
      <c r="D92" s="132" t="str">
        <f t="shared" si="5"/>
        <v>1/2" Hex BAG Motor 16</v>
      </c>
      <c r="E92" s="132">
        <v>10</v>
      </c>
      <c r="F92" s="132">
        <v>5</v>
      </c>
      <c r="G92" s="132">
        <v>0</v>
      </c>
      <c r="H92" s="132">
        <v>0</v>
      </c>
      <c r="I92" s="132">
        <v>5</v>
      </c>
    </row>
    <row r="93" spans="1:9" ht="14.25" customHeight="1" x14ac:dyDescent="0.25">
      <c r="A93" s="132" t="s">
        <v>117</v>
      </c>
      <c r="B93" s="132" t="s">
        <v>8</v>
      </c>
      <c r="C93" s="132">
        <v>20</v>
      </c>
      <c r="D93" s="132" t="str">
        <f t="shared" si="5"/>
        <v>1/2" Hex BAG Motor 20</v>
      </c>
      <c r="E93" s="132">
        <v>9</v>
      </c>
      <c r="F93" s="132">
        <v>5</v>
      </c>
      <c r="G93" s="132">
        <v>0</v>
      </c>
      <c r="H93" s="132">
        <v>0</v>
      </c>
      <c r="I93" s="132">
        <v>4</v>
      </c>
    </row>
    <row r="94" spans="1:9" ht="14.25" customHeight="1" x14ac:dyDescent="0.25">
      <c r="A94" s="132" t="s">
        <v>117</v>
      </c>
      <c r="B94" s="132" t="s">
        <v>8</v>
      </c>
      <c r="C94" s="132">
        <v>21</v>
      </c>
      <c r="D94" s="132" t="str">
        <f t="shared" si="5"/>
        <v>1/2" Hex BAG Motor 21</v>
      </c>
      <c r="E94" s="132">
        <v>9</v>
      </c>
      <c r="F94" s="132">
        <v>5</v>
      </c>
      <c r="G94" s="132">
        <v>0</v>
      </c>
      <c r="H94" s="132">
        <v>0</v>
      </c>
      <c r="I94" s="132">
        <v>3</v>
      </c>
    </row>
    <row r="95" spans="1:9" ht="14.25" customHeight="1" x14ac:dyDescent="0.25">
      <c r="A95" s="132" t="s">
        <v>117</v>
      </c>
      <c r="B95" s="132" t="s">
        <v>8</v>
      </c>
      <c r="C95" s="132">
        <v>25</v>
      </c>
      <c r="D95" s="132" t="str">
        <f t="shared" si="5"/>
        <v>1/2" Hex BAG Motor 25</v>
      </c>
      <c r="E95" s="132">
        <v>7</v>
      </c>
      <c r="F95" s="132">
        <v>5</v>
      </c>
      <c r="G95" s="132">
        <v>0</v>
      </c>
      <c r="H95" s="132">
        <v>0</v>
      </c>
      <c r="I95" s="132">
        <v>3</v>
      </c>
    </row>
    <row r="96" spans="1:9" ht="14.25" customHeight="1" x14ac:dyDescent="0.25">
      <c r="A96" s="132" t="s">
        <v>117</v>
      </c>
      <c r="B96" s="132" t="s">
        <v>8</v>
      </c>
      <c r="C96" s="132">
        <v>27</v>
      </c>
      <c r="D96" s="132" t="str">
        <f t="shared" si="5"/>
        <v>1/2" Hex BAG Motor 27</v>
      </c>
      <c r="E96" s="132">
        <v>7</v>
      </c>
      <c r="F96" s="132">
        <v>5</v>
      </c>
      <c r="G96" s="132">
        <v>0</v>
      </c>
      <c r="H96" s="132">
        <v>0</v>
      </c>
      <c r="I96" s="132">
        <v>3</v>
      </c>
    </row>
    <row r="97" spans="1:9" ht="14.25" customHeight="1" x14ac:dyDescent="0.25">
      <c r="A97" s="132" t="s">
        <v>117</v>
      </c>
      <c r="B97" s="132" t="s">
        <v>8</v>
      </c>
      <c r="C97" s="132">
        <v>28</v>
      </c>
      <c r="D97" s="132" t="str">
        <f t="shared" si="5"/>
        <v>1/2" Hex BAG Motor 28</v>
      </c>
      <c r="E97" s="132">
        <v>7</v>
      </c>
      <c r="F97" s="132">
        <v>5</v>
      </c>
      <c r="G97" s="132">
        <v>0</v>
      </c>
      <c r="H97" s="132">
        <v>0</v>
      </c>
      <c r="I97" s="132">
        <v>1</v>
      </c>
    </row>
    <row r="98" spans="1:9" ht="14.25" customHeight="1" x14ac:dyDescent="0.25">
      <c r="A98" s="132" t="s">
        <v>117</v>
      </c>
      <c r="B98" s="132" t="s">
        <v>8</v>
      </c>
      <c r="C98" s="132">
        <v>30</v>
      </c>
      <c r="D98" s="132" t="str">
        <f t="shared" si="5"/>
        <v>1/2" Hex BAG Motor 30</v>
      </c>
      <c r="E98" s="132">
        <v>5</v>
      </c>
      <c r="F98" s="132">
        <v>5</v>
      </c>
      <c r="G98" s="132">
        <v>0</v>
      </c>
      <c r="H98" s="132">
        <v>0</v>
      </c>
      <c r="I98" s="132">
        <v>1</v>
      </c>
    </row>
    <row r="99" spans="1:9" ht="14.25" customHeight="1" x14ac:dyDescent="0.25">
      <c r="A99" s="132" t="s">
        <v>117</v>
      </c>
      <c r="B99" s="132" t="s">
        <v>8</v>
      </c>
      <c r="C99" s="132">
        <v>35</v>
      </c>
      <c r="D99" s="132" t="str">
        <f t="shared" si="5"/>
        <v>1/2" Hex BAG Motor 35</v>
      </c>
      <c r="E99" s="132">
        <v>5</v>
      </c>
      <c r="F99" s="132">
        <v>4</v>
      </c>
      <c r="G99" s="132">
        <v>0</v>
      </c>
      <c r="H99" s="132">
        <v>0</v>
      </c>
      <c r="I99" s="132">
        <v>1</v>
      </c>
    </row>
    <row r="100" spans="1:9" ht="14.25" customHeight="1" x14ac:dyDescent="0.25">
      <c r="A100" s="132" t="s">
        <v>117</v>
      </c>
      <c r="B100" s="132" t="s">
        <v>8</v>
      </c>
      <c r="C100" s="132">
        <v>36</v>
      </c>
      <c r="D100" s="132" t="str">
        <f t="shared" si="5"/>
        <v>1/2" Hex BAG Motor 36</v>
      </c>
      <c r="E100" s="132">
        <v>5</v>
      </c>
      <c r="F100" s="132">
        <v>4</v>
      </c>
      <c r="G100" s="132">
        <v>0</v>
      </c>
      <c r="H100" s="132">
        <v>0</v>
      </c>
      <c r="I100" s="132">
        <v>1</v>
      </c>
    </row>
    <row r="101" spans="1:9" ht="14.25" customHeight="1" x14ac:dyDescent="0.25">
      <c r="A101" s="132" t="s">
        <v>117</v>
      </c>
      <c r="B101" s="132" t="s">
        <v>8</v>
      </c>
      <c r="C101" s="132">
        <v>40</v>
      </c>
      <c r="D101" s="132" t="str">
        <f t="shared" si="5"/>
        <v>1/2" Hex BAG Motor 40</v>
      </c>
      <c r="E101" s="132">
        <v>5</v>
      </c>
      <c r="F101" s="132">
        <v>4</v>
      </c>
      <c r="G101" s="132">
        <v>0</v>
      </c>
      <c r="H101" s="132">
        <v>0</v>
      </c>
      <c r="I101" s="132">
        <v>1</v>
      </c>
    </row>
    <row r="102" spans="1:9" ht="14.25" customHeight="1" x14ac:dyDescent="0.25">
      <c r="A102" s="132" t="s">
        <v>117</v>
      </c>
      <c r="B102" s="132" t="s">
        <v>8</v>
      </c>
      <c r="C102" s="132">
        <v>45</v>
      </c>
      <c r="D102" s="132" t="str">
        <f t="shared" si="5"/>
        <v>1/2" Hex BAG Motor 45</v>
      </c>
      <c r="E102" s="132">
        <v>5</v>
      </c>
      <c r="F102" s="132">
        <v>3</v>
      </c>
      <c r="G102" s="132">
        <v>0</v>
      </c>
      <c r="H102" s="132">
        <v>0</v>
      </c>
      <c r="I102" s="132">
        <v>1</v>
      </c>
    </row>
    <row r="103" spans="1:9" ht="14.25" customHeight="1" x14ac:dyDescent="0.25">
      <c r="A103" s="132" t="s">
        <v>117</v>
      </c>
      <c r="B103" s="132" t="s">
        <v>8</v>
      </c>
      <c r="C103" s="132">
        <v>49</v>
      </c>
      <c r="D103" s="132" t="str">
        <f t="shared" si="5"/>
        <v>1/2" Hex BAG Motor 49</v>
      </c>
      <c r="E103" s="132">
        <v>5</v>
      </c>
      <c r="F103" s="132">
        <v>3</v>
      </c>
      <c r="G103" s="132">
        <v>0</v>
      </c>
      <c r="H103" s="132">
        <v>0</v>
      </c>
      <c r="I103" s="132">
        <v>1</v>
      </c>
    </row>
    <row r="104" spans="1:9" ht="14.25" customHeight="1" x14ac:dyDescent="0.25">
      <c r="A104" s="132" t="s">
        <v>117</v>
      </c>
      <c r="B104" s="132" t="s">
        <v>8</v>
      </c>
      <c r="C104" s="132">
        <v>50</v>
      </c>
      <c r="D104" s="132" t="str">
        <f t="shared" si="5"/>
        <v>1/2" Hex BAG Motor 50</v>
      </c>
      <c r="E104" s="132">
        <v>5</v>
      </c>
      <c r="F104" s="132">
        <v>3</v>
      </c>
      <c r="G104" s="132">
        <v>0</v>
      </c>
      <c r="H104" s="132">
        <v>0</v>
      </c>
      <c r="I104" s="132">
        <v>1</v>
      </c>
    </row>
    <row r="105" spans="1:9" ht="14.25" customHeight="1" x14ac:dyDescent="0.25">
      <c r="A105" s="132" t="s">
        <v>117</v>
      </c>
      <c r="B105" s="132" t="s">
        <v>8</v>
      </c>
      <c r="C105" s="132">
        <v>63</v>
      </c>
      <c r="D105" s="132" t="str">
        <f t="shared" si="5"/>
        <v>1/2" Hex BAG Motor 63</v>
      </c>
      <c r="E105" s="132">
        <v>4</v>
      </c>
      <c r="F105" s="132">
        <v>1</v>
      </c>
      <c r="G105" s="132">
        <v>0</v>
      </c>
      <c r="H105" s="132">
        <v>0</v>
      </c>
      <c r="I105" s="132">
        <v>1</v>
      </c>
    </row>
    <row r="106" spans="1:9" ht="14.25" customHeight="1" x14ac:dyDescent="0.25">
      <c r="A106" s="132" t="s">
        <v>117</v>
      </c>
      <c r="B106" s="132" t="s">
        <v>8</v>
      </c>
      <c r="C106" s="132">
        <v>70</v>
      </c>
      <c r="D106" s="132" t="str">
        <f t="shared" si="5"/>
        <v>1/2" Hex BAG Motor 70</v>
      </c>
      <c r="E106" s="132">
        <v>4</v>
      </c>
      <c r="F106" s="132">
        <v>1</v>
      </c>
      <c r="G106" s="132">
        <v>0</v>
      </c>
      <c r="H106" s="132">
        <v>0</v>
      </c>
      <c r="I106" s="132">
        <v>1</v>
      </c>
    </row>
    <row r="107" spans="1:9" ht="14.25" customHeight="1" x14ac:dyDescent="0.25">
      <c r="A107" s="132" t="s">
        <v>117</v>
      </c>
      <c r="B107" s="132" t="s">
        <v>8</v>
      </c>
      <c r="C107" s="132">
        <v>81</v>
      </c>
      <c r="D107" s="132" t="str">
        <f t="shared" si="5"/>
        <v>1/2" Hex BAG Motor 81</v>
      </c>
      <c r="E107" s="132">
        <v>3</v>
      </c>
      <c r="F107" s="132">
        <v>1</v>
      </c>
      <c r="G107" s="132">
        <v>0</v>
      </c>
      <c r="H107" s="132">
        <v>0</v>
      </c>
      <c r="I107" s="132">
        <v>1</v>
      </c>
    </row>
    <row r="108" spans="1:9" ht="14.25" customHeight="1" x14ac:dyDescent="0.25">
      <c r="A108" s="132" t="s">
        <v>117</v>
      </c>
      <c r="B108" s="132" t="s">
        <v>8</v>
      </c>
      <c r="C108" s="132">
        <v>90</v>
      </c>
      <c r="D108" s="132" t="str">
        <f t="shared" si="5"/>
        <v>1/2" Hex BAG Motor 90</v>
      </c>
      <c r="E108" s="132">
        <v>3</v>
      </c>
      <c r="F108" s="132">
        <v>1</v>
      </c>
      <c r="G108" s="132">
        <v>0</v>
      </c>
      <c r="H108" s="132">
        <v>0</v>
      </c>
      <c r="I108" s="132">
        <v>0</v>
      </c>
    </row>
    <row r="109" spans="1:9" ht="14.25" customHeight="1" x14ac:dyDescent="0.25">
      <c r="A109" s="132" t="s">
        <v>117</v>
      </c>
      <c r="B109" s="132" t="s">
        <v>8</v>
      </c>
      <c r="C109" s="132">
        <v>100</v>
      </c>
      <c r="D109" s="132" t="str">
        <f t="shared" si="5"/>
        <v>1/2" Hex BAG Motor 100</v>
      </c>
      <c r="E109" s="132">
        <v>3</v>
      </c>
      <c r="F109" s="132">
        <v>1</v>
      </c>
      <c r="G109" s="132">
        <v>0</v>
      </c>
      <c r="H109" s="132">
        <v>0</v>
      </c>
      <c r="I109" s="132">
        <v>0</v>
      </c>
    </row>
    <row r="110" spans="1:9" ht="14.25" customHeight="1" x14ac:dyDescent="0.25">
      <c r="A110" s="132" t="s">
        <v>117</v>
      </c>
      <c r="B110" s="132" t="s">
        <v>256</v>
      </c>
      <c r="C110" s="132">
        <v>-3</v>
      </c>
      <c r="D110" s="132" t="str">
        <f t="shared" ref="D110:D115" si="6">A110&amp;" "&amp;B110&amp;" "&amp;C110</f>
        <v>1/2" Hex 775pro -3</v>
      </c>
      <c r="E110" s="132">
        <v>1</v>
      </c>
      <c r="F110" s="132">
        <v>1</v>
      </c>
      <c r="G110" s="132">
        <v>1</v>
      </c>
      <c r="H110" s="132">
        <v>0</v>
      </c>
      <c r="I110" s="132">
        <v>1</v>
      </c>
    </row>
    <row r="111" spans="1:9" ht="14.25" customHeight="1" x14ac:dyDescent="0.25">
      <c r="A111" s="132" t="s">
        <v>117</v>
      </c>
      <c r="B111" s="132" t="s">
        <v>256</v>
      </c>
      <c r="C111" s="132">
        <v>-4</v>
      </c>
      <c r="D111" s="132" t="str">
        <f t="shared" si="6"/>
        <v>1/2" Hex 775pro -4</v>
      </c>
      <c r="E111" s="132">
        <v>1</v>
      </c>
      <c r="F111" s="132">
        <v>1</v>
      </c>
      <c r="G111" s="132">
        <v>1</v>
      </c>
      <c r="H111" s="132">
        <v>0</v>
      </c>
      <c r="I111" s="132">
        <v>1</v>
      </c>
    </row>
    <row r="112" spans="1:9" ht="14.25" customHeight="1" x14ac:dyDescent="0.25">
      <c r="A112" s="132" t="s">
        <v>117</v>
      </c>
      <c r="B112" s="132" t="s">
        <v>256</v>
      </c>
      <c r="C112" s="132">
        <v>-5</v>
      </c>
      <c r="D112" s="132" t="str">
        <f t="shared" si="6"/>
        <v>1/2" Hex 775pro -5</v>
      </c>
      <c r="E112" s="132">
        <v>1</v>
      </c>
      <c r="F112" s="132">
        <v>1</v>
      </c>
      <c r="G112" s="132">
        <v>1</v>
      </c>
      <c r="H112" s="132">
        <v>0</v>
      </c>
      <c r="I112" s="132">
        <v>1</v>
      </c>
    </row>
    <row r="113" spans="1:9" ht="14.25" customHeight="1" x14ac:dyDescent="0.25">
      <c r="A113" s="132" t="s">
        <v>117</v>
      </c>
      <c r="B113" s="132" t="s">
        <v>256</v>
      </c>
      <c r="C113" s="132">
        <v>-7</v>
      </c>
      <c r="D113" s="132" t="str">
        <f t="shared" si="6"/>
        <v>1/2" Hex 775pro -7</v>
      </c>
      <c r="E113" s="132">
        <v>1</v>
      </c>
      <c r="F113" s="132">
        <v>1</v>
      </c>
      <c r="G113" s="132">
        <v>0</v>
      </c>
      <c r="H113" s="132">
        <v>0</v>
      </c>
      <c r="I113" s="132">
        <v>1</v>
      </c>
    </row>
    <row r="114" spans="1:9" ht="14.25" customHeight="1" x14ac:dyDescent="0.25">
      <c r="A114" s="132" t="s">
        <v>117</v>
      </c>
      <c r="B114" s="132" t="s">
        <v>256</v>
      </c>
      <c r="C114" s="132">
        <v>-9</v>
      </c>
      <c r="D114" s="132" t="str">
        <f t="shared" si="6"/>
        <v>1/2" Hex 775pro -9</v>
      </c>
      <c r="E114" s="132">
        <v>1</v>
      </c>
      <c r="F114" s="132">
        <v>1</v>
      </c>
      <c r="G114" s="132">
        <v>0</v>
      </c>
      <c r="H114" s="132">
        <v>0</v>
      </c>
      <c r="I114" s="132">
        <v>1</v>
      </c>
    </row>
    <row r="115" spans="1:9" ht="14.25" customHeight="1" x14ac:dyDescent="0.25">
      <c r="A115" s="132" t="s">
        <v>117</v>
      </c>
      <c r="B115" s="132" t="s">
        <v>256</v>
      </c>
      <c r="C115" s="132">
        <v>-10</v>
      </c>
      <c r="D115" s="132" t="str">
        <f t="shared" si="6"/>
        <v>1/2" Hex 775pro -10</v>
      </c>
      <c r="E115" s="132">
        <v>1</v>
      </c>
      <c r="F115" s="132">
        <v>1</v>
      </c>
      <c r="G115" s="132">
        <v>0</v>
      </c>
      <c r="H115" s="132">
        <v>0</v>
      </c>
      <c r="I115" s="132">
        <v>1</v>
      </c>
    </row>
    <row r="116" spans="1:9" ht="14.25" customHeight="1" x14ac:dyDescent="0.25">
      <c r="A116" s="132" t="s">
        <v>117</v>
      </c>
      <c r="B116" s="132" t="s">
        <v>256</v>
      </c>
      <c r="C116" s="132">
        <v>9</v>
      </c>
      <c r="D116" s="132" t="str">
        <f t="shared" ref="D116:D136" si="7">A116&amp;" "&amp;B116&amp;" "&amp;C116</f>
        <v>1/2" Hex 775pro 9</v>
      </c>
      <c r="E116" s="132">
        <v>10</v>
      </c>
      <c r="F116" s="132">
        <v>7</v>
      </c>
      <c r="G116" s="132">
        <v>0</v>
      </c>
      <c r="H116" s="132">
        <v>0</v>
      </c>
      <c r="I116" s="132">
        <v>5</v>
      </c>
    </row>
    <row r="117" spans="1:9" ht="14.25" customHeight="1" x14ac:dyDescent="0.25">
      <c r="A117" s="132" t="s">
        <v>117</v>
      </c>
      <c r="B117" s="132" t="s">
        <v>256</v>
      </c>
      <c r="C117" s="132">
        <v>12</v>
      </c>
      <c r="D117" s="132" t="str">
        <f t="shared" si="7"/>
        <v>1/2" Hex 775pro 12</v>
      </c>
      <c r="E117" s="132">
        <v>10</v>
      </c>
      <c r="F117" s="132">
        <v>5</v>
      </c>
      <c r="G117" s="132">
        <v>0</v>
      </c>
      <c r="H117" s="132">
        <v>0</v>
      </c>
      <c r="I117" s="132">
        <v>4</v>
      </c>
    </row>
    <row r="118" spans="1:9" ht="14.25" customHeight="1" x14ac:dyDescent="0.25">
      <c r="A118" s="132" t="s">
        <v>117</v>
      </c>
      <c r="B118" s="132" t="s">
        <v>256</v>
      </c>
      <c r="C118" s="132">
        <v>15</v>
      </c>
      <c r="D118" s="132" t="str">
        <f t="shared" si="7"/>
        <v>1/2" Hex 775pro 15</v>
      </c>
      <c r="E118" s="132">
        <v>9</v>
      </c>
      <c r="F118" s="132">
        <v>5</v>
      </c>
      <c r="G118" s="132">
        <v>0</v>
      </c>
      <c r="H118" s="132">
        <v>0</v>
      </c>
      <c r="I118" s="132">
        <v>3</v>
      </c>
    </row>
    <row r="119" spans="1:9" ht="14.25" customHeight="1" x14ac:dyDescent="0.25">
      <c r="A119" s="132" t="s">
        <v>117</v>
      </c>
      <c r="B119" s="132" t="s">
        <v>256</v>
      </c>
      <c r="C119" s="132">
        <v>16</v>
      </c>
      <c r="D119" s="132" t="str">
        <f t="shared" si="7"/>
        <v>1/2" Hex 775pro 16</v>
      </c>
      <c r="E119" s="132">
        <v>7</v>
      </c>
      <c r="F119" s="132">
        <v>5</v>
      </c>
      <c r="G119" s="132">
        <v>0</v>
      </c>
      <c r="H119" s="132">
        <v>0</v>
      </c>
      <c r="I119" s="132">
        <v>3</v>
      </c>
    </row>
    <row r="120" spans="1:9" ht="14.25" customHeight="1" x14ac:dyDescent="0.25">
      <c r="A120" s="132" t="s">
        <v>117</v>
      </c>
      <c r="B120" s="132" t="s">
        <v>256</v>
      </c>
      <c r="C120" s="132">
        <v>20</v>
      </c>
      <c r="D120" s="132" t="str">
        <f t="shared" si="7"/>
        <v>1/2" Hex 775pro 20</v>
      </c>
      <c r="E120" s="132">
        <v>5</v>
      </c>
      <c r="F120" s="132">
        <v>5</v>
      </c>
      <c r="G120" s="132">
        <v>0</v>
      </c>
      <c r="H120" s="132">
        <v>0</v>
      </c>
      <c r="I120" s="132">
        <v>1</v>
      </c>
    </row>
    <row r="121" spans="1:9" ht="14.25" customHeight="1" x14ac:dyDescent="0.25">
      <c r="A121" s="132" t="s">
        <v>117</v>
      </c>
      <c r="B121" s="132" t="s">
        <v>256</v>
      </c>
      <c r="C121" s="132">
        <v>21</v>
      </c>
      <c r="D121" s="132" t="str">
        <f t="shared" si="7"/>
        <v>1/2" Hex 775pro 21</v>
      </c>
      <c r="E121" s="132">
        <v>5</v>
      </c>
      <c r="F121" s="132">
        <v>5</v>
      </c>
      <c r="G121" s="132">
        <v>0</v>
      </c>
      <c r="H121" s="132">
        <v>0</v>
      </c>
      <c r="I121" s="132">
        <v>1</v>
      </c>
    </row>
    <row r="122" spans="1:9" ht="14.25" customHeight="1" x14ac:dyDescent="0.25">
      <c r="A122" s="132" t="s">
        <v>117</v>
      </c>
      <c r="B122" s="132" t="s">
        <v>256</v>
      </c>
      <c r="C122" s="132">
        <v>25</v>
      </c>
      <c r="D122" s="132" t="str">
        <f t="shared" si="7"/>
        <v>1/2" Hex 775pro 25</v>
      </c>
      <c r="E122" s="132">
        <v>5</v>
      </c>
      <c r="F122" s="132">
        <v>4</v>
      </c>
      <c r="G122" s="132">
        <v>0</v>
      </c>
      <c r="H122" s="132">
        <v>0</v>
      </c>
      <c r="I122" s="132">
        <v>1</v>
      </c>
    </row>
    <row r="123" spans="1:9" ht="14.25" customHeight="1" x14ac:dyDescent="0.25">
      <c r="A123" s="132" t="s">
        <v>117</v>
      </c>
      <c r="B123" s="132" t="s">
        <v>256</v>
      </c>
      <c r="C123" s="132">
        <v>27</v>
      </c>
      <c r="D123" s="132" t="str">
        <f t="shared" si="7"/>
        <v>1/2" Hex 775pro 27</v>
      </c>
      <c r="E123" s="132">
        <v>5</v>
      </c>
      <c r="F123" s="132">
        <v>4</v>
      </c>
      <c r="G123" s="132">
        <v>0</v>
      </c>
      <c r="H123" s="132">
        <v>0</v>
      </c>
      <c r="I123" s="132">
        <v>1</v>
      </c>
    </row>
    <row r="124" spans="1:9" ht="14.25" customHeight="1" x14ac:dyDescent="0.25">
      <c r="A124" s="132" t="s">
        <v>117</v>
      </c>
      <c r="B124" s="132" t="s">
        <v>256</v>
      </c>
      <c r="C124" s="132">
        <v>28</v>
      </c>
      <c r="D124" s="132" t="str">
        <f t="shared" si="7"/>
        <v>1/2" Hex 775pro 28</v>
      </c>
      <c r="E124" s="132">
        <v>5</v>
      </c>
      <c r="F124" s="132">
        <v>3</v>
      </c>
      <c r="G124" s="132">
        <v>0</v>
      </c>
      <c r="H124" s="132">
        <v>0</v>
      </c>
      <c r="I124" s="132">
        <v>1</v>
      </c>
    </row>
    <row r="125" spans="1:9" ht="14.25" customHeight="1" x14ac:dyDescent="0.25">
      <c r="A125" s="132" t="s">
        <v>117</v>
      </c>
      <c r="B125" s="132" t="s">
        <v>256</v>
      </c>
      <c r="C125" s="132">
        <v>30</v>
      </c>
      <c r="D125" s="132" t="str">
        <f t="shared" si="7"/>
        <v>1/2" Hex 775pro 30</v>
      </c>
      <c r="E125" s="132">
        <v>5</v>
      </c>
      <c r="F125" s="132">
        <v>3</v>
      </c>
      <c r="G125" s="132">
        <v>0</v>
      </c>
      <c r="H125" s="132">
        <v>0</v>
      </c>
      <c r="I125" s="132">
        <v>1</v>
      </c>
    </row>
    <row r="126" spans="1:9" ht="14.25" customHeight="1" x14ac:dyDescent="0.25">
      <c r="A126" s="132" t="s">
        <v>117</v>
      </c>
      <c r="B126" s="132" t="s">
        <v>256</v>
      </c>
      <c r="C126" s="132">
        <v>35</v>
      </c>
      <c r="D126" s="132" t="str">
        <f t="shared" si="7"/>
        <v>1/2" Hex 775pro 35</v>
      </c>
      <c r="E126" s="132">
        <v>5</v>
      </c>
      <c r="F126" s="132">
        <v>3</v>
      </c>
      <c r="G126" s="132">
        <v>0</v>
      </c>
      <c r="H126" s="132">
        <v>0</v>
      </c>
      <c r="I126" s="132">
        <v>1</v>
      </c>
    </row>
    <row r="127" spans="1:9" ht="14.25" customHeight="1" x14ac:dyDescent="0.25">
      <c r="A127" s="132" t="s">
        <v>117</v>
      </c>
      <c r="B127" s="132" t="s">
        <v>256</v>
      </c>
      <c r="C127" s="132">
        <v>36</v>
      </c>
      <c r="D127" s="132" t="str">
        <f t="shared" si="7"/>
        <v>1/2" Hex 775pro 36</v>
      </c>
      <c r="E127" s="132">
        <v>5</v>
      </c>
      <c r="F127" s="132">
        <v>3</v>
      </c>
      <c r="G127" s="132">
        <v>0</v>
      </c>
      <c r="H127" s="132">
        <v>0</v>
      </c>
      <c r="I127" s="132">
        <v>1</v>
      </c>
    </row>
    <row r="128" spans="1:9" ht="14.25" customHeight="1" x14ac:dyDescent="0.25">
      <c r="A128" s="132" t="s">
        <v>117</v>
      </c>
      <c r="B128" s="132" t="s">
        <v>256</v>
      </c>
      <c r="C128" s="132">
        <v>40</v>
      </c>
      <c r="D128" s="132" t="str">
        <f t="shared" si="7"/>
        <v>1/2" Hex 775pro 40</v>
      </c>
      <c r="E128" s="132">
        <v>5</v>
      </c>
      <c r="F128" s="132">
        <v>1</v>
      </c>
      <c r="G128" s="132">
        <v>0</v>
      </c>
      <c r="H128" s="132">
        <v>0</v>
      </c>
      <c r="I128" s="132">
        <v>1</v>
      </c>
    </row>
    <row r="129" spans="1:9" ht="14.25" customHeight="1" x14ac:dyDescent="0.25">
      <c r="A129" s="132" t="s">
        <v>117</v>
      </c>
      <c r="B129" s="132" t="s">
        <v>256</v>
      </c>
      <c r="C129" s="132">
        <v>45</v>
      </c>
      <c r="D129" s="132" t="str">
        <f t="shared" si="7"/>
        <v>1/2" Hex 775pro 45</v>
      </c>
      <c r="E129" s="132">
        <v>4</v>
      </c>
      <c r="F129" s="132">
        <v>1</v>
      </c>
      <c r="G129" s="132">
        <v>0</v>
      </c>
      <c r="H129" s="132">
        <v>0</v>
      </c>
      <c r="I129" s="132">
        <v>1</v>
      </c>
    </row>
    <row r="130" spans="1:9" ht="14.25" customHeight="1" x14ac:dyDescent="0.25">
      <c r="A130" s="132" t="s">
        <v>117</v>
      </c>
      <c r="B130" s="132" t="s">
        <v>256</v>
      </c>
      <c r="C130" s="132">
        <v>49</v>
      </c>
      <c r="D130" s="132" t="str">
        <f t="shared" si="7"/>
        <v>1/2" Hex 775pro 49</v>
      </c>
      <c r="E130" s="132">
        <v>4</v>
      </c>
      <c r="F130" s="132">
        <v>1</v>
      </c>
      <c r="G130" s="132">
        <v>0</v>
      </c>
      <c r="H130" s="132">
        <v>0</v>
      </c>
      <c r="I130" s="132">
        <v>1</v>
      </c>
    </row>
    <row r="131" spans="1:9" ht="14.25" customHeight="1" x14ac:dyDescent="0.25">
      <c r="A131" s="132" t="s">
        <v>117</v>
      </c>
      <c r="B131" s="132" t="s">
        <v>256</v>
      </c>
      <c r="C131" s="132">
        <v>50</v>
      </c>
      <c r="D131" s="132" t="str">
        <f t="shared" si="7"/>
        <v>1/2" Hex 775pro 50</v>
      </c>
      <c r="E131" s="132">
        <v>4</v>
      </c>
      <c r="F131" s="132">
        <v>1</v>
      </c>
      <c r="G131" s="132">
        <v>0</v>
      </c>
      <c r="H131" s="132">
        <v>0</v>
      </c>
      <c r="I131" s="132">
        <v>0</v>
      </c>
    </row>
    <row r="132" spans="1:9" ht="14.25" customHeight="1" x14ac:dyDescent="0.25">
      <c r="A132" s="132" t="s">
        <v>117</v>
      </c>
      <c r="B132" s="132" t="s">
        <v>256</v>
      </c>
      <c r="C132" s="132">
        <v>63</v>
      </c>
      <c r="D132" s="132" t="str">
        <f t="shared" si="7"/>
        <v>1/2" Hex 775pro 63</v>
      </c>
      <c r="E132" s="132">
        <v>3</v>
      </c>
      <c r="F132" s="132">
        <v>1</v>
      </c>
      <c r="G132" s="132">
        <v>0</v>
      </c>
      <c r="H132" s="132">
        <v>0</v>
      </c>
      <c r="I132" s="132">
        <v>0</v>
      </c>
    </row>
    <row r="133" spans="1:9" ht="14.25" customHeight="1" x14ac:dyDescent="0.25">
      <c r="A133" s="132" t="s">
        <v>117</v>
      </c>
      <c r="B133" s="132" t="s">
        <v>256</v>
      </c>
      <c r="C133" s="132">
        <v>70</v>
      </c>
      <c r="D133" s="132" t="str">
        <f t="shared" si="7"/>
        <v>1/2" Hex 775pro 70</v>
      </c>
      <c r="E133" s="132">
        <v>3</v>
      </c>
      <c r="F133" s="132">
        <v>0</v>
      </c>
      <c r="G133" s="132">
        <v>0</v>
      </c>
      <c r="H133" s="132">
        <v>0</v>
      </c>
      <c r="I133" s="132">
        <v>0</v>
      </c>
    </row>
    <row r="134" spans="1:9" ht="14.25" customHeight="1" x14ac:dyDescent="0.25">
      <c r="A134" s="132" t="s">
        <v>117</v>
      </c>
      <c r="B134" s="132" t="s">
        <v>256</v>
      </c>
      <c r="C134" s="132">
        <v>81</v>
      </c>
      <c r="D134" s="132" t="str">
        <f t="shared" si="7"/>
        <v>1/2" Hex 775pro 81</v>
      </c>
      <c r="E134" s="132">
        <v>1</v>
      </c>
      <c r="F134" s="132">
        <v>0</v>
      </c>
      <c r="G134" s="132">
        <v>0</v>
      </c>
      <c r="H134" s="132">
        <v>0</v>
      </c>
      <c r="I134" s="132">
        <v>0</v>
      </c>
    </row>
    <row r="135" spans="1:9" ht="14.25" customHeight="1" x14ac:dyDescent="0.25">
      <c r="A135" s="132" t="s">
        <v>117</v>
      </c>
      <c r="B135" s="132" t="s">
        <v>256</v>
      </c>
      <c r="C135" s="132">
        <v>90</v>
      </c>
      <c r="D135" s="132" t="str">
        <f t="shared" si="7"/>
        <v>1/2" Hex 775pro 90</v>
      </c>
      <c r="E135" s="132">
        <v>1</v>
      </c>
      <c r="F135" s="132">
        <v>0</v>
      </c>
      <c r="G135" s="132">
        <v>0</v>
      </c>
      <c r="H135" s="132">
        <v>0</v>
      </c>
      <c r="I135" s="132">
        <v>0</v>
      </c>
    </row>
    <row r="136" spans="1:9" ht="14.25" customHeight="1" x14ac:dyDescent="0.25">
      <c r="A136" s="132" t="s">
        <v>117</v>
      </c>
      <c r="B136" s="132" t="s">
        <v>256</v>
      </c>
      <c r="C136" s="132">
        <v>100</v>
      </c>
      <c r="D136" s="132" t="str">
        <f t="shared" si="7"/>
        <v>1/2" Hex 775pro 100</v>
      </c>
      <c r="E136" s="132">
        <v>1</v>
      </c>
      <c r="F136" s="132">
        <v>0</v>
      </c>
      <c r="G136" s="132">
        <v>0</v>
      </c>
      <c r="H136" s="132">
        <v>0</v>
      </c>
      <c r="I136" s="132">
        <v>0</v>
      </c>
    </row>
    <row r="137" spans="1:9" ht="14.25" customHeight="1" x14ac:dyDescent="0.25">
      <c r="A137" s="132" t="s">
        <v>117</v>
      </c>
      <c r="B137" s="132" t="s">
        <v>7</v>
      </c>
      <c r="C137" s="132">
        <v>-3</v>
      </c>
      <c r="D137" s="132" t="str">
        <f t="shared" ref="D137:D142" si="8">A137&amp;" "&amp;B137&amp;" "&amp;C137</f>
        <v>1/2" Hex Mini CIM -3</v>
      </c>
      <c r="E137" s="132">
        <v>1</v>
      </c>
      <c r="I137" s="132">
        <v>0</v>
      </c>
    </row>
    <row r="138" spans="1:9" ht="14.25" customHeight="1" x14ac:dyDescent="0.25">
      <c r="A138" s="132" t="s">
        <v>117</v>
      </c>
      <c r="B138" s="132" t="s">
        <v>7</v>
      </c>
      <c r="C138" s="132">
        <v>-4</v>
      </c>
      <c r="D138" s="132" t="str">
        <f t="shared" si="8"/>
        <v>1/2" Hex Mini CIM -4</v>
      </c>
      <c r="E138" s="132">
        <v>1</v>
      </c>
      <c r="I138" s="132">
        <v>0</v>
      </c>
    </row>
    <row r="139" spans="1:9" ht="14.25" customHeight="1" x14ac:dyDescent="0.25">
      <c r="A139" s="132" t="s">
        <v>117</v>
      </c>
      <c r="B139" s="132" t="s">
        <v>7</v>
      </c>
      <c r="C139" s="132">
        <v>-5</v>
      </c>
      <c r="D139" s="132" t="str">
        <f t="shared" si="8"/>
        <v>1/2" Hex Mini CIM -5</v>
      </c>
      <c r="E139" s="132">
        <v>1</v>
      </c>
      <c r="I139" s="132">
        <v>0</v>
      </c>
    </row>
    <row r="140" spans="1:9" ht="14.25" customHeight="1" x14ac:dyDescent="0.25">
      <c r="A140" s="132" t="s">
        <v>117</v>
      </c>
      <c r="B140" s="132" t="s">
        <v>7</v>
      </c>
      <c r="C140" s="132">
        <v>-7</v>
      </c>
      <c r="D140" s="132" t="str">
        <f t="shared" si="8"/>
        <v>1/2" Hex Mini CIM -7</v>
      </c>
      <c r="E140" s="132">
        <v>1</v>
      </c>
      <c r="I140" s="132">
        <v>0</v>
      </c>
    </row>
    <row r="141" spans="1:9" ht="14.25" customHeight="1" x14ac:dyDescent="0.25">
      <c r="A141" s="132" t="s">
        <v>117</v>
      </c>
      <c r="B141" s="132" t="s">
        <v>7</v>
      </c>
      <c r="C141" s="132">
        <v>-9</v>
      </c>
      <c r="D141" s="132" t="str">
        <f t="shared" si="8"/>
        <v>1/2" Hex Mini CIM -9</v>
      </c>
      <c r="E141" s="132">
        <v>1</v>
      </c>
      <c r="I141" s="132">
        <v>0</v>
      </c>
    </row>
    <row r="142" spans="1:9" ht="14.25" customHeight="1" x14ac:dyDescent="0.25">
      <c r="A142" s="132" t="s">
        <v>117</v>
      </c>
      <c r="B142" s="132" t="s">
        <v>7</v>
      </c>
      <c r="C142" s="132">
        <v>-10</v>
      </c>
      <c r="D142" s="132" t="str">
        <f t="shared" si="8"/>
        <v>1/2" Hex Mini CIM -10</v>
      </c>
      <c r="E142" s="132">
        <v>1</v>
      </c>
      <c r="I142" s="132">
        <v>0</v>
      </c>
    </row>
    <row r="143" spans="1:9" ht="14.25" customHeight="1" x14ac:dyDescent="0.25">
      <c r="A143" s="132" t="s">
        <v>117</v>
      </c>
      <c r="B143" s="132" t="s">
        <v>7</v>
      </c>
      <c r="C143" s="132">
        <v>9</v>
      </c>
      <c r="D143" s="132" t="str">
        <f t="shared" ref="D143:D163" si="9">A143&amp;" "&amp;B143&amp;" "&amp;C143</f>
        <v>1/2" Hex Mini CIM 9</v>
      </c>
      <c r="E143" s="132">
        <v>7</v>
      </c>
      <c r="I143" s="132">
        <v>0</v>
      </c>
    </row>
    <row r="144" spans="1:9" ht="14.25" customHeight="1" x14ac:dyDescent="0.25">
      <c r="A144" s="132" t="s">
        <v>117</v>
      </c>
      <c r="B144" s="132" t="s">
        <v>7</v>
      </c>
      <c r="C144" s="132">
        <v>12</v>
      </c>
      <c r="D144" s="132" t="str">
        <f t="shared" si="9"/>
        <v>1/2" Hex Mini CIM 12</v>
      </c>
      <c r="E144" s="132">
        <v>5</v>
      </c>
      <c r="I144" s="132">
        <v>0</v>
      </c>
    </row>
    <row r="145" spans="1:9" ht="14.25" customHeight="1" x14ac:dyDescent="0.25">
      <c r="A145" s="132" t="s">
        <v>117</v>
      </c>
      <c r="B145" s="132" t="s">
        <v>7</v>
      </c>
      <c r="C145" s="132">
        <v>15</v>
      </c>
      <c r="D145" s="132" t="str">
        <f t="shared" si="9"/>
        <v>1/2" Hex Mini CIM 15</v>
      </c>
      <c r="E145" s="132">
        <v>5</v>
      </c>
      <c r="I145" s="132">
        <v>0</v>
      </c>
    </row>
    <row r="146" spans="1:9" ht="14.25" customHeight="1" x14ac:dyDescent="0.25">
      <c r="A146" s="132" t="s">
        <v>117</v>
      </c>
      <c r="B146" s="132" t="s">
        <v>7</v>
      </c>
      <c r="C146" s="132">
        <v>16</v>
      </c>
      <c r="D146" s="132" t="str">
        <f t="shared" si="9"/>
        <v>1/2" Hex Mini CIM 16</v>
      </c>
      <c r="E146" s="132">
        <v>5</v>
      </c>
      <c r="I146" s="132">
        <v>0</v>
      </c>
    </row>
    <row r="147" spans="1:9" ht="14.25" customHeight="1" x14ac:dyDescent="0.25">
      <c r="A147" s="132" t="s">
        <v>117</v>
      </c>
      <c r="B147" s="132" t="s">
        <v>7</v>
      </c>
      <c r="C147" s="132">
        <v>20</v>
      </c>
      <c r="D147" s="132" t="str">
        <f t="shared" si="9"/>
        <v>1/2" Hex Mini CIM 20</v>
      </c>
      <c r="E147" s="132">
        <v>5</v>
      </c>
      <c r="I147" s="132">
        <v>0</v>
      </c>
    </row>
    <row r="148" spans="1:9" ht="14.25" customHeight="1" x14ac:dyDescent="0.25">
      <c r="A148" s="132" t="s">
        <v>117</v>
      </c>
      <c r="B148" s="132" t="s">
        <v>7</v>
      </c>
      <c r="C148" s="132">
        <v>21</v>
      </c>
      <c r="D148" s="132" t="str">
        <f t="shared" si="9"/>
        <v>1/2" Hex Mini CIM 21</v>
      </c>
      <c r="E148" s="132">
        <v>5</v>
      </c>
      <c r="I148" s="132">
        <v>0</v>
      </c>
    </row>
    <row r="149" spans="1:9" ht="14.25" customHeight="1" x14ac:dyDescent="0.25">
      <c r="A149" s="132" t="s">
        <v>117</v>
      </c>
      <c r="B149" s="132" t="s">
        <v>7</v>
      </c>
      <c r="C149" s="132">
        <v>25</v>
      </c>
      <c r="D149" s="132" t="str">
        <f t="shared" si="9"/>
        <v>1/2" Hex Mini CIM 25</v>
      </c>
      <c r="E149" s="132">
        <v>4</v>
      </c>
      <c r="I149" s="132">
        <v>0</v>
      </c>
    </row>
    <row r="150" spans="1:9" ht="14.25" customHeight="1" x14ac:dyDescent="0.25">
      <c r="A150" s="132" t="s">
        <v>117</v>
      </c>
      <c r="B150" s="132" t="s">
        <v>7</v>
      </c>
      <c r="C150" s="132">
        <v>27</v>
      </c>
      <c r="D150" s="132" t="str">
        <f t="shared" si="9"/>
        <v>1/2" Hex Mini CIM 27</v>
      </c>
      <c r="E150" s="132">
        <v>4</v>
      </c>
      <c r="I150" s="132">
        <v>0</v>
      </c>
    </row>
    <row r="151" spans="1:9" ht="14.25" customHeight="1" x14ac:dyDescent="0.25">
      <c r="A151" s="132" t="s">
        <v>117</v>
      </c>
      <c r="B151" s="132" t="s">
        <v>7</v>
      </c>
      <c r="C151" s="132">
        <v>28</v>
      </c>
      <c r="D151" s="132" t="str">
        <f t="shared" si="9"/>
        <v>1/2" Hex Mini CIM 28</v>
      </c>
      <c r="E151" s="132">
        <v>3</v>
      </c>
      <c r="I151" s="132">
        <v>0</v>
      </c>
    </row>
    <row r="152" spans="1:9" ht="14.25" customHeight="1" x14ac:dyDescent="0.25">
      <c r="A152" s="132" t="s">
        <v>117</v>
      </c>
      <c r="B152" s="132" t="s">
        <v>7</v>
      </c>
      <c r="C152" s="132">
        <v>30</v>
      </c>
      <c r="D152" s="132" t="str">
        <f t="shared" si="9"/>
        <v>1/2" Hex Mini CIM 30</v>
      </c>
      <c r="E152" s="132">
        <v>3</v>
      </c>
      <c r="I152" s="132">
        <v>0</v>
      </c>
    </row>
    <row r="153" spans="1:9" ht="14.25" customHeight="1" x14ac:dyDescent="0.25">
      <c r="A153" s="132" t="s">
        <v>117</v>
      </c>
      <c r="B153" s="132" t="s">
        <v>7</v>
      </c>
      <c r="C153" s="132">
        <v>35</v>
      </c>
      <c r="D153" s="132" t="str">
        <f t="shared" si="9"/>
        <v>1/2" Hex Mini CIM 35</v>
      </c>
      <c r="E153" s="132">
        <v>3</v>
      </c>
      <c r="I153" s="132">
        <v>0</v>
      </c>
    </row>
    <row r="154" spans="1:9" ht="14.25" customHeight="1" x14ac:dyDescent="0.25">
      <c r="A154" s="132" t="s">
        <v>117</v>
      </c>
      <c r="B154" s="132" t="s">
        <v>7</v>
      </c>
      <c r="C154" s="132">
        <v>36</v>
      </c>
      <c r="D154" s="132" t="str">
        <f t="shared" si="9"/>
        <v>1/2" Hex Mini CIM 36</v>
      </c>
      <c r="E154" s="132">
        <v>3</v>
      </c>
      <c r="I154" s="132">
        <v>0</v>
      </c>
    </row>
    <row r="155" spans="1:9" ht="14.25" customHeight="1" x14ac:dyDescent="0.25">
      <c r="A155" s="132" t="s">
        <v>117</v>
      </c>
      <c r="B155" s="132" t="s">
        <v>7</v>
      </c>
      <c r="C155" s="132">
        <v>40</v>
      </c>
      <c r="D155" s="132" t="str">
        <f t="shared" si="9"/>
        <v>1/2" Hex Mini CIM 40</v>
      </c>
      <c r="E155" s="132">
        <v>1</v>
      </c>
      <c r="I155" s="132">
        <v>0</v>
      </c>
    </row>
    <row r="156" spans="1:9" ht="14.25" customHeight="1" x14ac:dyDescent="0.25">
      <c r="A156" s="132" t="s">
        <v>117</v>
      </c>
      <c r="B156" s="132" t="s">
        <v>7</v>
      </c>
      <c r="C156" s="132">
        <v>45</v>
      </c>
      <c r="D156" s="132" t="str">
        <f t="shared" si="9"/>
        <v>1/2" Hex Mini CIM 45</v>
      </c>
      <c r="E156" s="132">
        <v>1</v>
      </c>
      <c r="I156" s="132">
        <v>0</v>
      </c>
    </row>
    <row r="157" spans="1:9" ht="14.25" customHeight="1" x14ac:dyDescent="0.25">
      <c r="A157" s="132" t="s">
        <v>117</v>
      </c>
      <c r="B157" s="132" t="s">
        <v>7</v>
      </c>
      <c r="C157" s="132">
        <v>49</v>
      </c>
      <c r="D157" s="132" t="str">
        <f t="shared" si="9"/>
        <v>1/2" Hex Mini CIM 49</v>
      </c>
      <c r="E157" s="132">
        <v>1</v>
      </c>
      <c r="I157" s="132">
        <v>0</v>
      </c>
    </row>
    <row r="158" spans="1:9" ht="14.25" customHeight="1" x14ac:dyDescent="0.25">
      <c r="A158" s="132" t="s">
        <v>117</v>
      </c>
      <c r="B158" s="132" t="s">
        <v>7</v>
      </c>
      <c r="C158" s="132">
        <v>50</v>
      </c>
      <c r="D158" s="132" t="str">
        <f t="shared" si="9"/>
        <v>1/2" Hex Mini CIM 50</v>
      </c>
      <c r="E158" s="132">
        <v>1</v>
      </c>
      <c r="I158" s="132">
        <v>0</v>
      </c>
    </row>
    <row r="159" spans="1:9" ht="14.25" customHeight="1" x14ac:dyDescent="0.25">
      <c r="A159" s="132" t="s">
        <v>117</v>
      </c>
      <c r="B159" s="132" t="s">
        <v>7</v>
      </c>
      <c r="C159" s="132">
        <v>63</v>
      </c>
      <c r="D159" s="132" t="str">
        <f t="shared" si="9"/>
        <v>1/2" Hex Mini CIM 63</v>
      </c>
      <c r="E159" s="132">
        <v>1</v>
      </c>
      <c r="I159" s="132">
        <v>0</v>
      </c>
    </row>
    <row r="160" spans="1:9" ht="14.25" customHeight="1" x14ac:dyDescent="0.25">
      <c r="A160" s="132" t="s">
        <v>117</v>
      </c>
      <c r="B160" s="132" t="s">
        <v>7</v>
      </c>
      <c r="C160" s="132">
        <v>70</v>
      </c>
      <c r="D160" s="132" t="str">
        <f t="shared" si="9"/>
        <v>1/2" Hex Mini CIM 70</v>
      </c>
      <c r="E160" s="132">
        <v>0</v>
      </c>
      <c r="I160" s="132">
        <v>0</v>
      </c>
    </row>
    <row r="161" spans="1:9" ht="14.25" customHeight="1" x14ac:dyDescent="0.25">
      <c r="A161" s="132" t="s">
        <v>117</v>
      </c>
      <c r="B161" s="132" t="s">
        <v>7</v>
      </c>
      <c r="C161" s="132">
        <v>81</v>
      </c>
      <c r="D161" s="132" t="str">
        <f t="shared" si="9"/>
        <v>1/2" Hex Mini CIM 81</v>
      </c>
      <c r="E161" s="132">
        <v>0</v>
      </c>
      <c r="I161" s="132">
        <v>0</v>
      </c>
    </row>
    <row r="162" spans="1:9" ht="14.25" customHeight="1" x14ac:dyDescent="0.25">
      <c r="A162" s="132" t="s">
        <v>117</v>
      </c>
      <c r="B162" s="132" t="s">
        <v>7</v>
      </c>
      <c r="C162" s="132">
        <v>90</v>
      </c>
      <c r="D162" s="132" t="str">
        <f t="shared" si="9"/>
        <v>1/2" Hex Mini CIM 90</v>
      </c>
      <c r="E162" s="132">
        <v>0</v>
      </c>
      <c r="I162" s="132">
        <v>0</v>
      </c>
    </row>
    <row r="163" spans="1:9" ht="14.25" customHeight="1" x14ac:dyDescent="0.25">
      <c r="A163" s="132" t="s">
        <v>117</v>
      </c>
      <c r="B163" s="132" t="s">
        <v>7</v>
      </c>
      <c r="C163" s="132">
        <v>100</v>
      </c>
      <c r="D163" s="132" t="str">
        <f t="shared" si="9"/>
        <v>1/2" Hex Mini CIM 100</v>
      </c>
      <c r="E163" s="132">
        <v>0</v>
      </c>
      <c r="I163" s="132">
        <v>0</v>
      </c>
    </row>
    <row r="164" spans="1:9" ht="14.25" customHeight="1" x14ac:dyDescent="0.25">
      <c r="A164" s="132" t="s">
        <v>117</v>
      </c>
      <c r="B164" s="132" t="s">
        <v>6</v>
      </c>
      <c r="C164" s="132">
        <v>-3</v>
      </c>
      <c r="D164" s="132" t="str">
        <f t="shared" ref="D164:D169" si="10">A164&amp;" "&amp;B164&amp;" "&amp;C164</f>
        <v>1/2" Hex CIM -3</v>
      </c>
      <c r="E164" s="132">
        <v>1</v>
      </c>
      <c r="I164" s="132">
        <v>0</v>
      </c>
    </row>
    <row r="165" spans="1:9" ht="14.25" customHeight="1" x14ac:dyDescent="0.25">
      <c r="A165" s="132" t="s">
        <v>117</v>
      </c>
      <c r="B165" s="132" t="s">
        <v>6</v>
      </c>
      <c r="C165" s="132">
        <v>-4</v>
      </c>
      <c r="D165" s="132" t="str">
        <f t="shared" si="10"/>
        <v>1/2" Hex CIM -4</v>
      </c>
      <c r="E165" s="132">
        <v>1</v>
      </c>
      <c r="I165" s="132">
        <v>0</v>
      </c>
    </row>
    <row r="166" spans="1:9" ht="14.25" customHeight="1" x14ac:dyDescent="0.25">
      <c r="A166" s="132" t="s">
        <v>117</v>
      </c>
      <c r="B166" s="132" t="s">
        <v>6</v>
      </c>
      <c r="C166" s="132">
        <v>-5</v>
      </c>
      <c r="D166" s="132" t="str">
        <f t="shared" si="10"/>
        <v>1/2" Hex CIM -5</v>
      </c>
      <c r="E166" s="132">
        <v>1</v>
      </c>
      <c r="I166" s="132">
        <v>0</v>
      </c>
    </row>
    <row r="167" spans="1:9" ht="14.25" customHeight="1" x14ac:dyDescent="0.25">
      <c r="A167" s="132" t="s">
        <v>117</v>
      </c>
      <c r="B167" s="132" t="s">
        <v>6</v>
      </c>
      <c r="C167" s="132">
        <v>-7</v>
      </c>
      <c r="D167" s="132" t="str">
        <f t="shared" si="10"/>
        <v>1/2" Hex CIM -7</v>
      </c>
      <c r="E167" s="132">
        <v>1</v>
      </c>
      <c r="I167" s="132">
        <v>0</v>
      </c>
    </row>
    <row r="168" spans="1:9" ht="14.25" customHeight="1" x14ac:dyDescent="0.25">
      <c r="A168" s="132" t="s">
        <v>117</v>
      </c>
      <c r="B168" s="132" t="s">
        <v>6</v>
      </c>
      <c r="C168" s="132">
        <v>-9</v>
      </c>
      <c r="D168" s="132" t="str">
        <f t="shared" si="10"/>
        <v>1/2" Hex CIM -9</v>
      </c>
      <c r="E168" s="132">
        <v>1</v>
      </c>
      <c r="I168" s="132">
        <v>0</v>
      </c>
    </row>
    <row r="169" spans="1:9" ht="14.25" customHeight="1" x14ac:dyDescent="0.25">
      <c r="A169" s="132" t="s">
        <v>117</v>
      </c>
      <c r="B169" s="132" t="s">
        <v>6</v>
      </c>
      <c r="C169" s="132">
        <v>-10</v>
      </c>
      <c r="D169" s="132" t="str">
        <f t="shared" si="10"/>
        <v>1/2" Hex CIM -10</v>
      </c>
      <c r="E169" s="132">
        <v>1</v>
      </c>
      <c r="I169" s="132">
        <v>0</v>
      </c>
    </row>
    <row r="170" spans="1:9" ht="14.25" customHeight="1" x14ac:dyDescent="0.25">
      <c r="A170" s="132" t="s">
        <v>117</v>
      </c>
      <c r="B170" s="132" t="s">
        <v>6</v>
      </c>
      <c r="C170" s="132">
        <v>9</v>
      </c>
      <c r="D170" s="132" t="str">
        <f t="shared" ref="D170:D190" si="11">A170&amp;" "&amp;B170&amp;" "&amp;C170</f>
        <v>1/2" Hex CIM 9</v>
      </c>
      <c r="E170" s="132">
        <v>5</v>
      </c>
      <c r="I170" s="132">
        <v>0</v>
      </c>
    </row>
    <row r="171" spans="1:9" ht="14.25" customHeight="1" x14ac:dyDescent="0.25">
      <c r="A171" s="132" t="s">
        <v>117</v>
      </c>
      <c r="B171" s="132" t="s">
        <v>6</v>
      </c>
      <c r="C171" s="132">
        <v>12</v>
      </c>
      <c r="D171" s="132" t="str">
        <f t="shared" si="11"/>
        <v>1/2" Hex CIM 12</v>
      </c>
      <c r="E171" s="132">
        <v>5</v>
      </c>
      <c r="I171" s="132">
        <v>0</v>
      </c>
    </row>
    <row r="172" spans="1:9" ht="14.25" customHeight="1" x14ac:dyDescent="0.25">
      <c r="A172" s="132" t="s">
        <v>117</v>
      </c>
      <c r="B172" s="132" t="s">
        <v>6</v>
      </c>
      <c r="C172" s="132">
        <v>15</v>
      </c>
      <c r="D172" s="132" t="str">
        <f t="shared" si="11"/>
        <v>1/2" Hex CIM 15</v>
      </c>
      <c r="E172" s="132">
        <v>4</v>
      </c>
      <c r="I172" s="132">
        <v>0</v>
      </c>
    </row>
    <row r="173" spans="1:9" ht="14.25" customHeight="1" x14ac:dyDescent="0.25">
      <c r="A173" s="132" t="s">
        <v>117</v>
      </c>
      <c r="B173" s="132" t="s">
        <v>6</v>
      </c>
      <c r="C173" s="132">
        <v>16</v>
      </c>
      <c r="D173" s="132" t="str">
        <f t="shared" si="11"/>
        <v>1/2" Hex CIM 16</v>
      </c>
      <c r="E173" s="132">
        <v>4</v>
      </c>
      <c r="I173" s="132">
        <v>0</v>
      </c>
    </row>
    <row r="174" spans="1:9" ht="14.25" customHeight="1" x14ac:dyDescent="0.25">
      <c r="A174" s="132" t="s">
        <v>117</v>
      </c>
      <c r="B174" s="132" t="s">
        <v>6</v>
      </c>
      <c r="C174" s="132">
        <v>20</v>
      </c>
      <c r="D174" s="132" t="str">
        <f t="shared" si="11"/>
        <v>1/2" Hex CIM 20</v>
      </c>
      <c r="E174" s="132">
        <v>3</v>
      </c>
      <c r="I174" s="132">
        <v>0</v>
      </c>
    </row>
    <row r="175" spans="1:9" ht="14.25" customHeight="1" x14ac:dyDescent="0.25">
      <c r="A175" s="132" t="s">
        <v>117</v>
      </c>
      <c r="B175" s="132" t="s">
        <v>6</v>
      </c>
      <c r="C175" s="132">
        <v>21</v>
      </c>
      <c r="D175" s="132" t="str">
        <f t="shared" si="11"/>
        <v>1/2" Hex CIM 21</v>
      </c>
      <c r="E175" s="132">
        <v>3</v>
      </c>
      <c r="I175" s="132">
        <v>0</v>
      </c>
    </row>
    <row r="176" spans="1:9" ht="14.25" customHeight="1" x14ac:dyDescent="0.25">
      <c r="A176" s="132" t="s">
        <v>117</v>
      </c>
      <c r="B176" s="132" t="s">
        <v>6</v>
      </c>
      <c r="C176" s="132">
        <v>25</v>
      </c>
      <c r="D176" s="132" t="str">
        <f t="shared" si="11"/>
        <v>1/2" Hex CIM 25</v>
      </c>
      <c r="E176" s="132">
        <v>1</v>
      </c>
      <c r="I176" s="132">
        <v>0</v>
      </c>
    </row>
    <row r="177" spans="1:9" ht="14.25" customHeight="1" x14ac:dyDescent="0.25">
      <c r="A177" s="132" t="s">
        <v>117</v>
      </c>
      <c r="B177" s="132" t="s">
        <v>6</v>
      </c>
      <c r="C177" s="132">
        <v>27</v>
      </c>
      <c r="D177" s="132" t="str">
        <f t="shared" si="11"/>
        <v>1/2" Hex CIM 27</v>
      </c>
      <c r="E177" s="132">
        <v>1</v>
      </c>
      <c r="I177" s="132">
        <v>0</v>
      </c>
    </row>
    <row r="178" spans="1:9" ht="14.25" customHeight="1" x14ac:dyDescent="0.25">
      <c r="A178" s="132" t="s">
        <v>117</v>
      </c>
      <c r="B178" s="132" t="s">
        <v>6</v>
      </c>
      <c r="C178" s="132">
        <v>28</v>
      </c>
      <c r="D178" s="132" t="str">
        <f t="shared" si="11"/>
        <v>1/2" Hex CIM 28</v>
      </c>
      <c r="E178" s="132">
        <v>1</v>
      </c>
      <c r="I178" s="132">
        <v>0</v>
      </c>
    </row>
    <row r="179" spans="1:9" ht="14.25" customHeight="1" x14ac:dyDescent="0.25">
      <c r="A179" s="132" t="s">
        <v>117</v>
      </c>
      <c r="B179" s="132" t="s">
        <v>6</v>
      </c>
      <c r="C179" s="132">
        <v>30</v>
      </c>
      <c r="D179" s="132" t="str">
        <f t="shared" si="11"/>
        <v>1/2" Hex CIM 30</v>
      </c>
      <c r="E179" s="132">
        <v>1</v>
      </c>
      <c r="I179" s="132">
        <v>0</v>
      </c>
    </row>
    <row r="180" spans="1:9" ht="14.25" customHeight="1" x14ac:dyDescent="0.25">
      <c r="A180" s="132" t="s">
        <v>117</v>
      </c>
      <c r="B180" s="132" t="s">
        <v>6</v>
      </c>
      <c r="C180" s="132">
        <v>35</v>
      </c>
      <c r="D180" s="132" t="str">
        <f t="shared" si="11"/>
        <v>1/2" Hex CIM 35</v>
      </c>
      <c r="E180" s="132">
        <v>1</v>
      </c>
      <c r="I180" s="132">
        <v>0</v>
      </c>
    </row>
    <row r="181" spans="1:9" ht="14.25" customHeight="1" x14ac:dyDescent="0.25">
      <c r="A181" s="132" t="s">
        <v>117</v>
      </c>
      <c r="B181" s="132" t="s">
        <v>6</v>
      </c>
      <c r="C181" s="132">
        <v>36</v>
      </c>
      <c r="D181" s="132" t="str">
        <f t="shared" si="11"/>
        <v>1/2" Hex CIM 36</v>
      </c>
      <c r="E181" s="132">
        <v>1</v>
      </c>
      <c r="I181" s="132">
        <v>0</v>
      </c>
    </row>
    <row r="182" spans="1:9" ht="14.25" customHeight="1" x14ac:dyDescent="0.25">
      <c r="A182" s="132" t="s">
        <v>117</v>
      </c>
      <c r="B182" s="132" t="s">
        <v>6</v>
      </c>
      <c r="C182" s="132">
        <v>40</v>
      </c>
      <c r="D182" s="132" t="str">
        <f t="shared" si="11"/>
        <v>1/2" Hex CIM 40</v>
      </c>
      <c r="E182" s="132">
        <v>1</v>
      </c>
      <c r="I182" s="132">
        <v>0</v>
      </c>
    </row>
    <row r="183" spans="1:9" ht="14.25" customHeight="1" x14ac:dyDescent="0.25">
      <c r="A183" s="132" t="s">
        <v>117</v>
      </c>
      <c r="B183" s="132" t="s">
        <v>6</v>
      </c>
      <c r="C183" s="132">
        <v>45</v>
      </c>
      <c r="D183" s="132" t="str">
        <f t="shared" si="11"/>
        <v>1/2" Hex CIM 45</v>
      </c>
      <c r="E183" s="132">
        <v>1</v>
      </c>
      <c r="I183" s="132">
        <v>0</v>
      </c>
    </row>
    <row r="184" spans="1:9" ht="14.25" customHeight="1" x14ac:dyDescent="0.25">
      <c r="A184" s="132" t="s">
        <v>117</v>
      </c>
      <c r="B184" s="132" t="s">
        <v>6</v>
      </c>
      <c r="C184" s="132">
        <v>49</v>
      </c>
      <c r="D184" s="132" t="str">
        <f t="shared" si="11"/>
        <v>1/2" Hex CIM 49</v>
      </c>
      <c r="E184" s="132">
        <v>0</v>
      </c>
      <c r="I184" s="132">
        <v>0</v>
      </c>
    </row>
    <row r="185" spans="1:9" ht="14.25" customHeight="1" x14ac:dyDescent="0.25">
      <c r="A185" s="132" t="s">
        <v>117</v>
      </c>
      <c r="B185" s="132" t="s">
        <v>6</v>
      </c>
      <c r="C185" s="132">
        <v>50</v>
      </c>
      <c r="D185" s="132" t="str">
        <f t="shared" si="11"/>
        <v>1/2" Hex CIM 50</v>
      </c>
      <c r="E185" s="132">
        <v>1</v>
      </c>
      <c r="I185" s="132">
        <v>0</v>
      </c>
    </row>
    <row r="186" spans="1:9" ht="14.25" customHeight="1" x14ac:dyDescent="0.25">
      <c r="A186" s="132" t="s">
        <v>117</v>
      </c>
      <c r="B186" s="132" t="s">
        <v>6</v>
      </c>
      <c r="C186" s="132">
        <v>63</v>
      </c>
      <c r="D186" s="132" t="str">
        <f t="shared" si="11"/>
        <v>1/2" Hex CIM 63</v>
      </c>
      <c r="E186" s="132">
        <v>0</v>
      </c>
      <c r="I186" s="132">
        <v>0</v>
      </c>
    </row>
    <row r="187" spans="1:9" ht="14.25" customHeight="1" x14ac:dyDescent="0.25">
      <c r="A187" s="132" t="s">
        <v>117</v>
      </c>
      <c r="B187" s="132" t="s">
        <v>6</v>
      </c>
      <c r="C187" s="132">
        <v>70</v>
      </c>
      <c r="D187" s="132" t="str">
        <f t="shared" si="11"/>
        <v>1/2" Hex CIM 70</v>
      </c>
      <c r="E187" s="132">
        <v>0</v>
      </c>
      <c r="I187" s="132">
        <v>0</v>
      </c>
    </row>
    <row r="188" spans="1:9" ht="14.25" customHeight="1" x14ac:dyDescent="0.25">
      <c r="A188" s="132" t="s">
        <v>117</v>
      </c>
      <c r="B188" s="132" t="s">
        <v>6</v>
      </c>
      <c r="C188" s="132">
        <v>81</v>
      </c>
      <c r="D188" s="132" t="str">
        <f t="shared" si="11"/>
        <v>1/2" Hex CIM 81</v>
      </c>
      <c r="E188" s="132">
        <v>0</v>
      </c>
      <c r="I188" s="132">
        <v>0</v>
      </c>
    </row>
    <row r="189" spans="1:9" ht="14.25" customHeight="1" x14ac:dyDescent="0.25">
      <c r="A189" s="132" t="s">
        <v>117</v>
      </c>
      <c r="B189" s="132" t="s">
        <v>6</v>
      </c>
      <c r="C189" s="132">
        <v>90</v>
      </c>
      <c r="D189" s="132" t="str">
        <f t="shared" si="11"/>
        <v>1/2" Hex CIM 90</v>
      </c>
      <c r="E189" s="132">
        <v>0</v>
      </c>
      <c r="I189" s="132">
        <v>0</v>
      </c>
    </row>
    <row r="190" spans="1:9" ht="14.25" customHeight="1" x14ac:dyDescent="0.25">
      <c r="A190" s="132" t="s">
        <v>117</v>
      </c>
      <c r="B190" s="132" t="s">
        <v>6</v>
      </c>
      <c r="C190" s="132">
        <v>100</v>
      </c>
      <c r="D190" s="132" t="str">
        <f t="shared" si="11"/>
        <v>1/2" Hex CIM 100</v>
      </c>
      <c r="E190" s="132">
        <v>0</v>
      </c>
      <c r="I190" s="132">
        <v>0</v>
      </c>
    </row>
    <row r="191" spans="1:9" ht="14.25" customHeight="1" x14ac:dyDescent="0.25">
      <c r="A191" s="132" t="s">
        <v>117</v>
      </c>
      <c r="B191" s="132" t="s">
        <v>9</v>
      </c>
      <c r="C191" s="132">
        <v>-3</v>
      </c>
      <c r="D191" s="132" t="str">
        <f t="shared" ref="D191:D196" si="12">A191&amp;" "&amp;B191&amp;" "&amp;C191</f>
        <v>1/2" Hex NEO -3</v>
      </c>
      <c r="E191" s="132">
        <v>1</v>
      </c>
      <c r="I191" s="132">
        <v>0</v>
      </c>
    </row>
    <row r="192" spans="1:9" ht="14.25" customHeight="1" x14ac:dyDescent="0.25">
      <c r="A192" s="132" t="s">
        <v>117</v>
      </c>
      <c r="B192" s="132" t="s">
        <v>9</v>
      </c>
      <c r="C192" s="132">
        <v>-4</v>
      </c>
      <c r="D192" s="132" t="str">
        <f t="shared" si="12"/>
        <v>1/2" Hex NEO -4</v>
      </c>
      <c r="E192" s="132">
        <v>1</v>
      </c>
      <c r="I192" s="132">
        <v>0</v>
      </c>
    </row>
    <row r="193" spans="1:9" ht="14.25" customHeight="1" x14ac:dyDescent="0.25">
      <c r="A193" s="132" t="s">
        <v>117</v>
      </c>
      <c r="B193" s="132" t="s">
        <v>9</v>
      </c>
      <c r="C193" s="132">
        <v>-5</v>
      </c>
      <c r="D193" s="132" t="str">
        <f t="shared" si="12"/>
        <v>1/2" Hex NEO -5</v>
      </c>
      <c r="E193" s="132">
        <v>1</v>
      </c>
      <c r="I193" s="132">
        <v>0</v>
      </c>
    </row>
    <row r="194" spans="1:9" ht="14.25" customHeight="1" x14ac:dyDescent="0.25">
      <c r="A194" s="132" t="s">
        <v>117</v>
      </c>
      <c r="B194" s="132" t="s">
        <v>9</v>
      </c>
      <c r="C194" s="132">
        <v>-7</v>
      </c>
      <c r="D194" s="132" t="str">
        <f t="shared" si="12"/>
        <v>1/2" Hex NEO -7</v>
      </c>
      <c r="E194" s="132">
        <v>1</v>
      </c>
      <c r="I194" s="132">
        <v>0</v>
      </c>
    </row>
    <row r="195" spans="1:9" ht="14.25" customHeight="1" x14ac:dyDescent="0.25">
      <c r="A195" s="132" t="s">
        <v>117</v>
      </c>
      <c r="B195" s="132" t="s">
        <v>9</v>
      </c>
      <c r="C195" s="132">
        <v>-9</v>
      </c>
      <c r="D195" s="132" t="str">
        <f t="shared" si="12"/>
        <v>1/2" Hex NEO -9</v>
      </c>
      <c r="E195" s="132">
        <v>1</v>
      </c>
      <c r="I195" s="132">
        <v>0</v>
      </c>
    </row>
    <row r="196" spans="1:9" ht="14.25" customHeight="1" x14ac:dyDescent="0.25">
      <c r="A196" s="132" t="s">
        <v>117</v>
      </c>
      <c r="B196" s="132" t="s">
        <v>9</v>
      </c>
      <c r="C196" s="132">
        <v>-10</v>
      </c>
      <c r="D196" s="132" t="str">
        <f t="shared" si="12"/>
        <v>1/2" Hex NEO -10</v>
      </c>
      <c r="E196" s="132">
        <v>1</v>
      </c>
      <c r="I196" s="132">
        <v>0</v>
      </c>
    </row>
    <row r="197" spans="1:9" ht="14.25" customHeight="1" x14ac:dyDescent="0.25">
      <c r="A197" s="132" t="s">
        <v>117</v>
      </c>
      <c r="B197" s="132" t="s">
        <v>9</v>
      </c>
      <c r="C197" s="132">
        <v>9</v>
      </c>
      <c r="D197" s="132" t="str">
        <f t="shared" ref="D197:D217" si="13">A197&amp;" "&amp;B197&amp;" "&amp;C197</f>
        <v>1/2" Hex NEO 9</v>
      </c>
      <c r="E197" s="132">
        <v>5</v>
      </c>
      <c r="I197" s="132">
        <v>0</v>
      </c>
    </row>
    <row r="198" spans="1:9" ht="14.25" customHeight="1" x14ac:dyDescent="0.25">
      <c r="A198" s="132" t="s">
        <v>117</v>
      </c>
      <c r="B198" s="132" t="s">
        <v>9</v>
      </c>
      <c r="C198" s="132">
        <v>12</v>
      </c>
      <c r="D198" s="132" t="str">
        <f t="shared" si="13"/>
        <v>1/2" Hex NEO 12</v>
      </c>
      <c r="E198" s="132">
        <v>3</v>
      </c>
      <c r="I198" s="132">
        <v>0</v>
      </c>
    </row>
    <row r="199" spans="1:9" ht="14.25" customHeight="1" x14ac:dyDescent="0.25">
      <c r="A199" s="132" t="s">
        <v>117</v>
      </c>
      <c r="B199" s="132" t="s">
        <v>9</v>
      </c>
      <c r="C199" s="132">
        <v>15</v>
      </c>
      <c r="D199" s="132" t="str">
        <f t="shared" si="13"/>
        <v>1/2" Hex NEO 15</v>
      </c>
      <c r="E199" s="132">
        <v>3</v>
      </c>
      <c r="I199" s="132">
        <v>0</v>
      </c>
    </row>
    <row r="200" spans="1:9" ht="14.25" customHeight="1" x14ac:dyDescent="0.25">
      <c r="A200" s="132" t="s">
        <v>117</v>
      </c>
      <c r="B200" s="132" t="s">
        <v>9</v>
      </c>
      <c r="C200" s="132">
        <v>16</v>
      </c>
      <c r="D200" s="132" t="str">
        <f t="shared" si="13"/>
        <v>1/2" Hex NEO 16</v>
      </c>
      <c r="E200" s="132">
        <v>1</v>
      </c>
      <c r="I200" s="132">
        <v>0</v>
      </c>
    </row>
    <row r="201" spans="1:9" ht="14.25" customHeight="1" x14ac:dyDescent="0.25">
      <c r="A201" s="132" t="s">
        <v>117</v>
      </c>
      <c r="B201" s="132" t="s">
        <v>9</v>
      </c>
      <c r="C201" s="132">
        <v>20</v>
      </c>
      <c r="D201" s="132" t="str">
        <f t="shared" si="13"/>
        <v>1/2" Hex NEO 20</v>
      </c>
      <c r="E201" s="132">
        <v>1</v>
      </c>
      <c r="I201" s="132">
        <v>0</v>
      </c>
    </row>
    <row r="202" spans="1:9" ht="14.25" customHeight="1" x14ac:dyDescent="0.25">
      <c r="A202" s="132" t="s">
        <v>117</v>
      </c>
      <c r="B202" s="132" t="s">
        <v>9</v>
      </c>
      <c r="C202" s="132">
        <v>21</v>
      </c>
      <c r="D202" s="132" t="str">
        <f t="shared" si="13"/>
        <v>1/2" Hex NEO 21</v>
      </c>
      <c r="E202" s="132">
        <v>1</v>
      </c>
      <c r="I202" s="132">
        <v>0</v>
      </c>
    </row>
    <row r="203" spans="1:9" ht="14.25" customHeight="1" x14ac:dyDescent="0.25">
      <c r="A203" s="132" t="s">
        <v>117</v>
      </c>
      <c r="B203" s="132" t="s">
        <v>9</v>
      </c>
      <c r="C203" s="132">
        <v>25</v>
      </c>
      <c r="D203" s="132" t="str">
        <f t="shared" si="13"/>
        <v>1/2" Hex NEO 25</v>
      </c>
      <c r="E203" s="132">
        <v>1</v>
      </c>
      <c r="I203" s="132">
        <v>0</v>
      </c>
    </row>
    <row r="204" spans="1:9" ht="14.25" customHeight="1" x14ac:dyDescent="0.25">
      <c r="A204" s="132" t="s">
        <v>117</v>
      </c>
      <c r="B204" s="132" t="s">
        <v>9</v>
      </c>
      <c r="C204" s="132">
        <v>27</v>
      </c>
      <c r="D204" s="132" t="str">
        <f t="shared" si="13"/>
        <v>1/2" Hex NEO 27</v>
      </c>
      <c r="E204" s="132">
        <v>1</v>
      </c>
      <c r="I204" s="132">
        <v>0</v>
      </c>
    </row>
    <row r="205" spans="1:9" ht="14.25" customHeight="1" x14ac:dyDescent="0.25">
      <c r="A205" s="132" t="s">
        <v>117</v>
      </c>
      <c r="B205" s="132" t="s">
        <v>9</v>
      </c>
      <c r="C205" s="132">
        <v>28</v>
      </c>
      <c r="D205" s="132" t="str">
        <f t="shared" si="13"/>
        <v>1/2" Hex NEO 28</v>
      </c>
      <c r="E205" s="132">
        <v>1</v>
      </c>
      <c r="I205" s="132">
        <v>0</v>
      </c>
    </row>
    <row r="206" spans="1:9" ht="14.25" customHeight="1" x14ac:dyDescent="0.25">
      <c r="A206" s="132" t="s">
        <v>117</v>
      </c>
      <c r="B206" s="132" t="s">
        <v>9</v>
      </c>
      <c r="C206" s="132">
        <v>30</v>
      </c>
      <c r="D206" s="132" t="str">
        <f t="shared" si="13"/>
        <v>1/2" Hex NEO 30</v>
      </c>
      <c r="E206" s="132">
        <v>1</v>
      </c>
      <c r="I206" s="132">
        <v>0</v>
      </c>
    </row>
    <row r="207" spans="1:9" ht="14.25" customHeight="1" x14ac:dyDescent="0.25">
      <c r="A207" s="132" t="s">
        <v>117</v>
      </c>
      <c r="B207" s="132" t="s">
        <v>9</v>
      </c>
      <c r="C207" s="132">
        <v>35</v>
      </c>
      <c r="D207" s="132" t="str">
        <f t="shared" si="13"/>
        <v>1/2" Hex NEO 35</v>
      </c>
      <c r="E207" s="132">
        <v>1</v>
      </c>
      <c r="I207" s="132">
        <v>0</v>
      </c>
    </row>
    <row r="208" spans="1:9" ht="14.25" customHeight="1" x14ac:dyDescent="0.25">
      <c r="A208" s="132" t="s">
        <v>117</v>
      </c>
      <c r="B208" s="132" t="s">
        <v>9</v>
      </c>
      <c r="C208" s="132">
        <v>36</v>
      </c>
      <c r="D208" s="132" t="str">
        <f t="shared" si="13"/>
        <v>1/2" Hex NEO 36</v>
      </c>
      <c r="E208" s="132">
        <v>1</v>
      </c>
      <c r="I208" s="132">
        <v>0</v>
      </c>
    </row>
    <row r="209" spans="1:9" ht="14.25" customHeight="1" x14ac:dyDescent="0.25">
      <c r="A209" s="132" t="s">
        <v>117</v>
      </c>
      <c r="B209" s="132" t="s">
        <v>9</v>
      </c>
      <c r="C209" s="132">
        <v>40</v>
      </c>
      <c r="D209" s="132" t="str">
        <f t="shared" si="13"/>
        <v>1/2" Hex NEO 40</v>
      </c>
      <c r="E209" s="132">
        <v>1</v>
      </c>
      <c r="I209" s="132">
        <v>0</v>
      </c>
    </row>
    <row r="210" spans="1:9" ht="14.25" customHeight="1" x14ac:dyDescent="0.25">
      <c r="A210" s="132" t="s">
        <v>117</v>
      </c>
      <c r="B210" s="132" t="s">
        <v>9</v>
      </c>
      <c r="C210" s="132">
        <v>45</v>
      </c>
      <c r="D210" s="132" t="str">
        <f t="shared" si="13"/>
        <v>1/2" Hex NEO 45</v>
      </c>
      <c r="E210" s="132">
        <v>1</v>
      </c>
      <c r="I210" s="132">
        <v>0</v>
      </c>
    </row>
    <row r="211" spans="1:9" ht="14.25" customHeight="1" x14ac:dyDescent="0.25">
      <c r="A211" s="132" t="s">
        <v>117</v>
      </c>
      <c r="B211" s="132" t="s">
        <v>9</v>
      </c>
      <c r="C211" s="132">
        <v>49</v>
      </c>
      <c r="D211" s="132" t="str">
        <f t="shared" si="13"/>
        <v>1/2" Hex NEO 49</v>
      </c>
      <c r="E211" s="132">
        <v>0</v>
      </c>
      <c r="I211" s="132">
        <v>0</v>
      </c>
    </row>
    <row r="212" spans="1:9" ht="14.25" customHeight="1" x14ac:dyDescent="0.25">
      <c r="A212" s="132" t="s">
        <v>117</v>
      </c>
      <c r="B212" s="132" t="s">
        <v>9</v>
      </c>
      <c r="C212" s="132">
        <v>50</v>
      </c>
      <c r="D212" s="132" t="str">
        <f t="shared" si="13"/>
        <v>1/2" Hex NEO 50</v>
      </c>
      <c r="E212" s="132">
        <v>0</v>
      </c>
      <c r="I212" s="132">
        <v>0</v>
      </c>
    </row>
    <row r="213" spans="1:9" ht="14.25" customHeight="1" x14ac:dyDescent="0.25">
      <c r="A213" s="132" t="s">
        <v>117</v>
      </c>
      <c r="B213" s="132" t="s">
        <v>9</v>
      </c>
      <c r="C213" s="132">
        <v>63</v>
      </c>
      <c r="D213" s="132" t="str">
        <f t="shared" si="13"/>
        <v>1/2" Hex NEO 63</v>
      </c>
      <c r="E213" s="132">
        <v>0</v>
      </c>
      <c r="I213" s="132">
        <v>0</v>
      </c>
    </row>
    <row r="214" spans="1:9" ht="14.25" customHeight="1" x14ac:dyDescent="0.25">
      <c r="A214" s="132" t="s">
        <v>117</v>
      </c>
      <c r="B214" s="132" t="s">
        <v>9</v>
      </c>
      <c r="C214" s="132">
        <v>70</v>
      </c>
      <c r="D214" s="132" t="str">
        <f t="shared" si="13"/>
        <v>1/2" Hex NEO 70</v>
      </c>
      <c r="E214" s="132">
        <v>0</v>
      </c>
      <c r="I214" s="132">
        <v>0</v>
      </c>
    </row>
    <row r="215" spans="1:9" ht="14.25" customHeight="1" x14ac:dyDescent="0.25">
      <c r="A215" s="132" t="s">
        <v>117</v>
      </c>
      <c r="B215" s="132" t="s">
        <v>9</v>
      </c>
      <c r="C215" s="132">
        <v>81</v>
      </c>
      <c r="D215" s="132" t="str">
        <f t="shared" si="13"/>
        <v>1/2" Hex NEO 81</v>
      </c>
      <c r="E215" s="132">
        <v>0</v>
      </c>
      <c r="I215" s="132">
        <v>0</v>
      </c>
    </row>
    <row r="216" spans="1:9" ht="14.25" customHeight="1" x14ac:dyDescent="0.25">
      <c r="A216" s="132" t="s">
        <v>117</v>
      </c>
      <c r="B216" s="132" t="s">
        <v>9</v>
      </c>
      <c r="C216" s="132">
        <v>90</v>
      </c>
      <c r="D216" s="132" t="str">
        <f t="shared" si="13"/>
        <v>1/2" Hex NEO 90</v>
      </c>
      <c r="E216" s="132">
        <v>0</v>
      </c>
      <c r="I216" s="132">
        <v>0</v>
      </c>
    </row>
    <row r="217" spans="1:9" ht="14.25" customHeight="1" x14ac:dyDescent="0.25">
      <c r="A217" s="132" t="s">
        <v>117</v>
      </c>
      <c r="B217" s="132" t="s">
        <v>9</v>
      </c>
      <c r="C217" s="132">
        <v>100</v>
      </c>
      <c r="D217" s="132" t="str">
        <f t="shared" si="13"/>
        <v>1/2" Hex NEO 100</v>
      </c>
      <c r="E217" s="132">
        <v>0</v>
      </c>
      <c r="I217" s="132">
        <v>0</v>
      </c>
    </row>
    <row r="218" spans="1:9" ht="14.25" customHeight="1" x14ac:dyDescent="0.25">
      <c r="A218" s="132" t="s">
        <v>117</v>
      </c>
      <c r="B218" s="132" t="s">
        <v>334</v>
      </c>
      <c r="C218" s="132">
        <v>-3</v>
      </c>
      <c r="D218" s="132" t="str">
        <f t="shared" ref="D218:D223" si="14">A218&amp;" "&amp;B218&amp;" "&amp;C218</f>
        <v>1/2" Hex Falcon 500 -3</v>
      </c>
      <c r="E218" s="132">
        <v>1</v>
      </c>
      <c r="I218" s="132">
        <v>0</v>
      </c>
    </row>
    <row r="219" spans="1:9" ht="14.25" customHeight="1" x14ac:dyDescent="0.25">
      <c r="A219" s="132" t="s">
        <v>117</v>
      </c>
      <c r="B219" s="132" t="s">
        <v>334</v>
      </c>
      <c r="C219" s="132">
        <v>-4</v>
      </c>
      <c r="D219" s="132" t="str">
        <f t="shared" si="14"/>
        <v>1/2" Hex Falcon 500 -4</v>
      </c>
      <c r="E219" s="132">
        <v>1</v>
      </c>
      <c r="I219" s="132">
        <v>0</v>
      </c>
    </row>
    <row r="220" spans="1:9" ht="14.25" customHeight="1" x14ac:dyDescent="0.25">
      <c r="A220" s="132" t="s">
        <v>117</v>
      </c>
      <c r="B220" s="132" t="s">
        <v>334</v>
      </c>
      <c r="C220" s="132">
        <v>-5</v>
      </c>
      <c r="D220" s="132" t="str">
        <f t="shared" si="14"/>
        <v>1/2" Hex Falcon 500 -5</v>
      </c>
      <c r="E220" s="132">
        <v>1</v>
      </c>
      <c r="I220" s="132">
        <v>0</v>
      </c>
    </row>
    <row r="221" spans="1:9" ht="14.25" customHeight="1" x14ac:dyDescent="0.25">
      <c r="A221" s="132" t="s">
        <v>117</v>
      </c>
      <c r="B221" s="132" t="s">
        <v>334</v>
      </c>
      <c r="C221" s="132">
        <v>-7</v>
      </c>
      <c r="D221" s="132" t="str">
        <f t="shared" si="14"/>
        <v>1/2" Hex Falcon 500 -7</v>
      </c>
      <c r="E221" s="132">
        <v>1</v>
      </c>
      <c r="I221" s="132">
        <v>0</v>
      </c>
    </row>
    <row r="222" spans="1:9" ht="14.25" customHeight="1" x14ac:dyDescent="0.25">
      <c r="A222" s="132" t="s">
        <v>117</v>
      </c>
      <c r="B222" s="132" t="s">
        <v>334</v>
      </c>
      <c r="C222" s="132">
        <v>-9</v>
      </c>
      <c r="D222" s="132" t="str">
        <f t="shared" si="14"/>
        <v>1/2" Hex Falcon 500 -9</v>
      </c>
      <c r="E222" s="132">
        <v>1</v>
      </c>
      <c r="I222" s="132">
        <v>0</v>
      </c>
    </row>
    <row r="223" spans="1:9" ht="14.25" customHeight="1" x14ac:dyDescent="0.25">
      <c r="A223" s="132" t="s">
        <v>117</v>
      </c>
      <c r="B223" s="132" t="s">
        <v>334</v>
      </c>
      <c r="C223" s="132">
        <v>-10</v>
      </c>
      <c r="D223" s="132" t="str">
        <f t="shared" si="14"/>
        <v>1/2" Hex Falcon 500 -10</v>
      </c>
      <c r="E223" s="132">
        <v>1</v>
      </c>
      <c r="I223" s="132">
        <v>0</v>
      </c>
    </row>
    <row r="224" spans="1:9" ht="14.25" customHeight="1" x14ac:dyDescent="0.25">
      <c r="A224" s="132" t="s">
        <v>117</v>
      </c>
      <c r="B224" s="132" t="s">
        <v>334</v>
      </c>
      <c r="C224" s="132">
        <v>9</v>
      </c>
      <c r="D224" s="132" t="str">
        <f t="shared" ref="D224:D244" si="15">A224&amp;" "&amp;B224&amp;" "&amp;C224</f>
        <v>1/2" Hex Falcon 500 9</v>
      </c>
      <c r="E224" s="132">
        <v>3</v>
      </c>
      <c r="I224" s="132">
        <v>0</v>
      </c>
    </row>
    <row r="225" spans="1:9" ht="14.25" customHeight="1" x14ac:dyDescent="0.25">
      <c r="A225" s="132" t="s">
        <v>117</v>
      </c>
      <c r="B225" s="132" t="s">
        <v>334</v>
      </c>
      <c r="C225" s="132">
        <v>12</v>
      </c>
      <c r="D225" s="132" t="str">
        <f t="shared" si="15"/>
        <v>1/2" Hex Falcon 500 12</v>
      </c>
      <c r="E225" s="132">
        <v>1</v>
      </c>
      <c r="I225" s="132">
        <v>0</v>
      </c>
    </row>
    <row r="226" spans="1:9" ht="14.25" customHeight="1" x14ac:dyDescent="0.25">
      <c r="A226" s="132" t="s">
        <v>117</v>
      </c>
      <c r="B226" s="132" t="s">
        <v>334</v>
      </c>
      <c r="C226" s="132">
        <v>15</v>
      </c>
      <c r="D226" s="132" t="str">
        <f t="shared" si="15"/>
        <v>1/2" Hex Falcon 500 15</v>
      </c>
      <c r="E226" s="132">
        <v>1</v>
      </c>
      <c r="I226" s="132">
        <v>0</v>
      </c>
    </row>
    <row r="227" spans="1:9" ht="14.25" customHeight="1" x14ac:dyDescent="0.25">
      <c r="A227" s="132" t="s">
        <v>117</v>
      </c>
      <c r="B227" s="132" t="s">
        <v>334</v>
      </c>
      <c r="C227" s="132">
        <v>16</v>
      </c>
      <c r="D227" s="132" t="str">
        <f t="shared" si="15"/>
        <v>1/2" Hex Falcon 500 16</v>
      </c>
      <c r="E227" s="132">
        <v>1</v>
      </c>
      <c r="I227" s="132">
        <v>0</v>
      </c>
    </row>
    <row r="228" spans="1:9" ht="14.25" customHeight="1" x14ac:dyDescent="0.25">
      <c r="A228" s="132" t="s">
        <v>117</v>
      </c>
      <c r="B228" s="132" t="s">
        <v>334</v>
      </c>
      <c r="C228" s="132">
        <v>20</v>
      </c>
      <c r="D228" s="132" t="str">
        <f t="shared" si="15"/>
        <v>1/2" Hex Falcon 500 20</v>
      </c>
      <c r="E228" s="132">
        <v>1</v>
      </c>
      <c r="I228" s="132">
        <v>0</v>
      </c>
    </row>
    <row r="229" spans="1:9" ht="14.25" customHeight="1" x14ac:dyDescent="0.25">
      <c r="A229" s="132" t="s">
        <v>117</v>
      </c>
      <c r="B229" s="132" t="s">
        <v>334</v>
      </c>
      <c r="C229" s="132">
        <v>21</v>
      </c>
      <c r="D229" s="132" t="str">
        <f t="shared" si="15"/>
        <v>1/2" Hex Falcon 500 21</v>
      </c>
      <c r="E229" s="132">
        <v>1</v>
      </c>
      <c r="I229" s="132">
        <v>0</v>
      </c>
    </row>
    <row r="230" spans="1:9" ht="14.25" customHeight="1" x14ac:dyDescent="0.25">
      <c r="A230" s="132" t="s">
        <v>117</v>
      </c>
      <c r="B230" s="132" t="s">
        <v>334</v>
      </c>
      <c r="C230" s="132">
        <v>25</v>
      </c>
      <c r="D230" s="132" t="str">
        <f t="shared" si="15"/>
        <v>1/2" Hex Falcon 500 25</v>
      </c>
      <c r="E230" s="132">
        <v>1</v>
      </c>
      <c r="I230" s="132">
        <v>0</v>
      </c>
    </row>
    <row r="231" spans="1:9" ht="14.25" customHeight="1" x14ac:dyDescent="0.25">
      <c r="A231" s="132" t="s">
        <v>117</v>
      </c>
      <c r="B231" s="132" t="s">
        <v>334</v>
      </c>
      <c r="C231" s="132">
        <v>27</v>
      </c>
      <c r="D231" s="132" t="str">
        <f t="shared" si="15"/>
        <v>1/2" Hex Falcon 500 27</v>
      </c>
      <c r="E231" s="132">
        <v>1</v>
      </c>
      <c r="I231" s="132">
        <v>0</v>
      </c>
    </row>
    <row r="232" spans="1:9" ht="14.25" customHeight="1" x14ac:dyDescent="0.25">
      <c r="A232" s="132" t="s">
        <v>117</v>
      </c>
      <c r="B232" s="132" t="s">
        <v>334</v>
      </c>
      <c r="C232" s="132">
        <v>28</v>
      </c>
      <c r="D232" s="132" t="str">
        <f t="shared" si="15"/>
        <v>1/2" Hex Falcon 500 28</v>
      </c>
      <c r="E232" s="132">
        <v>1</v>
      </c>
      <c r="I232" s="132">
        <v>0</v>
      </c>
    </row>
    <row r="233" spans="1:9" ht="14.25" customHeight="1" x14ac:dyDescent="0.25">
      <c r="A233" s="132" t="s">
        <v>117</v>
      </c>
      <c r="B233" s="132" t="s">
        <v>334</v>
      </c>
      <c r="C233" s="132">
        <v>30</v>
      </c>
      <c r="D233" s="132" t="str">
        <f t="shared" si="15"/>
        <v>1/2" Hex Falcon 500 30</v>
      </c>
      <c r="E233" s="132">
        <v>1</v>
      </c>
      <c r="I233" s="132">
        <v>0</v>
      </c>
    </row>
    <row r="234" spans="1:9" ht="14.25" customHeight="1" x14ac:dyDescent="0.25">
      <c r="A234" s="132" t="s">
        <v>117</v>
      </c>
      <c r="B234" s="132" t="s">
        <v>334</v>
      </c>
      <c r="C234" s="132">
        <v>35</v>
      </c>
      <c r="D234" s="132" t="str">
        <f t="shared" si="15"/>
        <v>1/2" Hex Falcon 500 35</v>
      </c>
      <c r="E234" s="132">
        <v>0</v>
      </c>
      <c r="I234" s="132">
        <v>0</v>
      </c>
    </row>
    <row r="235" spans="1:9" ht="14.25" customHeight="1" x14ac:dyDescent="0.25">
      <c r="A235" s="132" t="s">
        <v>117</v>
      </c>
      <c r="B235" s="132" t="s">
        <v>334</v>
      </c>
      <c r="C235" s="132">
        <v>36</v>
      </c>
      <c r="D235" s="132" t="str">
        <f t="shared" si="15"/>
        <v>1/2" Hex Falcon 500 36</v>
      </c>
      <c r="E235" s="132">
        <v>0</v>
      </c>
      <c r="I235" s="132">
        <v>0</v>
      </c>
    </row>
    <row r="236" spans="1:9" ht="14.25" customHeight="1" x14ac:dyDescent="0.25">
      <c r="A236" s="132" t="s">
        <v>117</v>
      </c>
      <c r="B236" s="132" t="s">
        <v>334</v>
      </c>
      <c r="C236" s="132">
        <v>40</v>
      </c>
      <c r="D236" s="132" t="str">
        <f t="shared" si="15"/>
        <v>1/2" Hex Falcon 500 40</v>
      </c>
      <c r="E236" s="132">
        <v>0</v>
      </c>
      <c r="I236" s="132">
        <v>0</v>
      </c>
    </row>
    <row r="237" spans="1:9" ht="14.25" customHeight="1" x14ac:dyDescent="0.25">
      <c r="A237" s="132" t="s">
        <v>117</v>
      </c>
      <c r="B237" s="132" t="s">
        <v>334</v>
      </c>
      <c r="C237" s="132">
        <v>45</v>
      </c>
      <c r="D237" s="132" t="str">
        <f t="shared" si="15"/>
        <v>1/2" Hex Falcon 500 45</v>
      </c>
      <c r="E237" s="132">
        <v>0</v>
      </c>
      <c r="I237" s="132">
        <v>0</v>
      </c>
    </row>
    <row r="238" spans="1:9" ht="14.25" customHeight="1" x14ac:dyDescent="0.25">
      <c r="A238" s="132" t="s">
        <v>117</v>
      </c>
      <c r="B238" s="132" t="s">
        <v>334</v>
      </c>
      <c r="C238" s="132">
        <v>49</v>
      </c>
      <c r="D238" s="132" t="str">
        <f t="shared" si="15"/>
        <v>1/2" Hex Falcon 500 49</v>
      </c>
      <c r="E238" s="132">
        <v>0</v>
      </c>
      <c r="I238" s="132">
        <v>0</v>
      </c>
    </row>
    <row r="239" spans="1:9" ht="14.25" customHeight="1" x14ac:dyDescent="0.25">
      <c r="A239" s="132" t="s">
        <v>117</v>
      </c>
      <c r="B239" s="132" t="s">
        <v>334</v>
      </c>
      <c r="C239" s="132">
        <v>50</v>
      </c>
      <c r="D239" s="132" t="str">
        <f t="shared" si="15"/>
        <v>1/2" Hex Falcon 500 50</v>
      </c>
      <c r="E239" s="132">
        <v>0</v>
      </c>
      <c r="I239" s="132">
        <v>0</v>
      </c>
    </row>
    <row r="240" spans="1:9" ht="14.25" customHeight="1" x14ac:dyDescent="0.25">
      <c r="A240" s="132" t="s">
        <v>117</v>
      </c>
      <c r="B240" s="132" t="s">
        <v>334</v>
      </c>
      <c r="C240" s="132">
        <v>63</v>
      </c>
      <c r="D240" s="132" t="str">
        <f t="shared" si="15"/>
        <v>1/2" Hex Falcon 500 63</v>
      </c>
      <c r="E240" s="132">
        <v>0</v>
      </c>
      <c r="I240" s="132">
        <v>0</v>
      </c>
    </row>
    <row r="241" spans="1:9" ht="14.25" customHeight="1" x14ac:dyDescent="0.25">
      <c r="A241" s="132" t="s">
        <v>117</v>
      </c>
      <c r="B241" s="132" t="s">
        <v>334</v>
      </c>
      <c r="C241" s="132">
        <v>70</v>
      </c>
      <c r="D241" s="132" t="str">
        <f t="shared" si="15"/>
        <v>1/2" Hex Falcon 500 70</v>
      </c>
      <c r="E241" s="132">
        <v>0</v>
      </c>
      <c r="I241" s="132">
        <v>0</v>
      </c>
    </row>
    <row r="242" spans="1:9" ht="14.25" customHeight="1" x14ac:dyDescent="0.25">
      <c r="A242" s="132" t="s">
        <v>117</v>
      </c>
      <c r="B242" s="132" t="s">
        <v>334</v>
      </c>
      <c r="C242" s="132">
        <v>81</v>
      </c>
      <c r="D242" s="132" t="str">
        <f t="shared" si="15"/>
        <v>1/2" Hex Falcon 500 81</v>
      </c>
      <c r="E242" s="132">
        <v>0</v>
      </c>
      <c r="I242" s="132">
        <v>0</v>
      </c>
    </row>
    <row r="243" spans="1:9" ht="14.25" customHeight="1" x14ac:dyDescent="0.25">
      <c r="A243" s="132" t="s">
        <v>117</v>
      </c>
      <c r="B243" s="132" t="s">
        <v>334</v>
      </c>
      <c r="C243" s="132">
        <v>90</v>
      </c>
      <c r="D243" s="132" t="str">
        <f t="shared" si="15"/>
        <v>1/2" Hex Falcon 500 90</v>
      </c>
      <c r="E243" s="132">
        <v>0</v>
      </c>
      <c r="I243" s="132">
        <v>0</v>
      </c>
    </row>
    <row r="244" spans="1:9" ht="14.25" customHeight="1" x14ac:dyDescent="0.25">
      <c r="A244" s="132" t="s">
        <v>117</v>
      </c>
      <c r="B244" s="132" t="s">
        <v>334</v>
      </c>
      <c r="C244" s="132">
        <v>100</v>
      </c>
      <c r="D244" s="132" t="str">
        <f t="shared" si="15"/>
        <v>1/2" Hex Falcon 500 100</v>
      </c>
      <c r="E244" s="132">
        <v>0</v>
      </c>
      <c r="I244" s="132">
        <v>0</v>
      </c>
    </row>
    <row r="245" spans="1:9" ht="14.25" customHeight="1" x14ac:dyDescent="0.25">
      <c r="A245" s="132" t="s">
        <v>241</v>
      </c>
      <c r="B245" s="132" t="s">
        <v>11</v>
      </c>
      <c r="C245" s="132">
        <v>-3</v>
      </c>
      <c r="D245" s="132" t="str">
        <f t="shared" ref="D245:D250" si="16">A245&amp;" "&amp;B245&amp;" "&amp;C245</f>
        <v>1/2" Round AM 9015 -3</v>
      </c>
      <c r="E245" s="132">
        <v>1</v>
      </c>
      <c r="I245" s="132">
        <v>1</v>
      </c>
    </row>
    <row r="246" spans="1:9" ht="14.25" customHeight="1" x14ac:dyDescent="0.25">
      <c r="A246" s="132" t="s">
        <v>241</v>
      </c>
      <c r="B246" s="132" t="s">
        <v>11</v>
      </c>
      <c r="C246" s="132">
        <v>-4</v>
      </c>
      <c r="D246" s="132" t="str">
        <f t="shared" si="16"/>
        <v>1/2" Round AM 9015 -4</v>
      </c>
      <c r="E246" s="132">
        <v>1</v>
      </c>
      <c r="I246" s="132">
        <v>1</v>
      </c>
    </row>
    <row r="247" spans="1:9" ht="14.25" customHeight="1" x14ac:dyDescent="0.25">
      <c r="A247" s="132" t="s">
        <v>241</v>
      </c>
      <c r="B247" s="132" t="s">
        <v>11</v>
      </c>
      <c r="C247" s="132">
        <v>-5</v>
      </c>
      <c r="D247" s="132" t="str">
        <f t="shared" si="16"/>
        <v>1/2" Round AM 9015 -5</v>
      </c>
      <c r="E247" s="132">
        <v>1</v>
      </c>
      <c r="I247" s="132">
        <v>1</v>
      </c>
    </row>
    <row r="248" spans="1:9" ht="14.25" customHeight="1" x14ac:dyDescent="0.25">
      <c r="A248" s="132" t="s">
        <v>241</v>
      </c>
      <c r="B248" s="132" t="s">
        <v>11</v>
      </c>
      <c r="C248" s="132">
        <v>-7</v>
      </c>
      <c r="D248" s="132" t="str">
        <f t="shared" si="16"/>
        <v>1/2" Round AM 9015 -7</v>
      </c>
      <c r="E248" s="132">
        <v>1</v>
      </c>
      <c r="I248" s="132">
        <v>1</v>
      </c>
    </row>
    <row r="249" spans="1:9" ht="14.25" customHeight="1" x14ac:dyDescent="0.25">
      <c r="A249" s="132" t="s">
        <v>241</v>
      </c>
      <c r="B249" s="132" t="s">
        <v>11</v>
      </c>
      <c r="C249" s="132">
        <v>-9</v>
      </c>
      <c r="D249" s="132" t="str">
        <f t="shared" si="16"/>
        <v>1/2" Round AM 9015 -9</v>
      </c>
      <c r="E249" s="132">
        <v>1</v>
      </c>
      <c r="I249" s="132">
        <v>1</v>
      </c>
    </row>
    <row r="250" spans="1:9" ht="14.25" customHeight="1" x14ac:dyDescent="0.25">
      <c r="A250" s="132" t="s">
        <v>241</v>
      </c>
      <c r="B250" s="132" t="s">
        <v>11</v>
      </c>
      <c r="C250" s="132">
        <v>-10</v>
      </c>
      <c r="D250" s="132" t="str">
        <f t="shared" si="16"/>
        <v>1/2" Round AM 9015 -10</v>
      </c>
      <c r="E250" s="132">
        <v>1</v>
      </c>
      <c r="I250" s="132">
        <v>1</v>
      </c>
    </row>
    <row r="251" spans="1:9" ht="14.25" customHeight="1" x14ac:dyDescent="0.25">
      <c r="A251" s="132" t="s">
        <v>241</v>
      </c>
      <c r="B251" s="132" t="s">
        <v>11</v>
      </c>
      <c r="C251" s="132">
        <v>9</v>
      </c>
      <c r="D251" s="132" t="str">
        <f t="shared" ref="D251:D271" si="17">A251&amp;" "&amp;B251&amp;" "&amp;C251</f>
        <v>1/2" Round AM 9015 9</v>
      </c>
      <c r="E251" s="132">
        <v>10</v>
      </c>
      <c r="I251" s="132">
        <v>10</v>
      </c>
    </row>
    <row r="252" spans="1:9" ht="14.25" customHeight="1" x14ac:dyDescent="0.25">
      <c r="A252" s="132" t="s">
        <v>241</v>
      </c>
      <c r="B252" s="132" t="s">
        <v>11</v>
      </c>
      <c r="C252" s="132">
        <v>12</v>
      </c>
      <c r="D252" s="132" t="str">
        <f t="shared" si="17"/>
        <v>1/2" Round AM 9015 12</v>
      </c>
      <c r="E252" s="132">
        <v>10</v>
      </c>
      <c r="I252" s="132">
        <v>7</v>
      </c>
    </row>
    <row r="253" spans="1:9" ht="14.25" customHeight="1" x14ac:dyDescent="0.25">
      <c r="A253" s="132" t="s">
        <v>241</v>
      </c>
      <c r="B253" s="132" t="s">
        <v>11</v>
      </c>
      <c r="C253" s="132">
        <v>15</v>
      </c>
      <c r="D253" s="132" t="str">
        <f t="shared" si="17"/>
        <v>1/2" Round AM 9015 15</v>
      </c>
      <c r="E253" s="132">
        <v>10</v>
      </c>
      <c r="I253" s="132">
        <v>5</v>
      </c>
    </row>
    <row r="254" spans="1:9" ht="14.25" customHeight="1" x14ac:dyDescent="0.25">
      <c r="A254" s="132" t="s">
        <v>241</v>
      </c>
      <c r="B254" s="132" t="s">
        <v>11</v>
      </c>
      <c r="C254" s="132">
        <v>16</v>
      </c>
      <c r="D254" s="132" t="str">
        <f t="shared" si="17"/>
        <v>1/2" Round AM 9015 16</v>
      </c>
      <c r="E254" s="132">
        <v>10</v>
      </c>
      <c r="I254" s="132">
        <v>5</v>
      </c>
    </row>
    <row r="255" spans="1:9" ht="14.25" customHeight="1" x14ac:dyDescent="0.25">
      <c r="A255" s="132" t="s">
        <v>241</v>
      </c>
      <c r="B255" s="132" t="s">
        <v>11</v>
      </c>
      <c r="C255" s="132">
        <v>20</v>
      </c>
      <c r="D255" s="132" t="str">
        <f t="shared" si="17"/>
        <v>1/2" Round AM 9015 20</v>
      </c>
      <c r="E255" s="132">
        <v>10</v>
      </c>
      <c r="I255" s="132">
        <v>4</v>
      </c>
    </row>
    <row r="256" spans="1:9" ht="14.25" customHeight="1" x14ac:dyDescent="0.25">
      <c r="A256" s="132" t="s">
        <v>241</v>
      </c>
      <c r="B256" s="132" t="s">
        <v>11</v>
      </c>
      <c r="C256" s="132">
        <v>21</v>
      </c>
      <c r="D256" s="132" t="str">
        <f t="shared" si="17"/>
        <v>1/2" Round AM 9015 21</v>
      </c>
      <c r="E256" s="132">
        <v>10</v>
      </c>
      <c r="I256" s="132">
        <v>4</v>
      </c>
    </row>
    <row r="257" spans="1:9" ht="14.25" customHeight="1" x14ac:dyDescent="0.25">
      <c r="A257" s="132" t="s">
        <v>241</v>
      </c>
      <c r="B257" s="132" t="s">
        <v>11</v>
      </c>
      <c r="C257" s="132">
        <v>25</v>
      </c>
      <c r="D257" s="132" t="str">
        <f t="shared" si="17"/>
        <v>1/2" Round AM 9015 25</v>
      </c>
      <c r="E257" s="132">
        <v>7</v>
      </c>
      <c r="I257" s="132">
        <v>3</v>
      </c>
    </row>
    <row r="258" spans="1:9" ht="14.25" customHeight="1" x14ac:dyDescent="0.25">
      <c r="A258" s="132" t="s">
        <v>241</v>
      </c>
      <c r="B258" s="132" t="s">
        <v>11</v>
      </c>
      <c r="C258" s="132">
        <v>27</v>
      </c>
      <c r="D258" s="132" t="str">
        <f t="shared" si="17"/>
        <v>1/2" Round AM 9015 27</v>
      </c>
      <c r="E258" s="132">
        <v>7</v>
      </c>
      <c r="I258" s="132">
        <v>3</v>
      </c>
    </row>
    <row r="259" spans="1:9" ht="14.25" customHeight="1" x14ac:dyDescent="0.25">
      <c r="A259" s="132" t="s">
        <v>241</v>
      </c>
      <c r="B259" s="132" t="s">
        <v>11</v>
      </c>
      <c r="C259" s="132">
        <v>28</v>
      </c>
      <c r="D259" s="132" t="str">
        <f t="shared" si="17"/>
        <v>1/2" Round AM 9015 28</v>
      </c>
      <c r="E259" s="132">
        <v>7</v>
      </c>
      <c r="I259" s="132">
        <v>3</v>
      </c>
    </row>
    <row r="260" spans="1:9" ht="14.25" customHeight="1" x14ac:dyDescent="0.25">
      <c r="A260" s="132" t="s">
        <v>241</v>
      </c>
      <c r="B260" s="132" t="s">
        <v>11</v>
      </c>
      <c r="C260" s="132">
        <v>30</v>
      </c>
      <c r="D260" s="132" t="str">
        <f t="shared" si="17"/>
        <v>1/2" Round AM 9015 30</v>
      </c>
      <c r="E260" s="132">
        <v>7</v>
      </c>
      <c r="I260" s="132">
        <v>3</v>
      </c>
    </row>
    <row r="261" spans="1:9" ht="14.25" customHeight="1" x14ac:dyDescent="0.25">
      <c r="A261" s="132" t="s">
        <v>241</v>
      </c>
      <c r="B261" s="132" t="s">
        <v>11</v>
      </c>
      <c r="C261" s="132">
        <v>35</v>
      </c>
      <c r="D261" s="132" t="str">
        <f t="shared" si="17"/>
        <v>1/2" Round AM 9015 35</v>
      </c>
      <c r="E261" s="132">
        <v>5</v>
      </c>
      <c r="I261" s="132">
        <v>1</v>
      </c>
    </row>
    <row r="262" spans="1:9" ht="14.25" customHeight="1" x14ac:dyDescent="0.25">
      <c r="A262" s="132" t="s">
        <v>241</v>
      </c>
      <c r="B262" s="132" t="s">
        <v>11</v>
      </c>
      <c r="C262" s="132">
        <v>36</v>
      </c>
      <c r="D262" s="132" t="str">
        <f t="shared" si="17"/>
        <v>1/2" Round AM 9015 36</v>
      </c>
      <c r="E262" s="132">
        <v>5</v>
      </c>
      <c r="I262" s="132">
        <v>1</v>
      </c>
    </row>
    <row r="263" spans="1:9" ht="14.25" customHeight="1" x14ac:dyDescent="0.25">
      <c r="A263" s="132" t="s">
        <v>241</v>
      </c>
      <c r="B263" s="132" t="s">
        <v>11</v>
      </c>
      <c r="C263" s="132">
        <v>40</v>
      </c>
      <c r="D263" s="132" t="str">
        <f t="shared" si="17"/>
        <v>1/2" Round AM 9015 40</v>
      </c>
      <c r="E263" s="132">
        <v>5</v>
      </c>
      <c r="I263" s="132">
        <v>1</v>
      </c>
    </row>
    <row r="264" spans="1:9" ht="14.25" customHeight="1" x14ac:dyDescent="0.25">
      <c r="A264" s="132" t="s">
        <v>241</v>
      </c>
      <c r="B264" s="132" t="s">
        <v>11</v>
      </c>
      <c r="C264" s="132">
        <v>45</v>
      </c>
      <c r="D264" s="132" t="str">
        <f t="shared" si="17"/>
        <v>1/2" Round AM 9015 45</v>
      </c>
      <c r="E264" s="132">
        <v>5</v>
      </c>
      <c r="I264" s="132">
        <v>1</v>
      </c>
    </row>
    <row r="265" spans="1:9" ht="14.25" customHeight="1" x14ac:dyDescent="0.25">
      <c r="A265" s="132" t="s">
        <v>241</v>
      </c>
      <c r="B265" s="132" t="s">
        <v>11</v>
      </c>
      <c r="C265" s="132">
        <v>49</v>
      </c>
      <c r="D265" s="132" t="str">
        <f t="shared" si="17"/>
        <v>1/2" Round AM 9015 49</v>
      </c>
      <c r="E265" s="132">
        <v>5</v>
      </c>
      <c r="I265" s="132">
        <v>1</v>
      </c>
    </row>
    <row r="266" spans="1:9" ht="14.25" customHeight="1" x14ac:dyDescent="0.25">
      <c r="A266" s="132" t="s">
        <v>241</v>
      </c>
      <c r="B266" s="132" t="s">
        <v>11</v>
      </c>
      <c r="C266" s="132">
        <v>50</v>
      </c>
      <c r="D266" s="132" t="str">
        <f t="shared" si="17"/>
        <v>1/2" Round AM 9015 50</v>
      </c>
      <c r="E266" s="132">
        <v>5</v>
      </c>
      <c r="I266" s="132">
        <v>1</v>
      </c>
    </row>
    <row r="267" spans="1:9" ht="14.25" customHeight="1" x14ac:dyDescent="0.25">
      <c r="A267" s="132" t="s">
        <v>241</v>
      </c>
      <c r="B267" s="132" t="s">
        <v>11</v>
      </c>
      <c r="C267" s="132">
        <v>63</v>
      </c>
      <c r="D267" s="132" t="str">
        <f t="shared" si="17"/>
        <v>1/2" Round AM 9015 63</v>
      </c>
      <c r="E267" s="132">
        <v>4</v>
      </c>
      <c r="I267" s="132">
        <v>1</v>
      </c>
    </row>
    <row r="268" spans="1:9" ht="14.25" customHeight="1" x14ac:dyDescent="0.25">
      <c r="A268" s="132" t="s">
        <v>241</v>
      </c>
      <c r="B268" s="132" t="s">
        <v>11</v>
      </c>
      <c r="C268" s="132">
        <v>70</v>
      </c>
      <c r="D268" s="132" t="str">
        <f t="shared" si="17"/>
        <v>1/2" Round AM 9015 70</v>
      </c>
      <c r="E268" s="132">
        <v>4</v>
      </c>
      <c r="I268" s="132">
        <v>1</v>
      </c>
    </row>
    <row r="269" spans="1:9" ht="14.25" customHeight="1" x14ac:dyDescent="0.25">
      <c r="A269" s="132" t="s">
        <v>241</v>
      </c>
      <c r="B269" s="132" t="s">
        <v>11</v>
      </c>
      <c r="C269" s="132">
        <v>81</v>
      </c>
      <c r="D269" s="132" t="str">
        <f t="shared" si="17"/>
        <v>1/2" Round AM 9015 81</v>
      </c>
      <c r="E269" s="132">
        <v>3</v>
      </c>
      <c r="I269" s="132">
        <v>1</v>
      </c>
    </row>
    <row r="270" spans="1:9" ht="14.25" customHeight="1" x14ac:dyDescent="0.25">
      <c r="A270" s="132" t="s">
        <v>241</v>
      </c>
      <c r="B270" s="132" t="s">
        <v>11</v>
      </c>
      <c r="C270" s="132">
        <v>90</v>
      </c>
      <c r="D270" s="132" t="str">
        <f t="shared" si="17"/>
        <v>1/2" Round AM 9015 90</v>
      </c>
      <c r="E270" s="132">
        <v>3</v>
      </c>
      <c r="I270" s="132">
        <v>1</v>
      </c>
    </row>
    <row r="271" spans="1:9" ht="14.25" customHeight="1" x14ac:dyDescent="0.25">
      <c r="A271" s="132" t="s">
        <v>241</v>
      </c>
      <c r="B271" s="132" t="s">
        <v>11</v>
      </c>
      <c r="C271" s="132">
        <v>100</v>
      </c>
      <c r="D271" s="132" t="str">
        <f t="shared" si="17"/>
        <v>1/2" Round AM 9015 100</v>
      </c>
      <c r="E271" s="132">
        <v>1</v>
      </c>
      <c r="I271" s="132">
        <v>0</v>
      </c>
    </row>
    <row r="272" spans="1:9" ht="14.25" customHeight="1" x14ac:dyDescent="0.25">
      <c r="A272" s="132" t="s">
        <v>241</v>
      </c>
      <c r="B272" s="132" t="s">
        <v>327</v>
      </c>
      <c r="C272" s="132">
        <v>-3</v>
      </c>
      <c r="D272" s="132" t="str">
        <f t="shared" ref="D272:D277" si="18">A272&amp;" "&amp;B272&amp;" "&amp;C272</f>
        <v>1/2" Round BB RS-550 -3</v>
      </c>
      <c r="E272" s="132">
        <v>1</v>
      </c>
      <c r="F272" s="132">
        <v>1</v>
      </c>
      <c r="G272" s="132">
        <v>1</v>
      </c>
      <c r="H272" s="132">
        <v>1</v>
      </c>
      <c r="I272" s="132">
        <v>1</v>
      </c>
    </row>
    <row r="273" spans="1:9" ht="14.25" customHeight="1" x14ac:dyDescent="0.25">
      <c r="A273" s="132" t="s">
        <v>241</v>
      </c>
      <c r="B273" s="132" t="s">
        <v>327</v>
      </c>
      <c r="C273" s="132">
        <v>-4</v>
      </c>
      <c r="D273" s="132" t="str">
        <f t="shared" si="18"/>
        <v>1/2" Round BB RS-550 -4</v>
      </c>
      <c r="E273" s="132">
        <v>1</v>
      </c>
      <c r="F273" s="132">
        <v>1</v>
      </c>
      <c r="G273" s="132">
        <v>1</v>
      </c>
      <c r="H273" s="132">
        <v>0</v>
      </c>
      <c r="I273" s="132">
        <v>1</v>
      </c>
    </row>
    <row r="274" spans="1:9" ht="14.25" customHeight="1" x14ac:dyDescent="0.25">
      <c r="A274" s="132" t="s">
        <v>241</v>
      </c>
      <c r="B274" s="132" t="s">
        <v>327</v>
      </c>
      <c r="C274" s="132">
        <v>-5</v>
      </c>
      <c r="D274" s="132" t="str">
        <f t="shared" si="18"/>
        <v>1/2" Round BB RS-550 -5</v>
      </c>
      <c r="E274" s="132">
        <v>1</v>
      </c>
      <c r="F274" s="132">
        <v>1</v>
      </c>
      <c r="G274" s="132">
        <v>1</v>
      </c>
      <c r="H274" s="132">
        <v>0</v>
      </c>
      <c r="I274" s="132">
        <v>1</v>
      </c>
    </row>
    <row r="275" spans="1:9" ht="14.25" customHeight="1" x14ac:dyDescent="0.25">
      <c r="A275" s="132" t="s">
        <v>241</v>
      </c>
      <c r="B275" s="132" t="s">
        <v>327</v>
      </c>
      <c r="C275" s="132">
        <v>-7</v>
      </c>
      <c r="D275" s="132" t="str">
        <f t="shared" si="18"/>
        <v>1/2" Round BB RS-550 -7</v>
      </c>
      <c r="E275" s="132">
        <v>1</v>
      </c>
      <c r="F275" s="132">
        <v>1</v>
      </c>
      <c r="G275" s="132">
        <v>1</v>
      </c>
      <c r="H275" s="132">
        <v>0</v>
      </c>
      <c r="I275" s="132">
        <v>1</v>
      </c>
    </row>
    <row r="276" spans="1:9" ht="14.25" customHeight="1" x14ac:dyDescent="0.25">
      <c r="A276" s="132" t="s">
        <v>241</v>
      </c>
      <c r="B276" s="132" t="s">
        <v>327</v>
      </c>
      <c r="C276" s="132">
        <v>-9</v>
      </c>
      <c r="D276" s="132" t="str">
        <f t="shared" si="18"/>
        <v>1/2" Round BB RS-550 -9</v>
      </c>
      <c r="E276" s="132">
        <v>1</v>
      </c>
      <c r="F276" s="132">
        <v>1</v>
      </c>
      <c r="G276" s="132">
        <v>0</v>
      </c>
      <c r="H276" s="132">
        <v>0</v>
      </c>
      <c r="I276" s="132">
        <v>1</v>
      </c>
    </row>
    <row r="277" spans="1:9" ht="14.25" customHeight="1" x14ac:dyDescent="0.25">
      <c r="A277" s="132" t="s">
        <v>241</v>
      </c>
      <c r="B277" s="132" t="s">
        <v>327</v>
      </c>
      <c r="C277" s="132">
        <v>-10</v>
      </c>
      <c r="D277" s="132" t="str">
        <f t="shared" si="18"/>
        <v>1/2" Round BB RS-550 -10</v>
      </c>
      <c r="E277" s="132">
        <v>1</v>
      </c>
      <c r="F277" s="132">
        <v>1</v>
      </c>
      <c r="G277" s="132">
        <v>0</v>
      </c>
      <c r="H277" s="132">
        <v>0</v>
      </c>
      <c r="I277" s="132">
        <v>1</v>
      </c>
    </row>
    <row r="278" spans="1:9" ht="14.25" customHeight="1" x14ac:dyDescent="0.25">
      <c r="A278" s="132" t="s">
        <v>241</v>
      </c>
      <c r="B278" s="132" t="s">
        <v>327</v>
      </c>
      <c r="C278" s="132">
        <v>9</v>
      </c>
      <c r="D278" s="132" t="str">
        <f t="shared" ref="D278:D298" si="19">A278&amp;" "&amp;B278&amp;" "&amp;C278</f>
        <v>1/2" Round BB RS-550 9</v>
      </c>
      <c r="E278" s="132">
        <v>10</v>
      </c>
      <c r="F278" s="132">
        <v>10</v>
      </c>
      <c r="G278" s="132">
        <v>1</v>
      </c>
      <c r="H278" s="132">
        <v>0</v>
      </c>
      <c r="I278" s="132">
        <v>10</v>
      </c>
    </row>
    <row r="279" spans="1:9" ht="14.25" customHeight="1" x14ac:dyDescent="0.25">
      <c r="A279" s="132" t="s">
        <v>241</v>
      </c>
      <c r="B279" s="132" t="s">
        <v>327</v>
      </c>
      <c r="C279" s="132">
        <v>12</v>
      </c>
      <c r="D279" s="132" t="str">
        <f t="shared" si="19"/>
        <v>1/2" Round BB RS-550 12</v>
      </c>
      <c r="E279" s="132">
        <v>10</v>
      </c>
      <c r="F279" s="132">
        <v>7</v>
      </c>
      <c r="G279" s="132">
        <v>0</v>
      </c>
      <c r="H279" s="132">
        <v>0</v>
      </c>
      <c r="I279" s="132">
        <v>7</v>
      </c>
    </row>
    <row r="280" spans="1:9" ht="14.25" customHeight="1" x14ac:dyDescent="0.25">
      <c r="A280" s="132" t="s">
        <v>241</v>
      </c>
      <c r="B280" s="132" t="s">
        <v>327</v>
      </c>
      <c r="C280" s="132">
        <v>15</v>
      </c>
      <c r="D280" s="132" t="str">
        <f t="shared" si="19"/>
        <v>1/2" Round BB RS-550 15</v>
      </c>
      <c r="E280" s="132">
        <v>10</v>
      </c>
      <c r="F280" s="132">
        <v>5</v>
      </c>
      <c r="G280" s="132">
        <v>0</v>
      </c>
      <c r="H280" s="132">
        <v>0</v>
      </c>
      <c r="I280" s="132">
        <v>5</v>
      </c>
    </row>
    <row r="281" spans="1:9" ht="14.25" customHeight="1" x14ac:dyDescent="0.25">
      <c r="A281" s="132" t="s">
        <v>241</v>
      </c>
      <c r="B281" s="132" t="s">
        <v>327</v>
      </c>
      <c r="C281" s="132">
        <v>16</v>
      </c>
      <c r="D281" s="132" t="str">
        <f t="shared" si="19"/>
        <v>1/2" Round BB RS-550 16</v>
      </c>
      <c r="E281" s="132">
        <v>10</v>
      </c>
      <c r="F281" s="132">
        <v>5</v>
      </c>
      <c r="G281" s="132">
        <v>0</v>
      </c>
      <c r="H281" s="132">
        <v>0</v>
      </c>
      <c r="I281" s="132">
        <v>5</v>
      </c>
    </row>
    <row r="282" spans="1:9" ht="14.25" customHeight="1" x14ac:dyDescent="0.25">
      <c r="A282" s="132" t="s">
        <v>241</v>
      </c>
      <c r="B282" s="132" t="s">
        <v>327</v>
      </c>
      <c r="C282" s="132">
        <v>20</v>
      </c>
      <c r="D282" s="132" t="str">
        <f t="shared" si="19"/>
        <v>1/2" Round BB RS-550 20</v>
      </c>
      <c r="E282" s="132">
        <v>9</v>
      </c>
      <c r="F282" s="132">
        <v>5</v>
      </c>
      <c r="G282" s="132">
        <v>0</v>
      </c>
      <c r="H282" s="132">
        <v>0</v>
      </c>
      <c r="I282" s="132">
        <v>4</v>
      </c>
    </row>
    <row r="283" spans="1:9" ht="14.25" customHeight="1" x14ac:dyDescent="0.25">
      <c r="A283" s="132" t="s">
        <v>241</v>
      </c>
      <c r="B283" s="132" t="s">
        <v>327</v>
      </c>
      <c r="C283" s="132">
        <v>21</v>
      </c>
      <c r="D283" s="132" t="str">
        <f t="shared" si="19"/>
        <v>1/2" Round BB RS-550 21</v>
      </c>
      <c r="E283" s="132">
        <v>9</v>
      </c>
      <c r="F283" s="132">
        <v>5</v>
      </c>
      <c r="G283" s="132">
        <v>0</v>
      </c>
      <c r="H283" s="132">
        <v>0</v>
      </c>
      <c r="I283" s="132">
        <v>4</v>
      </c>
    </row>
    <row r="284" spans="1:9" ht="14.25" customHeight="1" x14ac:dyDescent="0.25">
      <c r="A284" s="132" t="s">
        <v>241</v>
      </c>
      <c r="B284" s="132" t="s">
        <v>327</v>
      </c>
      <c r="C284" s="132">
        <v>25</v>
      </c>
      <c r="D284" s="132" t="str">
        <f t="shared" si="19"/>
        <v>1/2" Round BB RS-550 25</v>
      </c>
      <c r="E284" s="132">
        <v>7</v>
      </c>
      <c r="F284" s="132">
        <v>5</v>
      </c>
      <c r="G284" s="132">
        <v>0</v>
      </c>
      <c r="H284" s="132">
        <v>0</v>
      </c>
      <c r="I284" s="132">
        <v>3</v>
      </c>
    </row>
    <row r="285" spans="1:9" ht="14.25" customHeight="1" x14ac:dyDescent="0.25">
      <c r="A285" s="132" t="s">
        <v>241</v>
      </c>
      <c r="B285" s="132" t="s">
        <v>327</v>
      </c>
      <c r="C285" s="132">
        <v>27</v>
      </c>
      <c r="D285" s="132" t="str">
        <f t="shared" si="19"/>
        <v>1/2" Round BB RS-550 27</v>
      </c>
      <c r="E285" s="132">
        <v>7</v>
      </c>
      <c r="F285" s="132">
        <v>4</v>
      </c>
      <c r="G285" s="132">
        <v>0</v>
      </c>
      <c r="H285" s="132">
        <v>0</v>
      </c>
      <c r="I285" s="132">
        <v>3</v>
      </c>
    </row>
    <row r="286" spans="1:9" ht="14.25" customHeight="1" x14ac:dyDescent="0.25">
      <c r="A286" s="132" t="s">
        <v>241</v>
      </c>
      <c r="B286" s="132" t="s">
        <v>327</v>
      </c>
      <c r="C286" s="132">
        <v>28</v>
      </c>
      <c r="D286" s="132" t="str">
        <f t="shared" si="19"/>
        <v>1/2" Round BB RS-550 28</v>
      </c>
      <c r="E286" s="132">
        <v>7</v>
      </c>
      <c r="F286" s="132">
        <v>4</v>
      </c>
      <c r="G286" s="132">
        <v>0</v>
      </c>
      <c r="H286" s="132">
        <v>0</v>
      </c>
      <c r="I286" s="132">
        <v>3</v>
      </c>
    </row>
    <row r="287" spans="1:9" ht="14.25" customHeight="1" x14ac:dyDescent="0.25">
      <c r="A287" s="132" t="s">
        <v>241</v>
      </c>
      <c r="B287" s="132" t="s">
        <v>327</v>
      </c>
      <c r="C287" s="132">
        <v>30</v>
      </c>
      <c r="D287" s="132" t="str">
        <f t="shared" si="19"/>
        <v>1/2" Round BB RS-550 30</v>
      </c>
      <c r="E287" s="132">
        <v>5</v>
      </c>
      <c r="F287" s="132">
        <v>4</v>
      </c>
      <c r="G287" s="132">
        <v>0</v>
      </c>
      <c r="H287" s="132">
        <v>0</v>
      </c>
      <c r="I287" s="132">
        <v>3</v>
      </c>
    </row>
    <row r="288" spans="1:9" ht="14.25" customHeight="1" x14ac:dyDescent="0.25">
      <c r="A288" s="132" t="s">
        <v>241</v>
      </c>
      <c r="B288" s="132" t="s">
        <v>327</v>
      </c>
      <c r="C288" s="132">
        <v>35</v>
      </c>
      <c r="D288" s="132" t="str">
        <f t="shared" si="19"/>
        <v>1/2" Round BB RS-550 35</v>
      </c>
      <c r="E288" s="132">
        <v>5</v>
      </c>
      <c r="F288" s="132">
        <v>3</v>
      </c>
      <c r="G288" s="132">
        <v>0</v>
      </c>
      <c r="H288" s="132">
        <v>0</v>
      </c>
      <c r="I288" s="132">
        <v>1</v>
      </c>
    </row>
    <row r="289" spans="1:9" ht="14.25" customHeight="1" x14ac:dyDescent="0.25">
      <c r="A289" s="132" t="s">
        <v>241</v>
      </c>
      <c r="B289" s="132" t="s">
        <v>327</v>
      </c>
      <c r="C289" s="132">
        <v>36</v>
      </c>
      <c r="D289" s="132" t="str">
        <f t="shared" si="19"/>
        <v>1/2" Round BB RS-550 36</v>
      </c>
      <c r="E289" s="132">
        <v>5</v>
      </c>
      <c r="F289" s="132">
        <v>3</v>
      </c>
      <c r="G289" s="132">
        <v>0</v>
      </c>
      <c r="H289" s="132">
        <v>0</v>
      </c>
      <c r="I289" s="132">
        <v>1</v>
      </c>
    </row>
    <row r="290" spans="1:9" ht="14.25" customHeight="1" x14ac:dyDescent="0.25">
      <c r="A290" s="132" t="s">
        <v>241</v>
      </c>
      <c r="B290" s="132" t="s">
        <v>327</v>
      </c>
      <c r="C290" s="132">
        <v>40</v>
      </c>
      <c r="D290" s="132" t="str">
        <f t="shared" si="19"/>
        <v>1/2" Round BB RS-550 40</v>
      </c>
      <c r="E290" s="132">
        <v>5</v>
      </c>
      <c r="F290" s="132">
        <v>3</v>
      </c>
      <c r="G290" s="132">
        <v>0</v>
      </c>
      <c r="H290" s="132">
        <v>0</v>
      </c>
      <c r="I290" s="132">
        <v>1</v>
      </c>
    </row>
    <row r="291" spans="1:9" ht="14.25" customHeight="1" x14ac:dyDescent="0.25">
      <c r="A291" s="132" t="s">
        <v>241</v>
      </c>
      <c r="B291" s="132" t="s">
        <v>327</v>
      </c>
      <c r="C291" s="132">
        <v>45</v>
      </c>
      <c r="D291" s="132" t="str">
        <f t="shared" si="19"/>
        <v>1/2" Round BB RS-550 45</v>
      </c>
      <c r="E291" s="132">
        <v>5</v>
      </c>
      <c r="F291" s="132">
        <v>1</v>
      </c>
      <c r="G291" s="132">
        <v>0</v>
      </c>
      <c r="H291" s="132">
        <v>0</v>
      </c>
      <c r="I291" s="132">
        <v>1</v>
      </c>
    </row>
    <row r="292" spans="1:9" ht="14.25" customHeight="1" x14ac:dyDescent="0.25">
      <c r="A292" s="132" t="s">
        <v>241</v>
      </c>
      <c r="B292" s="132" t="s">
        <v>327</v>
      </c>
      <c r="C292" s="132">
        <v>49</v>
      </c>
      <c r="D292" s="132" t="str">
        <f t="shared" si="19"/>
        <v>1/2" Round BB RS-550 49</v>
      </c>
      <c r="E292" s="132">
        <v>5</v>
      </c>
      <c r="F292" s="132">
        <v>1</v>
      </c>
      <c r="G292" s="132">
        <v>0</v>
      </c>
      <c r="H292" s="132">
        <v>0</v>
      </c>
      <c r="I292" s="132">
        <v>1</v>
      </c>
    </row>
    <row r="293" spans="1:9" ht="14.25" customHeight="1" x14ac:dyDescent="0.25">
      <c r="A293" s="132" t="s">
        <v>241</v>
      </c>
      <c r="B293" s="132" t="s">
        <v>327</v>
      </c>
      <c r="C293" s="132">
        <v>50</v>
      </c>
      <c r="D293" s="132" t="str">
        <f t="shared" si="19"/>
        <v>1/2" Round BB RS-550 50</v>
      </c>
      <c r="E293" s="132">
        <v>5</v>
      </c>
      <c r="F293" s="132">
        <v>1</v>
      </c>
      <c r="G293" s="132">
        <v>0</v>
      </c>
      <c r="H293" s="132">
        <v>0</v>
      </c>
      <c r="I293" s="132">
        <v>1</v>
      </c>
    </row>
    <row r="294" spans="1:9" ht="14.25" customHeight="1" x14ac:dyDescent="0.25">
      <c r="A294" s="132" t="s">
        <v>241</v>
      </c>
      <c r="B294" s="132" t="s">
        <v>327</v>
      </c>
      <c r="C294" s="132">
        <v>63</v>
      </c>
      <c r="D294" s="132" t="str">
        <f t="shared" si="19"/>
        <v>1/2" Round BB RS-550 63</v>
      </c>
      <c r="E294" s="132">
        <v>4</v>
      </c>
      <c r="F294" s="132">
        <v>1</v>
      </c>
      <c r="G294" s="132">
        <v>0</v>
      </c>
      <c r="H294" s="132">
        <v>0</v>
      </c>
      <c r="I294" s="132">
        <v>1</v>
      </c>
    </row>
    <row r="295" spans="1:9" ht="14.25" customHeight="1" x14ac:dyDescent="0.25">
      <c r="A295" s="132" t="s">
        <v>241</v>
      </c>
      <c r="B295" s="132" t="s">
        <v>327</v>
      </c>
      <c r="C295" s="132">
        <v>70</v>
      </c>
      <c r="D295" s="132" t="str">
        <f t="shared" si="19"/>
        <v>1/2" Round BB RS-550 70</v>
      </c>
      <c r="E295" s="132">
        <v>3</v>
      </c>
      <c r="F295" s="132">
        <v>1</v>
      </c>
      <c r="G295" s="132">
        <v>0</v>
      </c>
      <c r="H295" s="132">
        <v>0</v>
      </c>
      <c r="I295" s="132">
        <v>1</v>
      </c>
    </row>
    <row r="296" spans="1:9" ht="14.25" customHeight="1" x14ac:dyDescent="0.25">
      <c r="A296" s="132" t="s">
        <v>241</v>
      </c>
      <c r="B296" s="132" t="s">
        <v>327</v>
      </c>
      <c r="C296" s="132">
        <v>81</v>
      </c>
      <c r="D296" s="132" t="str">
        <f t="shared" si="19"/>
        <v>1/2" Round BB RS-550 81</v>
      </c>
      <c r="E296" s="132">
        <v>3</v>
      </c>
      <c r="F296" s="132">
        <v>1</v>
      </c>
      <c r="G296" s="132">
        <v>0</v>
      </c>
      <c r="H296" s="132">
        <v>0</v>
      </c>
      <c r="I296" s="132">
        <v>1</v>
      </c>
    </row>
    <row r="297" spans="1:9" ht="14.25" customHeight="1" x14ac:dyDescent="0.25">
      <c r="A297" s="132" t="s">
        <v>241</v>
      </c>
      <c r="B297" s="132" t="s">
        <v>327</v>
      </c>
      <c r="C297" s="132">
        <v>90</v>
      </c>
      <c r="D297" s="132" t="str">
        <f t="shared" si="19"/>
        <v>1/2" Round BB RS-550 90</v>
      </c>
      <c r="E297" s="132">
        <v>1</v>
      </c>
      <c r="F297" s="132">
        <v>1</v>
      </c>
      <c r="G297" s="132">
        <v>0</v>
      </c>
      <c r="H297" s="132">
        <v>0</v>
      </c>
      <c r="I297" s="132">
        <v>1</v>
      </c>
    </row>
    <row r="298" spans="1:9" ht="14.25" customHeight="1" x14ac:dyDescent="0.25">
      <c r="A298" s="132" t="s">
        <v>241</v>
      </c>
      <c r="B298" s="132" t="s">
        <v>327</v>
      </c>
      <c r="C298" s="132">
        <v>100</v>
      </c>
      <c r="D298" s="132" t="str">
        <f t="shared" si="19"/>
        <v>1/2" Round BB RS-550 100</v>
      </c>
      <c r="E298" s="132">
        <v>1</v>
      </c>
      <c r="F298" s="132">
        <v>0</v>
      </c>
      <c r="G298" s="132">
        <v>0</v>
      </c>
      <c r="H298" s="132">
        <v>0</v>
      </c>
      <c r="I298" s="132">
        <v>0</v>
      </c>
    </row>
    <row r="299" spans="1:9" ht="14.25" customHeight="1" x14ac:dyDescent="0.25">
      <c r="A299" s="132" t="s">
        <v>241</v>
      </c>
      <c r="B299" s="132" t="s">
        <v>328</v>
      </c>
      <c r="C299" s="132">
        <v>-3</v>
      </c>
      <c r="D299" s="132" t="str">
        <f t="shared" ref="D299:D304" si="20">A299&amp;" "&amp;B299&amp;" "&amp;C299</f>
        <v>1/2" Round BB RS-775 -3</v>
      </c>
      <c r="E299" s="132">
        <v>1</v>
      </c>
      <c r="F299" s="132">
        <v>1</v>
      </c>
      <c r="G299" s="132">
        <v>1</v>
      </c>
      <c r="H299" s="132">
        <v>0</v>
      </c>
      <c r="I299" s="132">
        <v>1</v>
      </c>
    </row>
    <row r="300" spans="1:9" ht="14.25" customHeight="1" x14ac:dyDescent="0.25">
      <c r="A300" s="132" t="s">
        <v>241</v>
      </c>
      <c r="B300" s="132" t="s">
        <v>328</v>
      </c>
      <c r="C300" s="132">
        <v>-4</v>
      </c>
      <c r="D300" s="132" t="str">
        <f t="shared" si="20"/>
        <v>1/2" Round BB RS-775 -4</v>
      </c>
      <c r="E300" s="132">
        <v>1</v>
      </c>
      <c r="F300" s="132">
        <v>1</v>
      </c>
      <c r="G300" s="132">
        <v>1</v>
      </c>
      <c r="H300" s="132">
        <v>0</v>
      </c>
      <c r="I300" s="132">
        <v>1</v>
      </c>
    </row>
    <row r="301" spans="1:9" ht="14.25" customHeight="1" x14ac:dyDescent="0.25">
      <c r="A301" s="132" t="s">
        <v>241</v>
      </c>
      <c r="B301" s="132" t="s">
        <v>328</v>
      </c>
      <c r="C301" s="132">
        <v>-5</v>
      </c>
      <c r="D301" s="132" t="str">
        <f t="shared" si="20"/>
        <v>1/2" Round BB RS-775 -5</v>
      </c>
      <c r="E301" s="132">
        <v>1</v>
      </c>
      <c r="F301" s="132">
        <v>1</v>
      </c>
      <c r="G301" s="132">
        <v>1</v>
      </c>
      <c r="H301" s="132">
        <v>0</v>
      </c>
      <c r="I301" s="132">
        <v>1</v>
      </c>
    </row>
    <row r="302" spans="1:9" ht="14.25" customHeight="1" x14ac:dyDescent="0.25">
      <c r="A302" s="132" t="s">
        <v>241</v>
      </c>
      <c r="B302" s="132" t="s">
        <v>328</v>
      </c>
      <c r="C302" s="132">
        <v>-7</v>
      </c>
      <c r="D302" s="132" t="str">
        <f t="shared" si="20"/>
        <v>1/2" Round BB RS-775 -7</v>
      </c>
      <c r="E302" s="132">
        <v>1</v>
      </c>
      <c r="F302" s="132">
        <v>1</v>
      </c>
      <c r="G302" s="132">
        <v>0</v>
      </c>
      <c r="H302" s="132">
        <v>0</v>
      </c>
      <c r="I302" s="132">
        <v>1</v>
      </c>
    </row>
    <row r="303" spans="1:9" ht="14.25" customHeight="1" x14ac:dyDescent="0.25">
      <c r="A303" s="132" t="s">
        <v>241</v>
      </c>
      <c r="B303" s="132" t="s">
        <v>328</v>
      </c>
      <c r="C303" s="132">
        <v>-9</v>
      </c>
      <c r="D303" s="132" t="str">
        <f t="shared" si="20"/>
        <v>1/2" Round BB RS-775 -9</v>
      </c>
      <c r="E303" s="132">
        <v>1</v>
      </c>
      <c r="F303" s="132">
        <v>1</v>
      </c>
      <c r="G303" s="132">
        <v>0</v>
      </c>
      <c r="H303" s="132">
        <v>0</v>
      </c>
      <c r="I303" s="132">
        <v>1</v>
      </c>
    </row>
    <row r="304" spans="1:9" ht="14.25" customHeight="1" x14ac:dyDescent="0.25">
      <c r="A304" s="132" t="s">
        <v>241</v>
      </c>
      <c r="B304" s="132" t="s">
        <v>328</v>
      </c>
      <c r="C304" s="132">
        <v>-10</v>
      </c>
      <c r="D304" s="132" t="str">
        <f t="shared" si="20"/>
        <v>1/2" Round BB RS-775 -10</v>
      </c>
      <c r="E304" s="132">
        <v>1</v>
      </c>
      <c r="F304" s="132">
        <v>1</v>
      </c>
      <c r="G304" s="132">
        <v>0</v>
      </c>
      <c r="H304" s="132">
        <v>0</v>
      </c>
      <c r="I304" s="132">
        <v>1</v>
      </c>
    </row>
    <row r="305" spans="1:9" ht="14.25" customHeight="1" x14ac:dyDescent="0.25">
      <c r="A305" s="132" t="s">
        <v>241</v>
      </c>
      <c r="B305" s="132" t="s">
        <v>328</v>
      </c>
      <c r="C305" s="132">
        <v>9</v>
      </c>
      <c r="D305" s="132" t="str">
        <f t="shared" ref="D305:D325" si="21">A305&amp;" "&amp;B305&amp;" "&amp;C305</f>
        <v>1/2" Round BB RS-775 9</v>
      </c>
      <c r="E305" s="132">
        <v>10</v>
      </c>
      <c r="F305" s="132">
        <v>5</v>
      </c>
      <c r="G305" s="132">
        <v>0</v>
      </c>
      <c r="H305" s="132">
        <v>0</v>
      </c>
      <c r="I305" s="132">
        <v>10</v>
      </c>
    </row>
    <row r="306" spans="1:9" ht="14.25" customHeight="1" x14ac:dyDescent="0.25">
      <c r="A306" s="132" t="s">
        <v>241</v>
      </c>
      <c r="B306" s="132" t="s">
        <v>328</v>
      </c>
      <c r="C306" s="132">
        <v>12</v>
      </c>
      <c r="D306" s="132" t="str">
        <f t="shared" si="21"/>
        <v>1/2" Round BB RS-775 12</v>
      </c>
      <c r="E306" s="132">
        <v>10</v>
      </c>
      <c r="F306" s="132">
        <v>5</v>
      </c>
      <c r="G306" s="132">
        <v>0</v>
      </c>
      <c r="H306" s="132">
        <v>0</v>
      </c>
      <c r="I306" s="132">
        <v>10</v>
      </c>
    </row>
    <row r="307" spans="1:9" ht="14.25" customHeight="1" x14ac:dyDescent="0.25">
      <c r="A307" s="132" t="s">
        <v>241</v>
      </c>
      <c r="B307" s="132" t="s">
        <v>328</v>
      </c>
      <c r="C307" s="132">
        <v>15</v>
      </c>
      <c r="D307" s="132" t="str">
        <f t="shared" si="21"/>
        <v>1/2" Round BB RS-775 15</v>
      </c>
      <c r="E307" s="132">
        <v>7</v>
      </c>
      <c r="F307" s="132">
        <v>5</v>
      </c>
      <c r="G307" s="132">
        <v>0</v>
      </c>
      <c r="H307" s="132">
        <v>0</v>
      </c>
      <c r="I307" s="132">
        <v>7</v>
      </c>
    </row>
    <row r="308" spans="1:9" ht="14.25" customHeight="1" x14ac:dyDescent="0.25">
      <c r="A308" s="132" t="s">
        <v>241</v>
      </c>
      <c r="B308" s="132" t="s">
        <v>328</v>
      </c>
      <c r="C308" s="132">
        <v>16</v>
      </c>
      <c r="D308" s="132" t="str">
        <f t="shared" si="21"/>
        <v>1/2" Round BB RS-775 16</v>
      </c>
      <c r="E308" s="132">
        <v>7</v>
      </c>
      <c r="F308" s="132">
        <v>5</v>
      </c>
      <c r="G308" s="132">
        <v>0</v>
      </c>
      <c r="H308" s="132">
        <v>0</v>
      </c>
      <c r="I308" s="132">
        <v>7</v>
      </c>
    </row>
    <row r="309" spans="1:9" ht="14.25" customHeight="1" x14ac:dyDescent="0.25">
      <c r="A309" s="132" t="s">
        <v>241</v>
      </c>
      <c r="B309" s="132" t="s">
        <v>328</v>
      </c>
      <c r="C309" s="132">
        <v>20</v>
      </c>
      <c r="D309" s="132" t="str">
        <f t="shared" si="21"/>
        <v>1/2" Round BB RS-775 20</v>
      </c>
      <c r="E309" s="132">
        <v>5</v>
      </c>
      <c r="F309" s="132">
        <v>4</v>
      </c>
      <c r="G309" s="132">
        <v>0</v>
      </c>
      <c r="H309" s="132">
        <v>0</v>
      </c>
      <c r="I309" s="132">
        <v>5</v>
      </c>
    </row>
    <row r="310" spans="1:9" ht="14.25" customHeight="1" x14ac:dyDescent="0.25">
      <c r="A310" s="132" t="s">
        <v>241</v>
      </c>
      <c r="B310" s="132" t="s">
        <v>328</v>
      </c>
      <c r="C310" s="132">
        <v>21</v>
      </c>
      <c r="D310" s="132" t="str">
        <f t="shared" si="21"/>
        <v>1/2" Round BB RS-775 21</v>
      </c>
      <c r="E310" s="132">
        <v>5</v>
      </c>
      <c r="F310" s="132">
        <v>3</v>
      </c>
      <c r="G310" s="132">
        <v>0</v>
      </c>
      <c r="H310" s="132">
        <v>0</v>
      </c>
      <c r="I310" s="132">
        <v>5</v>
      </c>
    </row>
    <row r="311" spans="1:9" ht="14.25" customHeight="1" x14ac:dyDescent="0.25">
      <c r="A311" s="132" t="s">
        <v>241</v>
      </c>
      <c r="B311" s="132" t="s">
        <v>328</v>
      </c>
      <c r="C311" s="132">
        <v>25</v>
      </c>
      <c r="D311" s="132" t="str">
        <f t="shared" si="21"/>
        <v>1/2" Round BB RS-775 25</v>
      </c>
      <c r="E311" s="132">
        <v>5</v>
      </c>
      <c r="F311" s="132">
        <v>3</v>
      </c>
      <c r="G311" s="132">
        <v>0</v>
      </c>
      <c r="H311" s="132">
        <v>0</v>
      </c>
      <c r="I311" s="132">
        <v>5</v>
      </c>
    </row>
    <row r="312" spans="1:9" ht="14.25" customHeight="1" x14ac:dyDescent="0.25">
      <c r="A312" s="132" t="s">
        <v>241</v>
      </c>
      <c r="B312" s="132" t="s">
        <v>328</v>
      </c>
      <c r="C312" s="132">
        <v>27</v>
      </c>
      <c r="D312" s="132" t="str">
        <f t="shared" si="21"/>
        <v>1/2" Round BB RS-775 27</v>
      </c>
      <c r="E312" s="132">
        <v>5</v>
      </c>
      <c r="F312" s="132">
        <v>3</v>
      </c>
      <c r="G312" s="132">
        <v>0</v>
      </c>
      <c r="H312" s="132">
        <v>0</v>
      </c>
      <c r="I312" s="132">
        <v>4</v>
      </c>
    </row>
    <row r="313" spans="1:9" ht="14.25" customHeight="1" x14ac:dyDescent="0.25">
      <c r="A313" s="132" t="s">
        <v>241</v>
      </c>
      <c r="B313" s="132" t="s">
        <v>328</v>
      </c>
      <c r="C313" s="132">
        <v>28</v>
      </c>
      <c r="D313" s="132" t="str">
        <f t="shared" si="21"/>
        <v>1/2" Round BB RS-775 28</v>
      </c>
      <c r="E313" s="132">
        <v>5</v>
      </c>
      <c r="F313" s="132">
        <v>1</v>
      </c>
      <c r="G313" s="132">
        <v>0</v>
      </c>
      <c r="H313" s="132">
        <v>0</v>
      </c>
      <c r="I313" s="132">
        <v>4</v>
      </c>
    </row>
    <row r="314" spans="1:9" ht="14.25" customHeight="1" x14ac:dyDescent="0.25">
      <c r="A314" s="132" t="s">
        <v>241</v>
      </c>
      <c r="B314" s="132" t="s">
        <v>328</v>
      </c>
      <c r="C314" s="132">
        <v>30</v>
      </c>
      <c r="D314" s="132" t="str">
        <f t="shared" si="21"/>
        <v>1/2" Round BB RS-775 30</v>
      </c>
      <c r="E314" s="132">
        <v>5</v>
      </c>
      <c r="F314" s="132">
        <v>1</v>
      </c>
      <c r="G314" s="132">
        <v>0</v>
      </c>
      <c r="H314" s="132">
        <v>0</v>
      </c>
      <c r="I314" s="132">
        <v>4</v>
      </c>
    </row>
    <row r="315" spans="1:9" ht="14.25" customHeight="1" x14ac:dyDescent="0.25">
      <c r="A315" s="132" t="s">
        <v>241</v>
      </c>
      <c r="B315" s="132" t="s">
        <v>328</v>
      </c>
      <c r="C315" s="132">
        <v>35</v>
      </c>
      <c r="D315" s="132" t="str">
        <f t="shared" si="21"/>
        <v>1/2" Round BB RS-775 35</v>
      </c>
      <c r="E315" s="132">
        <v>4</v>
      </c>
      <c r="F315" s="132">
        <v>1</v>
      </c>
      <c r="G315" s="132">
        <v>0</v>
      </c>
      <c r="H315" s="132">
        <v>0</v>
      </c>
      <c r="I315" s="132">
        <v>3</v>
      </c>
    </row>
    <row r="316" spans="1:9" ht="14.25" customHeight="1" x14ac:dyDescent="0.25">
      <c r="A316" s="132" t="s">
        <v>241</v>
      </c>
      <c r="B316" s="132" t="s">
        <v>328</v>
      </c>
      <c r="C316" s="132">
        <v>36</v>
      </c>
      <c r="D316" s="132" t="str">
        <f t="shared" si="21"/>
        <v>1/2" Round BB RS-775 36</v>
      </c>
      <c r="E316" s="132">
        <v>4</v>
      </c>
      <c r="F316" s="132">
        <v>1</v>
      </c>
      <c r="G316" s="132">
        <v>0</v>
      </c>
      <c r="H316" s="132">
        <v>0</v>
      </c>
      <c r="I316" s="132">
        <v>3</v>
      </c>
    </row>
    <row r="317" spans="1:9" ht="14.25" customHeight="1" x14ac:dyDescent="0.25">
      <c r="A317" s="132" t="s">
        <v>241</v>
      </c>
      <c r="B317" s="132" t="s">
        <v>328</v>
      </c>
      <c r="C317" s="132">
        <v>40</v>
      </c>
      <c r="D317" s="132" t="str">
        <f t="shared" si="21"/>
        <v>1/2" Round BB RS-775 40</v>
      </c>
      <c r="E317" s="132">
        <v>4</v>
      </c>
      <c r="F317" s="132">
        <v>1</v>
      </c>
      <c r="G317" s="132">
        <v>0</v>
      </c>
      <c r="H317" s="132">
        <v>0</v>
      </c>
      <c r="I317" s="132">
        <v>3</v>
      </c>
    </row>
    <row r="318" spans="1:9" ht="14.25" customHeight="1" x14ac:dyDescent="0.25">
      <c r="A318" s="132" t="s">
        <v>241</v>
      </c>
      <c r="B318" s="132" t="s">
        <v>328</v>
      </c>
      <c r="C318" s="132">
        <v>45</v>
      </c>
      <c r="D318" s="132" t="str">
        <f t="shared" si="21"/>
        <v>1/2" Round BB RS-775 45</v>
      </c>
      <c r="E318" s="132">
        <v>3</v>
      </c>
      <c r="F318" s="132">
        <v>1</v>
      </c>
      <c r="G318" s="132">
        <v>0</v>
      </c>
      <c r="H318" s="132">
        <v>0</v>
      </c>
      <c r="I318" s="132">
        <v>1</v>
      </c>
    </row>
    <row r="319" spans="1:9" ht="14.25" customHeight="1" x14ac:dyDescent="0.25">
      <c r="A319" s="132" t="s">
        <v>241</v>
      </c>
      <c r="B319" s="132" t="s">
        <v>328</v>
      </c>
      <c r="C319" s="132">
        <v>49</v>
      </c>
      <c r="D319" s="132" t="str">
        <f t="shared" si="21"/>
        <v>1/2" Round BB RS-775 49</v>
      </c>
      <c r="E319" s="132">
        <v>3</v>
      </c>
      <c r="F319" s="132">
        <v>1</v>
      </c>
      <c r="G319" s="132">
        <v>0</v>
      </c>
      <c r="H319" s="132">
        <v>0</v>
      </c>
      <c r="I319" s="132">
        <v>1</v>
      </c>
    </row>
    <row r="320" spans="1:9" ht="14.25" customHeight="1" x14ac:dyDescent="0.25">
      <c r="A320" s="132" t="s">
        <v>241</v>
      </c>
      <c r="B320" s="132" t="s">
        <v>328</v>
      </c>
      <c r="C320" s="132">
        <v>50</v>
      </c>
      <c r="D320" s="132" t="str">
        <f t="shared" si="21"/>
        <v>1/2" Round BB RS-775 50</v>
      </c>
      <c r="E320" s="132">
        <v>3</v>
      </c>
      <c r="F320" s="132">
        <v>1</v>
      </c>
      <c r="G320" s="132">
        <v>0</v>
      </c>
      <c r="H320" s="132">
        <v>0</v>
      </c>
      <c r="I320" s="132">
        <v>1</v>
      </c>
    </row>
    <row r="321" spans="1:9" ht="14.25" customHeight="1" x14ac:dyDescent="0.25">
      <c r="A321" s="132" t="s">
        <v>241</v>
      </c>
      <c r="B321" s="132" t="s">
        <v>328</v>
      </c>
      <c r="C321" s="132">
        <v>63</v>
      </c>
      <c r="D321" s="132" t="str">
        <f t="shared" si="21"/>
        <v>1/2" Round BB RS-775 63</v>
      </c>
      <c r="E321" s="132">
        <v>1</v>
      </c>
      <c r="F321" s="132">
        <v>0</v>
      </c>
      <c r="G321" s="132">
        <v>0</v>
      </c>
      <c r="H321" s="132">
        <v>0</v>
      </c>
      <c r="I321" s="132">
        <v>1</v>
      </c>
    </row>
    <row r="322" spans="1:9" ht="14.25" customHeight="1" x14ac:dyDescent="0.25">
      <c r="A322" s="132" t="s">
        <v>241</v>
      </c>
      <c r="B322" s="132" t="s">
        <v>328</v>
      </c>
      <c r="C322" s="132">
        <v>70</v>
      </c>
      <c r="D322" s="132" t="str">
        <f t="shared" si="21"/>
        <v>1/2" Round BB RS-775 70</v>
      </c>
      <c r="E322" s="132">
        <v>1</v>
      </c>
      <c r="F322" s="132">
        <v>0</v>
      </c>
      <c r="G322" s="132">
        <v>0</v>
      </c>
      <c r="H322" s="132">
        <v>0</v>
      </c>
      <c r="I322" s="132">
        <v>1</v>
      </c>
    </row>
    <row r="323" spans="1:9" ht="14.25" customHeight="1" x14ac:dyDescent="0.25">
      <c r="A323" s="132" t="s">
        <v>241</v>
      </c>
      <c r="B323" s="132" t="s">
        <v>328</v>
      </c>
      <c r="C323" s="132">
        <v>81</v>
      </c>
      <c r="D323" s="132" t="str">
        <f t="shared" si="21"/>
        <v>1/2" Round BB RS-775 81</v>
      </c>
      <c r="E323" s="132">
        <v>1</v>
      </c>
      <c r="F323" s="132">
        <v>0</v>
      </c>
      <c r="G323" s="132">
        <v>0</v>
      </c>
      <c r="H323" s="132">
        <v>0</v>
      </c>
      <c r="I323" s="132">
        <v>1</v>
      </c>
    </row>
    <row r="324" spans="1:9" ht="14.25" customHeight="1" x14ac:dyDescent="0.25">
      <c r="A324" s="132" t="s">
        <v>241</v>
      </c>
      <c r="B324" s="132" t="s">
        <v>328</v>
      </c>
      <c r="C324" s="132">
        <v>90</v>
      </c>
      <c r="D324" s="132" t="str">
        <f t="shared" si="21"/>
        <v>1/2" Round BB RS-775 90</v>
      </c>
      <c r="E324" s="132">
        <v>1</v>
      </c>
      <c r="F324" s="132">
        <v>0</v>
      </c>
      <c r="G324" s="132">
        <v>0</v>
      </c>
      <c r="H324" s="132">
        <v>0</v>
      </c>
      <c r="I324" s="132">
        <v>1</v>
      </c>
    </row>
    <row r="325" spans="1:9" ht="14.25" customHeight="1" x14ac:dyDescent="0.25">
      <c r="A325" s="132" t="s">
        <v>241</v>
      </c>
      <c r="B325" s="132" t="s">
        <v>328</v>
      </c>
      <c r="C325" s="132">
        <v>100</v>
      </c>
      <c r="D325" s="132" t="str">
        <f t="shared" si="21"/>
        <v>1/2" Round BB RS-775 100</v>
      </c>
      <c r="E325" s="132">
        <v>1</v>
      </c>
      <c r="F325" s="132">
        <v>0</v>
      </c>
      <c r="G325" s="132">
        <v>0</v>
      </c>
      <c r="H325" s="132">
        <v>0</v>
      </c>
      <c r="I325" s="132">
        <v>1</v>
      </c>
    </row>
    <row r="326" spans="1:9" ht="14.25" customHeight="1" x14ac:dyDescent="0.25">
      <c r="A326" s="132" t="s">
        <v>241</v>
      </c>
      <c r="B326" s="132" t="s">
        <v>8</v>
      </c>
      <c r="C326" s="132">
        <v>-3</v>
      </c>
      <c r="D326" s="132" t="str">
        <f t="shared" ref="D326:D331" si="22">A326&amp;" "&amp;B326&amp;" "&amp;C326</f>
        <v>1/2" Round BAG Motor -3</v>
      </c>
      <c r="E326" s="132">
        <v>1</v>
      </c>
      <c r="F326" s="132">
        <v>1</v>
      </c>
      <c r="G326" s="132">
        <v>1</v>
      </c>
      <c r="H326" s="132">
        <v>0</v>
      </c>
      <c r="I326" s="132">
        <v>1</v>
      </c>
    </row>
    <row r="327" spans="1:9" ht="14.25" customHeight="1" x14ac:dyDescent="0.25">
      <c r="A327" s="132" t="s">
        <v>241</v>
      </c>
      <c r="B327" s="132" t="s">
        <v>8</v>
      </c>
      <c r="C327" s="132">
        <v>-4</v>
      </c>
      <c r="D327" s="132" t="str">
        <f t="shared" si="22"/>
        <v>1/2" Round BAG Motor -4</v>
      </c>
      <c r="E327" s="132">
        <v>1</v>
      </c>
      <c r="F327" s="132">
        <v>1</v>
      </c>
      <c r="G327" s="132">
        <v>1</v>
      </c>
      <c r="H327" s="132">
        <v>0</v>
      </c>
      <c r="I327" s="132">
        <v>1</v>
      </c>
    </row>
    <row r="328" spans="1:9" ht="14.25" customHeight="1" x14ac:dyDescent="0.25">
      <c r="A328" s="132" t="s">
        <v>241</v>
      </c>
      <c r="B328" s="132" t="s">
        <v>8</v>
      </c>
      <c r="C328" s="132">
        <v>-5</v>
      </c>
      <c r="D328" s="132" t="str">
        <f t="shared" si="22"/>
        <v>1/2" Round BAG Motor -5</v>
      </c>
      <c r="E328" s="132">
        <v>1</v>
      </c>
      <c r="F328" s="132">
        <v>1</v>
      </c>
      <c r="G328" s="132">
        <v>1</v>
      </c>
      <c r="H328" s="132">
        <v>0</v>
      </c>
      <c r="I328" s="132">
        <v>1</v>
      </c>
    </row>
    <row r="329" spans="1:9" ht="14.25" customHeight="1" x14ac:dyDescent="0.25">
      <c r="A329" s="132" t="s">
        <v>241</v>
      </c>
      <c r="B329" s="132" t="s">
        <v>8</v>
      </c>
      <c r="C329" s="132">
        <v>-7</v>
      </c>
      <c r="D329" s="132" t="str">
        <f t="shared" si="22"/>
        <v>1/2" Round BAG Motor -7</v>
      </c>
      <c r="E329" s="132">
        <v>1</v>
      </c>
      <c r="F329" s="132">
        <v>1</v>
      </c>
      <c r="G329" s="132">
        <v>1</v>
      </c>
      <c r="H329" s="132">
        <v>0</v>
      </c>
      <c r="I329" s="132">
        <v>1</v>
      </c>
    </row>
    <row r="330" spans="1:9" ht="14.25" customHeight="1" x14ac:dyDescent="0.25">
      <c r="A330" s="132" t="s">
        <v>241</v>
      </c>
      <c r="B330" s="132" t="s">
        <v>8</v>
      </c>
      <c r="C330" s="132">
        <v>-9</v>
      </c>
      <c r="D330" s="132" t="str">
        <f t="shared" si="22"/>
        <v>1/2" Round BAG Motor -9</v>
      </c>
      <c r="E330" s="132">
        <v>1</v>
      </c>
      <c r="F330" s="132">
        <v>1</v>
      </c>
      <c r="G330" s="132">
        <v>0</v>
      </c>
      <c r="H330" s="132">
        <v>0</v>
      </c>
      <c r="I330" s="132">
        <v>1</v>
      </c>
    </row>
    <row r="331" spans="1:9" ht="14.25" customHeight="1" x14ac:dyDescent="0.25">
      <c r="A331" s="132" t="s">
        <v>241</v>
      </c>
      <c r="B331" s="132" t="s">
        <v>8</v>
      </c>
      <c r="C331" s="132">
        <v>-10</v>
      </c>
      <c r="D331" s="132" t="str">
        <f t="shared" si="22"/>
        <v>1/2" Round BAG Motor -10</v>
      </c>
      <c r="E331" s="132">
        <v>1</v>
      </c>
      <c r="F331" s="132">
        <v>1</v>
      </c>
      <c r="G331" s="132">
        <v>0</v>
      </c>
      <c r="H331" s="132">
        <v>0</v>
      </c>
      <c r="I331" s="132">
        <v>1</v>
      </c>
    </row>
    <row r="332" spans="1:9" ht="14.25" customHeight="1" x14ac:dyDescent="0.25">
      <c r="A332" s="132" t="s">
        <v>241</v>
      </c>
      <c r="B332" s="132" t="s">
        <v>8</v>
      </c>
      <c r="C332" s="132">
        <v>9</v>
      </c>
      <c r="D332" s="132" t="str">
        <f t="shared" ref="D332:D352" si="23">A332&amp;" "&amp;B332&amp;" "&amp;C332</f>
        <v>1/2" Round BAG Motor 9</v>
      </c>
      <c r="E332" s="132">
        <v>10</v>
      </c>
      <c r="F332" s="132">
        <v>10</v>
      </c>
      <c r="G332" s="132">
        <v>1</v>
      </c>
      <c r="H332" s="132">
        <v>0</v>
      </c>
      <c r="I332" s="132">
        <v>9</v>
      </c>
    </row>
    <row r="333" spans="1:9" ht="14.25" customHeight="1" x14ac:dyDescent="0.25">
      <c r="A333" s="132" t="s">
        <v>241</v>
      </c>
      <c r="B333" s="132" t="s">
        <v>8</v>
      </c>
      <c r="C333" s="132">
        <v>12</v>
      </c>
      <c r="D333" s="132" t="str">
        <f t="shared" si="23"/>
        <v>1/2" Round BAG Motor 12</v>
      </c>
      <c r="E333" s="132">
        <v>10</v>
      </c>
      <c r="F333" s="132">
        <v>9</v>
      </c>
      <c r="G333" s="132">
        <v>1</v>
      </c>
      <c r="H333" s="132">
        <v>0</v>
      </c>
      <c r="I333" s="132">
        <v>5</v>
      </c>
    </row>
    <row r="334" spans="1:9" ht="14.25" customHeight="1" x14ac:dyDescent="0.25">
      <c r="A334" s="132" t="s">
        <v>241</v>
      </c>
      <c r="B334" s="132" t="s">
        <v>8</v>
      </c>
      <c r="C334" s="132">
        <v>15</v>
      </c>
      <c r="D334" s="132" t="str">
        <f t="shared" si="23"/>
        <v>1/2" Round BAG Motor 15</v>
      </c>
      <c r="E334" s="132">
        <v>10</v>
      </c>
      <c r="F334" s="132">
        <v>7</v>
      </c>
      <c r="G334" s="132">
        <v>0</v>
      </c>
      <c r="H334" s="132">
        <v>0</v>
      </c>
      <c r="I334" s="132">
        <v>5</v>
      </c>
    </row>
    <row r="335" spans="1:9" ht="14.25" customHeight="1" x14ac:dyDescent="0.25">
      <c r="A335" s="132" t="s">
        <v>241</v>
      </c>
      <c r="B335" s="132" t="s">
        <v>8</v>
      </c>
      <c r="C335" s="132">
        <v>16</v>
      </c>
      <c r="D335" s="132" t="str">
        <f t="shared" si="23"/>
        <v>1/2" Round BAG Motor 16</v>
      </c>
      <c r="E335" s="132">
        <v>10</v>
      </c>
      <c r="F335" s="132">
        <v>5</v>
      </c>
      <c r="G335" s="132">
        <v>0</v>
      </c>
      <c r="H335" s="132">
        <v>0</v>
      </c>
      <c r="I335" s="132">
        <v>5</v>
      </c>
    </row>
    <row r="336" spans="1:9" ht="14.25" customHeight="1" x14ac:dyDescent="0.25">
      <c r="A336" s="132" t="s">
        <v>241</v>
      </c>
      <c r="B336" s="132" t="s">
        <v>8</v>
      </c>
      <c r="C336" s="132">
        <v>20</v>
      </c>
      <c r="D336" s="132" t="str">
        <f t="shared" si="23"/>
        <v>1/2" Round BAG Motor 20</v>
      </c>
      <c r="E336" s="132">
        <v>10</v>
      </c>
      <c r="F336" s="132">
        <v>5</v>
      </c>
      <c r="G336" s="132">
        <v>0</v>
      </c>
      <c r="H336" s="132">
        <v>0</v>
      </c>
      <c r="I336" s="132">
        <v>4</v>
      </c>
    </row>
    <row r="337" spans="1:9" ht="14.25" customHeight="1" x14ac:dyDescent="0.25">
      <c r="A337" s="132" t="s">
        <v>241</v>
      </c>
      <c r="B337" s="132" t="s">
        <v>8</v>
      </c>
      <c r="C337" s="132">
        <v>21</v>
      </c>
      <c r="D337" s="132" t="str">
        <f t="shared" si="23"/>
        <v>1/2" Round BAG Motor 21</v>
      </c>
      <c r="E337" s="132">
        <v>10</v>
      </c>
      <c r="F337" s="132">
        <v>5</v>
      </c>
      <c r="G337" s="132">
        <v>0</v>
      </c>
      <c r="H337" s="132">
        <v>0</v>
      </c>
      <c r="I337" s="132">
        <v>3</v>
      </c>
    </row>
    <row r="338" spans="1:9" ht="14.25" customHeight="1" x14ac:dyDescent="0.25">
      <c r="A338" s="132" t="s">
        <v>241</v>
      </c>
      <c r="B338" s="132" t="s">
        <v>8</v>
      </c>
      <c r="C338" s="132">
        <v>25</v>
      </c>
      <c r="D338" s="132" t="str">
        <f t="shared" si="23"/>
        <v>1/2" Round BAG Motor 25</v>
      </c>
      <c r="E338" s="132">
        <v>7</v>
      </c>
      <c r="F338" s="132">
        <v>5</v>
      </c>
      <c r="G338" s="132">
        <v>0</v>
      </c>
      <c r="H338" s="132">
        <v>0</v>
      </c>
      <c r="I338" s="132">
        <v>3</v>
      </c>
    </row>
    <row r="339" spans="1:9" ht="14.25" customHeight="1" x14ac:dyDescent="0.25">
      <c r="A339" s="132" t="s">
        <v>241</v>
      </c>
      <c r="B339" s="132" t="s">
        <v>8</v>
      </c>
      <c r="C339" s="132">
        <v>27</v>
      </c>
      <c r="D339" s="132" t="str">
        <f t="shared" si="23"/>
        <v>1/2" Round BAG Motor 27</v>
      </c>
      <c r="E339" s="132">
        <v>7</v>
      </c>
      <c r="F339" s="132">
        <v>5</v>
      </c>
      <c r="G339" s="132">
        <v>0</v>
      </c>
      <c r="H339" s="132">
        <v>0</v>
      </c>
      <c r="I339" s="132">
        <v>3</v>
      </c>
    </row>
    <row r="340" spans="1:9" ht="14.25" customHeight="1" x14ac:dyDescent="0.25">
      <c r="A340" s="132" t="s">
        <v>241</v>
      </c>
      <c r="B340" s="132" t="s">
        <v>8</v>
      </c>
      <c r="C340" s="132">
        <v>28</v>
      </c>
      <c r="D340" s="132" t="str">
        <f t="shared" si="23"/>
        <v>1/2" Round BAG Motor 28</v>
      </c>
      <c r="E340" s="132">
        <v>7</v>
      </c>
      <c r="F340" s="132">
        <v>5</v>
      </c>
      <c r="G340" s="132">
        <v>0</v>
      </c>
      <c r="H340" s="132">
        <v>0</v>
      </c>
      <c r="I340" s="132">
        <v>1</v>
      </c>
    </row>
    <row r="341" spans="1:9" ht="14.25" customHeight="1" x14ac:dyDescent="0.25">
      <c r="A341" s="132" t="s">
        <v>241</v>
      </c>
      <c r="B341" s="132" t="s">
        <v>8</v>
      </c>
      <c r="C341" s="132">
        <v>30</v>
      </c>
      <c r="D341" s="132" t="str">
        <f t="shared" si="23"/>
        <v>1/2" Round BAG Motor 30</v>
      </c>
      <c r="E341" s="132">
        <v>7</v>
      </c>
      <c r="F341" s="132">
        <v>4</v>
      </c>
      <c r="G341" s="132">
        <v>0</v>
      </c>
      <c r="H341" s="132">
        <v>0</v>
      </c>
      <c r="I341" s="132">
        <v>1</v>
      </c>
    </row>
    <row r="342" spans="1:9" ht="14.25" customHeight="1" x14ac:dyDescent="0.25">
      <c r="A342" s="132" t="s">
        <v>241</v>
      </c>
      <c r="B342" s="132" t="s">
        <v>8</v>
      </c>
      <c r="C342" s="132">
        <v>35</v>
      </c>
      <c r="D342" s="132" t="str">
        <f t="shared" si="23"/>
        <v>1/2" Round BAG Motor 35</v>
      </c>
      <c r="E342" s="132">
        <v>5</v>
      </c>
      <c r="F342" s="132">
        <v>4</v>
      </c>
      <c r="G342" s="132">
        <v>0</v>
      </c>
      <c r="H342" s="132">
        <v>0</v>
      </c>
      <c r="I342" s="132">
        <v>1</v>
      </c>
    </row>
    <row r="343" spans="1:9" ht="14.25" customHeight="1" x14ac:dyDescent="0.25">
      <c r="A343" s="132" t="s">
        <v>241</v>
      </c>
      <c r="B343" s="132" t="s">
        <v>8</v>
      </c>
      <c r="C343" s="132">
        <v>36</v>
      </c>
      <c r="D343" s="132" t="str">
        <f t="shared" si="23"/>
        <v>1/2" Round BAG Motor 36</v>
      </c>
      <c r="E343" s="132">
        <v>5</v>
      </c>
      <c r="F343" s="132">
        <v>4</v>
      </c>
      <c r="G343" s="132">
        <v>0</v>
      </c>
      <c r="H343" s="132">
        <v>0</v>
      </c>
      <c r="I343" s="132">
        <v>1</v>
      </c>
    </row>
    <row r="344" spans="1:9" ht="14.25" customHeight="1" x14ac:dyDescent="0.25">
      <c r="A344" s="132" t="s">
        <v>241</v>
      </c>
      <c r="B344" s="132" t="s">
        <v>8</v>
      </c>
      <c r="C344" s="132">
        <v>40</v>
      </c>
      <c r="D344" s="132" t="str">
        <f t="shared" si="23"/>
        <v>1/2" Round BAG Motor 40</v>
      </c>
      <c r="E344" s="132">
        <v>5</v>
      </c>
      <c r="F344" s="132">
        <v>3</v>
      </c>
      <c r="G344" s="132">
        <v>0</v>
      </c>
      <c r="H344" s="132">
        <v>0</v>
      </c>
      <c r="I344" s="132">
        <v>1</v>
      </c>
    </row>
    <row r="345" spans="1:9" ht="14.25" customHeight="1" x14ac:dyDescent="0.25">
      <c r="A345" s="132" t="s">
        <v>241</v>
      </c>
      <c r="B345" s="132" t="s">
        <v>8</v>
      </c>
      <c r="C345" s="132">
        <v>45</v>
      </c>
      <c r="D345" s="132" t="str">
        <f t="shared" si="23"/>
        <v>1/2" Round BAG Motor 45</v>
      </c>
      <c r="E345" s="132">
        <v>5</v>
      </c>
      <c r="F345" s="132">
        <v>3</v>
      </c>
      <c r="G345" s="132">
        <v>0</v>
      </c>
      <c r="H345" s="132">
        <v>0</v>
      </c>
      <c r="I345" s="132">
        <v>1</v>
      </c>
    </row>
    <row r="346" spans="1:9" ht="14.25" customHeight="1" x14ac:dyDescent="0.25">
      <c r="A346" s="132" t="s">
        <v>241</v>
      </c>
      <c r="B346" s="132" t="s">
        <v>8</v>
      </c>
      <c r="C346" s="132">
        <v>49</v>
      </c>
      <c r="D346" s="132" t="str">
        <f t="shared" si="23"/>
        <v>1/2" Round BAG Motor 49</v>
      </c>
      <c r="E346" s="132">
        <v>5</v>
      </c>
      <c r="F346" s="132">
        <v>1</v>
      </c>
      <c r="G346" s="132">
        <v>0</v>
      </c>
      <c r="H346" s="132">
        <v>0</v>
      </c>
      <c r="I346" s="132">
        <v>1</v>
      </c>
    </row>
    <row r="347" spans="1:9" ht="14.25" customHeight="1" x14ac:dyDescent="0.25">
      <c r="A347" s="132" t="s">
        <v>241</v>
      </c>
      <c r="B347" s="132" t="s">
        <v>8</v>
      </c>
      <c r="C347" s="132">
        <v>50</v>
      </c>
      <c r="D347" s="132" t="str">
        <f t="shared" si="23"/>
        <v>1/2" Round BAG Motor 50</v>
      </c>
      <c r="E347" s="132">
        <v>5</v>
      </c>
      <c r="F347" s="132">
        <v>1</v>
      </c>
      <c r="G347" s="132">
        <v>0</v>
      </c>
      <c r="H347" s="132">
        <v>0</v>
      </c>
      <c r="I347" s="132">
        <v>1</v>
      </c>
    </row>
    <row r="348" spans="1:9" ht="14.25" customHeight="1" x14ac:dyDescent="0.25">
      <c r="A348" s="132" t="s">
        <v>241</v>
      </c>
      <c r="B348" s="132" t="s">
        <v>8</v>
      </c>
      <c r="C348" s="132">
        <v>63</v>
      </c>
      <c r="D348" s="132" t="str">
        <f t="shared" si="23"/>
        <v>1/2" Round BAG Motor 63</v>
      </c>
      <c r="E348" s="132">
        <v>4</v>
      </c>
      <c r="F348" s="132">
        <v>1</v>
      </c>
      <c r="G348" s="132">
        <v>0</v>
      </c>
      <c r="H348" s="132">
        <v>0</v>
      </c>
      <c r="I348" s="132">
        <v>1</v>
      </c>
    </row>
    <row r="349" spans="1:9" ht="14.25" customHeight="1" x14ac:dyDescent="0.25">
      <c r="A349" s="132" t="s">
        <v>241</v>
      </c>
      <c r="B349" s="132" t="s">
        <v>8</v>
      </c>
      <c r="C349" s="132">
        <v>70</v>
      </c>
      <c r="D349" s="132" t="str">
        <f t="shared" si="23"/>
        <v>1/2" Round BAG Motor 70</v>
      </c>
      <c r="E349" s="132">
        <v>4</v>
      </c>
      <c r="F349" s="132">
        <v>1</v>
      </c>
      <c r="G349" s="132">
        <v>0</v>
      </c>
      <c r="H349" s="132">
        <v>0</v>
      </c>
      <c r="I349" s="132">
        <v>1</v>
      </c>
    </row>
    <row r="350" spans="1:9" ht="14.25" customHeight="1" x14ac:dyDescent="0.25">
      <c r="A350" s="132" t="s">
        <v>241</v>
      </c>
      <c r="B350" s="132" t="s">
        <v>8</v>
      </c>
      <c r="C350" s="132">
        <v>81</v>
      </c>
      <c r="D350" s="132" t="str">
        <f t="shared" si="23"/>
        <v>1/2" Round BAG Motor 81</v>
      </c>
      <c r="E350" s="132">
        <v>3</v>
      </c>
      <c r="F350" s="132">
        <v>1</v>
      </c>
      <c r="G350" s="132">
        <v>0</v>
      </c>
      <c r="H350" s="132">
        <v>0</v>
      </c>
      <c r="I350" s="132">
        <v>1</v>
      </c>
    </row>
    <row r="351" spans="1:9" ht="14.25" customHeight="1" x14ac:dyDescent="0.25">
      <c r="A351" s="132" t="s">
        <v>241</v>
      </c>
      <c r="B351" s="132" t="s">
        <v>8</v>
      </c>
      <c r="C351" s="132">
        <v>90</v>
      </c>
      <c r="D351" s="132" t="str">
        <f t="shared" si="23"/>
        <v>1/2" Round BAG Motor 90</v>
      </c>
      <c r="E351" s="132">
        <v>3</v>
      </c>
      <c r="F351" s="132">
        <v>1</v>
      </c>
      <c r="G351" s="132">
        <v>0</v>
      </c>
      <c r="H351" s="132">
        <v>0</v>
      </c>
      <c r="I351" s="132">
        <v>0</v>
      </c>
    </row>
    <row r="352" spans="1:9" ht="14.25" customHeight="1" x14ac:dyDescent="0.25">
      <c r="A352" s="132" t="s">
        <v>241</v>
      </c>
      <c r="B352" s="132" t="s">
        <v>8</v>
      </c>
      <c r="C352" s="132">
        <v>100</v>
      </c>
      <c r="D352" s="132" t="str">
        <f t="shared" si="23"/>
        <v>1/2" Round BAG Motor 100</v>
      </c>
      <c r="E352" s="132">
        <v>1</v>
      </c>
      <c r="F352" s="132">
        <v>1</v>
      </c>
      <c r="G352" s="132">
        <v>0</v>
      </c>
      <c r="H352" s="132">
        <v>0</v>
      </c>
      <c r="I352" s="132">
        <v>0</v>
      </c>
    </row>
    <row r="353" spans="1:9" ht="14.25" customHeight="1" x14ac:dyDescent="0.25">
      <c r="A353" s="132" t="s">
        <v>241</v>
      </c>
      <c r="B353" s="132" t="s">
        <v>256</v>
      </c>
      <c r="C353" s="132">
        <v>-3</v>
      </c>
      <c r="D353" s="132" t="str">
        <f t="shared" ref="D353:D358" si="24">A353&amp;" "&amp;B353&amp;" "&amp;C353</f>
        <v>1/2" Round 775pro -3</v>
      </c>
      <c r="E353" s="132">
        <v>1</v>
      </c>
      <c r="F353" s="132">
        <v>1</v>
      </c>
      <c r="G353" s="132">
        <v>1</v>
      </c>
      <c r="H353" s="132">
        <v>0</v>
      </c>
      <c r="I353" s="132">
        <v>1</v>
      </c>
    </row>
    <row r="354" spans="1:9" ht="14.25" customHeight="1" x14ac:dyDescent="0.25">
      <c r="A354" s="132" t="s">
        <v>241</v>
      </c>
      <c r="B354" s="132" t="s">
        <v>256</v>
      </c>
      <c r="C354" s="132">
        <v>-4</v>
      </c>
      <c r="D354" s="132" t="str">
        <f t="shared" si="24"/>
        <v>1/2" Round 775pro -4</v>
      </c>
      <c r="E354" s="132">
        <v>1</v>
      </c>
      <c r="F354" s="132">
        <v>1</v>
      </c>
      <c r="G354" s="132">
        <v>1</v>
      </c>
      <c r="H354" s="132">
        <v>0</v>
      </c>
      <c r="I354" s="132">
        <v>1</v>
      </c>
    </row>
    <row r="355" spans="1:9" ht="14.25" customHeight="1" x14ac:dyDescent="0.25">
      <c r="A355" s="132" t="s">
        <v>241</v>
      </c>
      <c r="B355" s="132" t="s">
        <v>256</v>
      </c>
      <c r="C355" s="132">
        <v>-5</v>
      </c>
      <c r="D355" s="132" t="str">
        <f t="shared" si="24"/>
        <v>1/2" Round 775pro -5</v>
      </c>
      <c r="E355" s="132">
        <v>1</v>
      </c>
      <c r="F355" s="132">
        <v>1</v>
      </c>
      <c r="G355" s="132">
        <v>1</v>
      </c>
      <c r="H355" s="132">
        <v>0</v>
      </c>
      <c r="I355" s="132">
        <v>1</v>
      </c>
    </row>
    <row r="356" spans="1:9" ht="14.25" customHeight="1" x14ac:dyDescent="0.25">
      <c r="A356" s="132" t="s">
        <v>241</v>
      </c>
      <c r="B356" s="132" t="s">
        <v>256</v>
      </c>
      <c r="C356" s="132">
        <v>-7</v>
      </c>
      <c r="D356" s="132" t="str">
        <f t="shared" si="24"/>
        <v>1/2" Round 775pro -7</v>
      </c>
      <c r="E356" s="132">
        <v>1</v>
      </c>
      <c r="F356" s="132">
        <v>1</v>
      </c>
      <c r="G356" s="132">
        <v>0</v>
      </c>
      <c r="H356" s="132">
        <v>0</v>
      </c>
      <c r="I356" s="132">
        <v>1</v>
      </c>
    </row>
    <row r="357" spans="1:9" ht="14.25" customHeight="1" x14ac:dyDescent="0.25">
      <c r="A357" s="132" t="s">
        <v>241</v>
      </c>
      <c r="B357" s="132" t="s">
        <v>256</v>
      </c>
      <c r="C357" s="132">
        <v>-9</v>
      </c>
      <c r="D357" s="132" t="str">
        <f t="shared" si="24"/>
        <v>1/2" Round 775pro -9</v>
      </c>
      <c r="E357" s="132">
        <v>1</v>
      </c>
      <c r="F357" s="132">
        <v>1</v>
      </c>
      <c r="G357" s="132">
        <v>0</v>
      </c>
      <c r="H357" s="132">
        <v>0</v>
      </c>
      <c r="I357" s="132">
        <v>1</v>
      </c>
    </row>
    <row r="358" spans="1:9" ht="14.25" customHeight="1" x14ac:dyDescent="0.25">
      <c r="A358" s="132" t="s">
        <v>241</v>
      </c>
      <c r="B358" s="132" t="s">
        <v>256</v>
      </c>
      <c r="C358" s="132">
        <v>-10</v>
      </c>
      <c r="D358" s="132" t="str">
        <f t="shared" si="24"/>
        <v>1/2" Round 775pro -10</v>
      </c>
      <c r="E358" s="132">
        <v>1</v>
      </c>
      <c r="F358" s="132">
        <v>1</v>
      </c>
      <c r="G358" s="132">
        <v>0</v>
      </c>
      <c r="H358" s="132">
        <v>0</v>
      </c>
      <c r="I358" s="132">
        <v>1</v>
      </c>
    </row>
    <row r="359" spans="1:9" ht="14.25" customHeight="1" x14ac:dyDescent="0.25">
      <c r="A359" s="132" t="s">
        <v>241</v>
      </c>
      <c r="B359" s="132" t="s">
        <v>256</v>
      </c>
      <c r="C359" s="132">
        <v>9</v>
      </c>
      <c r="D359" s="132" t="str">
        <f t="shared" ref="D359:D379" si="25">A359&amp;" "&amp;B359&amp;" "&amp;C359</f>
        <v>1/2" Round 775pro 9</v>
      </c>
      <c r="E359" s="132">
        <v>10</v>
      </c>
      <c r="F359" s="132">
        <v>7</v>
      </c>
      <c r="G359" s="132">
        <v>0</v>
      </c>
      <c r="H359" s="132">
        <v>0</v>
      </c>
      <c r="I359" s="132">
        <v>5</v>
      </c>
    </row>
    <row r="360" spans="1:9" ht="14.25" customHeight="1" x14ac:dyDescent="0.25">
      <c r="A360" s="132" t="s">
        <v>241</v>
      </c>
      <c r="B360" s="132" t="s">
        <v>256</v>
      </c>
      <c r="C360" s="132">
        <v>12</v>
      </c>
      <c r="D360" s="132" t="str">
        <f t="shared" si="25"/>
        <v>1/2" Round 775pro 12</v>
      </c>
      <c r="E360" s="132">
        <v>10</v>
      </c>
      <c r="F360" s="132">
        <v>5</v>
      </c>
      <c r="G360" s="132">
        <v>0</v>
      </c>
      <c r="H360" s="132">
        <v>0</v>
      </c>
      <c r="I360" s="132">
        <v>4</v>
      </c>
    </row>
    <row r="361" spans="1:9" ht="14.25" customHeight="1" x14ac:dyDescent="0.25">
      <c r="A361" s="132" t="s">
        <v>241</v>
      </c>
      <c r="B361" s="132" t="s">
        <v>256</v>
      </c>
      <c r="C361" s="132">
        <v>15</v>
      </c>
      <c r="D361" s="132" t="str">
        <f t="shared" si="25"/>
        <v>1/2" Round 775pro 15</v>
      </c>
      <c r="E361" s="132">
        <v>9</v>
      </c>
      <c r="F361" s="132">
        <v>5</v>
      </c>
      <c r="G361" s="132">
        <v>0</v>
      </c>
      <c r="H361" s="132">
        <v>0</v>
      </c>
      <c r="I361" s="132">
        <v>3</v>
      </c>
    </row>
    <row r="362" spans="1:9" ht="14.25" customHeight="1" x14ac:dyDescent="0.25">
      <c r="A362" s="132" t="s">
        <v>241</v>
      </c>
      <c r="B362" s="132" t="s">
        <v>256</v>
      </c>
      <c r="C362" s="132">
        <v>16</v>
      </c>
      <c r="D362" s="132" t="str">
        <f t="shared" si="25"/>
        <v>1/2" Round 775pro 16</v>
      </c>
      <c r="E362" s="132">
        <v>7</v>
      </c>
      <c r="F362" s="132">
        <v>5</v>
      </c>
      <c r="G362" s="132">
        <v>0</v>
      </c>
      <c r="H362" s="132">
        <v>0</v>
      </c>
      <c r="I362" s="132">
        <v>3</v>
      </c>
    </row>
    <row r="363" spans="1:9" ht="14.25" customHeight="1" x14ac:dyDescent="0.25">
      <c r="A363" s="132" t="s">
        <v>241</v>
      </c>
      <c r="B363" s="132" t="s">
        <v>256</v>
      </c>
      <c r="C363" s="132">
        <v>20</v>
      </c>
      <c r="D363" s="132" t="str">
        <f t="shared" si="25"/>
        <v>1/2" Round 775pro 20</v>
      </c>
      <c r="E363" s="132">
        <v>5</v>
      </c>
      <c r="F363" s="132">
        <v>4</v>
      </c>
      <c r="G363" s="132">
        <v>0</v>
      </c>
      <c r="H363" s="132">
        <v>0</v>
      </c>
      <c r="I363" s="132">
        <v>1</v>
      </c>
    </row>
    <row r="364" spans="1:9" ht="14.25" customHeight="1" x14ac:dyDescent="0.25">
      <c r="A364" s="132" t="s">
        <v>241</v>
      </c>
      <c r="B364" s="132" t="s">
        <v>256</v>
      </c>
      <c r="C364" s="132">
        <v>21</v>
      </c>
      <c r="D364" s="132" t="str">
        <f t="shared" si="25"/>
        <v>1/2" Round 775pro 21</v>
      </c>
      <c r="E364" s="132">
        <v>5</v>
      </c>
      <c r="F364" s="132">
        <v>4</v>
      </c>
      <c r="G364" s="132">
        <v>0</v>
      </c>
      <c r="H364" s="132">
        <v>0</v>
      </c>
      <c r="I364" s="132">
        <v>1</v>
      </c>
    </row>
    <row r="365" spans="1:9" ht="14.25" customHeight="1" x14ac:dyDescent="0.25">
      <c r="A365" s="132" t="s">
        <v>241</v>
      </c>
      <c r="B365" s="132" t="s">
        <v>256</v>
      </c>
      <c r="C365" s="132">
        <v>25</v>
      </c>
      <c r="D365" s="132" t="str">
        <f t="shared" si="25"/>
        <v>1/2" Round 775pro 25</v>
      </c>
      <c r="E365" s="132">
        <v>5</v>
      </c>
      <c r="F365" s="132">
        <v>3</v>
      </c>
      <c r="G365" s="132">
        <v>0</v>
      </c>
      <c r="H365" s="132">
        <v>0</v>
      </c>
      <c r="I365" s="132">
        <v>1</v>
      </c>
    </row>
    <row r="366" spans="1:9" ht="14.25" customHeight="1" x14ac:dyDescent="0.25">
      <c r="A366" s="132" t="s">
        <v>241</v>
      </c>
      <c r="B366" s="132" t="s">
        <v>256</v>
      </c>
      <c r="C366" s="132">
        <v>27</v>
      </c>
      <c r="D366" s="132" t="str">
        <f t="shared" si="25"/>
        <v>1/2" Round 775pro 27</v>
      </c>
      <c r="E366" s="132">
        <v>5</v>
      </c>
      <c r="F366" s="132">
        <v>3</v>
      </c>
      <c r="G366" s="132">
        <v>0</v>
      </c>
      <c r="H366" s="132">
        <v>0</v>
      </c>
      <c r="I366" s="132">
        <v>1</v>
      </c>
    </row>
    <row r="367" spans="1:9" ht="14.25" customHeight="1" x14ac:dyDescent="0.25">
      <c r="A367" s="132" t="s">
        <v>241</v>
      </c>
      <c r="B367" s="132" t="s">
        <v>256</v>
      </c>
      <c r="C367" s="132">
        <v>28</v>
      </c>
      <c r="D367" s="132" t="str">
        <f t="shared" si="25"/>
        <v>1/2" Round 775pro 28</v>
      </c>
      <c r="E367" s="132">
        <v>5</v>
      </c>
      <c r="F367" s="132">
        <v>3</v>
      </c>
      <c r="G367" s="132">
        <v>0</v>
      </c>
      <c r="H367" s="132">
        <v>0</v>
      </c>
      <c r="I367" s="132">
        <v>1</v>
      </c>
    </row>
    <row r="368" spans="1:9" ht="14.25" customHeight="1" x14ac:dyDescent="0.25">
      <c r="A368" s="132" t="s">
        <v>241</v>
      </c>
      <c r="B368" s="132" t="s">
        <v>256</v>
      </c>
      <c r="C368" s="132">
        <v>30</v>
      </c>
      <c r="D368" s="132" t="str">
        <f t="shared" si="25"/>
        <v>1/2" Round 775pro 30</v>
      </c>
      <c r="E368" s="132">
        <v>5</v>
      </c>
      <c r="F368" s="132">
        <v>3</v>
      </c>
      <c r="G368" s="132">
        <v>0</v>
      </c>
      <c r="H368" s="132">
        <v>0</v>
      </c>
      <c r="I368" s="132">
        <v>1</v>
      </c>
    </row>
    <row r="369" spans="1:9" ht="14.25" customHeight="1" x14ac:dyDescent="0.25">
      <c r="A369" s="132" t="s">
        <v>241</v>
      </c>
      <c r="B369" s="132" t="s">
        <v>256</v>
      </c>
      <c r="C369" s="132">
        <v>35</v>
      </c>
      <c r="D369" s="132" t="str">
        <f t="shared" si="25"/>
        <v>1/2" Round 775pro 35</v>
      </c>
      <c r="E369" s="132">
        <v>5</v>
      </c>
      <c r="F369" s="132">
        <v>1</v>
      </c>
      <c r="G369" s="132">
        <v>0</v>
      </c>
      <c r="H369" s="132">
        <v>0</v>
      </c>
      <c r="I369" s="132">
        <v>1</v>
      </c>
    </row>
    <row r="370" spans="1:9" ht="14.25" customHeight="1" x14ac:dyDescent="0.25">
      <c r="A370" s="132" t="s">
        <v>241</v>
      </c>
      <c r="B370" s="132" t="s">
        <v>256</v>
      </c>
      <c r="C370" s="132">
        <v>36</v>
      </c>
      <c r="D370" s="132" t="str">
        <f t="shared" si="25"/>
        <v>1/2" Round 775pro 36</v>
      </c>
      <c r="E370" s="132">
        <v>5</v>
      </c>
      <c r="F370" s="132">
        <v>1</v>
      </c>
      <c r="G370" s="132">
        <v>0</v>
      </c>
      <c r="H370" s="132">
        <v>0</v>
      </c>
      <c r="I370" s="132">
        <v>1</v>
      </c>
    </row>
    <row r="371" spans="1:9" ht="14.25" customHeight="1" x14ac:dyDescent="0.25">
      <c r="A371" s="132" t="s">
        <v>241</v>
      </c>
      <c r="B371" s="132" t="s">
        <v>256</v>
      </c>
      <c r="C371" s="132">
        <v>40</v>
      </c>
      <c r="D371" s="132" t="str">
        <f t="shared" si="25"/>
        <v>1/2" Round 775pro 40</v>
      </c>
      <c r="E371" s="132">
        <v>4</v>
      </c>
      <c r="F371" s="132">
        <v>1</v>
      </c>
      <c r="G371" s="132">
        <v>0</v>
      </c>
      <c r="H371" s="132">
        <v>0</v>
      </c>
      <c r="I371" s="132">
        <v>1</v>
      </c>
    </row>
    <row r="372" spans="1:9" ht="14.25" customHeight="1" x14ac:dyDescent="0.25">
      <c r="A372" s="132" t="s">
        <v>241</v>
      </c>
      <c r="B372" s="132" t="s">
        <v>256</v>
      </c>
      <c r="C372" s="132">
        <v>45</v>
      </c>
      <c r="D372" s="132" t="str">
        <f t="shared" si="25"/>
        <v>1/2" Round 775pro 45</v>
      </c>
      <c r="E372" s="132">
        <v>4</v>
      </c>
      <c r="F372" s="132">
        <v>1</v>
      </c>
      <c r="G372" s="132">
        <v>0</v>
      </c>
      <c r="H372" s="132">
        <v>0</v>
      </c>
      <c r="I372" s="132">
        <v>1</v>
      </c>
    </row>
    <row r="373" spans="1:9" ht="14.25" customHeight="1" x14ac:dyDescent="0.25">
      <c r="A373" s="132" t="s">
        <v>241</v>
      </c>
      <c r="B373" s="132" t="s">
        <v>256</v>
      </c>
      <c r="C373" s="132">
        <v>49</v>
      </c>
      <c r="D373" s="132" t="str">
        <f t="shared" si="25"/>
        <v>1/2" Round 775pro 49</v>
      </c>
      <c r="E373" s="132">
        <v>3</v>
      </c>
      <c r="F373" s="132">
        <v>1</v>
      </c>
      <c r="G373" s="132">
        <v>0</v>
      </c>
      <c r="H373" s="132">
        <v>0</v>
      </c>
      <c r="I373" s="132">
        <v>1</v>
      </c>
    </row>
    <row r="374" spans="1:9" ht="14.25" customHeight="1" x14ac:dyDescent="0.25">
      <c r="A374" s="132" t="s">
        <v>241</v>
      </c>
      <c r="B374" s="132" t="s">
        <v>256</v>
      </c>
      <c r="C374" s="132">
        <v>50</v>
      </c>
      <c r="D374" s="132" t="str">
        <f t="shared" si="25"/>
        <v>1/2" Round 775pro 50</v>
      </c>
      <c r="E374" s="132">
        <v>3</v>
      </c>
      <c r="F374" s="132">
        <v>1</v>
      </c>
      <c r="G374" s="132">
        <v>0</v>
      </c>
      <c r="H374" s="132">
        <v>0</v>
      </c>
      <c r="I374" s="132">
        <v>0</v>
      </c>
    </row>
    <row r="375" spans="1:9" ht="14.25" customHeight="1" x14ac:dyDescent="0.25">
      <c r="A375" s="132" t="s">
        <v>241</v>
      </c>
      <c r="B375" s="132" t="s">
        <v>256</v>
      </c>
      <c r="C375" s="132">
        <v>63</v>
      </c>
      <c r="D375" s="132" t="str">
        <f t="shared" si="25"/>
        <v>1/2" Round 775pro 63</v>
      </c>
      <c r="E375" s="132">
        <v>1</v>
      </c>
      <c r="F375" s="132">
        <v>1</v>
      </c>
      <c r="G375" s="132">
        <v>0</v>
      </c>
      <c r="H375" s="132">
        <v>0</v>
      </c>
      <c r="I375" s="132">
        <v>0</v>
      </c>
    </row>
    <row r="376" spans="1:9" ht="14.25" customHeight="1" x14ac:dyDescent="0.25">
      <c r="A376" s="132" t="s">
        <v>241</v>
      </c>
      <c r="B376" s="132" t="s">
        <v>256</v>
      </c>
      <c r="C376" s="132">
        <v>70</v>
      </c>
      <c r="D376" s="132" t="str">
        <f t="shared" si="25"/>
        <v>1/2" Round 775pro 70</v>
      </c>
      <c r="E376" s="132">
        <v>1</v>
      </c>
      <c r="F376" s="132">
        <v>0</v>
      </c>
      <c r="G376" s="132">
        <v>0</v>
      </c>
      <c r="H376" s="132">
        <v>0</v>
      </c>
      <c r="I376" s="132">
        <v>0</v>
      </c>
    </row>
    <row r="377" spans="1:9" ht="14.25" customHeight="1" x14ac:dyDescent="0.25">
      <c r="A377" s="132" t="s">
        <v>241</v>
      </c>
      <c r="B377" s="132" t="s">
        <v>256</v>
      </c>
      <c r="C377" s="132">
        <v>81</v>
      </c>
      <c r="D377" s="132" t="str">
        <f t="shared" si="25"/>
        <v>1/2" Round 775pro 81</v>
      </c>
      <c r="E377" s="132">
        <v>1</v>
      </c>
      <c r="F377" s="132">
        <v>0</v>
      </c>
      <c r="G377" s="132">
        <v>0</v>
      </c>
      <c r="H377" s="132">
        <v>0</v>
      </c>
      <c r="I377" s="132">
        <v>0</v>
      </c>
    </row>
    <row r="378" spans="1:9" ht="14.25" customHeight="1" x14ac:dyDescent="0.25">
      <c r="A378" s="132" t="s">
        <v>241</v>
      </c>
      <c r="B378" s="132" t="s">
        <v>256</v>
      </c>
      <c r="C378" s="132">
        <v>90</v>
      </c>
      <c r="D378" s="132" t="str">
        <f t="shared" si="25"/>
        <v>1/2" Round 775pro 90</v>
      </c>
      <c r="E378" s="132">
        <v>1</v>
      </c>
      <c r="F378" s="132">
        <v>0</v>
      </c>
      <c r="G378" s="132">
        <v>0</v>
      </c>
      <c r="H378" s="132">
        <v>0</v>
      </c>
      <c r="I378" s="132">
        <v>0</v>
      </c>
    </row>
    <row r="379" spans="1:9" ht="14.25" customHeight="1" x14ac:dyDescent="0.25">
      <c r="A379" s="132" t="s">
        <v>241</v>
      </c>
      <c r="B379" s="132" t="s">
        <v>256</v>
      </c>
      <c r="C379" s="132">
        <v>100</v>
      </c>
      <c r="D379" s="132" t="str">
        <f t="shared" si="25"/>
        <v>1/2" Round 775pro 100</v>
      </c>
      <c r="E379" s="132">
        <v>1</v>
      </c>
      <c r="F379" s="132">
        <v>0</v>
      </c>
      <c r="G379" s="132">
        <v>0</v>
      </c>
      <c r="H379" s="132">
        <v>0</v>
      </c>
      <c r="I379" s="132">
        <v>0</v>
      </c>
    </row>
    <row r="380" spans="1:9" ht="14.25" customHeight="1" x14ac:dyDescent="0.25">
      <c r="A380" s="132" t="s">
        <v>241</v>
      </c>
      <c r="B380" s="132" t="s">
        <v>7</v>
      </c>
      <c r="C380" s="132">
        <v>-3</v>
      </c>
      <c r="D380" s="132" t="str">
        <f t="shared" ref="D380:D385" si="26">A380&amp;" "&amp;B380&amp;" "&amp;C380</f>
        <v>1/2" Round Mini CIM -3</v>
      </c>
      <c r="E380" s="132">
        <v>1</v>
      </c>
      <c r="I380" s="132">
        <v>0</v>
      </c>
    </row>
    <row r="381" spans="1:9" ht="14.25" customHeight="1" x14ac:dyDescent="0.25">
      <c r="A381" s="132" t="s">
        <v>241</v>
      </c>
      <c r="B381" s="132" t="s">
        <v>7</v>
      </c>
      <c r="C381" s="132">
        <v>-4</v>
      </c>
      <c r="D381" s="132" t="str">
        <f t="shared" si="26"/>
        <v>1/2" Round Mini CIM -4</v>
      </c>
      <c r="E381" s="132">
        <v>1</v>
      </c>
      <c r="I381" s="132">
        <v>0</v>
      </c>
    </row>
    <row r="382" spans="1:9" ht="14.25" customHeight="1" x14ac:dyDescent="0.25">
      <c r="A382" s="132" t="s">
        <v>241</v>
      </c>
      <c r="B382" s="132" t="s">
        <v>7</v>
      </c>
      <c r="C382" s="132">
        <v>-5</v>
      </c>
      <c r="D382" s="132" t="str">
        <f t="shared" si="26"/>
        <v>1/2" Round Mini CIM -5</v>
      </c>
      <c r="E382" s="132">
        <v>1</v>
      </c>
      <c r="I382" s="132">
        <v>0</v>
      </c>
    </row>
    <row r="383" spans="1:9" ht="14.25" customHeight="1" x14ac:dyDescent="0.25">
      <c r="A383" s="132" t="s">
        <v>241</v>
      </c>
      <c r="B383" s="132" t="s">
        <v>7</v>
      </c>
      <c r="C383" s="132">
        <v>-7</v>
      </c>
      <c r="D383" s="132" t="str">
        <f t="shared" si="26"/>
        <v>1/2" Round Mini CIM -7</v>
      </c>
      <c r="E383" s="132">
        <v>1</v>
      </c>
      <c r="I383" s="132">
        <v>0</v>
      </c>
    </row>
    <row r="384" spans="1:9" ht="14.25" customHeight="1" x14ac:dyDescent="0.25">
      <c r="A384" s="132" t="s">
        <v>241</v>
      </c>
      <c r="B384" s="132" t="s">
        <v>7</v>
      </c>
      <c r="C384" s="132">
        <v>-9</v>
      </c>
      <c r="D384" s="132" t="str">
        <f t="shared" si="26"/>
        <v>1/2" Round Mini CIM -9</v>
      </c>
      <c r="E384" s="132">
        <v>1</v>
      </c>
      <c r="I384" s="132">
        <v>0</v>
      </c>
    </row>
    <row r="385" spans="1:9" ht="14.25" customHeight="1" x14ac:dyDescent="0.25">
      <c r="A385" s="132" t="s">
        <v>241</v>
      </c>
      <c r="B385" s="132" t="s">
        <v>7</v>
      </c>
      <c r="C385" s="132">
        <v>-10</v>
      </c>
      <c r="D385" s="132" t="str">
        <f t="shared" si="26"/>
        <v>1/2" Round Mini CIM -10</v>
      </c>
      <c r="E385" s="132">
        <v>1</v>
      </c>
      <c r="I385" s="132">
        <v>0</v>
      </c>
    </row>
    <row r="386" spans="1:9" ht="14.25" customHeight="1" x14ac:dyDescent="0.25">
      <c r="A386" s="132" t="s">
        <v>241</v>
      </c>
      <c r="B386" s="132" t="s">
        <v>7</v>
      </c>
      <c r="C386" s="132">
        <v>9</v>
      </c>
      <c r="D386" s="132" t="str">
        <f t="shared" ref="D386:D406" si="27">A386&amp;" "&amp;B386&amp;" "&amp;C386</f>
        <v>1/2" Round Mini CIM 9</v>
      </c>
      <c r="E386" s="132">
        <v>7</v>
      </c>
      <c r="I386" s="132">
        <v>0</v>
      </c>
    </row>
    <row r="387" spans="1:9" ht="14.25" customHeight="1" x14ac:dyDescent="0.25">
      <c r="A387" s="132" t="s">
        <v>241</v>
      </c>
      <c r="B387" s="132" t="s">
        <v>7</v>
      </c>
      <c r="C387" s="132">
        <v>12</v>
      </c>
      <c r="D387" s="132" t="str">
        <f t="shared" si="27"/>
        <v>1/2" Round Mini CIM 12</v>
      </c>
      <c r="E387" s="132">
        <v>5</v>
      </c>
      <c r="I387" s="132">
        <v>0</v>
      </c>
    </row>
    <row r="388" spans="1:9" ht="14.25" customHeight="1" x14ac:dyDescent="0.25">
      <c r="A388" s="132" t="s">
        <v>241</v>
      </c>
      <c r="B388" s="132" t="s">
        <v>7</v>
      </c>
      <c r="C388" s="132">
        <v>15</v>
      </c>
      <c r="D388" s="132" t="str">
        <f t="shared" si="27"/>
        <v>1/2" Round Mini CIM 15</v>
      </c>
      <c r="E388" s="132">
        <v>5</v>
      </c>
      <c r="I388" s="132">
        <v>0</v>
      </c>
    </row>
    <row r="389" spans="1:9" ht="14.25" customHeight="1" x14ac:dyDescent="0.25">
      <c r="A389" s="132" t="s">
        <v>241</v>
      </c>
      <c r="B389" s="132" t="s">
        <v>7</v>
      </c>
      <c r="C389" s="132">
        <v>16</v>
      </c>
      <c r="D389" s="132" t="str">
        <f t="shared" si="27"/>
        <v>1/2" Round Mini CIM 16</v>
      </c>
      <c r="E389" s="132">
        <v>5</v>
      </c>
      <c r="I389" s="132">
        <v>0</v>
      </c>
    </row>
    <row r="390" spans="1:9" ht="14.25" customHeight="1" x14ac:dyDescent="0.25">
      <c r="A390" s="132" t="s">
        <v>241</v>
      </c>
      <c r="B390" s="132" t="s">
        <v>7</v>
      </c>
      <c r="C390" s="132">
        <v>20</v>
      </c>
      <c r="D390" s="132" t="str">
        <f t="shared" si="27"/>
        <v>1/2" Round Mini CIM 20</v>
      </c>
      <c r="E390" s="132">
        <v>4</v>
      </c>
      <c r="I390" s="132">
        <v>0</v>
      </c>
    </row>
    <row r="391" spans="1:9" ht="14.25" customHeight="1" x14ac:dyDescent="0.25">
      <c r="A391" s="132" t="s">
        <v>241</v>
      </c>
      <c r="B391" s="132" t="s">
        <v>7</v>
      </c>
      <c r="C391" s="132">
        <v>21</v>
      </c>
      <c r="D391" s="132" t="str">
        <f t="shared" si="27"/>
        <v>1/2" Round Mini CIM 21</v>
      </c>
      <c r="E391" s="132">
        <v>4</v>
      </c>
      <c r="I391" s="132">
        <v>0</v>
      </c>
    </row>
    <row r="392" spans="1:9" ht="14.25" customHeight="1" x14ac:dyDescent="0.25">
      <c r="A392" s="132" t="s">
        <v>241</v>
      </c>
      <c r="B392" s="132" t="s">
        <v>7</v>
      </c>
      <c r="C392" s="132">
        <v>25</v>
      </c>
      <c r="D392" s="132" t="str">
        <f t="shared" si="27"/>
        <v>1/2" Round Mini CIM 25</v>
      </c>
      <c r="E392" s="132">
        <v>3</v>
      </c>
      <c r="I392" s="132">
        <v>0</v>
      </c>
    </row>
    <row r="393" spans="1:9" ht="14.25" customHeight="1" x14ac:dyDescent="0.25">
      <c r="A393" s="132" t="s">
        <v>241</v>
      </c>
      <c r="B393" s="132" t="s">
        <v>7</v>
      </c>
      <c r="C393" s="132">
        <v>27</v>
      </c>
      <c r="D393" s="132" t="str">
        <f t="shared" si="27"/>
        <v>1/2" Round Mini CIM 27</v>
      </c>
      <c r="E393" s="132">
        <v>3</v>
      </c>
      <c r="I393" s="132">
        <v>0</v>
      </c>
    </row>
    <row r="394" spans="1:9" ht="14.25" customHeight="1" x14ac:dyDescent="0.25">
      <c r="A394" s="132" t="s">
        <v>241</v>
      </c>
      <c r="B394" s="132" t="s">
        <v>7</v>
      </c>
      <c r="C394" s="132">
        <v>28</v>
      </c>
      <c r="D394" s="132" t="str">
        <f t="shared" si="27"/>
        <v>1/2" Round Mini CIM 28</v>
      </c>
      <c r="E394" s="132">
        <v>3</v>
      </c>
      <c r="I394" s="132">
        <v>0</v>
      </c>
    </row>
    <row r="395" spans="1:9" ht="14.25" customHeight="1" x14ac:dyDescent="0.25">
      <c r="A395" s="132" t="s">
        <v>241</v>
      </c>
      <c r="B395" s="132" t="s">
        <v>7</v>
      </c>
      <c r="C395" s="132">
        <v>30</v>
      </c>
      <c r="D395" s="132" t="str">
        <f t="shared" si="27"/>
        <v>1/2" Round Mini CIM 30</v>
      </c>
      <c r="E395" s="132">
        <v>1</v>
      </c>
      <c r="I395" s="132">
        <v>0</v>
      </c>
    </row>
    <row r="396" spans="1:9" ht="14.25" customHeight="1" x14ac:dyDescent="0.25">
      <c r="A396" s="132" t="s">
        <v>241</v>
      </c>
      <c r="B396" s="132" t="s">
        <v>7</v>
      </c>
      <c r="C396" s="132">
        <v>35</v>
      </c>
      <c r="D396" s="132" t="str">
        <f t="shared" si="27"/>
        <v>1/2" Round Mini CIM 35</v>
      </c>
      <c r="E396" s="132">
        <v>1</v>
      </c>
      <c r="I396" s="132">
        <v>0</v>
      </c>
    </row>
    <row r="397" spans="1:9" ht="14.25" customHeight="1" x14ac:dyDescent="0.25">
      <c r="A397" s="132" t="s">
        <v>241</v>
      </c>
      <c r="B397" s="132" t="s">
        <v>7</v>
      </c>
      <c r="C397" s="132">
        <v>36</v>
      </c>
      <c r="D397" s="132" t="str">
        <f t="shared" si="27"/>
        <v>1/2" Round Mini CIM 36</v>
      </c>
      <c r="E397" s="132">
        <v>1</v>
      </c>
      <c r="I397" s="132">
        <v>0</v>
      </c>
    </row>
    <row r="398" spans="1:9" ht="14.25" customHeight="1" x14ac:dyDescent="0.25">
      <c r="A398" s="132" t="s">
        <v>241</v>
      </c>
      <c r="B398" s="132" t="s">
        <v>7</v>
      </c>
      <c r="C398" s="132">
        <v>40</v>
      </c>
      <c r="D398" s="132" t="str">
        <f t="shared" si="27"/>
        <v>1/2" Round Mini CIM 40</v>
      </c>
      <c r="E398" s="132">
        <v>1</v>
      </c>
      <c r="I398" s="132">
        <v>0</v>
      </c>
    </row>
    <row r="399" spans="1:9" ht="14.25" customHeight="1" x14ac:dyDescent="0.25">
      <c r="A399" s="132" t="s">
        <v>241</v>
      </c>
      <c r="B399" s="132" t="s">
        <v>7</v>
      </c>
      <c r="C399" s="132">
        <v>45</v>
      </c>
      <c r="D399" s="132" t="str">
        <f t="shared" si="27"/>
        <v>1/2" Round Mini CIM 45</v>
      </c>
      <c r="E399" s="132">
        <v>1</v>
      </c>
      <c r="I399" s="132">
        <v>0</v>
      </c>
    </row>
    <row r="400" spans="1:9" ht="14.25" customHeight="1" x14ac:dyDescent="0.25">
      <c r="A400" s="132" t="s">
        <v>241</v>
      </c>
      <c r="B400" s="132" t="s">
        <v>7</v>
      </c>
      <c r="C400" s="132">
        <v>49</v>
      </c>
      <c r="D400" s="132" t="str">
        <f t="shared" si="27"/>
        <v>1/2" Round Mini CIM 49</v>
      </c>
      <c r="E400" s="132">
        <v>1</v>
      </c>
      <c r="I400" s="132">
        <v>0</v>
      </c>
    </row>
    <row r="401" spans="1:9" ht="14.25" customHeight="1" x14ac:dyDescent="0.25">
      <c r="A401" s="132" t="s">
        <v>241</v>
      </c>
      <c r="B401" s="132" t="s">
        <v>7</v>
      </c>
      <c r="C401" s="132">
        <v>50</v>
      </c>
      <c r="D401" s="132" t="str">
        <f t="shared" si="27"/>
        <v>1/2" Round Mini CIM 50</v>
      </c>
      <c r="E401" s="132">
        <v>1</v>
      </c>
      <c r="I401" s="132">
        <v>0</v>
      </c>
    </row>
    <row r="402" spans="1:9" ht="14.25" customHeight="1" x14ac:dyDescent="0.25">
      <c r="A402" s="132" t="s">
        <v>241</v>
      </c>
      <c r="B402" s="132" t="s">
        <v>7</v>
      </c>
      <c r="C402" s="132">
        <v>63</v>
      </c>
      <c r="D402" s="132" t="str">
        <f t="shared" si="27"/>
        <v>1/2" Round Mini CIM 63</v>
      </c>
      <c r="E402" s="132">
        <v>1</v>
      </c>
      <c r="I402" s="132">
        <v>0</v>
      </c>
    </row>
    <row r="403" spans="1:9" ht="14.25" customHeight="1" x14ac:dyDescent="0.25">
      <c r="A403" s="132" t="s">
        <v>241</v>
      </c>
      <c r="B403" s="132" t="s">
        <v>7</v>
      </c>
      <c r="C403" s="132">
        <v>70</v>
      </c>
      <c r="D403" s="132" t="str">
        <f t="shared" si="27"/>
        <v>1/2" Round Mini CIM 70</v>
      </c>
      <c r="E403" s="132">
        <v>0</v>
      </c>
      <c r="I403" s="132">
        <v>0</v>
      </c>
    </row>
    <row r="404" spans="1:9" ht="14.25" customHeight="1" x14ac:dyDescent="0.25">
      <c r="A404" s="132" t="s">
        <v>241</v>
      </c>
      <c r="B404" s="132" t="s">
        <v>7</v>
      </c>
      <c r="C404" s="132">
        <v>81</v>
      </c>
      <c r="D404" s="132" t="str">
        <f t="shared" si="27"/>
        <v>1/2" Round Mini CIM 81</v>
      </c>
      <c r="E404" s="132">
        <v>0</v>
      </c>
      <c r="I404" s="132">
        <v>0</v>
      </c>
    </row>
    <row r="405" spans="1:9" ht="14.25" customHeight="1" x14ac:dyDescent="0.25">
      <c r="A405" s="132" t="s">
        <v>241</v>
      </c>
      <c r="B405" s="132" t="s">
        <v>7</v>
      </c>
      <c r="C405" s="132">
        <v>90</v>
      </c>
      <c r="D405" s="132" t="str">
        <f t="shared" si="27"/>
        <v>1/2" Round Mini CIM 90</v>
      </c>
      <c r="E405" s="132">
        <v>0</v>
      </c>
      <c r="I405" s="132">
        <v>0</v>
      </c>
    </row>
    <row r="406" spans="1:9" ht="14.25" customHeight="1" x14ac:dyDescent="0.25">
      <c r="A406" s="132" t="s">
        <v>241</v>
      </c>
      <c r="B406" s="132" t="s">
        <v>7</v>
      </c>
      <c r="C406" s="132">
        <v>100</v>
      </c>
      <c r="D406" s="132" t="str">
        <f t="shared" si="27"/>
        <v>1/2" Round Mini CIM 100</v>
      </c>
      <c r="E406" s="132">
        <v>0</v>
      </c>
      <c r="I406" s="132">
        <v>0</v>
      </c>
    </row>
    <row r="407" spans="1:9" ht="14.25" customHeight="1" x14ac:dyDescent="0.25">
      <c r="A407" s="132" t="s">
        <v>241</v>
      </c>
      <c r="B407" s="132" t="s">
        <v>6</v>
      </c>
      <c r="C407" s="132">
        <v>-3</v>
      </c>
      <c r="D407" s="132" t="str">
        <f t="shared" ref="D407:D412" si="28">A407&amp;" "&amp;B407&amp;" "&amp;C407</f>
        <v>1/2" Round CIM -3</v>
      </c>
      <c r="E407" s="132">
        <v>1</v>
      </c>
      <c r="I407" s="132">
        <v>0</v>
      </c>
    </row>
    <row r="408" spans="1:9" ht="14.25" customHeight="1" x14ac:dyDescent="0.25">
      <c r="A408" s="132" t="s">
        <v>241</v>
      </c>
      <c r="B408" s="132" t="s">
        <v>6</v>
      </c>
      <c r="C408" s="132">
        <v>-4</v>
      </c>
      <c r="D408" s="132" t="str">
        <f t="shared" si="28"/>
        <v>1/2" Round CIM -4</v>
      </c>
      <c r="E408" s="132">
        <v>1</v>
      </c>
      <c r="I408" s="132">
        <v>0</v>
      </c>
    </row>
    <row r="409" spans="1:9" ht="14.25" customHeight="1" x14ac:dyDescent="0.25">
      <c r="A409" s="132" t="s">
        <v>241</v>
      </c>
      <c r="B409" s="132" t="s">
        <v>6</v>
      </c>
      <c r="C409" s="132">
        <v>-5</v>
      </c>
      <c r="D409" s="132" t="str">
        <f t="shared" si="28"/>
        <v>1/2" Round CIM -5</v>
      </c>
      <c r="E409" s="132">
        <v>1</v>
      </c>
      <c r="I409" s="132">
        <v>0</v>
      </c>
    </row>
    <row r="410" spans="1:9" ht="14.25" customHeight="1" x14ac:dyDescent="0.25">
      <c r="A410" s="132" t="s">
        <v>241</v>
      </c>
      <c r="B410" s="132" t="s">
        <v>6</v>
      </c>
      <c r="C410" s="132">
        <v>-7</v>
      </c>
      <c r="D410" s="132" t="str">
        <f t="shared" si="28"/>
        <v>1/2" Round CIM -7</v>
      </c>
      <c r="E410" s="132">
        <v>1</v>
      </c>
      <c r="I410" s="132">
        <v>0</v>
      </c>
    </row>
    <row r="411" spans="1:9" ht="14.25" customHeight="1" x14ac:dyDescent="0.25">
      <c r="A411" s="132" t="s">
        <v>241</v>
      </c>
      <c r="B411" s="132" t="s">
        <v>6</v>
      </c>
      <c r="C411" s="132">
        <v>-9</v>
      </c>
      <c r="D411" s="132" t="str">
        <f t="shared" si="28"/>
        <v>1/2" Round CIM -9</v>
      </c>
      <c r="E411" s="132">
        <v>1</v>
      </c>
      <c r="I411" s="132">
        <v>0</v>
      </c>
    </row>
    <row r="412" spans="1:9" ht="14.25" customHeight="1" x14ac:dyDescent="0.25">
      <c r="A412" s="132" t="s">
        <v>241</v>
      </c>
      <c r="B412" s="132" t="s">
        <v>6</v>
      </c>
      <c r="C412" s="132">
        <v>-10</v>
      </c>
      <c r="D412" s="132" t="str">
        <f t="shared" si="28"/>
        <v>1/2" Round CIM -10</v>
      </c>
      <c r="E412" s="132">
        <v>1</v>
      </c>
      <c r="I412" s="132">
        <v>0</v>
      </c>
    </row>
    <row r="413" spans="1:9" ht="14.25" customHeight="1" x14ac:dyDescent="0.25">
      <c r="A413" s="132" t="s">
        <v>241</v>
      </c>
      <c r="B413" s="132" t="s">
        <v>6</v>
      </c>
      <c r="C413" s="132">
        <v>9</v>
      </c>
      <c r="D413" s="132" t="str">
        <f t="shared" ref="D413:D433" si="29">A413&amp;" "&amp;B413&amp;" "&amp;C413</f>
        <v>1/2" Round CIM 9</v>
      </c>
      <c r="E413" s="132">
        <v>5</v>
      </c>
      <c r="I413" s="132">
        <v>0</v>
      </c>
    </row>
    <row r="414" spans="1:9" ht="14.25" customHeight="1" x14ac:dyDescent="0.25">
      <c r="A414" s="132" t="s">
        <v>241</v>
      </c>
      <c r="B414" s="132" t="s">
        <v>6</v>
      </c>
      <c r="C414" s="132">
        <v>12</v>
      </c>
      <c r="D414" s="132" t="str">
        <f t="shared" si="29"/>
        <v>1/2" Round CIM 12</v>
      </c>
      <c r="E414" s="132">
        <v>4</v>
      </c>
      <c r="I414" s="132">
        <v>0</v>
      </c>
    </row>
    <row r="415" spans="1:9" ht="14.25" customHeight="1" x14ac:dyDescent="0.25">
      <c r="A415" s="132" t="s">
        <v>241</v>
      </c>
      <c r="B415" s="132" t="s">
        <v>6</v>
      </c>
      <c r="C415" s="132">
        <v>15</v>
      </c>
      <c r="D415" s="132" t="str">
        <f t="shared" si="29"/>
        <v>1/2" Round CIM 15</v>
      </c>
      <c r="E415" s="132">
        <v>3</v>
      </c>
      <c r="I415" s="132">
        <v>0</v>
      </c>
    </row>
    <row r="416" spans="1:9" ht="14.25" customHeight="1" x14ac:dyDescent="0.25">
      <c r="A416" s="132" t="s">
        <v>241</v>
      </c>
      <c r="B416" s="132" t="s">
        <v>6</v>
      </c>
      <c r="C416" s="132">
        <v>16</v>
      </c>
      <c r="D416" s="132" t="str">
        <f t="shared" si="29"/>
        <v>1/2" Round CIM 16</v>
      </c>
      <c r="E416" s="132">
        <v>3</v>
      </c>
      <c r="I416" s="132">
        <v>0</v>
      </c>
    </row>
    <row r="417" spans="1:9" ht="14.25" customHeight="1" x14ac:dyDescent="0.25">
      <c r="A417" s="132" t="s">
        <v>241</v>
      </c>
      <c r="B417" s="132" t="s">
        <v>6</v>
      </c>
      <c r="C417" s="132">
        <v>20</v>
      </c>
      <c r="D417" s="132" t="str">
        <f t="shared" si="29"/>
        <v>1/2" Round CIM 20</v>
      </c>
      <c r="E417" s="132">
        <v>1</v>
      </c>
      <c r="I417" s="132">
        <v>0</v>
      </c>
    </row>
    <row r="418" spans="1:9" ht="14.25" customHeight="1" x14ac:dyDescent="0.25">
      <c r="A418" s="132" t="s">
        <v>241</v>
      </c>
      <c r="B418" s="132" t="s">
        <v>6</v>
      </c>
      <c r="C418" s="132">
        <v>21</v>
      </c>
      <c r="D418" s="132" t="str">
        <f t="shared" si="29"/>
        <v>1/2" Round CIM 21</v>
      </c>
      <c r="E418" s="132">
        <v>1</v>
      </c>
      <c r="I418" s="132">
        <v>0</v>
      </c>
    </row>
    <row r="419" spans="1:9" ht="14.25" customHeight="1" x14ac:dyDescent="0.25">
      <c r="A419" s="132" t="s">
        <v>241</v>
      </c>
      <c r="B419" s="132" t="s">
        <v>6</v>
      </c>
      <c r="C419" s="132">
        <v>25</v>
      </c>
      <c r="D419" s="132" t="str">
        <f t="shared" si="29"/>
        <v>1/2" Round CIM 25</v>
      </c>
      <c r="E419" s="132">
        <v>1</v>
      </c>
      <c r="I419" s="132">
        <v>0</v>
      </c>
    </row>
    <row r="420" spans="1:9" ht="14.25" customHeight="1" x14ac:dyDescent="0.25">
      <c r="A420" s="132" t="s">
        <v>241</v>
      </c>
      <c r="B420" s="132" t="s">
        <v>6</v>
      </c>
      <c r="C420" s="132">
        <v>27</v>
      </c>
      <c r="D420" s="132" t="str">
        <f t="shared" si="29"/>
        <v>1/2" Round CIM 27</v>
      </c>
      <c r="E420" s="132">
        <v>1</v>
      </c>
      <c r="I420" s="132">
        <v>0</v>
      </c>
    </row>
    <row r="421" spans="1:9" ht="14.25" customHeight="1" x14ac:dyDescent="0.25">
      <c r="A421" s="132" t="s">
        <v>241</v>
      </c>
      <c r="B421" s="132" t="s">
        <v>6</v>
      </c>
      <c r="C421" s="132">
        <v>28</v>
      </c>
      <c r="D421" s="132" t="str">
        <f t="shared" si="29"/>
        <v>1/2" Round CIM 28</v>
      </c>
      <c r="E421" s="132">
        <v>1</v>
      </c>
      <c r="I421" s="132">
        <v>0</v>
      </c>
    </row>
    <row r="422" spans="1:9" ht="14.25" customHeight="1" x14ac:dyDescent="0.25">
      <c r="A422" s="132" t="s">
        <v>241</v>
      </c>
      <c r="B422" s="132" t="s">
        <v>6</v>
      </c>
      <c r="C422" s="132">
        <v>30</v>
      </c>
      <c r="D422" s="132" t="str">
        <f t="shared" si="29"/>
        <v>1/2" Round CIM 30</v>
      </c>
      <c r="E422" s="132">
        <v>1</v>
      </c>
      <c r="I422" s="132">
        <v>0</v>
      </c>
    </row>
    <row r="423" spans="1:9" ht="14.25" customHeight="1" x14ac:dyDescent="0.25">
      <c r="A423" s="132" t="s">
        <v>241</v>
      </c>
      <c r="B423" s="132" t="s">
        <v>6</v>
      </c>
      <c r="C423" s="132">
        <v>35</v>
      </c>
      <c r="D423" s="132" t="str">
        <f t="shared" si="29"/>
        <v>1/2" Round CIM 35</v>
      </c>
      <c r="E423" s="132">
        <v>1</v>
      </c>
      <c r="I423" s="132">
        <v>0</v>
      </c>
    </row>
    <row r="424" spans="1:9" ht="14.25" customHeight="1" x14ac:dyDescent="0.25">
      <c r="A424" s="132" t="s">
        <v>241</v>
      </c>
      <c r="B424" s="132" t="s">
        <v>6</v>
      </c>
      <c r="C424" s="132">
        <v>36</v>
      </c>
      <c r="D424" s="132" t="str">
        <f t="shared" si="29"/>
        <v>1/2" Round CIM 36</v>
      </c>
      <c r="E424" s="132">
        <v>1</v>
      </c>
      <c r="I424" s="132">
        <v>0</v>
      </c>
    </row>
    <row r="425" spans="1:9" ht="14.25" customHeight="1" x14ac:dyDescent="0.25">
      <c r="A425" s="132" t="s">
        <v>241</v>
      </c>
      <c r="B425" s="132" t="s">
        <v>6</v>
      </c>
      <c r="C425" s="132">
        <v>40</v>
      </c>
      <c r="D425" s="132" t="str">
        <f t="shared" si="29"/>
        <v>1/2" Round CIM 40</v>
      </c>
      <c r="E425" s="132">
        <v>1</v>
      </c>
      <c r="I425" s="132">
        <v>0</v>
      </c>
    </row>
    <row r="426" spans="1:9" ht="14.25" customHeight="1" x14ac:dyDescent="0.25">
      <c r="A426" s="132" t="s">
        <v>241</v>
      </c>
      <c r="B426" s="132" t="s">
        <v>6</v>
      </c>
      <c r="C426" s="132">
        <v>45</v>
      </c>
      <c r="D426" s="132" t="str">
        <f t="shared" si="29"/>
        <v>1/2" Round CIM 45</v>
      </c>
      <c r="E426" s="132">
        <v>1</v>
      </c>
      <c r="I426" s="132">
        <v>0</v>
      </c>
    </row>
    <row r="427" spans="1:9" ht="14.25" customHeight="1" x14ac:dyDescent="0.25">
      <c r="A427" s="132" t="s">
        <v>241</v>
      </c>
      <c r="B427" s="132" t="s">
        <v>6</v>
      </c>
      <c r="C427" s="132">
        <v>49</v>
      </c>
      <c r="D427" s="132" t="str">
        <f t="shared" si="29"/>
        <v>1/2" Round CIM 49</v>
      </c>
      <c r="E427" s="132">
        <v>0</v>
      </c>
      <c r="I427" s="132">
        <v>0</v>
      </c>
    </row>
    <row r="428" spans="1:9" ht="14.25" customHeight="1" x14ac:dyDescent="0.25">
      <c r="A428" s="132" t="s">
        <v>241</v>
      </c>
      <c r="B428" s="132" t="s">
        <v>6</v>
      </c>
      <c r="C428" s="132">
        <v>50</v>
      </c>
      <c r="D428" s="132" t="str">
        <f t="shared" si="29"/>
        <v>1/2" Round CIM 50</v>
      </c>
      <c r="E428" s="132">
        <v>1</v>
      </c>
      <c r="I428" s="132">
        <v>0</v>
      </c>
    </row>
    <row r="429" spans="1:9" ht="14.25" customHeight="1" x14ac:dyDescent="0.25">
      <c r="A429" s="132" t="s">
        <v>241</v>
      </c>
      <c r="B429" s="132" t="s">
        <v>6</v>
      </c>
      <c r="C429" s="132">
        <v>63</v>
      </c>
      <c r="D429" s="132" t="str">
        <f t="shared" si="29"/>
        <v>1/2" Round CIM 63</v>
      </c>
      <c r="E429" s="132">
        <v>0</v>
      </c>
      <c r="I429" s="132">
        <v>0</v>
      </c>
    </row>
    <row r="430" spans="1:9" ht="14.25" customHeight="1" x14ac:dyDescent="0.25">
      <c r="A430" s="132" t="s">
        <v>241</v>
      </c>
      <c r="B430" s="132" t="s">
        <v>6</v>
      </c>
      <c r="C430" s="132">
        <v>70</v>
      </c>
      <c r="D430" s="132" t="str">
        <f t="shared" si="29"/>
        <v>1/2" Round CIM 70</v>
      </c>
      <c r="E430" s="132">
        <v>0</v>
      </c>
      <c r="I430" s="132">
        <v>0</v>
      </c>
    </row>
    <row r="431" spans="1:9" ht="14.25" customHeight="1" x14ac:dyDescent="0.25">
      <c r="A431" s="132" t="s">
        <v>241</v>
      </c>
      <c r="B431" s="132" t="s">
        <v>6</v>
      </c>
      <c r="C431" s="132">
        <v>81</v>
      </c>
      <c r="D431" s="132" t="str">
        <f t="shared" si="29"/>
        <v>1/2" Round CIM 81</v>
      </c>
      <c r="E431" s="132">
        <v>0</v>
      </c>
      <c r="I431" s="132">
        <v>0</v>
      </c>
    </row>
    <row r="432" spans="1:9" ht="14.25" customHeight="1" x14ac:dyDescent="0.25">
      <c r="A432" s="132" t="s">
        <v>241</v>
      </c>
      <c r="B432" s="132" t="s">
        <v>6</v>
      </c>
      <c r="C432" s="132">
        <v>90</v>
      </c>
      <c r="D432" s="132" t="str">
        <f t="shared" si="29"/>
        <v>1/2" Round CIM 90</v>
      </c>
      <c r="E432" s="132">
        <v>0</v>
      </c>
      <c r="I432" s="132">
        <v>0</v>
      </c>
    </row>
    <row r="433" spans="1:9" ht="14.25" customHeight="1" x14ac:dyDescent="0.25">
      <c r="A433" s="132" t="s">
        <v>241</v>
      </c>
      <c r="B433" s="132" t="s">
        <v>6</v>
      </c>
      <c r="C433" s="132">
        <v>100</v>
      </c>
      <c r="D433" s="132" t="str">
        <f t="shared" si="29"/>
        <v>1/2" Round CIM 100</v>
      </c>
      <c r="E433" s="132">
        <v>0</v>
      </c>
      <c r="I433" s="132">
        <v>0</v>
      </c>
    </row>
    <row r="434" spans="1:9" ht="14.25" customHeight="1" x14ac:dyDescent="0.25">
      <c r="A434" s="132" t="s">
        <v>241</v>
      </c>
      <c r="B434" s="132" t="s">
        <v>9</v>
      </c>
      <c r="C434" s="132">
        <v>-3</v>
      </c>
      <c r="D434" s="132" t="str">
        <f t="shared" ref="D434:D439" si="30">A434&amp;" "&amp;B434&amp;" "&amp;C434</f>
        <v>1/2" Round NEO -3</v>
      </c>
      <c r="E434" s="132">
        <v>1</v>
      </c>
      <c r="I434" s="132">
        <v>0</v>
      </c>
    </row>
    <row r="435" spans="1:9" ht="14.25" customHeight="1" x14ac:dyDescent="0.25">
      <c r="A435" s="132" t="s">
        <v>241</v>
      </c>
      <c r="B435" s="132" t="s">
        <v>9</v>
      </c>
      <c r="C435" s="132">
        <v>-4</v>
      </c>
      <c r="D435" s="132" t="str">
        <f t="shared" si="30"/>
        <v>1/2" Round NEO -4</v>
      </c>
      <c r="E435" s="132">
        <v>1</v>
      </c>
      <c r="I435" s="132">
        <v>0</v>
      </c>
    </row>
    <row r="436" spans="1:9" ht="14.25" customHeight="1" x14ac:dyDescent="0.25">
      <c r="A436" s="132" t="s">
        <v>241</v>
      </c>
      <c r="B436" s="132" t="s">
        <v>9</v>
      </c>
      <c r="C436" s="132">
        <v>-5</v>
      </c>
      <c r="D436" s="132" t="str">
        <f t="shared" si="30"/>
        <v>1/2" Round NEO -5</v>
      </c>
      <c r="E436" s="132">
        <v>1</v>
      </c>
      <c r="I436" s="132">
        <v>0</v>
      </c>
    </row>
    <row r="437" spans="1:9" ht="14.25" customHeight="1" x14ac:dyDescent="0.25">
      <c r="A437" s="132" t="s">
        <v>241</v>
      </c>
      <c r="B437" s="132" t="s">
        <v>9</v>
      </c>
      <c r="C437" s="132">
        <v>-7</v>
      </c>
      <c r="D437" s="132" t="str">
        <f t="shared" si="30"/>
        <v>1/2" Round NEO -7</v>
      </c>
      <c r="E437" s="132">
        <v>1</v>
      </c>
      <c r="I437" s="132">
        <v>0</v>
      </c>
    </row>
    <row r="438" spans="1:9" ht="14.25" customHeight="1" x14ac:dyDescent="0.25">
      <c r="A438" s="132" t="s">
        <v>241</v>
      </c>
      <c r="B438" s="132" t="s">
        <v>9</v>
      </c>
      <c r="C438" s="132">
        <v>-9</v>
      </c>
      <c r="D438" s="132" t="str">
        <f t="shared" si="30"/>
        <v>1/2" Round NEO -9</v>
      </c>
      <c r="E438" s="132">
        <v>1</v>
      </c>
      <c r="I438" s="132">
        <v>0</v>
      </c>
    </row>
    <row r="439" spans="1:9" ht="14.25" customHeight="1" x14ac:dyDescent="0.25">
      <c r="A439" s="132" t="s">
        <v>241</v>
      </c>
      <c r="B439" s="132" t="s">
        <v>9</v>
      </c>
      <c r="C439" s="132">
        <v>-10</v>
      </c>
      <c r="D439" s="132" t="str">
        <f t="shared" si="30"/>
        <v>1/2" Round NEO -10</v>
      </c>
      <c r="E439" s="132">
        <v>1</v>
      </c>
      <c r="I439" s="132">
        <v>0</v>
      </c>
    </row>
    <row r="440" spans="1:9" ht="14.25" customHeight="1" x14ac:dyDescent="0.25">
      <c r="A440" s="132" t="s">
        <v>241</v>
      </c>
      <c r="B440" s="132" t="s">
        <v>9</v>
      </c>
      <c r="C440" s="132">
        <v>9</v>
      </c>
      <c r="D440" s="132" t="str">
        <f t="shared" ref="D440:D460" si="31">A440&amp;" "&amp;B440&amp;" "&amp;C440</f>
        <v>1/2" Round NEO 9</v>
      </c>
      <c r="E440" s="132">
        <v>4</v>
      </c>
      <c r="I440" s="132">
        <v>0</v>
      </c>
    </row>
    <row r="441" spans="1:9" ht="14.25" customHeight="1" x14ac:dyDescent="0.25">
      <c r="A441" s="132" t="s">
        <v>241</v>
      </c>
      <c r="B441" s="132" t="s">
        <v>9</v>
      </c>
      <c r="C441" s="132">
        <v>12</v>
      </c>
      <c r="D441" s="132" t="str">
        <f t="shared" si="31"/>
        <v>1/2" Round NEO 12</v>
      </c>
      <c r="E441" s="132">
        <v>3</v>
      </c>
      <c r="I441" s="132">
        <v>0</v>
      </c>
    </row>
    <row r="442" spans="1:9" ht="14.25" customHeight="1" x14ac:dyDescent="0.25">
      <c r="A442" s="132" t="s">
        <v>241</v>
      </c>
      <c r="B442" s="132" t="s">
        <v>9</v>
      </c>
      <c r="C442" s="132">
        <v>15</v>
      </c>
      <c r="D442" s="132" t="str">
        <f t="shared" si="31"/>
        <v>1/2" Round NEO 15</v>
      </c>
      <c r="E442" s="132">
        <v>1</v>
      </c>
      <c r="I442" s="132">
        <v>0</v>
      </c>
    </row>
    <row r="443" spans="1:9" ht="14.25" customHeight="1" x14ac:dyDescent="0.25">
      <c r="A443" s="132" t="s">
        <v>241</v>
      </c>
      <c r="B443" s="132" t="s">
        <v>9</v>
      </c>
      <c r="C443" s="132">
        <v>16</v>
      </c>
      <c r="D443" s="132" t="str">
        <f t="shared" si="31"/>
        <v>1/2" Round NEO 16</v>
      </c>
      <c r="E443" s="132">
        <v>1</v>
      </c>
      <c r="I443" s="132">
        <v>0</v>
      </c>
    </row>
    <row r="444" spans="1:9" ht="14.25" customHeight="1" x14ac:dyDescent="0.25">
      <c r="A444" s="132" t="s">
        <v>241</v>
      </c>
      <c r="B444" s="132" t="s">
        <v>9</v>
      </c>
      <c r="C444" s="132">
        <v>20</v>
      </c>
      <c r="D444" s="132" t="str">
        <f t="shared" si="31"/>
        <v>1/2" Round NEO 20</v>
      </c>
      <c r="E444" s="132">
        <v>1</v>
      </c>
      <c r="I444" s="132">
        <v>0</v>
      </c>
    </row>
    <row r="445" spans="1:9" ht="14.25" customHeight="1" x14ac:dyDescent="0.25">
      <c r="A445" s="132" t="s">
        <v>241</v>
      </c>
      <c r="B445" s="132" t="s">
        <v>9</v>
      </c>
      <c r="C445" s="132">
        <v>21</v>
      </c>
      <c r="D445" s="132" t="str">
        <f t="shared" si="31"/>
        <v>1/2" Round NEO 21</v>
      </c>
      <c r="E445" s="132">
        <v>1</v>
      </c>
      <c r="I445" s="132">
        <v>0</v>
      </c>
    </row>
    <row r="446" spans="1:9" ht="14.25" customHeight="1" x14ac:dyDescent="0.25">
      <c r="A446" s="132" t="s">
        <v>241</v>
      </c>
      <c r="B446" s="132" t="s">
        <v>9</v>
      </c>
      <c r="C446" s="132">
        <v>25</v>
      </c>
      <c r="D446" s="132" t="str">
        <f t="shared" si="31"/>
        <v>1/2" Round NEO 25</v>
      </c>
      <c r="E446" s="132">
        <v>1</v>
      </c>
      <c r="I446" s="132">
        <v>0</v>
      </c>
    </row>
    <row r="447" spans="1:9" ht="14.25" customHeight="1" x14ac:dyDescent="0.25">
      <c r="A447" s="132" t="s">
        <v>241</v>
      </c>
      <c r="B447" s="132" t="s">
        <v>9</v>
      </c>
      <c r="C447" s="132">
        <v>27</v>
      </c>
      <c r="D447" s="132" t="str">
        <f t="shared" si="31"/>
        <v>1/2" Round NEO 27</v>
      </c>
      <c r="E447" s="132">
        <v>1</v>
      </c>
      <c r="I447" s="132">
        <v>0</v>
      </c>
    </row>
    <row r="448" spans="1:9" ht="14.25" customHeight="1" x14ac:dyDescent="0.25">
      <c r="A448" s="132" t="s">
        <v>241</v>
      </c>
      <c r="B448" s="132" t="s">
        <v>9</v>
      </c>
      <c r="C448" s="132">
        <v>28</v>
      </c>
      <c r="D448" s="132" t="str">
        <f t="shared" si="31"/>
        <v>1/2" Round NEO 28</v>
      </c>
      <c r="E448" s="132">
        <v>1</v>
      </c>
      <c r="I448" s="132">
        <v>0</v>
      </c>
    </row>
    <row r="449" spans="1:9" ht="14.25" customHeight="1" x14ac:dyDescent="0.25">
      <c r="A449" s="132" t="s">
        <v>241</v>
      </c>
      <c r="B449" s="132" t="s">
        <v>9</v>
      </c>
      <c r="C449" s="132">
        <v>30</v>
      </c>
      <c r="D449" s="132" t="str">
        <f t="shared" si="31"/>
        <v>1/2" Round NEO 30</v>
      </c>
      <c r="E449" s="132">
        <v>1</v>
      </c>
      <c r="I449" s="132">
        <v>0</v>
      </c>
    </row>
    <row r="450" spans="1:9" ht="14.25" customHeight="1" x14ac:dyDescent="0.25">
      <c r="A450" s="132" t="s">
        <v>241</v>
      </c>
      <c r="B450" s="132" t="s">
        <v>9</v>
      </c>
      <c r="C450" s="132">
        <v>35</v>
      </c>
      <c r="D450" s="132" t="str">
        <f t="shared" si="31"/>
        <v>1/2" Round NEO 35</v>
      </c>
      <c r="E450" s="132">
        <v>1</v>
      </c>
      <c r="I450" s="132">
        <v>0</v>
      </c>
    </row>
    <row r="451" spans="1:9" ht="14.25" customHeight="1" x14ac:dyDescent="0.25">
      <c r="A451" s="132" t="s">
        <v>241</v>
      </c>
      <c r="B451" s="132" t="s">
        <v>9</v>
      </c>
      <c r="C451" s="132">
        <v>36</v>
      </c>
      <c r="D451" s="132" t="str">
        <f t="shared" si="31"/>
        <v>1/2" Round NEO 36</v>
      </c>
      <c r="E451" s="132">
        <v>1</v>
      </c>
      <c r="I451" s="132">
        <v>0</v>
      </c>
    </row>
    <row r="452" spans="1:9" ht="14.25" customHeight="1" x14ac:dyDescent="0.25">
      <c r="A452" s="132" t="s">
        <v>241</v>
      </c>
      <c r="B452" s="132" t="s">
        <v>9</v>
      </c>
      <c r="C452" s="132">
        <v>40</v>
      </c>
      <c r="D452" s="132" t="str">
        <f t="shared" si="31"/>
        <v>1/2" Round NEO 40</v>
      </c>
      <c r="E452" s="132">
        <v>0</v>
      </c>
      <c r="I452" s="132">
        <v>0</v>
      </c>
    </row>
    <row r="453" spans="1:9" ht="14.25" customHeight="1" x14ac:dyDescent="0.25">
      <c r="A453" s="132" t="s">
        <v>241</v>
      </c>
      <c r="B453" s="132" t="s">
        <v>9</v>
      </c>
      <c r="C453" s="132">
        <v>45</v>
      </c>
      <c r="D453" s="132" t="str">
        <f t="shared" si="31"/>
        <v>1/2" Round NEO 45</v>
      </c>
      <c r="E453" s="132">
        <v>0</v>
      </c>
      <c r="I453" s="132">
        <v>0</v>
      </c>
    </row>
    <row r="454" spans="1:9" ht="14.25" customHeight="1" x14ac:dyDescent="0.25">
      <c r="A454" s="132" t="s">
        <v>241</v>
      </c>
      <c r="B454" s="132" t="s">
        <v>9</v>
      </c>
      <c r="C454" s="132">
        <v>49</v>
      </c>
      <c r="D454" s="132" t="str">
        <f t="shared" si="31"/>
        <v>1/2" Round NEO 49</v>
      </c>
      <c r="E454" s="132">
        <v>0</v>
      </c>
      <c r="I454" s="132">
        <v>0</v>
      </c>
    </row>
    <row r="455" spans="1:9" ht="14.25" customHeight="1" x14ac:dyDescent="0.25">
      <c r="A455" s="132" t="s">
        <v>241</v>
      </c>
      <c r="B455" s="132" t="s">
        <v>9</v>
      </c>
      <c r="C455" s="132">
        <v>50</v>
      </c>
      <c r="D455" s="132" t="str">
        <f t="shared" si="31"/>
        <v>1/2" Round NEO 50</v>
      </c>
      <c r="E455" s="132">
        <v>0</v>
      </c>
      <c r="I455" s="132">
        <v>0</v>
      </c>
    </row>
    <row r="456" spans="1:9" ht="14.25" customHeight="1" x14ac:dyDescent="0.25">
      <c r="A456" s="132" t="s">
        <v>241</v>
      </c>
      <c r="B456" s="132" t="s">
        <v>9</v>
      </c>
      <c r="C456" s="132">
        <v>63</v>
      </c>
      <c r="D456" s="132" t="str">
        <f t="shared" si="31"/>
        <v>1/2" Round NEO 63</v>
      </c>
      <c r="E456" s="132">
        <v>0</v>
      </c>
      <c r="I456" s="132">
        <v>0</v>
      </c>
    </row>
    <row r="457" spans="1:9" ht="14.25" customHeight="1" x14ac:dyDescent="0.25">
      <c r="A457" s="132" t="s">
        <v>241</v>
      </c>
      <c r="B457" s="132" t="s">
        <v>9</v>
      </c>
      <c r="C457" s="132">
        <v>70</v>
      </c>
      <c r="D457" s="132" t="str">
        <f t="shared" si="31"/>
        <v>1/2" Round NEO 70</v>
      </c>
      <c r="E457" s="132">
        <v>0</v>
      </c>
      <c r="I457" s="132">
        <v>0</v>
      </c>
    </row>
    <row r="458" spans="1:9" ht="14.25" customHeight="1" x14ac:dyDescent="0.25">
      <c r="A458" s="132" t="s">
        <v>241</v>
      </c>
      <c r="B458" s="132" t="s">
        <v>9</v>
      </c>
      <c r="C458" s="132">
        <v>81</v>
      </c>
      <c r="D458" s="132" t="str">
        <f t="shared" si="31"/>
        <v>1/2" Round NEO 81</v>
      </c>
      <c r="E458" s="132">
        <v>0</v>
      </c>
      <c r="I458" s="132">
        <v>0</v>
      </c>
    </row>
    <row r="459" spans="1:9" ht="14.25" customHeight="1" x14ac:dyDescent="0.25">
      <c r="A459" s="132" t="s">
        <v>241</v>
      </c>
      <c r="B459" s="132" t="s">
        <v>9</v>
      </c>
      <c r="C459" s="132">
        <v>90</v>
      </c>
      <c r="D459" s="132" t="str">
        <f t="shared" si="31"/>
        <v>1/2" Round NEO 90</v>
      </c>
      <c r="E459" s="132">
        <v>0</v>
      </c>
      <c r="I459" s="132">
        <v>0</v>
      </c>
    </row>
    <row r="460" spans="1:9" ht="14.25" customHeight="1" x14ac:dyDescent="0.25">
      <c r="A460" s="132" t="s">
        <v>241</v>
      </c>
      <c r="B460" s="132" t="s">
        <v>9</v>
      </c>
      <c r="C460" s="132">
        <v>100</v>
      </c>
      <c r="D460" s="132" t="str">
        <f t="shared" si="31"/>
        <v>1/2" Round NEO 100</v>
      </c>
      <c r="E460" s="132">
        <v>0</v>
      </c>
      <c r="I460" s="132">
        <v>0</v>
      </c>
    </row>
    <row r="461" spans="1:9" ht="14.25" customHeight="1" x14ac:dyDescent="0.25">
      <c r="A461" s="132" t="s">
        <v>241</v>
      </c>
      <c r="B461" s="132" t="s">
        <v>334</v>
      </c>
      <c r="C461" s="132">
        <v>-3</v>
      </c>
      <c r="D461" s="132" t="str">
        <f t="shared" ref="D461:D466" si="32">A461&amp;" "&amp;B461&amp;" "&amp;C461</f>
        <v>1/2" Round Falcon 500 -3</v>
      </c>
      <c r="E461" s="132">
        <v>1</v>
      </c>
      <c r="I461" s="132">
        <v>0</v>
      </c>
    </row>
    <row r="462" spans="1:9" ht="14.25" customHeight="1" x14ac:dyDescent="0.25">
      <c r="A462" s="132" t="s">
        <v>241</v>
      </c>
      <c r="B462" s="132" t="s">
        <v>334</v>
      </c>
      <c r="C462" s="132">
        <v>-4</v>
      </c>
      <c r="D462" s="132" t="str">
        <f t="shared" si="32"/>
        <v>1/2" Round Falcon 500 -4</v>
      </c>
      <c r="E462" s="132">
        <v>1</v>
      </c>
      <c r="I462" s="132">
        <v>0</v>
      </c>
    </row>
    <row r="463" spans="1:9" ht="14.25" customHeight="1" x14ac:dyDescent="0.25">
      <c r="A463" s="132" t="s">
        <v>241</v>
      </c>
      <c r="B463" s="132" t="s">
        <v>334</v>
      </c>
      <c r="C463" s="132">
        <v>-5</v>
      </c>
      <c r="D463" s="132" t="str">
        <f t="shared" si="32"/>
        <v>1/2" Round Falcon 500 -5</v>
      </c>
      <c r="E463" s="132">
        <v>1</v>
      </c>
      <c r="I463" s="132">
        <v>0</v>
      </c>
    </row>
    <row r="464" spans="1:9" ht="14.25" customHeight="1" x14ac:dyDescent="0.25">
      <c r="A464" s="132" t="s">
        <v>241</v>
      </c>
      <c r="B464" s="132" t="s">
        <v>334</v>
      </c>
      <c r="C464" s="132">
        <v>-7</v>
      </c>
      <c r="D464" s="132" t="str">
        <f t="shared" si="32"/>
        <v>1/2" Round Falcon 500 -7</v>
      </c>
      <c r="E464" s="132">
        <v>1</v>
      </c>
      <c r="I464" s="132">
        <v>0</v>
      </c>
    </row>
    <row r="465" spans="1:9" ht="14.25" customHeight="1" x14ac:dyDescent="0.25">
      <c r="A465" s="132" t="s">
        <v>241</v>
      </c>
      <c r="B465" s="132" t="s">
        <v>334</v>
      </c>
      <c r="C465" s="132">
        <v>-9</v>
      </c>
      <c r="D465" s="132" t="str">
        <f t="shared" si="32"/>
        <v>1/2" Round Falcon 500 -9</v>
      </c>
      <c r="E465" s="132">
        <v>1</v>
      </c>
      <c r="I465" s="132">
        <v>0</v>
      </c>
    </row>
    <row r="466" spans="1:9" ht="14.25" customHeight="1" x14ac:dyDescent="0.25">
      <c r="A466" s="132" t="s">
        <v>241</v>
      </c>
      <c r="B466" s="132" t="s">
        <v>334</v>
      </c>
      <c r="C466" s="132">
        <v>-10</v>
      </c>
      <c r="D466" s="132" t="str">
        <f t="shared" si="32"/>
        <v>1/2" Round Falcon 500 -10</v>
      </c>
      <c r="E466" s="132">
        <v>1</v>
      </c>
      <c r="I466" s="132">
        <v>0</v>
      </c>
    </row>
    <row r="467" spans="1:9" ht="14.25" customHeight="1" x14ac:dyDescent="0.25">
      <c r="A467" s="132" t="s">
        <v>241</v>
      </c>
      <c r="B467" s="132" t="s">
        <v>334</v>
      </c>
      <c r="C467" s="132">
        <v>9</v>
      </c>
      <c r="D467" s="132" t="str">
        <f t="shared" ref="D467:D487" si="33">A467&amp;" "&amp;B467&amp;" "&amp;C467</f>
        <v>1/2" Round Falcon 500 9</v>
      </c>
      <c r="E467" s="132">
        <v>3</v>
      </c>
      <c r="I467" s="132">
        <v>0</v>
      </c>
    </row>
    <row r="468" spans="1:9" ht="14.25" customHeight="1" x14ac:dyDescent="0.25">
      <c r="A468" s="132" t="s">
        <v>241</v>
      </c>
      <c r="B468" s="132" t="s">
        <v>334</v>
      </c>
      <c r="C468" s="132">
        <v>12</v>
      </c>
      <c r="D468" s="132" t="str">
        <f t="shared" si="33"/>
        <v>1/2" Round Falcon 500 12</v>
      </c>
      <c r="E468" s="132">
        <v>1</v>
      </c>
      <c r="I468" s="132">
        <v>0</v>
      </c>
    </row>
    <row r="469" spans="1:9" ht="14.25" customHeight="1" x14ac:dyDescent="0.25">
      <c r="A469" s="132" t="s">
        <v>241</v>
      </c>
      <c r="B469" s="132" t="s">
        <v>334</v>
      </c>
      <c r="C469" s="132">
        <v>15</v>
      </c>
      <c r="D469" s="132" t="str">
        <f t="shared" si="33"/>
        <v>1/2" Round Falcon 500 15</v>
      </c>
      <c r="E469" s="132">
        <v>1</v>
      </c>
      <c r="I469" s="132">
        <v>0</v>
      </c>
    </row>
    <row r="470" spans="1:9" ht="14.25" customHeight="1" x14ac:dyDescent="0.25">
      <c r="A470" s="132" t="s">
        <v>241</v>
      </c>
      <c r="B470" s="132" t="s">
        <v>334</v>
      </c>
      <c r="C470" s="132">
        <v>16</v>
      </c>
      <c r="D470" s="132" t="str">
        <f t="shared" si="33"/>
        <v>1/2" Round Falcon 500 16</v>
      </c>
      <c r="E470" s="132">
        <v>1</v>
      </c>
      <c r="I470" s="132">
        <v>0</v>
      </c>
    </row>
    <row r="471" spans="1:9" ht="14.25" customHeight="1" x14ac:dyDescent="0.25">
      <c r="A471" s="132" t="s">
        <v>241</v>
      </c>
      <c r="B471" s="132" t="s">
        <v>334</v>
      </c>
      <c r="C471" s="132">
        <v>20</v>
      </c>
      <c r="D471" s="132" t="str">
        <f t="shared" si="33"/>
        <v>1/2" Round Falcon 500 20</v>
      </c>
      <c r="E471" s="132">
        <v>1</v>
      </c>
      <c r="I471" s="132">
        <v>0</v>
      </c>
    </row>
    <row r="472" spans="1:9" ht="14.25" customHeight="1" x14ac:dyDescent="0.25">
      <c r="A472" s="132" t="s">
        <v>241</v>
      </c>
      <c r="B472" s="132" t="s">
        <v>334</v>
      </c>
      <c r="C472" s="132">
        <v>21</v>
      </c>
      <c r="D472" s="132" t="str">
        <f t="shared" si="33"/>
        <v>1/2" Round Falcon 500 21</v>
      </c>
      <c r="E472" s="132">
        <v>1</v>
      </c>
      <c r="I472" s="132">
        <v>0</v>
      </c>
    </row>
    <row r="473" spans="1:9" ht="14.25" customHeight="1" x14ac:dyDescent="0.25">
      <c r="A473" s="132" t="s">
        <v>241</v>
      </c>
      <c r="B473" s="132" t="s">
        <v>334</v>
      </c>
      <c r="C473" s="132">
        <v>25</v>
      </c>
      <c r="D473" s="132" t="str">
        <f t="shared" si="33"/>
        <v>1/2" Round Falcon 500 25</v>
      </c>
      <c r="E473" s="132">
        <v>1</v>
      </c>
      <c r="I473" s="132">
        <v>0</v>
      </c>
    </row>
    <row r="474" spans="1:9" ht="14.25" customHeight="1" x14ac:dyDescent="0.25">
      <c r="A474" s="132" t="s">
        <v>241</v>
      </c>
      <c r="B474" s="132" t="s">
        <v>334</v>
      </c>
      <c r="C474" s="132">
        <v>27</v>
      </c>
      <c r="D474" s="132" t="str">
        <f t="shared" si="33"/>
        <v>1/2" Round Falcon 500 27</v>
      </c>
      <c r="E474" s="132">
        <v>1</v>
      </c>
      <c r="I474" s="132">
        <v>0</v>
      </c>
    </row>
    <row r="475" spans="1:9" ht="14.25" customHeight="1" x14ac:dyDescent="0.25">
      <c r="A475" s="132" t="s">
        <v>241</v>
      </c>
      <c r="B475" s="132" t="s">
        <v>334</v>
      </c>
      <c r="C475" s="132">
        <v>28</v>
      </c>
      <c r="D475" s="132" t="str">
        <f t="shared" si="33"/>
        <v>1/2" Round Falcon 500 28</v>
      </c>
      <c r="E475" s="132">
        <v>0</v>
      </c>
      <c r="I475" s="132">
        <v>0</v>
      </c>
    </row>
    <row r="476" spans="1:9" ht="14.25" customHeight="1" x14ac:dyDescent="0.25">
      <c r="A476" s="132" t="s">
        <v>241</v>
      </c>
      <c r="B476" s="132" t="s">
        <v>334</v>
      </c>
      <c r="C476" s="132">
        <v>30</v>
      </c>
      <c r="D476" s="132" t="str">
        <f t="shared" si="33"/>
        <v>1/2" Round Falcon 500 30</v>
      </c>
      <c r="E476" s="132">
        <v>0</v>
      </c>
      <c r="I476" s="132">
        <v>0</v>
      </c>
    </row>
    <row r="477" spans="1:9" ht="14.25" customHeight="1" x14ac:dyDescent="0.25">
      <c r="A477" s="132" t="s">
        <v>241</v>
      </c>
      <c r="B477" s="132" t="s">
        <v>334</v>
      </c>
      <c r="C477" s="132">
        <v>35</v>
      </c>
      <c r="D477" s="132" t="str">
        <f t="shared" si="33"/>
        <v>1/2" Round Falcon 500 35</v>
      </c>
      <c r="E477" s="132">
        <v>0</v>
      </c>
      <c r="I477" s="132">
        <v>0</v>
      </c>
    </row>
    <row r="478" spans="1:9" ht="14.25" customHeight="1" x14ac:dyDescent="0.25">
      <c r="A478" s="132" t="s">
        <v>241</v>
      </c>
      <c r="B478" s="132" t="s">
        <v>334</v>
      </c>
      <c r="C478" s="132">
        <v>36</v>
      </c>
      <c r="D478" s="132" t="str">
        <f t="shared" si="33"/>
        <v>1/2" Round Falcon 500 36</v>
      </c>
      <c r="E478" s="132">
        <v>0</v>
      </c>
      <c r="I478" s="132">
        <v>0</v>
      </c>
    </row>
    <row r="479" spans="1:9" ht="14.25" customHeight="1" x14ac:dyDescent="0.25">
      <c r="A479" s="132" t="s">
        <v>241</v>
      </c>
      <c r="B479" s="132" t="s">
        <v>334</v>
      </c>
      <c r="C479" s="132">
        <v>40</v>
      </c>
      <c r="D479" s="132" t="str">
        <f t="shared" si="33"/>
        <v>1/2" Round Falcon 500 40</v>
      </c>
      <c r="E479" s="132">
        <v>0</v>
      </c>
      <c r="I479" s="132">
        <v>0</v>
      </c>
    </row>
    <row r="480" spans="1:9" ht="14.25" customHeight="1" x14ac:dyDescent="0.25">
      <c r="A480" s="132" t="s">
        <v>241</v>
      </c>
      <c r="B480" s="132" t="s">
        <v>334</v>
      </c>
      <c r="C480" s="132">
        <v>45</v>
      </c>
      <c r="D480" s="132" t="str">
        <f t="shared" si="33"/>
        <v>1/2" Round Falcon 500 45</v>
      </c>
      <c r="E480" s="132">
        <v>0</v>
      </c>
      <c r="I480" s="132">
        <v>0</v>
      </c>
    </row>
    <row r="481" spans="1:9" ht="14.25" customHeight="1" x14ac:dyDescent="0.25">
      <c r="A481" s="132" t="s">
        <v>241</v>
      </c>
      <c r="B481" s="132" t="s">
        <v>334</v>
      </c>
      <c r="C481" s="132">
        <v>49</v>
      </c>
      <c r="D481" s="132" t="str">
        <f t="shared" si="33"/>
        <v>1/2" Round Falcon 500 49</v>
      </c>
      <c r="E481" s="132">
        <v>0</v>
      </c>
      <c r="I481" s="132">
        <v>0</v>
      </c>
    </row>
    <row r="482" spans="1:9" ht="14.25" customHeight="1" x14ac:dyDescent="0.25">
      <c r="A482" s="132" t="s">
        <v>241</v>
      </c>
      <c r="B482" s="132" t="s">
        <v>334</v>
      </c>
      <c r="C482" s="132">
        <v>50</v>
      </c>
      <c r="D482" s="132" t="str">
        <f t="shared" si="33"/>
        <v>1/2" Round Falcon 500 50</v>
      </c>
      <c r="E482" s="132">
        <v>0</v>
      </c>
      <c r="I482" s="132">
        <v>0</v>
      </c>
    </row>
    <row r="483" spans="1:9" ht="14.25" customHeight="1" x14ac:dyDescent="0.25">
      <c r="A483" s="132" t="s">
        <v>241</v>
      </c>
      <c r="B483" s="132" t="s">
        <v>334</v>
      </c>
      <c r="C483" s="132">
        <v>63</v>
      </c>
      <c r="D483" s="132" t="str">
        <f t="shared" si="33"/>
        <v>1/2" Round Falcon 500 63</v>
      </c>
      <c r="E483" s="132">
        <v>0</v>
      </c>
      <c r="I483" s="132">
        <v>0</v>
      </c>
    </row>
    <row r="484" spans="1:9" ht="14.25" customHeight="1" x14ac:dyDescent="0.25">
      <c r="A484" s="132" t="s">
        <v>241</v>
      </c>
      <c r="B484" s="132" t="s">
        <v>334</v>
      </c>
      <c r="C484" s="132">
        <v>70</v>
      </c>
      <c r="D484" s="132" t="str">
        <f t="shared" si="33"/>
        <v>1/2" Round Falcon 500 70</v>
      </c>
      <c r="E484" s="132">
        <v>0</v>
      </c>
      <c r="I484" s="132">
        <v>0</v>
      </c>
    </row>
    <row r="485" spans="1:9" ht="14.25" customHeight="1" x14ac:dyDescent="0.25">
      <c r="A485" s="132" t="s">
        <v>241</v>
      </c>
      <c r="B485" s="132" t="s">
        <v>334</v>
      </c>
      <c r="C485" s="132">
        <v>81</v>
      </c>
      <c r="D485" s="132" t="str">
        <f t="shared" si="33"/>
        <v>1/2" Round Falcon 500 81</v>
      </c>
      <c r="E485" s="132">
        <v>0</v>
      </c>
      <c r="I485" s="132">
        <v>0</v>
      </c>
    </row>
    <row r="486" spans="1:9" ht="14.25" customHeight="1" x14ac:dyDescent="0.25">
      <c r="A486" s="132" t="s">
        <v>241</v>
      </c>
      <c r="B486" s="132" t="s">
        <v>334</v>
      </c>
      <c r="C486" s="132">
        <v>90</v>
      </c>
      <c r="D486" s="132" t="str">
        <f t="shared" si="33"/>
        <v>1/2" Round Falcon 500 90</v>
      </c>
      <c r="E486" s="132">
        <v>0</v>
      </c>
      <c r="I486" s="132">
        <v>0</v>
      </c>
    </row>
    <row r="487" spans="1:9" ht="14.25" customHeight="1" x14ac:dyDescent="0.25">
      <c r="A487" s="132" t="s">
        <v>241</v>
      </c>
      <c r="B487" s="132" t="s">
        <v>334</v>
      </c>
      <c r="C487" s="132">
        <v>100</v>
      </c>
      <c r="D487" s="132" t="str">
        <f t="shared" si="33"/>
        <v>1/2" Round Falcon 500 100</v>
      </c>
      <c r="E487" s="132">
        <v>0</v>
      </c>
      <c r="I487" s="132">
        <v>0</v>
      </c>
    </row>
    <row r="488" spans="1:9" ht="14.25" customHeight="1" x14ac:dyDescent="0.25">
      <c r="A488" s="132" t="s">
        <v>244</v>
      </c>
      <c r="B488" s="132" t="s">
        <v>11</v>
      </c>
      <c r="C488" s="132">
        <v>-3</v>
      </c>
      <c r="D488" s="132" t="str">
        <f t="shared" ref="D488:D493" si="34">A488&amp;" "&amp;B488&amp;" "&amp;C488</f>
        <v>3/8" Hex AM 9015 -3</v>
      </c>
      <c r="E488" s="132">
        <v>1</v>
      </c>
      <c r="I488" s="132">
        <v>1</v>
      </c>
    </row>
    <row r="489" spans="1:9" ht="14.25" customHeight="1" x14ac:dyDescent="0.25">
      <c r="A489" s="132" t="s">
        <v>244</v>
      </c>
      <c r="B489" s="132" t="s">
        <v>11</v>
      </c>
      <c r="C489" s="132">
        <v>-4</v>
      </c>
      <c r="D489" s="132" t="str">
        <f t="shared" si="34"/>
        <v>3/8" Hex AM 9015 -4</v>
      </c>
      <c r="E489" s="132">
        <v>1</v>
      </c>
      <c r="I489" s="132">
        <v>1</v>
      </c>
    </row>
    <row r="490" spans="1:9" ht="14.25" customHeight="1" x14ac:dyDescent="0.25">
      <c r="A490" s="132" t="s">
        <v>244</v>
      </c>
      <c r="B490" s="132" t="s">
        <v>11</v>
      </c>
      <c r="C490" s="132">
        <v>-5</v>
      </c>
      <c r="D490" s="132" t="str">
        <f t="shared" si="34"/>
        <v>3/8" Hex AM 9015 -5</v>
      </c>
      <c r="E490" s="132">
        <v>1</v>
      </c>
      <c r="I490" s="132">
        <v>1</v>
      </c>
    </row>
    <row r="491" spans="1:9" ht="14.25" customHeight="1" x14ac:dyDescent="0.25">
      <c r="A491" s="132" t="s">
        <v>244</v>
      </c>
      <c r="B491" s="132" t="s">
        <v>11</v>
      </c>
      <c r="C491" s="132">
        <v>-7</v>
      </c>
      <c r="D491" s="132" t="str">
        <f t="shared" si="34"/>
        <v>3/8" Hex AM 9015 -7</v>
      </c>
      <c r="E491" s="132">
        <v>1</v>
      </c>
      <c r="I491" s="132">
        <v>1</v>
      </c>
    </row>
    <row r="492" spans="1:9" ht="14.25" customHeight="1" x14ac:dyDescent="0.25">
      <c r="A492" s="132" t="s">
        <v>244</v>
      </c>
      <c r="B492" s="132" t="s">
        <v>11</v>
      </c>
      <c r="C492" s="132">
        <v>-9</v>
      </c>
      <c r="D492" s="132" t="str">
        <f t="shared" si="34"/>
        <v>3/8" Hex AM 9015 -9</v>
      </c>
      <c r="E492" s="132">
        <v>1</v>
      </c>
      <c r="I492" s="132">
        <v>1</v>
      </c>
    </row>
    <row r="493" spans="1:9" ht="14.25" customHeight="1" x14ac:dyDescent="0.25">
      <c r="A493" s="132" t="s">
        <v>244</v>
      </c>
      <c r="B493" s="132" t="s">
        <v>11</v>
      </c>
      <c r="C493" s="132">
        <v>-10</v>
      </c>
      <c r="D493" s="132" t="str">
        <f t="shared" si="34"/>
        <v>3/8" Hex AM 9015 -10</v>
      </c>
      <c r="E493" s="132">
        <v>1</v>
      </c>
      <c r="I493" s="132">
        <v>1</v>
      </c>
    </row>
    <row r="494" spans="1:9" ht="14.25" customHeight="1" x14ac:dyDescent="0.25">
      <c r="A494" s="132" t="s">
        <v>244</v>
      </c>
      <c r="B494" s="132" t="s">
        <v>11</v>
      </c>
      <c r="C494" s="132">
        <v>9</v>
      </c>
      <c r="D494" s="132" t="str">
        <f t="shared" ref="D494:D514" si="35">A494&amp;" "&amp;B494&amp;" "&amp;C494</f>
        <v>3/8" Hex AM 9015 9</v>
      </c>
      <c r="E494" s="132">
        <v>10</v>
      </c>
      <c r="I494" s="132">
        <v>10</v>
      </c>
    </row>
    <row r="495" spans="1:9" ht="14.25" customHeight="1" x14ac:dyDescent="0.25">
      <c r="A495" s="132" t="s">
        <v>244</v>
      </c>
      <c r="B495" s="132" t="s">
        <v>11</v>
      </c>
      <c r="C495" s="132">
        <v>12</v>
      </c>
      <c r="D495" s="132" t="str">
        <f t="shared" si="35"/>
        <v>3/8" Hex AM 9015 12</v>
      </c>
      <c r="E495" s="132">
        <v>10</v>
      </c>
      <c r="I495" s="132">
        <v>7</v>
      </c>
    </row>
    <row r="496" spans="1:9" ht="14.25" customHeight="1" x14ac:dyDescent="0.25">
      <c r="A496" s="132" t="s">
        <v>244</v>
      </c>
      <c r="B496" s="132" t="s">
        <v>11</v>
      </c>
      <c r="C496" s="132">
        <v>15</v>
      </c>
      <c r="D496" s="132" t="str">
        <f t="shared" si="35"/>
        <v>3/8" Hex AM 9015 15</v>
      </c>
      <c r="E496" s="132">
        <v>7</v>
      </c>
      <c r="I496" s="132">
        <v>5</v>
      </c>
    </row>
    <row r="497" spans="1:9" ht="14.25" customHeight="1" x14ac:dyDescent="0.25">
      <c r="A497" s="132" t="s">
        <v>244</v>
      </c>
      <c r="B497" s="132" t="s">
        <v>11</v>
      </c>
      <c r="C497" s="132">
        <v>16</v>
      </c>
      <c r="D497" s="132" t="str">
        <f t="shared" si="35"/>
        <v>3/8" Hex AM 9015 16</v>
      </c>
      <c r="E497" s="132">
        <v>7</v>
      </c>
      <c r="I497" s="132">
        <v>5</v>
      </c>
    </row>
    <row r="498" spans="1:9" ht="14.25" customHeight="1" x14ac:dyDescent="0.25">
      <c r="A498" s="132" t="s">
        <v>244</v>
      </c>
      <c r="B498" s="132" t="s">
        <v>11</v>
      </c>
      <c r="C498" s="132">
        <v>20</v>
      </c>
      <c r="D498" s="132" t="str">
        <f t="shared" si="35"/>
        <v>3/8" Hex AM 9015 20</v>
      </c>
      <c r="E498" s="132">
        <v>5</v>
      </c>
      <c r="I498" s="132">
        <v>4</v>
      </c>
    </row>
    <row r="499" spans="1:9" ht="14.25" customHeight="1" x14ac:dyDescent="0.25">
      <c r="A499" s="132" t="s">
        <v>244</v>
      </c>
      <c r="B499" s="132" t="s">
        <v>11</v>
      </c>
      <c r="C499" s="132">
        <v>21</v>
      </c>
      <c r="D499" s="132" t="str">
        <f t="shared" si="35"/>
        <v>3/8" Hex AM 9015 21</v>
      </c>
      <c r="E499" s="132">
        <v>5</v>
      </c>
      <c r="I499" s="132">
        <v>4</v>
      </c>
    </row>
    <row r="500" spans="1:9" ht="14.25" customHeight="1" x14ac:dyDescent="0.25">
      <c r="A500" s="132" t="s">
        <v>244</v>
      </c>
      <c r="B500" s="132" t="s">
        <v>11</v>
      </c>
      <c r="C500" s="132">
        <v>25</v>
      </c>
      <c r="D500" s="132" t="str">
        <f t="shared" si="35"/>
        <v>3/8" Hex AM 9015 25</v>
      </c>
      <c r="E500" s="132">
        <v>5</v>
      </c>
      <c r="I500" s="132">
        <v>3</v>
      </c>
    </row>
    <row r="501" spans="1:9" ht="14.25" customHeight="1" x14ac:dyDescent="0.25">
      <c r="A501" s="132" t="s">
        <v>244</v>
      </c>
      <c r="B501" s="132" t="s">
        <v>11</v>
      </c>
      <c r="C501" s="132">
        <v>27</v>
      </c>
      <c r="D501" s="132" t="str">
        <f t="shared" si="35"/>
        <v>3/8" Hex AM 9015 27</v>
      </c>
      <c r="E501" s="132">
        <v>4</v>
      </c>
      <c r="I501" s="132">
        <v>3</v>
      </c>
    </row>
    <row r="502" spans="1:9" ht="14.25" customHeight="1" x14ac:dyDescent="0.25">
      <c r="A502" s="132" t="s">
        <v>244</v>
      </c>
      <c r="B502" s="132" t="s">
        <v>11</v>
      </c>
      <c r="C502" s="132">
        <v>28</v>
      </c>
      <c r="D502" s="132" t="str">
        <f t="shared" si="35"/>
        <v>3/8" Hex AM 9015 28</v>
      </c>
      <c r="E502" s="132">
        <v>4</v>
      </c>
      <c r="I502" s="132">
        <v>3</v>
      </c>
    </row>
    <row r="503" spans="1:9" ht="14.25" customHeight="1" x14ac:dyDescent="0.25">
      <c r="A503" s="132" t="s">
        <v>244</v>
      </c>
      <c r="B503" s="132" t="s">
        <v>11</v>
      </c>
      <c r="C503" s="132">
        <v>30</v>
      </c>
      <c r="D503" s="132" t="str">
        <f t="shared" si="35"/>
        <v>3/8" Hex AM 9015 30</v>
      </c>
      <c r="E503" s="132">
        <v>4</v>
      </c>
      <c r="I503" s="132">
        <v>3</v>
      </c>
    </row>
    <row r="504" spans="1:9" ht="14.25" customHeight="1" x14ac:dyDescent="0.25">
      <c r="A504" s="132" t="s">
        <v>244</v>
      </c>
      <c r="B504" s="132" t="s">
        <v>11</v>
      </c>
      <c r="C504" s="132">
        <v>35</v>
      </c>
      <c r="D504" s="132" t="str">
        <f t="shared" si="35"/>
        <v>3/8" Hex AM 9015 35</v>
      </c>
      <c r="E504" s="132">
        <v>3</v>
      </c>
      <c r="I504" s="132">
        <v>1</v>
      </c>
    </row>
    <row r="505" spans="1:9" ht="14.25" customHeight="1" x14ac:dyDescent="0.25">
      <c r="A505" s="132" t="s">
        <v>244</v>
      </c>
      <c r="B505" s="132" t="s">
        <v>11</v>
      </c>
      <c r="C505" s="132">
        <v>36</v>
      </c>
      <c r="D505" s="132" t="str">
        <f t="shared" si="35"/>
        <v>3/8" Hex AM 9015 36</v>
      </c>
      <c r="E505" s="132">
        <v>3</v>
      </c>
      <c r="I505" s="132">
        <v>1</v>
      </c>
    </row>
    <row r="506" spans="1:9" ht="14.25" customHeight="1" x14ac:dyDescent="0.25">
      <c r="A506" s="132" t="s">
        <v>244</v>
      </c>
      <c r="B506" s="132" t="s">
        <v>11</v>
      </c>
      <c r="C506" s="132">
        <v>40</v>
      </c>
      <c r="D506" s="132" t="str">
        <f t="shared" si="35"/>
        <v>3/8" Hex AM 9015 40</v>
      </c>
      <c r="E506" s="132">
        <v>3</v>
      </c>
      <c r="I506" s="132">
        <v>1</v>
      </c>
    </row>
    <row r="507" spans="1:9" ht="14.25" customHeight="1" x14ac:dyDescent="0.25">
      <c r="A507" s="132" t="s">
        <v>244</v>
      </c>
      <c r="B507" s="132" t="s">
        <v>11</v>
      </c>
      <c r="C507" s="132">
        <v>45</v>
      </c>
      <c r="D507" s="132" t="str">
        <f t="shared" si="35"/>
        <v>3/8" Hex AM 9015 45</v>
      </c>
      <c r="E507" s="132">
        <v>1</v>
      </c>
      <c r="I507" s="132">
        <v>1</v>
      </c>
    </row>
    <row r="508" spans="1:9" ht="14.25" customHeight="1" x14ac:dyDescent="0.25">
      <c r="A508" s="132" t="s">
        <v>244</v>
      </c>
      <c r="B508" s="132" t="s">
        <v>11</v>
      </c>
      <c r="C508" s="132">
        <v>49</v>
      </c>
      <c r="D508" s="132" t="str">
        <f t="shared" si="35"/>
        <v>3/8" Hex AM 9015 49</v>
      </c>
      <c r="E508" s="132">
        <v>1</v>
      </c>
      <c r="I508" s="132">
        <v>1</v>
      </c>
    </row>
    <row r="509" spans="1:9" ht="14.25" customHeight="1" x14ac:dyDescent="0.25">
      <c r="A509" s="132" t="s">
        <v>244</v>
      </c>
      <c r="B509" s="132" t="s">
        <v>11</v>
      </c>
      <c r="C509" s="132">
        <v>50</v>
      </c>
      <c r="D509" s="132" t="str">
        <f t="shared" si="35"/>
        <v>3/8" Hex AM 9015 50</v>
      </c>
      <c r="E509" s="132">
        <v>1</v>
      </c>
      <c r="I509" s="132">
        <v>1</v>
      </c>
    </row>
    <row r="510" spans="1:9" ht="14.25" customHeight="1" x14ac:dyDescent="0.25">
      <c r="A510" s="132" t="s">
        <v>244</v>
      </c>
      <c r="B510" s="132" t="s">
        <v>11</v>
      </c>
      <c r="C510" s="132">
        <v>63</v>
      </c>
      <c r="D510" s="132" t="str">
        <f t="shared" si="35"/>
        <v>3/8" Hex AM 9015 63</v>
      </c>
      <c r="E510" s="132">
        <v>1</v>
      </c>
      <c r="I510" s="132">
        <v>1</v>
      </c>
    </row>
    <row r="511" spans="1:9" ht="14.25" customHeight="1" x14ac:dyDescent="0.25">
      <c r="A511" s="132" t="s">
        <v>244</v>
      </c>
      <c r="B511" s="132" t="s">
        <v>11</v>
      </c>
      <c r="C511" s="132">
        <v>70</v>
      </c>
      <c r="D511" s="132" t="str">
        <f t="shared" si="35"/>
        <v>3/8" Hex AM 9015 70</v>
      </c>
      <c r="E511" s="132">
        <v>1</v>
      </c>
      <c r="I511" s="132">
        <v>1</v>
      </c>
    </row>
    <row r="512" spans="1:9" ht="14.25" customHeight="1" x14ac:dyDescent="0.25">
      <c r="A512" s="132" t="s">
        <v>244</v>
      </c>
      <c r="B512" s="132" t="s">
        <v>11</v>
      </c>
      <c r="C512" s="132">
        <v>81</v>
      </c>
      <c r="D512" s="132" t="str">
        <f t="shared" si="35"/>
        <v>3/8" Hex AM 9015 81</v>
      </c>
      <c r="E512" s="132">
        <v>1</v>
      </c>
      <c r="I512" s="132">
        <v>1</v>
      </c>
    </row>
    <row r="513" spans="1:9" ht="14.25" customHeight="1" x14ac:dyDescent="0.25">
      <c r="A513" s="132" t="s">
        <v>244</v>
      </c>
      <c r="B513" s="132" t="s">
        <v>11</v>
      </c>
      <c r="C513" s="132">
        <v>90</v>
      </c>
      <c r="D513" s="132" t="str">
        <f t="shared" si="35"/>
        <v>3/8" Hex AM 9015 90</v>
      </c>
      <c r="E513" s="132">
        <v>1</v>
      </c>
      <c r="I513" s="132">
        <v>1</v>
      </c>
    </row>
    <row r="514" spans="1:9" ht="14.25" customHeight="1" x14ac:dyDescent="0.25">
      <c r="A514" s="132" t="s">
        <v>244</v>
      </c>
      <c r="B514" s="132" t="s">
        <v>11</v>
      </c>
      <c r="C514" s="132">
        <v>100</v>
      </c>
      <c r="D514" s="132" t="str">
        <f t="shared" si="35"/>
        <v>3/8" Hex AM 9015 100</v>
      </c>
      <c r="E514" s="132">
        <v>1</v>
      </c>
      <c r="I514" s="132">
        <v>0</v>
      </c>
    </row>
    <row r="515" spans="1:9" ht="14.25" customHeight="1" x14ac:dyDescent="0.25">
      <c r="A515" s="132" t="s">
        <v>244</v>
      </c>
      <c r="B515" s="132" t="s">
        <v>327</v>
      </c>
      <c r="C515" s="132">
        <v>-3</v>
      </c>
      <c r="D515" s="132" t="str">
        <f t="shared" ref="D515:D520" si="36">A515&amp;" "&amp;B515&amp;" "&amp;C515</f>
        <v>3/8" Hex BB RS-550 -3</v>
      </c>
      <c r="E515" s="132">
        <v>1</v>
      </c>
      <c r="F515" s="132">
        <v>1</v>
      </c>
      <c r="G515" s="132">
        <v>1</v>
      </c>
      <c r="H515" s="132">
        <v>1</v>
      </c>
      <c r="I515" s="132">
        <v>1</v>
      </c>
    </row>
    <row r="516" spans="1:9" ht="14.25" customHeight="1" x14ac:dyDescent="0.25">
      <c r="A516" s="132" t="s">
        <v>244</v>
      </c>
      <c r="B516" s="132" t="s">
        <v>327</v>
      </c>
      <c r="C516" s="132">
        <v>-4</v>
      </c>
      <c r="D516" s="132" t="str">
        <f t="shared" si="36"/>
        <v>3/8" Hex BB RS-550 -4</v>
      </c>
      <c r="E516" s="132">
        <v>1</v>
      </c>
      <c r="F516" s="132">
        <v>1</v>
      </c>
      <c r="G516" s="132">
        <v>1</v>
      </c>
      <c r="H516" s="132">
        <v>1</v>
      </c>
      <c r="I516" s="132">
        <v>1</v>
      </c>
    </row>
    <row r="517" spans="1:9" ht="14.25" customHeight="1" x14ac:dyDescent="0.25">
      <c r="A517" s="132" t="s">
        <v>244</v>
      </c>
      <c r="B517" s="132" t="s">
        <v>327</v>
      </c>
      <c r="C517" s="132">
        <v>-5</v>
      </c>
      <c r="D517" s="132" t="str">
        <f t="shared" si="36"/>
        <v>3/8" Hex BB RS-550 -5</v>
      </c>
      <c r="E517" s="132">
        <v>1</v>
      </c>
      <c r="F517" s="132">
        <v>1</v>
      </c>
      <c r="G517" s="132">
        <v>0</v>
      </c>
      <c r="H517" s="132">
        <v>1</v>
      </c>
      <c r="I517" s="132">
        <v>1</v>
      </c>
    </row>
    <row r="518" spans="1:9" ht="14.25" customHeight="1" x14ac:dyDescent="0.25">
      <c r="A518" s="132" t="s">
        <v>244</v>
      </c>
      <c r="B518" s="132" t="s">
        <v>327</v>
      </c>
      <c r="C518" s="132">
        <v>-7</v>
      </c>
      <c r="D518" s="132" t="str">
        <f t="shared" si="36"/>
        <v>3/8" Hex BB RS-550 -7</v>
      </c>
      <c r="E518" s="132">
        <v>1</v>
      </c>
      <c r="F518" s="132">
        <v>1</v>
      </c>
      <c r="G518" s="132">
        <v>0</v>
      </c>
      <c r="H518" s="132">
        <v>0</v>
      </c>
      <c r="I518" s="132">
        <v>1</v>
      </c>
    </row>
    <row r="519" spans="1:9" ht="14.25" customHeight="1" x14ac:dyDescent="0.25">
      <c r="A519" s="132" t="s">
        <v>244</v>
      </c>
      <c r="B519" s="132" t="s">
        <v>327</v>
      </c>
      <c r="C519" s="132">
        <v>-9</v>
      </c>
      <c r="D519" s="132" t="str">
        <f t="shared" si="36"/>
        <v>3/8" Hex BB RS-550 -9</v>
      </c>
      <c r="E519" s="132">
        <v>1</v>
      </c>
      <c r="F519" s="132">
        <v>1</v>
      </c>
      <c r="G519" s="132">
        <v>0</v>
      </c>
      <c r="H519" s="132">
        <v>0</v>
      </c>
      <c r="I519" s="132">
        <v>1</v>
      </c>
    </row>
    <row r="520" spans="1:9" ht="14.25" customHeight="1" x14ac:dyDescent="0.25">
      <c r="A520" s="132" t="s">
        <v>244</v>
      </c>
      <c r="B520" s="132" t="s">
        <v>327</v>
      </c>
      <c r="C520" s="132">
        <v>-10</v>
      </c>
      <c r="D520" s="132" t="str">
        <f t="shared" si="36"/>
        <v>3/8" Hex BB RS-550 -10</v>
      </c>
      <c r="E520" s="132">
        <v>1</v>
      </c>
      <c r="F520" s="132">
        <v>1</v>
      </c>
      <c r="G520" s="132">
        <v>0</v>
      </c>
      <c r="H520" s="132">
        <v>0</v>
      </c>
      <c r="I520" s="132">
        <v>1</v>
      </c>
    </row>
    <row r="521" spans="1:9" ht="14.25" customHeight="1" x14ac:dyDescent="0.25">
      <c r="A521" s="132" t="s">
        <v>244</v>
      </c>
      <c r="B521" s="132" t="s">
        <v>327</v>
      </c>
      <c r="C521" s="132">
        <v>9</v>
      </c>
      <c r="D521" s="132" t="str">
        <f t="shared" ref="D521:D541" si="37">A521&amp;" "&amp;B521&amp;" "&amp;C521</f>
        <v>3/8" Hex BB RS-550 9</v>
      </c>
      <c r="E521" s="132">
        <v>10</v>
      </c>
      <c r="F521" s="132">
        <v>5</v>
      </c>
      <c r="G521" s="132">
        <v>0</v>
      </c>
      <c r="H521" s="132">
        <v>0</v>
      </c>
      <c r="I521" s="132">
        <v>10</v>
      </c>
    </row>
    <row r="522" spans="1:9" ht="14.25" customHeight="1" x14ac:dyDescent="0.25">
      <c r="A522" s="132" t="s">
        <v>244</v>
      </c>
      <c r="B522" s="132" t="s">
        <v>327</v>
      </c>
      <c r="C522" s="132">
        <v>12</v>
      </c>
      <c r="D522" s="132" t="str">
        <f t="shared" si="37"/>
        <v>3/8" Hex BB RS-550 12</v>
      </c>
      <c r="E522" s="132">
        <v>9</v>
      </c>
      <c r="F522" s="132">
        <v>4</v>
      </c>
      <c r="G522" s="132">
        <v>0</v>
      </c>
      <c r="H522" s="132">
        <v>0</v>
      </c>
      <c r="I522" s="132">
        <v>7</v>
      </c>
    </row>
    <row r="523" spans="1:9" ht="14.25" customHeight="1" x14ac:dyDescent="0.25">
      <c r="A523" s="132" t="s">
        <v>244</v>
      </c>
      <c r="B523" s="132" t="s">
        <v>327</v>
      </c>
      <c r="C523" s="132">
        <v>15</v>
      </c>
      <c r="D523" s="132" t="str">
        <f t="shared" si="37"/>
        <v>3/8" Hex BB RS-550 15</v>
      </c>
      <c r="E523" s="132">
        <v>7</v>
      </c>
      <c r="F523" s="132">
        <v>3</v>
      </c>
      <c r="G523" s="132">
        <v>0</v>
      </c>
      <c r="H523" s="132">
        <v>0</v>
      </c>
      <c r="I523" s="132">
        <v>5</v>
      </c>
    </row>
    <row r="524" spans="1:9" ht="14.25" customHeight="1" x14ac:dyDescent="0.25">
      <c r="A524" s="132" t="s">
        <v>244</v>
      </c>
      <c r="B524" s="132" t="s">
        <v>327</v>
      </c>
      <c r="C524" s="132">
        <v>16</v>
      </c>
      <c r="D524" s="132" t="str">
        <f t="shared" si="37"/>
        <v>3/8" Hex BB RS-550 16</v>
      </c>
      <c r="E524" s="132">
        <v>7</v>
      </c>
      <c r="F524" s="132">
        <v>3</v>
      </c>
      <c r="G524" s="132">
        <v>0</v>
      </c>
      <c r="H524" s="132">
        <v>0</v>
      </c>
      <c r="I524" s="132">
        <v>5</v>
      </c>
    </row>
    <row r="525" spans="1:9" ht="14.25" customHeight="1" x14ac:dyDescent="0.25">
      <c r="A525" s="132" t="s">
        <v>244</v>
      </c>
      <c r="B525" s="132" t="s">
        <v>327</v>
      </c>
      <c r="C525" s="132">
        <v>20</v>
      </c>
      <c r="D525" s="132" t="str">
        <f t="shared" si="37"/>
        <v>3/8" Hex BB RS-550 20</v>
      </c>
      <c r="E525" s="132">
        <v>5</v>
      </c>
      <c r="F525" s="132">
        <v>1</v>
      </c>
      <c r="G525" s="132">
        <v>0</v>
      </c>
      <c r="H525" s="132">
        <v>0</v>
      </c>
      <c r="I525" s="132">
        <v>4</v>
      </c>
    </row>
    <row r="526" spans="1:9" ht="14.25" customHeight="1" x14ac:dyDescent="0.25">
      <c r="A526" s="132" t="s">
        <v>244</v>
      </c>
      <c r="B526" s="132" t="s">
        <v>327</v>
      </c>
      <c r="C526" s="132">
        <v>21</v>
      </c>
      <c r="D526" s="132" t="str">
        <f t="shared" si="37"/>
        <v>3/8" Hex BB RS-550 21</v>
      </c>
      <c r="E526" s="132">
        <v>5</v>
      </c>
      <c r="F526" s="132">
        <v>1</v>
      </c>
      <c r="G526" s="132">
        <v>0</v>
      </c>
      <c r="H526" s="132">
        <v>0</v>
      </c>
      <c r="I526" s="132">
        <v>4</v>
      </c>
    </row>
    <row r="527" spans="1:9" ht="14.25" customHeight="1" x14ac:dyDescent="0.25">
      <c r="A527" s="132" t="s">
        <v>244</v>
      </c>
      <c r="B527" s="132" t="s">
        <v>327</v>
      </c>
      <c r="C527" s="132">
        <v>25</v>
      </c>
      <c r="D527" s="132" t="str">
        <f t="shared" si="37"/>
        <v>3/8" Hex BB RS-550 25</v>
      </c>
      <c r="E527" s="132">
        <v>4</v>
      </c>
      <c r="F527" s="132">
        <v>1</v>
      </c>
      <c r="G527" s="132">
        <v>0</v>
      </c>
      <c r="H527" s="132">
        <v>0</v>
      </c>
      <c r="I527" s="132">
        <v>3</v>
      </c>
    </row>
    <row r="528" spans="1:9" ht="14.25" customHeight="1" x14ac:dyDescent="0.25">
      <c r="A528" s="132" t="s">
        <v>244</v>
      </c>
      <c r="B528" s="132" t="s">
        <v>327</v>
      </c>
      <c r="C528" s="132">
        <v>27</v>
      </c>
      <c r="D528" s="132" t="str">
        <f t="shared" si="37"/>
        <v>3/8" Hex BB RS-550 27</v>
      </c>
      <c r="E528" s="132">
        <v>4</v>
      </c>
      <c r="F528" s="132">
        <v>1</v>
      </c>
      <c r="G528" s="132">
        <v>0</v>
      </c>
      <c r="H528" s="132">
        <v>0</v>
      </c>
      <c r="I528" s="132">
        <v>3</v>
      </c>
    </row>
    <row r="529" spans="1:9" ht="14.25" customHeight="1" x14ac:dyDescent="0.25">
      <c r="A529" s="132" t="s">
        <v>244</v>
      </c>
      <c r="B529" s="132" t="s">
        <v>327</v>
      </c>
      <c r="C529" s="132">
        <v>28</v>
      </c>
      <c r="D529" s="132" t="str">
        <f t="shared" si="37"/>
        <v>3/8" Hex BB RS-550 28</v>
      </c>
      <c r="E529" s="132">
        <v>4</v>
      </c>
      <c r="F529" s="132">
        <v>1</v>
      </c>
      <c r="G529" s="132">
        <v>0</v>
      </c>
      <c r="H529" s="132">
        <v>0</v>
      </c>
      <c r="I529" s="132">
        <v>3</v>
      </c>
    </row>
    <row r="530" spans="1:9" ht="14.25" customHeight="1" x14ac:dyDescent="0.25">
      <c r="A530" s="132" t="s">
        <v>244</v>
      </c>
      <c r="B530" s="132" t="s">
        <v>327</v>
      </c>
      <c r="C530" s="132">
        <v>30</v>
      </c>
      <c r="D530" s="132" t="str">
        <f t="shared" si="37"/>
        <v>3/8" Hex BB RS-550 30</v>
      </c>
      <c r="E530" s="132">
        <v>3</v>
      </c>
      <c r="F530" s="132">
        <v>1</v>
      </c>
      <c r="G530" s="132">
        <v>0</v>
      </c>
      <c r="H530" s="132">
        <v>0</v>
      </c>
      <c r="I530" s="132">
        <v>3</v>
      </c>
    </row>
    <row r="531" spans="1:9" ht="14.25" customHeight="1" x14ac:dyDescent="0.25">
      <c r="A531" s="132" t="s">
        <v>244</v>
      </c>
      <c r="B531" s="132" t="s">
        <v>327</v>
      </c>
      <c r="C531" s="132">
        <v>35</v>
      </c>
      <c r="D531" s="132" t="str">
        <f t="shared" si="37"/>
        <v>3/8" Hex BB RS-550 35</v>
      </c>
      <c r="E531" s="132">
        <v>3</v>
      </c>
      <c r="F531" s="132">
        <v>1</v>
      </c>
      <c r="G531" s="132">
        <v>0</v>
      </c>
      <c r="H531" s="132">
        <v>0</v>
      </c>
      <c r="I531" s="132">
        <v>1</v>
      </c>
    </row>
    <row r="532" spans="1:9" ht="14.25" customHeight="1" x14ac:dyDescent="0.25">
      <c r="A532" s="132" t="s">
        <v>244</v>
      </c>
      <c r="B532" s="132" t="s">
        <v>327</v>
      </c>
      <c r="C532" s="132">
        <v>36</v>
      </c>
      <c r="D532" s="132" t="str">
        <f t="shared" si="37"/>
        <v>3/8" Hex BB RS-550 36</v>
      </c>
      <c r="E532" s="132">
        <v>3</v>
      </c>
      <c r="F532" s="132">
        <v>1</v>
      </c>
      <c r="G532" s="132">
        <v>0</v>
      </c>
      <c r="H532" s="132">
        <v>0</v>
      </c>
      <c r="I532" s="132">
        <v>1</v>
      </c>
    </row>
    <row r="533" spans="1:9" ht="14.25" customHeight="1" x14ac:dyDescent="0.25">
      <c r="A533" s="132" t="s">
        <v>244</v>
      </c>
      <c r="B533" s="132" t="s">
        <v>327</v>
      </c>
      <c r="C533" s="132">
        <v>40</v>
      </c>
      <c r="D533" s="132" t="str">
        <f t="shared" si="37"/>
        <v>3/8" Hex BB RS-550 40</v>
      </c>
      <c r="E533" s="132">
        <v>1</v>
      </c>
      <c r="F533" s="132">
        <v>1</v>
      </c>
      <c r="G533" s="132">
        <v>0</v>
      </c>
      <c r="H533" s="132">
        <v>0</v>
      </c>
      <c r="I533" s="132">
        <v>5</v>
      </c>
    </row>
    <row r="534" spans="1:9" ht="14.25" customHeight="1" x14ac:dyDescent="0.25">
      <c r="A534" s="132" t="s">
        <v>244</v>
      </c>
      <c r="B534" s="132" t="s">
        <v>327</v>
      </c>
      <c r="C534" s="132">
        <v>45</v>
      </c>
      <c r="D534" s="132" t="str">
        <f t="shared" si="37"/>
        <v>3/8" Hex BB RS-550 45</v>
      </c>
      <c r="E534" s="132">
        <v>1</v>
      </c>
      <c r="F534" s="132">
        <v>1</v>
      </c>
      <c r="G534" s="132">
        <v>0</v>
      </c>
      <c r="H534" s="132">
        <v>0</v>
      </c>
      <c r="I534" s="132">
        <v>4</v>
      </c>
    </row>
    <row r="535" spans="1:9" ht="14.25" customHeight="1" x14ac:dyDescent="0.25">
      <c r="A535" s="132" t="s">
        <v>244</v>
      </c>
      <c r="B535" s="132" t="s">
        <v>327</v>
      </c>
      <c r="C535" s="132">
        <v>49</v>
      </c>
      <c r="D535" s="132" t="str">
        <f t="shared" si="37"/>
        <v>3/8" Hex BB RS-550 49</v>
      </c>
      <c r="E535" s="132">
        <v>1</v>
      </c>
      <c r="F535" s="132">
        <v>1</v>
      </c>
      <c r="G535" s="132">
        <v>0</v>
      </c>
      <c r="H535" s="132">
        <v>0</v>
      </c>
      <c r="I535" s="132">
        <v>4</v>
      </c>
    </row>
    <row r="536" spans="1:9" ht="14.25" customHeight="1" x14ac:dyDescent="0.25">
      <c r="A536" s="132" t="s">
        <v>244</v>
      </c>
      <c r="B536" s="132" t="s">
        <v>327</v>
      </c>
      <c r="C536" s="132">
        <v>50</v>
      </c>
      <c r="D536" s="132" t="str">
        <f t="shared" si="37"/>
        <v>3/8" Hex BB RS-550 50</v>
      </c>
      <c r="E536" s="132">
        <v>1</v>
      </c>
      <c r="F536" s="132">
        <v>1</v>
      </c>
      <c r="G536" s="132">
        <v>0</v>
      </c>
      <c r="H536" s="132">
        <v>0</v>
      </c>
      <c r="I536" s="132">
        <v>1</v>
      </c>
    </row>
    <row r="537" spans="1:9" ht="14.25" customHeight="1" x14ac:dyDescent="0.25">
      <c r="A537" s="132" t="s">
        <v>244</v>
      </c>
      <c r="B537" s="132" t="s">
        <v>327</v>
      </c>
      <c r="C537" s="132">
        <v>63</v>
      </c>
      <c r="D537" s="132" t="str">
        <f t="shared" si="37"/>
        <v>3/8" Hex BB RS-550 63</v>
      </c>
      <c r="E537" s="132">
        <v>1</v>
      </c>
      <c r="F537" s="132">
        <v>0</v>
      </c>
      <c r="G537" s="132">
        <v>0</v>
      </c>
      <c r="H537" s="132">
        <v>0</v>
      </c>
      <c r="I537" s="132">
        <v>1</v>
      </c>
    </row>
    <row r="538" spans="1:9" ht="14.25" customHeight="1" x14ac:dyDescent="0.25">
      <c r="A538" s="132" t="s">
        <v>244</v>
      </c>
      <c r="B538" s="132" t="s">
        <v>327</v>
      </c>
      <c r="C538" s="132">
        <v>70</v>
      </c>
      <c r="D538" s="132" t="str">
        <f t="shared" si="37"/>
        <v>3/8" Hex BB RS-550 70</v>
      </c>
      <c r="E538" s="132">
        <v>1</v>
      </c>
      <c r="F538" s="132">
        <v>0</v>
      </c>
      <c r="G538" s="132">
        <v>0</v>
      </c>
      <c r="H538" s="132">
        <v>0</v>
      </c>
      <c r="I538" s="132">
        <v>1</v>
      </c>
    </row>
    <row r="539" spans="1:9" ht="14.25" customHeight="1" x14ac:dyDescent="0.25">
      <c r="A539" s="132" t="s">
        <v>244</v>
      </c>
      <c r="B539" s="132" t="s">
        <v>327</v>
      </c>
      <c r="C539" s="132">
        <v>81</v>
      </c>
      <c r="D539" s="132" t="str">
        <f t="shared" si="37"/>
        <v>3/8" Hex BB RS-550 81</v>
      </c>
      <c r="E539" s="132">
        <v>1</v>
      </c>
      <c r="F539" s="132">
        <v>0</v>
      </c>
      <c r="G539" s="132">
        <v>0</v>
      </c>
      <c r="H539" s="132">
        <v>0</v>
      </c>
      <c r="I539" s="132">
        <v>1</v>
      </c>
    </row>
    <row r="540" spans="1:9" ht="14.25" customHeight="1" x14ac:dyDescent="0.25">
      <c r="A540" s="132" t="s">
        <v>244</v>
      </c>
      <c r="B540" s="132" t="s">
        <v>327</v>
      </c>
      <c r="C540" s="132">
        <v>90</v>
      </c>
      <c r="D540" s="132" t="str">
        <f t="shared" si="37"/>
        <v>3/8" Hex BB RS-550 90</v>
      </c>
      <c r="E540" s="132">
        <v>1</v>
      </c>
      <c r="F540" s="132">
        <v>0</v>
      </c>
      <c r="G540" s="132">
        <v>0</v>
      </c>
      <c r="H540" s="132">
        <v>0</v>
      </c>
      <c r="I540" s="132">
        <v>1</v>
      </c>
    </row>
    <row r="541" spans="1:9" ht="14.25" customHeight="1" x14ac:dyDescent="0.25">
      <c r="A541" s="132" t="s">
        <v>244</v>
      </c>
      <c r="B541" s="132" t="s">
        <v>327</v>
      </c>
      <c r="C541" s="132">
        <v>100</v>
      </c>
      <c r="D541" s="132" t="str">
        <f t="shared" si="37"/>
        <v>3/8" Hex BB RS-550 100</v>
      </c>
      <c r="E541" s="132">
        <v>1</v>
      </c>
      <c r="F541" s="132">
        <v>0</v>
      </c>
      <c r="G541" s="132">
        <v>0</v>
      </c>
      <c r="H541" s="132">
        <v>0</v>
      </c>
      <c r="I541" s="132">
        <v>0</v>
      </c>
    </row>
    <row r="542" spans="1:9" ht="14.25" customHeight="1" x14ac:dyDescent="0.25">
      <c r="A542" s="132" t="s">
        <v>244</v>
      </c>
      <c r="B542" s="132" t="s">
        <v>328</v>
      </c>
      <c r="C542" s="132">
        <v>-3</v>
      </c>
      <c r="D542" s="132" t="str">
        <f t="shared" ref="D542:D547" si="38">A542&amp;" "&amp;B542&amp;" "&amp;C542</f>
        <v>3/8" Hex BB RS-775 -3</v>
      </c>
      <c r="E542" s="132">
        <v>1</v>
      </c>
      <c r="F542" s="132">
        <v>1</v>
      </c>
      <c r="G542" s="132">
        <v>0</v>
      </c>
      <c r="H542" s="132">
        <v>0</v>
      </c>
      <c r="I542" s="132">
        <v>1</v>
      </c>
    </row>
    <row r="543" spans="1:9" ht="14.25" customHeight="1" x14ac:dyDescent="0.25">
      <c r="A543" s="132" t="s">
        <v>244</v>
      </c>
      <c r="B543" s="132" t="s">
        <v>328</v>
      </c>
      <c r="C543" s="132">
        <v>-4</v>
      </c>
      <c r="D543" s="132" t="str">
        <f t="shared" si="38"/>
        <v>3/8" Hex BB RS-775 -4</v>
      </c>
      <c r="E543" s="132">
        <v>1</v>
      </c>
      <c r="F543" s="132">
        <v>1</v>
      </c>
      <c r="G543" s="132">
        <v>0</v>
      </c>
      <c r="H543" s="132">
        <v>0</v>
      </c>
      <c r="I543" s="132">
        <v>1</v>
      </c>
    </row>
    <row r="544" spans="1:9" ht="14.25" customHeight="1" x14ac:dyDescent="0.25">
      <c r="A544" s="132" t="s">
        <v>244</v>
      </c>
      <c r="B544" s="132" t="s">
        <v>328</v>
      </c>
      <c r="C544" s="132">
        <v>-5</v>
      </c>
      <c r="D544" s="132" t="str">
        <f t="shared" si="38"/>
        <v>3/8" Hex BB RS-775 -5</v>
      </c>
      <c r="E544" s="132">
        <v>1</v>
      </c>
      <c r="F544" s="132">
        <v>1</v>
      </c>
      <c r="G544" s="132">
        <v>0</v>
      </c>
      <c r="H544" s="132">
        <v>0</v>
      </c>
      <c r="I544" s="132">
        <v>1</v>
      </c>
    </row>
    <row r="545" spans="1:9" ht="14.25" customHeight="1" x14ac:dyDescent="0.25">
      <c r="A545" s="132" t="s">
        <v>244</v>
      </c>
      <c r="B545" s="132" t="s">
        <v>328</v>
      </c>
      <c r="C545" s="132">
        <v>-7</v>
      </c>
      <c r="D545" s="132" t="str">
        <f t="shared" si="38"/>
        <v>3/8" Hex BB RS-775 -7</v>
      </c>
      <c r="E545" s="132">
        <v>1</v>
      </c>
      <c r="F545" s="132">
        <v>1</v>
      </c>
      <c r="G545" s="132">
        <v>0</v>
      </c>
      <c r="H545" s="132">
        <v>0</v>
      </c>
      <c r="I545" s="132">
        <v>1</v>
      </c>
    </row>
    <row r="546" spans="1:9" ht="14.25" customHeight="1" x14ac:dyDescent="0.25">
      <c r="A546" s="132" t="s">
        <v>244</v>
      </c>
      <c r="B546" s="132" t="s">
        <v>328</v>
      </c>
      <c r="C546" s="132">
        <v>-9</v>
      </c>
      <c r="D546" s="132" t="str">
        <f t="shared" si="38"/>
        <v>3/8" Hex BB RS-775 -9</v>
      </c>
      <c r="E546" s="132">
        <v>1</v>
      </c>
      <c r="F546" s="132">
        <v>1</v>
      </c>
      <c r="G546" s="132">
        <v>0</v>
      </c>
      <c r="H546" s="132">
        <v>0</v>
      </c>
      <c r="I546" s="132">
        <v>1</v>
      </c>
    </row>
    <row r="547" spans="1:9" ht="14.25" customHeight="1" x14ac:dyDescent="0.25">
      <c r="A547" s="132" t="s">
        <v>244</v>
      </c>
      <c r="B547" s="132" t="s">
        <v>328</v>
      </c>
      <c r="C547" s="132">
        <v>-10</v>
      </c>
      <c r="D547" s="132" t="str">
        <f t="shared" si="38"/>
        <v>3/8" Hex BB RS-775 -10</v>
      </c>
      <c r="E547" s="132">
        <v>1</v>
      </c>
      <c r="F547" s="132">
        <v>1</v>
      </c>
      <c r="G547" s="132">
        <v>0</v>
      </c>
      <c r="H547" s="132">
        <v>0</v>
      </c>
      <c r="I547" s="132">
        <v>1</v>
      </c>
    </row>
    <row r="548" spans="1:9" ht="14.25" customHeight="1" x14ac:dyDescent="0.25">
      <c r="A548" s="132" t="s">
        <v>244</v>
      </c>
      <c r="B548" s="132" t="s">
        <v>328</v>
      </c>
      <c r="C548" s="132">
        <v>9</v>
      </c>
      <c r="D548" s="132" t="str">
        <f t="shared" ref="D548:D568" si="39">A548&amp;" "&amp;B548&amp;" "&amp;C548</f>
        <v>3/8" Hex BB RS-775 9</v>
      </c>
      <c r="E548" s="132">
        <v>7</v>
      </c>
      <c r="F548" s="132">
        <v>3</v>
      </c>
      <c r="G548" s="132">
        <v>0</v>
      </c>
      <c r="H548" s="132">
        <v>0</v>
      </c>
      <c r="I548" s="132">
        <v>10</v>
      </c>
    </row>
    <row r="549" spans="1:9" ht="14.25" customHeight="1" x14ac:dyDescent="0.25">
      <c r="A549" s="132" t="s">
        <v>244</v>
      </c>
      <c r="B549" s="132" t="s">
        <v>328</v>
      </c>
      <c r="C549" s="132">
        <v>12</v>
      </c>
      <c r="D549" s="132" t="str">
        <f t="shared" si="39"/>
        <v>3/8" Hex BB RS-775 12</v>
      </c>
      <c r="E549" s="132">
        <v>5</v>
      </c>
      <c r="F549" s="132">
        <v>1</v>
      </c>
      <c r="G549" s="132">
        <v>0</v>
      </c>
      <c r="H549" s="132">
        <v>0</v>
      </c>
      <c r="I549" s="132">
        <v>10</v>
      </c>
    </row>
    <row r="550" spans="1:9" ht="14.25" customHeight="1" x14ac:dyDescent="0.25">
      <c r="A550" s="132" t="s">
        <v>244</v>
      </c>
      <c r="B550" s="132" t="s">
        <v>328</v>
      </c>
      <c r="C550" s="132">
        <v>15</v>
      </c>
      <c r="D550" s="132" t="str">
        <f t="shared" si="39"/>
        <v>3/8" Hex BB RS-775 15</v>
      </c>
      <c r="E550" s="132">
        <v>4</v>
      </c>
      <c r="F550" s="132">
        <v>1</v>
      </c>
      <c r="G550" s="132">
        <v>0</v>
      </c>
      <c r="H550" s="132">
        <v>0</v>
      </c>
      <c r="I550" s="132">
        <v>7</v>
      </c>
    </row>
    <row r="551" spans="1:9" ht="14.25" customHeight="1" x14ac:dyDescent="0.25">
      <c r="A551" s="132" t="s">
        <v>244</v>
      </c>
      <c r="B551" s="132" t="s">
        <v>328</v>
      </c>
      <c r="C551" s="132">
        <v>16</v>
      </c>
      <c r="D551" s="132" t="str">
        <f t="shared" si="39"/>
        <v>3/8" Hex BB RS-775 16</v>
      </c>
      <c r="E551" s="132">
        <v>4</v>
      </c>
      <c r="F551" s="132">
        <v>1</v>
      </c>
      <c r="G551" s="132">
        <v>0</v>
      </c>
      <c r="H551" s="132">
        <v>0</v>
      </c>
      <c r="I551" s="132">
        <v>7</v>
      </c>
    </row>
    <row r="552" spans="1:9" ht="14.25" customHeight="1" x14ac:dyDescent="0.25">
      <c r="A552" s="132" t="s">
        <v>244</v>
      </c>
      <c r="B552" s="132" t="s">
        <v>328</v>
      </c>
      <c r="C552" s="132">
        <v>20</v>
      </c>
      <c r="D552" s="132" t="str">
        <f t="shared" si="39"/>
        <v>3/8" Hex BB RS-775 20</v>
      </c>
      <c r="E552" s="132">
        <v>3</v>
      </c>
      <c r="F552" s="132">
        <v>1</v>
      </c>
      <c r="G552" s="132">
        <v>0</v>
      </c>
      <c r="H552" s="132">
        <v>0</v>
      </c>
      <c r="I552" s="132">
        <v>5</v>
      </c>
    </row>
    <row r="553" spans="1:9" ht="14.25" customHeight="1" x14ac:dyDescent="0.25">
      <c r="A553" s="132" t="s">
        <v>244</v>
      </c>
      <c r="B553" s="132" t="s">
        <v>328</v>
      </c>
      <c r="C553" s="132">
        <v>21</v>
      </c>
      <c r="D553" s="132" t="str">
        <f t="shared" si="39"/>
        <v>3/8" Hex BB RS-775 21</v>
      </c>
      <c r="E553" s="132">
        <v>3</v>
      </c>
      <c r="F553" s="132">
        <v>1</v>
      </c>
      <c r="G553" s="132">
        <v>0</v>
      </c>
      <c r="H553" s="132">
        <v>0</v>
      </c>
      <c r="I553" s="132">
        <v>5</v>
      </c>
    </row>
    <row r="554" spans="1:9" ht="14.25" customHeight="1" x14ac:dyDescent="0.25">
      <c r="A554" s="132" t="s">
        <v>244</v>
      </c>
      <c r="B554" s="132" t="s">
        <v>328</v>
      </c>
      <c r="C554" s="132">
        <v>25</v>
      </c>
      <c r="D554" s="132" t="str">
        <f t="shared" si="39"/>
        <v>3/8" Hex BB RS-775 25</v>
      </c>
      <c r="E554" s="132">
        <v>1</v>
      </c>
      <c r="F554" s="132">
        <v>1</v>
      </c>
      <c r="G554" s="132">
        <v>0</v>
      </c>
      <c r="H554" s="132">
        <v>0</v>
      </c>
      <c r="I554" s="132">
        <v>5</v>
      </c>
    </row>
    <row r="555" spans="1:9" ht="14.25" customHeight="1" x14ac:dyDescent="0.25">
      <c r="A555" s="132" t="s">
        <v>244</v>
      </c>
      <c r="B555" s="132" t="s">
        <v>328</v>
      </c>
      <c r="C555" s="132">
        <v>27</v>
      </c>
      <c r="D555" s="132" t="str">
        <f t="shared" si="39"/>
        <v>3/8" Hex BB RS-775 27</v>
      </c>
      <c r="E555" s="132">
        <v>1</v>
      </c>
      <c r="F555" s="132">
        <v>1</v>
      </c>
      <c r="G555" s="132">
        <v>0</v>
      </c>
      <c r="H555" s="132">
        <v>0</v>
      </c>
      <c r="I555" s="132">
        <v>4</v>
      </c>
    </row>
    <row r="556" spans="1:9" ht="14.25" customHeight="1" x14ac:dyDescent="0.25">
      <c r="A556" s="132" t="s">
        <v>244</v>
      </c>
      <c r="B556" s="132" t="s">
        <v>328</v>
      </c>
      <c r="C556" s="132">
        <v>28</v>
      </c>
      <c r="D556" s="132" t="str">
        <f t="shared" si="39"/>
        <v>3/8" Hex BB RS-775 28</v>
      </c>
      <c r="E556" s="132">
        <v>1</v>
      </c>
      <c r="F556" s="132">
        <v>1</v>
      </c>
      <c r="G556" s="132">
        <v>0</v>
      </c>
      <c r="H556" s="132">
        <v>0</v>
      </c>
      <c r="I556" s="132">
        <v>4</v>
      </c>
    </row>
    <row r="557" spans="1:9" ht="14.25" customHeight="1" x14ac:dyDescent="0.25">
      <c r="A557" s="132" t="s">
        <v>244</v>
      </c>
      <c r="B557" s="132" t="s">
        <v>328</v>
      </c>
      <c r="C557" s="132">
        <v>30</v>
      </c>
      <c r="D557" s="132" t="str">
        <f t="shared" si="39"/>
        <v>3/8" Hex BB RS-775 30</v>
      </c>
      <c r="E557" s="132">
        <v>1</v>
      </c>
      <c r="F557" s="132">
        <v>1</v>
      </c>
      <c r="G557" s="132">
        <v>0</v>
      </c>
      <c r="H557" s="132">
        <v>0</v>
      </c>
      <c r="I557" s="132">
        <v>4</v>
      </c>
    </row>
    <row r="558" spans="1:9" ht="14.25" customHeight="1" x14ac:dyDescent="0.25">
      <c r="A558" s="132" t="s">
        <v>244</v>
      </c>
      <c r="B558" s="132" t="s">
        <v>328</v>
      </c>
      <c r="C558" s="132">
        <v>35</v>
      </c>
      <c r="D558" s="132" t="str">
        <f t="shared" si="39"/>
        <v>3/8" Hex BB RS-775 35</v>
      </c>
      <c r="E558" s="132">
        <v>1</v>
      </c>
      <c r="F558" s="132">
        <v>1</v>
      </c>
      <c r="G558" s="132">
        <v>0</v>
      </c>
      <c r="H558" s="132">
        <v>0</v>
      </c>
      <c r="I558" s="132">
        <v>3</v>
      </c>
    </row>
    <row r="559" spans="1:9" ht="14.25" customHeight="1" x14ac:dyDescent="0.25">
      <c r="A559" s="132" t="s">
        <v>244</v>
      </c>
      <c r="B559" s="132" t="s">
        <v>328</v>
      </c>
      <c r="C559" s="132">
        <v>36</v>
      </c>
      <c r="D559" s="132" t="str">
        <f t="shared" si="39"/>
        <v>3/8" Hex BB RS-775 36</v>
      </c>
      <c r="E559" s="132">
        <v>1</v>
      </c>
      <c r="F559" s="132">
        <v>0</v>
      </c>
      <c r="G559" s="132">
        <v>0</v>
      </c>
      <c r="H559" s="132">
        <v>0</v>
      </c>
      <c r="I559" s="132">
        <v>3</v>
      </c>
    </row>
    <row r="560" spans="1:9" ht="14.25" customHeight="1" x14ac:dyDescent="0.25">
      <c r="A560" s="132" t="s">
        <v>244</v>
      </c>
      <c r="B560" s="132" t="s">
        <v>328</v>
      </c>
      <c r="C560" s="132">
        <v>40</v>
      </c>
      <c r="D560" s="132" t="str">
        <f t="shared" si="39"/>
        <v>3/8" Hex BB RS-775 40</v>
      </c>
      <c r="E560" s="132">
        <v>1</v>
      </c>
      <c r="F560" s="132">
        <v>0</v>
      </c>
      <c r="G560" s="132">
        <v>0</v>
      </c>
      <c r="H560" s="132">
        <v>0</v>
      </c>
      <c r="I560" s="132">
        <v>3</v>
      </c>
    </row>
    <row r="561" spans="1:9" ht="14.25" customHeight="1" x14ac:dyDescent="0.25">
      <c r="A561" s="132" t="s">
        <v>244</v>
      </c>
      <c r="B561" s="132" t="s">
        <v>328</v>
      </c>
      <c r="C561" s="132">
        <v>45</v>
      </c>
      <c r="D561" s="132" t="str">
        <f t="shared" si="39"/>
        <v>3/8" Hex BB RS-775 45</v>
      </c>
      <c r="E561" s="132">
        <v>1</v>
      </c>
      <c r="F561" s="132">
        <v>0</v>
      </c>
      <c r="G561" s="132">
        <v>0</v>
      </c>
      <c r="H561" s="132">
        <v>0</v>
      </c>
      <c r="I561" s="132">
        <v>1</v>
      </c>
    </row>
    <row r="562" spans="1:9" ht="14.25" customHeight="1" x14ac:dyDescent="0.25">
      <c r="A562" s="132" t="s">
        <v>244</v>
      </c>
      <c r="B562" s="132" t="s">
        <v>328</v>
      </c>
      <c r="C562" s="132">
        <v>49</v>
      </c>
      <c r="D562" s="132" t="str">
        <f t="shared" si="39"/>
        <v>3/8" Hex BB RS-775 49</v>
      </c>
      <c r="E562" s="132">
        <v>1</v>
      </c>
      <c r="F562" s="132">
        <v>0</v>
      </c>
      <c r="G562" s="132">
        <v>0</v>
      </c>
      <c r="H562" s="132">
        <v>0</v>
      </c>
      <c r="I562" s="132">
        <v>1</v>
      </c>
    </row>
    <row r="563" spans="1:9" ht="14.25" customHeight="1" x14ac:dyDescent="0.25">
      <c r="A563" s="132" t="s">
        <v>244</v>
      </c>
      <c r="B563" s="132" t="s">
        <v>328</v>
      </c>
      <c r="C563" s="132">
        <v>50</v>
      </c>
      <c r="D563" s="132" t="str">
        <f t="shared" si="39"/>
        <v>3/8" Hex BB RS-775 50</v>
      </c>
      <c r="E563" s="132">
        <v>1</v>
      </c>
      <c r="F563" s="132">
        <v>0</v>
      </c>
      <c r="G563" s="132">
        <v>0</v>
      </c>
      <c r="H563" s="132">
        <v>0</v>
      </c>
      <c r="I563" s="132">
        <v>1</v>
      </c>
    </row>
    <row r="564" spans="1:9" ht="14.25" customHeight="1" x14ac:dyDescent="0.25">
      <c r="A564" s="132" t="s">
        <v>244</v>
      </c>
      <c r="B564" s="132" t="s">
        <v>328</v>
      </c>
      <c r="C564" s="132">
        <v>63</v>
      </c>
      <c r="D564" s="132" t="str">
        <f t="shared" si="39"/>
        <v>3/8" Hex BB RS-775 63</v>
      </c>
      <c r="E564" s="132">
        <v>1</v>
      </c>
      <c r="F564" s="132">
        <v>0</v>
      </c>
      <c r="G564" s="132">
        <v>0</v>
      </c>
      <c r="H564" s="132">
        <v>0</v>
      </c>
      <c r="I564" s="132">
        <v>1</v>
      </c>
    </row>
    <row r="565" spans="1:9" ht="14.25" customHeight="1" x14ac:dyDescent="0.25">
      <c r="A565" s="132" t="s">
        <v>244</v>
      </c>
      <c r="B565" s="132" t="s">
        <v>328</v>
      </c>
      <c r="C565" s="132">
        <v>70</v>
      </c>
      <c r="D565" s="132" t="str">
        <f t="shared" si="39"/>
        <v>3/8" Hex BB RS-775 70</v>
      </c>
      <c r="E565" s="132">
        <v>1</v>
      </c>
      <c r="F565" s="132">
        <v>0</v>
      </c>
      <c r="G565" s="132">
        <v>0</v>
      </c>
      <c r="H565" s="132">
        <v>0</v>
      </c>
      <c r="I565" s="132">
        <v>1</v>
      </c>
    </row>
    <row r="566" spans="1:9" ht="14.25" customHeight="1" x14ac:dyDescent="0.25">
      <c r="A566" s="132" t="s">
        <v>244</v>
      </c>
      <c r="B566" s="132" t="s">
        <v>328</v>
      </c>
      <c r="C566" s="132">
        <v>81</v>
      </c>
      <c r="D566" s="132" t="str">
        <f t="shared" si="39"/>
        <v>3/8" Hex BB RS-775 81</v>
      </c>
      <c r="E566" s="132">
        <v>0</v>
      </c>
      <c r="F566" s="132">
        <v>0</v>
      </c>
      <c r="G566" s="132">
        <v>0</v>
      </c>
      <c r="H566" s="132">
        <v>0</v>
      </c>
      <c r="I566" s="132">
        <v>1</v>
      </c>
    </row>
    <row r="567" spans="1:9" ht="14.25" customHeight="1" x14ac:dyDescent="0.25">
      <c r="A567" s="132" t="s">
        <v>244</v>
      </c>
      <c r="B567" s="132" t="s">
        <v>328</v>
      </c>
      <c r="C567" s="132">
        <v>90</v>
      </c>
      <c r="D567" s="132" t="str">
        <f t="shared" si="39"/>
        <v>3/8" Hex BB RS-775 90</v>
      </c>
      <c r="E567" s="132">
        <v>0</v>
      </c>
      <c r="F567" s="132">
        <v>0</v>
      </c>
      <c r="G567" s="132">
        <v>0</v>
      </c>
      <c r="H567" s="132">
        <v>0</v>
      </c>
      <c r="I567" s="132">
        <v>1</v>
      </c>
    </row>
    <row r="568" spans="1:9" ht="14.25" customHeight="1" x14ac:dyDescent="0.25">
      <c r="A568" s="132" t="s">
        <v>244</v>
      </c>
      <c r="B568" s="132" t="s">
        <v>328</v>
      </c>
      <c r="C568" s="132">
        <v>100</v>
      </c>
      <c r="D568" s="132" t="str">
        <f t="shared" si="39"/>
        <v>3/8" Hex BB RS-775 100</v>
      </c>
      <c r="E568" s="132">
        <v>0</v>
      </c>
      <c r="F568" s="132">
        <v>0</v>
      </c>
      <c r="G568" s="132">
        <v>0</v>
      </c>
      <c r="H568" s="132">
        <v>0</v>
      </c>
      <c r="I568" s="132">
        <v>1</v>
      </c>
    </row>
    <row r="569" spans="1:9" ht="14.25" customHeight="1" x14ac:dyDescent="0.25">
      <c r="A569" s="132" t="s">
        <v>244</v>
      </c>
      <c r="B569" s="132" t="s">
        <v>8</v>
      </c>
      <c r="C569" s="132">
        <v>-3</v>
      </c>
      <c r="D569" s="132" t="str">
        <f t="shared" ref="D569:D574" si="40">A569&amp;" "&amp;B569&amp;" "&amp;C569</f>
        <v>3/8" Hex BAG Motor -3</v>
      </c>
      <c r="E569" s="132">
        <v>1</v>
      </c>
      <c r="F569" s="132">
        <v>1</v>
      </c>
      <c r="G569" s="132">
        <v>1</v>
      </c>
      <c r="H569" s="132">
        <v>0</v>
      </c>
      <c r="I569" s="132">
        <v>1</v>
      </c>
    </row>
    <row r="570" spans="1:9" ht="14.25" customHeight="1" x14ac:dyDescent="0.25">
      <c r="A570" s="132" t="s">
        <v>244</v>
      </c>
      <c r="B570" s="132" t="s">
        <v>8</v>
      </c>
      <c r="C570" s="132">
        <v>-4</v>
      </c>
      <c r="D570" s="132" t="str">
        <f t="shared" si="40"/>
        <v>3/8" Hex BAG Motor -4</v>
      </c>
      <c r="E570" s="132">
        <v>1</v>
      </c>
      <c r="F570" s="132">
        <v>1</v>
      </c>
      <c r="G570" s="132">
        <v>1</v>
      </c>
      <c r="H570" s="132">
        <v>0</v>
      </c>
      <c r="I570" s="132">
        <v>1</v>
      </c>
    </row>
    <row r="571" spans="1:9" ht="14.25" customHeight="1" x14ac:dyDescent="0.25">
      <c r="A571" s="132" t="s">
        <v>244</v>
      </c>
      <c r="B571" s="132" t="s">
        <v>8</v>
      </c>
      <c r="C571" s="132">
        <v>-5</v>
      </c>
      <c r="D571" s="132" t="str">
        <f t="shared" si="40"/>
        <v>3/8" Hex BAG Motor -5</v>
      </c>
      <c r="E571" s="132">
        <v>1</v>
      </c>
      <c r="F571" s="132">
        <v>1</v>
      </c>
      <c r="G571" s="132">
        <v>0</v>
      </c>
      <c r="H571" s="132">
        <v>0</v>
      </c>
      <c r="I571" s="132">
        <v>1</v>
      </c>
    </row>
    <row r="572" spans="1:9" ht="14.25" customHeight="1" x14ac:dyDescent="0.25">
      <c r="A572" s="132" t="s">
        <v>244</v>
      </c>
      <c r="B572" s="132" t="s">
        <v>8</v>
      </c>
      <c r="C572" s="132">
        <v>-7</v>
      </c>
      <c r="D572" s="132" t="str">
        <f t="shared" si="40"/>
        <v>3/8" Hex BAG Motor -7</v>
      </c>
      <c r="E572" s="132">
        <v>1</v>
      </c>
      <c r="F572" s="132">
        <v>1</v>
      </c>
      <c r="G572" s="132">
        <v>0</v>
      </c>
      <c r="H572" s="132">
        <v>0</v>
      </c>
      <c r="I572" s="132">
        <v>1</v>
      </c>
    </row>
    <row r="573" spans="1:9" ht="14.25" customHeight="1" x14ac:dyDescent="0.25">
      <c r="A573" s="132" t="s">
        <v>244</v>
      </c>
      <c r="B573" s="132" t="s">
        <v>8</v>
      </c>
      <c r="C573" s="132">
        <v>-9</v>
      </c>
      <c r="D573" s="132" t="str">
        <f t="shared" si="40"/>
        <v>3/8" Hex BAG Motor -9</v>
      </c>
      <c r="E573" s="132">
        <v>1</v>
      </c>
      <c r="F573" s="132">
        <v>1</v>
      </c>
      <c r="G573" s="132">
        <v>0</v>
      </c>
      <c r="H573" s="132">
        <v>0</v>
      </c>
      <c r="I573" s="132">
        <v>1</v>
      </c>
    </row>
    <row r="574" spans="1:9" ht="14.25" customHeight="1" x14ac:dyDescent="0.25">
      <c r="A574" s="132" t="s">
        <v>244</v>
      </c>
      <c r="B574" s="132" t="s">
        <v>8</v>
      </c>
      <c r="C574" s="132">
        <v>-10</v>
      </c>
      <c r="D574" s="132" t="str">
        <f t="shared" si="40"/>
        <v>3/8" Hex BAG Motor -10</v>
      </c>
      <c r="E574" s="132">
        <v>1</v>
      </c>
      <c r="F574" s="132">
        <v>1</v>
      </c>
      <c r="G574" s="132">
        <v>0</v>
      </c>
      <c r="H574" s="132">
        <v>0</v>
      </c>
      <c r="I574" s="132">
        <v>1</v>
      </c>
    </row>
    <row r="575" spans="1:9" ht="14.25" customHeight="1" x14ac:dyDescent="0.25">
      <c r="A575" s="132" t="s">
        <v>244</v>
      </c>
      <c r="B575" s="132" t="s">
        <v>8</v>
      </c>
      <c r="C575" s="132">
        <v>9</v>
      </c>
      <c r="D575" s="132" t="str">
        <f t="shared" ref="D575:D595" si="41">A575&amp;" "&amp;B575&amp;" "&amp;C575</f>
        <v>3/8" Hex BAG Motor 9</v>
      </c>
      <c r="E575" s="132">
        <v>10</v>
      </c>
      <c r="F575" s="132">
        <v>5</v>
      </c>
      <c r="G575" s="132">
        <v>0</v>
      </c>
      <c r="H575" s="132">
        <v>0</v>
      </c>
      <c r="I575" s="132">
        <v>9</v>
      </c>
    </row>
    <row r="576" spans="1:9" ht="14.25" customHeight="1" x14ac:dyDescent="0.25">
      <c r="A576" s="132" t="s">
        <v>244</v>
      </c>
      <c r="B576" s="132" t="s">
        <v>8</v>
      </c>
      <c r="C576" s="132">
        <v>12</v>
      </c>
      <c r="D576" s="132" t="str">
        <f t="shared" si="41"/>
        <v>3/8" Hex BAG Motor 12</v>
      </c>
      <c r="E576" s="132">
        <v>10</v>
      </c>
      <c r="F576" s="132">
        <v>5</v>
      </c>
      <c r="G576" s="132">
        <v>0</v>
      </c>
      <c r="H576" s="132">
        <v>0</v>
      </c>
      <c r="I576" s="132">
        <v>5</v>
      </c>
    </row>
    <row r="577" spans="1:9" ht="14.25" customHeight="1" x14ac:dyDescent="0.25">
      <c r="A577" s="132" t="s">
        <v>244</v>
      </c>
      <c r="B577" s="132" t="s">
        <v>8</v>
      </c>
      <c r="C577" s="132">
        <v>15</v>
      </c>
      <c r="D577" s="132" t="str">
        <f t="shared" si="41"/>
        <v>3/8" Hex BAG Motor 15</v>
      </c>
      <c r="E577" s="132">
        <v>7</v>
      </c>
      <c r="F577" s="132">
        <v>4</v>
      </c>
      <c r="G577" s="132">
        <v>0</v>
      </c>
      <c r="H577" s="132">
        <v>0</v>
      </c>
      <c r="I577" s="132">
        <v>5</v>
      </c>
    </row>
    <row r="578" spans="1:9" ht="14.25" customHeight="1" x14ac:dyDescent="0.25">
      <c r="A578" s="132" t="s">
        <v>244</v>
      </c>
      <c r="B578" s="132" t="s">
        <v>8</v>
      </c>
      <c r="C578" s="132">
        <v>16</v>
      </c>
      <c r="D578" s="132" t="str">
        <f t="shared" si="41"/>
        <v>3/8" Hex BAG Motor 16</v>
      </c>
      <c r="E578" s="132">
        <v>7</v>
      </c>
      <c r="F578" s="132">
        <v>3</v>
      </c>
      <c r="G578" s="132">
        <v>0</v>
      </c>
      <c r="H578" s="132">
        <v>0</v>
      </c>
      <c r="I578" s="132">
        <v>5</v>
      </c>
    </row>
    <row r="579" spans="1:9" ht="14.25" customHeight="1" x14ac:dyDescent="0.25">
      <c r="A579" s="132" t="s">
        <v>244</v>
      </c>
      <c r="B579" s="132" t="s">
        <v>8</v>
      </c>
      <c r="C579" s="132">
        <v>20</v>
      </c>
      <c r="D579" s="132" t="str">
        <f t="shared" si="41"/>
        <v>3/8" Hex BAG Motor 20</v>
      </c>
      <c r="E579" s="132">
        <v>5</v>
      </c>
      <c r="F579" s="132">
        <v>3</v>
      </c>
      <c r="G579" s="132">
        <v>0</v>
      </c>
      <c r="H579" s="132">
        <v>0</v>
      </c>
      <c r="I579" s="132">
        <v>4</v>
      </c>
    </row>
    <row r="580" spans="1:9" ht="14.25" customHeight="1" x14ac:dyDescent="0.25">
      <c r="A580" s="132" t="s">
        <v>244</v>
      </c>
      <c r="B580" s="132" t="s">
        <v>8</v>
      </c>
      <c r="C580" s="132">
        <v>21</v>
      </c>
      <c r="D580" s="132" t="str">
        <f t="shared" si="41"/>
        <v>3/8" Hex BAG Motor 21</v>
      </c>
      <c r="E580" s="132">
        <v>5</v>
      </c>
      <c r="F580" s="132">
        <v>1</v>
      </c>
      <c r="G580" s="132">
        <v>0</v>
      </c>
      <c r="H580" s="132">
        <v>0</v>
      </c>
      <c r="I580" s="132">
        <v>3</v>
      </c>
    </row>
    <row r="581" spans="1:9" ht="14.25" customHeight="1" x14ac:dyDescent="0.25">
      <c r="A581" s="132" t="s">
        <v>244</v>
      </c>
      <c r="B581" s="132" t="s">
        <v>8</v>
      </c>
      <c r="C581" s="132">
        <v>25</v>
      </c>
      <c r="D581" s="132" t="str">
        <f t="shared" si="41"/>
        <v>3/8" Hex BAG Motor 25</v>
      </c>
      <c r="E581" s="132">
        <v>5</v>
      </c>
      <c r="F581" s="132">
        <v>1</v>
      </c>
      <c r="G581" s="132">
        <v>0</v>
      </c>
      <c r="H581" s="132">
        <v>0</v>
      </c>
      <c r="I581" s="132">
        <v>3</v>
      </c>
    </row>
    <row r="582" spans="1:9" ht="14.25" customHeight="1" x14ac:dyDescent="0.25">
      <c r="A582" s="132" t="s">
        <v>244</v>
      </c>
      <c r="B582" s="132" t="s">
        <v>8</v>
      </c>
      <c r="C582" s="132">
        <v>27</v>
      </c>
      <c r="D582" s="132" t="str">
        <f t="shared" si="41"/>
        <v>3/8" Hex BAG Motor 27</v>
      </c>
      <c r="E582" s="132">
        <v>4</v>
      </c>
      <c r="F582" s="132">
        <v>1</v>
      </c>
      <c r="G582" s="132">
        <v>0</v>
      </c>
      <c r="H582" s="132">
        <v>0</v>
      </c>
      <c r="I582" s="132">
        <v>3</v>
      </c>
    </row>
    <row r="583" spans="1:9" ht="14.25" customHeight="1" x14ac:dyDescent="0.25">
      <c r="A583" s="132" t="s">
        <v>244</v>
      </c>
      <c r="B583" s="132" t="s">
        <v>8</v>
      </c>
      <c r="C583" s="132">
        <v>28</v>
      </c>
      <c r="D583" s="132" t="str">
        <f t="shared" si="41"/>
        <v>3/8" Hex BAG Motor 28</v>
      </c>
      <c r="E583" s="132">
        <v>4</v>
      </c>
      <c r="F583" s="132">
        <v>1</v>
      </c>
      <c r="G583" s="132">
        <v>0</v>
      </c>
      <c r="H583" s="132">
        <v>0</v>
      </c>
      <c r="I583" s="132">
        <v>1</v>
      </c>
    </row>
    <row r="584" spans="1:9" ht="14.25" customHeight="1" x14ac:dyDescent="0.25">
      <c r="A584" s="132" t="s">
        <v>244</v>
      </c>
      <c r="B584" s="132" t="s">
        <v>8</v>
      </c>
      <c r="C584" s="132">
        <v>30</v>
      </c>
      <c r="D584" s="132" t="str">
        <f t="shared" si="41"/>
        <v>3/8" Hex BAG Motor 30</v>
      </c>
      <c r="E584" s="132">
        <v>4</v>
      </c>
      <c r="F584" s="132">
        <v>1</v>
      </c>
      <c r="G584" s="132">
        <v>0</v>
      </c>
      <c r="H584" s="132">
        <v>0</v>
      </c>
      <c r="I584" s="132">
        <v>1</v>
      </c>
    </row>
    <row r="585" spans="1:9" ht="14.25" customHeight="1" x14ac:dyDescent="0.25">
      <c r="A585" s="132" t="s">
        <v>244</v>
      </c>
      <c r="B585" s="132" t="s">
        <v>8</v>
      </c>
      <c r="C585" s="132">
        <v>35</v>
      </c>
      <c r="D585" s="132" t="str">
        <f t="shared" si="41"/>
        <v>3/8" Hex BAG Motor 35</v>
      </c>
      <c r="E585" s="132">
        <v>3</v>
      </c>
      <c r="F585" s="132">
        <v>1</v>
      </c>
      <c r="G585" s="132">
        <v>0</v>
      </c>
      <c r="H585" s="132">
        <v>0</v>
      </c>
      <c r="I585" s="132">
        <v>1</v>
      </c>
    </row>
    <row r="586" spans="1:9" ht="14.25" customHeight="1" x14ac:dyDescent="0.25">
      <c r="A586" s="132" t="s">
        <v>244</v>
      </c>
      <c r="B586" s="132" t="s">
        <v>8</v>
      </c>
      <c r="C586" s="132">
        <v>36</v>
      </c>
      <c r="D586" s="132" t="str">
        <f t="shared" si="41"/>
        <v>3/8" Hex BAG Motor 36</v>
      </c>
      <c r="E586" s="132">
        <v>3</v>
      </c>
      <c r="F586" s="132">
        <v>1</v>
      </c>
      <c r="G586" s="132">
        <v>0</v>
      </c>
      <c r="H586" s="132">
        <v>0</v>
      </c>
      <c r="I586" s="132">
        <v>1</v>
      </c>
    </row>
    <row r="587" spans="1:9" ht="14.25" customHeight="1" x14ac:dyDescent="0.25">
      <c r="A587" s="132" t="s">
        <v>244</v>
      </c>
      <c r="B587" s="132" t="s">
        <v>8</v>
      </c>
      <c r="C587" s="132">
        <v>40</v>
      </c>
      <c r="D587" s="132" t="str">
        <f t="shared" si="41"/>
        <v>3/8" Hex BAG Motor 40</v>
      </c>
      <c r="E587" s="132">
        <v>3</v>
      </c>
      <c r="F587" s="132">
        <v>1</v>
      </c>
      <c r="G587" s="132">
        <v>0</v>
      </c>
      <c r="H587" s="132">
        <v>0</v>
      </c>
      <c r="I587" s="132">
        <v>1</v>
      </c>
    </row>
    <row r="588" spans="1:9" ht="14.25" customHeight="1" x14ac:dyDescent="0.25">
      <c r="A588" s="132" t="s">
        <v>244</v>
      </c>
      <c r="B588" s="132" t="s">
        <v>8</v>
      </c>
      <c r="C588" s="132">
        <v>45</v>
      </c>
      <c r="D588" s="132" t="str">
        <f t="shared" si="41"/>
        <v>3/8" Hex BAG Motor 45</v>
      </c>
      <c r="E588" s="132">
        <v>1</v>
      </c>
      <c r="F588" s="132">
        <v>1</v>
      </c>
      <c r="G588" s="132">
        <v>0</v>
      </c>
      <c r="H588" s="132">
        <v>0</v>
      </c>
      <c r="I588" s="132">
        <v>1</v>
      </c>
    </row>
    <row r="589" spans="1:9" ht="14.25" customHeight="1" x14ac:dyDescent="0.25">
      <c r="A589" s="132" t="s">
        <v>244</v>
      </c>
      <c r="B589" s="132" t="s">
        <v>8</v>
      </c>
      <c r="C589" s="132">
        <v>49</v>
      </c>
      <c r="D589" s="132" t="str">
        <f t="shared" si="41"/>
        <v>3/8" Hex BAG Motor 49</v>
      </c>
      <c r="E589" s="132">
        <v>1</v>
      </c>
      <c r="F589" s="132">
        <v>1</v>
      </c>
      <c r="G589" s="132">
        <v>0</v>
      </c>
      <c r="H589" s="132">
        <v>0</v>
      </c>
      <c r="I589" s="132">
        <v>1</v>
      </c>
    </row>
    <row r="590" spans="1:9" ht="14.25" customHeight="1" x14ac:dyDescent="0.25">
      <c r="A590" s="132" t="s">
        <v>244</v>
      </c>
      <c r="B590" s="132" t="s">
        <v>8</v>
      </c>
      <c r="C590" s="132">
        <v>50</v>
      </c>
      <c r="D590" s="132" t="str">
        <f t="shared" si="41"/>
        <v>3/8" Hex BAG Motor 50</v>
      </c>
      <c r="E590" s="132">
        <v>1</v>
      </c>
      <c r="F590" s="132">
        <v>1</v>
      </c>
      <c r="G590" s="132">
        <v>0</v>
      </c>
      <c r="H590" s="132">
        <v>0</v>
      </c>
      <c r="I590" s="132">
        <v>1</v>
      </c>
    </row>
    <row r="591" spans="1:9" ht="14.25" customHeight="1" x14ac:dyDescent="0.25">
      <c r="A591" s="132" t="s">
        <v>244</v>
      </c>
      <c r="B591" s="132" t="s">
        <v>8</v>
      </c>
      <c r="C591" s="132">
        <v>63</v>
      </c>
      <c r="D591" s="132" t="str">
        <f t="shared" si="41"/>
        <v>3/8" Hex BAG Motor 63</v>
      </c>
      <c r="E591" s="132">
        <v>1</v>
      </c>
      <c r="F591" s="132">
        <v>0</v>
      </c>
      <c r="G591" s="132">
        <v>0</v>
      </c>
      <c r="H591" s="132">
        <v>0</v>
      </c>
      <c r="I591" s="132">
        <v>1</v>
      </c>
    </row>
    <row r="592" spans="1:9" ht="14.25" customHeight="1" x14ac:dyDescent="0.25">
      <c r="A592" s="132" t="s">
        <v>244</v>
      </c>
      <c r="B592" s="132" t="s">
        <v>8</v>
      </c>
      <c r="C592" s="132">
        <v>70</v>
      </c>
      <c r="D592" s="132" t="str">
        <f t="shared" si="41"/>
        <v>3/8" Hex BAG Motor 70</v>
      </c>
      <c r="E592" s="132">
        <v>1</v>
      </c>
      <c r="F592" s="132">
        <v>0</v>
      </c>
      <c r="G592" s="132">
        <v>0</v>
      </c>
      <c r="H592" s="132">
        <v>0</v>
      </c>
      <c r="I592" s="132">
        <v>1</v>
      </c>
    </row>
    <row r="593" spans="1:9" ht="14.25" customHeight="1" x14ac:dyDescent="0.25">
      <c r="A593" s="132" t="s">
        <v>244</v>
      </c>
      <c r="B593" s="132" t="s">
        <v>8</v>
      </c>
      <c r="C593" s="132">
        <v>81</v>
      </c>
      <c r="D593" s="132" t="str">
        <f t="shared" si="41"/>
        <v>3/8" Hex BAG Motor 81</v>
      </c>
      <c r="E593" s="132">
        <v>1</v>
      </c>
      <c r="F593" s="132">
        <v>0</v>
      </c>
      <c r="G593" s="132">
        <v>0</v>
      </c>
      <c r="H593" s="132">
        <v>0</v>
      </c>
      <c r="I593" s="132">
        <v>1</v>
      </c>
    </row>
    <row r="594" spans="1:9" ht="14.25" customHeight="1" x14ac:dyDescent="0.25">
      <c r="A594" s="132" t="s">
        <v>244</v>
      </c>
      <c r="B594" s="132" t="s">
        <v>8</v>
      </c>
      <c r="C594" s="132">
        <v>90</v>
      </c>
      <c r="D594" s="132" t="str">
        <f t="shared" si="41"/>
        <v>3/8" Hex BAG Motor 90</v>
      </c>
      <c r="E594" s="132">
        <v>1</v>
      </c>
      <c r="F594" s="132">
        <v>0</v>
      </c>
      <c r="G594" s="132">
        <v>0</v>
      </c>
      <c r="H594" s="132">
        <v>0</v>
      </c>
      <c r="I594" s="132">
        <v>0</v>
      </c>
    </row>
    <row r="595" spans="1:9" ht="14.25" customHeight="1" x14ac:dyDescent="0.25">
      <c r="A595" s="132" t="s">
        <v>244</v>
      </c>
      <c r="B595" s="132" t="s">
        <v>8</v>
      </c>
      <c r="C595" s="132">
        <v>100</v>
      </c>
      <c r="D595" s="132" t="str">
        <f t="shared" si="41"/>
        <v>3/8" Hex BAG Motor 100</v>
      </c>
      <c r="E595" s="132">
        <v>1</v>
      </c>
      <c r="F595" s="132">
        <v>0</v>
      </c>
      <c r="G595" s="132">
        <v>0</v>
      </c>
      <c r="H595" s="132">
        <v>0</v>
      </c>
      <c r="I595" s="132">
        <v>0</v>
      </c>
    </row>
    <row r="596" spans="1:9" ht="14.25" customHeight="1" x14ac:dyDescent="0.25">
      <c r="A596" s="132" t="s">
        <v>244</v>
      </c>
      <c r="B596" s="132" t="s">
        <v>256</v>
      </c>
      <c r="C596" s="132">
        <v>-3</v>
      </c>
      <c r="D596" s="132" t="str">
        <f t="shared" ref="D596:D601" si="42">A596&amp;" "&amp;B596&amp;" "&amp;C596</f>
        <v>3/8" Hex 775pro -3</v>
      </c>
      <c r="E596" s="132">
        <v>1</v>
      </c>
      <c r="F596" s="132">
        <v>1</v>
      </c>
      <c r="G596" s="132">
        <v>0</v>
      </c>
      <c r="H596" s="132">
        <v>0</v>
      </c>
      <c r="I596" s="132">
        <v>1</v>
      </c>
    </row>
    <row r="597" spans="1:9" ht="14.25" customHeight="1" x14ac:dyDescent="0.25">
      <c r="A597" s="132" t="s">
        <v>244</v>
      </c>
      <c r="B597" s="132" t="s">
        <v>256</v>
      </c>
      <c r="C597" s="132">
        <v>-4</v>
      </c>
      <c r="D597" s="132" t="str">
        <f t="shared" si="42"/>
        <v>3/8" Hex 775pro -4</v>
      </c>
      <c r="E597" s="132">
        <v>1</v>
      </c>
      <c r="F597" s="132">
        <v>1</v>
      </c>
      <c r="G597" s="132">
        <v>0</v>
      </c>
      <c r="H597" s="132">
        <v>0</v>
      </c>
      <c r="I597" s="132">
        <v>1</v>
      </c>
    </row>
    <row r="598" spans="1:9" ht="14.25" customHeight="1" x14ac:dyDescent="0.25">
      <c r="A598" s="132" t="s">
        <v>244</v>
      </c>
      <c r="B598" s="132" t="s">
        <v>256</v>
      </c>
      <c r="C598" s="132">
        <v>-5</v>
      </c>
      <c r="D598" s="132" t="str">
        <f t="shared" si="42"/>
        <v>3/8" Hex 775pro -5</v>
      </c>
      <c r="E598" s="132">
        <v>1</v>
      </c>
      <c r="F598" s="132">
        <v>1</v>
      </c>
      <c r="G598" s="132">
        <v>0</v>
      </c>
      <c r="H598" s="132">
        <v>0</v>
      </c>
      <c r="I598" s="132">
        <v>1</v>
      </c>
    </row>
    <row r="599" spans="1:9" ht="14.25" customHeight="1" x14ac:dyDescent="0.25">
      <c r="A599" s="132" t="s">
        <v>244</v>
      </c>
      <c r="B599" s="132" t="s">
        <v>256</v>
      </c>
      <c r="C599" s="132">
        <v>-7</v>
      </c>
      <c r="D599" s="132" t="str">
        <f t="shared" si="42"/>
        <v>3/8" Hex 775pro -7</v>
      </c>
      <c r="E599" s="132">
        <v>1</v>
      </c>
      <c r="F599" s="132">
        <v>1</v>
      </c>
      <c r="G599" s="132">
        <v>0</v>
      </c>
      <c r="H599" s="132">
        <v>0</v>
      </c>
      <c r="I599" s="132">
        <v>1</v>
      </c>
    </row>
    <row r="600" spans="1:9" ht="14.25" customHeight="1" x14ac:dyDescent="0.25">
      <c r="A600" s="132" t="s">
        <v>244</v>
      </c>
      <c r="B600" s="132" t="s">
        <v>256</v>
      </c>
      <c r="C600" s="132">
        <v>-9</v>
      </c>
      <c r="D600" s="132" t="str">
        <f t="shared" si="42"/>
        <v>3/8" Hex 775pro -9</v>
      </c>
      <c r="E600" s="132">
        <v>1</v>
      </c>
      <c r="F600" s="132">
        <v>1</v>
      </c>
      <c r="G600" s="132">
        <v>0</v>
      </c>
      <c r="H600" s="132">
        <v>0</v>
      </c>
      <c r="I600" s="132">
        <v>1</v>
      </c>
    </row>
    <row r="601" spans="1:9" ht="14.25" customHeight="1" x14ac:dyDescent="0.25">
      <c r="A601" s="132" t="s">
        <v>244</v>
      </c>
      <c r="B601" s="132" t="s">
        <v>256</v>
      </c>
      <c r="C601" s="132">
        <v>-10</v>
      </c>
      <c r="D601" s="132" t="str">
        <f t="shared" si="42"/>
        <v>3/8" Hex 775pro -10</v>
      </c>
      <c r="E601" s="132">
        <v>1</v>
      </c>
      <c r="F601" s="132">
        <v>1</v>
      </c>
      <c r="G601" s="132">
        <v>0</v>
      </c>
      <c r="H601" s="132">
        <v>0</v>
      </c>
      <c r="I601" s="132">
        <v>1</v>
      </c>
    </row>
    <row r="602" spans="1:9" ht="14.25" customHeight="1" x14ac:dyDescent="0.25">
      <c r="A602" s="132" t="s">
        <v>244</v>
      </c>
      <c r="B602" s="132" t="s">
        <v>256</v>
      </c>
      <c r="C602" s="132">
        <v>9</v>
      </c>
      <c r="D602" s="132" t="str">
        <f t="shared" ref="D602:D622" si="43">A602&amp;" "&amp;B602&amp;" "&amp;C602</f>
        <v>3/8" Hex 775pro 9</v>
      </c>
      <c r="E602" s="132">
        <v>7</v>
      </c>
      <c r="F602" s="132">
        <v>4</v>
      </c>
      <c r="G602" s="132">
        <v>0</v>
      </c>
      <c r="H602" s="132">
        <v>0</v>
      </c>
      <c r="I602" s="132">
        <v>5</v>
      </c>
    </row>
    <row r="603" spans="1:9" ht="14.25" customHeight="1" x14ac:dyDescent="0.25">
      <c r="A603" s="132" t="s">
        <v>244</v>
      </c>
      <c r="B603" s="132" t="s">
        <v>256</v>
      </c>
      <c r="C603" s="132">
        <v>12</v>
      </c>
      <c r="D603" s="132" t="str">
        <f t="shared" si="43"/>
        <v>3/8" Hex 775pro 12</v>
      </c>
      <c r="E603" s="132">
        <v>5</v>
      </c>
      <c r="F603" s="132">
        <v>3</v>
      </c>
      <c r="G603" s="132">
        <v>0</v>
      </c>
      <c r="H603" s="132">
        <v>0</v>
      </c>
      <c r="I603" s="132">
        <v>4</v>
      </c>
    </row>
    <row r="604" spans="1:9" ht="14.25" customHeight="1" x14ac:dyDescent="0.25">
      <c r="A604" s="132" t="s">
        <v>244</v>
      </c>
      <c r="B604" s="132" t="s">
        <v>256</v>
      </c>
      <c r="C604" s="132">
        <v>15</v>
      </c>
      <c r="D604" s="132" t="str">
        <f t="shared" si="43"/>
        <v>3/8" Hex 775pro 15</v>
      </c>
      <c r="E604" s="132">
        <v>5</v>
      </c>
      <c r="F604" s="132">
        <v>1</v>
      </c>
      <c r="G604" s="132">
        <v>0</v>
      </c>
      <c r="H604" s="132">
        <v>0</v>
      </c>
      <c r="I604" s="132">
        <v>3</v>
      </c>
    </row>
    <row r="605" spans="1:9" ht="14.25" customHeight="1" x14ac:dyDescent="0.25">
      <c r="A605" s="132" t="s">
        <v>244</v>
      </c>
      <c r="B605" s="132" t="s">
        <v>256</v>
      </c>
      <c r="C605" s="132">
        <v>16</v>
      </c>
      <c r="D605" s="132" t="str">
        <f t="shared" si="43"/>
        <v>3/8" Hex 775pro 16</v>
      </c>
      <c r="E605" s="132">
        <v>4</v>
      </c>
      <c r="F605" s="132">
        <v>1</v>
      </c>
      <c r="G605" s="132">
        <v>0</v>
      </c>
      <c r="H605" s="132">
        <v>0</v>
      </c>
      <c r="I605" s="132">
        <v>3</v>
      </c>
    </row>
    <row r="606" spans="1:9" ht="14.25" customHeight="1" x14ac:dyDescent="0.25">
      <c r="A606" s="132" t="s">
        <v>244</v>
      </c>
      <c r="B606" s="132" t="s">
        <v>256</v>
      </c>
      <c r="C606" s="132">
        <v>20</v>
      </c>
      <c r="D606" s="132" t="str">
        <f t="shared" si="43"/>
        <v>3/8" Hex 775pro 20</v>
      </c>
      <c r="E606" s="132">
        <v>3</v>
      </c>
      <c r="F606" s="132">
        <v>1</v>
      </c>
      <c r="G606" s="132">
        <v>0</v>
      </c>
      <c r="H606" s="132">
        <v>0</v>
      </c>
      <c r="I606" s="132">
        <v>1</v>
      </c>
    </row>
    <row r="607" spans="1:9" ht="14.25" customHeight="1" x14ac:dyDescent="0.25">
      <c r="A607" s="132" t="s">
        <v>244</v>
      </c>
      <c r="B607" s="132" t="s">
        <v>256</v>
      </c>
      <c r="C607" s="132">
        <v>21</v>
      </c>
      <c r="D607" s="132" t="str">
        <f t="shared" si="43"/>
        <v>3/8" Hex 775pro 21</v>
      </c>
      <c r="E607" s="132">
        <v>3</v>
      </c>
      <c r="F607" s="132">
        <v>1</v>
      </c>
      <c r="G607" s="132">
        <v>0</v>
      </c>
      <c r="H607" s="132">
        <v>0</v>
      </c>
      <c r="I607" s="132">
        <v>1</v>
      </c>
    </row>
    <row r="608" spans="1:9" ht="14.25" customHeight="1" x14ac:dyDescent="0.25">
      <c r="A608" s="132" t="s">
        <v>244</v>
      </c>
      <c r="B608" s="132" t="s">
        <v>256</v>
      </c>
      <c r="C608" s="132">
        <v>25</v>
      </c>
      <c r="D608" s="132" t="str">
        <f t="shared" si="43"/>
        <v>3/8" Hex 775pro 25</v>
      </c>
      <c r="E608" s="132">
        <v>3</v>
      </c>
      <c r="F608" s="132">
        <v>1</v>
      </c>
      <c r="G608" s="132">
        <v>0</v>
      </c>
      <c r="H608" s="132">
        <v>0</v>
      </c>
      <c r="I608" s="132">
        <v>1</v>
      </c>
    </row>
    <row r="609" spans="1:9" ht="14.25" customHeight="1" x14ac:dyDescent="0.25">
      <c r="A609" s="132" t="s">
        <v>244</v>
      </c>
      <c r="B609" s="132" t="s">
        <v>256</v>
      </c>
      <c r="C609" s="132">
        <v>27</v>
      </c>
      <c r="D609" s="132" t="str">
        <f t="shared" si="43"/>
        <v>3/8" Hex 775pro 27</v>
      </c>
      <c r="E609" s="132">
        <v>1</v>
      </c>
      <c r="F609" s="132">
        <v>1</v>
      </c>
      <c r="G609" s="132">
        <v>0</v>
      </c>
      <c r="H609" s="132">
        <v>0</v>
      </c>
      <c r="I609" s="132">
        <v>1</v>
      </c>
    </row>
    <row r="610" spans="1:9" ht="14.25" customHeight="1" x14ac:dyDescent="0.25">
      <c r="A610" s="132" t="s">
        <v>244</v>
      </c>
      <c r="B610" s="132" t="s">
        <v>256</v>
      </c>
      <c r="C610" s="132">
        <v>28</v>
      </c>
      <c r="D610" s="132" t="str">
        <f t="shared" si="43"/>
        <v>3/8" Hex 775pro 28</v>
      </c>
      <c r="E610" s="132">
        <v>1</v>
      </c>
      <c r="F610" s="132">
        <v>1</v>
      </c>
      <c r="G610" s="132">
        <v>0</v>
      </c>
      <c r="H610" s="132">
        <v>0</v>
      </c>
      <c r="I610" s="132">
        <v>1</v>
      </c>
    </row>
    <row r="611" spans="1:9" ht="14.25" customHeight="1" x14ac:dyDescent="0.25">
      <c r="A611" s="132" t="s">
        <v>244</v>
      </c>
      <c r="B611" s="132" t="s">
        <v>256</v>
      </c>
      <c r="C611" s="132">
        <v>30</v>
      </c>
      <c r="D611" s="132" t="str">
        <f t="shared" si="43"/>
        <v>3/8" Hex 775pro 30</v>
      </c>
      <c r="E611" s="132">
        <v>1</v>
      </c>
      <c r="F611" s="132">
        <v>1</v>
      </c>
      <c r="G611" s="132">
        <v>0</v>
      </c>
      <c r="H611" s="132">
        <v>0</v>
      </c>
      <c r="I611" s="132">
        <v>1</v>
      </c>
    </row>
    <row r="612" spans="1:9" ht="14.25" customHeight="1" x14ac:dyDescent="0.25">
      <c r="A612" s="132" t="s">
        <v>244</v>
      </c>
      <c r="B612" s="132" t="s">
        <v>256</v>
      </c>
      <c r="C612" s="132">
        <v>35</v>
      </c>
      <c r="D612" s="132" t="str">
        <f t="shared" si="43"/>
        <v>3/8" Hex 775pro 35</v>
      </c>
      <c r="E612" s="132">
        <v>1</v>
      </c>
      <c r="F612" s="132">
        <v>1</v>
      </c>
      <c r="G612" s="132">
        <v>0</v>
      </c>
      <c r="H612" s="132">
        <v>0</v>
      </c>
      <c r="I612" s="132">
        <v>1</v>
      </c>
    </row>
    <row r="613" spans="1:9" ht="14.25" customHeight="1" x14ac:dyDescent="0.25">
      <c r="A613" s="132" t="s">
        <v>244</v>
      </c>
      <c r="B613" s="132" t="s">
        <v>256</v>
      </c>
      <c r="C613" s="132">
        <v>36</v>
      </c>
      <c r="D613" s="132" t="str">
        <f t="shared" si="43"/>
        <v>3/8" Hex 775pro 36</v>
      </c>
      <c r="E613" s="132">
        <v>1</v>
      </c>
      <c r="F613" s="132">
        <v>1</v>
      </c>
      <c r="G613" s="132">
        <v>0</v>
      </c>
      <c r="H613" s="132">
        <v>0</v>
      </c>
      <c r="I613" s="132">
        <v>1</v>
      </c>
    </row>
    <row r="614" spans="1:9" ht="14.25" customHeight="1" x14ac:dyDescent="0.25">
      <c r="A614" s="132" t="s">
        <v>244</v>
      </c>
      <c r="B614" s="132" t="s">
        <v>256</v>
      </c>
      <c r="C614" s="132">
        <v>40</v>
      </c>
      <c r="D614" s="132" t="str">
        <f t="shared" si="43"/>
        <v>3/8" Hex 775pro 40</v>
      </c>
      <c r="E614" s="132">
        <v>1</v>
      </c>
      <c r="F614" s="132">
        <v>0</v>
      </c>
      <c r="G614" s="132">
        <v>0</v>
      </c>
      <c r="H614" s="132">
        <v>0</v>
      </c>
      <c r="I614" s="132">
        <v>1</v>
      </c>
    </row>
    <row r="615" spans="1:9" ht="14.25" customHeight="1" x14ac:dyDescent="0.25">
      <c r="A615" s="132" t="s">
        <v>244</v>
      </c>
      <c r="B615" s="132" t="s">
        <v>256</v>
      </c>
      <c r="C615" s="132">
        <v>45</v>
      </c>
      <c r="D615" s="132" t="str">
        <f t="shared" si="43"/>
        <v>3/8" Hex 775pro 45</v>
      </c>
      <c r="E615" s="132">
        <v>1</v>
      </c>
      <c r="F615" s="132">
        <v>0</v>
      </c>
      <c r="G615" s="132">
        <v>0</v>
      </c>
      <c r="H615" s="132">
        <v>0</v>
      </c>
      <c r="I615" s="132">
        <v>1</v>
      </c>
    </row>
    <row r="616" spans="1:9" ht="14.25" customHeight="1" x14ac:dyDescent="0.25">
      <c r="A616" s="132" t="s">
        <v>244</v>
      </c>
      <c r="B616" s="132" t="s">
        <v>256</v>
      </c>
      <c r="C616" s="132">
        <v>49</v>
      </c>
      <c r="D616" s="132" t="str">
        <f t="shared" si="43"/>
        <v>3/8" Hex 775pro 49</v>
      </c>
      <c r="E616" s="132">
        <v>1</v>
      </c>
      <c r="F616" s="132">
        <v>0</v>
      </c>
      <c r="G616" s="132">
        <v>0</v>
      </c>
      <c r="H616" s="132">
        <v>0</v>
      </c>
      <c r="I616" s="132">
        <v>1</v>
      </c>
    </row>
    <row r="617" spans="1:9" ht="14.25" customHeight="1" x14ac:dyDescent="0.25">
      <c r="A617" s="132" t="s">
        <v>244</v>
      </c>
      <c r="B617" s="132" t="s">
        <v>256</v>
      </c>
      <c r="C617" s="132">
        <v>50</v>
      </c>
      <c r="D617" s="132" t="str">
        <f t="shared" si="43"/>
        <v>3/8" Hex 775pro 50</v>
      </c>
      <c r="E617" s="132">
        <v>1</v>
      </c>
      <c r="F617" s="132">
        <v>0</v>
      </c>
      <c r="G617" s="132">
        <v>0</v>
      </c>
      <c r="H617" s="132">
        <v>0</v>
      </c>
      <c r="I617" s="132">
        <v>0</v>
      </c>
    </row>
    <row r="618" spans="1:9" ht="14.25" customHeight="1" x14ac:dyDescent="0.25">
      <c r="A618" s="132" t="s">
        <v>244</v>
      </c>
      <c r="B618" s="132" t="s">
        <v>256</v>
      </c>
      <c r="C618" s="132">
        <v>63</v>
      </c>
      <c r="D618" s="132" t="str">
        <f t="shared" si="43"/>
        <v>3/8" Hex 775pro 63</v>
      </c>
      <c r="E618" s="132">
        <v>1</v>
      </c>
      <c r="F618" s="132">
        <v>0</v>
      </c>
      <c r="G618" s="132">
        <v>0</v>
      </c>
      <c r="H618" s="132">
        <v>0</v>
      </c>
      <c r="I618" s="132">
        <v>0</v>
      </c>
    </row>
    <row r="619" spans="1:9" ht="14.25" customHeight="1" x14ac:dyDescent="0.25">
      <c r="A619" s="132" t="s">
        <v>244</v>
      </c>
      <c r="B619" s="132" t="s">
        <v>256</v>
      </c>
      <c r="C619" s="132">
        <v>70</v>
      </c>
      <c r="D619" s="132" t="str">
        <f t="shared" si="43"/>
        <v>3/8" Hex 775pro 70</v>
      </c>
      <c r="E619" s="132">
        <v>1</v>
      </c>
      <c r="F619" s="132">
        <v>0</v>
      </c>
      <c r="G619" s="132">
        <v>0</v>
      </c>
      <c r="H619" s="132">
        <v>0</v>
      </c>
      <c r="I619" s="132">
        <v>0</v>
      </c>
    </row>
    <row r="620" spans="1:9" ht="14.25" customHeight="1" x14ac:dyDescent="0.25">
      <c r="A620" s="132" t="s">
        <v>244</v>
      </c>
      <c r="B620" s="132" t="s">
        <v>256</v>
      </c>
      <c r="C620" s="132">
        <v>81</v>
      </c>
      <c r="D620" s="132" t="str">
        <f t="shared" si="43"/>
        <v>3/8" Hex 775pro 81</v>
      </c>
      <c r="E620" s="132">
        <v>0</v>
      </c>
      <c r="F620" s="132">
        <v>0</v>
      </c>
      <c r="G620" s="132">
        <v>0</v>
      </c>
      <c r="H620" s="132">
        <v>0</v>
      </c>
      <c r="I620" s="132">
        <v>0</v>
      </c>
    </row>
    <row r="621" spans="1:9" ht="14.25" customHeight="1" x14ac:dyDescent="0.25">
      <c r="A621" s="132" t="s">
        <v>244</v>
      </c>
      <c r="B621" s="132" t="s">
        <v>256</v>
      </c>
      <c r="C621" s="132">
        <v>90</v>
      </c>
      <c r="D621" s="132" t="str">
        <f t="shared" si="43"/>
        <v>3/8" Hex 775pro 90</v>
      </c>
      <c r="E621" s="132">
        <v>0</v>
      </c>
      <c r="F621" s="132">
        <v>0</v>
      </c>
      <c r="G621" s="132">
        <v>0</v>
      </c>
      <c r="H621" s="132">
        <v>0</v>
      </c>
      <c r="I621" s="132">
        <v>0</v>
      </c>
    </row>
    <row r="622" spans="1:9" ht="14.25" customHeight="1" x14ac:dyDescent="0.25">
      <c r="A622" s="132" t="s">
        <v>244</v>
      </c>
      <c r="B622" s="132" t="s">
        <v>256</v>
      </c>
      <c r="C622" s="132">
        <v>100</v>
      </c>
      <c r="D622" s="132" t="str">
        <f t="shared" si="43"/>
        <v>3/8" Hex 775pro 100</v>
      </c>
      <c r="E622" s="132">
        <v>0</v>
      </c>
      <c r="F622" s="132">
        <v>0</v>
      </c>
      <c r="G622" s="132">
        <v>0</v>
      </c>
      <c r="H622" s="132">
        <v>0</v>
      </c>
      <c r="I622" s="132">
        <v>0</v>
      </c>
    </row>
    <row r="623" spans="1:9" ht="14.25" customHeight="1" x14ac:dyDescent="0.25">
      <c r="A623" s="132" t="s">
        <v>244</v>
      </c>
      <c r="B623" s="132" t="s">
        <v>7</v>
      </c>
      <c r="C623" s="132">
        <v>-3</v>
      </c>
      <c r="D623" s="132" t="str">
        <f t="shared" ref="D623:D628" si="44">A623&amp;" "&amp;B623&amp;" "&amp;C623</f>
        <v>3/8" Hex Mini CIM -3</v>
      </c>
      <c r="E623" s="132">
        <v>1</v>
      </c>
      <c r="I623" s="132">
        <v>0</v>
      </c>
    </row>
    <row r="624" spans="1:9" ht="14.25" customHeight="1" x14ac:dyDescent="0.25">
      <c r="A624" s="132" t="s">
        <v>244</v>
      </c>
      <c r="B624" s="132" t="s">
        <v>7</v>
      </c>
      <c r="C624" s="132">
        <v>-4</v>
      </c>
      <c r="D624" s="132" t="str">
        <f t="shared" si="44"/>
        <v>3/8" Hex Mini CIM -4</v>
      </c>
      <c r="E624" s="132">
        <v>1</v>
      </c>
      <c r="I624" s="132">
        <v>0</v>
      </c>
    </row>
    <row r="625" spans="1:9" ht="14.25" customHeight="1" x14ac:dyDescent="0.25">
      <c r="A625" s="132" t="s">
        <v>244</v>
      </c>
      <c r="B625" s="132" t="s">
        <v>7</v>
      </c>
      <c r="C625" s="132">
        <v>-5</v>
      </c>
      <c r="D625" s="132" t="str">
        <f t="shared" si="44"/>
        <v>3/8" Hex Mini CIM -5</v>
      </c>
      <c r="E625" s="132">
        <v>1</v>
      </c>
      <c r="I625" s="132">
        <v>0</v>
      </c>
    </row>
    <row r="626" spans="1:9" ht="14.25" customHeight="1" x14ac:dyDescent="0.25">
      <c r="A626" s="132" t="s">
        <v>244</v>
      </c>
      <c r="B626" s="132" t="s">
        <v>7</v>
      </c>
      <c r="C626" s="132">
        <v>-7</v>
      </c>
      <c r="D626" s="132" t="str">
        <f t="shared" si="44"/>
        <v>3/8" Hex Mini CIM -7</v>
      </c>
      <c r="E626" s="132">
        <v>1</v>
      </c>
      <c r="I626" s="132">
        <v>0</v>
      </c>
    </row>
    <row r="627" spans="1:9" ht="14.25" customHeight="1" x14ac:dyDescent="0.25">
      <c r="A627" s="132" t="s">
        <v>244</v>
      </c>
      <c r="B627" s="132" t="s">
        <v>7</v>
      </c>
      <c r="C627" s="132">
        <v>-9</v>
      </c>
      <c r="D627" s="132" t="str">
        <f t="shared" si="44"/>
        <v>3/8" Hex Mini CIM -9</v>
      </c>
      <c r="E627" s="132">
        <v>1</v>
      </c>
      <c r="I627" s="132">
        <v>0</v>
      </c>
    </row>
    <row r="628" spans="1:9" ht="14.25" customHeight="1" x14ac:dyDescent="0.25">
      <c r="A628" s="132" t="s">
        <v>244</v>
      </c>
      <c r="B628" s="132" t="s">
        <v>7</v>
      </c>
      <c r="C628" s="132">
        <v>-10</v>
      </c>
      <c r="D628" s="132" t="str">
        <f t="shared" si="44"/>
        <v>3/8" Hex Mini CIM -10</v>
      </c>
      <c r="E628" s="132">
        <v>1</v>
      </c>
      <c r="I628" s="132">
        <v>0</v>
      </c>
    </row>
    <row r="629" spans="1:9" ht="14.25" customHeight="1" x14ac:dyDescent="0.25">
      <c r="A629" s="132" t="s">
        <v>244</v>
      </c>
      <c r="B629" s="132" t="s">
        <v>7</v>
      </c>
      <c r="C629" s="132">
        <v>9</v>
      </c>
      <c r="D629" s="132" t="str">
        <f t="shared" ref="D629:D649" si="45">A629&amp;" "&amp;B629&amp;" "&amp;C629</f>
        <v>3/8" Hex Mini CIM 9</v>
      </c>
      <c r="E629" s="132">
        <v>4</v>
      </c>
      <c r="I629" s="132">
        <v>0</v>
      </c>
    </row>
    <row r="630" spans="1:9" ht="14.25" customHeight="1" x14ac:dyDescent="0.25">
      <c r="A630" s="132" t="s">
        <v>244</v>
      </c>
      <c r="B630" s="132" t="s">
        <v>7</v>
      </c>
      <c r="C630" s="132">
        <v>12</v>
      </c>
      <c r="D630" s="132" t="str">
        <f t="shared" si="45"/>
        <v>3/8" Hex Mini CIM 12</v>
      </c>
      <c r="E630" s="132">
        <v>3</v>
      </c>
      <c r="I630" s="132">
        <v>0</v>
      </c>
    </row>
    <row r="631" spans="1:9" ht="14.25" customHeight="1" x14ac:dyDescent="0.25">
      <c r="A631" s="132" t="s">
        <v>244</v>
      </c>
      <c r="B631" s="132" t="s">
        <v>7</v>
      </c>
      <c r="C631" s="132">
        <v>15</v>
      </c>
      <c r="D631" s="132" t="str">
        <f t="shared" si="45"/>
        <v>3/8" Hex Mini CIM 15</v>
      </c>
      <c r="E631" s="132">
        <v>1</v>
      </c>
      <c r="I631" s="132">
        <v>0</v>
      </c>
    </row>
    <row r="632" spans="1:9" ht="14.25" customHeight="1" x14ac:dyDescent="0.25">
      <c r="A632" s="132" t="s">
        <v>244</v>
      </c>
      <c r="B632" s="132" t="s">
        <v>7</v>
      </c>
      <c r="C632" s="132">
        <v>16</v>
      </c>
      <c r="D632" s="132" t="str">
        <f t="shared" si="45"/>
        <v>3/8" Hex Mini CIM 16</v>
      </c>
      <c r="E632" s="132">
        <v>1</v>
      </c>
      <c r="I632" s="132">
        <v>0</v>
      </c>
    </row>
    <row r="633" spans="1:9" ht="14.25" customHeight="1" x14ac:dyDescent="0.25">
      <c r="A633" s="132" t="s">
        <v>244</v>
      </c>
      <c r="B633" s="132" t="s">
        <v>7</v>
      </c>
      <c r="C633" s="132">
        <v>20</v>
      </c>
      <c r="D633" s="132" t="str">
        <f t="shared" si="45"/>
        <v>3/8" Hex Mini CIM 20</v>
      </c>
      <c r="E633" s="132">
        <v>1</v>
      </c>
      <c r="I633" s="132">
        <v>0</v>
      </c>
    </row>
    <row r="634" spans="1:9" ht="14.25" customHeight="1" x14ac:dyDescent="0.25">
      <c r="A634" s="132" t="s">
        <v>244</v>
      </c>
      <c r="B634" s="132" t="s">
        <v>7</v>
      </c>
      <c r="C634" s="132">
        <v>21</v>
      </c>
      <c r="D634" s="132" t="str">
        <f t="shared" si="45"/>
        <v>3/8" Hex Mini CIM 21</v>
      </c>
      <c r="E634" s="132">
        <v>1</v>
      </c>
      <c r="I634" s="132">
        <v>0</v>
      </c>
    </row>
    <row r="635" spans="1:9" ht="14.25" customHeight="1" x14ac:dyDescent="0.25">
      <c r="A635" s="132" t="s">
        <v>244</v>
      </c>
      <c r="B635" s="132" t="s">
        <v>7</v>
      </c>
      <c r="C635" s="132">
        <v>25</v>
      </c>
      <c r="D635" s="132" t="str">
        <f t="shared" si="45"/>
        <v>3/8" Hex Mini CIM 25</v>
      </c>
      <c r="E635" s="132">
        <v>1</v>
      </c>
      <c r="I635" s="132">
        <v>0</v>
      </c>
    </row>
    <row r="636" spans="1:9" ht="14.25" customHeight="1" x14ac:dyDescent="0.25">
      <c r="A636" s="132" t="s">
        <v>244</v>
      </c>
      <c r="B636" s="132" t="s">
        <v>7</v>
      </c>
      <c r="C636" s="132">
        <v>27</v>
      </c>
      <c r="D636" s="132" t="str">
        <f t="shared" si="45"/>
        <v>3/8" Hex Mini CIM 27</v>
      </c>
      <c r="E636" s="132">
        <v>1</v>
      </c>
      <c r="I636" s="132">
        <v>0</v>
      </c>
    </row>
    <row r="637" spans="1:9" ht="14.25" customHeight="1" x14ac:dyDescent="0.25">
      <c r="A637" s="132" t="s">
        <v>244</v>
      </c>
      <c r="B637" s="132" t="s">
        <v>7</v>
      </c>
      <c r="C637" s="132">
        <v>28</v>
      </c>
      <c r="D637" s="132" t="str">
        <f t="shared" si="45"/>
        <v>3/8" Hex Mini CIM 28</v>
      </c>
      <c r="E637" s="132">
        <v>1</v>
      </c>
      <c r="I637" s="132">
        <v>0</v>
      </c>
    </row>
    <row r="638" spans="1:9" ht="14.25" customHeight="1" x14ac:dyDescent="0.25">
      <c r="A638" s="132" t="s">
        <v>244</v>
      </c>
      <c r="B638" s="132" t="s">
        <v>7</v>
      </c>
      <c r="C638" s="132">
        <v>30</v>
      </c>
      <c r="D638" s="132" t="str">
        <f t="shared" si="45"/>
        <v>3/8" Hex Mini CIM 30</v>
      </c>
      <c r="E638" s="132">
        <v>1</v>
      </c>
      <c r="I638" s="132">
        <v>0</v>
      </c>
    </row>
    <row r="639" spans="1:9" ht="14.25" customHeight="1" x14ac:dyDescent="0.25">
      <c r="A639" s="132" t="s">
        <v>244</v>
      </c>
      <c r="B639" s="132" t="s">
        <v>7</v>
      </c>
      <c r="C639" s="132">
        <v>35</v>
      </c>
      <c r="D639" s="132" t="str">
        <f t="shared" si="45"/>
        <v>3/8" Hex Mini CIM 35</v>
      </c>
      <c r="E639" s="132">
        <v>1</v>
      </c>
      <c r="I639" s="132">
        <v>0</v>
      </c>
    </row>
    <row r="640" spans="1:9" ht="14.25" customHeight="1" x14ac:dyDescent="0.25">
      <c r="A640" s="132" t="s">
        <v>244</v>
      </c>
      <c r="B640" s="132" t="s">
        <v>7</v>
      </c>
      <c r="C640" s="132">
        <v>36</v>
      </c>
      <c r="D640" s="132" t="str">
        <f t="shared" si="45"/>
        <v>3/8" Hex Mini CIM 36</v>
      </c>
      <c r="E640" s="132">
        <v>1</v>
      </c>
      <c r="I640" s="132">
        <v>0</v>
      </c>
    </row>
    <row r="641" spans="1:9" ht="14.25" customHeight="1" x14ac:dyDescent="0.25">
      <c r="A641" s="132" t="s">
        <v>244</v>
      </c>
      <c r="B641" s="132" t="s">
        <v>7</v>
      </c>
      <c r="C641" s="132">
        <v>40</v>
      </c>
      <c r="D641" s="132" t="str">
        <f t="shared" si="45"/>
        <v>3/8" Hex Mini CIM 40</v>
      </c>
      <c r="E641" s="132">
        <v>0</v>
      </c>
      <c r="I641" s="132">
        <v>0</v>
      </c>
    </row>
    <row r="642" spans="1:9" ht="14.25" customHeight="1" x14ac:dyDescent="0.25">
      <c r="A642" s="132" t="s">
        <v>244</v>
      </c>
      <c r="B642" s="132" t="s">
        <v>7</v>
      </c>
      <c r="C642" s="132">
        <v>45</v>
      </c>
      <c r="D642" s="132" t="str">
        <f t="shared" si="45"/>
        <v>3/8" Hex Mini CIM 45</v>
      </c>
      <c r="E642" s="132">
        <v>0</v>
      </c>
      <c r="I642" s="132">
        <v>0</v>
      </c>
    </row>
    <row r="643" spans="1:9" ht="14.25" customHeight="1" x14ac:dyDescent="0.25">
      <c r="A643" s="132" t="s">
        <v>244</v>
      </c>
      <c r="B643" s="132" t="s">
        <v>7</v>
      </c>
      <c r="C643" s="132">
        <v>49</v>
      </c>
      <c r="D643" s="132" t="str">
        <f t="shared" si="45"/>
        <v>3/8" Hex Mini CIM 49</v>
      </c>
      <c r="E643" s="132">
        <v>0</v>
      </c>
      <c r="I643" s="132">
        <v>0</v>
      </c>
    </row>
    <row r="644" spans="1:9" ht="14.25" customHeight="1" x14ac:dyDescent="0.25">
      <c r="A644" s="132" t="s">
        <v>244</v>
      </c>
      <c r="B644" s="132" t="s">
        <v>7</v>
      </c>
      <c r="C644" s="132">
        <v>50</v>
      </c>
      <c r="D644" s="132" t="str">
        <f t="shared" si="45"/>
        <v>3/8" Hex Mini CIM 50</v>
      </c>
      <c r="E644" s="132">
        <v>0</v>
      </c>
      <c r="I644" s="132">
        <v>0</v>
      </c>
    </row>
    <row r="645" spans="1:9" ht="14.25" customHeight="1" x14ac:dyDescent="0.25">
      <c r="A645" s="132" t="s">
        <v>244</v>
      </c>
      <c r="B645" s="132" t="s">
        <v>7</v>
      </c>
      <c r="C645" s="132">
        <v>63</v>
      </c>
      <c r="D645" s="132" t="str">
        <f t="shared" si="45"/>
        <v>3/8" Hex Mini CIM 63</v>
      </c>
      <c r="E645" s="132">
        <v>0</v>
      </c>
      <c r="I645" s="132">
        <v>0</v>
      </c>
    </row>
    <row r="646" spans="1:9" ht="14.25" customHeight="1" x14ac:dyDescent="0.25">
      <c r="A646" s="132" t="s">
        <v>244</v>
      </c>
      <c r="B646" s="132" t="s">
        <v>7</v>
      </c>
      <c r="C646" s="132">
        <v>70</v>
      </c>
      <c r="D646" s="132" t="str">
        <f t="shared" si="45"/>
        <v>3/8" Hex Mini CIM 70</v>
      </c>
      <c r="E646" s="132">
        <v>0</v>
      </c>
      <c r="I646" s="132">
        <v>0</v>
      </c>
    </row>
    <row r="647" spans="1:9" ht="14.25" customHeight="1" x14ac:dyDescent="0.25">
      <c r="A647" s="132" t="s">
        <v>244</v>
      </c>
      <c r="B647" s="132" t="s">
        <v>7</v>
      </c>
      <c r="C647" s="132">
        <v>81</v>
      </c>
      <c r="D647" s="132" t="str">
        <f t="shared" si="45"/>
        <v>3/8" Hex Mini CIM 81</v>
      </c>
      <c r="E647" s="132">
        <v>0</v>
      </c>
      <c r="I647" s="132">
        <v>0</v>
      </c>
    </row>
    <row r="648" spans="1:9" ht="14.25" customHeight="1" x14ac:dyDescent="0.25">
      <c r="A648" s="132" t="s">
        <v>244</v>
      </c>
      <c r="B648" s="132" t="s">
        <v>7</v>
      </c>
      <c r="C648" s="132">
        <v>90</v>
      </c>
      <c r="D648" s="132" t="str">
        <f t="shared" si="45"/>
        <v>3/8" Hex Mini CIM 90</v>
      </c>
      <c r="E648" s="132">
        <v>0</v>
      </c>
      <c r="I648" s="132">
        <v>0</v>
      </c>
    </row>
    <row r="649" spans="1:9" ht="14.25" customHeight="1" x14ac:dyDescent="0.25">
      <c r="A649" s="132" t="s">
        <v>244</v>
      </c>
      <c r="B649" s="132" t="s">
        <v>7</v>
      </c>
      <c r="C649" s="132">
        <v>100</v>
      </c>
      <c r="D649" s="132" t="str">
        <f t="shared" si="45"/>
        <v>3/8" Hex Mini CIM 100</v>
      </c>
      <c r="E649" s="132">
        <v>0</v>
      </c>
      <c r="I649" s="132">
        <v>0</v>
      </c>
    </row>
    <row r="650" spans="1:9" ht="14.25" customHeight="1" x14ac:dyDescent="0.25">
      <c r="A650" s="132" t="s">
        <v>244</v>
      </c>
      <c r="B650" s="132" t="s">
        <v>6</v>
      </c>
      <c r="C650" s="132">
        <v>-3</v>
      </c>
      <c r="D650" s="132" t="str">
        <f t="shared" ref="D650:D655" si="46">A650&amp;" "&amp;B650&amp;" "&amp;C650</f>
        <v>3/8" Hex CIM -3</v>
      </c>
      <c r="E650" s="132">
        <v>1</v>
      </c>
      <c r="I650" s="132">
        <v>0</v>
      </c>
    </row>
    <row r="651" spans="1:9" ht="14.25" customHeight="1" x14ac:dyDescent="0.25">
      <c r="A651" s="132" t="s">
        <v>244</v>
      </c>
      <c r="B651" s="132" t="s">
        <v>6</v>
      </c>
      <c r="C651" s="132">
        <v>-4</v>
      </c>
      <c r="D651" s="132" t="str">
        <f t="shared" si="46"/>
        <v>3/8" Hex CIM -4</v>
      </c>
      <c r="E651" s="132">
        <v>1</v>
      </c>
      <c r="I651" s="132">
        <v>0</v>
      </c>
    </row>
    <row r="652" spans="1:9" ht="14.25" customHeight="1" x14ac:dyDescent="0.25">
      <c r="A652" s="132" t="s">
        <v>244</v>
      </c>
      <c r="B652" s="132" t="s">
        <v>6</v>
      </c>
      <c r="C652" s="132">
        <v>-5</v>
      </c>
      <c r="D652" s="132" t="str">
        <f t="shared" si="46"/>
        <v>3/8" Hex CIM -5</v>
      </c>
      <c r="E652" s="132">
        <v>1</v>
      </c>
      <c r="I652" s="132">
        <v>0</v>
      </c>
    </row>
    <row r="653" spans="1:9" ht="14.25" customHeight="1" x14ac:dyDescent="0.25">
      <c r="A653" s="132" t="s">
        <v>244</v>
      </c>
      <c r="B653" s="132" t="s">
        <v>6</v>
      </c>
      <c r="C653" s="132">
        <v>-7</v>
      </c>
      <c r="D653" s="132" t="str">
        <f t="shared" si="46"/>
        <v>3/8" Hex CIM -7</v>
      </c>
      <c r="E653" s="132">
        <v>1</v>
      </c>
      <c r="I653" s="132">
        <v>0</v>
      </c>
    </row>
    <row r="654" spans="1:9" ht="14.25" customHeight="1" x14ac:dyDescent="0.25">
      <c r="A654" s="132" t="s">
        <v>244</v>
      </c>
      <c r="B654" s="132" t="s">
        <v>6</v>
      </c>
      <c r="C654" s="132">
        <v>-9</v>
      </c>
      <c r="D654" s="132" t="str">
        <f t="shared" si="46"/>
        <v>3/8" Hex CIM -9</v>
      </c>
      <c r="E654" s="132">
        <v>1</v>
      </c>
      <c r="I654" s="132">
        <v>0</v>
      </c>
    </row>
    <row r="655" spans="1:9" ht="14.25" customHeight="1" x14ac:dyDescent="0.25">
      <c r="A655" s="132" t="s">
        <v>244</v>
      </c>
      <c r="B655" s="132" t="s">
        <v>6</v>
      </c>
      <c r="C655" s="132">
        <v>-10</v>
      </c>
      <c r="D655" s="132" t="str">
        <f t="shared" si="46"/>
        <v>3/8" Hex CIM -10</v>
      </c>
      <c r="E655" s="132">
        <v>1</v>
      </c>
      <c r="I655" s="132">
        <v>0</v>
      </c>
    </row>
    <row r="656" spans="1:9" ht="14.25" customHeight="1" x14ac:dyDescent="0.25">
      <c r="A656" s="132" t="s">
        <v>244</v>
      </c>
      <c r="B656" s="132" t="s">
        <v>6</v>
      </c>
      <c r="C656" s="132">
        <v>9</v>
      </c>
      <c r="D656" s="132" t="str">
        <f t="shared" ref="D656:D676" si="47">A656&amp;" "&amp;B656&amp;" "&amp;C656</f>
        <v>3/8" Hex CIM 9</v>
      </c>
      <c r="E656" s="132">
        <v>1</v>
      </c>
      <c r="I656" s="132">
        <v>0</v>
      </c>
    </row>
    <row r="657" spans="1:9" ht="14.25" customHeight="1" x14ac:dyDescent="0.25">
      <c r="A657" s="132" t="s">
        <v>244</v>
      </c>
      <c r="B657" s="132" t="s">
        <v>6</v>
      </c>
      <c r="C657" s="132">
        <v>12</v>
      </c>
      <c r="D657" s="132" t="str">
        <f t="shared" si="47"/>
        <v>3/8" Hex CIM 12</v>
      </c>
      <c r="E657" s="132">
        <v>1</v>
      </c>
      <c r="I657" s="132">
        <v>0</v>
      </c>
    </row>
    <row r="658" spans="1:9" ht="14.25" customHeight="1" x14ac:dyDescent="0.25">
      <c r="A658" s="132" t="s">
        <v>244</v>
      </c>
      <c r="B658" s="132" t="s">
        <v>6</v>
      </c>
      <c r="C658" s="132">
        <v>15</v>
      </c>
      <c r="D658" s="132" t="str">
        <f t="shared" si="47"/>
        <v>3/8" Hex CIM 15</v>
      </c>
      <c r="E658" s="132">
        <v>1</v>
      </c>
      <c r="I658" s="132">
        <v>0</v>
      </c>
    </row>
    <row r="659" spans="1:9" ht="14.25" customHeight="1" x14ac:dyDescent="0.25">
      <c r="A659" s="132" t="s">
        <v>244</v>
      </c>
      <c r="B659" s="132" t="s">
        <v>6</v>
      </c>
      <c r="C659" s="132">
        <v>16</v>
      </c>
      <c r="D659" s="132" t="str">
        <f t="shared" si="47"/>
        <v>3/8" Hex CIM 16</v>
      </c>
      <c r="E659" s="132">
        <v>1</v>
      </c>
      <c r="I659" s="132">
        <v>0</v>
      </c>
    </row>
    <row r="660" spans="1:9" ht="14.25" customHeight="1" x14ac:dyDescent="0.25">
      <c r="A660" s="132" t="s">
        <v>244</v>
      </c>
      <c r="B660" s="132" t="s">
        <v>6</v>
      </c>
      <c r="C660" s="132">
        <v>20</v>
      </c>
      <c r="D660" s="132" t="str">
        <f t="shared" si="47"/>
        <v>3/8" Hex CIM 20</v>
      </c>
      <c r="E660" s="132">
        <v>1</v>
      </c>
      <c r="I660" s="132">
        <v>0</v>
      </c>
    </row>
    <row r="661" spans="1:9" ht="14.25" customHeight="1" x14ac:dyDescent="0.25">
      <c r="A661" s="132" t="s">
        <v>244</v>
      </c>
      <c r="B661" s="132" t="s">
        <v>6</v>
      </c>
      <c r="C661" s="132">
        <v>21</v>
      </c>
      <c r="D661" s="132" t="str">
        <f t="shared" si="47"/>
        <v>3/8" Hex CIM 21</v>
      </c>
      <c r="E661" s="132">
        <v>1</v>
      </c>
      <c r="I661" s="132">
        <v>0</v>
      </c>
    </row>
    <row r="662" spans="1:9" ht="14.25" customHeight="1" x14ac:dyDescent="0.25">
      <c r="A662" s="132" t="s">
        <v>244</v>
      </c>
      <c r="B662" s="132" t="s">
        <v>6</v>
      </c>
      <c r="C662" s="132">
        <v>25</v>
      </c>
      <c r="D662" s="132" t="str">
        <f t="shared" si="47"/>
        <v>3/8" Hex CIM 25</v>
      </c>
      <c r="E662" s="132">
        <v>0</v>
      </c>
      <c r="I662" s="132">
        <v>0</v>
      </c>
    </row>
    <row r="663" spans="1:9" ht="14.25" customHeight="1" x14ac:dyDescent="0.25">
      <c r="A663" s="132" t="s">
        <v>244</v>
      </c>
      <c r="B663" s="132" t="s">
        <v>6</v>
      </c>
      <c r="C663" s="132">
        <v>27</v>
      </c>
      <c r="D663" s="132" t="str">
        <f t="shared" si="47"/>
        <v>3/8" Hex CIM 27</v>
      </c>
      <c r="E663" s="132">
        <v>0</v>
      </c>
      <c r="I663" s="132">
        <v>0</v>
      </c>
    </row>
    <row r="664" spans="1:9" ht="14.25" customHeight="1" x14ac:dyDescent="0.25">
      <c r="A664" s="132" t="s">
        <v>244</v>
      </c>
      <c r="B664" s="132" t="s">
        <v>6</v>
      </c>
      <c r="C664" s="132">
        <v>28</v>
      </c>
      <c r="D664" s="132" t="str">
        <f t="shared" si="47"/>
        <v>3/8" Hex CIM 28</v>
      </c>
      <c r="E664" s="132">
        <v>0</v>
      </c>
      <c r="I664" s="132">
        <v>0</v>
      </c>
    </row>
    <row r="665" spans="1:9" ht="14.25" customHeight="1" x14ac:dyDescent="0.25">
      <c r="A665" s="132" t="s">
        <v>244</v>
      </c>
      <c r="B665" s="132" t="s">
        <v>6</v>
      </c>
      <c r="C665" s="132">
        <v>30</v>
      </c>
      <c r="D665" s="132" t="str">
        <f t="shared" si="47"/>
        <v>3/8" Hex CIM 30</v>
      </c>
      <c r="E665" s="132">
        <v>0</v>
      </c>
      <c r="I665" s="132">
        <v>0</v>
      </c>
    </row>
    <row r="666" spans="1:9" ht="14.25" customHeight="1" x14ac:dyDescent="0.25">
      <c r="A666" s="132" t="s">
        <v>244</v>
      </c>
      <c r="B666" s="132" t="s">
        <v>6</v>
      </c>
      <c r="C666" s="132">
        <v>35</v>
      </c>
      <c r="D666" s="132" t="str">
        <f t="shared" si="47"/>
        <v>3/8" Hex CIM 35</v>
      </c>
      <c r="E666" s="132">
        <v>0</v>
      </c>
      <c r="I666" s="132">
        <v>0</v>
      </c>
    </row>
    <row r="667" spans="1:9" ht="14.25" customHeight="1" x14ac:dyDescent="0.25">
      <c r="A667" s="132" t="s">
        <v>244</v>
      </c>
      <c r="B667" s="132" t="s">
        <v>6</v>
      </c>
      <c r="C667" s="132">
        <v>36</v>
      </c>
      <c r="D667" s="132" t="str">
        <f t="shared" si="47"/>
        <v>3/8" Hex CIM 36</v>
      </c>
      <c r="E667" s="132">
        <v>0</v>
      </c>
      <c r="I667" s="132">
        <v>0</v>
      </c>
    </row>
    <row r="668" spans="1:9" ht="14.25" customHeight="1" x14ac:dyDescent="0.25">
      <c r="A668" s="132" t="s">
        <v>244</v>
      </c>
      <c r="B668" s="132" t="s">
        <v>6</v>
      </c>
      <c r="C668" s="132">
        <v>40</v>
      </c>
      <c r="D668" s="132" t="str">
        <f t="shared" si="47"/>
        <v>3/8" Hex CIM 40</v>
      </c>
      <c r="E668" s="132">
        <v>0</v>
      </c>
      <c r="I668" s="132">
        <v>0</v>
      </c>
    </row>
    <row r="669" spans="1:9" ht="14.25" customHeight="1" x14ac:dyDescent="0.25">
      <c r="A669" s="132" t="s">
        <v>244</v>
      </c>
      <c r="B669" s="132" t="s">
        <v>6</v>
      </c>
      <c r="C669" s="132">
        <v>45</v>
      </c>
      <c r="D669" s="132" t="str">
        <f t="shared" si="47"/>
        <v>3/8" Hex CIM 45</v>
      </c>
      <c r="E669" s="132">
        <v>0</v>
      </c>
      <c r="I669" s="132">
        <v>0</v>
      </c>
    </row>
    <row r="670" spans="1:9" ht="14.25" customHeight="1" x14ac:dyDescent="0.25">
      <c r="A670" s="132" t="s">
        <v>244</v>
      </c>
      <c r="B670" s="132" t="s">
        <v>6</v>
      </c>
      <c r="C670" s="132">
        <v>49</v>
      </c>
      <c r="D670" s="132" t="str">
        <f t="shared" si="47"/>
        <v>3/8" Hex CIM 49</v>
      </c>
      <c r="E670" s="132">
        <v>0</v>
      </c>
      <c r="I670" s="132">
        <v>0</v>
      </c>
    </row>
    <row r="671" spans="1:9" ht="14.25" customHeight="1" x14ac:dyDescent="0.25">
      <c r="A671" s="132" t="s">
        <v>244</v>
      </c>
      <c r="B671" s="132" t="s">
        <v>6</v>
      </c>
      <c r="C671" s="132">
        <v>50</v>
      </c>
      <c r="D671" s="132" t="str">
        <f t="shared" si="47"/>
        <v>3/8" Hex CIM 50</v>
      </c>
      <c r="E671" s="132">
        <v>0</v>
      </c>
      <c r="I671" s="132">
        <v>0</v>
      </c>
    </row>
    <row r="672" spans="1:9" ht="14.25" customHeight="1" x14ac:dyDescent="0.25">
      <c r="A672" s="132" t="s">
        <v>244</v>
      </c>
      <c r="B672" s="132" t="s">
        <v>6</v>
      </c>
      <c r="C672" s="132">
        <v>63</v>
      </c>
      <c r="D672" s="132" t="str">
        <f t="shared" si="47"/>
        <v>3/8" Hex CIM 63</v>
      </c>
      <c r="E672" s="132">
        <v>0</v>
      </c>
      <c r="I672" s="132">
        <v>0</v>
      </c>
    </row>
    <row r="673" spans="1:9" ht="14.25" customHeight="1" x14ac:dyDescent="0.25">
      <c r="A673" s="132" t="s">
        <v>244</v>
      </c>
      <c r="B673" s="132" t="s">
        <v>6</v>
      </c>
      <c r="C673" s="132">
        <v>70</v>
      </c>
      <c r="D673" s="132" t="str">
        <f t="shared" si="47"/>
        <v>3/8" Hex CIM 70</v>
      </c>
      <c r="E673" s="132">
        <v>0</v>
      </c>
      <c r="I673" s="132">
        <v>0</v>
      </c>
    </row>
    <row r="674" spans="1:9" ht="14.25" customHeight="1" x14ac:dyDescent="0.25">
      <c r="A674" s="132" t="s">
        <v>244</v>
      </c>
      <c r="B674" s="132" t="s">
        <v>6</v>
      </c>
      <c r="C674" s="132">
        <v>81</v>
      </c>
      <c r="D674" s="132" t="str">
        <f t="shared" si="47"/>
        <v>3/8" Hex CIM 81</v>
      </c>
      <c r="E674" s="132">
        <v>0</v>
      </c>
      <c r="I674" s="132">
        <v>0</v>
      </c>
    </row>
    <row r="675" spans="1:9" ht="14.25" customHeight="1" x14ac:dyDescent="0.25">
      <c r="A675" s="132" t="s">
        <v>244</v>
      </c>
      <c r="B675" s="132" t="s">
        <v>6</v>
      </c>
      <c r="C675" s="132">
        <v>90</v>
      </c>
      <c r="D675" s="132" t="str">
        <f t="shared" si="47"/>
        <v>3/8" Hex CIM 90</v>
      </c>
      <c r="E675" s="132">
        <v>0</v>
      </c>
      <c r="I675" s="132">
        <v>0</v>
      </c>
    </row>
    <row r="676" spans="1:9" ht="14.25" customHeight="1" x14ac:dyDescent="0.25">
      <c r="A676" s="132" t="s">
        <v>244</v>
      </c>
      <c r="B676" s="132" t="s">
        <v>6</v>
      </c>
      <c r="C676" s="132">
        <v>100</v>
      </c>
      <c r="D676" s="132" t="str">
        <f t="shared" si="47"/>
        <v>3/8" Hex CIM 100</v>
      </c>
      <c r="E676" s="132">
        <v>0</v>
      </c>
      <c r="I676" s="132">
        <v>0</v>
      </c>
    </row>
    <row r="677" spans="1:9" ht="14.25" customHeight="1" x14ac:dyDescent="0.25">
      <c r="A677" s="132" t="s">
        <v>244</v>
      </c>
      <c r="B677" s="132" t="s">
        <v>9</v>
      </c>
      <c r="C677" s="132">
        <v>-3</v>
      </c>
      <c r="D677" s="132" t="str">
        <f t="shared" ref="D677:D682" si="48">A677&amp;" "&amp;B677&amp;" "&amp;C677</f>
        <v>3/8" Hex NEO -3</v>
      </c>
      <c r="E677" s="132">
        <v>1</v>
      </c>
      <c r="I677" s="132">
        <v>0</v>
      </c>
    </row>
    <row r="678" spans="1:9" ht="14.25" customHeight="1" x14ac:dyDescent="0.25">
      <c r="A678" s="132" t="s">
        <v>244</v>
      </c>
      <c r="B678" s="132" t="s">
        <v>9</v>
      </c>
      <c r="C678" s="132">
        <v>-4</v>
      </c>
      <c r="D678" s="132" t="str">
        <f t="shared" si="48"/>
        <v>3/8" Hex NEO -4</v>
      </c>
      <c r="E678" s="132">
        <v>1</v>
      </c>
      <c r="I678" s="132">
        <v>0</v>
      </c>
    </row>
    <row r="679" spans="1:9" ht="14.25" customHeight="1" x14ac:dyDescent="0.25">
      <c r="A679" s="132" t="s">
        <v>244</v>
      </c>
      <c r="B679" s="132" t="s">
        <v>9</v>
      </c>
      <c r="C679" s="132">
        <v>-5</v>
      </c>
      <c r="D679" s="132" t="str">
        <f t="shared" si="48"/>
        <v>3/8" Hex NEO -5</v>
      </c>
      <c r="E679" s="132">
        <v>1</v>
      </c>
      <c r="I679" s="132">
        <v>0</v>
      </c>
    </row>
    <row r="680" spans="1:9" ht="14.25" customHeight="1" x14ac:dyDescent="0.25">
      <c r="A680" s="132" t="s">
        <v>244</v>
      </c>
      <c r="B680" s="132" t="s">
        <v>9</v>
      </c>
      <c r="C680" s="132">
        <v>-7</v>
      </c>
      <c r="D680" s="132" t="str">
        <f t="shared" si="48"/>
        <v>3/8" Hex NEO -7</v>
      </c>
      <c r="E680" s="132">
        <v>1</v>
      </c>
      <c r="I680" s="132">
        <v>0</v>
      </c>
    </row>
    <row r="681" spans="1:9" ht="14.25" customHeight="1" x14ac:dyDescent="0.25">
      <c r="A681" s="132" t="s">
        <v>244</v>
      </c>
      <c r="B681" s="132" t="s">
        <v>9</v>
      </c>
      <c r="C681" s="132">
        <v>-9</v>
      </c>
      <c r="D681" s="132" t="str">
        <f t="shared" si="48"/>
        <v>3/8" Hex NEO -9</v>
      </c>
      <c r="E681" s="132">
        <v>1</v>
      </c>
      <c r="I681" s="132">
        <v>0</v>
      </c>
    </row>
    <row r="682" spans="1:9" ht="14.25" customHeight="1" x14ac:dyDescent="0.25">
      <c r="A682" s="132" t="s">
        <v>244</v>
      </c>
      <c r="B682" s="132" t="s">
        <v>9</v>
      </c>
      <c r="C682" s="132">
        <v>-10</v>
      </c>
      <c r="D682" s="132" t="str">
        <f t="shared" si="48"/>
        <v>3/8" Hex NEO -10</v>
      </c>
      <c r="E682" s="132">
        <v>1</v>
      </c>
      <c r="I682" s="132">
        <v>0</v>
      </c>
    </row>
    <row r="683" spans="1:9" ht="14.25" customHeight="1" x14ac:dyDescent="0.25">
      <c r="A683" s="132" t="s">
        <v>244</v>
      </c>
      <c r="B683" s="132" t="s">
        <v>9</v>
      </c>
      <c r="C683" s="132">
        <v>9</v>
      </c>
      <c r="D683" s="132" t="str">
        <f t="shared" ref="D683:D703" si="49">A683&amp;" "&amp;B683&amp;" "&amp;C683</f>
        <v>3/8" Hex NEO 9</v>
      </c>
      <c r="E683" s="132">
        <v>1</v>
      </c>
      <c r="I683" s="132">
        <v>0</v>
      </c>
    </row>
    <row r="684" spans="1:9" ht="14.25" customHeight="1" x14ac:dyDescent="0.25">
      <c r="A684" s="132" t="s">
        <v>244</v>
      </c>
      <c r="B684" s="132" t="s">
        <v>9</v>
      </c>
      <c r="C684" s="132">
        <v>12</v>
      </c>
      <c r="D684" s="132" t="str">
        <f t="shared" si="49"/>
        <v>3/8" Hex NEO 12</v>
      </c>
      <c r="E684" s="132">
        <v>1</v>
      </c>
      <c r="I684" s="132">
        <v>0</v>
      </c>
    </row>
    <row r="685" spans="1:9" ht="14.25" customHeight="1" x14ac:dyDescent="0.25">
      <c r="A685" s="132" t="s">
        <v>244</v>
      </c>
      <c r="B685" s="132" t="s">
        <v>9</v>
      </c>
      <c r="C685" s="132">
        <v>15</v>
      </c>
      <c r="D685" s="132" t="str">
        <f t="shared" si="49"/>
        <v>3/8" Hex NEO 15</v>
      </c>
      <c r="E685" s="132">
        <v>1</v>
      </c>
      <c r="I685" s="132">
        <v>0</v>
      </c>
    </row>
    <row r="686" spans="1:9" ht="14.25" customHeight="1" x14ac:dyDescent="0.25">
      <c r="A686" s="132" t="s">
        <v>244</v>
      </c>
      <c r="B686" s="132" t="s">
        <v>9</v>
      </c>
      <c r="C686" s="132">
        <v>16</v>
      </c>
      <c r="D686" s="132" t="str">
        <f t="shared" si="49"/>
        <v>3/8" Hex NEO 16</v>
      </c>
      <c r="E686" s="132">
        <v>1</v>
      </c>
      <c r="I686" s="132">
        <v>0</v>
      </c>
    </row>
    <row r="687" spans="1:9" ht="14.25" customHeight="1" x14ac:dyDescent="0.25">
      <c r="A687" s="132" t="s">
        <v>244</v>
      </c>
      <c r="B687" s="132" t="s">
        <v>9</v>
      </c>
      <c r="C687" s="132">
        <v>20</v>
      </c>
      <c r="D687" s="132" t="str">
        <f t="shared" si="49"/>
        <v>3/8" Hex NEO 20</v>
      </c>
      <c r="E687" s="132">
        <v>0</v>
      </c>
      <c r="I687" s="132">
        <v>0</v>
      </c>
    </row>
    <row r="688" spans="1:9" ht="14.25" customHeight="1" x14ac:dyDescent="0.25">
      <c r="A688" s="132" t="s">
        <v>244</v>
      </c>
      <c r="B688" s="132" t="s">
        <v>9</v>
      </c>
      <c r="C688" s="132">
        <v>21</v>
      </c>
      <c r="D688" s="132" t="str">
        <f t="shared" si="49"/>
        <v>3/8" Hex NEO 21</v>
      </c>
      <c r="E688" s="132">
        <v>0</v>
      </c>
      <c r="I688" s="132">
        <v>0</v>
      </c>
    </row>
    <row r="689" spans="1:9" ht="14.25" customHeight="1" x14ac:dyDescent="0.25">
      <c r="A689" s="132" t="s">
        <v>244</v>
      </c>
      <c r="B689" s="132" t="s">
        <v>9</v>
      </c>
      <c r="C689" s="132">
        <v>25</v>
      </c>
      <c r="D689" s="132" t="str">
        <f t="shared" si="49"/>
        <v>3/8" Hex NEO 25</v>
      </c>
      <c r="E689" s="132">
        <v>0</v>
      </c>
      <c r="I689" s="132">
        <v>0</v>
      </c>
    </row>
    <row r="690" spans="1:9" ht="14.25" customHeight="1" x14ac:dyDescent="0.25">
      <c r="A690" s="132" t="s">
        <v>244</v>
      </c>
      <c r="B690" s="132" t="s">
        <v>9</v>
      </c>
      <c r="C690" s="132">
        <v>27</v>
      </c>
      <c r="D690" s="132" t="str">
        <f t="shared" si="49"/>
        <v>3/8" Hex NEO 27</v>
      </c>
      <c r="E690" s="132">
        <v>0</v>
      </c>
      <c r="I690" s="132">
        <v>0</v>
      </c>
    </row>
    <row r="691" spans="1:9" ht="14.25" customHeight="1" x14ac:dyDescent="0.25">
      <c r="A691" s="132" t="s">
        <v>244</v>
      </c>
      <c r="B691" s="132" t="s">
        <v>9</v>
      </c>
      <c r="C691" s="132">
        <v>28</v>
      </c>
      <c r="D691" s="132" t="str">
        <f t="shared" si="49"/>
        <v>3/8" Hex NEO 28</v>
      </c>
      <c r="E691" s="132">
        <v>0</v>
      </c>
      <c r="I691" s="132">
        <v>0</v>
      </c>
    </row>
    <row r="692" spans="1:9" ht="14.25" customHeight="1" x14ac:dyDescent="0.25">
      <c r="A692" s="132" t="s">
        <v>244</v>
      </c>
      <c r="B692" s="132" t="s">
        <v>9</v>
      </c>
      <c r="C692" s="132">
        <v>30</v>
      </c>
      <c r="D692" s="132" t="str">
        <f t="shared" si="49"/>
        <v>3/8" Hex NEO 30</v>
      </c>
      <c r="E692" s="132">
        <v>0</v>
      </c>
      <c r="I692" s="132">
        <v>0</v>
      </c>
    </row>
    <row r="693" spans="1:9" ht="14.25" customHeight="1" x14ac:dyDescent="0.25">
      <c r="A693" s="132" t="s">
        <v>244</v>
      </c>
      <c r="B693" s="132" t="s">
        <v>9</v>
      </c>
      <c r="C693" s="132">
        <v>35</v>
      </c>
      <c r="D693" s="132" t="str">
        <f t="shared" si="49"/>
        <v>3/8" Hex NEO 35</v>
      </c>
      <c r="E693" s="132">
        <v>0</v>
      </c>
      <c r="I693" s="132">
        <v>0</v>
      </c>
    </row>
    <row r="694" spans="1:9" ht="14.25" customHeight="1" x14ac:dyDescent="0.25">
      <c r="A694" s="132" t="s">
        <v>244</v>
      </c>
      <c r="B694" s="132" t="s">
        <v>9</v>
      </c>
      <c r="C694" s="132">
        <v>36</v>
      </c>
      <c r="D694" s="132" t="str">
        <f t="shared" si="49"/>
        <v>3/8" Hex NEO 36</v>
      </c>
      <c r="E694" s="132">
        <v>0</v>
      </c>
      <c r="I694" s="132">
        <v>0</v>
      </c>
    </row>
    <row r="695" spans="1:9" ht="14.25" customHeight="1" x14ac:dyDescent="0.25">
      <c r="A695" s="132" t="s">
        <v>244</v>
      </c>
      <c r="B695" s="132" t="s">
        <v>9</v>
      </c>
      <c r="C695" s="132">
        <v>40</v>
      </c>
      <c r="D695" s="132" t="str">
        <f t="shared" si="49"/>
        <v>3/8" Hex NEO 40</v>
      </c>
      <c r="E695" s="132">
        <v>0</v>
      </c>
      <c r="I695" s="132">
        <v>0</v>
      </c>
    </row>
    <row r="696" spans="1:9" ht="14.25" customHeight="1" x14ac:dyDescent="0.25">
      <c r="A696" s="132" t="s">
        <v>244</v>
      </c>
      <c r="B696" s="132" t="s">
        <v>9</v>
      </c>
      <c r="C696" s="132">
        <v>45</v>
      </c>
      <c r="D696" s="132" t="str">
        <f t="shared" si="49"/>
        <v>3/8" Hex NEO 45</v>
      </c>
      <c r="E696" s="132">
        <v>0</v>
      </c>
      <c r="I696" s="132">
        <v>0</v>
      </c>
    </row>
    <row r="697" spans="1:9" ht="14.25" customHeight="1" x14ac:dyDescent="0.25">
      <c r="A697" s="132" t="s">
        <v>244</v>
      </c>
      <c r="B697" s="132" t="s">
        <v>9</v>
      </c>
      <c r="C697" s="132">
        <v>49</v>
      </c>
      <c r="D697" s="132" t="str">
        <f t="shared" si="49"/>
        <v>3/8" Hex NEO 49</v>
      </c>
      <c r="E697" s="132">
        <v>0</v>
      </c>
      <c r="I697" s="132">
        <v>0</v>
      </c>
    </row>
    <row r="698" spans="1:9" ht="14.25" customHeight="1" x14ac:dyDescent="0.25">
      <c r="A698" s="132" t="s">
        <v>244</v>
      </c>
      <c r="B698" s="132" t="s">
        <v>9</v>
      </c>
      <c r="C698" s="132">
        <v>50</v>
      </c>
      <c r="D698" s="132" t="str">
        <f t="shared" si="49"/>
        <v>3/8" Hex NEO 50</v>
      </c>
      <c r="E698" s="132">
        <v>0</v>
      </c>
      <c r="I698" s="132">
        <v>0</v>
      </c>
    </row>
    <row r="699" spans="1:9" ht="14.25" customHeight="1" x14ac:dyDescent="0.25">
      <c r="A699" s="132" t="s">
        <v>244</v>
      </c>
      <c r="B699" s="132" t="s">
        <v>9</v>
      </c>
      <c r="C699" s="132">
        <v>63</v>
      </c>
      <c r="D699" s="132" t="str">
        <f t="shared" si="49"/>
        <v>3/8" Hex NEO 63</v>
      </c>
      <c r="E699" s="132">
        <v>0</v>
      </c>
      <c r="I699" s="132">
        <v>0</v>
      </c>
    </row>
    <row r="700" spans="1:9" ht="14.25" customHeight="1" x14ac:dyDescent="0.25">
      <c r="A700" s="132" t="s">
        <v>244</v>
      </c>
      <c r="B700" s="132" t="s">
        <v>9</v>
      </c>
      <c r="C700" s="132">
        <v>70</v>
      </c>
      <c r="D700" s="132" t="str">
        <f t="shared" si="49"/>
        <v>3/8" Hex NEO 70</v>
      </c>
      <c r="E700" s="132">
        <v>0</v>
      </c>
      <c r="I700" s="132">
        <v>0</v>
      </c>
    </row>
    <row r="701" spans="1:9" ht="14.25" customHeight="1" x14ac:dyDescent="0.25">
      <c r="A701" s="132" t="s">
        <v>244</v>
      </c>
      <c r="B701" s="132" t="s">
        <v>9</v>
      </c>
      <c r="C701" s="132">
        <v>81</v>
      </c>
      <c r="D701" s="132" t="str">
        <f t="shared" si="49"/>
        <v>3/8" Hex NEO 81</v>
      </c>
      <c r="E701" s="132">
        <v>0</v>
      </c>
      <c r="I701" s="132">
        <v>0</v>
      </c>
    </row>
    <row r="702" spans="1:9" ht="14.25" customHeight="1" x14ac:dyDescent="0.25">
      <c r="A702" s="132" t="s">
        <v>244</v>
      </c>
      <c r="B702" s="132" t="s">
        <v>9</v>
      </c>
      <c r="C702" s="132">
        <v>90</v>
      </c>
      <c r="D702" s="132" t="str">
        <f t="shared" si="49"/>
        <v>3/8" Hex NEO 90</v>
      </c>
      <c r="E702" s="132">
        <v>0</v>
      </c>
      <c r="I702" s="132">
        <v>0</v>
      </c>
    </row>
    <row r="703" spans="1:9" ht="14.25" customHeight="1" x14ac:dyDescent="0.25">
      <c r="A703" s="132" t="s">
        <v>244</v>
      </c>
      <c r="B703" s="132" t="s">
        <v>9</v>
      </c>
      <c r="C703" s="132">
        <v>100</v>
      </c>
      <c r="D703" s="132" t="str">
        <f t="shared" si="49"/>
        <v>3/8" Hex NEO 100</v>
      </c>
      <c r="E703" s="132">
        <v>0</v>
      </c>
      <c r="I703" s="132">
        <v>0</v>
      </c>
    </row>
    <row r="704" spans="1:9" ht="14.25" customHeight="1" x14ac:dyDescent="0.25">
      <c r="A704" s="132" t="s">
        <v>244</v>
      </c>
      <c r="B704" s="132" t="s">
        <v>334</v>
      </c>
      <c r="C704" s="132">
        <v>-3</v>
      </c>
      <c r="D704" s="132" t="str">
        <f t="shared" ref="D704:D709" si="50">A704&amp;" "&amp;B704&amp;" "&amp;C704</f>
        <v>3/8" Hex Falcon 500 -3</v>
      </c>
      <c r="E704" s="132">
        <v>1</v>
      </c>
      <c r="I704" s="132">
        <v>0</v>
      </c>
    </row>
    <row r="705" spans="1:9" ht="14.25" customHeight="1" x14ac:dyDescent="0.25">
      <c r="A705" s="132" t="s">
        <v>244</v>
      </c>
      <c r="B705" s="132" t="s">
        <v>334</v>
      </c>
      <c r="C705" s="132">
        <v>-4</v>
      </c>
      <c r="D705" s="132" t="str">
        <f t="shared" si="50"/>
        <v>3/8" Hex Falcon 500 -4</v>
      </c>
      <c r="E705" s="132">
        <v>1</v>
      </c>
      <c r="I705" s="132">
        <v>0</v>
      </c>
    </row>
    <row r="706" spans="1:9" ht="14.25" customHeight="1" x14ac:dyDescent="0.25">
      <c r="A706" s="132" t="s">
        <v>244</v>
      </c>
      <c r="B706" s="132" t="s">
        <v>334</v>
      </c>
      <c r="C706" s="132">
        <v>-5</v>
      </c>
      <c r="D706" s="132" t="str">
        <f t="shared" si="50"/>
        <v>3/8" Hex Falcon 500 -5</v>
      </c>
      <c r="E706" s="132">
        <v>1</v>
      </c>
      <c r="I706" s="132">
        <v>0</v>
      </c>
    </row>
    <row r="707" spans="1:9" ht="14.25" customHeight="1" x14ac:dyDescent="0.25">
      <c r="A707" s="132" t="s">
        <v>244</v>
      </c>
      <c r="B707" s="132" t="s">
        <v>334</v>
      </c>
      <c r="C707" s="132">
        <v>-7</v>
      </c>
      <c r="D707" s="132" t="str">
        <f t="shared" si="50"/>
        <v>3/8" Hex Falcon 500 -7</v>
      </c>
      <c r="E707" s="132">
        <v>1</v>
      </c>
      <c r="I707" s="132">
        <v>0</v>
      </c>
    </row>
    <row r="708" spans="1:9" ht="14.25" customHeight="1" x14ac:dyDescent="0.25">
      <c r="A708" s="132" t="s">
        <v>244</v>
      </c>
      <c r="B708" s="132" t="s">
        <v>334</v>
      </c>
      <c r="C708" s="132">
        <v>-9</v>
      </c>
      <c r="D708" s="132" t="str">
        <f t="shared" si="50"/>
        <v>3/8" Hex Falcon 500 -9</v>
      </c>
      <c r="E708" s="132">
        <v>1</v>
      </c>
      <c r="I708" s="132">
        <v>0</v>
      </c>
    </row>
    <row r="709" spans="1:9" ht="14.25" customHeight="1" x14ac:dyDescent="0.25">
      <c r="A709" s="132" t="s">
        <v>244</v>
      </c>
      <c r="B709" s="132" t="s">
        <v>334</v>
      </c>
      <c r="C709" s="132">
        <v>-10</v>
      </c>
      <c r="D709" s="132" t="str">
        <f t="shared" si="50"/>
        <v>3/8" Hex Falcon 500 -10</v>
      </c>
      <c r="E709" s="132">
        <v>1</v>
      </c>
      <c r="I709" s="132">
        <v>0</v>
      </c>
    </row>
    <row r="710" spans="1:9" ht="14.25" customHeight="1" x14ac:dyDescent="0.25">
      <c r="A710" s="132" t="s">
        <v>244</v>
      </c>
      <c r="B710" s="132" t="s">
        <v>334</v>
      </c>
      <c r="C710" s="132">
        <v>9</v>
      </c>
      <c r="D710" s="132" t="str">
        <f t="shared" ref="D710:D730" si="51">A710&amp;" "&amp;B710&amp;" "&amp;C710</f>
        <v>3/8" Hex Falcon 500 9</v>
      </c>
      <c r="E710" s="132">
        <v>1</v>
      </c>
      <c r="I710" s="132">
        <v>0</v>
      </c>
    </row>
    <row r="711" spans="1:9" ht="14.25" customHeight="1" x14ac:dyDescent="0.25">
      <c r="A711" s="132" t="s">
        <v>244</v>
      </c>
      <c r="B711" s="132" t="s">
        <v>334</v>
      </c>
      <c r="C711" s="132">
        <v>12</v>
      </c>
      <c r="D711" s="132" t="str">
        <f t="shared" si="51"/>
        <v>3/8" Hex Falcon 500 12</v>
      </c>
      <c r="E711" s="132">
        <v>1</v>
      </c>
      <c r="I711" s="132">
        <v>0</v>
      </c>
    </row>
    <row r="712" spans="1:9" ht="14.25" customHeight="1" x14ac:dyDescent="0.25">
      <c r="A712" s="132" t="s">
        <v>244</v>
      </c>
      <c r="B712" s="132" t="s">
        <v>334</v>
      </c>
      <c r="C712" s="132">
        <v>15</v>
      </c>
      <c r="D712" s="132" t="str">
        <f t="shared" si="51"/>
        <v>3/8" Hex Falcon 500 15</v>
      </c>
      <c r="E712" s="132">
        <v>0</v>
      </c>
      <c r="I712" s="132">
        <v>0</v>
      </c>
    </row>
    <row r="713" spans="1:9" ht="14.25" customHeight="1" x14ac:dyDescent="0.25">
      <c r="A713" s="132" t="s">
        <v>244</v>
      </c>
      <c r="B713" s="132" t="s">
        <v>334</v>
      </c>
      <c r="C713" s="132">
        <v>16</v>
      </c>
      <c r="D713" s="132" t="str">
        <f t="shared" si="51"/>
        <v>3/8" Hex Falcon 500 16</v>
      </c>
      <c r="E713" s="132">
        <v>0</v>
      </c>
      <c r="I713" s="132">
        <v>0</v>
      </c>
    </row>
    <row r="714" spans="1:9" ht="14.25" customHeight="1" x14ac:dyDescent="0.25">
      <c r="A714" s="132" t="s">
        <v>244</v>
      </c>
      <c r="B714" s="132" t="s">
        <v>334</v>
      </c>
      <c r="C714" s="132">
        <v>20</v>
      </c>
      <c r="D714" s="132" t="str">
        <f t="shared" si="51"/>
        <v>3/8" Hex Falcon 500 20</v>
      </c>
      <c r="E714" s="132">
        <v>0</v>
      </c>
      <c r="I714" s="132">
        <v>0</v>
      </c>
    </row>
    <row r="715" spans="1:9" ht="14.25" customHeight="1" x14ac:dyDescent="0.25">
      <c r="A715" s="132" t="s">
        <v>244</v>
      </c>
      <c r="B715" s="132" t="s">
        <v>334</v>
      </c>
      <c r="C715" s="132">
        <v>21</v>
      </c>
      <c r="D715" s="132" t="str">
        <f t="shared" si="51"/>
        <v>3/8" Hex Falcon 500 21</v>
      </c>
      <c r="E715" s="132">
        <v>0</v>
      </c>
      <c r="I715" s="132">
        <v>0</v>
      </c>
    </row>
    <row r="716" spans="1:9" ht="14.25" customHeight="1" x14ac:dyDescent="0.25">
      <c r="A716" s="132" t="s">
        <v>244</v>
      </c>
      <c r="B716" s="132" t="s">
        <v>334</v>
      </c>
      <c r="C716" s="132">
        <v>25</v>
      </c>
      <c r="D716" s="132" t="str">
        <f t="shared" si="51"/>
        <v>3/8" Hex Falcon 500 25</v>
      </c>
      <c r="E716" s="132">
        <v>0</v>
      </c>
      <c r="I716" s="132">
        <v>0</v>
      </c>
    </row>
    <row r="717" spans="1:9" ht="14.25" customHeight="1" x14ac:dyDescent="0.25">
      <c r="A717" s="132" t="s">
        <v>244</v>
      </c>
      <c r="B717" s="132" t="s">
        <v>334</v>
      </c>
      <c r="C717" s="132">
        <v>27</v>
      </c>
      <c r="D717" s="132" t="str">
        <f t="shared" si="51"/>
        <v>3/8" Hex Falcon 500 27</v>
      </c>
      <c r="E717" s="132">
        <v>0</v>
      </c>
      <c r="I717" s="132">
        <v>0</v>
      </c>
    </row>
    <row r="718" spans="1:9" ht="14.25" customHeight="1" x14ac:dyDescent="0.25">
      <c r="A718" s="132" t="s">
        <v>244</v>
      </c>
      <c r="B718" s="132" t="s">
        <v>334</v>
      </c>
      <c r="C718" s="132">
        <v>28</v>
      </c>
      <c r="D718" s="132" t="str">
        <f t="shared" si="51"/>
        <v>3/8" Hex Falcon 500 28</v>
      </c>
      <c r="E718" s="132">
        <v>0</v>
      </c>
      <c r="I718" s="132">
        <v>0</v>
      </c>
    </row>
    <row r="719" spans="1:9" ht="14.25" customHeight="1" x14ac:dyDescent="0.25">
      <c r="A719" s="132" t="s">
        <v>244</v>
      </c>
      <c r="B719" s="132" t="s">
        <v>334</v>
      </c>
      <c r="C719" s="132">
        <v>30</v>
      </c>
      <c r="D719" s="132" t="str">
        <f t="shared" si="51"/>
        <v>3/8" Hex Falcon 500 30</v>
      </c>
      <c r="E719" s="132">
        <v>0</v>
      </c>
      <c r="I719" s="132">
        <v>0</v>
      </c>
    </row>
    <row r="720" spans="1:9" ht="14.25" customHeight="1" x14ac:dyDescent="0.25">
      <c r="A720" s="132" t="s">
        <v>244</v>
      </c>
      <c r="B720" s="132" t="s">
        <v>334</v>
      </c>
      <c r="C720" s="132">
        <v>35</v>
      </c>
      <c r="D720" s="132" t="str">
        <f t="shared" si="51"/>
        <v>3/8" Hex Falcon 500 35</v>
      </c>
      <c r="E720" s="132">
        <v>0</v>
      </c>
      <c r="I720" s="132">
        <v>0</v>
      </c>
    </row>
    <row r="721" spans="1:9" ht="14.25" customHeight="1" x14ac:dyDescent="0.25">
      <c r="A721" s="132" t="s">
        <v>244</v>
      </c>
      <c r="B721" s="132" t="s">
        <v>334</v>
      </c>
      <c r="C721" s="132">
        <v>36</v>
      </c>
      <c r="D721" s="132" t="str">
        <f t="shared" si="51"/>
        <v>3/8" Hex Falcon 500 36</v>
      </c>
      <c r="E721" s="132">
        <v>0</v>
      </c>
      <c r="I721" s="132">
        <v>0</v>
      </c>
    </row>
    <row r="722" spans="1:9" ht="14.25" customHeight="1" x14ac:dyDescent="0.25">
      <c r="A722" s="132" t="s">
        <v>244</v>
      </c>
      <c r="B722" s="132" t="s">
        <v>334</v>
      </c>
      <c r="C722" s="132">
        <v>40</v>
      </c>
      <c r="D722" s="132" t="str">
        <f t="shared" si="51"/>
        <v>3/8" Hex Falcon 500 40</v>
      </c>
      <c r="E722" s="132">
        <v>0</v>
      </c>
      <c r="I722" s="132">
        <v>0</v>
      </c>
    </row>
    <row r="723" spans="1:9" ht="14.25" customHeight="1" x14ac:dyDescent="0.25">
      <c r="A723" s="132" t="s">
        <v>244</v>
      </c>
      <c r="B723" s="132" t="s">
        <v>334</v>
      </c>
      <c r="C723" s="132">
        <v>45</v>
      </c>
      <c r="D723" s="132" t="str">
        <f t="shared" si="51"/>
        <v>3/8" Hex Falcon 500 45</v>
      </c>
      <c r="E723" s="132">
        <v>0</v>
      </c>
      <c r="I723" s="132">
        <v>0</v>
      </c>
    </row>
    <row r="724" spans="1:9" ht="14.25" customHeight="1" x14ac:dyDescent="0.25">
      <c r="A724" s="132" t="s">
        <v>244</v>
      </c>
      <c r="B724" s="132" t="s">
        <v>334</v>
      </c>
      <c r="C724" s="132">
        <v>49</v>
      </c>
      <c r="D724" s="132" t="str">
        <f t="shared" si="51"/>
        <v>3/8" Hex Falcon 500 49</v>
      </c>
      <c r="E724" s="132">
        <v>0</v>
      </c>
      <c r="I724" s="132">
        <v>0</v>
      </c>
    </row>
    <row r="725" spans="1:9" ht="14.25" customHeight="1" x14ac:dyDescent="0.25">
      <c r="A725" s="132" t="s">
        <v>244</v>
      </c>
      <c r="B725" s="132" t="s">
        <v>334</v>
      </c>
      <c r="C725" s="132">
        <v>50</v>
      </c>
      <c r="D725" s="132" t="str">
        <f t="shared" si="51"/>
        <v>3/8" Hex Falcon 500 50</v>
      </c>
      <c r="E725" s="132">
        <v>0</v>
      </c>
      <c r="I725" s="132">
        <v>0</v>
      </c>
    </row>
    <row r="726" spans="1:9" ht="14.25" customHeight="1" x14ac:dyDescent="0.25">
      <c r="A726" s="132" t="s">
        <v>244</v>
      </c>
      <c r="B726" s="132" t="s">
        <v>334</v>
      </c>
      <c r="C726" s="132">
        <v>63</v>
      </c>
      <c r="D726" s="132" t="str">
        <f t="shared" si="51"/>
        <v>3/8" Hex Falcon 500 63</v>
      </c>
      <c r="E726" s="132">
        <v>0</v>
      </c>
      <c r="I726" s="132">
        <v>0</v>
      </c>
    </row>
    <row r="727" spans="1:9" ht="14.25" customHeight="1" x14ac:dyDescent="0.25">
      <c r="A727" s="132" t="s">
        <v>244</v>
      </c>
      <c r="B727" s="132" t="s">
        <v>334</v>
      </c>
      <c r="C727" s="132">
        <v>70</v>
      </c>
      <c r="D727" s="132" t="str">
        <f t="shared" si="51"/>
        <v>3/8" Hex Falcon 500 70</v>
      </c>
      <c r="E727" s="132">
        <v>0</v>
      </c>
      <c r="I727" s="132">
        <v>0</v>
      </c>
    </row>
    <row r="728" spans="1:9" ht="14.25" customHeight="1" x14ac:dyDescent="0.25">
      <c r="A728" s="132" t="s">
        <v>244</v>
      </c>
      <c r="B728" s="132" t="s">
        <v>334</v>
      </c>
      <c r="C728" s="132">
        <v>81</v>
      </c>
      <c r="D728" s="132" t="str">
        <f t="shared" si="51"/>
        <v>3/8" Hex Falcon 500 81</v>
      </c>
      <c r="E728" s="132">
        <v>0</v>
      </c>
      <c r="I728" s="132">
        <v>0</v>
      </c>
    </row>
    <row r="729" spans="1:9" ht="14.25" customHeight="1" x14ac:dyDescent="0.25">
      <c r="A729" s="132" t="s">
        <v>244</v>
      </c>
      <c r="B729" s="132" t="s">
        <v>334</v>
      </c>
      <c r="C729" s="132">
        <v>90</v>
      </c>
      <c r="D729" s="132" t="str">
        <f t="shared" si="51"/>
        <v>3/8" Hex Falcon 500 90</v>
      </c>
      <c r="E729" s="132">
        <v>0</v>
      </c>
      <c r="I729" s="132">
        <v>0</v>
      </c>
    </row>
    <row r="730" spans="1:9" ht="14.25" customHeight="1" x14ac:dyDescent="0.25">
      <c r="A730" s="132" t="s">
        <v>244</v>
      </c>
      <c r="B730" s="132" t="s">
        <v>334</v>
      </c>
      <c r="C730" s="132">
        <v>100</v>
      </c>
      <c r="D730" s="132" t="str">
        <f t="shared" si="51"/>
        <v>3/8" Hex Falcon 500 100</v>
      </c>
      <c r="E730" s="132">
        <v>0</v>
      </c>
      <c r="I730" s="132">
        <v>0</v>
      </c>
    </row>
    <row r="731" spans="1:9" ht="14.25" customHeight="1" x14ac:dyDescent="0.25">
      <c r="A731" s="132" t="s">
        <v>247</v>
      </c>
      <c r="B731" s="132" t="s">
        <v>11</v>
      </c>
      <c r="C731" s="132">
        <v>-3</v>
      </c>
      <c r="D731" s="132" t="str">
        <f t="shared" ref="D731:D736" si="52">A731&amp;" "&amp;B731&amp;" "&amp;C731</f>
        <v>CIM Motor AM 9015 -3</v>
      </c>
      <c r="E731" s="132">
        <v>1</v>
      </c>
      <c r="I731" s="132">
        <v>1</v>
      </c>
    </row>
    <row r="732" spans="1:9" ht="14.25" customHeight="1" x14ac:dyDescent="0.25">
      <c r="A732" s="132" t="s">
        <v>247</v>
      </c>
      <c r="B732" s="132" t="s">
        <v>11</v>
      </c>
      <c r="C732" s="132">
        <v>-4</v>
      </c>
      <c r="D732" s="132" t="str">
        <f t="shared" si="52"/>
        <v>CIM Motor AM 9015 -4</v>
      </c>
      <c r="E732" s="132">
        <v>1</v>
      </c>
      <c r="I732" s="132">
        <v>1</v>
      </c>
    </row>
    <row r="733" spans="1:9" ht="14.25" customHeight="1" x14ac:dyDescent="0.25">
      <c r="A733" s="132" t="s">
        <v>247</v>
      </c>
      <c r="B733" s="132" t="s">
        <v>11</v>
      </c>
      <c r="C733" s="132">
        <v>-5</v>
      </c>
      <c r="D733" s="132" t="str">
        <f t="shared" si="52"/>
        <v>CIM Motor AM 9015 -5</v>
      </c>
      <c r="E733" s="132">
        <v>1</v>
      </c>
      <c r="I733" s="132">
        <v>1</v>
      </c>
    </row>
    <row r="734" spans="1:9" ht="14.25" customHeight="1" x14ac:dyDescent="0.25">
      <c r="A734" s="132" t="s">
        <v>247</v>
      </c>
      <c r="B734" s="132" t="s">
        <v>11</v>
      </c>
      <c r="C734" s="132">
        <v>-7</v>
      </c>
      <c r="D734" s="132" t="str">
        <f t="shared" si="52"/>
        <v>CIM Motor AM 9015 -7</v>
      </c>
      <c r="E734" s="132">
        <v>1</v>
      </c>
      <c r="I734" s="132">
        <v>1</v>
      </c>
    </row>
    <row r="735" spans="1:9" ht="14.25" customHeight="1" x14ac:dyDescent="0.25">
      <c r="A735" s="132" t="s">
        <v>247</v>
      </c>
      <c r="B735" s="132" t="s">
        <v>11</v>
      </c>
      <c r="C735" s="132">
        <v>-9</v>
      </c>
      <c r="D735" s="132" t="str">
        <f t="shared" si="52"/>
        <v>CIM Motor AM 9015 -9</v>
      </c>
      <c r="E735" s="132">
        <v>1</v>
      </c>
      <c r="I735" s="132">
        <v>1</v>
      </c>
    </row>
    <row r="736" spans="1:9" ht="14.25" customHeight="1" x14ac:dyDescent="0.25">
      <c r="A736" s="132" t="s">
        <v>247</v>
      </c>
      <c r="B736" s="132" t="s">
        <v>11</v>
      </c>
      <c r="C736" s="132">
        <v>-10</v>
      </c>
      <c r="D736" s="132" t="str">
        <f t="shared" si="52"/>
        <v>CIM Motor AM 9015 -10</v>
      </c>
      <c r="E736" s="132">
        <v>1</v>
      </c>
      <c r="I736" s="132">
        <v>1</v>
      </c>
    </row>
    <row r="737" spans="1:9" ht="14.25" customHeight="1" x14ac:dyDescent="0.25">
      <c r="A737" s="132" t="s">
        <v>247</v>
      </c>
      <c r="B737" s="132" t="s">
        <v>11</v>
      </c>
      <c r="C737" s="132">
        <v>9</v>
      </c>
      <c r="D737" s="132" t="str">
        <f t="shared" ref="D737:D757" si="53">A737&amp;" "&amp;B737&amp;" "&amp;C737</f>
        <v>CIM Motor AM 9015 9</v>
      </c>
      <c r="E737" s="132">
        <v>7</v>
      </c>
      <c r="I737" s="132">
        <v>7</v>
      </c>
    </row>
    <row r="738" spans="1:9" ht="14.25" customHeight="1" x14ac:dyDescent="0.25">
      <c r="A738" s="132" t="s">
        <v>247</v>
      </c>
      <c r="B738" s="132" t="s">
        <v>11</v>
      </c>
      <c r="C738" s="132">
        <v>12</v>
      </c>
      <c r="D738" s="132" t="str">
        <f t="shared" si="53"/>
        <v>CIM Motor AM 9015 12</v>
      </c>
      <c r="E738" s="132">
        <v>5</v>
      </c>
      <c r="I738" s="132">
        <v>5</v>
      </c>
    </row>
    <row r="739" spans="1:9" ht="14.25" customHeight="1" x14ac:dyDescent="0.25">
      <c r="A739" s="132" t="s">
        <v>247</v>
      </c>
      <c r="B739" s="132" t="s">
        <v>11</v>
      </c>
      <c r="C739" s="132">
        <v>15</v>
      </c>
      <c r="D739" s="132" t="str">
        <f t="shared" si="53"/>
        <v>CIM Motor AM 9015 15</v>
      </c>
      <c r="E739" s="132">
        <v>4</v>
      </c>
      <c r="I739" s="132">
        <v>5</v>
      </c>
    </row>
    <row r="740" spans="1:9" ht="14.25" customHeight="1" x14ac:dyDescent="0.25">
      <c r="A740" s="132" t="s">
        <v>247</v>
      </c>
      <c r="B740" s="132" t="s">
        <v>11</v>
      </c>
      <c r="C740" s="132">
        <v>16</v>
      </c>
      <c r="D740" s="132" t="str">
        <f t="shared" si="53"/>
        <v>CIM Motor AM 9015 16</v>
      </c>
      <c r="E740" s="132">
        <v>4</v>
      </c>
      <c r="I740" s="132">
        <v>5</v>
      </c>
    </row>
    <row r="741" spans="1:9" ht="14.25" customHeight="1" x14ac:dyDescent="0.25">
      <c r="A741" s="132" t="s">
        <v>247</v>
      </c>
      <c r="B741" s="132" t="s">
        <v>11</v>
      </c>
      <c r="C741" s="132">
        <v>20</v>
      </c>
      <c r="D741" s="132" t="str">
        <f t="shared" si="53"/>
        <v>CIM Motor AM 9015 20</v>
      </c>
      <c r="E741" s="132">
        <v>3</v>
      </c>
      <c r="I741" s="132">
        <v>4</v>
      </c>
    </row>
    <row r="742" spans="1:9" ht="14.25" customHeight="1" x14ac:dyDescent="0.25">
      <c r="A742" s="132" t="s">
        <v>247</v>
      </c>
      <c r="B742" s="132" t="s">
        <v>11</v>
      </c>
      <c r="C742" s="132">
        <v>21</v>
      </c>
      <c r="D742" s="132" t="str">
        <f t="shared" si="53"/>
        <v>CIM Motor AM 9015 21</v>
      </c>
      <c r="E742" s="132">
        <v>3</v>
      </c>
      <c r="I742" s="132">
        <v>3</v>
      </c>
    </row>
    <row r="743" spans="1:9" ht="14.25" customHeight="1" x14ac:dyDescent="0.25">
      <c r="A743" s="132" t="s">
        <v>247</v>
      </c>
      <c r="B743" s="132" t="s">
        <v>11</v>
      </c>
      <c r="C743" s="132">
        <v>25</v>
      </c>
      <c r="D743" s="132" t="str">
        <f t="shared" si="53"/>
        <v>CIM Motor AM 9015 25</v>
      </c>
      <c r="E743" s="132">
        <v>1</v>
      </c>
      <c r="I743" s="132">
        <v>3</v>
      </c>
    </row>
    <row r="744" spans="1:9" ht="14.25" customHeight="1" x14ac:dyDescent="0.25">
      <c r="A744" s="132" t="s">
        <v>247</v>
      </c>
      <c r="B744" s="132" t="s">
        <v>11</v>
      </c>
      <c r="C744" s="132">
        <v>27</v>
      </c>
      <c r="D744" s="132" t="str">
        <f t="shared" si="53"/>
        <v>CIM Motor AM 9015 27</v>
      </c>
      <c r="E744" s="132">
        <v>1</v>
      </c>
      <c r="I744" s="132">
        <v>1</v>
      </c>
    </row>
    <row r="745" spans="1:9" ht="14.25" customHeight="1" x14ac:dyDescent="0.25">
      <c r="A745" s="132" t="s">
        <v>247</v>
      </c>
      <c r="B745" s="132" t="s">
        <v>11</v>
      </c>
      <c r="C745" s="132">
        <v>28</v>
      </c>
      <c r="D745" s="132" t="str">
        <f t="shared" si="53"/>
        <v>CIM Motor AM 9015 28</v>
      </c>
      <c r="E745" s="132">
        <v>1</v>
      </c>
      <c r="I745" s="132">
        <v>1</v>
      </c>
    </row>
    <row r="746" spans="1:9" ht="14.25" customHeight="1" x14ac:dyDescent="0.25">
      <c r="A746" s="132" t="s">
        <v>247</v>
      </c>
      <c r="B746" s="132" t="s">
        <v>11</v>
      </c>
      <c r="C746" s="132">
        <v>30</v>
      </c>
      <c r="D746" s="132" t="str">
        <f t="shared" si="53"/>
        <v>CIM Motor AM 9015 30</v>
      </c>
      <c r="E746" s="132">
        <v>1</v>
      </c>
      <c r="I746" s="132">
        <v>1</v>
      </c>
    </row>
    <row r="747" spans="1:9" ht="14.25" customHeight="1" x14ac:dyDescent="0.25">
      <c r="A747" s="132" t="s">
        <v>247</v>
      </c>
      <c r="B747" s="132" t="s">
        <v>11</v>
      </c>
      <c r="C747" s="132">
        <v>35</v>
      </c>
      <c r="D747" s="132" t="str">
        <f t="shared" si="53"/>
        <v>CIM Motor AM 9015 35</v>
      </c>
      <c r="E747" s="132">
        <v>1</v>
      </c>
      <c r="I747" s="132">
        <v>1</v>
      </c>
    </row>
    <row r="748" spans="1:9" ht="14.25" customHeight="1" x14ac:dyDescent="0.25">
      <c r="A748" s="132" t="s">
        <v>247</v>
      </c>
      <c r="B748" s="132" t="s">
        <v>11</v>
      </c>
      <c r="C748" s="132">
        <v>36</v>
      </c>
      <c r="D748" s="132" t="str">
        <f t="shared" si="53"/>
        <v>CIM Motor AM 9015 36</v>
      </c>
      <c r="E748" s="132">
        <v>1</v>
      </c>
      <c r="I748" s="132">
        <v>1</v>
      </c>
    </row>
    <row r="749" spans="1:9" ht="14.25" customHeight="1" x14ac:dyDescent="0.25">
      <c r="A749" s="132" t="s">
        <v>247</v>
      </c>
      <c r="B749" s="132" t="s">
        <v>11</v>
      </c>
      <c r="C749" s="132">
        <v>40</v>
      </c>
      <c r="D749" s="132" t="str">
        <f t="shared" si="53"/>
        <v>CIM Motor AM 9015 40</v>
      </c>
      <c r="E749" s="132">
        <v>1</v>
      </c>
      <c r="I749" s="132">
        <v>1</v>
      </c>
    </row>
    <row r="750" spans="1:9" ht="14.25" customHeight="1" x14ac:dyDescent="0.25">
      <c r="A750" s="132" t="s">
        <v>247</v>
      </c>
      <c r="B750" s="132" t="s">
        <v>11</v>
      </c>
      <c r="C750" s="132">
        <v>45</v>
      </c>
      <c r="D750" s="132" t="str">
        <f t="shared" si="53"/>
        <v>CIM Motor AM 9015 45</v>
      </c>
      <c r="E750" s="132">
        <v>1</v>
      </c>
      <c r="I750" s="132">
        <v>1</v>
      </c>
    </row>
    <row r="751" spans="1:9" ht="14.25" customHeight="1" x14ac:dyDescent="0.25">
      <c r="A751" s="132" t="s">
        <v>247</v>
      </c>
      <c r="B751" s="132" t="s">
        <v>11</v>
      </c>
      <c r="C751" s="132">
        <v>49</v>
      </c>
      <c r="D751" s="132" t="str">
        <f t="shared" si="53"/>
        <v>CIM Motor AM 9015 49</v>
      </c>
      <c r="E751" s="132">
        <v>1</v>
      </c>
      <c r="I751" s="132">
        <v>1</v>
      </c>
    </row>
    <row r="752" spans="1:9" ht="14.25" customHeight="1" x14ac:dyDescent="0.25">
      <c r="A752" s="132" t="s">
        <v>247</v>
      </c>
      <c r="B752" s="132" t="s">
        <v>11</v>
      </c>
      <c r="C752" s="132">
        <v>50</v>
      </c>
      <c r="D752" s="132" t="str">
        <f t="shared" si="53"/>
        <v>CIM Motor AM 9015 50</v>
      </c>
      <c r="E752" s="132">
        <v>1</v>
      </c>
      <c r="I752" s="132">
        <v>1</v>
      </c>
    </row>
    <row r="753" spans="1:9" ht="14.25" customHeight="1" x14ac:dyDescent="0.25">
      <c r="A753" s="132" t="s">
        <v>247</v>
      </c>
      <c r="B753" s="132" t="s">
        <v>11</v>
      </c>
      <c r="C753" s="132">
        <v>63</v>
      </c>
      <c r="D753" s="132" t="str">
        <f t="shared" si="53"/>
        <v>CIM Motor AM 9015 63</v>
      </c>
      <c r="E753" s="132">
        <v>1</v>
      </c>
      <c r="I753" s="132">
        <v>1</v>
      </c>
    </row>
    <row r="754" spans="1:9" ht="14.25" customHeight="1" x14ac:dyDescent="0.25">
      <c r="A754" s="132" t="s">
        <v>247</v>
      </c>
      <c r="B754" s="132" t="s">
        <v>11</v>
      </c>
      <c r="C754" s="132">
        <v>70</v>
      </c>
      <c r="D754" s="132" t="str">
        <f t="shared" si="53"/>
        <v>CIM Motor AM 9015 70</v>
      </c>
      <c r="E754" s="132">
        <v>0</v>
      </c>
      <c r="I754" s="132">
        <v>1</v>
      </c>
    </row>
    <row r="755" spans="1:9" ht="14.25" customHeight="1" x14ac:dyDescent="0.25">
      <c r="A755" s="132" t="s">
        <v>247</v>
      </c>
      <c r="B755" s="132" t="s">
        <v>11</v>
      </c>
      <c r="C755" s="132">
        <v>81</v>
      </c>
      <c r="D755" s="132" t="str">
        <f t="shared" si="53"/>
        <v>CIM Motor AM 9015 81</v>
      </c>
      <c r="E755" s="132">
        <v>0</v>
      </c>
      <c r="I755" s="132">
        <v>0</v>
      </c>
    </row>
    <row r="756" spans="1:9" ht="14.25" customHeight="1" x14ac:dyDescent="0.25">
      <c r="A756" s="132" t="s">
        <v>247</v>
      </c>
      <c r="B756" s="132" t="s">
        <v>11</v>
      </c>
      <c r="C756" s="132">
        <v>90</v>
      </c>
      <c r="D756" s="132" t="str">
        <f t="shared" si="53"/>
        <v>CIM Motor AM 9015 90</v>
      </c>
      <c r="E756" s="132">
        <v>0</v>
      </c>
      <c r="I756" s="132">
        <v>0</v>
      </c>
    </row>
    <row r="757" spans="1:9" ht="14.25" customHeight="1" x14ac:dyDescent="0.25">
      <c r="A757" s="132" t="s">
        <v>247</v>
      </c>
      <c r="B757" s="132" t="s">
        <v>11</v>
      </c>
      <c r="C757" s="132">
        <v>100</v>
      </c>
      <c r="D757" s="132" t="str">
        <f t="shared" si="53"/>
        <v>CIM Motor AM 9015 100</v>
      </c>
      <c r="E757" s="132">
        <v>0</v>
      </c>
      <c r="I757" s="132">
        <v>0</v>
      </c>
    </row>
    <row r="758" spans="1:9" ht="14.25" customHeight="1" x14ac:dyDescent="0.25">
      <c r="A758" s="132" t="s">
        <v>247</v>
      </c>
      <c r="B758" s="132" t="s">
        <v>327</v>
      </c>
      <c r="C758" s="132">
        <v>-3</v>
      </c>
      <c r="D758" s="132" t="str">
        <f t="shared" ref="D758:D763" si="54">A758&amp;" "&amp;B758&amp;" "&amp;C758</f>
        <v>CIM Motor BB RS-550 -3</v>
      </c>
      <c r="E758" s="132">
        <v>1</v>
      </c>
      <c r="F758" s="132">
        <v>1</v>
      </c>
      <c r="G758" s="132">
        <v>0</v>
      </c>
      <c r="H758" s="132">
        <v>1</v>
      </c>
      <c r="I758" s="132">
        <v>1</v>
      </c>
    </row>
    <row r="759" spans="1:9" ht="14.25" customHeight="1" x14ac:dyDescent="0.25">
      <c r="A759" s="132" t="s">
        <v>247</v>
      </c>
      <c r="B759" s="132" t="s">
        <v>327</v>
      </c>
      <c r="C759" s="132">
        <v>-4</v>
      </c>
      <c r="D759" s="132" t="str">
        <f t="shared" si="54"/>
        <v>CIM Motor BB RS-550 -4</v>
      </c>
      <c r="E759" s="132">
        <v>1</v>
      </c>
      <c r="F759" s="132">
        <v>1</v>
      </c>
      <c r="G759" s="132">
        <v>0</v>
      </c>
      <c r="H759" s="132">
        <v>0</v>
      </c>
      <c r="I759" s="132">
        <v>1</v>
      </c>
    </row>
    <row r="760" spans="1:9" ht="14.25" customHeight="1" x14ac:dyDescent="0.25">
      <c r="A760" s="132" t="s">
        <v>247</v>
      </c>
      <c r="B760" s="132" t="s">
        <v>327</v>
      </c>
      <c r="C760" s="132">
        <v>-5</v>
      </c>
      <c r="D760" s="132" t="str">
        <f t="shared" si="54"/>
        <v>CIM Motor BB RS-550 -5</v>
      </c>
      <c r="E760" s="132">
        <v>1</v>
      </c>
      <c r="F760" s="132">
        <v>1</v>
      </c>
      <c r="G760" s="132">
        <v>0</v>
      </c>
      <c r="H760" s="132">
        <v>0</v>
      </c>
      <c r="I760" s="132">
        <v>1</v>
      </c>
    </row>
    <row r="761" spans="1:9" ht="14.25" customHeight="1" x14ac:dyDescent="0.25">
      <c r="A761" s="132" t="s">
        <v>247</v>
      </c>
      <c r="B761" s="132" t="s">
        <v>327</v>
      </c>
      <c r="C761" s="132">
        <v>-7</v>
      </c>
      <c r="D761" s="132" t="str">
        <f t="shared" si="54"/>
        <v>CIM Motor BB RS-550 -7</v>
      </c>
      <c r="E761" s="132">
        <v>1</v>
      </c>
      <c r="F761" s="132">
        <v>1</v>
      </c>
      <c r="G761" s="132">
        <v>0</v>
      </c>
      <c r="H761" s="132">
        <v>0</v>
      </c>
      <c r="I761" s="132">
        <v>1</v>
      </c>
    </row>
    <row r="762" spans="1:9" ht="14.25" customHeight="1" x14ac:dyDescent="0.25">
      <c r="A762" s="132" t="s">
        <v>247</v>
      </c>
      <c r="B762" s="132" t="s">
        <v>327</v>
      </c>
      <c r="C762" s="132">
        <v>-9</v>
      </c>
      <c r="D762" s="132" t="str">
        <f t="shared" si="54"/>
        <v>CIM Motor BB RS-550 -9</v>
      </c>
      <c r="E762" s="132">
        <v>1</v>
      </c>
      <c r="F762" s="132">
        <v>1</v>
      </c>
      <c r="G762" s="132">
        <v>0</v>
      </c>
      <c r="H762" s="132">
        <v>0</v>
      </c>
      <c r="I762" s="132">
        <v>1</v>
      </c>
    </row>
    <row r="763" spans="1:9" ht="14.25" customHeight="1" x14ac:dyDescent="0.25">
      <c r="A763" s="132" t="s">
        <v>247</v>
      </c>
      <c r="B763" s="132" t="s">
        <v>327</v>
      </c>
      <c r="C763" s="132">
        <v>-10</v>
      </c>
      <c r="D763" s="132" t="str">
        <f t="shared" si="54"/>
        <v>CIM Motor BB RS-550 -10</v>
      </c>
      <c r="E763" s="132">
        <v>1</v>
      </c>
      <c r="F763" s="132">
        <v>1</v>
      </c>
      <c r="G763" s="132">
        <v>0</v>
      </c>
      <c r="H763" s="132">
        <v>0</v>
      </c>
      <c r="I763" s="132">
        <v>1</v>
      </c>
    </row>
    <row r="764" spans="1:9" ht="14.25" customHeight="1" x14ac:dyDescent="0.25">
      <c r="A764" s="132" t="s">
        <v>247</v>
      </c>
      <c r="B764" s="132" t="s">
        <v>327</v>
      </c>
      <c r="C764" s="132">
        <v>9</v>
      </c>
      <c r="D764" s="132" t="str">
        <f t="shared" ref="D764:D784" si="55">A764&amp;" "&amp;B764&amp;" "&amp;C764</f>
        <v>CIM Motor BB RS-550 9</v>
      </c>
      <c r="E764" s="132">
        <v>5</v>
      </c>
      <c r="F764" s="132">
        <v>3</v>
      </c>
      <c r="G764" s="132">
        <v>0</v>
      </c>
      <c r="H764" s="132">
        <v>0</v>
      </c>
      <c r="I764" s="132">
        <v>7</v>
      </c>
    </row>
    <row r="765" spans="1:9" ht="14.25" customHeight="1" x14ac:dyDescent="0.25">
      <c r="A765" s="132" t="s">
        <v>247</v>
      </c>
      <c r="B765" s="132" t="s">
        <v>327</v>
      </c>
      <c r="C765" s="132">
        <v>12</v>
      </c>
      <c r="D765" s="132" t="str">
        <f t="shared" si="55"/>
        <v>CIM Motor BB RS-550 12</v>
      </c>
      <c r="E765" s="132">
        <v>4</v>
      </c>
      <c r="F765" s="132">
        <v>1</v>
      </c>
      <c r="G765" s="132">
        <v>0</v>
      </c>
      <c r="H765" s="132">
        <v>0</v>
      </c>
      <c r="I765" s="132">
        <v>5</v>
      </c>
    </row>
    <row r="766" spans="1:9" ht="14.25" customHeight="1" x14ac:dyDescent="0.25">
      <c r="A766" s="132" t="s">
        <v>247</v>
      </c>
      <c r="B766" s="132" t="s">
        <v>327</v>
      </c>
      <c r="C766" s="132">
        <v>15</v>
      </c>
      <c r="D766" s="132" t="str">
        <f t="shared" si="55"/>
        <v>CIM Motor BB RS-550 15</v>
      </c>
      <c r="E766" s="132">
        <v>3</v>
      </c>
      <c r="F766" s="132">
        <v>1</v>
      </c>
      <c r="G766" s="132">
        <v>0</v>
      </c>
      <c r="H766" s="132">
        <v>0</v>
      </c>
      <c r="I766" s="132">
        <v>5</v>
      </c>
    </row>
    <row r="767" spans="1:9" ht="14.25" customHeight="1" x14ac:dyDescent="0.25">
      <c r="A767" s="132" t="s">
        <v>247</v>
      </c>
      <c r="B767" s="132" t="s">
        <v>327</v>
      </c>
      <c r="C767" s="132">
        <v>16</v>
      </c>
      <c r="D767" s="132" t="str">
        <f t="shared" si="55"/>
        <v>CIM Motor BB RS-550 16</v>
      </c>
      <c r="E767" s="132">
        <v>3</v>
      </c>
      <c r="F767" s="132">
        <v>1</v>
      </c>
      <c r="G767" s="132">
        <v>0</v>
      </c>
      <c r="H767" s="132">
        <v>0</v>
      </c>
      <c r="I767" s="132">
        <v>5</v>
      </c>
    </row>
    <row r="768" spans="1:9" ht="14.25" customHeight="1" x14ac:dyDescent="0.25">
      <c r="A768" s="132" t="s">
        <v>247</v>
      </c>
      <c r="B768" s="132" t="s">
        <v>327</v>
      </c>
      <c r="C768" s="132">
        <v>20</v>
      </c>
      <c r="D768" s="132" t="str">
        <f t="shared" si="55"/>
        <v>CIM Motor BB RS-550 20</v>
      </c>
      <c r="E768" s="132">
        <v>1</v>
      </c>
      <c r="F768" s="132">
        <v>1</v>
      </c>
      <c r="G768" s="132">
        <v>0</v>
      </c>
      <c r="H768" s="132">
        <v>0</v>
      </c>
      <c r="I768" s="132">
        <v>4</v>
      </c>
    </row>
    <row r="769" spans="1:9" ht="14.25" customHeight="1" x14ac:dyDescent="0.25">
      <c r="A769" s="132" t="s">
        <v>247</v>
      </c>
      <c r="B769" s="132" t="s">
        <v>327</v>
      </c>
      <c r="C769" s="132">
        <v>21</v>
      </c>
      <c r="D769" s="132" t="str">
        <f t="shared" si="55"/>
        <v>CIM Motor BB RS-550 21</v>
      </c>
      <c r="E769" s="132">
        <v>1</v>
      </c>
      <c r="F769" s="132">
        <v>1</v>
      </c>
      <c r="G769" s="132">
        <v>0</v>
      </c>
      <c r="H769" s="132">
        <v>0</v>
      </c>
      <c r="I769" s="132">
        <v>3</v>
      </c>
    </row>
    <row r="770" spans="1:9" ht="14.25" customHeight="1" x14ac:dyDescent="0.25">
      <c r="A770" s="132" t="s">
        <v>247</v>
      </c>
      <c r="B770" s="132" t="s">
        <v>327</v>
      </c>
      <c r="C770" s="132">
        <v>25</v>
      </c>
      <c r="D770" s="132" t="str">
        <f t="shared" si="55"/>
        <v>CIM Motor BB RS-550 25</v>
      </c>
      <c r="E770" s="132">
        <v>1</v>
      </c>
      <c r="F770" s="132">
        <v>1</v>
      </c>
      <c r="G770" s="132">
        <v>0</v>
      </c>
      <c r="H770" s="132">
        <v>0</v>
      </c>
      <c r="I770" s="132">
        <v>3</v>
      </c>
    </row>
    <row r="771" spans="1:9" ht="14.25" customHeight="1" x14ac:dyDescent="0.25">
      <c r="A771" s="132" t="s">
        <v>247</v>
      </c>
      <c r="B771" s="132" t="s">
        <v>327</v>
      </c>
      <c r="C771" s="132">
        <v>27</v>
      </c>
      <c r="D771" s="132" t="str">
        <f t="shared" si="55"/>
        <v>CIM Motor BB RS-550 27</v>
      </c>
      <c r="E771" s="132">
        <v>1</v>
      </c>
      <c r="F771" s="132">
        <v>1</v>
      </c>
      <c r="G771" s="132">
        <v>0</v>
      </c>
      <c r="H771" s="132">
        <v>0</v>
      </c>
      <c r="I771" s="132">
        <v>1</v>
      </c>
    </row>
    <row r="772" spans="1:9" ht="14.25" customHeight="1" x14ac:dyDescent="0.25">
      <c r="A772" s="132" t="s">
        <v>247</v>
      </c>
      <c r="B772" s="132" t="s">
        <v>327</v>
      </c>
      <c r="C772" s="132">
        <v>28</v>
      </c>
      <c r="D772" s="132" t="str">
        <f t="shared" si="55"/>
        <v>CIM Motor BB RS-550 28</v>
      </c>
      <c r="E772" s="132">
        <v>1</v>
      </c>
      <c r="F772" s="132">
        <v>1</v>
      </c>
      <c r="G772" s="132">
        <v>0</v>
      </c>
      <c r="H772" s="132">
        <v>0</v>
      </c>
      <c r="I772" s="132">
        <v>1</v>
      </c>
    </row>
    <row r="773" spans="1:9" ht="14.25" customHeight="1" x14ac:dyDescent="0.25">
      <c r="A773" s="132" t="s">
        <v>247</v>
      </c>
      <c r="B773" s="132" t="s">
        <v>327</v>
      </c>
      <c r="C773" s="132">
        <v>30</v>
      </c>
      <c r="D773" s="132" t="str">
        <f t="shared" si="55"/>
        <v>CIM Motor BB RS-550 30</v>
      </c>
      <c r="E773" s="132">
        <v>1</v>
      </c>
      <c r="F773" s="132">
        <v>0</v>
      </c>
      <c r="G773" s="132">
        <v>0</v>
      </c>
      <c r="H773" s="132">
        <v>0</v>
      </c>
      <c r="I773" s="132">
        <v>1</v>
      </c>
    </row>
    <row r="774" spans="1:9" ht="14.25" customHeight="1" x14ac:dyDescent="0.25">
      <c r="A774" s="132" t="s">
        <v>247</v>
      </c>
      <c r="B774" s="132" t="s">
        <v>327</v>
      </c>
      <c r="C774" s="132">
        <v>35</v>
      </c>
      <c r="D774" s="132" t="str">
        <f t="shared" si="55"/>
        <v>CIM Motor BB RS-550 35</v>
      </c>
      <c r="E774" s="132">
        <v>1</v>
      </c>
      <c r="F774" s="132">
        <v>0</v>
      </c>
      <c r="G774" s="132">
        <v>0</v>
      </c>
      <c r="H774" s="132">
        <v>0</v>
      </c>
      <c r="I774" s="132">
        <v>1</v>
      </c>
    </row>
    <row r="775" spans="1:9" ht="14.25" customHeight="1" x14ac:dyDescent="0.25">
      <c r="A775" s="132" t="s">
        <v>247</v>
      </c>
      <c r="B775" s="132" t="s">
        <v>327</v>
      </c>
      <c r="C775" s="132">
        <v>36</v>
      </c>
      <c r="D775" s="132" t="str">
        <f t="shared" si="55"/>
        <v>CIM Motor BB RS-550 36</v>
      </c>
      <c r="E775" s="132">
        <v>1</v>
      </c>
      <c r="F775" s="132">
        <v>0</v>
      </c>
      <c r="G775" s="132">
        <v>0</v>
      </c>
      <c r="H775" s="132">
        <v>0</v>
      </c>
      <c r="I775" s="132">
        <v>1</v>
      </c>
    </row>
    <row r="776" spans="1:9" ht="14.25" customHeight="1" x14ac:dyDescent="0.25">
      <c r="A776" s="132" t="s">
        <v>247</v>
      </c>
      <c r="B776" s="132" t="s">
        <v>327</v>
      </c>
      <c r="C776" s="132">
        <v>40</v>
      </c>
      <c r="D776" s="132" t="str">
        <f t="shared" si="55"/>
        <v>CIM Motor BB RS-550 40</v>
      </c>
      <c r="E776" s="132">
        <v>1</v>
      </c>
      <c r="F776" s="132">
        <v>0</v>
      </c>
      <c r="G776" s="132">
        <v>0</v>
      </c>
      <c r="H776" s="132">
        <v>0</v>
      </c>
      <c r="I776" s="132">
        <v>1</v>
      </c>
    </row>
    <row r="777" spans="1:9" ht="14.25" customHeight="1" x14ac:dyDescent="0.25">
      <c r="A777" s="132" t="s">
        <v>247</v>
      </c>
      <c r="B777" s="132" t="s">
        <v>327</v>
      </c>
      <c r="C777" s="132">
        <v>45</v>
      </c>
      <c r="D777" s="132" t="str">
        <f t="shared" si="55"/>
        <v>CIM Motor BB RS-550 45</v>
      </c>
      <c r="E777" s="132">
        <v>1</v>
      </c>
      <c r="F777" s="132">
        <v>0</v>
      </c>
      <c r="G777" s="132">
        <v>0</v>
      </c>
      <c r="H777" s="132">
        <v>0</v>
      </c>
      <c r="I777" s="132">
        <v>1</v>
      </c>
    </row>
    <row r="778" spans="1:9" ht="14.25" customHeight="1" x14ac:dyDescent="0.25">
      <c r="A778" s="132" t="s">
        <v>247</v>
      </c>
      <c r="B778" s="132" t="s">
        <v>327</v>
      </c>
      <c r="C778" s="132">
        <v>49</v>
      </c>
      <c r="D778" s="132" t="str">
        <f t="shared" si="55"/>
        <v>CIM Motor BB RS-550 49</v>
      </c>
      <c r="E778" s="132">
        <v>1</v>
      </c>
      <c r="F778" s="132">
        <v>0</v>
      </c>
      <c r="G778" s="132">
        <v>0</v>
      </c>
      <c r="H778" s="132">
        <v>0</v>
      </c>
      <c r="I778" s="132">
        <v>1</v>
      </c>
    </row>
    <row r="779" spans="1:9" ht="14.25" customHeight="1" x14ac:dyDescent="0.25">
      <c r="A779" s="132" t="s">
        <v>247</v>
      </c>
      <c r="B779" s="132" t="s">
        <v>327</v>
      </c>
      <c r="C779" s="132">
        <v>50</v>
      </c>
      <c r="D779" s="132" t="str">
        <f t="shared" si="55"/>
        <v>CIM Motor BB RS-550 50</v>
      </c>
      <c r="E779" s="132">
        <v>1</v>
      </c>
      <c r="F779" s="132">
        <v>0</v>
      </c>
      <c r="G779" s="132">
        <v>0</v>
      </c>
      <c r="H779" s="132">
        <v>0</v>
      </c>
      <c r="I779" s="132">
        <v>1</v>
      </c>
    </row>
    <row r="780" spans="1:9" ht="14.25" customHeight="1" x14ac:dyDescent="0.25">
      <c r="A780" s="132" t="s">
        <v>247</v>
      </c>
      <c r="B780" s="132" t="s">
        <v>327</v>
      </c>
      <c r="C780" s="132">
        <v>63</v>
      </c>
      <c r="D780" s="132" t="str">
        <f t="shared" si="55"/>
        <v>CIM Motor BB RS-550 63</v>
      </c>
      <c r="E780" s="132">
        <v>0</v>
      </c>
      <c r="F780" s="132">
        <v>0</v>
      </c>
      <c r="G780" s="132">
        <v>0</v>
      </c>
      <c r="H780" s="132">
        <v>0</v>
      </c>
      <c r="I780" s="132">
        <v>1</v>
      </c>
    </row>
    <row r="781" spans="1:9" ht="14.25" customHeight="1" x14ac:dyDescent="0.25">
      <c r="A781" s="132" t="s">
        <v>247</v>
      </c>
      <c r="B781" s="132" t="s">
        <v>327</v>
      </c>
      <c r="C781" s="132">
        <v>70</v>
      </c>
      <c r="D781" s="132" t="str">
        <f t="shared" si="55"/>
        <v>CIM Motor BB RS-550 70</v>
      </c>
      <c r="E781" s="132">
        <v>0</v>
      </c>
      <c r="F781" s="132">
        <v>0</v>
      </c>
      <c r="G781" s="132">
        <v>0</v>
      </c>
      <c r="H781" s="132">
        <v>0</v>
      </c>
      <c r="I781" s="132">
        <v>1</v>
      </c>
    </row>
    <row r="782" spans="1:9" ht="14.25" customHeight="1" x14ac:dyDescent="0.25">
      <c r="A782" s="132" t="s">
        <v>247</v>
      </c>
      <c r="B782" s="132" t="s">
        <v>327</v>
      </c>
      <c r="C782" s="132">
        <v>81</v>
      </c>
      <c r="D782" s="132" t="str">
        <f t="shared" si="55"/>
        <v>CIM Motor BB RS-550 81</v>
      </c>
      <c r="E782" s="132">
        <v>0</v>
      </c>
      <c r="F782" s="132">
        <v>0</v>
      </c>
      <c r="G782" s="132">
        <v>0</v>
      </c>
      <c r="H782" s="132">
        <v>0</v>
      </c>
      <c r="I782" s="132">
        <v>0</v>
      </c>
    </row>
    <row r="783" spans="1:9" ht="14.25" customHeight="1" x14ac:dyDescent="0.25">
      <c r="A783" s="132" t="s">
        <v>247</v>
      </c>
      <c r="B783" s="132" t="s">
        <v>327</v>
      </c>
      <c r="C783" s="132">
        <v>90</v>
      </c>
      <c r="D783" s="132" t="str">
        <f t="shared" si="55"/>
        <v>CIM Motor BB RS-550 90</v>
      </c>
      <c r="E783" s="132">
        <v>0</v>
      </c>
      <c r="F783" s="132">
        <v>0</v>
      </c>
      <c r="G783" s="132">
        <v>0</v>
      </c>
      <c r="H783" s="132">
        <v>0</v>
      </c>
      <c r="I783" s="132">
        <v>0</v>
      </c>
    </row>
    <row r="784" spans="1:9" ht="14.25" customHeight="1" x14ac:dyDescent="0.25">
      <c r="A784" s="132" t="s">
        <v>247</v>
      </c>
      <c r="B784" s="132" t="s">
        <v>327</v>
      </c>
      <c r="C784" s="132">
        <v>100</v>
      </c>
      <c r="D784" s="132" t="str">
        <f t="shared" si="55"/>
        <v>CIM Motor BB RS-550 100</v>
      </c>
      <c r="E784" s="132">
        <v>0</v>
      </c>
      <c r="F784" s="132">
        <v>0</v>
      </c>
      <c r="G784" s="132">
        <v>0</v>
      </c>
      <c r="H784" s="132">
        <v>0</v>
      </c>
      <c r="I784" s="132">
        <v>0</v>
      </c>
    </row>
    <row r="785" spans="1:9" ht="14.25" customHeight="1" x14ac:dyDescent="0.25">
      <c r="A785" s="132" t="s">
        <v>247</v>
      </c>
      <c r="B785" s="132" t="s">
        <v>328</v>
      </c>
      <c r="C785" s="132">
        <v>-3</v>
      </c>
      <c r="D785" s="132" t="str">
        <f t="shared" ref="D785:D790" si="56">A785&amp;" "&amp;B785&amp;" "&amp;C785</f>
        <v>CIM Motor BB RS-775 -3</v>
      </c>
      <c r="E785" s="132">
        <v>1</v>
      </c>
      <c r="F785" s="132">
        <v>1</v>
      </c>
      <c r="G785" s="132">
        <v>0</v>
      </c>
      <c r="H785" s="132">
        <v>0</v>
      </c>
      <c r="I785" s="132">
        <v>1</v>
      </c>
    </row>
    <row r="786" spans="1:9" ht="14.25" customHeight="1" x14ac:dyDescent="0.25">
      <c r="A786" s="132" t="s">
        <v>247</v>
      </c>
      <c r="B786" s="132" t="s">
        <v>328</v>
      </c>
      <c r="C786" s="132">
        <v>-4</v>
      </c>
      <c r="D786" s="132" t="str">
        <f t="shared" si="56"/>
        <v>CIM Motor BB RS-775 -4</v>
      </c>
      <c r="E786" s="132">
        <v>1</v>
      </c>
      <c r="F786" s="132">
        <v>1</v>
      </c>
      <c r="G786" s="132">
        <v>0</v>
      </c>
      <c r="H786" s="132">
        <v>0</v>
      </c>
      <c r="I786" s="132">
        <v>1</v>
      </c>
    </row>
    <row r="787" spans="1:9" ht="14.25" customHeight="1" x14ac:dyDescent="0.25">
      <c r="A787" s="132" t="s">
        <v>247</v>
      </c>
      <c r="B787" s="132" t="s">
        <v>328</v>
      </c>
      <c r="C787" s="132">
        <v>-5</v>
      </c>
      <c r="D787" s="132" t="str">
        <f t="shared" si="56"/>
        <v>CIM Motor BB RS-775 -5</v>
      </c>
      <c r="E787" s="132">
        <v>1</v>
      </c>
      <c r="F787" s="132">
        <v>1</v>
      </c>
      <c r="G787" s="132">
        <v>0</v>
      </c>
      <c r="H787" s="132">
        <v>0</v>
      </c>
      <c r="I787" s="132">
        <v>1</v>
      </c>
    </row>
    <row r="788" spans="1:9" ht="14.25" customHeight="1" x14ac:dyDescent="0.25">
      <c r="A788" s="132" t="s">
        <v>247</v>
      </c>
      <c r="B788" s="132" t="s">
        <v>328</v>
      </c>
      <c r="C788" s="132">
        <v>-7</v>
      </c>
      <c r="D788" s="132" t="str">
        <f t="shared" si="56"/>
        <v>CIM Motor BB RS-775 -7</v>
      </c>
      <c r="E788" s="132">
        <v>1</v>
      </c>
      <c r="F788" s="132">
        <v>1</v>
      </c>
      <c r="G788" s="132">
        <v>0</v>
      </c>
      <c r="H788" s="132">
        <v>0</v>
      </c>
      <c r="I788" s="132">
        <v>1</v>
      </c>
    </row>
    <row r="789" spans="1:9" ht="14.25" customHeight="1" x14ac:dyDescent="0.25">
      <c r="A789" s="132" t="s">
        <v>247</v>
      </c>
      <c r="B789" s="132" t="s">
        <v>328</v>
      </c>
      <c r="C789" s="132">
        <v>-9</v>
      </c>
      <c r="D789" s="132" t="str">
        <f t="shared" si="56"/>
        <v>CIM Motor BB RS-775 -9</v>
      </c>
      <c r="E789" s="132">
        <v>1</v>
      </c>
      <c r="F789" s="132">
        <v>1</v>
      </c>
      <c r="G789" s="132">
        <v>0</v>
      </c>
      <c r="H789" s="132">
        <v>0</v>
      </c>
      <c r="I789" s="132">
        <v>1</v>
      </c>
    </row>
    <row r="790" spans="1:9" ht="14.25" customHeight="1" x14ac:dyDescent="0.25">
      <c r="A790" s="132" t="s">
        <v>247</v>
      </c>
      <c r="B790" s="132" t="s">
        <v>328</v>
      </c>
      <c r="C790" s="132">
        <v>-10</v>
      </c>
      <c r="D790" s="132" t="str">
        <f t="shared" si="56"/>
        <v>CIM Motor BB RS-775 -10</v>
      </c>
      <c r="E790" s="132">
        <v>1</v>
      </c>
      <c r="F790" s="132">
        <v>1</v>
      </c>
      <c r="G790" s="132">
        <v>0</v>
      </c>
      <c r="H790" s="132">
        <v>0</v>
      </c>
      <c r="I790" s="132">
        <v>1</v>
      </c>
    </row>
    <row r="791" spans="1:9" ht="14.25" customHeight="1" x14ac:dyDescent="0.25">
      <c r="A791" s="132" t="s">
        <v>247</v>
      </c>
      <c r="B791" s="132" t="s">
        <v>328</v>
      </c>
      <c r="C791" s="132">
        <v>9</v>
      </c>
      <c r="D791" s="132" t="str">
        <f t="shared" ref="D791:D811" si="57">A791&amp;" "&amp;B791&amp;" "&amp;C791</f>
        <v>CIM Motor BB RS-775 9</v>
      </c>
      <c r="E791" s="132">
        <v>4</v>
      </c>
      <c r="F791" s="132">
        <v>1</v>
      </c>
      <c r="G791" s="132">
        <v>0</v>
      </c>
      <c r="H791" s="132">
        <v>0</v>
      </c>
      <c r="I791" s="132">
        <v>7</v>
      </c>
    </row>
    <row r="792" spans="1:9" ht="14.25" customHeight="1" x14ac:dyDescent="0.25">
      <c r="A792" s="132" t="s">
        <v>247</v>
      </c>
      <c r="B792" s="132" t="s">
        <v>328</v>
      </c>
      <c r="C792" s="132">
        <v>12</v>
      </c>
      <c r="D792" s="132" t="str">
        <f t="shared" si="57"/>
        <v>CIM Motor BB RS-775 12</v>
      </c>
      <c r="E792" s="132">
        <v>3</v>
      </c>
      <c r="F792" s="132">
        <v>1</v>
      </c>
      <c r="G792" s="132">
        <v>0</v>
      </c>
      <c r="H792" s="132">
        <v>0</v>
      </c>
      <c r="I792" s="132">
        <v>5</v>
      </c>
    </row>
    <row r="793" spans="1:9" ht="14.25" customHeight="1" x14ac:dyDescent="0.25">
      <c r="A793" s="132" t="s">
        <v>247</v>
      </c>
      <c r="B793" s="132" t="s">
        <v>328</v>
      </c>
      <c r="C793" s="132">
        <v>15</v>
      </c>
      <c r="D793" s="132" t="str">
        <f t="shared" si="57"/>
        <v>CIM Motor BB RS-775 15</v>
      </c>
      <c r="E793" s="132">
        <v>1</v>
      </c>
      <c r="F793" s="132">
        <v>1</v>
      </c>
      <c r="G793" s="132">
        <v>0</v>
      </c>
      <c r="H793" s="132">
        <v>0</v>
      </c>
      <c r="I793" s="132">
        <v>5</v>
      </c>
    </row>
    <row r="794" spans="1:9" ht="14.25" customHeight="1" x14ac:dyDescent="0.25">
      <c r="A794" s="132" t="s">
        <v>247</v>
      </c>
      <c r="B794" s="132" t="s">
        <v>328</v>
      </c>
      <c r="C794" s="132">
        <v>16</v>
      </c>
      <c r="D794" s="132" t="str">
        <f t="shared" si="57"/>
        <v>CIM Motor BB RS-775 16</v>
      </c>
      <c r="E794" s="132">
        <v>1</v>
      </c>
      <c r="F794" s="132">
        <v>1</v>
      </c>
      <c r="G794" s="132">
        <v>0</v>
      </c>
      <c r="H794" s="132">
        <v>0</v>
      </c>
      <c r="I794" s="132">
        <v>5</v>
      </c>
    </row>
    <row r="795" spans="1:9" ht="14.25" customHeight="1" x14ac:dyDescent="0.25">
      <c r="A795" s="132" t="s">
        <v>247</v>
      </c>
      <c r="B795" s="132" t="s">
        <v>328</v>
      </c>
      <c r="C795" s="132">
        <v>20</v>
      </c>
      <c r="D795" s="132" t="str">
        <f t="shared" si="57"/>
        <v>CIM Motor BB RS-775 20</v>
      </c>
      <c r="E795" s="132">
        <v>1</v>
      </c>
      <c r="F795" s="132">
        <v>0</v>
      </c>
      <c r="G795" s="132">
        <v>0</v>
      </c>
      <c r="H795" s="132">
        <v>0</v>
      </c>
      <c r="I795" s="132">
        <v>4</v>
      </c>
    </row>
    <row r="796" spans="1:9" ht="14.25" customHeight="1" x14ac:dyDescent="0.25">
      <c r="A796" s="132" t="s">
        <v>247</v>
      </c>
      <c r="B796" s="132" t="s">
        <v>328</v>
      </c>
      <c r="C796" s="132">
        <v>21</v>
      </c>
      <c r="D796" s="132" t="str">
        <f t="shared" si="57"/>
        <v>CIM Motor BB RS-775 21</v>
      </c>
      <c r="E796" s="132">
        <v>1</v>
      </c>
      <c r="F796" s="132">
        <v>0</v>
      </c>
      <c r="G796" s="132">
        <v>0</v>
      </c>
      <c r="H796" s="132">
        <v>0</v>
      </c>
      <c r="I796" s="132">
        <v>3</v>
      </c>
    </row>
    <row r="797" spans="1:9" ht="14.25" customHeight="1" x14ac:dyDescent="0.25">
      <c r="A797" s="132" t="s">
        <v>247</v>
      </c>
      <c r="B797" s="132" t="s">
        <v>328</v>
      </c>
      <c r="C797" s="132">
        <v>25</v>
      </c>
      <c r="D797" s="132" t="str">
        <f t="shared" si="57"/>
        <v>CIM Motor BB RS-775 25</v>
      </c>
      <c r="E797" s="132">
        <v>1</v>
      </c>
      <c r="F797" s="132">
        <v>0</v>
      </c>
      <c r="G797" s="132">
        <v>0</v>
      </c>
      <c r="H797" s="132">
        <v>0</v>
      </c>
      <c r="I797" s="132">
        <v>3</v>
      </c>
    </row>
    <row r="798" spans="1:9" ht="14.25" customHeight="1" x14ac:dyDescent="0.25">
      <c r="A798" s="132" t="s">
        <v>247</v>
      </c>
      <c r="B798" s="132" t="s">
        <v>328</v>
      </c>
      <c r="C798" s="132">
        <v>27</v>
      </c>
      <c r="D798" s="132" t="str">
        <f t="shared" si="57"/>
        <v>CIM Motor BB RS-775 27</v>
      </c>
      <c r="E798" s="132">
        <v>1</v>
      </c>
      <c r="F798" s="132">
        <v>0</v>
      </c>
      <c r="G798" s="132">
        <v>0</v>
      </c>
      <c r="H798" s="132">
        <v>0</v>
      </c>
      <c r="I798" s="132">
        <v>1</v>
      </c>
    </row>
    <row r="799" spans="1:9" ht="14.25" customHeight="1" x14ac:dyDescent="0.25">
      <c r="A799" s="132" t="s">
        <v>247</v>
      </c>
      <c r="B799" s="132" t="s">
        <v>328</v>
      </c>
      <c r="C799" s="132">
        <v>28</v>
      </c>
      <c r="D799" s="132" t="str">
        <f t="shared" si="57"/>
        <v>CIM Motor BB RS-775 28</v>
      </c>
      <c r="E799" s="132">
        <v>1</v>
      </c>
      <c r="F799" s="132">
        <v>0</v>
      </c>
      <c r="G799" s="132">
        <v>0</v>
      </c>
      <c r="H799" s="132">
        <v>0</v>
      </c>
      <c r="I799" s="132">
        <v>1</v>
      </c>
    </row>
    <row r="800" spans="1:9" ht="14.25" customHeight="1" x14ac:dyDescent="0.25">
      <c r="A800" s="132" t="s">
        <v>247</v>
      </c>
      <c r="B800" s="132" t="s">
        <v>328</v>
      </c>
      <c r="C800" s="132">
        <v>30</v>
      </c>
      <c r="D800" s="132" t="str">
        <f t="shared" si="57"/>
        <v>CIM Motor BB RS-775 30</v>
      </c>
      <c r="E800" s="132">
        <v>1</v>
      </c>
      <c r="F800" s="132">
        <v>0</v>
      </c>
      <c r="G800" s="132">
        <v>0</v>
      </c>
      <c r="H800" s="132">
        <v>0</v>
      </c>
      <c r="I800" s="132">
        <v>1</v>
      </c>
    </row>
    <row r="801" spans="1:9" ht="14.25" customHeight="1" x14ac:dyDescent="0.25">
      <c r="A801" s="132" t="s">
        <v>247</v>
      </c>
      <c r="B801" s="132" t="s">
        <v>328</v>
      </c>
      <c r="C801" s="132">
        <v>35</v>
      </c>
      <c r="D801" s="132" t="str">
        <f t="shared" si="57"/>
        <v>CIM Motor BB RS-775 35</v>
      </c>
      <c r="E801" s="132">
        <v>1</v>
      </c>
      <c r="F801" s="132">
        <v>0</v>
      </c>
      <c r="G801" s="132">
        <v>0</v>
      </c>
      <c r="H801" s="132">
        <v>0</v>
      </c>
      <c r="I801" s="132">
        <v>1</v>
      </c>
    </row>
    <row r="802" spans="1:9" ht="14.25" customHeight="1" x14ac:dyDescent="0.25">
      <c r="A802" s="132" t="s">
        <v>247</v>
      </c>
      <c r="B802" s="132" t="s">
        <v>328</v>
      </c>
      <c r="C802" s="132">
        <v>36</v>
      </c>
      <c r="D802" s="132" t="str">
        <f t="shared" si="57"/>
        <v>CIM Motor BB RS-775 36</v>
      </c>
      <c r="E802" s="132">
        <v>1</v>
      </c>
      <c r="F802" s="132">
        <v>0</v>
      </c>
      <c r="G802" s="132">
        <v>0</v>
      </c>
      <c r="H802" s="132">
        <v>0</v>
      </c>
      <c r="I802" s="132">
        <v>1</v>
      </c>
    </row>
    <row r="803" spans="1:9" ht="14.25" customHeight="1" x14ac:dyDescent="0.25">
      <c r="A803" s="132" t="s">
        <v>247</v>
      </c>
      <c r="B803" s="132" t="s">
        <v>328</v>
      </c>
      <c r="C803" s="132">
        <v>40</v>
      </c>
      <c r="D803" s="132" t="str">
        <f t="shared" si="57"/>
        <v>CIM Motor BB RS-775 40</v>
      </c>
      <c r="E803" s="132">
        <v>0</v>
      </c>
      <c r="F803" s="132">
        <v>0</v>
      </c>
      <c r="G803" s="132">
        <v>0</v>
      </c>
      <c r="H803" s="132">
        <v>0</v>
      </c>
      <c r="I803" s="132">
        <v>1</v>
      </c>
    </row>
    <row r="804" spans="1:9" ht="14.25" customHeight="1" x14ac:dyDescent="0.25">
      <c r="A804" s="132" t="s">
        <v>247</v>
      </c>
      <c r="B804" s="132" t="s">
        <v>328</v>
      </c>
      <c r="C804" s="132">
        <v>45</v>
      </c>
      <c r="D804" s="132" t="str">
        <f t="shared" si="57"/>
        <v>CIM Motor BB RS-775 45</v>
      </c>
      <c r="E804" s="132">
        <v>0</v>
      </c>
      <c r="F804" s="132">
        <v>0</v>
      </c>
      <c r="G804" s="132">
        <v>0</v>
      </c>
      <c r="H804" s="132">
        <v>0</v>
      </c>
      <c r="I804" s="132">
        <v>1</v>
      </c>
    </row>
    <row r="805" spans="1:9" ht="14.25" customHeight="1" x14ac:dyDescent="0.25">
      <c r="A805" s="132" t="s">
        <v>247</v>
      </c>
      <c r="B805" s="132" t="s">
        <v>328</v>
      </c>
      <c r="C805" s="132">
        <v>49</v>
      </c>
      <c r="D805" s="132" t="str">
        <f t="shared" si="57"/>
        <v>CIM Motor BB RS-775 49</v>
      </c>
      <c r="E805" s="132">
        <v>0</v>
      </c>
      <c r="F805" s="132">
        <v>0</v>
      </c>
      <c r="G805" s="132">
        <v>0</v>
      </c>
      <c r="H805" s="132">
        <v>0</v>
      </c>
      <c r="I805" s="132">
        <v>1</v>
      </c>
    </row>
    <row r="806" spans="1:9" ht="14.25" customHeight="1" x14ac:dyDescent="0.25">
      <c r="A806" s="132" t="s">
        <v>247</v>
      </c>
      <c r="B806" s="132" t="s">
        <v>328</v>
      </c>
      <c r="C806" s="132">
        <v>50</v>
      </c>
      <c r="D806" s="132" t="str">
        <f t="shared" si="57"/>
        <v>CIM Motor BB RS-775 50</v>
      </c>
      <c r="E806" s="132">
        <v>0</v>
      </c>
      <c r="F806" s="132">
        <v>0</v>
      </c>
      <c r="G806" s="132">
        <v>0</v>
      </c>
      <c r="H806" s="132">
        <v>0</v>
      </c>
      <c r="I806" s="132">
        <v>1</v>
      </c>
    </row>
    <row r="807" spans="1:9" ht="14.25" customHeight="1" x14ac:dyDescent="0.25">
      <c r="A807" s="132" t="s">
        <v>247</v>
      </c>
      <c r="B807" s="132" t="s">
        <v>328</v>
      </c>
      <c r="C807" s="132">
        <v>63</v>
      </c>
      <c r="D807" s="132" t="str">
        <f t="shared" si="57"/>
        <v>CIM Motor BB RS-775 63</v>
      </c>
      <c r="E807" s="132">
        <v>0</v>
      </c>
      <c r="F807" s="132">
        <v>0</v>
      </c>
      <c r="G807" s="132">
        <v>0</v>
      </c>
      <c r="H807" s="132">
        <v>0</v>
      </c>
      <c r="I807" s="132">
        <v>1</v>
      </c>
    </row>
    <row r="808" spans="1:9" ht="14.25" customHeight="1" x14ac:dyDescent="0.25">
      <c r="A808" s="132" t="s">
        <v>247</v>
      </c>
      <c r="B808" s="132" t="s">
        <v>328</v>
      </c>
      <c r="C808" s="132">
        <v>70</v>
      </c>
      <c r="D808" s="132" t="str">
        <f t="shared" si="57"/>
        <v>CIM Motor BB RS-775 70</v>
      </c>
      <c r="E808" s="132">
        <v>0</v>
      </c>
      <c r="F808" s="132">
        <v>0</v>
      </c>
      <c r="G808" s="132">
        <v>0</v>
      </c>
      <c r="H808" s="132">
        <v>0</v>
      </c>
      <c r="I808" s="132">
        <v>1</v>
      </c>
    </row>
    <row r="809" spans="1:9" ht="14.25" customHeight="1" x14ac:dyDescent="0.25">
      <c r="A809" s="132" t="s">
        <v>247</v>
      </c>
      <c r="B809" s="132" t="s">
        <v>328</v>
      </c>
      <c r="C809" s="132">
        <v>81</v>
      </c>
      <c r="D809" s="132" t="str">
        <f t="shared" si="57"/>
        <v>CIM Motor BB RS-775 81</v>
      </c>
      <c r="E809" s="132">
        <v>0</v>
      </c>
      <c r="F809" s="132">
        <v>0</v>
      </c>
      <c r="G809" s="132">
        <v>0</v>
      </c>
      <c r="H809" s="132">
        <v>0</v>
      </c>
      <c r="I809" s="132">
        <v>1</v>
      </c>
    </row>
    <row r="810" spans="1:9" ht="14.25" customHeight="1" x14ac:dyDescent="0.25">
      <c r="A810" s="132" t="s">
        <v>247</v>
      </c>
      <c r="B810" s="132" t="s">
        <v>328</v>
      </c>
      <c r="C810" s="132">
        <v>90</v>
      </c>
      <c r="D810" s="132" t="str">
        <f t="shared" si="57"/>
        <v>CIM Motor BB RS-775 90</v>
      </c>
      <c r="E810" s="132">
        <v>0</v>
      </c>
      <c r="F810" s="132">
        <v>0</v>
      </c>
      <c r="G810" s="132">
        <v>0</v>
      </c>
      <c r="H810" s="132">
        <v>0</v>
      </c>
      <c r="I810" s="132">
        <v>1</v>
      </c>
    </row>
    <row r="811" spans="1:9" ht="14.25" customHeight="1" x14ac:dyDescent="0.25">
      <c r="A811" s="132" t="s">
        <v>247</v>
      </c>
      <c r="B811" s="132" t="s">
        <v>328</v>
      </c>
      <c r="C811" s="132">
        <v>100</v>
      </c>
      <c r="D811" s="132" t="str">
        <f t="shared" si="57"/>
        <v>CIM Motor BB RS-775 100</v>
      </c>
      <c r="E811" s="132">
        <v>0</v>
      </c>
      <c r="F811" s="132">
        <v>0</v>
      </c>
      <c r="G811" s="132">
        <v>0</v>
      </c>
      <c r="H811" s="132">
        <v>0</v>
      </c>
      <c r="I811" s="132">
        <v>1</v>
      </c>
    </row>
    <row r="812" spans="1:9" ht="14.25" customHeight="1" x14ac:dyDescent="0.25">
      <c r="A812" s="132" t="s">
        <v>247</v>
      </c>
      <c r="B812" s="132" t="s">
        <v>8</v>
      </c>
      <c r="C812" s="132">
        <v>-3</v>
      </c>
      <c r="D812" s="132" t="str">
        <f t="shared" ref="D812:D817" si="58">A812&amp;" "&amp;B812&amp;" "&amp;C812</f>
        <v>CIM Motor BAG Motor -3</v>
      </c>
      <c r="E812" s="132">
        <v>1</v>
      </c>
      <c r="F812" s="132">
        <v>1</v>
      </c>
      <c r="G812" s="132">
        <v>0</v>
      </c>
      <c r="H812" s="132">
        <v>0</v>
      </c>
      <c r="I812" s="132">
        <v>1</v>
      </c>
    </row>
    <row r="813" spans="1:9" ht="14.25" customHeight="1" x14ac:dyDescent="0.25">
      <c r="A813" s="132" t="s">
        <v>247</v>
      </c>
      <c r="B813" s="132" t="s">
        <v>8</v>
      </c>
      <c r="C813" s="132">
        <v>-4</v>
      </c>
      <c r="D813" s="132" t="str">
        <f t="shared" si="58"/>
        <v>CIM Motor BAG Motor -4</v>
      </c>
      <c r="E813" s="132">
        <v>1</v>
      </c>
      <c r="F813" s="132">
        <v>1</v>
      </c>
      <c r="G813" s="132">
        <v>0</v>
      </c>
      <c r="H813" s="132">
        <v>0</v>
      </c>
      <c r="I813" s="132">
        <v>1</v>
      </c>
    </row>
    <row r="814" spans="1:9" ht="14.25" customHeight="1" x14ac:dyDescent="0.25">
      <c r="A814" s="132" t="s">
        <v>247</v>
      </c>
      <c r="B814" s="132" t="s">
        <v>8</v>
      </c>
      <c r="C814" s="132">
        <v>-5</v>
      </c>
      <c r="D814" s="132" t="str">
        <f t="shared" si="58"/>
        <v>CIM Motor BAG Motor -5</v>
      </c>
      <c r="E814" s="132">
        <v>1</v>
      </c>
      <c r="F814" s="132">
        <v>1</v>
      </c>
      <c r="G814" s="132">
        <v>0</v>
      </c>
      <c r="H814" s="132">
        <v>0</v>
      </c>
      <c r="I814" s="132">
        <v>1</v>
      </c>
    </row>
    <row r="815" spans="1:9" ht="14.25" customHeight="1" x14ac:dyDescent="0.25">
      <c r="A815" s="132" t="s">
        <v>247</v>
      </c>
      <c r="B815" s="132" t="s">
        <v>8</v>
      </c>
      <c r="C815" s="132">
        <v>-7</v>
      </c>
      <c r="D815" s="132" t="str">
        <f t="shared" si="58"/>
        <v>CIM Motor BAG Motor -7</v>
      </c>
      <c r="E815" s="132">
        <v>1</v>
      </c>
      <c r="F815" s="132">
        <v>1</v>
      </c>
      <c r="G815" s="132">
        <v>0</v>
      </c>
      <c r="H815" s="132">
        <v>0</v>
      </c>
      <c r="I815" s="132">
        <v>1</v>
      </c>
    </row>
    <row r="816" spans="1:9" ht="14.25" customHeight="1" x14ac:dyDescent="0.25">
      <c r="A816" s="132" t="s">
        <v>247</v>
      </c>
      <c r="B816" s="132" t="s">
        <v>8</v>
      </c>
      <c r="C816" s="132">
        <v>-9</v>
      </c>
      <c r="D816" s="132" t="str">
        <f t="shared" si="58"/>
        <v>CIM Motor BAG Motor -9</v>
      </c>
      <c r="E816" s="132">
        <v>1</v>
      </c>
      <c r="F816" s="132">
        <v>1</v>
      </c>
      <c r="G816" s="132">
        <v>0</v>
      </c>
      <c r="H816" s="132">
        <v>0</v>
      </c>
      <c r="I816" s="132">
        <v>1</v>
      </c>
    </row>
    <row r="817" spans="1:9" ht="14.25" customHeight="1" x14ac:dyDescent="0.25">
      <c r="A817" s="132" t="s">
        <v>247</v>
      </c>
      <c r="B817" s="132" t="s">
        <v>8</v>
      </c>
      <c r="C817" s="132">
        <v>-10</v>
      </c>
      <c r="D817" s="132" t="str">
        <f t="shared" si="58"/>
        <v>CIM Motor BAG Motor -10</v>
      </c>
      <c r="E817" s="132">
        <v>1</v>
      </c>
      <c r="F817" s="132">
        <v>1</v>
      </c>
      <c r="G817" s="132">
        <v>0</v>
      </c>
      <c r="H817" s="132">
        <v>0</v>
      </c>
      <c r="I817" s="132">
        <v>1</v>
      </c>
    </row>
    <row r="818" spans="1:9" ht="14.25" customHeight="1" x14ac:dyDescent="0.25">
      <c r="A818" s="132" t="s">
        <v>247</v>
      </c>
      <c r="B818" s="132" t="s">
        <v>8</v>
      </c>
      <c r="C818" s="132">
        <v>9</v>
      </c>
      <c r="D818" s="132" t="str">
        <f t="shared" ref="D818:D838" si="59">A818&amp;" "&amp;B818&amp;" "&amp;C818</f>
        <v>CIM Motor BAG Motor 9</v>
      </c>
      <c r="E818" s="132">
        <v>7</v>
      </c>
      <c r="F818" s="132">
        <v>3</v>
      </c>
      <c r="G818" s="132">
        <v>0</v>
      </c>
      <c r="H818" s="132">
        <v>0</v>
      </c>
      <c r="I818" s="132">
        <v>7</v>
      </c>
    </row>
    <row r="819" spans="1:9" ht="14.25" customHeight="1" x14ac:dyDescent="0.25">
      <c r="A819" s="132" t="s">
        <v>247</v>
      </c>
      <c r="B819" s="132" t="s">
        <v>8</v>
      </c>
      <c r="C819" s="132">
        <v>12</v>
      </c>
      <c r="D819" s="132" t="str">
        <f t="shared" si="59"/>
        <v>CIM Motor BAG Motor 12</v>
      </c>
      <c r="E819" s="132">
        <v>5</v>
      </c>
      <c r="F819" s="132">
        <v>1</v>
      </c>
      <c r="G819" s="132">
        <v>0</v>
      </c>
      <c r="H819" s="132">
        <v>0</v>
      </c>
      <c r="I819" s="132">
        <v>5</v>
      </c>
    </row>
    <row r="820" spans="1:9" ht="14.25" customHeight="1" x14ac:dyDescent="0.25">
      <c r="A820" s="132" t="s">
        <v>247</v>
      </c>
      <c r="B820" s="132" t="s">
        <v>8</v>
      </c>
      <c r="C820" s="132">
        <v>15</v>
      </c>
      <c r="D820" s="132" t="str">
        <f t="shared" si="59"/>
        <v>CIM Motor BAG Motor 15</v>
      </c>
      <c r="E820" s="132">
        <v>4</v>
      </c>
      <c r="F820" s="132">
        <v>1</v>
      </c>
      <c r="G820" s="132">
        <v>0</v>
      </c>
      <c r="H820" s="132">
        <v>0</v>
      </c>
      <c r="I820" s="132">
        <v>4</v>
      </c>
    </row>
    <row r="821" spans="1:9" ht="14.25" customHeight="1" x14ac:dyDescent="0.25">
      <c r="A821" s="132" t="s">
        <v>247</v>
      </c>
      <c r="B821" s="132" t="s">
        <v>8</v>
      </c>
      <c r="C821" s="132">
        <v>16</v>
      </c>
      <c r="D821" s="132" t="str">
        <f t="shared" si="59"/>
        <v>CIM Motor BAG Motor 16</v>
      </c>
      <c r="E821" s="132">
        <v>4</v>
      </c>
      <c r="F821" s="132">
        <v>1</v>
      </c>
      <c r="G821" s="132">
        <v>0</v>
      </c>
      <c r="H821" s="132">
        <v>0</v>
      </c>
      <c r="I821" s="132">
        <v>4</v>
      </c>
    </row>
    <row r="822" spans="1:9" ht="14.25" customHeight="1" x14ac:dyDescent="0.25">
      <c r="A822" s="132" t="s">
        <v>247</v>
      </c>
      <c r="B822" s="132" t="s">
        <v>8</v>
      </c>
      <c r="C822" s="132">
        <v>20</v>
      </c>
      <c r="D822" s="132" t="str">
        <f t="shared" si="59"/>
        <v>CIM Motor BAG Motor 20</v>
      </c>
      <c r="E822" s="132">
        <v>3</v>
      </c>
      <c r="F822" s="132">
        <v>1</v>
      </c>
      <c r="G822" s="132">
        <v>0</v>
      </c>
      <c r="H822" s="132">
        <v>0</v>
      </c>
      <c r="I822" s="132">
        <v>3</v>
      </c>
    </row>
    <row r="823" spans="1:9" ht="14.25" customHeight="1" x14ac:dyDescent="0.25">
      <c r="A823" s="132" t="s">
        <v>247</v>
      </c>
      <c r="B823" s="132" t="s">
        <v>8</v>
      </c>
      <c r="C823" s="132">
        <v>21</v>
      </c>
      <c r="D823" s="132" t="str">
        <f t="shared" si="59"/>
        <v>CIM Motor BAG Motor 21</v>
      </c>
      <c r="E823" s="132">
        <v>3</v>
      </c>
      <c r="F823" s="132">
        <v>1</v>
      </c>
      <c r="G823" s="132">
        <v>0</v>
      </c>
      <c r="H823" s="132">
        <v>0</v>
      </c>
      <c r="I823" s="132">
        <v>3</v>
      </c>
    </row>
    <row r="824" spans="1:9" ht="14.25" customHeight="1" x14ac:dyDescent="0.25">
      <c r="A824" s="132" t="s">
        <v>247</v>
      </c>
      <c r="B824" s="132" t="s">
        <v>8</v>
      </c>
      <c r="C824" s="132">
        <v>25</v>
      </c>
      <c r="D824" s="132" t="str">
        <f t="shared" si="59"/>
        <v>CIM Motor BAG Motor 25</v>
      </c>
      <c r="E824" s="132">
        <v>1</v>
      </c>
      <c r="F824" s="132">
        <v>1</v>
      </c>
      <c r="G824" s="132">
        <v>0</v>
      </c>
      <c r="H824" s="132">
        <v>0</v>
      </c>
      <c r="I824" s="132">
        <v>1</v>
      </c>
    </row>
    <row r="825" spans="1:9" ht="14.25" customHeight="1" x14ac:dyDescent="0.25">
      <c r="A825" s="132" t="s">
        <v>247</v>
      </c>
      <c r="B825" s="132" t="s">
        <v>8</v>
      </c>
      <c r="C825" s="132">
        <v>27</v>
      </c>
      <c r="D825" s="132" t="str">
        <f t="shared" si="59"/>
        <v>CIM Motor BAG Motor 27</v>
      </c>
      <c r="E825" s="132">
        <v>1</v>
      </c>
      <c r="F825" s="132">
        <v>1</v>
      </c>
      <c r="G825" s="132">
        <v>0</v>
      </c>
      <c r="H825" s="132">
        <v>0</v>
      </c>
      <c r="I825" s="132">
        <v>1</v>
      </c>
    </row>
    <row r="826" spans="1:9" ht="14.25" customHeight="1" x14ac:dyDescent="0.25">
      <c r="A826" s="132" t="s">
        <v>247</v>
      </c>
      <c r="B826" s="132" t="s">
        <v>8</v>
      </c>
      <c r="C826" s="132">
        <v>28</v>
      </c>
      <c r="D826" s="132" t="str">
        <f t="shared" si="59"/>
        <v>CIM Motor BAG Motor 28</v>
      </c>
      <c r="E826" s="132">
        <v>1</v>
      </c>
      <c r="F826" s="132">
        <v>1</v>
      </c>
      <c r="G826" s="132">
        <v>0</v>
      </c>
      <c r="H826" s="132">
        <v>0</v>
      </c>
      <c r="I826" s="132">
        <v>1</v>
      </c>
    </row>
    <row r="827" spans="1:9" ht="14.25" customHeight="1" x14ac:dyDescent="0.25">
      <c r="A827" s="132" t="s">
        <v>247</v>
      </c>
      <c r="B827" s="132" t="s">
        <v>8</v>
      </c>
      <c r="C827" s="132">
        <v>30</v>
      </c>
      <c r="D827" s="132" t="str">
        <f t="shared" si="59"/>
        <v>CIM Motor BAG Motor 30</v>
      </c>
      <c r="E827" s="132">
        <v>1</v>
      </c>
      <c r="F827" s="132">
        <v>1</v>
      </c>
      <c r="G827" s="132">
        <v>0</v>
      </c>
      <c r="H827" s="132">
        <v>0</v>
      </c>
      <c r="I827" s="132">
        <v>1</v>
      </c>
    </row>
    <row r="828" spans="1:9" ht="14.25" customHeight="1" x14ac:dyDescent="0.25">
      <c r="A828" s="132" t="s">
        <v>247</v>
      </c>
      <c r="B828" s="132" t="s">
        <v>8</v>
      </c>
      <c r="C828" s="132">
        <v>35</v>
      </c>
      <c r="D828" s="132" t="str">
        <f t="shared" si="59"/>
        <v>CIM Motor BAG Motor 35</v>
      </c>
      <c r="E828" s="132">
        <v>1</v>
      </c>
      <c r="F828" s="132">
        <v>0</v>
      </c>
      <c r="G828" s="132">
        <v>0</v>
      </c>
      <c r="H828" s="132">
        <v>0</v>
      </c>
      <c r="I828" s="132">
        <v>1</v>
      </c>
    </row>
    <row r="829" spans="1:9" ht="14.25" customHeight="1" x14ac:dyDescent="0.25">
      <c r="A829" s="132" t="s">
        <v>247</v>
      </c>
      <c r="B829" s="132" t="s">
        <v>8</v>
      </c>
      <c r="C829" s="132">
        <v>36</v>
      </c>
      <c r="D829" s="132" t="str">
        <f t="shared" si="59"/>
        <v>CIM Motor BAG Motor 36</v>
      </c>
      <c r="E829" s="132">
        <v>1</v>
      </c>
      <c r="F829" s="132">
        <v>0</v>
      </c>
      <c r="G829" s="132">
        <v>0</v>
      </c>
      <c r="H829" s="132">
        <v>0</v>
      </c>
      <c r="I829" s="132">
        <v>1</v>
      </c>
    </row>
    <row r="830" spans="1:9" ht="14.25" customHeight="1" x14ac:dyDescent="0.25">
      <c r="A830" s="132" t="s">
        <v>247</v>
      </c>
      <c r="B830" s="132" t="s">
        <v>8</v>
      </c>
      <c r="C830" s="132">
        <v>40</v>
      </c>
      <c r="D830" s="132" t="str">
        <f t="shared" si="59"/>
        <v>CIM Motor BAG Motor 40</v>
      </c>
      <c r="E830" s="132">
        <v>1</v>
      </c>
      <c r="F830" s="132">
        <v>0</v>
      </c>
      <c r="G830" s="132">
        <v>0</v>
      </c>
      <c r="H830" s="132">
        <v>0</v>
      </c>
      <c r="I830" s="132">
        <v>1</v>
      </c>
    </row>
    <row r="831" spans="1:9" ht="14.25" customHeight="1" x14ac:dyDescent="0.25">
      <c r="A831" s="132" t="s">
        <v>247</v>
      </c>
      <c r="B831" s="132" t="s">
        <v>8</v>
      </c>
      <c r="C831" s="132">
        <v>45</v>
      </c>
      <c r="D831" s="132" t="str">
        <f t="shared" si="59"/>
        <v>CIM Motor BAG Motor 45</v>
      </c>
      <c r="E831" s="132">
        <v>1</v>
      </c>
      <c r="F831" s="132">
        <v>0</v>
      </c>
      <c r="G831" s="132">
        <v>0</v>
      </c>
      <c r="H831" s="132">
        <v>0</v>
      </c>
      <c r="I831" s="132">
        <v>1</v>
      </c>
    </row>
    <row r="832" spans="1:9" ht="14.25" customHeight="1" x14ac:dyDescent="0.25">
      <c r="A832" s="132" t="s">
        <v>247</v>
      </c>
      <c r="B832" s="132" t="s">
        <v>8</v>
      </c>
      <c r="C832" s="132">
        <v>49</v>
      </c>
      <c r="D832" s="132" t="str">
        <f t="shared" si="59"/>
        <v>CIM Motor BAG Motor 49</v>
      </c>
      <c r="E832" s="132">
        <v>1</v>
      </c>
      <c r="F832" s="132">
        <v>0</v>
      </c>
      <c r="G832" s="132">
        <v>0</v>
      </c>
      <c r="H832" s="132">
        <v>0</v>
      </c>
      <c r="I832" s="132">
        <v>1</v>
      </c>
    </row>
    <row r="833" spans="1:9" ht="14.25" customHeight="1" x14ac:dyDescent="0.25">
      <c r="A833" s="132" t="s">
        <v>247</v>
      </c>
      <c r="B833" s="132" t="s">
        <v>8</v>
      </c>
      <c r="C833" s="132">
        <v>50</v>
      </c>
      <c r="D833" s="132" t="str">
        <f t="shared" si="59"/>
        <v>CIM Motor BAG Motor 50</v>
      </c>
      <c r="E833" s="132">
        <v>1</v>
      </c>
      <c r="F833" s="132">
        <v>0</v>
      </c>
      <c r="G833" s="132">
        <v>0</v>
      </c>
      <c r="H833" s="132">
        <v>0</v>
      </c>
      <c r="I833" s="132">
        <v>1</v>
      </c>
    </row>
    <row r="834" spans="1:9" ht="14.25" customHeight="1" x14ac:dyDescent="0.25">
      <c r="A834" s="132" t="s">
        <v>247</v>
      </c>
      <c r="B834" s="132" t="s">
        <v>8</v>
      </c>
      <c r="C834" s="132">
        <v>63</v>
      </c>
      <c r="D834" s="132" t="str">
        <f t="shared" si="59"/>
        <v>CIM Motor BAG Motor 63</v>
      </c>
      <c r="E834" s="132">
        <v>1</v>
      </c>
      <c r="F834" s="132">
        <v>0</v>
      </c>
      <c r="G834" s="132">
        <v>0</v>
      </c>
      <c r="H834" s="132">
        <v>0</v>
      </c>
      <c r="I834" s="132">
        <v>1</v>
      </c>
    </row>
    <row r="835" spans="1:9" ht="14.25" customHeight="1" x14ac:dyDescent="0.25">
      <c r="A835" s="132" t="s">
        <v>247</v>
      </c>
      <c r="B835" s="132" t="s">
        <v>8</v>
      </c>
      <c r="C835" s="132">
        <v>70</v>
      </c>
      <c r="D835" s="132" t="str">
        <f t="shared" si="59"/>
        <v>CIM Motor BAG Motor 70</v>
      </c>
      <c r="E835" s="132">
        <v>0</v>
      </c>
      <c r="F835" s="132">
        <v>0</v>
      </c>
      <c r="G835" s="132">
        <v>0</v>
      </c>
      <c r="H835" s="132">
        <v>0</v>
      </c>
      <c r="I835" s="132">
        <v>0</v>
      </c>
    </row>
    <row r="836" spans="1:9" ht="14.25" customHeight="1" x14ac:dyDescent="0.25">
      <c r="A836" s="132" t="s">
        <v>247</v>
      </c>
      <c r="B836" s="132" t="s">
        <v>8</v>
      </c>
      <c r="C836" s="132">
        <v>81</v>
      </c>
      <c r="D836" s="132" t="str">
        <f t="shared" si="59"/>
        <v>CIM Motor BAG Motor 81</v>
      </c>
      <c r="E836" s="132">
        <v>0</v>
      </c>
      <c r="F836" s="132">
        <v>0</v>
      </c>
      <c r="G836" s="132">
        <v>0</v>
      </c>
      <c r="H836" s="132">
        <v>0</v>
      </c>
      <c r="I836" s="132">
        <v>0</v>
      </c>
    </row>
    <row r="837" spans="1:9" ht="14.25" customHeight="1" x14ac:dyDescent="0.25">
      <c r="A837" s="132" t="s">
        <v>247</v>
      </c>
      <c r="B837" s="132" t="s">
        <v>8</v>
      </c>
      <c r="C837" s="132">
        <v>90</v>
      </c>
      <c r="D837" s="132" t="str">
        <f t="shared" si="59"/>
        <v>CIM Motor BAG Motor 90</v>
      </c>
      <c r="E837" s="132">
        <v>0</v>
      </c>
      <c r="F837" s="132">
        <v>0</v>
      </c>
      <c r="G837" s="132">
        <v>0</v>
      </c>
      <c r="H837" s="132">
        <v>0</v>
      </c>
      <c r="I837" s="132">
        <v>0</v>
      </c>
    </row>
    <row r="838" spans="1:9" ht="14.25" customHeight="1" x14ac:dyDescent="0.25">
      <c r="A838" s="132" t="s">
        <v>247</v>
      </c>
      <c r="B838" s="132" t="s">
        <v>8</v>
      </c>
      <c r="C838" s="132">
        <v>100</v>
      </c>
      <c r="D838" s="132" t="str">
        <f t="shared" si="59"/>
        <v>CIM Motor BAG Motor 100</v>
      </c>
      <c r="E838" s="132">
        <v>0</v>
      </c>
      <c r="F838" s="132">
        <v>0</v>
      </c>
      <c r="G838" s="132">
        <v>0</v>
      </c>
      <c r="H838" s="132">
        <v>0</v>
      </c>
      <c r="I838" s="132">
        <v>0</v>
      </c>
    </row>
    <row r="839" spans="1:9" ht="14.25" customHeight="1" x14ac:dyDescent="0.25">
      <c r="A839" s="132" t="s">
        <v>247</v>
      </c>
      <c r="B839" s="132" t="s">
        <v>256</v>
      </c>
      <c r="C839" s="132">
        <v>-3</v>
      </c>
      <c r="D839" s="132" t="str">
        <f t="shared" ref="D839:D844" si="60">A839&amp;" "&amp;B839&amp;" "&amp;C839</f>
        <v>CIM Motor 775pro -3</v>
      </c>
      <c r="E839" s="132">
        <v>1</v>
      </c>
      <c r="F839" s="132">
        <v>1</v>
      </c>
      <c r="G839" s="132">
        <v>0</v>
      </c>
      <c r="H839" s="132">
        <v>0</v>
      </c>
      <c r="I839" s="132">
        <v>1</v>
      </c>
    </row>
    <row r="840" spans="1:9" ht="14.25" customHeight="1" x14ac:dyDescent="0.25">
      <c r="A840" s="132" t="s">
        <v>247</v>
      </c>
      <c r="B840" s="132" t="s">
        <v>256</v>
      </c>
      <c r="C840" s="132">
        <v>-4</v>
      </c>
      <c r="D840" s="132" t="str">
        <f t="shared" si="60"/>
        <v>CIM Motor 775pro -4</v>
      </c>
      <c r="E840" s="132">
        <v>1</v>
      </c>
      <c r="F840" s="132">
        <v>1</v>
      </c>
      <c r="G840" s="132">
        <v>0</v>
      </c>
      <c r="H840" s="132">
        <v>0</v>
      </c>
      <c r="I840" s="132">
        <v>1</v>
      </c>
    </row>
    <row r="841" spans="1:9" ht="14.25" customHeight="1" x14ac:dyDescent="0.25">
      <c r="A841" s="132" t="s">
        <v>247</v>
      </c>
      <c r="B841" s="132" t="s">
        <v>256</v>
      </c>
      <c r="C841" s="132">
        <v>-5</v>
      </c>
      <c r="D841" s="132" t="str">
        <f t="shared" si="60"/>
        <v>CIM Motor 775pro -5</v>
      </c>
      <c r="E841" s="132">
        <v>1</v>
      </c>
      <c r="F841" s="132">
        <v>1</v>
      </c>
      <c r="G841" s="132">
        <v>0</v>
      </c>
      <c r="H841" s="132">
        <v>0</v>
      </c>
      <c r="I841" s="132">
        <v>1</v>
      </c>
    </row>
    <row r="842" spans="1:9" ht="14.25" customHeight="1" x14ac:dyDescent="0.25">
      <c r="A842" s="132" t="s">
        <v>247</v>
      </c>
      <c r="B842" s="132" t="s">
        <v>256</v>
      </c>
      <c r="C842" s="132">
        <v>-7</v>
      </c>
      <c r="D842" s="132" t="str">
        <f t="shared" si="60"/>
        <v>CIM Motor 775pro -7</v>
      </c>
      <c r="E842" s="132">
        <v>1</v>
      </c>
      <c r="F842" s="132">
        <v>1</v>
      </c>
      <c r="G842" s="132">
        <v>0</v>
      </c>
      <c r="H842" s="132">
        <v>0</v>
      </c>
      <c r="I842" s="132">
        <v>1</v>
      </c>
    </row>
    <row r="843" spans="1:9" ht="14.25" customHeight="1" x14ac:dyDescent="0.25">
      <c r="A843" s="132" t="s">
        <v>247</v>
      </c>
      <c r="B843" s="132" t="s">
        <v>256</v>
      </c>
      <c r="C843" s="132">
        <v>-9</v>
      </c>
      <c r="D843" s="132" t="str">
        <f t="shared" si="60"/>
        <v>CIM Motor 775pro -9</v>
      </c>
      <c r="E843" s="132">
        <v>1</v>
      </c>
      <c r="F843" s="132">
        <v>1</v>
      </c>
      <c r="G843" s="132">
        <v>0</v>
      </c>
      <c r="H843" s="132">
        <v>0</v>
      </c>
      <c r="I843" s="132">
        <v>1</v>
      </c>
    </row>
    <row r="844" spans="1:9" ht="14.25" customHeight="1" x14ac:dyDescent="0.25">
      <c r="A844" s="132" t="s">
        <v>247</v>
      </c>
      <c r="B844" s="132" t="s">
        <v>256</v>
      </c>
      <c r="C844" s="132">
        <v>-10</v>
      </c>
      <c r="D844" s="132" t="str">
        <f t="shared" si="60"/>
        <v>CIM Motor 775pro -10</v>
      </c>
      <c r="E844" s="132">
        <v>1</v>
      </c>
      <c r="F844" s="132">
        <v>1</v>
      </c>
      <c r="G844" s="132">
        <v>0</v>
      </c>
      <c r="H844" s="132">
        <v>0</v>
      </c>
      <c r="I844" s="132">
        <v>1</v>
      </c>
    </row>
    <row r="845" spans="1:9" ht="14.25" customHeight="1" x14ac:dyDescent="0.25">
      <c r="A845" s="132" t="s">
        <v>247</v>
      </c>
      <c r="B845" s="132" t="s">
        <v>256</v>
      </c>
      <c r="C845" s="132">
        <v>9</v>
      </c>
      <c r="D845" s="132" t="str">
        <f t="shared" ref="D845:D865" si="61">A845&amp;" "&amp;B845&amp;" "&amp;C845</f>
        <v>CIM Motor 775pro 9</v>
      </c>
      <c r="E845" s="132">
        <v>4</v>
      </c>
      <c r="F845" s="132">
        <v>1</v>
      </c>
      <c r="G845" s="132">
        <v>0</v>
      </c>
      <c r="H845" s="132">
        <v>0</v>
      </c>
      <c r="I845" s="132">
        <v>4</v>
      </c>
    </row>
    <row r="846" spans="1:9" ht="14.25" customHeight="1" x14ac:dyDescent="0.25">
      <c r="A846" s="132" t="s">
        <v>247</v>
      </c>
      <c r="B846" s="132" t="s">
        <v>256</v>
      </c>
      <c r="C846" s="132">
        <v>12</v>
      </c>
      <c r="D846" s="132" t="str">
        <f t="shared" si="61"/>
        <v>CIM Motor 775pro 12</v>
      </c>
      <c r="E846" s="132">
        <v>3</v>
      </c>
      <c r="F846" s="132">
        <v>1</v>
      </c>
      <c r="G846" s="132">
        <v>0</v>
      </c>
      <c r="H846" s="132">
        <v>0</v>
      </c>
      <c r="I846" s="132">
        <v>3</v>
      </c>
    </row>
    <row r="847" spans="1:9" ht="14.25" customHeight="1" x14ac:dyDescent="0.25">
      <c r="A847" s="132" t="s">
        <v>247</v>
      </c>
      <c r="B847" s="132" t="s">
        <v>256</v>
      </c>
      <c r="C847" s="132">
        <v>15</v>
      </c>
      <c r="D847" s="132" t="str">
        <f t="shared" si="61"/>
        <v>CIM Motor 775pro 15</v>
      </c>
      <c r="E847" s="132">
        <v>1</v>
      </c>
      <c r="F847" s="132">
        <v>1</v>
      </c>
      <c r="G847" s="132">
        <v>0</v>
      </c>
      <c r="H847" s="132">
        <v>0</v>
      </c>
      <c r="I847" s="132">
        <v>1</v>
      </c>
    </row>
    <row r="848" spans="1:9" ht="14.25" customHeight="1" x14ac:dyDescent="0.25">
      <c r="A848" s="132" t="s">
        <v>247</v>
      </c>
      <c r="B848" s="132" t="s">
        <v>256</v>
      </c>
      <c r="C848" s="132">
        <v>16</v>
      </c>
      <c r="D848" s="132" t="str">
        <f t="shared" si="61"/>
        <v>CIM Motor 775pro 16</v>
      </c>
      <c r="E848" s="132">
        <v>1</v>
      </c>
      <c r="F848" s="132">
        <v>1</v>
      </c>
      <c r="G848" s="132">
        <v>0</v>
      </c>
      <c r="H848" s="132">
        <v>0</v>
      </c>
      <c r="I848" s="132">
        <v>1</v>
      </c>
    </row>
    <row r="849" spans="1:9" ht="14.25" customHeight="1" x14ac:dyDescent="0.25">
      <c r="A849" s="132" t="s">
        <v>247</v>
      </c>
      <c r="B849" s="132" t="s">
        <v>256</v>
      </c>
      <c r="C849" s="132">
        <v>20</v>
      </c>
      <c r="D849" s="132" t="str">
        <f t="shared" si="61"/>
        <v>CIM Motor 775pro 20</v>
      </c>
      <c r="E849" s="132">
        <v>1</v>
      </c>
      <c r="F849" s="132">
        <v>1</v>
      </c>
      <c r="G849" s="132">
        <v>0</v>
      </c>
      <c r="H849" s="132">
        <v>0</v>
      </c>
      <c r="I849" s="132">
        <v>1</v>
      </c>
    </row>
    <row r="850" spans="1:9" ht="14.25" customHeight="1" x14ac:dyDescent="0.25">
      <c r="A850" s="132" t="s">
        <v>247</v>
      </c>
      <c r="B850" s="132" t="s">
        <v>256</v>
      </c>
      <c r="C850" s="132">
        <v>21</v>
      </c>
      <c r="D850" s="132" t="str">
        <f t="shared" si="61"/>
        <v>CIM Motor 775pro 21</v>
      </c>
      <c r="E850" s="132">
        <v>1</v>
      </c>
      <c r="F850" s="132">
        <v>0</v>
      </c>
      <c r="G850" s="132">
        <v>0</v>
      </c>
      <c r="H850" s="132">
        <v>0</v>
      </c>
      <c r="I850" s="132">
        <v>1</v>
      </c>
    </row>
    <row r="851" spans="1:9" ht="14.25" customHeight="1" x14ac:dyDescent="0.25">
      <c r="A851" s="132" t="s">
        <v>247</v>
      </c>
      <c r="B851" s="132" t="s">
        <v>256</v>
      </c>
      <c r="C851" s="132">
        <v>25</v>
      </c>
      <c r="D851" s="132" t="str">
        <f t="shared" si="61"/>
        <v>CIM Motor 775pro 25</v>
      </c>
      <c r="E851" s="132">
        <v>1</v>
      </c>
      <c r="F851" s="132">
        <v>0</v>
      </c>
      <c r="G851" s="132">
        <v>0</v>
      </c>
      <c r="H851" s="132">
        <v>0</v>
      </c>
      <c r="I851" s="132">
        <v>1</v>
      </c>
    </row>
    <row r="852" spans="1:9" ht="14.25" customHeight="1" x14ac:dyDescent="0.25">
      <c r="A852" s="132" t="s">
        <v>247</v>
      </c>
      <c r="B852" s="132" t="s">
        <v>256</v>
      </c>
      <c r="C852" s="132">
        <v>27</v>
      </c>
      <c r="D852" s="132" t="str">
        <f t="shared" si="61"/>
        <v>CIM Motor 775pro 27</v>
      </c>
      <c r="E852" s="132">
        <v>1</v>
      </c>
      <c r="F852" s="132">
        <v>0</v>
      </c>
      <c r="G852" s="132">
        <v>0</v>
      </c>
      <c r="H852" s="132">
        <v>0</v>
      </c>
      <c r="I852" s="132">
        <v>1</v>
      </c>
    </row>
    <row r="853" spans="1:9" ht="14.25" customHeight="1" x14ac:dyDescent="0.25">
      <c r="A853" s="132" t="s">
        <v>247</v>
      </c>
      <c r="B853" s="132" t="s">
        <v>256</v>
      </c>
      <c r="C853" s="132">
        <v>28</v>
      </c>
      <c r="D853" s="132" t="str">
        <f t="shared" si="61"/>
        <v>CIM Motor 775pro 28</v>
      </c>
      <c r="E853" s="132">
        <v>1</v>
      </c>
      <c r="F853" s="132">
        <v>0</v>
      </c>
      <c r="G853" s="132">
        <v>0</v>
      </c>
      <c r="H853" s="132">
        <v>0</v>
      </c>
      <c r="I853" s="132">
        <v>1</v>
      </c>
    </row>
    <row r="854" spans="1:9" ht="14.25" customHeight="1" x14ac:dyDescent="0.25">
      <c r="A854" s="132" t="s">
        <v>247</v>
      </c>
      <c r="B854" s="132" t="s">
        <v>256</v>
      </c>
      <c r="C854" s="132">
        <v>30</v>
      </c>
      <c r="D854" s="132" t="str">
        <f t="shared" si="61"/>
        <v>CIM Motor 775pro 30</v>
      </c>
      <c r="E854" s="132">
        <v>1</v>
      </c>
      <c r="F854" s="132">
        <v>0</v>
      </c>
      <c r="G854" s="132">
        <v>0</v>
      </c>
      <c r="H854" s="132">
        <v>0</v>
      </c>
      <c r="I854" s="132">
        <v>1</v>
      </c>
    </row>
    <row r="855" spans="1:9" ht="14.25" customHeight="1" x14ac:dyDescent="0.25">
      <c r="A855" s="132" t="s">
        <v>247</v>
      </c>
      <c r="B855" s="132" t="s">
        <v>256</v>
      </c>
      <c r="C855" s="132">
        <v>35</v>
      </c>
      <c r="D855" s="132" t="str">
        <f t="shared" si="61"/>
        <v>CIM Motor 775pro 35</v>
      </c>
      <c r="E855" s="132">
        <v>1</v>
      </c>
      <c r="F855" s="132">
        <v>0</v>
      </c>
      <c r="G855" s="132">
        <v>0</v>
      </c>
      <c r="H855" s="132">
        <v>0</v>
      </c>
      <c r="I855" s="132">
        <v>1</v>
      </c>
    </row>
    <row r="856" spans="1:9" ht="14.25" customHeight="1" x14ac:dyDescent="0.25">
      <c r="A856" s="132" t="s">
        <v>247</v>
      </c>
      <c r="B856" s="132" t="s">
        <v>256</v>
      </c>
      <c r="C856" s="132">
        <v>36</v>
      </c>
      <c r="D856" s="132" t="str">
        <f t="shared" si="61"/>
        <v>CIM Motor 775pro 36</v>
      </c>
      <c r="E856" s="132">
        <v>1</v>
      </c>
      <c r="F856" s="132">
        <v>0</v>
      </c>
      <c r="G856" s="132">
        <v>0</v>
      </c>
      <c r="H856" s="132">
        <v>0</v>
      </c>
      <c r="I856" s="132">
        <v>1</v>
      </c>
    </row>
    <row r="857" spans="1:9" ht="14.25" customHeight="1" x14ac:dyDescent="0.25">
      <c r="A857" s="132" t="s">
        <v>247</v>
      </c>
      <c r="B857" s="132" t="s">
        <v>256</v>
      </c>
      <c r="C857" s="132">
        <v>40</v>
      </c>
      <c r="D857" s="132" t="str">
        <f t="shared" si="61"/>
        <v>CIM Motor 775pro 40</v>
      </c>
      <c r="E857" s="132">
        <v>1</v>
      </c>
      <c r="F857" s="132">
        <v>0</v>
      </c>
      <c r="G857" s="132">
        <v>0</v>
      </c>
      <c r="H857" s="132">
        <v>0</v>
      </c>
      <c r="I857" s="132">
        <v>1</v>
      </c>
    </row>
    <row r="858" spans="1:9" ht="14.25" customHeight="1" x14ac:dyDescent="0.25">
      <c r="A858" s="132" t="s">
        <v>247</v>
      </c>
      <c r="B858" s="132" t="s">
        <v>256</v>
      </c>
      <c r="C858" s="132">
        <v>45</v>
      </c>
      <c r="D858" s="132" t="str">
        <f t="shared" si="61"/>
        <v>CIM Motor 775pro 45</v>
      </c>
      <c r="E858" s="132">
        <v>0</v>
      </c>
      <c r="F858" s="132">
        <v>0</v>
      </c>
      <c r="G858" s="132">
        <v>0</v>
      </c>
      <c r="H858" s="132">
        <v>0</v>
      </c>
      <c r="I858" s="132">
        <v>0</v>
      </c>
    </row>
    <row r="859" spans="1:9" ht="14.25" customHeight="1" x14ac:dyDescent="0.25">
      <c r="A859" s="132" t="s">
        <v>247</v>
      </c>
      <c r="B859" s="132" t="s">
        <v>256</v>
      </c>
      <c r="C859" s="132">
        <v>49</v>
      </c>
      <c r="D859" s="132" t="str">
        <f t="shared" si="61"/>
        <v>CIM Motor 775pro 49</v>
      </c>
      <c r="E859" s="132">
        <v>0</v>
      </c>
      <c r="F859" s="132">
        <v>0</v>
      </c>
      <c r="G859" s="132">
        <v>0</v>
      </c>
      <c r="H859" s="132">
        <v>0</v>
      </c>
      <c r="I859" s="132">
        <v>0</v>
      </c>
    </row>
    <row r="860" spans="1:9" ht="14.25" customHeight="1" x14ac:dyDescent="0.25">
      <c r="A860" s="132" t="s">
        <v>247</v>
      </c>
      <c r="B860" s="132" t="s">
        <v>256</v>
      </c>
      <c r="C860" s="132">
        <v>50</v>
      </c>
      <c r="D860" s="132" t="str">
        <f t="shared" si="61"/>
        <v>CIM Motor 775pro 50</v>
      </c>
      <c r="E860" s="132">
        <v>0</v>
      </c>
      <c r="F860" s="132">
        <v>0</v>
      </c>
      <c r="G860" s="132">
        <v>0</v>
      </c>
      <c r="H860" s="132">
        <v>0</v>
      </c>
      <c r="I860" s="132">
        <v>0</v>
      </c>
    </row>
    <row r="861" spans="1:9" ht="14.25" customHeight="1" x14ac:dyDescent="0.25">
      <c r="A861" s="132" t="s">
        <v>247</v>
      </c>
      <c r="B861" s="132" t="s">
        <v>256</v>
      </c>
      <c r="C861" s="132">
        <v>63</v>
      </c>
      <c r="D861" s="132" t="str">
        <f t="shared" si="61"/>
        <v>CIM Motor 775pro 63</v>
      </c>
      <c r="E861" s="132">
        <v>0</v>
      </c>
      <c r="F861" s="132">
        <v>0</v>
      </c>
      <c r="G861" s="132">
        <v>0</v>
      </c>
      <c r="H861" s="132">
        <v>0</v>
      </c>
      <c r="I861" s="132">
        <v>0</v>
      </c>
    </row>
    <row r="862" spans="1:9" ht="14.25" customHeight="1" x14ac:dyDescent="0.25">
      <c r="A862" s="132" t="s">
        <v>247</v>
      </c>
      <c r="B862" s="132" t="s">
        <v>256</v>
      </c>
      <c r="C862" s="132">
        <v>70</v>
      </c>
      <c r="D862" s="132" t="str">
        <f t="shared" si="61"/>
        <v>CIM Motor 775pro 70</v>
      </c>
      <c r="E862" s="132">
        <v>0</v>
      </c>
      <c r="F862" s="132">
        <v>0</v>
      </c>
      <c r="G862" s="132">
        <v>0</v>
      </c>
      <c r="H862" s="132">
        <v>0</v>
      </c>
      <c r="I862" s="132">
        <v>0</v>
      </c>
    </row>
    <row r="863" spans="1:9" ht="14.25" customHeight="1" x14ac:dyDescent="0.25">
      <c r="A863" s="132" t="s">
        <v>247</v>
      </c>
      <c r="B863" s="132" t="s">
        <v>256</v>
      </c>
      <c r="C863" s="132">
        <v>81</v>
      </c>
      <c r="D863" s="132" t="str">
        <f t="shared" si="61"/>
        <v>CIM Motor 775pro 81</v>
      </c>
      <c r="E863" s="132">
        <v>0</v>
      </c>
      <c r="F863" s="132">
        <v>0</v>
      </c>
      <c r="G863" s="132">
        <v>0</v>
      </c>
      <c r="H863" s="132">
        <v>0</v>
      </c>
      <c r="I863" s="132">
        <v>0</v>
      </c>
    </row>
    <row r="864" spans="1:9" ht="14.25" customHeight="1" x14ac:dyDescent="0.25">
      <c r="A864" s="132" t="s">
        <v>247</v>
      </c>
      <c r="B864" s="132" t="s">
        <v>256</v>
      </c>
      <c r="C864" s="132">
        <v>90</v>
      </c>
      <c r="D864" s="132" t="str">
        <f t="shared" si="61"/>
        <v>CIM Motor 775pro 90</v>
      </c>
      <c r="E864" s="132">
        <v>0</v>
      </c>
      <c r="F864" s="132">
        <v>0</v>
      </c>
      <c r="G864" s="132">
        <v>0</v>
      </c>
      <c r="H864" s="132">
        <v>0</v>
      </c>
      <c r="I864" s="132">
        <v>0</v>
      </c>
    </row>
    <row r="865" spans="1:9" ht="14.25" customHeight="1" x14ac:dyDescent="0.25">
      <c r="A865" s="132" t="s">
        <v>247</v>
      </c>
      <c r="B865" s="132" t="s">
        <v>256</v>
      </c>
      <c r="C865" s="132">
        <v>100</v>
      </c>
      <c r="D865" s="132" t="str">
        <f t="shared" si="61"/>
        <v>CIM Motor 775pro 100</v>
      </c>
      <c r="E865" s="132">
        <v>0</v>
      </c>
      <c r="F865" s="132">
        <v>0</v>
      </c>
      <c r="G865" s="132">
        <v>0</v>
      </c>
      <c r="H865" s="132">
        <v>0</v>
      </c>
      <c r="I865" s="132">
        <v>0</v>
      </c>
    </row>
    <row r="866" spans="1:9" ht="14.25" customHeight="1" x14ac:dyDescent="0.25">
      <c r="A866" s="132" t="s">
        <v>247</v>
      </c>
      <c r="B866" s="132" t="s">
        <v>7</v>
      </c>
      <c r="C866" s="132">
        <v>-3</v>
      </c>
      <c r="D866" s="132" t="str">
        <f t="shared" ref="D866:D871" si="62">A866&amp;" "&amp;B866&amp;" "&amp;C866</f>
        <v>CIM Motor Mini CIM -3</v>
      </c>
      <c r="E866" s="132">
        <v>1</v>
      </c>
      <c r="I866" s="132">
        <v>0</v>
      </c>
    </row>
    <row r="867" spans="1:9" ht="14.25" customHeight="1" x14ac:dyDescent="0.25">
      <c r="A867" s="132" t="s">
        <v>247</v>
      </c>
      <c r="B867" s="132" t="s">
        <v>7</v>
      </c>
      <c r="C867" s="132">
        <v>-4</v>
      </c>
      <c r="D867" s="132" t="str">
        <f t="shared" si="62"/>
        <v>CIM Motor Mini CIM -4</v>
      </c>
      <c r="E867" s="132">
        <v>1</v>
      </c>
      <c r="I867" s="132">
        <v>0</v>
      </c>
    </row>
    <row r="868" spans="1:9" ht="14.25" customHeight="1" x14ac:dyDescent="0.25">
      <c r="A868" s="132" t="s">
        <v>247</v>
      </c>
      <c r="B868" s="132" t="s">
        <v>7</v>
      </c>
      <c r="C868" s="132">
        <v>-5</v>
      </c>
      <c r="D868" s="132" t="str">
        <f t="shared" si="62"/>
        <v>CIM Motor Mini CIM -5</v>
      </c>
      <c r="E868" s="132">
        <v>1</v>
      </c>
      <c r="I868" s="132">
        <v>0</v>
      </c>
    </row>
    <row r="869" spans="1:9" ht="14.25" customHeight="1" x14ac:dyDescent="0.25">
      <c r="A869" s="132" t="s">
        <v>247</v>
      </c>
      <c r="B869" s="132" t="s">
        <v>7</v>
      </c>
      <c r="C869" s="132">
        <v>-7</v>
      </c>
      <c r="D869" s="132" t="str">
        <f t="shared" si="62"/>
        <v>CIM Motor Mini CIM -7</v>
      </c>
      <c r="E869" s="132">
        <v>1</v>
      </c>
      <c r="I869" s="132">
        <v>0</v>
      </c>
    </row>
    <row r="870" spans="1:9" ht="14.25" customHeight="1" x14ac:dyDescent="0.25">
      <c r="A870" s="132" t="s">
        <v>247</v>
      </c>
      <c r="B870" s="132" t="s">
        <v>7</v>
      </c>
      <c r="C870" s="132">
        <v>-9</v>
      </c>
      <c r="D870" s="132" t="str">
        <f t="shared" si="62"/>
        <v>CIM Motor Mini CIM -9</v>
      </c>
      <c r="E870" s="132">
        <v>1</v>
      </c>
      <c r="I870" s="132">
        <v>0</v>
      </c>
    </row>
    <row r="871" spans="1:9" ht="14.25" customHeight="1" x14ac:dyDescent="0.25">
      <c r="A871" s="132" t="s">
        <v>247</v>
      </c>
      <c r="B871" s="132" t="s">
        <v>7</v>
      </c>
      <c r="C871" s="132">
        <v>-10</v>
      </c>
      <c r="D871" s="132" t="str">
        <f t="shared" si="62"/>
        <v>CIM Motor Mini CIM -10</v>
      </c>
      <c r="E871" s="132">
        <v>1</v>
      </c>
      <c r="I871" s="132">
        <v>0</v>
      </c>
    </row>
    <row r="872" spans="1:9" ht="14.25" customHeight="1" x14ac:dyDescent="0.25">
      <c r="A872" s="132" t="s">
        <v>247</v>
      </c>
      <c r="B872" s="132" t="s">
        <v>7</v>
      </c>
      <c r="C872" s="132">
        <v>9</v>
      </c>
      <c r="D872" s="132" t="str">
        <f t="shared" ref="D872:D892" si="63">A872&amp;" "&amp;B872&amp;" "&amp;C872</f>
        <v>CIM Motor Mini CIM 9</v>
      </c>
      <c r="E872" s="132">
        <v>1</v>
      </c>
      <c r="I872" s="132">
        <v>0</v>
      </c>
    </row>
    <row r="873" spans="1:9" ht="14.25" customHeight="1" x14ac:dyDescent="0.25">
      <c r="A873" s="132" t="s">
        <v>247</v>
      </c>
      <c r="B873" s="132" t="s">
        <v>7</v>
      </c>
      <c r="C873" s="132">
        <v>12</v>
      </c>
      <c r="D873" s="132" t="str">
        <f t="shared" si="63"/>
        <v>CIM Motor Mini CIM 12</v>
      </c>
      <c r="E873" s="132">
        <v>1</v>
      </c>
      <c r="I873" s="132">
        <v>0</v>
      </c>
    </row>
    <row r="874" spans="1:9" ht="14.25" customHeight="1" x14ac:dyDescent="0.25">
      <c r="A874" s="132" t="s">
        <v>247</v>
      </c>
      <c r="B874" s="132" t="s">
        <v>7</v>
      </c>
      <c r="C874" s="132">
        <v>15</v>
      </c>
      <c r="D874" s="132" t="str">
        <f t="shared" si="63"/>
        <v>CIM Motor Mini CIM 15</v>
      </c>
      <c r="E874" s="132">
        <v>1</v>
      </c>
      <c r="I874" s="132">
        <v>0</v>
      </c>
    </row>
    <row r="875" spans="1:9" ht="14.25" customHeight="1" x14ac:dyDescent="0.25">
      <c r="A875" s="132" t="s">
        <v>247</v>
      </c>
      <c r="B875" s="132" t="s">
        <v>7</v>
      </c>
      <c r="C875" s="132">
        <v>16</v>
      </c>
      <c r="D875" s="132" t="str">
        <f t="shared" si="63"/>
        <v>CIM Motor Mini CIM 16</v>
      </c>
      <c r="E875" s="132">
        <v>1</v>
      </c>
      <c r="I875" s="132">
        <v>0</v>
      </c>
    </row>
    <row r="876" spans="1:9" ht="14.25" customHeight="1" x14ac:dyDescent="0.25">
      <c r="A876" s="132" t="s">
        <v>247</v>
      </c>
      <c r="B876" s="132" t="s">
        <v>7</v>
      </c>
      <c r="C876" s="132">
        <v>20</v>
      </c>
      <c r="D876" s="132" t="str">
        <f t="shared" si="63"/>
        <v>CIM Motor Mini CIM 20</v>
      </c>
      <c r="E876" s="132">
        <v>1</v>
      </c>
      <c r="I876" s="132">
        <v>0</v>
      </c>
    </row>
    <row r="877" spans="1:9" ht="14.25" customHeight="1" x14ac:dyDescent="0.25">
      <c r="A877" s="132" t="s">
        <v>247</v>
      </c>
      <c r="B877" s="132" t="s">
        <v>7</v>
      </c>
      <c r="C877" s="132">
        <v>21</v>
      </c>
      <c r="D877" s="132" t="str">
        <f t="shared" si="63"/>
        <v>CIM Motor Mini CIM 21</v>
      </c>
      <c r="E877" s="132">
        <v>0</v>
      </c>
      <c r="I877" s="132">
        <v>0</v>
      </c>
    </row>
    <row r="878" spans="1:9" ht="14.25" customHeight="1" x14ac:dyDescent="0.25">
      <c r="A878" s="132" t="s">
        <v>247</v>
      </c>
      <c r="B878" s="132" t="s">
        <v>7</v>
      </c>
      <c r="C878" s="132">
        <v>25</v>
      </c>
      <c r="D878" s="132" t="str">
        <f t="shared" si="63"/>
        <v>CIM Motor Mini CIM 25</v>
      </c>
      <c r="E878" s="132">
        <v>0</v>
      </c>
      <c r="I878" s="132">
        <v>0</v>
      </c>
    </row>
    <row r="879" spans="1:9" ht="14.25" customHeight="1" x14ac:dyDescent="0.25">
      <c r="A879" s="132" t="s">
        <v>247</v>
      </c>
      <c r="B879" s="132" t="s">
        <v>7</v>
      </c>
      <c r="C879" s="132">
        <v>27</v>
      </c>
      <c r="D879" s="132" t="str">
        <f t="shared" si="63"/>
        <v>CIM Motor Mini CIM 27</v>
      </c>
      <c r="E879" s="132">
        <v>0</v>
      </c>
      <c r="I879" s="132">
        <v>0</v>
      </c>
    </row>
    <row r="880" spans="1:9" ht="14.25" customHeight="1" x14ac:dyDescent="0.25">
      <c r="A880" s="132" t="s">
        <v>247</v>
      </c>
      <c r="B880" s="132" t="s">
        <v>7</v>
      </c>
      <c r="C880" s="132">
        <v>28</v>
      </c>
      <c r="D880" s="132" t="str">
        <f t="shared" si="63"/>
        <v>CIM Motor Mini CIM 28</v>
      </c>
      <c r="E880" s="132">
        <v>0</v>
      </c>
      <c r="I880" s="132">
        <v>0</v>
      </c>
    </row>
    <row r="881" spans="1:9" ht="14.25" customHeight="1" x14ac:dyDescent="0.25">
      <c r="A881" s="132" t="s">
        <v>247</v>
      </c>
      <c r="B881" s="132" t="s">
        <v>7</v>
      </c>
      <c r="C881" s="132">
        <v>30</v>
      </c>
      <c r="D881" s="132" t="str">
        <f t="shared" si="63"/>
        <v>CIM Motor Mini CIM 30</v>
      </c>
      <c r="E881" s="132">
        <v>0</v>
      </c>
      <c r="I881" s="132">
        <v>0</v>
      </c>
    </row>
    <row r="882" spans="1:9" ht="14.25" customHeight="1" x14ac:dyDescent="0.25">
      <c r="A882" s="132" t="s">
        <v>247</v>
      </c>
      <c r="B882" s="132" t="s">
        <v>7</v>
      </c>
      <c r="C882" s="132">
        <v>35</v>
      </c>
      <c r="D882" s="132" t="str">
        <f t="shared" si="63"/>
        <v>CIM Motor Mini CIM 35</v>
      </c>
      <c r="E882" s="132">
        <v>0</v>
      </c>
      <c r="I882" s="132">
        <v>0</v>
      </c>
    </row>
    <row r="883" spans="1:9" ht="14.25" customHeight="1" x14ac:dyDescent="0.25">
      <c r="A883" s="132" t="s">
        <v>247</v>
      </c>
      <c r="B883" s="132" t="s">
        <v>7</v>
      </c>
      <c r="C883" s="132">
        <v>36</v>
      </c>
      <c r="D883" s="132" t="str">
        <f t="shared" si="63"/>
        <v>CIM Motor Mini CIM 36</v>
      </c>
      <c r="E883" s="132">
        <v>0</v>
      </c>
      <c r="I883" s="132">
        <v>0</v>
      </c>
    </row>
    <row r="884" spans="1:9" ht="14.25" customHeight="1" x14ac:dyDescent="0.25">
      <c r="A884" s="132" t="s">
        <v>247</v>
      </c>
      <c r="B884" s="132" t="s">
        <v>7</v>
      </c>
      <c r="C884" s="132">
        <v>40</v>
      </c>
      <c r="D884" s="132" t="str">
        <f t="shared" si="63"/>
        <v>CIM Motor Mini CIM 40</v>
      </c>
      <c r="E884" s="132">
        <v>0</v>
      </c>
      <c r="I884" s="132">
        <v>0</v>
      </c>
    </row>
    <row r="885" spans="1:9" ht="14.25" customHeight="1" x14ac:dyDescent="0.25">
      <c r="A885" s="132" t="s">
        <v>247</v>
      </c>
      <c r="B885" s="132" t="s">
        <v>7</v>
      </c>
      <c r="C885" s="132">
        <v>45</v>
      </c>
      <c r="D885" s="132" t="str">
        <f t="shared" si="63"/>
        <v>CIM Motor Mini CIM 45</v>
      </c>
      <c r="E885" s="132">
        <v>0</v>
      </c>
      <c r="I885" s="132">
        <v>0</v>
      </c>
    </row>
    <row r="886" spans="1:9" ht="14.25" customHeight="1" x14ac:dyDescent="0.25">
      <c r="A886" s="132" t="s">
        <v>247</v>
      </c>
      <c r="B886" s="132" t="s">
        <v>7</v>
      </c>
      <c r="C886" s="132">
        <v>49</v>
      </c>
      <c r="D886" s="132" t="str">
        <f t="shared" si="63"/>
        <v>CIM Motor Mini CIM 49</v>
      </c>
      <c r="E886" s="132">
        <v>0</v>
      </c>
      <c r="I886" s="132">
        <v>0</v>
      </c>
    </row>
    <row r="887" spans="1:9" ht="14.25" customHeight="1" x14ac:dyDescent="0.25">
      <c r="A887" s="132" t="s">
        <v>247</v>
      </c>
      <c r="B887" s="132" t="s">
        <v>7</v>
      </c>
      <c r="C887" s="132">
        <v>50</v>
      </c>
      <c r="D887" s="132" t="str">
        <f t="shared" si="63"/>
        <v>CIM Motor Mini CIM 50</v>
      </c>
      <c r="E887" s="132">
        <v>0</v>
      </c>
      <c r="I887" s="132">
        <v>0</v>
      </c>
    </row>
    <row r="888" spans="1:9" ht="14.25" customHeight="1" x14ac:dyDescent="0.25">
      <c r="A888" s="132" t="s">
        <v>247</v>
      </c>
      <c r="B888" s="132" t="s">
        <v>7</v>
      </c>
      <c r="C888" s="132">
        <v>63</v>
      </c>
      <c r="D888" s="132" t="str">
        <f t="shared" si="63"/>
        <v>CIM Motor Mini CIM 63</v>
      </c>
      <c r="E888" s="132">
        <v>0</v>
      </c>
      <c r="I888" s="132">
        <v>0</v>
      </c>
    </row>
    <row r="889" spans="1:9" ht="14.25" customHeight="1" x14ac:dyDescent="0.25">
      <c r="A889" s="132" t="s">
        <v>247</v>
      </c>
      <c r="B889" s="132" t="s">
        <v>7</v>
      </c>
      <c r="C889" s="132">
        <v>70</v>
      </c>
      <c r="D889" s="132" t="str">
        <f t="shared" si="63"/>
        <v>CIM Motor Mini CIM 70</v>
      </c>
      <c r="E889" s="132">
        <v>0</v>
      </c>
      <c r="I889" s="132">
        <v>0</v>
      </c>
    </row>
    <row r="890" spans="1:9" ht="14.25" customHeight="1" x14ac:dyDescent="0.25">
      <c r="A890" s="132" t="s">
        <v>247</v>
      </c>
      <c r="B890" s="132" t="s">
        <v>7</v>
      </c>
      <c r="C890" s="132">
        <v>81</v>
      </c>
      <c r="D890" s="132" t="str">
        <f t="shared" si="63"/>
        <v>CIM Motor Mini CIM 81</v>
      </c>
      <c r="E890" s="132">
        <v>0</v>
      </c>
      <c r="I890" s="132">
        <v>0</v>
      </c>
    </row>
    <row r="891" spans="1:9" ht="14.25" customHeight="1" x14ac:dyDescent="0.25">
      <c r="A891" s="132" t="s">
        <v>247</v>
      </c>
      <c r="B891" s="132" t="s">
        <v>7</v>
      </c>
      <c r="C891" s="132">
        <v>90</v>
      </c>
      <c r="D891" s="132" t="str">
        <f t="shared" si="63"/>
        <v>CIM Motor Mini CIM 90</v>
      </c>
      <c r="E891" s="132">
        <v>0</v>
      </c>
      <c r="I891" s="132">
        <v>0</v>
      </c>
    </row>
    <row r="892" spans="1:9" ht="14.25" customHeight="1" x14ac:dyDescent="0.25">
      <c r="A892" s="132" t="s">
        <v>247</v>
      </c>
      <c r="B892" s="132" t="s">
        <v>7</v>
      </c>
      <c r="C892" s="132">
        <v>100</v>
      </c>
      <c r="D892" s="132" t="str">
        <f t="shared" si="63"/>
        <v>CIM Motor Mini CIM 100</v>
      </c>
      <c r="E892" s="132">
        <v>0</v>
      </c>
      <c r="I892" s="132">
        <v>0</v>
      </c>
    </row>
    <row r="893" spans="1:9" ht="14.25" customHeight="1" x14ac:dyDescent="0.25">
      <c r="A893" s="132" t="s">
        <v>247</v>
      </c>
      <c r="B893" s="132" t="s">
        <v>6</v>
      </c>
      <c r="C893" s="132">
        <v>-3</v>
      </c>
      <c r="D893" s="132" t="str">
        <f t="shared" ref="D893:D898" si="64">A893&amp;" "&amp;B893&amp;" "&amp;C893</f>
        <v>CIM Motor CIM -3</v>
      </c>
      <c r="E893" s="132">
        <v>1</v>
      </c>
      <c r="I893" s="132">
        <v>0</v>
      </c>
    </row>
    <row r="894" spans="1:9" ht="14.25" customHeight="1" x14ac:dyDescent="0.25">
      <c r="A894" s="132" t="s">
        <v>247</v>
      </c>
      <c r="B894" s="132" t="s">
        <v>6</v>
      </c>
      <c r="C894" s="132">
        <v>-4</v>
      </c>
      <c r="D894" s="132" t="str">
        <f t="shared" si="64"/>
        <v>CIM Motor CIM -4</v>
      </c>
      <c r="E894" s="132">
        <v>1</v>
      </c>
      <c r="I894" s="132">
        <v>0</v>
      </c>
    </row>
    <row r="895" spans="1:9" ht="14.25" customHeight="1" x14ac:dyDescent="0.25">
      <c r="A895" s="132" t="s">
        <v>247</v>
      </c>
      <c r="B895" s="132" t="s">
        <v>6</v>
      </c>
      <c r="C895" s="132">
        <v>-5</v>
      </c>
      <c r="D895" s="132" t="str">
        <f t="shared" si="64"/>
        <v>CIM Motor CIM -5</v>
      </c>
      <c r="E895" s="132">
        <v>1</v>
      </c>
      <c r="I895" s="132">
        <v>0</v>
      </c>
    </row>
    <row r="896" spans="1:9" ht="14.25" customHeight="1" x14ac:dyDescent="0.25">
      <c r="A896" s="132" t="s">
        <v>247</v>
      </c>
      <c r="B896" s="132" t="s">
        <v>6</v>
      </c>
      <c r="C896" s="132">
        <v>-7</v>
      </c>
      <c r="D896" s="132" t="str">
        <f t="shared" si="64"/>
        <v>CIM Motor CIM -7</v>
      </c>
      <c r="E896" s="132">
        <v>1</v>
      </c>
      <c r="I896" s="132">
        <v>0</v>
      </c>
    </row>
    <row r="897" spans="1:9" ht="14.25" customHeight="1" x14ac:dyDescent="0.25">
      <c r="A897" s="132" t="s">
        <v>247</v>
      </c>
      <c r="B897" s="132" t="s">
        <v>6</v>
      </c>
      <c r="C897" s="132">
        <v>-9</v>
      </c>
      <c r="D897" s="132" t="str">
        <f t="shared" si="64"/>
        <v>CIM Motor CIM -9</v>
      </c>
      <c r="E897" s="132">
        <v>1</v>
      </c>
      <c r="I897" s="132">
        <v>0</v>
      </c>
    </row>
    <row r="898" spans="1:9" ht="14.25" customHeight="1" x14ac:dyDescent="0.25">
      <c r="A898" s="132" t="s">
        <v>247</v>
      </c>
      <c r="B898" s="132" t="s">
        <v>6</v>
      </c>
      <c r="C898" s="132">
        <v>-10</v>
      </c>
      <c r="D898" s="132" t="str">
        <f t="shared" si="64"/>
        <v>CIM Motor CIM -10</v>
      </c>
      <c r="E898" s="132">
        <v>1</v>
      </c>
      <c r="I898" s="132">
        <v>0</v>
      </c>
    </row>
    <row r="899" spans="1:9" ht="14.25" customHeight="1" x14ac:dyDescent="0.25">
      <c r="A899" s="132" t="s">
        <v>247</v>
      </c>
      <c r="B899" s="132" t="s">
        <v>6</v>
      </c>
      <c r="C899" s="132">
        <v>9</v>
      </c>
      <c r="D899" s="132" t="str">
        <f t="shared" ref="D899:D919" si="65">A899&amp;" "&amp;B899&amp;" "&amp;C899</f>
        <v>CIM Motor CIM 9</v>
      </c>
      <c r="E899" s="132">
        <v>1</v>
      </c>
      <c r="I899" s="132">
        <v>0</v>
      </c>
    </row>
    <row r="900" spans="1:9" ht="14.25" customHeight="1" x14ac:dyDescent="0.25">
      <c r="A900" s="132" t="s">
        <v>247</v>
      </c>
      <c r="B900" s="132" t="s">
        <v>6</v>
      </c>
      <c r="C900" s="132">
        <v>12</v>
      </c>
      <c r="D900" s="132" t="str">
        <f t="shared" si="65"/>
        <v>CIM Motor CIM 12</v>
      </c>
      <c r="E900" s="132">
        <v>0</v>
      </c>
      <c r="I900" s="132">
        <v>0</v>
      </c>
    </row>
    <row r="901" spans="1:9" ht="14.25" customHeight="1" x14ac:dyDescent="0.25">
      <c r="A901" s="132" t="s">
        <v>247</v>
      </c>
      <c r="B901" s="132" t="s">
        <v>6</v>
      </c>
      <c r="C901" s="132">
        <v>15</v>
      </c>
      <c r="D901" s="132" t="str">
        <f t="shared" si="65"/>
        <v>CIM Motor CIM 15</v>
      </c>
      <c r="E901" s="132">
        <v>0</v>
      </c>
      <c r="I901" s="132">
        <v>0</v>
      </c>
    </row>
    <row r="902" spans="1:9" ht="14.25" customHeight="1" x14ac:dyDescent="0.25">
      <c r="A902" s="132" t="s">
        <v>247</v>
      </c>
      <c r="B902" s="132" t="s">
        <v>6</v>
      </c>
      <c r="C902" s="132">
        <v>16</v>
      </c>
      <c r="D902" s="132" t="str">
        <f t="shared" si="65"/>
        <v>CIM Motor CIM 16</v>
      </c>
      <c r="E902" s="132">
        <v>0</v>
      </c>
      <c r="I902" s="132">
        <v>0</v>
      </c>
    </row>
    <row r="903" spans="1:9" ht="14.25" customHeight="1" x14ac:dyDescent="0.25">
      <c r="A903" s="132" t="s">
        <v>247</v>
      </c>
      <c r="B903" s="132" t="s">
        <v>6</v>
      </c>
      <c r="C903" s="132">
        <v>20</v>
      </c>
      <c r="D903" s="132" t="str">
        <f t="shared" si="65"/>
        <v>CIM Motor CIM 20</v>
      </c>
      <c r="E903" s="132">
        <v>0</v>
      </c>
      <c r="I903" s="132">
        <v>0</v>
      </c>
    </row>
    <row r="904" spans="1:9" ht="14.25" customHeight="1" x14ac:dyDescent="0.25">
      <c r="A904" s="132" t="s">
        <v>247</v>
      </c>
      <c r="B904" s="132" t="s">
        <v>6</v>
      </c>
      <c r="C904" s="132">
        <v>21</v>
      </c>
      <c r="D904" s="132" t="str">
        <f t="shared" si="65"/>
        <v>CIM Motor CIM 21</v>
      </c>
      <c r="E904" s="132">
        <v>0</v>
      </c>
      <c r="I904" s="132">
        <v>0</v>
      </c>
    </row>
    <row r="905" spans="1:9" ht="14.25" customHeight="1" x14ac:dyDescent="0.25">
      <c r="A905" s="132" t="s">
        <v>247</v>
      </c>
      <c r="B905" s="132" t="s">
        <v>6</v>
      </c>
      <c r="C905" s="132">
        <v>25</v>
      </c>
      <c r="D905" s="132" t="str">
        <f t="shared" si="65"/>
        <v>CIM Motor CIM 25</v>
      </c>
      <c r="E905" s="132">
        <v>0</v>
      </c>
      <c r="I905" s="132">
        <v>0</v>
      </c>
    </row>
    <row r="906" spans="1:9" ht="14.25" customHeight="1" x14ac:dyDescent="0.25">
      <c r="A906" s="132" t="s">
        <v>247</v>
      </c>
      <c r="B906" s="132" t="s">
        <v>6</v>
      </c>
      <c r="C906" s="132">
        <v>27</v>
      </c>
      <c r="D906" s="132" t="str">
        <f t="shared" si="65"/>
        <v>CIM Motor CIM 27</v>
      </c>
      <c r="E906" s="132">
        <v>0</v>
      </c>
      <c r="I906" s="132">
        <v>0</v>
      </c>
    </row>
    <row r="907" spans="1:9" ht="14.25" customHeight="1" x14ac:dyDescent="0.25">
      <c r="A907" s="132" t="s">
        <v>247</v>
      </c>
      <c r="B907" s="132" t="s">
        <v>6</v>
      </c>
      <c r="C907" s="132">
        <v>28</v>
      </c>
      <c r="D907" s="132" t="str">
        <f t="shared" si="65"/>
        <v>CIM Motor CIM 28</v>
      </c>
      <c r="E907" s="132">
        <v>0</v>
      </c>
      <c r="I907" s="132">
        <v>0</v>
      </c>
    </row>
    <row r="908" spans="1:9" ht="14.25" customHeight="1" x14ac:dyDescent="0.25">
      <c r="A908" s="132" t="s">
        <v>247</v>
      </c>
      <c r="B908" s="132" t="s">
        <v>6</v>
      </c>
      <c r="C908" s="132">
        <v>30</v>
      </c>
      <c r="D908" s="132" t="str">
        <f t="shared" si="65"/>
        <v>CIM Motor CIM 30</v>
      </c>
      <c r="E908" s="132">
        <v>0</v>
      </c>
      <c r="I908" s="132">
        <v>0</v>
      </c>
    </row>
    <row r="909" spans="1:9" ht="14.25" customHeight="1" x14ac:dyDescent="0.25">
      <c r="A909" s="132" t="s">
        <v>247</v>
      </c>
      <c r="B909" s="132" t="s">
        <v>6</v>
      </c>
      <c r="C909" s="132">
        <v>35</v>
      </c>
      <c r="D909" s="132" t="str">
        <f t="shared" si="65"/>
        <v>CIM Motor CIM 35</v>
      </c>
      <c r="E909" s="132">
        <v>0</v>
      </c>
      <c r="I909" s="132">
        <v>0</v>
      </c>
    </row>
    <row r="910" spans="1:9" ht="14.25" customHeight="1" x14ac:dyDescent="0.25">
      <c r="A910" s="132" t="s">
        <v>247</v>
      </c>
      <c r="B910" s="132" t="s">
        <v>6</v>
      </c>
      <c r="C910" s="132">
        <v>36</v>
      </c>
      <c r="D910" s="132" t="str">
        <f t="shared" si="65"/>
        <v>CIM Motor CIM 36</v>
      </c>
      <c r="E910" s="132">
        <v>0</v>
      </c>
      <c r="I910" s="132">
        <v>0</v>
      </c>
    </row>
    <row r="911" spans="1:9" ht="14.25" customHeight="1" x14ac:dyDescent="0.25">
      <c r="A911" s="132" t="s">
        <v>247</v>
      </c>
      <c r="B911" s="132" t="s">
        <v>6</v>
      </c>
      <c r="C911" s="132">
        <v>40</v>
      </c>
      <c r="D911" s="132" t="str">
        <f t="shared" si="65"/>
        <v>CIM Motor CIM 40</v>
      </c>
      <c r="E911" s="132">
        <v>0</v>
      </c>
      <c r="I911" s="132">
        <v>0</v>
      </c>
    </row>
    <row r="912" spans="1:9" ht="14.25" customHeight="1" x14ac:dyDescent="0.25">
      <c r="A912" s="132" t="s">
        <v>247</v>
      </c>
      <c r="B912" s="132" t="s">
        <v>6</v>
      </c>
      <c r="C912" s="132">
        <v>45</v>
      </c>
      <c r="D912" s="132" t="str">
        <f t="shared" si="65"/>
        <v>CIM Motor CIM 45</v>
      </c>
      <c r="E912" s="132">
        <v>0</v>
      </c>
      <c r="I912" s="132">
        <v>0</v>
      </c>
    </row>
    <row r="913" spans="1:9" ht="14.25" customHeight="1" x14ac:dyDescent="0.25">
      <c r="A913" s="132" t="s">
        <v>247</v>
      </c>
      <c r="B913" s="132" t="s">
        <v>6</v>
      </c>
      <c r="C913" s="132">
        <v>49</v>
      </c>
      <c r="D913" s="132" t="str">
        <f t="shared" si="65"/>
        <v>CIM Motor CIM 49</v>
      </c>
      <c r="E913" s="132">
        <v>0</v>
      </c>
      <c r="I913" s="132">
        <v>0</v>
      </c>
    </row>
    <row r="914" spans="1:9" ht="14.25" customHeight="1" x14ac:dyDescent="0.25">
      <c r="A914" s="132" t="s">
        <v>247</v>
      </c>
      <c r="B914" s="132" t="s">
        <v>6</v>
      </c>
      <c r="C914" s="132">
        <v>50</v>
      </c>
      <c r="D914" s="132" t="str">
        <f t="shared" si="65"/>
        <v>CIM Motor CIM 50</v>
      </c>
      <c r="E914" s="132">
        <v>0</v>
      </c>
      <c r="I914" s="132">
        <v>0</v>
      </c>
    </row>
    <row r="915" spans="1:9" ht="14.25" customHeight="1" x14ac:dyDescent="0.25">
      <c r="A915" s="132" t="s">
        <v>247</v>
      </c>
      <c r="B915" s="132" t="s">
        <v>6</v>
      </c>
      <c r="C915" s="132">
        <v>63</v>
      </c>
      <c r="D915" s="132" t="str">
        <f t="shared" si="65"/>
        <v>CIM Motor CIM 63</v>
      </c>
      <c r="E915" s="132">
        <v>0</v>
      </c>
      <c r="I915" s="132">
        <v>0</v>
      </c>
    </row>
    <row r="916" spans="1:9" ht="14.25" customHeight="1" x14ac:dyDescent="0.25">
      <c r="A916" s="132" t="s">
        <v>247</v>
      </c>
      <c r="B916" s="132" t="s">
        <v>6</v>
      </c>
      <c r="C916" s="132">
        <v>70</v>
      </c>
      <c r="D916" s="132" t="str">
        <f t="shared" si="65"/>
        <v>CIM Motor CIM 70</v>
      </c>
      <c r="E916" s="132">
        <v>0</v>
      </c>
      <c r="I916" s="132">
        <v>0</v>
      </c>
    </row>
    <row r="917" spans="1:9" ht="14.25" customHeight="1" x14ac:dyDescent="0.25">
      <c r="A917" s="132" t="s">
        <v>247</v>
      </c>
      <c r="B917" s="132" t="s">
        <v>6</v>
      </c>
      <c r="C917" s="132">
        <v>81</v>
      </c>
      <c r="D917" s="132" t="str">
        <f t="shared" si="65"/>
        <v>CIM Motor CIM 81</v>
      </c>
      <c r="E917" s="132">
        <v>0</v>
      </c>
      <c r="I917" s="132">
        <v>0</v>
      </c>
    </row>
    <row r="918" spans="1:9" ht="14.25" customHeight="1" x14ac:dyDescent="0.25">
      <c r="A918" s="132" t="s">
        <v>247</v>
      </c>
      <c r="B918" s="132" t="s">
        <v>6</v>
      </c>
      <c r="C918" s="132">
        <v>90</v>
      </c>
      <c r="D918" s="132" t="str">
        <f t="shared" si="65"/>
        <v>CIM Motor CIM 90</v>
      </c>
      <c r="E918" s="132">
        <v>0</v>
      </c>
      <c r="I918" s="132">
        <v>0</v>
      </c>
    </row>
    <row r="919" spans="1:9" ht="14.25" customHeight="1" x14ac:dyDescent="0.25">
      <c r="A919" s="132" t="s">
        <v>247</v>
      </c>
      <c r="B919" s="132" t="s">
        <v>6</v>
      </c>
      <c r="C919" s="132">
        <v>100</v>
      </c>
      <c r="D919" s="132" t="str">
        <f t="shared" si="65"/>
        <v>CIM Motor CIM 100</v>
      </c>
      <c r="E919" s="132">
        <v>0</v>
      </c>
      <c r="I919" s="132">
        <v>0</v>
      </c>
    </row>
    <row r="920" spans="1:9" ht="14.25" customHeight="1" x14ac:dyDescent="0.25">
      <c r="A920" s="132" t="s">
        <v>247</v>
      </c>
      <c r="B920" s="132" t="s">
        <v>9</v>
      </c>
      <c r="C920" s="132">
        <v>-3</v>
      </c>
      <c r="D920" s="132" t="str">
        <f t="shared" ref="D920:D925" si="66">A920&amp;" "&amp;B920&amp;" "&amp;C920</f>
        <v>CIM Motor NEO -3</v>
      </c>
      <c r="E920" s="132">
        <v>1</v>
      </c>
      <c r="I920" s="132">
        <v>0</v>
      </c>
    </row>
    <row r="921" spans="1:9" ht="14.25" customHeight="1" x14ac:dyDescent="0.25">
      <c r="A921" s="132" t="s">
        <v>247</v>
      </c>
      <c r="B921" s="132" t="s">
        <v>9</v>
      </c>
      <c r="C921" s="132">
        <v>-4</v>
      </c>
      <c r="D921" s="132" t="str">
        <f t="shared" si="66"/>
        <v>CIM Motor NEO -4</v>
      </c>
      <c r="E921" s="132">
        <v>1</v>
      </c>
      <c r="I921" s="132">
        <v>0</v>
      </c>
    </row>
    <row r="922" spans="1:9" ht="14.25" customHeight="1" x14ac:dyDescent="0.25">
      <c r="A922" s="132" t="s">
        <v>247</v>
      </c>
      <c r="B922" s="132" t="s">
        <v>9</v>
      </c>
      <c r="C922" s="132">
        <v>-5</v>
      </c>
      <c r="D922" s="132" t="str">
        <f t="shared" si="66"/>
        <v>CIM Motor NEO -5</v>
      </c>
      <c r="E922" s="132">
        <v>1</v>
      </c>
      <c r="I922" s="132">
        <v>0</v>
      </c>
    </row>
    <row r="923" spans="1:9" ht="14.25" customHeight="1" x14ac:dyDescent="0.25">
      <c r="A923" s="132" t="s">
        <v>247</v>
      </c>
      <c r="B923" s="132" t="s">
        <v>9</v>
      </c>
      <c r="C923" s="132">
        <v>-7</v>
      </c>
      <c r="D923" s="132" t="str">
        <f t="shared" si="66"/>
        <v>CIM Motor NEO -7</v>
      </c>
      <c r="E923" s="132">
        <v>1</v>
      </c>
      <c r="I923" s="132">
        <v>0</v>
      </c>
    </row>
    <row r="924" spans="1:9" ht="14.25" customHeight="1" x14ac:dyDescent="0.25">
      <c r="A924" s="132" t="s">
        <v>247</v>
      </c>
      <c r="B924" s="132" t="s">
        <v>9</v>
      </c>
      <c r="C924" s="132">
        <v>-9</v>
      </c>
      <c r="D924" s="132" t="str">
        <f t="shared" si="66"/>
        <v>CIM Motor NEO -9</v>
      </c>
      <c r="E924" s="132">
        <v>1</v>
      </c>
      <c r="I924" s="132">
        <v>0</v>
      </c>
    </row>
    <row r="925" spans="1:9" ht="14.25" customHeight="1" x14ac:dyDescent="0.25">
      <c r="A925" s="132" t="s">
        <v>247</v>
      </c>
      <c r="B925" s="132" t="s">
        <v>9</v>
      </c>
      <c r="C925" s="132">
        <v>-10</v>
      </c>
      <c r="D925" s="132" t="str">
        <f t="shared" si="66"/>
        <v>CIM Motor NEO -10</v>
      </c>
      <c r="E925" s="132">
        <v>1</v>
      </c>
      <c r="I925" s="132">
        <v>0</v>
      </c>
    </row>
    <row r="926" spans="1:9" ht="14.25" customHeight="1" x14ac:dyDescent="0.25">
      <c r="A926" s="132" t="s">
        <v>247</v>
      </c>
      <c r="B926" s="132" t="s">
        <v>9</v>
      </c>
      <c r="C926" s="132">
        <v>9</v>
      </c>
      <c r="D926" s="132" t="str">
        <f t="shared" ref="D926:D946" si="67">A926&amp;" "&amp;B926&amp;" "&amp;C926</f>
        <v>CIM Motor NEO 9</v>
      </c>
      <c r="E926" s="132">
        <v>0</v>
      </c>
      <c r="I926" s="132">
        <v>0</v>
      </c>
    </row>
    <row r="927" spans="1:9" ht="14.25" customHeight="1" x14ac:dyDescent="0.25">
      <c r="A927" s="132" t="s">
        <v>247</v>
      </c>
      <c r="B927" s="132" t="s">
        <v>9</v>
      </c>
      <c r="C927" s="132">
        <v>12</v>
      </c>
      <c r="D927" s="132" t="str">
        <f t="shared" si="67"/>
        <v>CIM Motor NEO 12</v>
      </c>
      <c r="E927" s="132">
        <v>0</v>
      </c>
      <c r="I927" s="132">
        <v>0</v>
      </c>
    </row>
    <row r="928" spans="1:9" ht="14.25" customHeight="1" x14ac:dyDescent="0.25">
      <c r="A928" s="132" t="s">
        <v>247</v>
      </c>
      <c r="B928" s="132" t="s">
        <v>9</v>
      </c>
      <c r="C928" s="132">
        <v>15</v>
      </c>
      <c r="D928" s="132" t="str">
        <f t="shared" si="67"/>
        <v>CIM Motor NEO 15</v>
      </c>
      <c r="E928" s="132">
        <v>0</v>
      </c>
      <c r="I928" s="132">
        <v>0</v>
      </c>
    </row>
    <row r="929" spans="1:9" ht="14.25" customHeight="1" x14ac:dyDescent="0.25">
      <c r="A929" s="132" t="s">
        <v>247</v>
      </c>
      <c r="B929" s="132" t="s">
        <v>9</v>
      </c>
      <c r="C929" s="132">
        <v>16</v>
      </c>
      <c r="D929" s="132" t="str">
        <f t="shared" si="67"/>
        <v>CIM Motor NEO 16</v>
      </c>
      <c r="E929" s="132">
        <v>0</v>
      </c>
      <c r="I929" s="132">
        <v>0</v>
      </c>
    </row>
    <row r="930" spans="1:9" ht="14.25" customHeight="1" x14ac:dyDescent="0.25">
      <c r="A930" s="132" t="s">
        <v>247</v>
      </c>
      <c r="B930" s="132" t="s">
        <v>9</v>
      </c>
      <c r="C930" s="132">
        <v>20</v>
      </c>
      <c r="D930" s="132" t="str">
        <f t="shared" si="67"/>
        <v>CIM Motor NEO 20</v>
      </c>
      <c r="E930" s="132">
        <v>0</v>
      </c>
      <c r="I930" s="132">
        <v>0</v>
      </c>
    </row>
    <row r="931" spans="1:9" ht="14.25" customHeight="1" x14ac:dyDescent="0.25">
      <c r="A931" s="132" t="s">
        <v>247</v>
      </c>
      <c r="B931" s="132" t="s">
        <v>9</v>
      </c>
      <c r="C931" s="132">
        <v>21</v>
      </c>
      <c r="D931" s="132" t="str">
        <f t="shared" si="67"/>
        <v>CIM Motor NEO 21</v>
      </c>
      <c r="E931" s="132">
        <v>0</v>
      </c>
      <c r="I931" s="132">
        <v>0</v>
      </c>
    </row>
    <row r="932" spans="1:9" ht="14.25" customHeight="1" x14ac:dyDescent="0.25">
      <c r="A932" s="132" t="s">
        <v>247</v>
      </c>
      <c r="B932" s="132" t="s">
        <v>9</v>
      </c>
      <c r="C932" s="132">
        <v>25</v>
      </c>
      <c r="D932" s="132" t="str">
        <f t="shared" si="67"/>
        <v>CIM Motor NEO 25</v>
      </c>
      <c r="E932" s="132">
        <v>0</v>
      </c>
      <c r="I932" s="132">
        <v>0</v>
      </c>
    </row>
    <row r="933" spans="1:9" ht="14.25" customHeight="1" x14ac:dyDescent="0.25">
      <c r="A933" s="132" t="s">
        <v>247</v>
      </c>
      <c r="B933" s="132" t="s">
        <v>9</v>
      </c>
      <c r="C933" s="132">
        <v>27</v>
      </c>
      <c r="D933" s="132" t="str">
        <f t="shared" si="67"/>
        <v>CIM Motor NEO 27</v>
      </c>
      <c r="E933" s="132">
        <v>0</v>
      </c>
      <c r="I933" s="132">
        <v>0</v>
      </c>
    </row>
    <row r="934" spans="1:9" ht="14.25" customHeight="1" x14ac:dyDescent="0.25">
      <c r="A934" s="132" t="s">
        <v>247</v>
      </c>
      <c r="B934" s="132" t="s">
        <v>9</v>
      </c>
      <c r="C934" s="132">
        <v>28</v>
      </c>
      <c r="D934" s="132" t="str">
        <f t="shared" si="67"/>
        <v>CIM Motor NEO 28</v>
      </c>
      <c r="E934" s="132">
        <v>0</v>
      </c>
      <c r="I934" s="132">
        <v>0</v>
      </c>
    </row>
    <row r="935" spans="1:9" ht="14.25" customHeight="1" x14ac:dyDescent="0.25">
      <c r="A935" s="132" t="s">
        <v>247</v>
      </c>
      <c r="B935" s="132" t="s">
        <v>9</v>
      </c>
      <c r="C935" s="132">
        <v>30</v>
      </c>
      <c r="D935" s="132" t="str">
        <f t="shared" si="67"/>
        <v>CIM Motor NEO 30</v>
      </c>
      <c r="E935" s="132">
        <v>0</v>
      </c>
      <c r="I935" s="132">
        <v>0</v>
      </c>
    </row>
    <row r="936" spans="1:9" ht="14.25" customHeight="1" x14ac:dyDescent="0.25">
      <c r="A936" s="132" t="s">
        <v>247</v>
      </c>
      <c r="B936" s="132" t="s">
        <v>9</v>
      </c>
      <c r="C936" s="132">
        <v>35</v>
      </c>
      <c r="D936" s="132" t="str">
        <f t="shared" si="67"/>
        <v>CIM Motor NEO 35</v>
      </c>
      <c r="E936" s="132">
        <v>0</v>
      </c>
      <c r="I936" s="132">
        <v>0</v>
      </c>
    </row>
    <row r="937" spans="1:9" ht="14.25" customHeight="1" x14ac:dyDescent="0.25">
      <c r="A937" s="132" t="s">
        <v>247</v>
      </c>
      <c r="B937" s="132" t="s">
        <v>9</v>
      </c>
      <c r="C937" s="132">
        <v>36</v>
      </c>
      <c r="D937" s="132" t="str">
        <f t="shared" si="67"/>
        <v>CIM Motor NEO 36</v>
      </c>
      <c r="E937" s="132">
        <v>0</v>
      </c>
      <c r="I937" s="132">
        <v>0</v>
      </c>
    </row>
    <row r="938" spans="1:9" ht="14.25" customHeight="1" x14ac:dyDescent="0.25">
      <c r="A938" s="132" t="s">
        <v>247</v>
      </c>
      <c r="B938" s="132" t="s">
        <v>9</v>
      </c>
      <c r="C938" s="132">
        <v>40</v>
      </c>
      <c r="D938" s="132" t="str">
        <f t="shared" si="67"/>
        <v>CIM Motor NEO 40</v>
      </c>
      <c r="E938" s="132">
        <v>0</v>
      </c>
      <c r="I938" s="132">
        <v>0</v>
      </c>
    </row>
    <row r="939" spans="1:9" ht="14.25" customHeight="1" x14ac:dyDescent="0.25">
      <c r="A939" s="132" t="s">
        <v>247</v>
      </c>
      <c r="B939" s="132" t="s">
        <v>9</v>
      </c>
      <c r="C939" s="132">
        <v>45</v>
      </c>
      <c r="D939" s="132" t="str">
        <f t="shared" si="67"/>
        <v>CIM Motor NEO 45</v>
      </c>
      <c r="E939" s="132">
        <v>0</v>
      </c>
      <c r="I939" s="132">
        <v>0</v>
      </c>
    </row>
    <row r="940" spans="1:9" ht="14.25" customHeight="1" x14ac:dyDescent="0.25">
      <c r="A940" s="132" t="s">
        <v>247</v>
      </c>
      <c r="B940" s="132" t="s">
        <v>9</v>
      </c>
      <c r="C940" s="132">
        <v>49</v>
      </c>
      <c r="D940" s="132" t="str">
        <f t="shared" si="67"/>
        <v>CIM Motor NEO 49</v>
      </c>
      <c r="E940" s="132">
        <v>0</v>
      </c>
      <c r="I940" s="132">
        <v>0</v>
      </c>
    </row>
    <row r="941" spans="1:9" ht="14.25" customHeight="1" x14ac:dyDescent="0.25">
      <c r="A941" s="132" t="s">
        <v>247</v>
      </c>
      <c r="B941" s="132" t="s">
        <v>9</v>
      </c>
      <c r="C941" s="132">
        <v>50</v>
      </c>
      <c r="D941" s="132" t="str">
        <f t="shared" si="67"/>
        <v>CIM Motor NEO 50</v>
      </c>
      <c r="E941" s="132">
        <v>0</v>
      </c>
      <c r="I941" s="132">
        <v>0</v>
      </c>
    </row>
    <row r="942" spans="1:9" ht="14.25" customHeight="1" x14ac:dyDescent="0.25">
      <c r="A942" s="132" t="s">
        <v>247</v>
      </c>
      <c r="B942" s="132" t="s">
        <v>9</v>
      </c>
      <c r="C942" s="132">
        <v>63</v>
      </c>
      <c r="D942" s="132" t="str">
        <f t="shared" si="67"/>
        <v>CIM Motor NEO 63</v>
      </c>
      <c r="E942" s="132">
        <v>0</v>
      </c>
      <c r="I942" s="132">
        <v>0</v>
      </c>
    </row>
    <row r="943" spans="1:9" ht="14.25" customHeight="1" x14ac:dyDescent="0.25">
      <c r="A943" s="132" t="s">
        <v>247</v>
      </c>
      <c r="B943" s="132" t="s">
        <v>9</v>
      </c>
      <c r="C943" s="132">
        <v>70</v>
      </c>
      <c r="D943" s="132" t="str">
        <f t="shared" si="67"/>
        <v>CIM Motor NEO 70</v>
      </c>
      <c r="E943" s="132">
        <v>0</v>
      </c>
      <c r="I943" s="132">
        <v>0</v>
      </c>
    </row>
    <row r="944" spans="1:9" ht="14.25" customHeight="1" x14ac:dyDescent="0.25">
      <c r="A944" s="132" t="s">
        <v>247</v>
      </c>
      <c r="B944" s="132" t="s">
        <v>9</v>
      </c>
      <c r="C944" s="132">
        <v>81</v>
      </c>
      <c r="D944" s="132" t="str">
        <f t="shared" si="67"/>
        <v>CIM Motor NEO 81</v>
      </c>
      <c r="E944" s="132">
        <v>0</v>
      </c>
      <c r="I944" s="132">
        <v>0</v>
      </c>
    </row>
    <row r="945" spans="1:9" ht="14.25" customHeight="1" x14ac:dyDescent="0.25">
      <c r="A945" s="132" t="s">
        <v>247</v>
      </c>
      <c r="B945" s="132" t="s">
        <v>9</v>
      </c>
      <c r="C945" s="132">
        <v>90</v>
      </c>
      <c r="D945" s="132" t="str">
        <f t="shared" si="67"/>
        <v>CIM Motor NEO 90</v>
      </c>
      <c r="E945" s="132">
        <v>0</v>
      </c>
      <c r="I945" s="132">
        <v>0</v>
      </c>
    </row>
    <row r="946" spans="1:9" ht="14.25" customHeight="1" x14ac:dyDescent="0.25">
      <c r="A946" s="132" t="s">
        <v>247</v>
      </c>
      <c r="B946" s="132" t="s">
        <v>9</v>
      </c>
      <c r="C946" s="132">
        <v>100</v>
      </c>
      <c r="D946" s="132" t="str">
        <f t="shared" si="67"/>
        <v>CIM Motor NEO 100</v>
      </c>
      <c r="E946" s="132">
        <v>0</v>
      </c>
      <c r="I946" s="132">
        <v>0</v>
      </c>
    </row>
    <row r="947" spans="1:9" ht="14.25" customHeight="1" x14ac:dyDescent="0.25">
      <c r="A947" s="132" t="s">
        <v>247</v>
      </c>
      <c r="B947" s="132" t="s">
        <v>334</v>
      </c>
      <c r="C947" s="132">
        <v>-3</v>
      </c>
      <c r="D947" s="132" t="str">
        <f t="shared" ref="D947:D952" si="68">A947&amp;" "&amp;B947&amp;" "&amp;C947</f>
        <v>CIM Motor Falcon 500 -3</v>
      </c>
      <c r="E947" s="132">
        <v>1</v>
      </c>
      <c r="I947" s="132">
        <v>0</v>
      </c>
    </row>
    <row r="948" spans="1:9" ht="14.25" customHeight="1" x14ac:dyDescent="0.25">
      <c r="A948" s="132" t="s">
        <v>247</v>
      </c>
      <c r="B948" s="132" t="s">
        <v>334</v>
      </c>
      <c r="C948" s="132">
        <v>-4</v>
      </c>
      <c r="D948" s="132" t="str">
        <f t="shared" si="68"/>
        <v>CIM Motor Falcon 500 -4</v>
      </c>
      <c r="E948" s="132">
        <v>1</v>
      </c>
      <c r="I948" s="132">
        <v>0</v>
      </c>
    </row>
    <row r="949" spans="1:9" ht="14.25" customHeight="1" x14ac:dyDescent="0.25">
      <c r="A949" s="132" t="s">
        <v>247</v>
      </c>
      <c r="B949" s="132" t="s">
        <v>334</v>
      </c>
      <c r="C949" s="132">
        <v>-5</v>
      </c>
      <c r="D949" s="132" t="str">
        <f t="shared" si="68"/>
        <v>CIM Motor Falcon 500 -5</v>
      </c>
      <c r="E949" s="132">
        <v>1</v>
      </c>
      <c r="I949" s="132">
        <v>0</v>
      </c>
    </row>
    <row r="950" spans="1:9" ht="14.25" customHeight="1" x14ac:dyDescent="0.25">
      <c r="A950" s="132" t="s">
        <v>247</v>
      </c>
      <c r="B950" s="132" t="s">
        <v>334</v>
      </c>
      <c r="C950" s="132">
        <v>-7</v>
      </c>
      <c r="D950" s="132" t="str">
        <f t="shared" si="68"/>
        <v>CIM Motor Falcon 500 -7</v>
      </c>
      <c r="E950" s="132">
        <v>1</v>
      </c>
      <c r="I950" s="132">
        <v>0</v>
      </c>
    </row>
    <row r="951" spans="1:9" ht="14.25" customHeight="1" x14ac:dyDescent="0.25">
      <c r="A951" s="132" t="s">
        <v>247</v>
      </c>
      <c r="B951" s="132" t="s">
        <v>334</v>
      </c>
      <c r="C951" s="132">
        <v>-9</v>
      </c>
      <c r="D951" s="132" t="str">
        <f t="shared" si="68"/>
        <v>CIM Motor Falcon 500 -9</v>
      </c>
      <c r="E951" s="132">
        <v>1</v>
      </c>
      <c r="I951" s="132">
        <v>0</v>
      </c>
    </row>
    <row r="952" spans="1:9" ht="14.25" customHeight="1" x14ac:dyDescent="0.25">
      <c r="A952" s="132" t="s">
        <v>247</v>
      </c>
      <c r="B952" s="132" t="s">
        <v>334</v>
      </c>
      <c r="C952" s="132">
        <v>-10</v>
      </c>
      <c r="D952" s="132" t="str">
        <f t="shared" si="68"/>
        <v>CIM Motor Falcon 500 -10</v>
      </c>
      <c r="E952" s="132">
        <v>1</v>
      </c>
      <c r="I952" s="132">
        <v>0</v>
      </c>
    </row>
    <row r="953" spans="1:9" ht="14.25" customHeight="1" x14ac:dyDescent="0.25">
      <c r="A953" s="132" t="s">
        <v>247</v>
      </c>
      <c r="B953" s="132" t="s">
        <v>334</v>
      </c>
      <c r="C953" s="132">
        <v>9</v>
      </c>
      <c r="D953" s="132" t="str">
        <f t="shared" ref="D953:D973" si="69">A953&amp;" "&amp;B953&amp;" "&amp;C953</f>
        <v>CIM Motor Falcon 500 9</v>
      </c>
      <c r="E953" s="132">
        <v>0</v>
      </c>
      <c r="I953" s="132">
        <v>0</v>
      </c>
    </row>
    <row r="954" spans="1:9" ht="14.25" customHeight="1" x14ac:dyDescent="0.25">
      <c r="A954" s="132" t="s">
        <v>247</v>
      </c>
      <c r="B954" s="132" t="s">
        <v>334</v>
      </c>
      <c r="C954" s="132">
        <v>12</v>
      </c>
      <c r="D954" s="132" t="str">
        <f t="shared" si="69"/>
        <v>CIM Motor Falcon 500 12</v>
      </c>
      <c r="E954" s="132">
        <v>0</v>
      </c>
      <c r="I954" s="132">
        <v>0</v>
      </c>
    </row>
    <row r="955" spans="1:9" ht="14.25" customHeight="1" x14ac:dyDescent="0.25">
      <c r="A955" s="132" t="s">
        <v>247</v>
      </c>
      <c r="B955" s="132" t="s">
        <v>334</v>
      </c>
      <c r="C955" s="132">
        <v>15</v>
      </c>
      <c r="D955" s="132" t="str">
        <f t="shared" si="69"/>
        <v>CIM Motor Falcon 500 15</v>
      </c>
      <c r="E955" s="132">
        <v>0</v>
      </c>
      <c r="I955" s="132">
        <v>0</v>
      </c>
    </row>
    <row r="956" spans="1:9" ht="14.25" customHeight="1" x14ac:dyDescent="0.25">
      <c r="A956" s="132" t="s">
        <v>247</v>
      </c>
      <c r="B956" s="132" t="s">
        <v>334</v>
      </c>
      <c r="C956" s="132">
        <v>16</v>
      </c>
      <c r="D956" s="132" t="str">
        <f t="shared" si="69"/>
        <v>CIM Motor Falcon 500 16</v>
      </c>
      <c r="E956" s="132">
        <v>0</v>
      </c>
      <c r="I956" s="132">
        <v>0</v>
      </c>
    </row>
    <row r="957" spans="1:9" ht="14.25" customHeight="1" x14ac:dyDescent="0.25">
      <c r="A957" s="132" t="s">
        <v>247</v>
      </c>
      <c r="B957" s="132" t="s">
        <v>334</v>
      </c>
      <c r="C957" s="132">
        <v>20</v>
      </c>
      <c r="D957" s="132" t="str">
        <f t="shared" si="69"/>
        <v>CIM Motor Falcon 500 20</v>
      </c>
      <c r="E957" s="132">
        <v>0</v>
      </c>
      <c r="I957" s="132">
        <v>0</v>
      </c>
    </row>
    <row r="958" spans="1:9" ht="14.25" customHeight="1" x14ac:dyDescent="0.25">
      <c r="A958" s="132" t="s">
        <v>247</v>
      </c>
      <c r="B958" s="132" t="s">
        <v>334</v>
      </c>
      <c r="C958" s="132">
        <v>21</v>
      </c>
      <c r="D958" s="132" t="str">
        <f t="shared" si="69"/>
        <v>CIM Motor Falcon 500 21</v>
      </c>
      <c r="E958" s="132">
        <v>0</v>
      </c>
      <c r="I958" s="132">
        <v>0</v>
      </c>
    </row>
    <row r="959" spans="1:9" ht="14.25" customHeight="1" x14ac:dyDescent="0.25">
      <c r="A959" s="132" t="s">
        <v>247</v>
      </c>
      <c r="B959" s="132" t="s">
        <v>334</v>
      </c>
      <c r="C959" s="132">
        <v>25</v>
      </c>
      <c r="D959" s="132" t="str">
        <f t="shared" si="69"/>
        <v>CIM Motor Falcon 500 25</v>
      </c>
      <c r="E959" s="132">
        <v>0</v>
      </c>
      <c r="I959" s="132">
        <v>0</v>
      </c>
    </row>
    <row r="960" spans="1:9" ht="14.25" customHeight="1" x14ac:dyDescent="0.25">
      <c r="A960" s="132" t="s">
        <v>247</v>
      </c>
      <c r="B960" s="132" t="s">
        <v>334</v>
      </c>
      <c r="C960" s="132">
        <v>27</v>
      </c>
      <c r="D960" s="132" t="str">
        <f t="shared" si="69"/>
        <v>CIM Motor Falcon 500 27</v>
      </c>
      <c r="E960" s="132">
        <v>0</v>
      </c>
      <c r="I960" s="132">
        <v>0</v>
      </c>
    </row>
    <row r="961" spans="1:9" ht="14.25" customHeight="1" x14ac:dyDescent="0.25">
      <c r="A961" s="132" t="s">
        <v>247</v>
      </c>
      <c r="B961" s="132" t="s">
        <v>334</v>
      </c>
      <c r="C961" s="132">
        <v>28</v>
      </c>
      <c r="D961" s="132" t="str">
        <f t="shared" si="69"/>
        <v>CIM Motor Falcon 500 28</v>
      </c>
      <c r="E961" s="132">
        <v>0</v>
      </c>
      <c r="I961" s="132">
        <v>0</v>
      </c>
    </row>
    <row r="962" spans="1:9" ht="14.25" customHeight="1" x14ac:dyDescent="0.25">
      <c r="A962" s="132" t="s">
        <v>247</v>
      </c>
      <c r="B962" s="132" t="s">
        <v>334</v>
      </c>
      <c r="C962" s="132">
        <v>30</v>
      </c>
      <c r="D962" s="132" t="str">
        <f t="shared" si="69"/>
        <v>CIM Motor Falcon 500 30</v>
      </c>
      <c r="E962" s="132">
        <v>0</v>
      </c>
      <c r="I962" s="132">
        <v>0</v>
      </c>
    </row>
    <row r="963" spans="1:9" ht="14.25" customHeight="1" x14ac:dyDescent="0.25">
      <c r="A963" s="132" t="s">
        <v>247</v>
      </c>
      <c r="B963" s="132" t="s">
        <v>334</v>
      </c>
      <c r="C963" s="132">
        <v>35</v>
      </c>
      <c r="D963" s="132" t="str">
        <f t="shared" si="69"/>
        <v>CIM Motor Falcon 500 35</v>
      </c>
      <c r="E963" s="132">
        <v>0</v>
      </c>
      <c r="I963" s="132">
        <v>0</v>
      </c>
    </row>
    <row r="964" spans="1:9" ht="14.25" customHeight="1" x14ac:dyDescent="0.25">
      <c r="A964" s="132" t="s">
        <v>247</v>
      </c>
      <c r="B964" s="132" t="s">
        <v>334</v>
      </c>
      <c r="C964" s="132">
        <v>36</v>
      </c>
      <c r="D964" s="132" t="str">
        <f t="shared" si="69"/>
        <v>CIM Motor Falcon 500 36</v>
      </c>
      <c r="E964" s="132">
        <v>0</v>
      </c>
      <c r="I964" s="132">
        <v>0</v>
      </c>
    </row>
    <row r="965" spans="1:9" ht="14.25" customHeight="1" x14ac:dyDescent="0.25">
      <c r="A965" s="132" t="s">
        <v>247</v>
      </c>
      <c r="B965" s="132" t="s">
        <v>334</v>
      </c>
      <c r="C965" s="132">
        <v>40</v>
      </c>
      <c r="D965" s="132" t="str">
        <f t="shared" si="69"/>
        <v>CIM Motor Falcon 500 40</v>
      </c>
      <c r="E965" s="132">
        <v>0</v>
      </c>
      <c r="I965" s="132">
        <v>0</v>
      </c>
    </row>
    <row r="966" spans="1:9" ht="14.25" customHeight="1" x14ac:dyDescent="0.25">
      <c r="A966" s="132" t="s">
        <v>247</v>
      </c>
      <c r="B966" s="132" t="s">
        <v>334</v>
      </c>
      <c r="C966" s="132">
        <v>45</v>
      </c>
      <c r="D966" s="132" t="str">
        <f t="shared" si="69"/>
        <v>CIM Motor Falcon 500 45</v>
      </c>
      <c r="E966" s="132">
        <v>0</v>
      </c>
      <c r="I966" s="132">
        <v>0</v>
      </c>
    </row>
    <row r="967" spans="1:9" ht="14.25" customHeight="1" x14ac:dyDescent="0.25">
      <c r="A967" s="132" t="s">
        <v>247</v>
      </c>
      <c r="B967" s="132" t="s">
        <v>334</v>
      </c>
      <c r="C967" s="132">
        <v>49</v>
      </c>
      <c r="D967" s="132" t="str">
        <f t="shared" si="69"/>
        <v>CIM Motor Falcon 500 49</v>
      </c>
      <c r="E967" s="132">
        <v>0</v>
      </c>
      <c r="I967" s="132">
        <v>0</v>
      </c>
    </row>
    <row r="968" spans="1:9" ht="14.25" customHeight="1" x14ac:dyDescent="0.25">
      <c r="A968" s="132" t="s">
        <v>247</v>
      </c>
      <c r="B968" s="132" t="s">
        <v>334</v>
      </c>
      <c r="C968" s="132">
        <v>50</v>
      </c>
      <c r="D968" s="132" t="str">
        <f t="shared" si="69"/>
        <v>CIM Motor Falcon 500 50</v>
      </c>
      <c r="E968" s="132">
        <v>0</v>
      </c>
      <c r="I968" s="132">
        <v>0</v>
      </c>
    </row>
    <row r="969" spans="1:9" ht="14.25" customHeight="1" x14ac:dyDescent="0.25">
      <c r="A969" s="132" t="s">
        <v>247</v>
      </c>
      <c r="B969" s="132" t="s">
        <v>334</v>
      </c>
      <c r="C969" s="132">
        <v>63</v>
      </c>
      <c r="D969" s="132" t="str">
        <f t="shared" si="69"/>
        <v>CIM Motor Falcon 500 63</v>
      </c>
      <c r="E969" s="132">
        <v>0</v>
      </c>
      <c r="I969" s="132">
        <v>0</v>
      </c>
    </row>
    <row r="970" spans="1:9" ht="14.25" customHeight="1" x14ac:dyDescent="0.25">
      <c r="A970" s="132" t="s">
        <v>247</v>
      </c>
      <c r="B970" s="132" t="s">
        <v>334</v>
      </c>
      <c r="C970" s="132">
        <v>70</v>
      </c>
      <c r="D970" s="132" t="str">
        <f t="shared" si="69"/>
        <v>CIM Motor Falcon 500 70</v>
      </c>
      <c r="E970" s="132">
        <v>0</v>
      </c>
      <c r="I970" s="132">
        <v>0</v>
      </c>
    </row>
    <row r="971" spans="1:9" ht="14.25" customHeight="1" x14ac:dyDescent="0.25">
      <c r="A971" s="132" t="s">
        <v>247</v>
      </c>
      <c r="B971" s="132" t="s">
        <v>334</v>
      </c>
      <c r="C971" s="132">
        <v>81</v>
      </c>
      <c r="D971" s="132" t="str">
        <f t="shared" si="69"/>
        <v>CIM Motor Falcon 500 81</v>
      </c>
      <c r="E971" s="132">
        <v>0</v>
      </c>
      <c r="I971" s="132">
        <v>0</v>
      </c>
    </row>
    <row r="972" spans="1:9" ht="14.25" customHeight="1" x14ac:dyDescent="0.25">
      <c r="A972" s="132" t="s">
        <v>247</v>
      </c>
      <c r="B972" s="132" t="s">
        <v>334</v>
      </c>
      <c r="C972" s="132">
        <v>90</v>
      </c>
      <c r="D972" s="132" t="str">
        <f t="shared" si="69"/>
        <v>CIM Motor Falcon 500 90</v>
      </c>
      <c r="E972" s="132">
        <v>0</v>
      </c>
      <c r="I972" s="132">
        <v>0</v>
      </c>
    </row>
    <row r="973" spans="1:9" ht="14.25" customHeight="1" x14ac:dyDescent="0.25">
      <c r="A973" s="132" t="s">
        <v>247</v>
      </c>
      <c r="B973" s="132" t="s">
        <v>334</v>
      </c>
      <c r="C973" s="132">
        <v>100</v>
      </c>
      <c r="D973" s="132" t="str">
        <f t="shared" si="69"/>
        <v>CIM Motor Falcon 500 100</v>
      </c>
      <c r="E973" s="132">
        <v>0</v>
      </c>
      <c r="I973" s="132">
        <v>0</v>
      </c>
    </row>
    <row r="974" spans="1:9" ht="14.25" customHeight="1" x14ac:dyDescent="0.25">
      <c r="A974" s="132" t="s">
        <v>250</v>
      </c>
      <c r="B974" s="132" t="s">
        <v>11</v>
      </c>
      <c r="C974" s="132">
        <v>-3</v>
      </c>
      <c r="D974" s="132" t="str">
        <f t="shared" ref="D974:D979" si="70">A974&amp;" "&amp;B974&amp;" "&amp;C974</f>
        <v>Female AM 9015 -3</v>
      </c>
      <c r="E974" s="132">
        <v>1</v>
      </c>
      <c r="I974" s="132">
        <v>1</v>
      </c>
    </row>
    <row r="975" spans="1:9" ht="14.25" customHeight="1" x14ac:dyDescent="0.25">
      <c r="A975" s="132" t="s">
        <v>250</v>
      </c>
      <c r="B975" s="132" t="s">
        <v>11</v>
      </c>
      <c r="C975" s="132">
        <v>-4</v>
      </c>
      <c r="D975" s="132" t="str">
        <f t="shared" si="70"/>
        <v>Female AM 9015 -4</v>
      </c>
      <c r="E975" s="132">
        <v>1</v>
      </c>
      <c r="I975" s="132">
        <v>1</v>
      </c>
    </row>
    <row r="976" spans="1:9" ht="14.25" customHeight="1" x14ac:dyDescent="0.25">
      <c r="A976" s="132" t="s">
        <v>250</v>
      </c>
      <c r="B976" s="132" t="s">
        <v>11</v>
      </c>
      <c r="C976" s="132">
        <v>-5</v>
      </c>
      <c r="D976" s="132" t="str">
        <f t="shared" si="70"/>
        <v>Female AM 9015 -5</v>
      </c>
      <c r="E976" s="132">
        <v>1</v>
      </c>
      <c r="I976" s="132">
        <v>1</v>
      </c>
    </row>
    <row r="977" spans="1:9" ht="14.25" customHeight="1" x14ac:dyDescent="0.25">
      <c r="A977" s="132" t="s">
        <v>250</v>
      </c>
      <c r="B977" s="132" t="s">
        <v>11</v>
      </c>
      <c r="C977" s="132">
        <v>-7</v>
      </c>
      <c r="D977" s="132" t="str">
        <f t="shared" si="70"/>
        <v>Female AM 9015 -7</v>
      </c>
      <c r="E977" s="132">
        <v>1</v>
      </c>
      <c r="I977" s="132">
        <v>1</v>
      </c>
    </row>
    <row r="978" spans="1:9" ht="14.25" customHeight="1" x14ac:dyDescent="0.25">
      <c r="A978" s="132" t="s">
        <v>250</v>
      </c>
      <c r="B978" s="132" t="s">
        <v>11</v>
      </c>
      <c r="C978" s="132">
        <v>-9</v>
      </c>
      <c r="D978" s="132" t="str">
        <f t="shared" si="70"/>
        <v>Female AM 9015 -9</v>
      </c>
      <c r="E978" s="132">
        <v>1</v>
      </c>
      <c r="I978" s="132">
        <v>1</v>
      </c>
    </row>
    <row r="979" spans="1:9" ht="14.25" customHeight="1" x14ac:dyDescent="0.25">
      <c r="A979" s="132" t="s">
        <v>250</v>
      </c>
      <c r="B979" s="132" t="s">
        <v>11</v>
      </c>
      <c r="C979" s="132">
        <v>-10</v>
      </c>
      <c r="D979" s="132" t="str">
        <f t="shared" si="70"/>
        <v>Female AM 9015 -10</v>
      </c>
      <c r="E979" s="132">
        <v>1</v>
      </c>
      <c r="I979" s="132">
        <v>1</v>
      </c>
    </row>
    <row r="980" spans="1:9" ht="14.25" customHeight="1" x14ac:dyDescent="0.25">
      <c r="A980" s="132" t="s">
        <v>250</v>
      </c>
      <c r="B980" s="132" t="s">
        <v>11</v>
      </c>
      <c r="C980" s="132">
        <v>9</v>
      </c>
      <c r="D980" s="132" t="str">
        <f t="shared" ref="D980:D1000" si="71">A980&amp;" "&amp;B980&amp;" "&amp;C980</f>
        <v>Female AM 9015 9</v>
      </c>
      <c r="E980" s="132">
        <v>10</v>
      </c>
      <c r="I980" s="132">
        <v>10</v>
      </c>
    </row>
    <row r="981" spans="1:9" ht="14.25" customHeight="1" x14ac:dyDescent="0.25">
      <c r="A981" s="132" t="s">
        <v>250</v>
      </c>
      <c r="B981" s="132" t="s">
        <v>11</v>
      </c>
      <c r="C981" s="132">
        <v>12</v>
      </c>
      <c r="D981" s="132" t="str">
        <f t="shared" si="71"/>
        <v>Female AM 9015 12</v>
      </c>
      <c r="E981" s="132">
        <v>10</v>
      </c>
      <c r="I981" s="132">
        <v>7</v>
      </c>
    </row>
    <row r="982" spans="1:9" ht="14.25" customHeight="1" x14ac:dyDescent="0.25">
      <c r="A982" s="132" t="s">
        <v>250</v>
      </c>
      <c r="B982" s="132" t="s">
        <v>11</v>
      </c>
      <c r="C982" s="132">
        <v>15</v>
      </c>
      <c r="D982" s="132" t="str">
        <f t="shared" si="71"/>
        <v>Female AM 9015 15</v>
      </c>
      <c r="E982" s="132">
        <v>10</v>
      </c>
      <c r="I982" s="132">
        <v>5</v>
      </c>
    </row>
    <row r="983" spans="1:9" ht="14.25" customHeight="1" x14ac:dyDescent="0.25">
      <c r="A983" s="132" t="s">
        <v>250</v>
      </c>
      <c r="B983" s="132" t="s">
        <v>11</v>
      </c>
      <c r="C983" s="132">
        <v>16</v>
      </c>
      <c r="D983" s="132" t="str">
        <f t="shared" si="71"/>
        <v>Female AM 9015 16</v>
      </c>
      <c r="E983" s="132">
        <v>10</v>
      </c>
      <c r="I983" s="132">
        <v>5</v>
      </c>
    </row>
    <row r="984" spans="1:9" ht="14.25" customHeight="1" x14ac:dyDescent="0.25">
      <c r="A984" s="132" t="s">
        <v>250</v>
      </c>
      <c r="B984" s="132" t="s">
        <v>11</v>
      </c>
      <c r="C984" s="132">
        <v>20</v>
      </c>
      <c r="D984" s="132" t="str">
        <f t="shared" si="71"/>
        <v>Female AM 9015 20</v>
      </c>
      <c r="E984" s="132">
        <v>10</v>
      </c>
      <c r="I984" s="132">
        <v>4</v>
      </c>
    </row>
    <row r="985" spans="1:9" ht="14.25" customHeight="1" x14ac:dyDescent="0.25">
      <c r="A985" s="132" t="s">
        <v>250</v>
      </c>
      <c r="B985" s="132" t="s">
        <v>11</v>
      </c>
      <c r="C985" s="132">
        <v>21</v>
      </c>
      <c r="D985" s="132" t="str">
        <f t="shared" si="71"/>
        <v>Female AM 9015 21</v>
      </c>
      <c r="E985" s="132">
        <v>10</v>
      </c>
      <c r="I985" s="132">
        <v>4</v>
      </c>
    </row>
    <row r="986" spans="1:9" ht="14.25" customHeight="1" x14ac:dyDescent="0.25">
      <c r="A986" s="132" t="s">
        <v>250</v>
      </c>
      <c r="B986" s="132" t="s">
        <v>11</v>
      </c>
      <c r="C986" s="132">
        <v>25</v>
      </c>
      <c r="D986" s="132" t="str">
        <f t="shared" si="71"/>
        <v>Female AM 9015 25</v>
      </c>
      <c r="E986" s="132">
        <v>7</v>
      </c>
      <c r="I986" s="132">
        <v>3</v>
      </c>
    </row>
    <row r="987" spans="1:9" ht="14.25" customHeight="1" x14ac:dyDescent="0.25">
      <c r="A987" s="132" t="s">
        <v>250</v>
      </c>
      <c r="B987" s="132" t="s">
        <v>11</v>
      </c>
      <c r="C987" s="132">
        <v>27</v>
      </c>
      <c r="D987" s="132" t="str">
        <f t="shared" si="71"/>
        <v>Female AM 9015 27</v>
      </c>
      <c r="E987" s="132">
        <v>7</v>
      </c>
      <c r="I987" s="132">
        <v>3</v>
      </c>
    </row>
    <row r="988" spans="1:9" ht="14.25" customHeight="1" x14ac:dyDescent="0.25">
      <c r="A988" s="132" t="s">
        <v>250</v>
      </c>
      <c r="B988" s="132" t="s">
        <v>11</v>
      </c>
      <c r="C988" s="132">
        <v>28</v>
      </c>
      <c r="D988" s="132" t="str">
        <f t="shared" si="71"/>
        <v>Female AM 9015 28</v>
      </c>
      <c r="E988" s="132">
        <v>7</v>
      </c>
      <c r="I988" s="132">
        <v>3</v>
      </c>
    </row>
    <row r="989" spans="1:9" ht="14.25" customHeight="1" x14ac:dyDescent="0.25">
      <c r="A989" s="132" t="s">
        <v>250</v>
      </c>
      <c r="B989" s="132" t="s">
        <v>11</v>
      </c>
      <c r="C989" s="132">
        <v>30</v>
      </c>
      <c r="D989" s="132" t="str">
        <f t="shared" si="71"/>
        <v>Female AM 9015 30</v>
      </c>
      <c r="E989" s="132">
        <v>7</v>
      </c>
      <c r="I989" s="132">
        <v>3</v>
      </c>
    </row>
    <row r="990" spans="1:9" ht="14.25" customHeight="1" x14ac:dyDescent="0.25">
      <c r="A990" s="132" t="s">
        <v>250</v>
      </c>
      <c r="B990" s="132" t="s">
        <v>11</v>
      </c>
      <c r="C990" s="132">
        <v>35</v>
      </c>
      <c r="D990" s="132" t="str">
        <f t="shared" si="71"/>
        <v>Female AM 9015 35</v>
      </c>
      <c r="E990" s="132">
        <v>5</v>
      </c>
      <c r="I990" s="132">
        <v>1</v>
      </c>
    </row>
    <row r="991" spans="1:9" ht="14.25" customHeight="1" x14ac:dyDescent="0.25">
      <c r="A991" s="132" t="s">
        <v>250</v>
      </c>
      <c r="B991" s="132" t="s">
        <v>11</v>
      </c>
      <c r="C991" s="132">
        <v>36</v>
      </c>
      <c r="D991" s="132" t="str">
        <f t="shared" si="71"/>
        <v>Female AM 9015 36</v>
      </c>
      <c r="E991" s="132">
        <v>5</v>
      </c>
      <c r="I991" s="132">
        <v>1</v>
      </c>
    </row>
    <row r="992" spans="1:9" ht="14.25" customHeight="1" x14ac:dyDescent="0.25">
      <c r="A992" s="132" t="s">
        <v>250</v>
      </c>
      <c r="B992" s="132" t="s">
        <v>11</v>
      </c>
      <c r="C992" s="132">
        <v>40</v>
      </c>
      <c r="D992" s="132" t="str">
        <f t="shared" si="71"/>
        <v>Female AM 9015 40</v>
      </c>
      <c r="E992" s="132">
        <v>5</v>
      </c>
      <c r="I992" s="132">
        <v>1</v>
      </c>
    </row>
    <row r="993" spans="1:9" ht="14.25" customHeight="1" x14ac:dyDescent="0.25">
      <c r="A993" s="132" t="s">
        <v>250</v>
      </c>
      <c r="B993" s="132" t="s">
        <v>11</v>
      </c>
      <c r="C993" s="132">
        <v>45</v>
      </c>
      <c r="D993" s="132" t="str">
        <f t="shared" si="71"/>
        <v>Female AM 9015 45</v>
      </c>
      <c r="E993" s="132">
        <v>5</v>
      </c>
      <c r="I993" s="132">
        <v>1</v>
      </c>
    </row>
    <row r="994" spans="1:9" ht="14.25" customHeight="1" x14ac:dyDescent="0.25">
      <c r="A994" s="132" t="s">
        <v>250</v>
      </c>
      <c r="B994" s="132" t="s">
        <v>11</v>
      </c>
      <c r="C994" s="132">
        <v>49</v>
      </c>
      <c r="D994" s="132" t="str">
        <f t="shared" si="71"/>
        <v>Female AM 9015 49</v>
      </c>
      <c r="E994" s="132">
        <v>5</v>
      </c>
      <c r="I994" s="132">
        <v>1</v>
      </c>
    </row>
    <row r="995" spans="1:9" ht="14.25" customHeight="1" x14ac:dyDescent="0.25">
      <c r="A995" s="132" t="s">
        <v>250</v>
      </c>
      <c r="B995" s="132" t="s">
        <v>11</v>
      </c>
      <c r="C995" s="132">
        <v>50</v>
      </c>
      <c r="D995" s="132" t="str">
        <f t="shared" si="71"/>
        <v>Female AM 9015 50</v>
      </c>
      <c r="E995" s="132">
        <v>5</v>
      </c>
      <c r="I995" s="132">
        <v>1</v>
      </c>
    </row>
    <row r="996" spans="1:9" ht="14.25" customHeight="1" x14ac:dyDescent="0.25">
      <c r="A996" s="132" t="s">
        <v>250</v>
      </c>
      <c r="B996" s="132" t="s">
        <v>11</v>
      </c>
      <c r="C996" s="132">
        <v>63</v>
      </c>
      <c r="D996" s="132" t="str">
        <f t="shared" si="71"/>
        <v>Female AM 9015 63</v>
      </c>
      <c r="E996" s="132">
        <v>5</v>
      </c>
      <c r="I996" s="132">
        <v>1</v>
      </c>
    </row>
    <row r="997" spans="1:9" ht="14.25" customHeight="1" x14ac:dyDescent="0.25">
      <c r="A997" s="132" t="s">
        <v>250</v>
      </c>
      <c r="B997" s="132" t="s">
        <v>11</v>
      </c>
      <c r="C997" s="132">
        <v>70</v>
      </c>
      <c r="D997" s="132" t="str">
        <f t="shared" si="71"/>
        <v>Female AM 9015 70</v>
      </c>
      <c r="E997" s="132">
        <v>4</v>
      </c>
      <c r="I997" s="132">
        <v>1</v>
      </c>
    </row>
    <row r="998" spans="1:9" ht="14.25" customHeight="1" x14ac:dyDescent="0.25">
      <c r="A998" s="132" t="s">
        <v>250</v>
      </c>
      <c r="B998" s="132" t="s">
        <v>11</v>
      </c>
      <c r="C998" s="132">
        <v>81</v>
      </c>
      <c r="D998" s="132" t="str">
        <f t="shared" si="71"/>
        <v>Female AM 9015 81</v>
      </c>
      <c r="E998" s="132">
        <v>4</v>
      </c>
      <c r="I998" s="132">
        <v>1</v>
      </c>
    </row>
    <row r="999" spans="1:9" ht="14.25" customHeight="1" x14ac:dyDescent="0.25">
      <c r="A999" s="132" t="s">
        <v>250</v>
      </c>
      <c r="B999" s="132" t="s">
        <v>11</v>
      </c>
      <c r="C999" s="132">
        <v>90</v>
      </c>
      <c r="D999" s="132" t="str">
        <f t="shared" si="71"/>
        <v>Female AM 9015 90</v>
      </c>
      <c r="E999" s="132">
        <v>3</v>
      </c>
      <c r="I999" s="132">
        <v>1</v>
      </c>
    </row>
    <row r="1000" spans="1:9" ht="14.25" customHeight="1" x14ac:dyDescent="0.25">
      <c r="A1000" s="132" t="s">
        <v>250</v>
      </c>
      <c r="B1000" s="132" t="s">
        <v>11</v>
      </c>
      <c r="C1000" s="132">
        <v>100</v>
      </c>
      <c r="D1000" s="132" t="str">
        <f t="shared" si="71"/>
        <v>Female AM 9015 100</v>
      </c>
      <c r="E1000" s="132">
        <v>3</v>
      </c>
      <c r="I1000" s="132">
        <v>0</v>
      </c>
    </row>
    <row r="1001" spans="1:9" ht="15" customHeight="1" x14ac:dyDescent="0.25">
      <c r="A1001" s="132" t="s">
        <v>250</v>
      </c>
      <c r="B1001" s="132" t="s">
        <v>327</v>
      </c>
      <c r="C1001" s="132">
        <v>-3</v>
      </c>
      <c r="D1001" s="132" t="str">
        <f t="shared" ref="D1001:D1006" si="72">A1001&amp;" "&amp;B1001&amp;" "&amp;C1001</f>
        <v>Female BB RS-550 -3</v>
      </c>
      <c r="E1001" s="132">
        <v>1</v>
      </c>
      <c r="F1001" s="132">
        <v>1</v>
      </c>
      <c r="G1001" s="132">
        <v>1</v>
      </c>
      <c r="H1001" s="132">
        <v>1</v>
      </c>
      <c r="I1001" s="132">
        <v>1</v>
      </c>
    </row>
    <row r="1002" spans="1:9" ht="15" customHeight="1" x14ac:dyDescent="0.25">
      <c r="A1002" s="132" t="s">
        <v>250</v>
      </c>
      <c r="B1002" s="132" t="s">
        <v>327</v>
      </c>
      <c r="C1002" s="132">
        <v>-4</v>
      </c>
      <c r="D1002" s="132" t="str">
        <f t="shared" si="72"/>
        <v>Female BB RS-550 -4</v>
      </c>
      <c r="E1002" s="132">
        <v>1</v>
      </c>
      <c r="F1002" s="132">
        <v>1</v>
      </c>
      <c r="G1002" s="132">
        <v>1</v>
      </c>
      <c r="H1002" s="132">
        <v>1</v>
      </c>
      <c r="I1002" s="132">
        <v>1</v>
      </c>
    </row>
    <row r="1003" spans="1:9" ht="15" customHeight="1" x14ac:dyDescent="0.25">
      <c r="A1003" s="132" t="s">
        <v>250</v>
      </c>
      <c r="B1003" s="132" t="s">
        <v>327</v>
      </c>
      <c r="C1003" s="132">
        <v>-5</v>
      </c>
      <c r="D1003" s="132" t="str">
        <f t="shared" si="72"/>
        <v>Female BB RS-550 -5</v>
      </c>
      <c r="E1003" s="132">
        <v>1</v>
      </c>
      <c r="F1003" s="132">
        <v>1</v>
      </c>
      <c r="G1003" s="132">
        <v>1</v>
      </c>
      <c r="H1003" s="132">
        <v>1</v>
      </c>
      <c r="I1003" s="132">
        <v>1</v>
      </c>
    </row>
    <row r="1004" spans="1:9" ht="15" customHeight="1" x14ac:dyDescent="0.25">
      <c r="A1004" s="132" t="s">
        <v>250</v>
      </c>
      <c r="B1004" s="132" t="s">
        <v>327</v>
      </c>
      <c r="C1004" s="132">
        <v>-7</v>
      </c>
      <c r="D1004" s="132" t="str">
        <f t="shared" si="72"/>
        <v>Female BB RS-550 -7</v>
      </c>
      <c r="E1004" s="132">
        <v>1</v>
      </c>
      <c r="F1004" s="132">
        <v>1</v>
      </c>
      <c r="G1004" s="132">
        <v>1</v>
      </c>
      <c r="H1004" s="132">
        <v>0</v>
      </c>
      <c r="I1004" s="132">
        <v>1</v>
      </c>
    </row>
    <row r="1005" spans="1:9" ht="15" customHeight="1" x14ac:dyDescent="0.25">
      <c r="A1005" s="132" t="s">
        <v>250</v>
      </c>
      <c r="B1005" s="132" t="s">
        <v>327</v>
      </c>
      <c r="C1005" s="132">
        <v>-9</v>
      </c>
      <c r="D1005" s="132" t="str">
        <f t="shared" si="72"/>
        <v>Female BB RS-550 -9</v>
      </c>
      <c r="E1005" s="132">
        <v>1</v>
      </c>
      <c r="F1005" s="132">
        <v>1</v>
      </c>
      <c r="G1005" s="132">
        <v>0</v>
      </c>
      <c r="H1005" s="132">
        <v>0</v>
      </c>
      <c r="I1005" s="132">
        <v>1</v>
      </c>
    </row>
    <row r="1006" spans="1:9" ht="15" customHeight="1" x14ac:dyDescent="0.25">
      <c r="A1006" s="132" t="s">
        <v>250</v>
      </c>
      <c r="B1006" s="132" t="s">
        <v>327</v>
      </c>
      <c r="C1006" s="132">
        <v>-10</v>
      </c>
      <c r="D1006" s="132" t="str">
        <f t="shared" si="72"/>
        <v>Female BB RS-550 -10</v>
      </c>
      <c r="E1006" s="132">
        <v>1</v>
      </c>
      <c r="F1006" s="132">
        <v>1</v>
      </c>
      <c r="G1006" s="132">
        <v>0</v>
      </c>
      <c r="H1006" s="132">
        <v>0</v>
      </c>
      <c r="I1006" s="132">
        <v>1</v>
      </c>
    </row>
    <row r="1007" spans="1:9" ht="15" customHeight="1" x14ac:dyDescent="0.25">
      <c r="A1007" s="132" t="s">
        <v>250</v>
      </c>
      <c r="B1007" s="132" t="s">
        <v>327</v>
      </c>
      <c r="C1007" s="132">
        <v>9</v>
      </c>
      <c r="D1007" s="132" t="str">
        <f t="shared" ref="D1007:D1027" si="73">A1007&amp;" "&amp;B1007&amp;" "&amp;C1007</f>
        <v>Female BB RS-550 9</v>
      </c>
      <c r="E1007" s="132">
        <v>10</v>
      </c>
      <c r="F1007" s="132">
        <v>10</v>
      </c>
      <c r="G1007" s="132">
        <v>1</v>
      </c>
      <c r="H1007" s="132">
        <v>0</v>
      </c>
      <c r="I1007" s="132">
        <v>10</v>
      </c>
    </row>
    <row r="1008" spans="1:9" ht="15" customHeight="1" x14ac:dyDescent="0.25">
      <c r="A1008" s="132" t="s">
        <v>250</v>
      </c>
      <c r="B1008" s="132" t="s">
        <v>327</v>
      </c>
      <c r="C1008" s="132">
        <v>12</v>
      </c>
      <c r="D1008" s="132" t="str">
        <f t="shared" si="73"/>
        <v>Female BB RS-550 12</v>
      </c>
      <c r="E1008" s="132">
        <v>10</v>
      </c>
      <c r="F1008" s="132">
        <v>7</v>
      </c>
      <c r="G1008" s="132">
        <v>0</v>
      </c>
      <c r="H1008" s="132">
        <v>0</v>
      </c>
      <c r="I1008" s="132">
        <v>7</v>
      </c>
    </row>
    <row r="1009" spans="1:9" ht="15" customHeight="1" x14ac:dyDescent="0.25">
      <c r="A1009" s="132" t="s">
        <v>250</v>
      </c>
      <c r="B1009" s="132" t="s">
        <v>327</v>
      </c>
      <c r="C1009" s="132">
        <v>15</v>
      </c>
      <c r="D1009" s="132" t="str">
        <f t="shared" si="73"/>
        <v>Female BB RS-550 15</v>
      </c>
      <c r="E1009" s="132">
        <v>10</v>
      </c>
      <c r="F1009" s="132">
        <v>5</v>
      </c>
      <c r="G1009" s="132">
        <v>0</v>
      </c>
      <c r="H1009" s="132">
        <v>0</v>
      </c>
      <c r="I1009" s="132">
        <v>5</v>
      </c>
    </row>
    <row r="1010" spans="1:9" ht="15" customHeight="1" x14ac:dyDescent="0.25">
      <c r="A1010" s="132" t="s">
        <v>250</v>
      </c>
      <c r="B1010" s="132" t="s">
        <v>327</v>
      </c>
      <c r="C1010" s="132">
        <v>16</v>
      </c>
      <c r="D1010" s="132" t="str">
        <f t="shared" si="73"/>
        <v>Female BB RS-550 16</v>
      </c>
      <c r="E1010" s="132">
        <v>10</v>
      </c>
      <c r="F1010" s="132">
        <v>5</v>
      </c>
      <c r="G1010" s="132">
        <v>0</v>
      </c>
      <c r="H1010" s="132">
        <v>0</v>
      </c>
      <c r="I1010" s="132">
        <v>5</v>
      </c>
    </row>
    <row r="1011" spans="1:9" ht="15" customHeight="1" x14ac:dyDescent="0.25">
      <c r="A1011" s="132" t="s">
        <v>250</v>
      </c>
      <c r="B1011" s="132" t="s">
        <v>327</v>
      </c>
      <c r="C1011" s="132">
        <v>20</v>
      </c>
      <c r="D1011" s="132" t="str">
        <f t="shared" si="73"/>
        <v>Female BB RS-550 20</v>
      </c>
      <c r="E1011" s="132">
        <v>9</v>
      </c>
      <c r="F1011" s="132">
        <v>5</v>
      </c>
      <c r="G1011" s="132">
        <v>0</v>
      </c>
      <c r="H1011" s="132">
        <v>0</v>
      </c>
      <c r="I1011" s="132">
        <v>4</v>
      </c>
    </row>
    <row r="1012" spans="1:9" ht="15" customHeight="1" x14ac:dyDescent="0.25">
      <c r="A1012" s="132" t="s">
        <v>250</v>
      </c>
      <c r="B1012" s="132" t="s">
        <v>327</v>
      </c>
      <c r="C1012" s="132">
        <v>21</v>
      </c>
      <c r="D1012" s="132" t="str">
        <f t="shared" si="73"/>
        <v>Female BB RS-550 21</v>
      </c>
      <c r="E1012" s="132">
        <v>9</v>
      </c>
      <c r="F1012" s="132">
        <v>5</v>
      </c>
      <c r="G1012" s="132">
        <v>0</v>
      </c>
      <c r="H1012" s="132">
        <v>0</v>
      </c>
      <c r="I1012" s="132">
        <v>4</v>
      </c>
    </row>
    <row r="1013" spans="1:9" ht="15" customHeight="1" x14ac:dyDescent="0.25">
      <c r="A1013" s="132" t="s">
        <v>250</v>
      </c>
      <c r="B1013" s="132" t="s">
        <v>327</v>
      </c>
      <c r="C1013" s="132">
        <v>25</v>
      </c>
      <c r="D1013" s="132" t="str">
        <f t="shared" si="73"/>
        <v>Female BB RS-550 25</v>
      </c>
      <c r="E1013" s="132">
        <v>7</v>
      </c>
      <c r="F1013" s="132">
        <v>5</v>
      </c>
      <c r="G1013" s="132">
        <v>0</v>
      </c>
      <c r="H1013" s="132">
        <v>0</v>
      </c>
      <c r="I1013" s="132">
        <v>3</v>
      </c>
    </row>
    <row r="1014" spans="1:9" ht="15" customHeight="1" x14ac:dyDescent="0.25">
      <c r="A1014" s="132" t="s">
        <v>250</v>
      </c>
      <c r="B1014" s="132" t="s">
        <v>327</v>
      </c>
      <c r="C1014" s="132">
        <v>27</v>
      </c>
      <c r="D1014" s="132" t="str">
        <f t="shared" si="73"/>
        <v>Female BB RS-550 27</v>
      </c>
      <c r="E1014" s="132">
        <v>7</v>
      </c>
      <c r="F1014" s="132">
        <v>5</v>
      </c>
      <c r="G1014" s="132">
        <v>0</v>
      </c>
      <c r="H1014" s="132">
        <v>0</v>
      </c>
      <c r="I1014" s="132">
        <v>3</v>
      </c>
    </row>
    <row r="1015" spans="1:9" ht="15" customHeight="1" x14ac:dyDescent="0.25">
      <c r="A1015" s="132" t="s">
        <v>250</v>
      </c>
      <c r="B1015" s="132" t="s">
        <v>327</v>
      </c>
      <c r="C1015" s="132">
        <v>28</v>
      </c>
      <c r="D1015" s="132" t="str">
        <f t="shared" si="73"/>
        <v>Female BB RS-550 28</v>
      </c>
      <c r="E1015" s="132">
        <v>7</v>
      </c>
      <c r="F1015" s="132">
        <v>5</v>
      </c>
      <c r="G1015" s="132">
        <v>0</v>
      </c>
      <c r="H1015" s="132">
        <v>0</v>
      </c>
      <c r="I1015" s="132">
        <v>3</v>
      </c>
    </row>
    <row r="1016" spans="1:9" ht="15" customHeight="1" x14ac:dyDescent="0.25">
      <c r="A1016" s="132" t="s">
        <v>250</v>
      </c>
      <c r="B1016" s="132" t="s">
        <v>327</v>
      </c>
      <c r="C1016" s="132">
        <v>30</v>
      </c>
      <c r="D1016" s="132" t="str">
        <f t="shared" si="73"/>
        <v>Female BB RS-550 30</v>
      </c>
      <c r="E1016" s="132">
        <v>5</v>
      </c>
      <c r="F1016" s="132">
        <v>5</v>
      </c>
      <c r="G1016" s="132">
        <v>0</v>
      </c>
      <c r="H1016" s="132">
        <v>0</v>
      </c>
      <c r="I1016" s="132">
        <v>3</v>
      </c>
    </row>
    <row r="1017" spans="1:9" ht="15" customHeight="1" x14ac:dyDescent="0.25">
      <c r="A1017" s="132" t="s">
        <v>250</v>
      </c>
      <c r="B1017" s="132" t="s">
        <v>327</v>
      </c>
      <c r="C1017" s="132">
        <v>35</v>
      </c>
      <c r="D1017" s="132" t="str">
        <f t="shared" si="73"/>
        <v>Female BB RS-550 35</v>
      </c>
      <c r="E1017" s="132">
        <v>5</v>
      </c>
      <c r="F1017" s="132">
        <v>4</v>
      </c>
      <c r="G1017" s="132">
        <v>0</v>
      </c>
      <c r="H1017" s="132">
        <v>0</v>
      </c>
      <c r="I1017" s="132">
        <v>1</v>
      </c>
    </row>
    <row r="1018" spans="1:9" ht="15" customHeight="1" x14ac:dyDescent="0.25">
      <c r="A1018" s="132" t="s">
        <v>250</v>
      </c>
      <c r="B1018" s="132" t="s">
        <v>327</v>
      </c>
      <c r="C1018" s="132">
        <v>36</v>
      </c>
      <c r="D1018" s="132" t="str">
        <f t="shared" si="73"/>
        <v>Female BB RS-550 36</v>
      </c>
      <c r="E1018" s="132">
        <v>5</v>
      </c>
      <c r="F1018" s="132">
        <v>4</v>
      </c>
      <c r="G1018" s="132">
        <v>0</v>
      </c>
      <c r="H1018" s="132">
        <v>0</v>
      </c>
      <c r="I1018" s="132">
        <v>1</v>
      </c>
    </row>
    <row r="1019" spans="1:9" ht="15" customHeight="1" x14ac:dyDescent="0.25">
      <c r="A1019" s="132" t="s">
        <v>250</v>
      </c>
      <c r="B1019" s="132" t="s">
        <v>327</v>
      </c>
      <c r="C1019" s="132">
        <v>40</v>
      </c>
      <c r="D1019" s="132" t="str">
        <f t="shared" si="73"/>
        <v>Female BB RS-550 40</v>
      </c>
      <c r="E1019" s="132">
        <v>5</v>
      </c>
      <c r="F1019" s="132">
        <v>3</v>
      </c>
      <c r="G1019" s="132">
        <v>0</v>
      </c>
      <c r="H1019" s="132">
        <v>0</v>
      </c>
      <c r="I1019" s="132">
        <v>1</v>
      </c>
    </row>
    <row r="1020" spans="1:9" ht="15" customHeight="1" x14ac:dyDescent="0.25">
      <c r="A1020" s="132" t="s">
        <v>250</v>
      </c>
      <c r="B1020" s="132" t="s">
        <v>327</v>
      </c>
      <c r="C1020" s="132">
        <v>45</v>
      </c>
      <c r="D1020" s="132" t="str">
        <f t="shared" si="73"/>
        <v>Female BB RS-550 45</v>
      </c>
      <c r="E1020" s="132">
        <v>5</v>
      </c>
      <c r="F1020" s="132">
        <v>3</v>
      </c>
      <c r="G1020" s="132">
        <v>0</v>
      </c>
      <c r="H1020" s="132">
        <v>0</v>
      </c>
      <c r="I1020" s="132">
        <v>1</v>
      </c>
    </row>
    <row r="1021" spans="1:9" ht="15" customHeight="1" x14ac:dyDescent="0.25">
      <c r="A1021" s="132" t="s">
        <v>250</v>
      </c>
      <c r="B1021" s="132" t="s">
        <v>327</v>
      </c>
      <c r="C1021" s="132">
        <v>49</v>
      </c>
      <c r="D1021" s="132" t="str">
        <f t="shared" si="73"/>
        <v>Female BB RS-550 49</v>
      </c>
      <c r="E1021" s="132">
        <v>5</v>
      </c>
      <c r="F1021" s="132">
        <v>3</v>
      </c>
      <c r="G1021" s="132">
        <v>0</v>
      </c>
      <c r="H1021" s="132">
        <v>0</v>
      </c>
      <c r="I1021" s="132">
        <v>1</v>
      </c>
    </row>
    <row r="1022" spans="1:9" ht="15" customHeight="1" x14ac:dyDescent="0.25">
      <c r="A1022" s="132" t="s">
        <v>250</v>
      </c>
      <c r="B1022" s="132" t="s">
        <v>327</v>
      </c>
      <c r="C1022" s="132">
        <v>50</v>
      </c>
      <c r="D1022" s="132" t="str">
        <f t="shared" si="73"/>
        <v>Female BB RS-550 50</v>
      </c>
      <c r="E1022" s="132">
        <v>5</v>
      </c>
      <c r="F1022" s="132">
        <v>3</v>
      </c>
      <c r="G1022" s="132">
        <v>0</v>
      </c>
      <c r="H1022" s="132">
        <v>0</v>
      </c>
      <c r="I1022" s="132">
        <v>1</v>
      </c>
    </row>
    <row r="1023" spans="1:9" ht="15" customHeight="1" x14ac:dyDescent="0.25">
      <c r="A1023" s="132" t="s">
        <v>250</v>
      </c>
      <c r="B1023" s="132" t="s">
        <v>327</v>
      </c>
      <c r="C1023" s="132">
        <v>63</v>
      </c>
      <c r="D1023" s="132" t="str">
        <f t="shared" si="73"/>
        <v>Female BB RS-550 63</v>
      </c>
      <c r="E1023" s="132">
        <v>4</v>
      </c>
      <c r="F1023" s="132">
        <v>1</v>
      </c>
      <c r="G1023" s="132">
        <v>0</v>
      </c>
      <c r="H1023" s="132">
        <v>0</v>
      </c>
      <c r="I1023" s="132">
        <v>1</v>
      </c>
    </row>
    <row r="1024" spans="1:9" ht="15" customHeight="1" x14ac:dyDescent="0.25">
      <c r="A1024" s="132" t="s">
        <v>250</v>
      </c>
      <c r="B1024" s="132" t="s">
        <v>327</v>
      </c>
      <c r="C1024" s="132">
        <v>70</v>
      </c>
      <c r="D1024" s="132" t="str">
        <f t="shared" si="73"/>
        <v>Female BB RS-550 70</v>
      </c>
      <c r="E1024" s="132">
        <v>4</v>
      </c>
      <c r="F1024" s="132">
        <v>1</v>
      </c>
      <c r="G1024" s="132">
        <v>0</v>
      </c>
      <c r="H1024" s="132">
        <v>0</v>
      </c>
      <c r="I1024" s="132">
        <v>1</v>
      </c>
    </row>
    <row r="1025" spans="1:9" ht="15" customHeight="1" x14ac:dyDescent="0.25">
      <c r="A1025" s="132" t="s">
        <v>250</v>
      </c>
      <c r="B1025" s="132" t="s">
        <v>327</v>
      </c>
      <c r="C1025" s="132">
        <v>81</v>
      </c>
      <c r="D1025" s="132" t="str">
        <f t="shared" si="73"/>
        <v>Female BB RS-550 81</v>
      </c>
      <c r="E1025" s="132">
        <v>3</v>
      </c>
      <c r="F1025" s="132">
        <v>1</v>
      </c>
      <c r="G1025" s="132">
        <v>0</v>
      </c>
      <c r="H1025" s="132">
        <v>0</v>
      </c>
      <c r="I1025" s="132">
        <v>1</v>
      </c>
    </row>
    <row r="1026" spans="1:9" ht="15" customHeight="1" x14ac:dyDescent="0.25">
      <c r="A1026" s="132" t="s">
        <v>250</v>
      </c>
      <c r="B1026" s="132" t="s">
        <v>327</v>
      </c>
      <c r="C1026" s="132">
        <v>90</v>
      </c>
      <c r="D1026" s="132" t="str">
        <f t="shared" si="73"/>
        <v>Female BB RS-550 90</v>
      </c>
      <c r="E1026" s="132">
        <v>3</v>
      </c>
      <c r="F1026" s="132">
        <v>1</v>
      </c>
      <c r="G1026" s="132">
        <v>0</v>
      </c>
      <c r="H1026" s="132">
        <v>0</v>
      </c>
      <c r="I1026" s="132">
        <v>1</v>
      </c>
    </row>
    <row r="1027" spans="1:9" ht="15" customHeight="1" x14ac:dyDescent="0.25">
      <c r="A1027" s="132" t="s">
        <v>250</v>
      </c>
      <c r="B1027" s="132" t="s">
        <v>327</v>
      </c>
      <c r="C1027" s="132">
        <v>100</v>
      </c>
      <c r="D1027" s="132" t="str">
        <f t="shared" si="73"/>
        <v>Female BB RS-550 100</v>
      </c>
      <c r="E1027" s="132">
        <v>3</v>
      </c>
      <c r="F1027" s="132">
        <v>0</v>
      </c>
      <c r="G1027" s="132">
        <v>0</v>
      </c>
      <c r="H1027" s="132">
        <v>0</v>
      </c>
      <c r="I1027" s="132">
        <v>0</v>
      </c>
    </row>
    <row r="1028" spans="1:9" ht="15" customHeight="1" x14ac:dyDescent="0.25">
      <c r="A1028" s="132" t="s">
        <v>250</v>
      </c>
      <c r="B1028" s="132" t="s">
        <v>328</v>
      </c>
      <c r="C1028" s="132">
        <v>-3</v>
      </c>
      <c r="D1028" s="132" t="str">
        <f t="shared" ref="D1028:D1033" si="74">A1028&amp;" "&amp;B1028&amp;" "&amp;C1028</f>
        <v>Female BB RS-775 -3</v>
      </c>
      <c r="E1028" s="132">
        <v>1</v>
      </c>
      <c r="F1028" s="132">
        <v>1</v>
      </c>
      <c r="G1028" s="132">
        <v>1</v>
      </c>
      <c r="H1028" s="132">
        <v>0</v>
      </c>
      <c r="I1028" s="132">
        <v>1</v>
      </c>
    </row>
    <row r="1029" spans="1:9" ht="15" customHeight="1" x14ac:dyDescent="0.25">
      <c r="A1029" s="132" t="s">
        <v>250</v>
      </c>
      <c r="B1029" s="132" t="s">
        <v>328</v>
      </c>
      <c r="C1029" s="132">
        <v>-4</v>
      </c>
      <c r="D1029" s="132" t="str">
        <f t="shared" si="74"/>
        <v>Female BB RS-775 -4</v>
      </c>
      <c r="E1029" s="132">
        <v>1</v>
      </c>
      <c r="F1029" s="132">
        <v>1</v>
      </c>
      <c r="G1029" s="132">
        <v>1</v>
      </c>
      <c r="H1029" s="132">
        <v>0</v>
      </c>
      <c r="I1029" s="132">
        <v>1</v>
      </c>
    </row>
    <row r="1030" spans="1:9" ht="15" customHeight="1" x14ac:dyDescent="0.25">
      <c r="A1030" s="132" t="s">
        <v>250</v>
      </c>
      <c r="B1030" s="132" t="s">
        <v>328</v>
      </c>
      <c r="C1030" s="132">
        <v>-5</v>
      </c>
      <c r="D1030" s="132" t="str">
        <f t="shared" si="74"/>
        <v>Female BB RS-775 -5</v>
      </c>
      <c r="E1030" s="132">
        <v>1</v>
      </c>
      <c r="F1030" s="132">
        <v>1</v>
      </c>
      <c r="G1030" s="132">
        <v>1</v>
      </c>
      <c r="H1030" s="132">
        <v>0</v>
      </c>
      <c r="I1030" s="132">
        <v>1</v>
      </c>
    </row>
    <row r="1031" spans="1:9" ht="15" customHeight="1" x14ac:dyDescent="0.25">
      <c r="A1031" s="132" t="s">
        <v>250</v>
      </c>
      <c r="B1031" s="132" t="s">
        <v>328</v>
      </c>
      <c r="C1031" s="132">
        <v>-7</v>
      </c>
      <c r="D1031" s="132" t="str">
        <f t="shared" si="74"/>
        <v>Female BB RS-775 -7</v>
      </c>
      <c r="E1031" s="132">
        <v>1</v>
      </c>
      <c r="F1031" s="132">
        <v>1</v>
      </c>
      <c r="G1031" s="132">
        <v>0</v>
      </c>
      <c r="H1031" s="132">
        <v>0</v>
      </c>
      <c r="I1031" s="132">
        <v>1</v>
      </c>
    </row>
    <row r="1032" spans="1:9" ht="15" customHeight="1" x14ac:dyDescent="0.25">
      <c r="A1032" s="132" t="s">
        <v>250</v>
      </c>
      <c r="B1032" s="132" t="s">
        <v>328</v>
      </c>
      <c r="C1032" s="132">
        <v>-9</v>
      </c>
      <c r="D1032" s="132" t="str">
        <f t="shared" si="74"/>
        <v>Female BB RS-775 -9</v>
      </c>
      <c r="E1032" s="132">
        <v>1</v>
      </c>
      <c r="F1032" s="132">
        <v>1</v>
      </c>
      <c r="G1032" s="132">
        <v>0</v>
      </c>
      <c r="H1032" s="132">
        <v>0</v>
      </c>
      <c r="I1032" s="132">
        <v>1</v>
      </c>
    </row>
    <row r="1033" spans="1:9" ht="15" customHeight="1" x14ac:dyDescent="0.25">
      <c r="A1033" s="132" t="s">
        <v>250</v>
      </c>
      <c r="B1033" s="132" t="s">
        <v>328</v>
      </c>
      <c r="C1033" s="132">
        <v>-10</v>
      </c>
      <c r="D1033" s="132" t="str">
        <f t="shared" si="74"/>
        <v>Female BB RS-775 -10</v>
      </c>
      <c r="E1033" s="132">
        <v>1</v>
      </c>
      <c r="F1033" s="132">
        <v>1</v>
      </c>
      <c r="G1033" s="132">
        <v>0</v>
      </c>
      <c r="H1033" s="132">
        <v>0</v>
      </c>
      <c r="I1033" s="132">
        <v>1</v>
      </c>
    </row>
    <row r="1034" spans="1:9" ht="15" customHeight="1" x14ac:dyDescent="0.25">
      <c r="A1034" s="132" t="s">
        <v>250</v>
      </c>
      <c r="B1034" s="132" t="s">
        <v>328</v>
      </c>
      <c r="C1034" s="132">
        <v>9</v>
      </c>
      <c r="D1034" s="132" t="str">
        <f t="shared" ref="D1034:D1054" si="75">A1034&amp;" "&amp;B1034&amp;" "&amp;C1034</f>
        <v>Female BB RS-775 9</v>
      </c>
      <c r="E1034" s="132">
        <v>10</v>
      </c>
      <c r="F1034" s="132">
        <v>5</v>
      </c>
      <c r="G1034" s="132">
        <v>0</v>
      </c>
      <c r="H1034" s="132">
        <v>0</v>
      </c>
      <c r="I1034" s="132">
        <v>10</v>
      </c>
    </row>
    <row r="1035" spans="1:9" ht="15" customHeight="1" x14ac:dyDescent="0.25">
      <c r="A1035" s="132" t="s">
        <v>250</v>
      </c>
      <c r="B1035" s="132" t="s">
        <v>328</v>
      </c>
      <c r="C1035" s="132">
        <v>12</v>
      </c>
      <c r="D1035" s="132" t="str">
        <f t="shared" si="75"/>
        <v>Female BB RS-775 12</v>
      </c>
      <c r="E1035" s="132">
        <v>10</v>
      </c>
      <c r="F1035" s="132">
        <v>5</v>
      </c>
      <c r="G1035" s="132">
        <v>0</v>
      </c>
      <c r="H1035" s="132">
        <v>0</v>
      </c>
      <c r="I1035" s="132">
        <v>10</v>
      </c>
    </row>
    <row r="1036" spans="1:9" ht="15" customHeight="1" x14ac:dyDescent="0.25">
      <c r="A1036" s="132" t="s">
        <v>250</v>
      </c>
      <c r="B1036" s="132" t="s">
        <v>328</v>
      </c>
      <c r="C1036" s="132">
        <v>15</v>
      </c>
      <c r="D1036" s="132" t="str">
        <f t="shared" si="75"/>
        <v>Female BB RS-775 15</v>
      </c>
      <c r="E1036" s="132">
        <v>10</v>
      </c>
      <c r="F1036" s="132">
        <v>5</v>
      </c>
      <c r="G1036" s="132">
        <v>0</v>
      </c>
      <c r="H1036" s="132">
        <v>0</v>
      </c>
      <c r="I1036" s="132">
        <v>7</v>
      </c>
    </row>
    <row r="1037" spans="1:9" ht="15" customHeight="1" x14ac:dyDescent="0.25">
      <c r="A1037" s="132" t="s">
        <v>250</v>
      </c>
      <c r="B1037" s="132" t="s">
        <v>328</v>
      </c>
      <c r="C1037" s="132">
        <v>16</v>
      </c>
      <c r="D1037" s="132" t="str">
        <f t="shared" si="75"/>
        <v>Female BB RS-775 16</v>
      </c>
      <c r="E1037" s="132">
        <v>10</v>
      </c>
      <c r="F1037" s="132">
        <v>5</v>
      </c>
      <c r="G1037" s="132">
        <v>0</v>
      </c>
      <c r="H1037" s="132">
        <v>0</v>
      </c>
      <c r="I1037" s="132">
        <v>7</v>
      </c>
    </row>
    <row r="1038" spans="1:9" ht="15" customHeight="1" x14ac:dyDescent="0.25">
      <c r="A1038" s="132" t="s">
        <v>250</v>
      </c>
      <c r="B1038" s="132" t="s">
        <v>328</v>
      </c>
      <c r="C1038" s="132">
        <v>20</v>
      </c>
      <c r="D1038" s="132" t="str">
        <f t="shared" si="75"/>
        <v>Female BB RS-775 20</v>
      </c>
      <c r="E1038" s="132">
        <v>10</v>
      </c>
      <c r="F1038" s="132">
        <v>4</v>
      </c>
      <c r="G1038" s="132">
        <v>0</v>
      </c>
      <c r="H1038" s="132">
        <v>0</v>
      </c>
      <c r="I1038" s="132">
        <v>5</v>
      </c>
    </row>
    <row r="1039" spans="1:9" ht="15" customHeight="1" x14ac:dyDescent="0.25">
      <c r="A1039" s="132" t="s">
        <v>250</v>
      </c>
      <c r="B1039" s="132" t="s">
        <v>328</v>
      </c>
      <c r="C1039" s="132">
        <v>21</v>
      </c>
      <c r="D1039" s="132" t="str">
        <f t="shared" si="75"/>
        <v>Female BB RS-775 21</v>
      </c>
      <c r="E1039" s="132">
        <v>10</v>
      </c>
      <c r="F1039" s="132">
        <v>4</v>
      </c>
      <c r="G1039" s="132">
        <v>0</v>
      </c>
      <c r="H1039" s="132">
        <v>0</v>
      </c>
      <c r="I1039" s="132">
        <v>5</v>
      </c>
    </row>
    <row r="1040" spans="1:9" ht="15" customHeight="1" x14ac:dyDescent="0.25">
      <c r="A1040" s="132" t="s">
        <v>250</v>
      </c>
      <c r="B1040" s="132" t="s">
        <v>328</v>
      </c>
      <c r="C1040" s="132">
        <v>25</v>
      </c>
      <c r="D1040" s="132" t="str">
        <f t="shared" si="75"/>
        <v>Female BB RS-775 25</v>
      </c>
      <c r="E1040" s="132">
        <v>7</v>
      </c>
      <c r="F1040" s="132">
        <v>3</v>
      </c>
      <c r="G1040" s="132">
        <v>0</v>
      </c>
      <c r="H1040" s="132">
        <v>0</v>
      </c>
      <c r="I1040" s="132">
        <v>5</v>
      </c>
    </row>
    <row r="1041" spans="1:9" ht="15" customHeight="1" x14ac:dyDescent="0.25">
      <c r="A1041" s="132" t="s">
        <v>250</v>
      </c>
      <c r="B1041" s="132" t="s">
        <v>328</v>
      </c>
      <c r="C1041" s="132">
        <v>27</v>
      </c>
      <c r="D1041" s="132" t="str">
        <f t="shared" si="75"/>
        <v>Female BB RS-775 27</v>
      </c>
      <c r="E1041" s="132">
        <v>7</v>
      </c>
      <c r="F1041" s="132">
        <v>3</v>
      </c>
      <c r="G1041" s="132">
        <v>0</v>
      </c>
      <c r="H1041" s="132">
        <v>0</v>
      </c>
      <c r="I1041" s="132">
        <v>4</v>
      </c>
    </row>
    <row r="1042" spans="1:9" ht="15" customHeight="1" x14ac:dyDescent="0.25">
      <c r="A1042" s="132" t="s">
        <v>250</v>
      </c>
      <c r="B1042" s="132" t="s">
        <v>328</v>
      </c>
      <c r="C1042" s="132">
        <v>28</v>
      </c>
      <c r="D1042" s="132" t="str">
        <f t="shared" si="75"/>
        <v>Female BB RS-775 28</v>
      </c>
      <c r="E1042" s="132">
        <v>7</v>
      </c>
      <c r="F1042" s="132">
        <v>3</v>
      </c>
      <c r="G1042" s="132">
        <v>0</v>
      </c>
      <c r="H1042" s="132">
        <v>0</v>
      </c>
      <c r="I1042" s="132">
        <v>4</v>
      </c>
    </row>
    <row r="1043" spans="1:9" ht="15" customHeight="1" x14ac:dyDescent="0.25">
      <c r="A1043" s="132" t="s">
        <v>250</v>
      </c>
      <c r="B1043" s="132" t="s">
        <v>328</v>
      </c>
      <c r="C1043" s="132">
        <v>30</v>
      </c>
      <c r="D1043" s="132" t="str">
        <f t="shared" si="75"/>
        <v>Female BB RS-775 30</v>
      </c>
      <c r="E1043" s="132">
        <v>7</v>
      </c>
      <c r="F1043" s="132">
        <v>3</v>
      </c>
      <c r="G1043" s="132">
        <v>0</v>
      </c>
      <c r="H1043" s="132">
        <v>0</v>
      </c>
      <c r="I1043" s="132">
        <v>4</v>
      </c>
    </row>
    <row r="1044" spans="1:9" ht="15" customHeight="1" x14ac:dyDescent="0.25">
      <c r="A1044" s="132" t="s">
        <v>250</v>
      </c>
      <c r="B1044" s="132" t="s">
        <v>328</v>
      </c>
      <c r="C1044" s="132">
        <v>35</v>
      </c>
      <c r="D1044" s="132" t="str">
        <f t="shared" si="75"/>
        <v>Female BB RS-775 35</v>
      </c>
      <c r="E1044" s="132">
        <v>5</v>
      </c>
      <c r="F1044" s="132">
        <v>1</v>
      </c>
      <c r="G1044" s="132">
        <v>0</v>
      </c>
      <c r="H1044" s="132">
        <v>0</v>
      </c>
      <c r="I1044" s="132">
        <v>3</v>
      </c>
    </row>
    <row r="1045" spans="1:9" ht="15" customHeight="1" x14ac:dyDescent="0.25">
      <c r="A1045" s="132" t="s">
        <v>250</v>
      </c>
      <c r="B1045" s="132" t="s">
        <v>328</v>
      </c>
      <c r="C1045" s="132">
        <v>36</v>
      </c>
      <c r="D1045" s="132" t="str">
        <f t="shared" si="75"/>
        <v>Female BB RS-775 36</v>
      </c>
      <c r="E1045" s="132">
        <v>5</v>
      </c>
      <c r="F1045" s="132">
        <v>1</v>
      </c>
      <c r="G1045" s="132">
        <v>0</v>
      </c>
      <c r="H1045" s="132">
        <v>0</v>
      </c>
      <c r="I1045" s="132">
        <v>3</v>
      </c>
    </row>
    <row r="1046" spans="1:9" ht="15" customHeight="1" x14ac:dyDescent="0.25">
      <c r="A1046" s="132" t="s">
        <v>250</v>
      </c>
      <c r="B1046" s="132" t="s">
        <v>328</v>
      </c>
      <c r="C1046" s="132">
        <v>40</v>
      </c>
      <c r="D1046" s="132" t="str">
        <f t="shared" si="75"/>
        <v>Female BB RS-775 40</v>
      </c>
      <c r="E1046" s="132">
        <v>5</v>
      </c>
      <c r="F1046" s="132">
        <v>1</v>
      </c>
      <c r="G1046" s="132">
        <v>0</v>
      </c>
      <c r="H1046" s="132">
        <v>0</v>
      </c>
      <c r="I1046" s="132">
        <v>3</v>
      </c>
    </row>
    <row r="1047" spans="1:9" ht="15" customHeight="1" x14ac:dyDescent="0.25">
      <c r="A1047" s="132" t="s">
        <v>250</v>
      </c>
      <c r="B1047" s="132" t="s">
        <v>328</v>
      </c>
      <c r="C1047" s="132">
        <v>45</v>
      </c>
      <c r="D1047" s="132" t="str">
        <f t="shared" si="75"/>
        <v>Female BB RS-775 45</v>
      </c>
      <c r="E1047" s="132">
        <v>5</v>
      </c>
      <c r="F1047" s="132">
        <v>1</v>
      </c>
      <c r="G1047" s="132">
        <v>0</v>
      </c>
      <c r="H1047" s="132">
        <v>0</v>
      </c>
      <c r="I1047" s="132">
        <v>1</v>
      </c>
    </row>
    <row r="1048" spans="1:9" ht="15" customHeight="1" x14ac:dyDescent="0.25">
      <c r="A1048" s="132" t="s">
        <v>250</v>
      </c>
      <c r="B1048" s="132" t="s">
        <v>328</v>
      </c>
      <c r="C1048" s="132">
        <v>49</v>
      </c>
      <c r="D1048" s="132" t="str">
        <f t="shared" si="75"/>
        <v>Female BB RS-775 49</v>
      </c>
      <c r="E1048" s="132">
        <v>5</v>
      </c>
      <c r="F1048" s="132">
        <v>1</v>
      </c>
      <c r="G1048" s="132">
        <v>0</v>
      </c>
      <c r="H1048" s="132">
        <v>0</v>
      </c>
      <c r="I1048" s="132">
        <v>1</v>
      </c>
    </row>
    <row r="1049" spans="1:9" ht="15" customHeight="1" x14ac:dyDescent="0.25">
      <c r="A1049" s="132" t="s">
        <v>250</v>
      </c>
      <c r="B1049" s="132" t="s">
        <v>328</v>
      </c>
      <c r="C1049" s="132">
        <v>50</v>
      </c>
      <c r="D1049" s="132" t="str">
        <f t="shared" si="75"/>
        <v>Female BB RS-775 50</v>
      </c>
      <c r="E1049" s="132">
        <v>5</v>
      </c>
      <c r="F1049" s="132">
        <v>1</v>
      </c>
      <c r="G1049" s="132">
        <v>0</v>
      </c>
      <c r="H1049" s="132">
        <v>0</v>
      </c>
      <c r="I1049" s="132">
        <v>1</v>
      </c>
    </row>
    <row r="1050" spans="1:9" ht="15" customHeight="1" x14ac:dyDescent="0.25">
      <c r="A1050" s="132" t="s">
        <v>250</v>
      </c>
      <c r="B1050" s="132" t="s">
        <v>328</v>
      </c>
      <c r="C1050" s="132">
        <v>63</v>
      </c>
      <c r="D1050" s="132" t="str">
        <f t="shared" si="75"/>
        <v>Female BB RS-775 63</v>
      </c>
      <c r="E1050" s="132">
        <v>5</v>
      </c>
      <c r="F1050" s="132">
        <v>0</v>
      </c>
      <c r="G1050" s="132">
        <v>0</v>
      </c>
      <c r="H1050" s="132">
        <v>0</v>
      </c>
      <c r="I1050" s="132">
        <v>1</v>
      </c>
    </row>
    <row r="1051" spans="1:9" ht="15" customHeight="1" x14ac:dyDescent="0.25">
      <c r="A1051" s="132" t="s">
        <v>250</v>
      </c>
      <c r="B1051" s="132" t="s">
        <v>328</v>
      </c>
      <c r="C1051" s="132">
        <v>70</v>
      </c>
      <c r="D1051" s="132" t="str">
        <f t="shared" si="75"/>
        <v>Female BB RS-775 70</v>
      </c>
      <c r="E1051" s="132">
        <v>4</v>
      </c>
      <c r="F1051" s="132">
        <v>0</v>
      </c>
      <c r="G1051" s="132">
        <v>0</v>
      </c>
      <c r="H1051" s="132">
        <v>0</v>
      </c>
      <c r="I1051" s="132">
        <v>1</v>
      </c>
    </row>
    <row r="1052" spans="1:9" ht="15" customHeight="1" x14ac:dyDescent="0.25">
      <c r="A1052" s="132" t="s">
        <v>250</v>
      </c>
      <c r="B1052" s="132" t="s">
        <v>328</v>
      </c>
      <c r="C1052" s="132">
        <v>81</v>
      </c>
      <c r="D1052" s="132" t="str">
        <f t="shared" si="75"/>
        <v>Female BB RS-775 81</v>
      </c>
      <c r="E1052" s="132">
        <v>4</v>
      </c>
      <c r="F1052" s="132">
        <v>0</v>
      </c>
      <c r="G1052" s="132">
        <v>0</v>
      </c>
      <c r="H1052" s="132">
        <v>0</v>
      </c>
      <c r="I1052" s="132">
        <v>1</v>
      </c>
    </row>
    <row r="1053" spans="1:9" ht="15" customHeight="1" x14ac:dyDescent="0.25">
      <c r="A1053" s="132" t="s">
        <v>250</v>
      </c>
      <c r="B1053" s="132" t="s">
        <v>328</v>
      </c>
      <c r="C1053" s="132">
        <v>90</v>
      </c>
      <c r="D1053" s="132" t="str">
        <f t="shared" si="75"/>
        <v>Female BB RS-775 90</v>
      </c>
      <c r="E1053" s="132">
        <v>3</v>
      </c>
      <c r="F1053" s="132">
        <v>0</v>
      </c>
      <c r="G1053" s="132">
        <v>0</v>
      </c>
      <c r="H1053" s="132">
        <v>0</v>
      </c>
      <c r="I1053" s="132">
        <v>1</v>
      </c>
    </row>
    <row r="1054" spans="1:9" ht="15" customHeight="1" x14ac:dyDescent="0.25">
      <c r="A1054" s="132" t="s">
        <v>250</v>
      </c>
      <c r="B1054" s="132" t="s">
        <v>328</v>
      </c>
      <c r="C1054" s="132">
        <v>100</v>
      </c>
      <c r="D1054" s="132" t="str">
        <f t="shared" si="75"/>
        <v>Female BB RS-775 100</v>
      </c>
      <c r="E1054" s="132">
        <v>3</v>
      </c>
      <c r="F1054" s="132">
        <v>0</v>
      </c>
      <c r="G1054" s="132">
        <v>0</v>
      </c>
      <c r="H1054" s="132">
        <v>0</v>
      </c>
      <c r="I1054" s="132">
        <v>1</v>
      </c>
    </row>
    <row r="1055" spans="1:9" ht="15" customHeight="1" x14ac:dyDescent="0.25">
      <c r="A1055" s="132" t="s">
        <v>250</v>
      </c>
      <c r="B1055" s="132" t="s">
        <v>8</v>
      </c>
      <c r="C1055" s="132">
        <v>-3</v>
      </c>
      <c r="D1055" s="132" t="str">
        <f t="shared" ref="D1055:D1060" si="76">A1055&amp;" "&amp;B1055&amp;" "&amp;C1055</f>
        <v>Female BAG Motor -3</v>
      </c>
      <c r="E1055" s="132">
        <v>1</v>
      </c>
      <c r="F1055" s="132">
        <v>1</v>
      </c>
      <c r="G1055" s="132">
        <v>1</v>
      </c>
      <c r="H1055" s="132">
        <v>0</v>
      </c>
      <c r="I1055" s="132">
        <v>1</v>
      </c>
    </row>
    <row r="1056" spans="1:9" ht="15" customHeight="1" x14ac:dyDescent="0.25">
      <c r="A1056" s="132" t="s">
        <v>250</v>
      </c>
      <c r="B1056" s="132" t="s">
        <v>8</v>
      </c>
      <c r="C1056" s="132">
        <v>-4</v>
      </c>
      <c r="D1056" s="132" t="str">
        <f t="shared" si="76"/>
        <v>Female BAG Motor -4</v>
      </c>
      <c r="E1056" s="132">
        <v>1</v>
      </c>
      <c r="F1056" s="132">
        <v>1</v>
      </c>
      <c r="G1056" s="132">
        <v>1</v>
      </c>
      <c r="H1056" s="132">
        <v>0</v>
      </c>
      <c r="I1056" s="132">
        <v>1</v>
      </c>
    </row>
    <row r="1057" spans="1:9" ht="15" customHeight="1" x14ac:dyDescent="0.25">
      <c r="A1057" s="132" t="s">
        <v>250</v>
      </c>
      <c r="B1057" s="132" t="s">
        <v>8</v>
      </c>
      <c r="C1057" s="132">
        <v>-5</v>
      </c>
      <c r="D1057" s="132" t="str">
        <f t="shared" si="76"/>
        <v>Female BAG Motor -5</v>
      </c>
      <c r="E1057" s="132">
        <v>1</v>
      </c>
      <c r="F1057" s="132">
        <v>1</v>
      </c>
      <c r="G1057" s="132">
        <v>1</v>
      </c>
      <c r="H1057" s="132">
        <v>0</v>
      </c>
      <c r="I1057" s="132">
        <v>1</v>
      </c>
    </row>
    <row r="1058" spans="1:9" ht="15" customHeight="1" x14ac:dyDescent="0.25">
      <c r="A1058" s="132" t="s">
        <v>250</v>
      </c>
      <c r="B1058" s="132" t="s">
        <v>8</v>
      </c>
      <c r="C1058" s="132">
        <v>-7</v>
      </c>
      <c r="D1058" s="132" t="str">
        <f t="shared" si="76"/>
        <v>Female BAG Motor -7</v>
      </c>
      <c r="E1058" s="132">
        <v>1</v>
      </c>
      <c r="F1058" s="132">
        <v>1</v>
      </c>
      <c r="G1058" s="132">
        <v>1</v>
      </c>
      <c r="H1058" s="132">
        <v>0</v>
      </c>
      <c r="I1058" s="132">
        <v>1</v>
      </c>
    </row>
    <row r="1059" spans="1:9" ht="15" customHeight="1" x14ac:dyDescent="0.25">
      <c r="A1059" s="132" t="s">
        <v>250</v>
      </c>
      <c r="B1059" s="132" t="s">
        <v>8</v>
      </c>
      <c r="C1059" s="132">
        <v>-9</v>
      </c>
      <c r="D1059" s="132" t="str">
        <f t="shared" si="76"/>
        <v>Female BAG Motor -9</v>
      </c>
      <c r="E1059" s="132">
        <v>1</v>
      </c>
      <c r="F1059" s="132">
        <v>1</v>
      </c>
      <c r="G1059" s="132">
        <v>0</v>
      </c>
      <c r="H1059" s="132">
        <v>0</v>
      </c>
      <c r="I1059" s="132">
        <v>1</v>
      </c>
    </row>
    <row r="1060" spans="1:9" ht="15" customHeight="1" x14ac:dyDescent="0.25">
      <c r="A1060" s="132" t="s">
        <v>250</v>
      </c>
      <c r="B1060" s="132" t="s">
        <v>8</v>
      </c>
      <c r="C1060" s="132">
        <v>-10</v>
      </c>
      <c r="D1060" s="132" t="str">
        <f t="shared" si="76"/>
        <v>Female BAG Motor -10</v>
      </c>
      <c r="E1060" s="132">
        <v>1</v>
      </c>
      <c r="F1060" s="132">
        <v>1</v>
      </c>
      <c r="G1060" s="132">
        <v>0</v>
      </c>
      <c r="H1060" s="132">
        <v>0</v>
      </c>
      <c r="I1060" s="132">
        <v>1</v>
      </c>
    </row>
    <row r="1061" spans="1:9" ht="15" customHeight="1" x14ac:dyDescent="0.25">
      <c r="A1061" s="132" t="s">
        <v>250</v>
      </c>
      <c r="B1061" s="132" t="s">
        <v>8</v>
      </c>
      <c r="C1061" s="132">
        <v>9</v>
      </c>
      <c r="D1061" s="132" t="str">
        <f t="shared" ref="D1061:D1081" si="77">A1061&amp;" "&amp;B1061&amp;" "&amp;C1061</f>
        <v>Female BAG Motor 9</v>
      </c>
      <c r="E1061" s="132">
        <v>10</v>
      </c>
      <c r="F1061" s="132">
        <v>10</v>
      </c>
      <c r="G1061" s="132">
        <v>1</v>
      </c>
      <c r="H1061" s="132">
        <v>0</v>
      </c>
      <c r="I1061" s="132">
        <v>9</v>
      </c>
    </row>
    <row r="1062" spans="1:9" ht="15" customHeight="1" x14ac:dyDescent="0.25">
      <c r="A1062" s="132" t="s">
        <v>250</v>
      </c>
      <c r="B1062" s="132" t="s">
        <v>8</v>
      </c>
      <c r="C1062" s="132">
        <v>12</v>
      </c>
      <c r="D1062" s="132" t="str">
        <f t="shared" si="77"/>
        <v>Female BAG Motor 12</v>
      </c>
      <c r="E1062" s="132">
        <v>10</v>
      </c>
      <c r="F1062" s="132">
        <v>9</v>
      </c>
      <c r="G1062" s="132">
        <v>1</v>
      </c>
      <c r="H1062" s="132">
        <v>0</v>
      </c>
      <c r="I1062" s="132">
        <v>5</v>
      </c>
    </row>
    <row r="1063" spans="1:9" ht="15" customHeight="1" x14ac:dyDescent="0.25">
      <c r="A1063" s="132" t="s">
        <v>250</v>
      </c>
      <c r="B1063" s="132" t="s">
        <v>8</v>
      </c>
      <c r="C1063" s="132">
        <v>15</v>
      </c>
      <c r="D1063" s="132" t="str">
        <f t="shared" si="77"/>
        <v>Female BAG Motor 15</v>
      </c>
      <c r="E1063" s="132">
        <v>10</v>
      </c>
      <c r="F1063" s="132">
        <v>7</v>
      </c>
      <c r="G1063" s="132">
        <v>0</v>
      </c>
      <c r="H1063" s="132">
        <v>0</v>
      </c>
      <c r="I1063" s="132">
        <v>5</v>
      </c>
    </row>
    <row r="1064" spans="1:9" ht="15" customHeight="1" x14ac:dyDescent="0.25">
      <c r="A1064" s="132" t="s">
        <v>250</v>
      </c>
      <c r="B1064" s="132" t="s">
        <v>8</v>
      </c>
      <c r="C1064" s="132">
        <v>16</v>
      </c>
      <c r="D1064" s="132" t="str">
        <f t="shared" si="77"/>
        <v>Female BAG Motor 16</v>
      </c>
      <c r="E1064" s="132">
        <v>10</v>
      </c>
      <c r="F1064" s="132">
        <v>5</v>
      </c>
      <c r="G1064" s="132">
        <v>0</v>
      </c>
      <c r="H1064" s="132">
        <v>0</v>
      </c>
      <c r="I1064" s="132">
        <v>5</v>
      </c>
    </row>
    <row r="1065" spans="1:9" ht="15" customHeight="1" x14ac:dyDescent="0.25">
      <c r="A1065" s="132" t="s">
        <v>250</v>
      </c>
      <c r="B1065" s="132" t="s">
        <v>8</v>
      </c>
      <c r="C1065" s="132">
        <v>20</v>
      </c>
      <c r="D1065" s="132" t="str">
        <f t="shared" si="77"/>
        <v>Female BAG Motor 20</v>
      </c>
      <c r="E1065" s="132">
        <v>9</v>
      </c>
      <c r="F1065" s="132">
        <v>5</v>
      </c>
      <c r="G1065" s="132">
        <v>0</v>
      </c>
      <c r="H1065" s="132">
        <v>0</v>
      </c>
      <c r="I1065" s="132">
        <v>4</v>
      </c>
    </row>
    <row r="1066" spans="1:9" ht="15" customHeight="1" x14ac:dyDescent="0.25">
      <c r="A1066" s="132" t="s">
        <v>250</v>
      </c>
      <c r="B1066" s="132" t="s">
        <v>8</v>
      </c>
      <c r="C1066" s="132">
        <v>21</v>
      </c>
      <c r="D1066" s="132" t="str">
        <f t="shared" si="77"/>
        <v>Female BAG Motor 21</v>
      </c>
      <c r="E1066" s="132">
        <v>9</v>
      </c>
      <c r="F1066" s="132">
        <v>5</v>
      </c>
      <c r="G1066" s="132">
        <v>0</v>
      </c>
      <c r="H1066" s="132">
        <v>0</v>
      </c>
      <c r="I1066" s="132">
        <v>3</v>
      </c>
    </row>
    <row r="1067" spans="1:9" ht="15" customHeight="1" x14ac:dyDescent="0.25">
      <c r="A1067" s="132" t="s">
        <v>250</v>
      </c>
      <c r="B1067" s="132" t="s">
        <v>8</v>
      </c>
      <c r="C1067" s="132">
        <v>25</v>
      </c>
      <c r="D1067" s="132" t="str">
        <f t="shared" si="77"/>
        <v>Female BAG Motor 25</v>
      </c>
      <c r="E1067" s="132">
        <v>7</v>
      </c>
      <c r="F1067" s="132">
        <v>5</v>
      </c>
      <c r="G1067" s="132">
        <v>0</v>
      </c>
      <c r="H1067" s="132">
        <v>0</v>
      </c>
      <c r="I1067" s="132">
        <v>3</v>
      </c>
    </row>
    <row r="1068" spans="1:9" ht="15" customHeight="1" x14ac:dyDescent="0.25">
      <c r="A1068" s="132" t="s">
        <v>250</v>
      </c>
      <c r="B1068" s="132" t="s">
        <v>8</v>
      </c>
      <c r="C1068" s="132">
        <v>27</v>
      </c>
      <c r="D1068" s="132" t="str">
        <f t="shared" si="77"/>
        <v>Female BAG Motor 27</v>
      </c>
      <c r="E1068" s="132">
        <v>7</v>
      </c>
      <c r="F1068" s="132">
        <v>5</v>
      </c>
      <c r="G1068" s="132">
        <v>0</v>
      </c>
      <c r="H1068" s="132">
        <v>0</v>
      </c>
      <c r="I1068" s="132">
        <v>3</v>
      </c>
    </row>
    <row r="1069" spans="1:9" ht="15" customHeight="1" x14ac:dyDescent="0.25">
      <c r="A1069" s="132" t="s">
        <v>250</v>
      </c>
      <c r="B1069" s="132" t="s">
        <v>8</v>
      </c>
      <c r="C1069" s="132">
        <v>28</v>
      </c>
      <c r="D1069" s="132" t="str">
        <f t="shared" si="77"/>
        <v>Female BAG Motor 28</v>
      </c>
      <c r="E1069" s="132">
        <v>7</v>
      </c>
      <c r="F1069" s="132">
        <v>5</v>
      </c>
      <c r="G1069" s="132">
        <v>0</v>
      </c>
      <c r="H1069" s="132">
        <v>0</v>
      </c>
      <c r="I1069" s="132">
        <v>1</v>
      </c>
    </row>
    <row r="1070" spans="1:9" ht="15" customHeight="1" x14ac:dyDescent="0.25">
      <c r="A1070" s="132" t="s">
        <v>250</v>
      </c>
      <c r="B1070" s="132" t="s">
        <v>8</v>
      </c>
      <c r="C1070" s="132">
        <v>30</v>
      </c>
      <c r="D1070" s="132" t="str">
        <f t="shared" si="77"/>
        <v>Female BAG Motor 30</v>
      </c>
      <c r="E1070" s="132">
        <v>5</v>
      </c>
      <c r="F1070" s="132">
        <v>5</v>
      </c>
      <c r="G1070" s="132">
        <v>0</v>
      </c>
      <c r="H1070" s="132">
        <v>0</v>
      </c>
      <c r="I1070" s="132">
        <v>1</v>
      </c>
    </row>
    <row r="1071" spans="1:9" ht="15" customHeight="1" x14ac:dyDescent="0.25">
      <c r="A1071" s="132" t="s">
        <v>250</v>
      </c>
      <c r="B1071" s="132" t="s">
        <v>8</v>
      </c>
      <c r="C1071" s="132">
        <v>35</v>
      </c>
      <c r="D1071" s="132" t="str">
        <f t="shared" si="77"/>
        <v>Female BAG Motor 35</v>
      </c>
      <c r="E1071" s="132">
        <v>5</v>
      </c>
      <c r="F1071" s="132">
        <v>4</v>
      </c>
      <c r="G1071" s="132">
        <v>0</v>
      </c>
      <c r="H1071" s="132">
        <v>0</v>
      </c>
      <c r="I1071" s="132">
        <v>1</v>
      </c>
    </row>
    <row r="1072" spans="1:9" ht="15" customHeight="1" x14ac:dyDescent="0.25">
      <c r="A1072" s="132" t="s">
        <v>250</v>
      </c>
      <c r="B1072" s="132" t="s">
        <v>8</v>
      </c>
      <c r="C1072" s="132">
        <v>36</v>
      </c>
      <c r="D1072" s="132" t="str">
        <f t="shared" si="77"/>
        <v>Female BAG Motor 36</v>
      </c>
      <c r="E1072" s="132">
        <v>5</v>
      </c>
      <c r="F1072" s="132">
        <v>4</v>
      </c>
      <c r="G1072" s="132">
        <v>0</v>
      </c>
      <c r="H1072" s="132">
        <v>0</v>
      </c>
      <c r="I1072" s="132">
        <v>1</v>
      </c>
    </row>
    <row r="1073" spans="1:9" ht="15" customHeight="1" x14ac:dyDescent="0.25">
      <c r="A1073" s="132" t="s">
        <v>250</v>
      </c>
      <c r="B1073" s="132" t="s">
        <v>8</v>
      </c>
      <c r="C1073" s="132">
        <v>40</v>
      </c>
      <c r="D1073" s="132" t="str">
        <f t="shared" si="77"/>
        <v>Female BAG Motor 40</v>
      </c>
      <c r="E1073" s="132">
        <v>5</v>
      </c>
      <c r="F1073" s="132">
        <v>4</v>
      </c>
      <c r="G1073" s="132">
        <v>0</v>
      </c>
      <c r="H1073" s="132">
        <v>0</v>
      </c>
      <c r="I1073" s="132">
        <v>1</v>
      </c>
    </row>
    <row r="1074" spans="1:9" ht="15" customHeight="1" x14ac:dyDescent="0.25">
      <c r="A1074" s="132" t="s">
        <v>250</v>
      </c>
      <c r="B1074" s="132" t="s">
        <v>8</v>
      </c>
      <c r="C1074" s="132">
        <v>45</v>
      </c>
      <c r="D1074" s="132" t="str">
        <f t="shared" si="77"/>
        <v>Female BAG Motor 45</v>
      </c>
      <c r="E1074" s="132">
        <v>5</v>
      </c>
      <c r="F1074" s="132">
        <v>3</v>
      </c>
      <c r="G1074" s="132">
        <v>0</v>
      </c>
      <c r="H1074" s="132">
        <v>0</v>
      </c>
      <c r="I1074" s="132">
        <v>1</v>
      </c>
    </row>
    <row r="1075" spans="1:9" ht="15" customHeight="1" x14ac:dyDescent="0.25">
      <c r="A1075" s="132" t="s">
        <v>250</v>
      </c>
      <c r="B1075" s="132" t="s">
        <v>8</v>
      </c>
      <c r="C1075" s="132">
        <v>49</v>
      </c>
      <c r="D1075" s="132" t="str">
        <f t="shared" si="77"/>
        <v>Female BAG Motor 49</v>
      </c>
      <c r="E1075" s="132">
        <v>5</v>
      </c>
      <c r="F1075" s="132">
        <v>3</v>
      </c>
      <c r="G1075" s="132">
        <v>0</v>
      </c>
      <c r="H1075" s="132">
        <v>0</v>
      </c>
      <c r="I1075" s="132">
        <v>1</v>
      </c>
    </row>
    <row r="1076" spans="1:9" ht="15" customHeight="1" x14ac:dyDescent="0.25">
      <c r="A1076" s="132" t="s">
        <v>250</v>
      </c>
      <c r="B1076" s="132" t="s">
        <v>8</v>
      </c>
      <c r="C1076" s="132">
        <v>50</v>
      </c>
      <c r="D1076" s="132" t="str">
        <f t="shared" si="77"/>
        <v>Female BAG Motor 50</v>
      </c>
      <c r="E1076" s="132">
        <v>5</v>
      </c>
      <c r="F1076" s="132">
        <v>3</v>
      </c>
      <c r="G1076" s="132">
        <v>0</v>
      </c>
      <c r="H1076" s="132">
        <v>0</v>
      </c>
      <c r="I1076" s="132">
        <v>1</v>
      </c>
    </row>
    <row r="1077" spans="1:9" ht="15" customHeight="1" x14ac:dyDescent="0.25">
      <c r="A1077" s="132" t="s">
        <v>250</v>
      </c>
      <c r="B1077" s="132" t="s">
        <v>8</v>
      </c>
      <c r="C1077" s="132">
        <v>63</v>
      </c>
      <c r="D1077" s="132" t="str">
        <f t="shared" si="77"/>
        <v>Female BAG Motor 63</v>
      </c>
      <c r="E1077" s="132">
        <v>4</v>
      </c>
      <c r="F1077" s="132">
        <v>1</v>
      </c>
      <c r="G1077" s="132">
        <v>0</v>
      </c>
      <c r="H1077" s="132">
        <v>0</v>
      </c>
      <c r="I1077" s="132">
        <v>1</v>
      </c>
    </row>
    <row r="1078" spans="1:9" ht="15" customHeight="1" x14ac:dyDescent="0.25">
      <c r="A1078" s="132" t="s">
        <v>250</v>
      </c>
      <c r="B1078" s="132" t="s">
        <v>8</v>
      </c>
      <c r="C1078" s="132">
        <v>70</v>
      </c>
      <c r="D1078" s="132" t="str">
        <f t="shared" si="77"/>
        <v>Female BAG Motor 70</v>
      </c>
      <c r="E1078" s="132">
        <v>4</v>
      </c>
      <c r="F1078" s="132">
        <v>1</v>
      </c>
      <c r="G1078" s="132">
        <v>0</v>
      </c>
      <c r="H1078" s="132">
        <v>0</v>
      </c>
      <c r="I1078" s="132">
        <v>1</v>
      </c>
    </row>
    <row r="1079" spans="1:9" ht="15" customHeight="1" x14ac:dyDescent="0.25">
      <c r="A1079" s="132" t="s">
        <v>250</v>
      </c>
      <c r="B1079" s="132" t="s">
        <v>8</v>
      </c>
      <c r="C1079" s="132">
        <v>81</v>
      </c>
      <c r="D1079" s="132" t="str">
        <f t="shared" si="77"/>
        <v>Female BAG Motor 81</v>
      </c>
      <c r="E1079" s="132">
        <v>3</v>
      </c>
      <c r="F1079" s="132">
        <v>1</v>
      </c>
      <c r="G1079" s="132">
        <v>0</v>
      </c>
      <c r="H1079" s="132">
        <v>0</v>
      </c>
      <c r="I1079" s="132">
        <v>1</v>
      </c>
    </row>
    <row r="1080" spans="1:9" ht="15" customHeight="1" x14ac:dyDescent="0.25">
      <c r="A1080" s="132" t="s">
        <v>250</v>
      </c>
      <c r="B1080" s="132" t="s">
        <v>8</v>
      </c>
      <c r="C1080" s="132">
        <v>90</v>
      </c>
      <c r="D1080" s="132" t="str">
        <f t="shared" si="77"/>
        <v>Female BAG Motor 90</v>
      </c>
      <c r="E1080" s="132">
        <v>3</v>
      </c>
      <c r="F1080" s="132">
        <v>1</v>
      </c>
      <c r="G1080" s="132">
        <v>0</v>
      </c>
      <c r="H1080" s="132">
        <v>0</v>
      </c>
      <c r="I1080" s="132">
        <v>0</v>
      </c>
    </row>
    <row r="1081" spans="1:9" ht="15" customHeight="1" x14ac:dyDescent="0.25">
      <c r="A1081" s="132" t="s">
        <v>250</v>
      </c>
      <c r="B1081" s="132" t="s">
        <v>8</v>
      </c>
      <c r="C1081" s="132">
        <v>100</v>
      </c>
      <c r="D1081" s="132" t="str">
        <f t="shared" si="77"/>
        <v>Female BAG Motor 100</v>
      </c>
      <c r="E1081" s="132">
        <v>3</v>
      </c>
      <c r="F1081" s="132">
        <v>1</v>
      </c>
      <c r="G1081" s="132">
        <v>0</v>
      </c>
      <c r="H1081" s="132">
        <v>0</v>
      </c>
      <c r="I1081" s="132">
        <v>0</v>
      </c>
    </row>
    <row r="1082" spans="1:9" ht="15" customHeight="1" x14ac:dyDescent="0.25">
      <c r="A1082" s="132" t="s">
        <v>250</v>
      </c>
      <c r="B1082" s="132" t="s">
        <v>256</v>
      </c>
      <c r="C1082" s="132">
        <v>-3</v>
      </c>
      <c r="D1082" s="132" t="str">
        <f t="shared" ref="D1082:D1087" si="78">A1082&amp;" "&amp;B1082&amp;" "&amp;C1082</f>
        <v>Female 775pro -3</v>
      </c>
      <c r="E1082" s="132">
        <v>1</v>
      </c>
      <c r="F1082" s="132">
        <v>1</v>
      </c>
      <c r="G1082" s="132">
        <v>1</v>
      </c>
      <c r="H1082" s="132">
        <v>0</v>
      </c>
      <c r="I1082" s="132">
        <v>1</v>
      </c>
    </row>
    <row r="1083" spans="1:9" ht="15" customHeight="1" x14ac:dyDescent="0.25">
      <c r="A1083" s="132" t="s">
        <v>250</v>
      </c>
      <c r="B1083" s="132" t="s">
        <v>256</v>
      </c>
      <c r="C1083" s="132">
        <v>-4</v>
      </c>
      <c r="D1083" s="132" t="str">
        <f t="shared" si="78"/>
        <v>Female 775pro -4</v>
      </c>
      <c r="E1083" s="132">
        <v>1</v>
      </c>
      <c r="F1083" s="132">
        <v>1</v>
      </c>
      <c r="G1083" s="132">
        <v>1</v>
      </c>
      <c r="H1083" s="132">
        <v>0</v>
      </c>
      <c r="I1083" s="132">
        <v>1</v>
      </c>
    </row>
    <row r="1084" spans="1:9" ht="15" customHeight="1" x14ac:dyDescent="0.25">
      <c r="A1084" s="132" t="s">
        <v>250</v>
      </c>
      <c r="B1084" s="132" t="s">
        <v>256</v>
      </c>
      <c r="C1084" s="132">
        <v>-5</v>
      </c>
      <c r="D1084" s="132" t="str">
        <f t="shared" si="78"/>
        <v>Female 775pro -5</v>
      </c>
      <c r="E1084" s="132">
        <v>1</v>
      </c>
      <c r="F1084" s="132">
        <v>1</v>
      </c>
      <c r="G1084" s="132">
        <v>1</v>
      </c>
      <c r="H1084" s="132">
        <v>0</v>
      </c>
      <c r="I1084" s="132">
        <v>1</v>
      </c>
    </row>
    <row r="1085" spans="1:9" ht="15" customHeight="1" x14ac:dyDescent="0.25">
      <c r="A1085" s="132" t="s">
        <v>250</v>
      </c>
      <c r="B1085" s="132" t="s">
        <v>256</v>
      </c>
      <c r="C1085" s="132">
        <v>-7</v>
      </c>
      <c r="D1085" s="132" t="str">
        <f t="shared" si="78"/>
        <v>Female 775pro -7</v>
      </c>
      <c r="E1085" s="132">
        <v>1</v>
      </c>
      <c r="F1085" s="132">
        <v>1</v>
      </c>
      <c r="G1085" s="132">
        <v>0</v>
      </c>
      <c r="H1085" s="132">
        <v>0</v>
      </c>
      <c r="I1085" s="132">
        <v>1</v>
      </c>
    </row>
    <row r="1086" spans="1:9" ht="15" customHeight="1" x14ac:dyDescent="0.25">
      <c r="A1086" s="132" t="s">
        <v>250</v>
      </c>
      <c r="B1086" s="132" t="s">
        <v>256</v>
      </c>
      <c r="C1086" s="132">
        <v>-9</v>
      </c>
      <c r="D1086" s="132" t="str">
        <f t="shared" si="78"/>
        <v>Female 775pro -9</v>
      </c>
      <c r="E1086" s="132">
        <v>1</v>
      </c>
      <c r="F1086" s="132">
        <v>1</v>
      </c>
      <c r="G1086" s="132">
        <v>0</v>
      </c>
      <c r="H1086" s="132">
        <v>0</v>
      </c>
      <c r="I1086" s="132">
        <v>1</v>
      </c>
    </row>
    <row r="1087" spans="1:9" ht="15" customHeight="1" x14ac:dyDescent="0.25">
      <c r="A1087" s="132" t="s">
        <v>250</v>
      </c>
      <c r="B1087" s="132" t="s">
        <v>256</v>
      </c>
      <c r="C1087" s="132">
        <v>-10</v>
      </c>
      <c r="D1087" s="132" t="str">
        <f t="shared" si="78"/>
        <v>Female 775pro -10</v>
      </c>
      <c r="E1087" s="132">
        <v>1</v>
      </c>
      <c r="F1087" s="132">
        <v>1</v>
      </c>
      <c r="G1087" s="132">
        <v>0</v>
      </c>
      <c r="H1087" s="132">
        <v>0</v>
      </c>
      <c r="I1087" s="132">
        <v>1</v>
      </c>
    </row>
    <row r="1088" spans="1:9" ht="15" customHeight="1" x14ac:dyDescent="0.25">
      <c r="A1088" s="132" t="s">
        <v>250</v>
      </c>
      <c r="B1088" s="132" t="s">
        <v>256</v>
      </c>
      <c r="C1088" s="132">
        <v>9</v>
      </c>
      <c r="D1088" s="132" t="str">
        <f t="shared" ref="D1088:D1108" si="79">A1088&amp;" "&amp;B1088&amp;" "&amp;C1088</f>
        <v>Female 775pro 9</v>
      </c>
      <c r="E1088" s="132">
        <v>10</v>
      </c>
      <c r="F1088" s="132">
        <v>7</v>
      </c>
      <c r="G1088" s="132">
        <v>0</v>
      </c>
      <c r="H1088" s="132">
        <v>0</v>
      </c>
      <c r="I1088" s="132">
        <v>5</v>
      </c>
    </row>
    <row r="1089" spans="1:9" ht="15" customHeight="1" x14ac:dyDescent="0.25">
      <c r="A1089" s="132" t="s">
        <v>250</v>
      </c>
      <c r="B1089" s="132" t="s">
        <v>256</v>
      </c>
      <c r="C1089" s="132">
        <v>12</v>
      </c>
      <c r="D1089" s="132" t="str">
        <f t="shared" si="79"/>
        <v>Female 775pro 12</v>
      </c>
      <c r="E1089" s="132">
        <v>10</v>
      </c>
      <c r="F1089" s="132">
        <v>5</v>
      </c>
      <c r="G1089" s="132">
        <v>0</v>
      </c>
      <c r="H1089" s="132">
        <v>0</v>
      </c>
      <c r="I1089" s="132">
        <v>4</v>
      </c>
    </row>
    <row r="1090" spans="1:9" ht="15" customHeight="1" x14ac:dyDescent="0.25">
      <c r="A1090" s="132" t="s">
        <v>250</v>
      </c>
      <c r="B1090" s="132" t="s">
        <v>256</v>
      </c>
      <c r="C1090" s="132">
        <v>15</v>
      </c>
      <c r="D1090" s="132" t="str">
        <f t="shared" si="79"/>
        <v>Female 775pro 15</v>
      </c>
      <c r="E1090" s="132">
        <v>9</v>
      </c>
      <c r="F1090" s="132">
        <v>5</v>
      </c>
      <c r="G1090" s="132">
        <v>0</v>
      </c>
      <c r="H1090" s="132">
        <v>0</v>
      </c>
      <c r="I1090" s="132">
        <v>3</v>
      </c>
    </row>
    <row r="1091" spans="1:9" ht="15" customHeight="1" x14ac:dyDescent="0.25">
      <c r="A1091" s="132" t="s">
        <v>250</v>
      </c>
      <c r="B1091" s="132" t="s">
        <v>256</v>
      </c>
      <c r="C1091" s="132">
        <v>16</v>
      </c>
      <c r="D1091" s="132" t="str">
        <f t="shared" si="79"/>
        <v>Female 775pro 16</v>
      </c>
      <c r="E1091" s="132">
        <v>7</v>
      </c>
      <c r="F1091" s="132">
        <v>5</v>
      </c>
      <c r="G1091" s="132">
        <v>0</v>
      </c>
      <c r="H1091" s="132">
        <v>0</v>
      </c>
      <c r="I1091" s="132">
        <v>3</v>
      </c>
    </row>
    <row r="1092" spans="1:9" ht="15" customHeight="1" x14ac:dyDescent="0.25">
      <c r="A1092" s="132" t="s">
        <v>250</v>
      </c>
      <c r="B1092" s="132" t="s">
        <v>256</v>
      </c>
      <c r="C1092" s="132">
        <v>20</v>
      </c>
      <c r="D1092" s="132" t="str">
        <f t="shared" si="79"/>
        <v>Female 775pro 20</v>
      </c>
      <c r="E1092" s="132">
        <v>5</v>
      </c>
      <c r="F1092" s="132">
        <v>5</v>
      </c>
      <c r="G1092" s="132">
        <v>0</v>
      </c>
      <c r="H1092" s="132">
        <v>0</v>
      </c>
      <c r="I1092" s="132">
        <v>1</v>
      </c>
    </row>
    <row r="1093" spans="1:9" ht="15" customHeight="1" x14ac:dyDescent="0.25">
      <c r="A1093" s="132" t="s">
        <v>250</v>
      </c>
      <c r="B1093" s="132" t="s">
        <v>256</v>
      </c>
      <c r="C1093" s="132">
        <v>21</v>
      </c>
      <c r="D1093" s="132" t="str">
        <f t="shared" si="79"/>
        <v>Female 775pro 21</v>
      </c>
      <c r="E1093" s="132">
        <v>5</v>
      </c>
      <c r="F1093" s="132">
        <v>5</v>
      </c>
      <c r="G1093" s="132">
        <v>0</v>
      </c>
      <c r="H1093" s="132">
        <v>0</v>
      </c>
      <c r="I1093" s="132">
        <v>1</v>
      </c>
    </row>
    <row r="1094" spans="1:9" ht="15" customHeight="1" x14ac:dyDescent="0.25">
      <c r="A1094" s="132" t="s">
        <v>250</v>
      </c>
      <c r="B1094" s="132" t="s">
        <v>256</v>
      </c>
      <c r="C1094" s="132">
        <v>25</v>
      </c>
      <c r="D1094" s="132" t="str">
        <f t="shared" si="79"/>
        <v>Female 775pro 25</v>
      </c>
      <c r="E1094" s="132">
        <v>5</v>
      </c>
      <c r="F1094" s="132">
        <v>4</v>
      </c>
      <c r="G1094" s="132">
        <v>0</v>
      </c>
      <c r="H1094" s="132">
        <v>0</v>
      </c>
      <c r="I1094" s="132">
        <v>1</v>
      </c>
    </row>
    <row r="1095" spans="1:9" ht="15" customHeight="1" x14ac:dyDescent="0.25">
      <c r="A1095" s="132" t="s">
        <v>250</v>
      </c>
      <c r="B1095" s="132" t="s">
        <v>256</v>
      </c>
      <c r="C1095" s="132">
        <v>27</v>
      </c>
      <c r="D1095" s="132" t="str">
        <f t="shared" si="79"/>
        <v>Female 775pro 27</v>
      </c>
      <c r="E1095" s="132">
        <v>5</v>
      </c>
      <c r="F1095" s="132">
        <v>4</v>
      </c>
      <c r="G1095" s="132">
        <v>0</v>
      </c>
      <c r="H1095" s="132">
        <v>0</v>
      </c>
      <c r="I1095" s="132">
        <v>1</v>
      </c>
    </row>
    <row r="1096" spans="1:9" ht="15" customHeight="1" x14ac:dyDescent="0.25">
      <c r="A1096" s="132" t="s">
        <v>250</v>
      </c>
      <c r="B1096" s="132" t="s">
        <v>256</v>
      </c>
      <c r="C1096" s="132">
        <v>28</v>
      </c>
      <c r="D1096" s="132" t="str">
        <f t="shared" si="79"/>
        <v>Female 775pro 28</v>
      </c>
      <c r="E1096" s="132">
        <v>5</v>
      </c>
      <c r="F1096" s="132">
        <v>3</v>
      </c>
      <c r="G1096" s="132">
        <v>0</v>
      </c>
      <c r="H1096" s="132">
        <v>0</v>
      </c>
      <c r="I1096" s="132">
        <v>1</v>
      </c>
    </row>
    <row r="1097" spans="1:9" ht="15" customHeight="1" x14ac:dyDescent="0.25">
      <c r="A1097" s="132" t="s">
        <v>250</v>
      </c>
      <c r="B1097" s="132" t="s">
        <v>256</v>
      </c>
      <c r="C1097" s="132">
        <v>30</v>
      </c>
      <c r="D1097" s="132" t="str">
        <f t="shared" si="79"/>
        <v>Female 775pro 30</v>
      </c>
      <c r="E1097" s="132">
        <v>5</v>
      </c>
      <c r="F1097" s="132">
        <v>3</v>
      </c>
      <c r="G1097" s="132">
        <v>0</v>
      </c>
      <c r="H1097" s="132">
        <v>0</v>
      </c>
      <c r="I1097" s="132">
        <v>1</v>
      </c>
    </row>
    <row r="1098" spans="1:9" ht="15" customHeight="1" x14ac:dyDescent="0.25">
      <c r="A1098" s="132" t="s">
        <v>250</v>
      </c>
      <c r="B1098" s="132" t="s">
        <v>256</v>
      </c>
      <c r="C1098" s="132">
        <v>35</v>
      </c>
      <c r="D1098" s="132" t="str">
        <f t="shared" si="79"/>
        <v>Female 775pro 35</v>
      </c>
      <c r="E1098" s="132">
        <v>5</v>
      </c>
      <c r="F1098" s="132">
        <v>3</v>
      </c>
      <c r="G1098" s="132">
        <v>0</v>
      </c>
      <c r="H1098" s="132">
        <v>0</v>
      </c>
      <c r="I1098" s="132">
        <v>1</v>
      </c>
    </row>
    <row r="1099" spans="1:9" ht="15" customHeight="1" x14ac:dyDescent="0.25">
      <c r="A1099" s="132" t="s">
        <v>250</v>
      </c>
      <c r="B1099" s="132" t="s">
        <v>256</v>
      </c>
      <c r="C1099" s="132">
        <v>36</v>
      </c>
      <c r="D1099" s="132" t="str">
        <f t="shared" si="79"/>
        <v>Female 775pro 36</v>
      </c>
      <c r="E1099" s="132">
        <v>5</v>
      </c>
      <c r="F1099" s="132">
        <v>3</v>
      </c>
      <c r="G1099" s="132">
        <v>0</v>
      </c>
      <c r="H1099" s="132">
        <v>0</v>
      </c>
      <c r="I1099" s="132">
        <v>1</v>
      </c>
    </row>
    <row r="1100" spans="1:9" ht="15" customHeight="1" x14ac:dyDescent="0.25">
      <c r="A1100" s="132" t="s">
        <v>250</v>
      </c>
      <c r="B1100" s="132" t="s">
        <v>256</v>
      </c>
      <c r="C1100" s="132">
        <v>40</v>
      </c>
      <c r="D1100" s="132" t="str">
        <f t="shared" si="79"/>
        <v>Female 775pro 40</v>
      </c>
      <c r="E1100" s="132">
        <v>5</v>
      </c>
      <c r="F1100" s="132">
        <v>1</v>
      </c>
      <c r="G1100" s="132">
        <v>0</v>
      </c>
      <c r="H1100" s="132">
        <v>0</v>
      </c>
      <c r="I1100" s="132">
        <v>1</v>
      </c>
    </row>
    <row r="1101" spans="1:9" ht="15" customHeight="1" x14ac:dyDescent="0.25">
      <c r="A1101" s="132" t="s">
        <v>250</v>
      </c>
      <c r="B1101" s="132" t="s">
        <v>256</v>
      </c>
      <c r="C1101" s="132">
        <v>45</v>
      </c>
      <c r="D1101" s="132" t="str">
        <f t="shared" si="79"/>
        <v>Female 775pro 45</v>
      </c>
      <c r="E1101" s="132">
        <v>4</v>
      </c>
      <c r="F1101" s="132">
        <v>1</v>
      </c>
      <c r="G1101" s="132">
        <v>0</v>
      </c>
      <c r="H1101" s="132">
        <v>0</v>
      </c>
      <c r="I1101" s="132">
        <v>1</v>
      </c>
    </row>
    <row r="1102" spans="1:9" ht="15" customHeight="1" x14ac:dyDescent="0.25">
      <c r="A1102" s="132" t="s">
        <v>250</v>
      </c>
      <c r="B1102" s="132" t="s">
        <v>256</v>
      </c>
      <c r="C1102" s="132">
        <v>49</v>
      </c>
      <c r="D1102" s="132" t="str">
        <f t="shared" si="79"/>
        <v>Female 775pro 49</v>
      </c>
      <c r="E1102" s="132">
        <v>4</v>
      </c>
      <c r="F1102" s="132">
        <v>1</v>
      </c>
      <c r="G1102" s="132">
        <v>0</v>
      </c>
      <c r="H1102" s="132">
        <v>0</v>
      </c>
      <c r="I1102" s="132">
        <v>1</v>
      </c>
    </row>
    <row r="1103" spans="1:9" ht="15" customHeight="1" x14ac:dyDescent="0.25">
      <c r="A1103" s="132" t="s">
        <v>250</v>
      </c>
      <c r="B1103" s="132" t="s">
        <v>256</v>
      </c>
      <c r="C1103" s="132">
        <v>50</v>
      </c>
      <c r="D1103" s="132" t="str">
        <f t="shared" si="79"/>
        <v>Female 775pro 50</v>
      </c>
      <c r="E1103" s="132">
        <v>4</v>
      </c>
      <c r="F1103" s="132">
        <v>1</v>
      </c>
      <c r="G1103" s="132">
        <v>0</v>
      </c>
      <c r="H1103" s="132">
        <v>0</v>
      </c>
      <c r="I1103" s="132">
        <v>0</v>
      </c>
    </row>
    <row r="1104" spans="1:9" ht="15" customHeight="1" x14ac:dyDescent="0.25">
      <c r="A1104" s="132" t="s">
        <v>250</v>
      </c>
      <c r="B1104" s="132" t="s">
        <v>256</v>
      </c>
      <c r="C1104" s="132">
        <v>63</v>
      </c>
      <c r="D1104" s="132" t="str">
        <f t="shared" si="79"/>
        <v>Female 775pro 63</v>
      </c>
      <c r="E1104" s="132">
        <v>3</v>
      </c>
      <c r="F1104" s="132">
        <v>1</v>
      </c>
      <c r="G1104" s="132">
        <v>0</v>
      </c>
      <c r="H1104" s="132">
        <v>0</v>
      </c>
      <c r="I1104" s="132">
        <v>0</v>
      </c>
    </row>
    <row r="1105" spans="1:9" ht="15" customHeight="1" x14ac:dyDescent="0.25">
      <c r="A1105" s="132" t="s">
        <v>250</v>
      </c>
      <c r="B1105" s="132" t="s">
        <v>256</v>
      </c>
      <c r="C1105" s="132">
        <v>70</v>
      </c>
      <c r="D1105" s="132" t="str">
        <f t="shared" si="79"/>
        <v>Female 775pro 70</v>
      </c>
      <c r="E1105" s="132">
        <v>3</v>
      </c>
      <c r="F1105" s="132">
        <v>0</v>
      </c>
      <c r="G1105" s="132">
        <v>0</v>
      </c>
      <c r="H1105" s="132">
        <v>0</v>
      </c>
      <c r="I1105" s="132">
        <v>0</v>
      </c>
    </row>
    <row r="1106" spans="1:9" ht="15" customHeight="1" x14ac:dyDescent="0.25">
      <c r="A1106" s="132" t="s">
        <v>250</v>
      </c>
      <c r="B1106" s="132" t="s">
        <v>256</v>
      </c>
      <c r="C1106" s="132">
        <v>81</v>
      </c>
      <c r="D1106" s="132" t="str">
        <f t="shared" si="79"/>
        <v>Female 775pro 81</v>
      </c>
      <c r="E1106" s="132">
        <v>1</v>
      </c>
      <c r="F1106" s="132">
        <v>0</v>
      </c>
      <c r="G1106" s="132">
        <v>0</v>
      </c>
      <c r="H1106" s="132">
        <v>0</v>
      </c>
      <c r="I1106" s="132">
        <v>0</v>
      </c>
    </row>
    <row r="1107" spans="1:9" ht="15" customHeight="1" x14ac:dyDescent="0.25">
      <c r="A1107" s="132" t="s">
        <v>250</v>
      </c>
      <c r="B1107" s="132" t="s">
        <v>256</v>
      </c>
      <c r="C1107" s="132">
        <v>90</v>
      </c>
      <c r="D1107" s="132" t="str">
        <f t="shared" si="79"/>
        <v>Female 775pro 90</v>
      </c>
      <c r="E1107" s="132">
        <v>1</v>
      </c>
      <c r="F1107" s="132">
        <v>0</v>
      </c>
      <c r="G1107" s="132">
        <v>0</v>
      </c>
      <c r="H1107" s="132">
        <v>0</v>
      </c>
      <c r="I1107" s="132">
        <v>0</v>
      </c>
    </row>
    <row r="1108" spans="1:9" ht="15" customHeight="1" x14ac:dyDescent="0.25">
      <c r="A1108" s="132" t="s">
        <v>250</v>
      </c>
      <c r="B1108" s="132" t="s">
        <v>256</v>
      </c>
      <c r="C1108" s="132">
        <v>100</v>
      </c>
      <c r="D1108" s="132" t="str">
        <f t="shared" si="79"/>
        <v>Female 775pro 100</v>
      </c>
      <c r="E1108" s="132">
        <v>1</v>
      </c>
      <c r="F1108" s="132">
        <v>0</v>
      </c>
      <c r="G1108" s="132">
        <v>0</v>
      </c>
      <c r="H1108" s="132">
        <v>0</v>
      </c>
      <c r="I1108" s="132">
        <v>0</v>
      </c>
    </row>
    <row r="1109" spans="1:9" ht="15" customHeight="1" x14ac:dyDescent="0.25">
      <c r="A1109" s="132" t="s">
        <v>250</v>
      </c>
      <c r="B1109" s="132" t="s">
        <v>7</v>
      </c>
      <c r="C1109" s="132">
        <v>-3</v>
      </c>
      <c r="D1109" s="132" t="str">
        <f t="shared" ref="D1109:D1114" si="80">A1109&amp;" "&amp;B1109&amp;" "&amp;C1109</f>
        <v>Female Mini CIM -3</v>
      </c>
      <c r="E1109" s="132">
        <v>1</v>
      </c>
      <c r="I1109" s="132">
        <v>0</v>
      </c>
    </row>
    <row r="1110" spans="1:9" ht="15" customHeight="1" x14ac:dyDescent="0.25">
      <c r="A1110" s="132" t="s">
        <v>250</v>
      </c>
      <c r="B1110" s="132" t="s">
        <v>7</v>
      </c>
      <c r="C1110" s="132">
        <v>-4</v>
      </c>
      <c r="D1110" s="132" t="str">
        <f t="shared" si="80"/>
        <v>Female Mini CIM -4</v>
      </c>
      <c r="E1110" s="132">
        <v>1</v>
      </c>
      <c r="I1110" s="132">
        <v>0</v>
      </c>
    </row>
    <row r="1111" spans="1:9" ht="15" customHeight="1" x14ac:dyDescent="0.25">
      <c r="A1111" s="132" t="s">
        <v>250</v>
      </c>
      <c r="B1111" s="132" t="s">
        <v>7</v>
      </c>
      <c r="C1111" s="132">
        <v>-5</v>
      </c>
      <c r="D1111" s="132" t="str">
        <f t="shared" si="80"/>
        <v>Female Mini CIM -5</v>
      </c>
      <c r="E1111" s="132">
        <v>1</v>
      </c>
      <c r="I1111" s="132">
        <v>0</v>
      </c>
    </row>
    <row r="1112" spans="1:9" ht="15" customHeight="1" x14ac:dyDescent="0.25">
      <c r="A1112" s="132" t="s">
        <v>250</v>
      </c>
      <c r="B1112" s="132" t="s">
        <v>7</v>
      </c>
      <c r="C1112" s="132">
        <v>-7</v>
      </c>
      <c r="D1112" s="132" t="str">
        <f t="shared" si="80"/>
        <v>Female Mini CIM -7</v>
      </c>
      <c r="E1112" s="132">
        <v>1</v>
      </c>
      <c r="I1112" s="132">
        <v>0</v>
      </c>
    </row>
    <row r="1113" spans="1:9" ht="15" customHeight="1" x14ac:dyDescent="0.25">
      <c r="A1113" s="132" t="s">
        <v>250</v>
      </c>
      <c r="B1113" s="132" t="s">
        <v>7</v>
      </c>
      <c r="C1113" s="132">
        <v>-9</v>
      </c>
      <c r="D1113" s="132" t="str">
        <f t="shared" si="80"/>
        <v>Female Mini CIM -9</v>
      </c>
      <c r="E1113" s="132">
        <v>1</v>
      </c>
      <c r="I1113" s="132">
        <v>0</v>
      </c>
    </row>
    <row r="1114" spans="1:9" ht="15" customHeight="1" x14ac:dyDescent="0.25">
      <c r="A1114" s="132" t="s">
        <v>250</v>
      </c>
      <c r="B1114" s="132" t="s">
        <v>7</v>
      </c>
      <c r="C1114" s="132">
        <v>-10</v>
      </c>
      <c r="D1114" s="132" t="str">
        <f t="shared" si="80"/>
        <v>Female Mini CIM -10</v>
      </c>
      <c r="E1114" s="132">
        <v>1</v>
      </c>
      <c r="I1114" s="132">
        <v>0</v>
      </c>
    </row>
    <row r="1115" spans="1:9" ht="15" customHeight="1" x14ac:dyDescent="0.25">
      <c r="A1115" s="132" t="s">
        <v>250</v>
      </c>
      <c r="B1115" s="132" t="s">
        <v>7</v>
      </c>
      <c r="C1115" s="132">
        <v>9</v>
      </c>
      <c r="D1115" s="132" t="str">
        <f t="shared" ref="D1115:D1135" si="81">A1115&amp;" "&amp;B1115&amp;" "&amp;C1115</f>
        <v>Female Mini CIM 9</v>
      </c>
      <c r="E1115" s="132">
        <v>7</v>
      </c>
      <c r="I1115" s="132">
        <v>0</v>
      </c>
    </row>
    <row r="1116" spans="1:9" ht="15" customHeight="1" x14ac:dyDescent="0.25">
      <c r="A1116" s="132" t="s">
        <v>250</v>
      </c>
      <c r="B1116" s="132" t="s">
        <v>7</v>
      </c>
      <c r="C1116" s="132">
        <v>12</v>
      </c>
      <c r="D1116" s="132" t="str">
        <f t="shared" si="81"/>
        <v>Female Mini CIM 12</v>
      </c>
      <c r="E1116" s="132">
        <v>5</v>
      </c>
      <c r="I1116" s="132">
        <v>0</v>
      </c>
    </row>
    <row r="1117" spans="1:9" ht="15" customHeight="1" x14ac:dyDescent="0.25">
      <c r="A1117" s="132" t="s">
        <v>250</v>
      </c>
      <c r="B1117" s="132" t="s">
        <v>7</v>
      </c>
      <c r="C1117" s="132">
        <v>15</v>
      </c>
      <c r="D1117" s="132" t="str">
        <f t="shared" si="81"/>
        <v>Female Mini CIM 15</v>
      </c>
      <c r="E1117" s="132">
        <v>5</v>
      </c>
      <c r="I1117" s="132">
        <v>0</v>
      </c>
    </row>
    <row r="1118" spans="1:9" ht="15" customHeight="1" x14ac:dyDescent="0.25">
      <c r="A1118" s="132" t="s">
        <v>250</v>
      </c>
      <c r="B1118" s="132" t="s">
        <v>7</v>
      </c>
      <c r="C1118" s="132">
        <v>16</v>
      </c>
      <c r="D1118" s="132" t="str">
        <f t="shared" si="81"/>
        <v>Female Mini CIM 16</v>
      </c>
      <c r="E1118" s="132">
        <v>5</v>
      </c>
      <c r="I1118" s="132">
        <v>0</v>
      </c>
    </row>
    <row r="1119" spans="1:9" ht="15" customHeight="1" x14ac:dyDescent="0.25">
      <c r="A1119" s="132" t="s">
        <v>250</v>
      </c>
      <c r="B1119" s="132" t="s">
        <v>7</v>
      </c>
      <c r="C1119" s="132">
        <v>20</v>
      </c>
      <c r="D1119" s="132" t="str">
        <f t="shared" si="81"/>
        <v>Female Mini CIM 20</v>
      </c>
      <c r="E1119" s="132">
        <v>5</v>
      </c>
      <c r="I1119" s="132">
        <v>0</v>
      </c>
    </row>
    <row r="1120" spans="1:9" ht="15" customHeight="1" x14ac:dyDescent="0.25">
      <c r="A1120" s="132" t="s">
        <v>250</v>
      </c>
      <c r="B1120" s="132" t="s">
        <v>7</v>
      </c>
      <c r="C1120" s="132">
        <v>21</v>
      </c>
      <c r="D1120" s="132" t="str">
        <f t="shared" si="81"/>
        <v>Female Mini CIM 21</v>
      </c>
      <c r="E1120" s="132">
        <v>5</v>
      </c>
      <c r="I1120" s="132">
        <v>0</v>
      </c>
    </row>
    <row r="1121" spans="1:9" ht="15" customHeight="1" x14ac:dyDescent="0.25">
      <c r="A1121" s="132" t="s">
        <v>250</v>
      </c>
      <c r="B1121" s="132" t="s">
        <v>7</v>
      </c>
      <c r="C1121" s="132">
        <v>25</v>
      </c>
      <c r="D1121" s="132" t="str">
        <f t="shared" si="81"/>
        <v>Female Mini CIM 25</v>
      </c>
      <c r="E1121" s="132">
        <v>4</v>
      </c>
      <c r="I1121" s="132">
        <v>0</v>
      </c>
    </row>
    <row r="1122" spans="1:9" ht="15" customHeight="1" x14ac:dyDescent="0.25">
      <c r="A1122" s="132" t="s">
        <v>250</v>
      </c>
      <c r="B1122" s="132" t="s">
        <v>7</v>
      </c>
      <c r="C1122" s="132">
        <v>27</v>
      </c>
      <c r="D1122" s="132" t="str">
        <f t="shared" si="81"/>
        <v>Female Mini CIM 27</v>
      </c>
      <c r="E1122" s="132">
        <v>4</v>
      </c>
      <c r="I1122" s="132">
        <v>0</v>
      </c>
    </row>
    <row r="1123" spans="1:9" ht="15" customHeight="1" x14ac:dyDescent="0.25">
      <c r="A1123" s="132" t="s">
        <v>250</v>
      </c>
      <c r="B1123" s="132" t="s">
        <v>7</v>
      </c>
      <c r="C1123" s="132">
        <v>28</v>
      </c>
      <c r="D1123" s="132" t="str">
        <f t="shared" si="81"/>
        <v>Female Mini CIM 28</v>
      </c>
      <c r="E1123" s="132">
        <v>3</v>
      </c>
      <c r="I1123" s="132">
        <v>0</v>
      </c>
    </row>
    <row r="1124" spans="1:9" ht="15" customHeight="1" x14ac:dyDescent="0.25">
      <c r="A1124" s="132" t="s">
        <v>250</v>
      </c>
      <c r="B1124" s="132" t="s">
        <v>7</v>
      </c>
      <c r="C1124" s="132">
        <v>30</v>
      </c>
      <c r="D1124" s="132" t="str">
        <f t="shared" si="81"/>
        <v>Female Mini CIM 30</v>
      </c>
      <c r="E1124" s="132">
        <v>3</v>
      </c>
      <c r="I1124" s="132">
        <v>0</v>
      </c>
    </row>
    <row r="1125" spans="1:9" ht="15" customHeight="1" x14ac:dyDescent="0.25">
      <c r="A1125" s="132" t="s">
        <v>250</v>
      </c>
      <c r="B1125" s="132" t="s">
        <v>7</v>
      </c>
      <c r="C1125" s="132">
        <v>35</v>
      </c>
      <c r="D1125" s="132" t="str">
        <f t="shared" si="81"/>
        <v>Female Mini CIM 35</v>
      </c>
      <c r="E1125" s="132">
        <v>3</v>
      </c>
      <c r="I1125" s="132">
        <v>0</v>
      </c>
    </row>
    <row r="1126" spans="1:9" ht="15" customHeight="1" x14ac:dyDescent="0.25">
      <c r="A1126" s="132" t="s">
        <v>250</v>
      </c>
      <c r="B1126" s="132" t="s">
        <v>7</v>
      </c>
      <c r="C1126" s="132">
        <v>36</v>
      </c>
      <c r="D1126" s="132" t="str">
        <f t="shared" si="81"/>
        <v>Female Mini CIM 36</v>
      </c>
      <c r="E1126" s="132">
        <v>3</v>
      </c>
      <c r="I1126" s="132">
        <v>0</v>
      </c>
    </row>
    <row r="1127" spans="1:9" ht="15" customHeight="1" x14ac:dyDescent="0.25">
      <c r="A1127" s="132" t="s">
        <v>250</v>
      </c>
      <c r="B1127" s="132" t="s">
        <v>7</v>
      </c>
      <c r="C1127" s="132">
        <v>40</v>
      </c>
      <c r="D1127" s="132" t="str">
        <f t="shared" si="81"/>
        <v>Female Mini CIM 40</v>
      </c>
      <c r="E1127" s="132">
        <v>1</v>
      </c>
      <c r="I1127" s="132">
        <v>0</v>
      </c>
    </row>
    <row r="1128" spans="1:9" ht="15" customHeight="1" x14ac:dyDescent="0.25">
      <c r="A1128" s="132" t="s">
        <v>250</v>
      </c>
      <c r="B1128" s="132" t="s">
        <v>7</v>
      </c>
      <c r="C1128" s="132">
        <v>45</v>
      </c>
      <c r="D1128" s="132" t="str">
        <f t="shared" si="81"/>
        <v>Female Mini CIM 45</v>
      </c>
      <c r="E1128" s="132">
        <v>1</v>
      </c>
      <c r="I1128" s="132">
        <v>0</v>
      </c>
    </row>
    <row r="1129" spans="1:9" ht="15" customHeight="1" x14ac:dyDescent="0.25">
      <c r="A1129" s="132" t="s">
        <v>250</v>
      </c>
      <c r="B1129" s="132" t="s">
        <v>7</v>
      </c>
      <c r="C1129" s="132">
        <v>49</v>
      </c>
      <c r="D1129" s="132" t="str">
        <f t="shared" si="81"/>
        <v>Female Mini CIM 49</v>
      </c>
      <c r="E1129" s="132">
        <v>1</v>
      </c>
      <c r="I1129" s="132">
        <v>0</v>
      </c>
    </row>
    <row r="1130" spans="1:9" ht="15" customHeight="1" x14ac:dyDescent="0.25">
      <c r="A1130" s="132" t="s">
        <v>250</v>
      </c>
      <c r="B1130" s="132" t="s">
        <v>7</v>
      </c>
      <c r="C1130" s="132">
        <v>50</v>
      </c>
      <c r="D1130" s="132" t="str">
        <f t="shared" si="81"/>
        <v>Female Mini CIM 50</v>
      </c>
      <c r="E1130" s="132">
        <v>1</v>
      </c>
      <c r="I1130" s="132">
        <v>0</v>
      </c>
    </row>
    <row r="1131" spans="1:9" ht="15" customHeight="1" x14ac:dyDescent="0.25">
      <c r="A1131" s="132" t="s">
        <v>250</v>
      </c>
      <c r="B1131" s="132" t="s">
        <v>7</v>
      </c>
      <c r="C1131" s="132">
        <v>63</v>
      </c>
      <c r="D1131" s="132" t="str">
        <f t="shared" si="81"/>
        <v>Female Mini CIM 63</v>
      </c>
      <c r="E1131" s="132">
        <v>1</v>
      </c>
      <c r="I1131" s="132">
        <v>0</v>
      </c>
    </row>
    <row r="1132" spans="1:9" ht="15" customHeight="1" x14ac:dyDescent="0.25">
      <c r="A1132" s="132" t="s">
        <v>250</v>
      </c>
      <c r="B1132" s="132" t="s">
        <v>7</v>
      </c>
      <c r="C1132" s="132">
        <v>70</v>
      </c>
      <c r="D1132" s="132" t="str">
        <f t="shared" si="81"/>
        <v>Female Mini CIM 70</v>
      </c>
      <c r="E1132" s="132">
        <v>0</v>
      </c>
      <c r="I1132" s="132">
        <v>0</v>
      </c>
    </row>
    <row r="1133" spans="1:9" ht="15" customHeight="1" x14ac:dyDescent="0.25">
      <c r="A1133" s="132" t="s">
        <v>250</v>
      </c>
      <c r="B1133" s="132" t="s">
        <v>7</v>
      </c>
      <c r="C1133" s="132">
        <v>81</v>
      </c>
      <c r="D1133" s="132" t="str">
        <f t="shared" si="81"/>
        <v>Female Mini CIM 81</v>
      </c>
      <c r="E1133" s="132">
        <v>0</v>
      </c>
      <c r="I1133" s="132">
        <v>0</v>
      </c>
    </row>
    <row r="1134" spans="1:9" ht="15" customHeight="1" x14ac:dyDescent="0.25">
      <c r="A1134" s="132" t="s">
        <v>250</v>
      </c>
      <c r="B1134" s="132" t="s">
        <v>7</v>
      </c>
      <c r="C1134" s="132">
        <v>90</v>
      </c>
      <c r="D1134" s="132" t="str">
        <f t="shared" si="81"/>
        <v>Female Mini CIM 90</v>
      </c>
      <c r="E1134" s="132">
        <v>0</v>
      </c>
      <c r="I1134" s="132">
        <v>0</v>
      </c>
    </row>
    <row r="1135" spans="1:9" ht="15" customHeight="1" x14ac:dyDescent="0.25">
      <c r="A1135" s="132" t="s">
        <v>250</v>
      </c>
      <c r="B1135" s="132" t="s">
        <v>7</v>
      </c>
      <c r="C1135" s="132">
        <v>100</v>
      </c>
      <c r="D1135" s="132" t="str">
        <f t="shared" si="81"/>
        <v>Female Mini CIM 100</v>
      </c>
      <c r="E1135" s="132">
        <v>0</v>
      </c>
      <c r="I1135" s="132">
        <v>0</v>
      </c>
    </row>
    <row r="1136" spans="1:9" ht="15" customHeight="1" x14ac:dyDescent="0.25">
      <c r="A1136" s="132" t="s">
        <v>250</v>
      </c>
      <c r="B1136" s="132" t="s">
        <v>6</v>
      </c>
      <c r="C1136" s="132">
        <v>-3</v>
      </c>
      <c r="D1136" s="132" t="str">
        <f t="shared" ref="D1136:D1141" si="82">A1136&amp;" "&amp;B1136&amp;" "&amp;C1136</f>
        <v>Female CIM -3</v>
      </c>
      <c r="E1136" s="132">
        <v>1</v>
      </c>
      <c r="I1136" s="132">
        <v>0</v>
      </c>
    </row>
    <row r="1137" spans="1:9" ht="15" customHeight="1" x14ac:dyDescent="0.25">
      <c r="A1137" s="132" t="s">
        <v>250</v>
      </c>
      <c r="B1137" s="132" t="s">
        <v>6</v>
      </c>
      <c r="C1137" s="132">
        <v>-4</v>
      </c>
      <c r="D1137" s="132" t="str">
        <f t="shared" si="82"/>
        <v>Female CIM -4</v>
      </c>
      <c r="E1137" s="132">
        <v>1</v>
      </c>
      <c r="I1137" s="132">
        <v>0</v>
      </c>
    </row>
    <row r="1138" spans="1:9" ht="15" customHeight="1" x14ac:dyDescent="0.25">
      <c r="A1138" s="132" t="s">
        <v>250</v>
      </c>
      <c r="B1138" s="132" t="s">
        <v>6</v>
      </c>
      <c r="C1138" s="132">
        <v>-5</v>
      </c>
      <c r="D1138" s="132" t="str">
        <f t="shared" si="82"/>
        <v>Female CIM -5</v>
      </c>
      <c r="E1138" s="132">
        <v>1</v>
      </c>
      <c r="I1138" s="132">
        <v>0</v>
      </c>
    </row>
    <row r="1139" spans="1:9" ht="15" customHeight="1" x14ac:dyDescent="0.25">
      <c r="A1139" s="132" t="s">
        <v>250</v>
      </c>
      <c r="B1139" s="132" t="s">
        <v>6</v>
      </c>
      <c r="C1139" s="132">
        <v>-7</v>
      </c>
      <c r="D1139" s="132" t="str">
        <f t="shared" si="82"/>
        <v>Female CIM -7</v>
      </c>
      <c r="E1139" s="132">
        <v>1</v>
      </c>
      <c r="I1139" s="132">
        <v>0</v>
      </c>
    </row>
    <row r="1140" spans="1:9" ht="15" customHeight="1" x14ac:dyDescent="0.25">
      <c r="A1140" s="132" t="s">
        <v>250</v>
      </c>
      <c r="B1140" s="132" t="s">
        <v>6</v>
      </c>
      <c r="C1140" s="132">
        <v>-9</v>
      </c>
      <c r="D1140" s="132" t="str">
        <f t="shared" si="82"/>
        <v>Female CIM -9</v>
      </c>
      <c r="E1140" s="132">
        <v>1</v>
      </c>
      <c r="I1140" s="132">
        <v>0</v>
      </c>
    </row>
    <row r="1141" spans="1:9" ht="15" customHeight="1" x14ac:dyDescent="0.25">
      <c r="A1141" s="132" t="s">
        <v>250</v>
      </c>
      <c r="B1141" s="132" t="s">
        <v>6</v>
      </c>
      <c r="C1141" s="132">
        <v>-10</v>
      </c>
      <c r="D1141" s="132" t="str">
        <f t="shared" si="82"/>
        <v>Female CIM -10</v>
      </c>
      <c r="E1141" s="132">
        <v>1</v>
      </c>
      <c r="I1141" s="132">
        <v>0</v>
      </c>
    </row>
    <row r="1142" spans="1:9" ht="15" customHeight="1" x14ac:dyDescent="0.25">
      <c r="A1142" s="132" t="s">
        <v>250</v>
      </c>
      <c r="B1142" s="132" t="s">
        <v>6</v>
      </c>
      <c r="C1142" s="132">
        <v>9</v>
      </c>
      <c r="D1142" s="132" t="str">
        <f t="shared" ref="D1142:D1162" si="83">A1142&amp;" "&amp;B1142&amp;" "&amp;C1142</f>
        <v>Female CIM 9</v>
      </c>
      <c r="E1142" s="132">
        <v>5</v>
      </c>
      <c r="I1142" s="132">
        <v>0</v>
      </c>
    </row>
    <row r="1143" spans="1:9" ht="15" customHeight="1" x14ac:dyDescent="0.25">
      <c r="A1143" s="132" t="s">
        <v>250</v>
      </c>
      <c r="B1143" s="132" t="s">
        <v>6</v>
      </c>
      <c r="C1143" s="132">
        <v>12</v>
      </c>
      <c r="D1143" s="132" t="str">
        <f t="shared" si="83"/>
        <v>Female CIM 12</v>
      </c>
      <c r="E1143" s="132">
        <v>5</v>
      </c>
      <c r="I1143" s="132">
        <v>0</v>
      </c>
    </row>
    <row r="1144" spans="1:9" ht="15" customHeight="1" x14ac:dyDescent="0.25">
      <c r="A1144" s="132" t="s">
        <v>250</v>
      </c>
      <c r="B1144" s="132" t="s">
        <v>6</v>
      </c>
      <c r="C1144" s="132">
        <v>15</v>
      </c>
      <c r="D1144" s="132" t="str">
        <f t="shared" si="83"/>
        <v>Female CIM 15</v>
      </c>
      <c r="E1144" s="132">
        <v>4</v>
      </c>
      <c r="I1144" s="132">
        <v>0</v>
      </c>
    </row>
    <row r="1145" spans="1:9" ht="15" customHeight="1" x14ac:dyDescent="0.25">
      <c r="A1145" s="132" t="s">
        <v>250</v>
      </c>
      <c r="B1145" s="132" t="s">
        <v>6</v>
      </c>
      <c r="C1145" s="132">
        <v>16</v>
      </c>
      <c r="D1145" s="132" t="str">
        <f t="shared" si="83"/>
        <v>Female CIM 16</v>
      </c>
      <c r="E1145" s="132">
        <v>4</v>
      </c>
      <c r="I1145" s="132">
        <v>0</v>
      </c>
    </row>
    <row r="1146" spans="1:9" ht="15" customHeight="1" x14ac:dyDescent="0.25">
      <c r="A1146" s="132" t="s">
        <v>250</v>
      </c>
      <c r="B1146" s="132" t="s">
        <v>6</v>
      </c>
      <c r="C1146" s="132">
        <v>20</v>
      </c>
      <c r="D1146" s="132" t="str">
        <f t="shared" si="83"/>
        <v>Female CIM 20</v>
      </c>
      <c r="E1146" s="132">
        <v>3</v>
      </c>
      <c r="I1146" s="132">
        <v>0</v>
      </c>
    </row>
    <row r="1147" spans="1:9" ht="15" customHeight="1" x14ac:dyDescent="0.25">
      <c r="A1147" s="132" t="s">
        <v>250</v>
      </c>
      <c r="B1147" s="132" t="s">
        <v>6</v>
      </c>
      <c r="C1147" s="132">
        <v>21</v>
      </c>
      <c r="D1147" s="132" t="str">
        <f t="shared" si="83"/>
        <v>Female CIM 21</v>
      </c>
      <c r="E1147" s="132">
        <v>3</v>
      </c>
      <c r="I1147" s="132">
        <v>0</v>
      </c>
    </row>
    <row r="1148" spans="1:9" ht="15" customHeight="1" x14ac:dyDescent="0.25">
      <c r="A1148" s="132" t="s">
        <v>250</v>
      </c>
      <c r="B1148" s="132" t="s">
        <v>6</v>
      </c>
      <c r="C1148" s="132">
        <v>25</v>
      </c>
      <c r="D1148" s="132" t="str">
        <f t="shared" si="83"/>
        <v>Female CIM 25</v>
      </c>
      <c r="E1148" s="132">
        <v>1</v>
      </c>
      <c r="I1148" s="132">
        <v>0</v>
      </c>
    </row>
    <row r="1149" spans="1:9" ht="15" customHeight="1" x14ac:dyDescent="0.25">
      <c r="A1149" s="132" t="s">
        <v>250</v>
      </c>
      <c r="B1149" s="132" t="s">
        <v>6</v>
      </c>
      <c r="C1149" s="132">
        <v>27</v>
      </c>
      <c r="D1149" s="132" t="str">
        <f t="shared" si="83"/>
        <v>Female CIM 27</v>
      </c>
      <c r="E1149" s="132">
        <v>1</v>
      </c>
      <c r="I1149" s="132">
        <v>0</v>
      </c>
    </row>
    <row r="1150" spans="1:9" ht="15" customHeight="1" x14ac:dyDescent="0.25">
      <c r="A1150" s="132" t="s">
        <v>250</v>
      </c>
      <c r="B1150" s="132" t="s">
        <v>6</v>
      </c>
      <c r="C1150" s="132">
        <v>28</v>
      </c>
      <c r="D1150" s="132" t="str">
        <f t="shared" si="83"/>
        <v>Female CIM 28</v>
      </c>
      <c r="E1150" s="132">
        <v>1</v>
      </c>
      <c r="I1150" s="132">
        <v>0</v>
      </c>
    </row>
    <row r="1151" spans="1:9" ht="15" customHeight="1" x14ac:dyDescent="0.25">
      <c r="A1151" s="132" t="s">
        <v>250</v>
      </c>
      <c r="B1151" s="132" t="s">
        <v>6</v>
      </c>
      <c r="C1151" s="132">
        <v>30</v>
      </c>
      <c r="D1151" s="132" t="str">
        <f t="shared" si="83"/>
        <v>Female CIM 30</v>
      </c>
      <c r="E1151" s="132">
        <v>1</v>
      </c>
      <c r="I1151" s="132">
        <v>0</v>
      </c>
    </row>
    <row r="1152" spans="1:9" ht="15" customHeight="1" x14ac:dyDescent="0.25">
      <c r="A1152" s="132" t="s">
        <v>250</v>
      </c>
      <c r="B1152" s="132" t="s">
        <v>6</v>
      </c>
      <c r="C1152" s="132">
        <v>35</v>
      </c>
      <c r="D1152" s="132" t="str">
        <f t="shared" si="83"/>
        <v>Female CIM 35</v>
      </c>
      <c r="E1152" s="132">
        <v>1</v>
      </c>
      <c r="I1152" s="132">
        <v>0</v>
      </c>
    </row>
    <row r="1153" spans="1:9" ht="15" customHeight="1" x14ac:dyDescent="0.25">
      <c r="A1153" s="132" t="s">
        <v>250</v>
      </c>
      <c r="B1153" s="132" t="s">
        <v>6</v>
      </c>
      <c r="C1153" s="132">
        <v>36</v>
      </c>
      <c r="D1153" s="132" t="str">
        <f t="shared" si="83"/>
        <v>Female CIM 36</v>
      </c>
      <c r="E1153" s="132">
        <v>1</v>
      </c>
      <c r="I1153" s="132">
        <v>0</v>
      </c>
    </row>
    <row r="1154" spans="1:9" ht="15" customHeight="1" x14ac:dyDescent="0.25">
      <c r="A1154" s="132" t="s">
        <v>250</v>
      </c>
      <c r="B1154" s="132" t="s">
        <v>6</v>
      </c>
      <c r="C1154" s="132">
        <v>40</v>
      </c>
      <c r="D1154" s="132" t="str">
        <f t="shared" si="83"/>
        <v>Female CIM 40</v>
      </c>
      <c r="E1154" s="132">
        <v>1</v>
      </c>
      <c r="I1154" s="132">
        <v>0</v>
      </c>
    </row>
    <row r="1155" spans="1:9" ht="15" customHeight="1" x14ac:dyDescent="0.25">
      <c r="A1155" s="132" t="s">
        <v>250</v>
      </c>
      <c r="B1155" s="132" t="s">
        <v>6</v>
      </c>
      <c r="C1155" s="132">
        <v>45</v>
      </c>
      <c r="D1155" s="132" t="str">
        <f t="shared" si="83"/>
        <v>Female CIM 45</v>
      </c>
      <c r="E1155" s="132">
        <v>1</v>
      </c>
      <c r="I1155" s="132">
        <v>0</v>
      </c>
    </row>
    <row r="1156" spans="1:9" ht="15" customHeight="1" x14ac:dyDescent="0.25">
      <c r="A1156" s="132" t="s">
        <v>250</v>
      </c>
      <c r="B1156" s="132" t="s">
        <v>6</v>
      </c>
      <c r="C1156" s="132">
        <v>49</v>
      </c>
      <c r="D1156" s="132" t="str">
        <f t="shared" si="83"/>
        <v>Female CIM 49</v>
      </c>
      <c r="E1156" s="132">
        <v>0</v>
      </c>
      <c r="I1156" s="132">
        <v>0</v>
      </c>
    </row>
    <row r="1157" spans="1:9" ht="15" customHeight="1" x14ac:dyDescent="0.25">
      <c r="A1157" s="132" t="s">
        <v>250</v>
      </c>
      <c r="B1157" s="132" t="s">
        <v>6</v>
      </c>
      <c r="C1157" s="132">
        <v>50</v>
      </c>
      <c r="D1157" s="132" t="str">
        <f t="shared" si="83"/>
        <v>Female CIM 50</v>
      </c>
      <c r="E1157" s="132">
        <v>1</v>
      </c>
      <c r="I1157" s="132">
        <v>0</v>
      </c>
    </row>
    <row r="1158" spans="1:9" ht="15" customHeight="1" x14ac:dyDescent="0.25">
      <c r="A1158" s="132" t="s">
        <v>250</v>
      </c>
      <c r="B1158" s="132" t="s">
        <v>6</v>
      </c>
      <c r="C1158" s="132">
        <v>63</v>
      </c>
      <c r="D1158" s="132" t="str">
        <f t="shared" si="83"/>
        <v>Female CIM 63</v>
      </c>
      <c r="E1158" s="132">
        <v>0</v>
      </c>
      <c r="I1158" s="132">
        <v>0</v>
      </c>
    </row>
    <row r="1159" spans="1:9" ht="15" customHeight="1" x14ac:dyDescent="0.25">
      <c r="A1159" s="132" t="s">
        <v>250</v>
      </c>
      <c r="B1159" s="132" t="s">
        <v>6</v>
      </c>
      <c r="C1159" s="132">
        <v>70</v>
      </c>
      <c r="D1159" s="132" t="str">
        <f t="shared" si="83"/>
        <v>Female CIM 70</v>
      </c>
      <c r="E1159" s="132">
        <v>0</v>
      </c>
      <c r="I1159" s="132">
        <v>0</v>
      </c>
    </row>
    <row r="1160" spans="1:9" ht="15" customHeight="1" x14ac:dyDescent="0.25">
      <c r="A1160" s="132" t="s">
        <v>250</v>
      </c>
      <c r="B1160" s="132" t="s">
        <v>6</v>
      </c>
      <c r="C1160" s="132">
        <v>81</v>
      </c>
      <c r="D1160" s="132" t="str">
        <f t="shared" si="83"/>
        <v>Female CIM 81</v>
      </c>
      <c r="E1160" s="132">
        <v>0</v>
      </c>
      <c r="I1160" s="132">
        <v>0</v>
      </c>
    </row>
    <row r="1161" spans="1:9" ht="15" customHeight="1" x14ac:dyDescent="0.25">
      <c r="A1161" s="132" t="s">
        <v>250</v>
      </c>
      <c r="B1161" s="132" t="s">
        <v>6</v>
      </c>
      <c r="C1161" s="132">
        <v>90</v>
      </c>
      <c r="D1161" s="132" t="str">
        <f t="shared" si="83"/>
        <v>Female CIM 90</v>
      </c>
      <c r="E1161" s="132">
        <v>0</v>
      </c>
      <c r="I1161" s="132">
        <v>0</v>
      </c>
    </row>
    <row r="1162" spans="1:9" ht="15" customHeight="1" x14ac:dyDescent="0.25">
      <c r="A1162" s="132" t="s">
        <v>250</v>
      </c>
      <c r="B1162" s="132" t="s">
        <v>6</v>
      </c>
      <c r="C1162" s="132">
        <v>100</v>
      </c>
      <c r="D1162" s="132" t="str">
        <f t="shared" si="83"/>
        <v>Female CIM 100</v>
      </c>
      <c r="E1162" s="132">
        <v>0</v>
      </c>
      <c r="I1162" s="132">
        <v>0</v>
      </c>
    </row>
    <row r="1163" spans="1:9" ht="15" customHeight="1" x14ac:dyDescent="0.25">
      <c r="A1163" s="132" t="s">
        <v>250</v>
      </c>
      <c r="B1163" s="132" t="s">
        <v>9</v>
      </c>
      <c r="C1163" s="132">
        <v>-3</v>
      </c>
      <c r="D1163" s="132" t="str">
        <f t="shared" ref="D1163:D1168" si="84">A1163&amp;" "&amp;B1163&amp;" "&amp;C1163</f>
        <v>Female NEO -3</v>
      </c>
      <c r="E1163" s="132">
        <v>1</v>
      </c>
      <c r="I1163" s="132">
        <v>0</v>
      </c>
    </row>
    <row r="1164" spans="1:9" ht="15" customHeight="1" x14ac:dyDescent="0.25">
      <c r="A1164" s="132" t="s">
        <v>250</v>
      </c>
      <c r="B1164" s="132" t="s">
        <v>9</v>
      </c>
      <c r="C1164" s="132">
        <v>-4</v>
      </c>
      <c r="D1164" s="132" t="str">
        <f t="shared" si="84"/>
        <v>Female NEO -4</v>
      </c>
      <c r="E1164" s="132">
        <v>1</v>
      </c>
      <c r="I1164" s="132">
        <v>0</v>
      </c>
    </row>
    <row r="1165" spans="1:9" ht="15" customHeight="1" x14ac:dyDescent="0.25">
      <c r="A1165" s="132" t="s">
        <v>250</v>
      </c>
      <c r="B1165" s="132" t="s">
        <v>9</v>
      </c>
      <c r="C1165" s="132">
        <v>-5</v>
      </c>
      <c r="D1165" s="132" t="str">
        <f t="shared" si="84"/>
        <v>Female NEO -5</v>
      </c>
      <c r="E1165" s="132">
        <v>1</v>
      </c>
      <c r="I1165" s="132">
        <v>0</v>
      </c>
    </row>
    <row r="1166" spans="1:9" ht="15" customHeight="1" x14ac:dyDescent="0.25">
      <c r="A1166" s="132" t="s">
        <v>250</v>
      </c>
      <c r="B1166" s="132" t="s">
        <v>9</v>
      </c>
      <c r="C1166" s="132">
        <v>-7</v>
      </c>
      <c r="D1166" s="132" t="str">
        <f t="shared" si="84"/>
        <v>Female NEO -7</v>
      </c>
      <c r="E1166" s="132">
        <v>1</v>
      </c>
      <c r="I1166" s="132">
        <v>0</v>
      </c>
    </row>
    <row r="1167" spans="1:9" ht="15" customHeight="1" x14ac:dyDescent="0.25">
      <c r="A1167" s="132" t="s">
        <v>250</v>
      </c>
      <c r="B1167" s="132" t="s">
        <v>9</v>
      </c>
      <c r="C1167" s="132">
        <v>-9</v>
      </c>
      <c r="D1167" s="132" t="str">
        <f t="shared" si="84"/>
        <v>Female NEO -9</v>
      </c>
      <c r="E1167" s="132">
        <v>1</v>
      </c>
      <c r="I1167" s="132">
        <v>0</v>
      </c>
    </row>
    <row r="1168" spans="1:9" ht="15" customHeight="1" x14ac:dyDescent="0.25">
      <c r="A1168" s="132" t="s">
        <v>250</v>
      </c>
      <c r="B1168" s="132" t="s">
        <v>9</v>
      </c>
      <c r="C1168" s="132">
        <v>-10</v>
      </c>
      <c r="D1168" s="132" t="str">
        <f t="shared" si="84"/>
        <v>Female NEO -10</v>
      </c>
      <c r="E1168" s="132">
        <v>1</v>
      </c>
      <c r="I1168" s="132">
        <v>0</v>
      </c>
    </row>
    <row r="1169" spans="1:9" ht="15" customHeight="1" x14ac:dyDescent="0.25">
      <c r="A1169" s="132" t="s">
        <v>250</v>
      </c>
      <c r="B1169" s="132" t="s">
        <v>9</v>
      </c>
      <c r="C1169" s="132">
        <v>9</v>
      </c>
      <c r="D1169" s="132" t="str">
        <f t="shared" ref="D1169:D1189" si="85">A1169&amp;" "&amp;B1169&amp;" "&amp;C1169</f>
        <v>Female NEO 9</v>
      </c>
      <c r="E1169" s="132">
        <v>5</v>
      </c>
      <c r="I1169" s="132">
        <v>0</v>
      </c>
    </row>
    <row r="1170" spans="1:9" ht="15" customHeight="1" x14ac:dyDescent="0.25">
      <c r="A1170" s="132" t="s">
        <v>250</v>
      </c>
      <c r="B1170" s="132" t="s">
        <v>9</v>
      </c>
      <c r="C1170" s="132">
        <v>12</v>
      </c>
      <c r="D1170" s="132" t="str">
        <f t="shared" si="85"/>
        <v>Female NEO 12</v>
      </c>
      <c r="E1170" s="132">
        <v>3</v>
      </c>
      <c r="I1170" s="132">
        <v>0</v>
      </c>
    </row>
    <row r="1171" spans="1:9" ht="15" customHeight="1" x14ac:dyDescent="0.25">
      <c r="A1171" s="132" t="s">
        <v>250</v>
      </c>
      <c r="B1171" s="132" t="s">
        <v>9</v>
      </c>
      <c r="C1171" s="132">
        <v>15</v>
      </c>
      <c r="D1171" s="132" t="str">
        <f t="shared" si="85"/>
        <v>Female NEO 15</v>
      </c>
      <c r="E1171" s="132">
        <v>3</v>
      </c>
      <c r="I1171" s="132">
        <v>0</v>
      </c>
    </row>
    <row r="1172" spans="1:9" ht="15" customHeight="1" x14ac:dyDescent="0.25">
      <c r="A1172" s="132" t="s">
        <v>250</v>
      </c>
      <c r="B1172" s="132" t="s">
        <v>9</v>
      </c>
      <c r="C1172" s="132">
        <v>16</v>
      </c>
      <c r="D1172" s="132" t="str">
        <f t="shared" si="85"/>
        <v>Female NEO 16</v>
      </c>
      <c r="E1172" s="132">
        <v>1</v>
      </c>
      <c r="I1172" s="132">
        <v>0</v>
      </c>
    </row>
    <row r="1173" spans="1:9" ht="15" customHeight="1" x14ac:dyDescent="0.25">
      <c r="A1173" s="132" t="s">
        <v>250</v>
      </c>
      <c r="B1173" s="132" t="s">
        <v>9</v>
      </c>
      <c r="C1173" s="132">
        <v>20</v>
      </c>
      <c r="D1173" s="132" t="str">
        <f t="shared" si="85"/>
        <v>Female NEO 20</v>
      </c>
      <c r="E1173" s="132">
        <v>1</v>
      </c>
      <c r="I1173" s="132">
        <v>0</v>
      </c>
    </row>
    <row r="1174" spans="1:9" ht="15" customHeight="1" x14ac:dyDescent="0.25">
      <c r="A1174" s="132" t="s">
        <v>250</v>
      </c>
      <c r="B1174" s="132" t="s">
        <v>9</v>
      </c>
      <c r="C1174" s="132">
        <v>21</v>
      </c>
      <c r="D1174" s="132" t="str">
        <f t="shared" si="85"/>
        <v>Female NEO 21</v>
      </c>
      <c r="E1174" s="132">
        <v>1</v>
      </c>
      <c r="I1174" s="132">
        <v>0</v>
      </c>
    </row>
    <row r="1175" spans="1:9" ht="15" customHeight="1" x14ac:dyDescent="0.25">
      <c r="A1175" s="132" t="s">
        <v>250</v>
      </c>
      <c r="B1175" s="132" t="s">
        <v>9</v>
      </c>
      <c r="C1175" s="132">
        <v>25</v>
      </c>
      <c r="D1175" s="132" t="str">
        <f t="shared" si="85"/>
        <v>Female NEO 25</v>
      </c>
      <c r="E1175" s="132">
        <v>1</v>
      </c>
      <c r="I1175" s="132">
        <v>0</v>
      </c>
    </row>
    <row r="1176" spans="1:9" ht="15" customHeight="1" x14ac:dyDescent="0.25">
      <c r="A1176" s="132" t="s">
        <v>250</v>
      </c>
      <c r="B1176" s="132" t="s">
        <v>9</v>
      </c>
      <c r="C1176" s="132">
        <v>27</v>
      </c>
      <c r="D1176" s="132" t="str">
        <f t="shared" si="85"/>
        <v>Female NEO 27</v>
      </c>
      <c r="E1176" s="132">
        <v>1</v>
      </c>
      <c r="I1176" s="132">
        <v>0</v>
      </c>
    </row>
    <row r="1177" spans="1:9" ht="15" customHeight="1" x14ac:dyDescent="0.25">
      <c r="A1177" s="132" t="s">
        <v>250</v>
      </c>
      <c r="B1177" s="132" t="s">
        <v>9</v>
      </c>
      <c r="C1177" s="132">
        <v>28</v>
      </c>
      <c r="D1177" s="132" t="str">
        <f t="shared" si="85"/>
        <v>Female NEO 28</v>
      </c>
      <c r="E1177" s="132">
        <v>1</v>
      </c>
      <c r="I1177" s="132">
        <v>0</v>
      </c>
    </row>
    <row r="1178" spans="1:9" ht="15" customHeight="1" x14ac:dyDescent="0.25">
      <c r="A1178" s="132" t="s">
        <v>250</v>
      </c>
      <c r="B1178" s="132" t="s">
        <v>9</v>
      </c>
      <c r="C1178" s="132">
        <v>30</v>
      </c>
      <c r="D1178" s="132" t="str">
        <f t="shared" si="85"/>
        <v>Female NEO 30</v>
      </c>
      <c r="E1178" s="132">
        <v>1</v>
      </c>
      <c r="I1178" s="132">
        <v>0</v>
      </c>
    </row>
    <row r="1179" spans="1:9" ht="15" customHeight="1" x14ac:dyDescent="0.25">
      <c r="A1179" s="132" t="s">
        <v>250</v>
      </c>
      <c r="B1179" s="132" t="s">
        <v>9</v>
      </c>
      <c r="C1179" s="132">
        <v>35</v>
      </c>
      <c r="D1179" s="132" t="str">
        <f t="shared" si="85"/>
        <v>Female NEO 35</v>
      </c>
      <c r="E1179" s="132">
        <v>1</v>
      </c>
      <c r="I1179" s="132">
        <v>0</v>
      </c>
    </row>
    <row r="1180" spans="1:9" ht="15" customHeight="1" x14ac:dyDescent="0.25">
      <c r="A1180" s="132" t="s">
        <v>250</v>
      </c>
      <c r="B1180" s="132" t="s">
        <v>9</v>
      </c>
      <c r="C1180" s="132">
        <v>36</v>
      </c>
      <c r="D1180" s="132" t="str">
        <f t="shared" si="85"/>
        <v>Female NEO 36</v>
      </c>
      <c r="E1180" s="132">
        <v>1</v>
      </c>
      <c r="I1180" s="132">
        <v>0</v>
      </c>
    </row>
    <row r="1181" spans="1:9" ht="15" customHeight="1" x14ac:dyDescent="0.25">
      <c r="A1181" s="132" t="s">
        <v>250</v>
      </c>
      <c r="B1181" s="132" t="s">
        <v>9</v>
      </c>
      <c r="C1181" s="132">
        <v>40</v>
      </c>
      <c r="D1181" s="132" t="str">
        <f t="shared" si="85"/>
        <v>Female NEO 40</v>
      </c>
      <c r="E1181" s="132">
        <v>1</v>
      </c>
      <c r="I1181" s="132">
        <v>0</v>
      </c>
    </row>
    <row r="1182" spans="1:9" ht="15" customHeight="1" x14ac:dyDescent="0.25">
      <c r="A1182" s="132" t="s">
        <v>250</v>
      </c>
      <c r="B1182" s="132" t="s">
        <v>9</v>
      </c>
      <c r="C1182" s="132">
        <v>45</v>
      </c>
      <c r="D1182" s="132" t="str">
        <f t="shared" si="85"/>
        <v>Female NEO 45</v>
      </c>
      <c r="E1182" s="132">
        <v>1</v>
      </c>
      <c r="I1182" s="132">
        <v>0</v>
      </c>
    </row>
    <row r="1183" spans="1:9" ht="15" customHeight="1" x14ac:dyDescent="0.25">
      <c r="A1183" s="132" t="s">
        <v>250</v>
      </c>
      <c r="B1183" s="132" t="s">
        <v>9</v>
      </c>
      <c r="C1183" s="132">
        <v>49</v>
      </c>
      <c r="D1183" s="132" t="str">
        <f t="shared" si="85"/>
        <v>Female NEO 49</v>
      </c>
      <c r="E1183" s="132">
        <v>0</v>
      </c>
      <c r="I1183" s="132">
        <v>0</v>
      </c>
    </row>
    <row r="1184" spans="1:9" ht="15" customHeight="1" x14ac:dyDescent="0.25">
      <c r="A1184" s="132" t="s">
        <v>250</v>
      </c>
      <c r="B1184" s="132" t="s">
        <v>9</v>
      </c>
      <c r="C1184" s="132">
        <v>50</v>
      </c>
      <c r="D1184" s="132" t="str">
        <f t="shared" si="85"/>
        <v>Female NEO 50</v>
      </c>
      <c r="E1184" s="132">
        <v>0</v>
      </c>
      <c r="I1184" s="132">
        <v>0</v>
      </c>
    </row>
    <row r="1185" spans="1:9" ht="15" customHeight="1" x14ac:dyDescent="0.25">
      <c r="A1185" s="132" t="s">
        <v>250</v>
      </c>
      <c r="B1185" s="132" t="s">
        <v>9</v>
      </c>
      <c r="C1185" s="132">
        <v>63</v>
      </c>
      <c r="D1185" s="132" t="str">
        <f t="shared" si="85"/>
        <v>Female NEO 63</v>
      </c>
      <c r="E1185" s="132">
        <v>0</v>
      </c>
      <c r="I1185" s="132">
        <v>0</v>
      </c>
    </row>
    <row r="1186" spans="1:9" ht="15" customHeight="1" x14ac:dyDescent="0.25">
      <c r="A1186" s="132" t="s">
        <v>250</v>
      </c>
      <c r="B1186" s="132" t="s">
        <v>9</v>
      </c>
      <c r="C1186" s="132">
        <v>70</v>
      </c>
      <c r="D1186" s="132" t="str">
        <f t="shared" si="85"/>
        <v>Female NEO 70</v>
      </c>
      <c r="E1186" s="132">
        <v>0</v>
      </c>
      <c r="I1186" s="132">
        <v>0</v>
      </c>
    </row>
    <row r="1187" spans="1:9" ht="15" customHeight="1" x14ac:dyDescent="0.25">
      <c r="A1187" s="132" t="s">
        <v>250</v>
      </c>
      <c r="B1187" s="132" t="s">
        <v>9</v>
      </c>
      <c r="C1187" s="132">
        <v>81</v>
      </c>
      <c r="D1187" s="132" t="str">
        <f t="shared" si="85"/>
        <v>Female NEO 81</v>
      </c>
      <c r="E1187" s="132">
        <v>0</v>
      </c>
      <c r="I1187" s="132">
        <v>0</v>
      </c>
    </row>
    <row r="1188" spans="1:9" ht="15" customHeight="1" x14ac:dyDescent="0.25">
      <c r="A1188" s="132" t="s">
        <v>250</v>
      </c>
      <c r="B1188" s="132" t="s">
        <v>9</v>
      </c>
      <c r="C1188" s="132">
        <v>90</v>
      </c>
      <c r="D1188" s="132" t="str">
        <f t="shared" si="85"/>
        <v>Female NEO 90</v>
      </c>
      <c r="E1188" s="132">
        <v>0</v>
      </c>
      <c r="I1188" s="132">
        <v>0</v>
      </c>
    </row>
    <row r="1189" spans="1:9" ht="15" customHeight="1" x14ac:dyDescent="0.25">
      <c r="A1189" s="132" t="s">
        <v>250</v>
      </c>
      <c r="B1189" s="132" t="s">
        <v>9</v>
      </c>
      <c r="C1189" s="132">
        <v>100</v>
      </c>
      <c r="D1189" s="132" t="str">
        <f t="shared" si="85"/>
        <v>Female NEO 100</v>
      </c>
      <c r="E1189" s="132">
        <v>0</v>
      </c>
      <c r="I1189" s="132">
        <v>0</v>
      </c>
    </row>
    <row r="1190" spans="1:9" ht="15" customHeight="1" x14ac:dyDescent="0.25">
      <c r="A1190" s="132" t="s">
        <v>250</v>
      </c>
      <c r="B1190" s="132" t="s">
        <v>334</v>
      </c>
      <c r="C1190" s="132">
        <v>-3</v>
      </c>
      <c r="D1190" s="132" t="str">
        <f t="shared" ref="D1190:D1195" si="86">A1190&amp;" "&amp;B1190&amp;" "&amp;C1190</f>
        <v>Female Falcon 500 -3</v>
      </c>
      <c r="E1190" s="132">
        <v>1</v>
      </c>
      <c r="I1190" s="132">
        <v>0</v>
      </c>
    </row>
    <row r="1191" spans="1:9" ht="15" customHeight="1" x14ac:dyDescent="0.25">
      <c r="A1191" s="132" t="s">
        <v>250</v>
      </c>
      <c r="B1191" s="132" t="s">
        <v>334</v>
      </c>
      <c r="C1191" s="132">
        <v>-4</v>
      </c>
      <c r="D1191" s="132" t="str">
        <f t="shared" si="86"/>
        <v>Female Falcon 500 -4</v>
      </c>
      <c r="E1191" s="132">
        <v>1</v>
      </c>
      <c r="I1191" s="132">
        <v>0</v>
      </c>
    </row>
    <row r="1192" spans="1:9" ht="15" customHeight="1" x14ac:dyDescent="0.25">
      <c r="A1192" s="132" t="s">
        <v>250</v>
      </c>
      <c r="B1192" s="132" t="s">
        <v>334</v>
      </c>
      <c r="C1192" s="132">
        <v>-5</v>
      </c>
      <c r="D1192" s="132" t="str">
        <f t="shared" si="86"/>
        <v>Female Falcon 500 -5</v>
      </c>
      <c r="E1192" s="132">
        <v>1</v>
      </c>
      <c r="I1192" s="132">
        <v>0</v>
      </c>
    </row>
    <row r="1193" spans="1:9" ht="15" customHeight="1" x14ac:dyDescent="0.25">
      <c r="A1193" s="132" t="s">
        <v>250</v>
      </c>
      <c r="B1193" s="132" t="s">
        <v>334</v>
      </c>
      <c r="C1193" s="132">
        <v>-7</v>
      </c>
      <c r="D1193" s="132" t="str">
        <f t="shared" si="86"/>
        <v>Female Falcon 500 -7</v>
      </c>
      <c r="E1193" s="132">
        <v>1</v>
      </c>
      <c r="I1193" s="132">
        <v>0</v>
      </c>
    </row>
    <row r="1194" spans="1:9" ht="15" customHeight="1" x14ac:dyDescent="0.25">
      <c r="A1194" s="132" t="s">
        <v>250</v>
      </c>
      <c r="B1194" s="132" t="s">
        <v>334</v>
      </c>
      <c r="C1194" s="132">
        <v>-9</v>
      </c>
      <c r="D1194" s="132" t="str">
        <f t="shared" si="86"/>
        <v>Female Falcon 500 -9</v>
      </c>
      <c r="E1194" s="132">
        <v>1</v>
      </c>
      <c r="I1194" s="132">
        <v>0</v>
      </c>
    </row>
    <row r="1195" spans="1:9" ht="15" customHeight="1" x14ac:dyDescent="0.25">
      <c r="A1195" s="132" t="s">
        <v>250</v>
      </c>
      <c r="B1195" s="132" t="s">
        <v>334</v>
      </c>
      <c r="C1195" s="132">
        <v>-10</v>
      </c>
      <c r="D1195" s="132" t="str">
        <f t="shared" si="86"/>
        <v>Female Falcon 500 -10</v>
      </c>
      <c r="E1195" s="132">
        <v>1</v>
      </c>
      <c r="I1195" s="132">
        <v>0</v>
      </c>
    </row>
    <row r="1196" spans="1:9" ht="15" customHeight="1" x14ac:dyDescent="0.25">
      <c r="A1196" s="132" t="s">
        <v>250</v>
      </c>
      <c r="B1196" s="132" t="s">
        <v>334</v>
      </c>
      <c r="C1196" s="132">
        <v>9</v>
      </c>
      <c r="D1196" s="132" t="str">
        <f t="shared" ref="D1196:D1216" si="87">A1196&amp;" "&amp;B1196&amp;" "&amp;C1196</f>
        <v>Female Falcon 500 9</v>
      </c>
      <c r="E1196" s="132">
        <v>3</v>
      </c>
      <c r="I1196" s="132">
        <v>0</v>
      </c>
    </row>
    <row r="1197" spans="1:9" ht="15" customHeight="1" x14ac:dyDescent="0.25">
      <c r="A1197" s="132" t="s">
        <v>250</v>
      </c>
      <c r="B1197" s="132" t="s">
        <v>334</v>
      </c>
      <c r="C1197" s="132">
        <v>12</v>
      </c>
      <c r="D1197" s="132" t="str">
        <f t="shared" si="87"/>
        <v>Female Falcon 500 12</v>
      </c>
      <c r="E1197" s="132">
        <v>1</v>
      </c>
      <c r="I1197" s="132">
        <v>0</v>
      </c>
    </row>
    <row r="1198" spans="1:9" ht="15" customHeight="1" x14ac:dyDescent="0.25">
      <c r="A1198" s="132" t="s">
        <v>250</v>
      </c>
      <c r="B1198" s="132" t="s">
        <v>334</v>
      </c>
      <c r="C1198" s="132">
        <v>15</v>
      </c>
      <c r="D1198" s="132" t="str">
        <f t="shared" si="87"/>
        <v>Female Falcon 500 15</v>
      </c>
      <c r="E1198" s="132">
        <v>1</v>
      </c>
      <c r="I1198" s="132">
        <v>0</v>
      </c>
    </row>
    <row r="1199" spans="1:9" ht="15" customHeight="1" x14ac:dyDescent="0.25">
      <c r="A1199" s="132" t="s">
        <v>250</v>
      </c>
      <c r="B1199" s="132" t="s">
        <v>334</v>
      </c>
      <c r="C1199" s="132">
        <v>16</v>
      </c>
      <c r="D1199" s="132" t="str">
        <f t="shared" si="87"/>
        <v>Female Falcon 500 16</v>
      </c>
      <c r="E1199" s="132">
        <v>1</v>
      </c>
      <c r="I1199" s="132">
        <v>0</v>
      </c>
    </row>
    <row r="1200" spans="1:9" ht="15" customHeight="1" x14ac:dyDescent="0.25">
      <c r="A1200" s="132" t="s">
        <v>250</v>
      </c>
      <c r="B1200" s="132" t="s">
        <v>334</v>
      </c>
      <c r="C1200" s="132">
        <v>20</v>
      </c>
      <c r="D1200" s="132" t="str">
        <f t="shared" si="87"/>
        <v>Female Falcon 500 20</v>
      </c>
      <c r="E1200" s="132">
        <v>1</v>
      </c>
      <c r="I1200" s="132">
        <v>0</v>
      </c>
    </row>
    <row r="1201" spans="1:9" ht="15" customHeight="1" x14ac:dyDescent="0.25">
      <c r="A1201" s="132" t="s">
        <v>250</v>
      </c>
      <c r="B1201" s="132" t="s">
        <v>334</v>
      </c>
      <c r="C1201" s="132">
        <v>21</v>
      </c>
      <c r="D1201" s="132" t="str">
        <f t="shared" si="87"/>
        <v>Female Falcon 500 21</v>
      </c>
      <c r="E1201" s="132">
        <v>1</v>
      </c>
      <c r="I1201" s="132">
        <v>0</v>
      </c>
    </row>
    <row r="1202" spans="1:9" ht="15" customHeight="1" x14ac:dyDescent="0.25">
      <c r="A1202" s="132" t="s">
        <v>250</v>
      </c>
      <c r="B1202" s="132" t="s">
        <v>334</v>
      </c>
      <c r="C1202" s="132">
        <v>25</v>
      </c>
      <c r="D1202" s="132" t="str">
        <f t="shared" si="87"/>
        <v>Female Falcon 500 25</v>
      </c>
      <c r="E1202" s="132">
        <v>1</v>
      </c>
      <c r="I1202" s="132">
        <v>0</v>
      </c>
    </row>
    <row r="1203" spans="1:9" ht="15" customHeight="1" x14ac:dyDescent="0.25">
      <c r="A1203" s="132" t="s">
        <v>250</v>
      </c>
      <c r="B1203" s="132" t="s">
        <v>334</v>
      </c>
      <c r="C1203" s="132">
        <v>27</v>
      </c>
      <c r="D1203" s="132" t="str">
        <f t="shared" si="87"/>
        <v>Female Falcon 500 27</v>
      </c>
      <c r="E1203" s="132">
        <v>1</v>
      </c>
      <c r="I1203" s="132">
        <v>0</v>
      </c>
    </row>
    <row r="1204" spans="1:9" ht="15" customHeight="1" x14ac:dyDescent="0.25">
      <c r="A1204" s="132" t="s">
        <v>250</v>
      </c>
      <c r="B1204" s="132" t="s">
        <v>334</v>
      </c>
      <c r="C1204" s="132">
        <v>28</v>
      </c>
      <c r="D1204" s="132" t="str">
        <f t="shared" si="87"/>
        <v>Female Falcon 500 28</v>
      </c>
      <c r="E1204" s="132">
        <v>1</v>
      </c>
      <c r="I1204" s="132">
        <v>0</v>
      </c>
    </row>
    <row r="1205" spans="1:9" ht="15" customHeight="1" x14ac:dyDescent="0.25">
      <c r="A1205" s="132" t="s">
        <v>250</v>
      </c>
      <c r="B1205" s="132" t="s">
        <v>334</v>
      </c>
      <c r="C1205" s="132">
        <v>30</v>
      </c>
      <c r="D1205" s="132" t="str">
        <f t="shared" si="87"/>
        <v>Female Falcon 500 30</v>
      </c>
      <c r="E1205" s="132">
        <v>1</v>
      </c>
      <c r="I1205" s="132">
        <v>0</v>
      </c>
    </row>
    <row r="1206" spans="1:9" ht="15" customHeight="1" x14ac:dyDescent="0.25">
      <c r="A1206" s="132" t="s">
        <v>250</v>
      </c>
      <c r="B1206" s="132" t="s">
        <v>334</v>
      </c>
      <c r="C1206" s="132">
        <v>35</v>
      </c>
      <c r="D1206" s="132" t="str">
        <f t="shared" si="87"/>
        <v>Female Falcon 500 35</v>
      </c>
      <c r="E1206" s="132">
        <v>0</v>
      </c>
      <c r="I1206" s="132">
        <v>0</v>
      </c>
    </row>
    <row r="1207" spans="1:9" ht="15" customHeight="1" x14ac:dyDescent="0.25">
      <c r="A1207" s="132" t="s">
        <v>250</v>
      </c>
      <c r="B1207" s="132" t="s">
        <v>334</v>
      </c>
      <c r="C1207" s="132">
        <v>36</v>
      </c>
      <c r="D1207" s="132" t="str">
        <f t="shared" si="87"/>
        <v>Female Falcon 500 36</v>
      </c>
      <c r="E1207" s="132">
        <v>0</v>
      </c>
      <c r="I1207" s="132">
        <v>0</v>
      </c>
    </row>
    <row r="1208" spans="1:9" ht="15" customHeight="1" x14ac:dyDescent="0.25">
      <c r="A1208" s="132" t="s">
        <v>250</v>
      </c>
      <c r="B1208" s="132" t="s">
        <v>334</v>
      </c>
      <c r="C1208" s="132">
        <v>40</v>
      </c>
      <c r="D1208" s="132" t="str">
        <f t="shared" si="87"/>
        <v>Female Falcon 500 40</v>
      </c>
      <c r="E1208" s="132">
        <v>0</v>
      </c>
      <c r="I1208" s="132">
        <v>0</v>
      </c>
    </row>
    <row r="1209" spans="1:9" ht="15" customHeight="1" x14ac:dyDescent="0.25">
      <c r="A1209" s="132" t="s">
        <v>250</v>
      </c>
      <c r="B1209" s="132" t="s">
        <v>334</v>
      </c>
      <c r="C1209" s="132">
        <v>45</v>
      </c>
      <c r="D1209" s="132" t="str">
        <f t="shared" si="87"/>
        <v>Female Falcon 500 45</v>
      </c>
      <c r="E1209" s="132">
        <v>0</v>
      </c>
      <c r="I1209" s="132">
        <v>0</v>
      </c>
    </row>
    <row r="1210" spans="1:9" ht="15" customHeight="1" x14ac:dyDescent="0.25">
      <c r="A1210" s="132" t="s">
        <v>250</v>
      </c>
      <c r="B1210" s="132" t="s">
        <v>334</v>
      </c>
      <c r="C1210" s="132">
        <v>49</v>
      </c>
      <c r="D1210" s="132" t="str">
        <f t="shared" si="87"/>
        <v>Female Falcon 500 49</v>
      </c>
      <c r="E1210" s="132">
        <v>0</v>
      </c>
      <c r="I1210" s="132">
        <v>0</v>
      </c>
    </row>
    <row r="1211" spans="1:9" ht="15" customHeight="1" x14ac:dyDescent="0.25">
      <c r="A1211" s="132" t="s">
        <v>250</v>
      </c>
      <c r="B1211" s="132" t="s">
        <v>334</v>
      </c>
      <c r="C1211" s="132">
        <v>50</v>
      </c>
      <c r="D1211" s="132" t="str">
        <f t="shared" si="87"/>
        <v>Female Falcon 500 50</v>
      </c>
      <c r="E1211" s="132">
        <v>0</v>
      </c>
      <c r="I1211" s="132">
        <v>0</v>
      </c>
    </row>
    <row r="1212" spans="1:9" ht="15" customHeight="1" x14ac:dyDescent="0.25">
      <c r="A1212" s="132" t="s">
        <v>250</v>
      </c>
      <c r="B1212" s="132" t="s">
        <v>334</v>
      </c>
      <c r="C1212" s="132">
        <v>63</v>
      </c>
      <c r="D1212" s="132" t="str">
        <f t="shared" si="87"/>
        <v>Female Falcon 500 63</v>
      </c>
      <c r="E1212" s="132">
        <v>0</v>
      </c>
      <c r="I1212" s="132">
        <v>0</v>
      </c>
    </row>
    <row r="1213" spans="1:9" ht="15" customHeight="1" x14ac:dyDescent="0.25">
      <c r="A1213" s="132" t="s">
        <v>250</v>
      </c>
      <c r="B1213" s="132" t="s">
        <v>334</v>
      </c>
      <c r="C1213" s="132">
        <v>70</v>
      </c>
      <c r="D1213" s="132" t="str">
        <f t="shared" si="87"/>
        <v>Female Falcon 500 70</v>
      </c>
      <c r="E1213" s="132">
        <v>0</v>
      </c>
      <c r="I1213" s="132">
        <v>0</v>
      </c>
    </row>
    <row r="1214" spans="1:9" ht="15" customHeight="1" x14ac:dyDescent="0.25">
      <c r="A1214" s="132" t="s">
        <v>250</v>
      </c>
      <c r="B1214" s="132" t="s">
        <v>334</v>
      </c>
      <c r="C1214" s="132">
        <v>81</v>
      </c>
      <c r="D1214" s="132" t="str">
        <f t="shared" si="87"/>
        <v>Female Falcon 500 81</v>
      </c>
      <c r="E1214" s="132">
        <v>0</v>
      </c>
      <c r="I1214" s="132">
        <v>0</v>
      </c>
    </row>
    <row r="1215" spans="1:9" ht="15" customHeight="1" x14ac:dyDescent="0.25">
      <c r="A1215" s="132" t="s">
        <v>250</v>
      </c>
      <c r="B1215" s="132" t="s">
        <v>334</v>
      </c>
      <c r="C1215" s="132">
        <v>90</v>
      </c>
      <c r="D1215" s="132" t="str">
        <f t="shared" si="87"/>
        <v>Female Falcon 500 90</v>
      </c>
      <c r="E1215" s="132">
        <v>0</v>
      </c>
      <c r="I1215" s="132">
        <v>0</v>
      </c>
    </row>
    <row r="1216" spans="1:9" ht="15" customHeight="1" x14ac:dyDescent="0.25">
      <c r="A1216" s="132" t="s">
        <v>250</v>
      </c>
      <c r="B1216" s="132" t="s">
        <v>334</v>
      </c>
      <c r="C1216" s="132">
        <v>100</v>
      </c>
      <c r="D1216" s="132" t="str">
        <f t="shared" si="87"/>
        <v>Female Falcon 500 100</v>
      </c>
      <c r="E1216" s="132">
        <v>0</v>
      </c>
      <c r="I1216" s="132">
        <v>0</v>
      </c>
    </row>
  </sheetData>
  <pageMargins left="0.7" right="0.7" top="0.75" bottom="0.75" header="0" footer="0"/>
  <pageSetup orientation="landscape"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N31"/>
  <sheetViews>
    <sheetView workbookViewId="0"/>
  </sheetViews>
  <sheetFormatPr defaultColWidth="14" defaultRowHeight="14.25" customHeight="1" x14ac:dyDescent="0.25"/>
  <cols>
    <col min="1" max="1" width="7.140625" style="140" customWidth="1"/>
    <col min="2" max="2" width="3.28515625" style="140" customWidth="1"/>
    <col min="3" max="3" width="18.28515625" style="140" customWidth="1"/>
    <col min="4" max="4" width="12.42578125" style="140" customWidth="1"/>
    <col min="5" max="5" width="8.42578125" style="140" customWidth="1"/>
    <col min="6" max="6" width="26.140625" style="140" customWidth="1"/>
    <col min="7" max="7" width="8.42578125" style="140" customWidth="1"/>
    <col min="8" max="8" width="4.42578125" style="140" customWidth="1"/>
    <col min="9" max="9" width="16.28515625" style="140" customWidth="1"/>
    <col min="10" max="10" width="6.42578125" style="140" customWidth="1"/>
    <col min="11" max="11" width="3.7109375" style="140" customWidth="1"/>
    <col min="12" max="12" width="22" style="140" customWidth="1"/>
    <col min="13" max="27" width="8.42578125" style="140" customWidth="1"/>
    <col min="28" max="16384" width="14" style="140"/>
  </cols>
  <sheetData>
    <row r="1" spans="2:14" s="133" customFormat="1" ht="14.25" customHeight="1" x14ac:dyDescent="0.3"/>
    <row r="2" spans="2:14" s="133" customFormat="1" ht="31.15" customHeight="1" x14ac:dyDescent="0.3">
      <c r="C2" s="2" t="s">
        <v>321</v>
      </c>
    </row>
    <row r="3" spans="2:14" s="133" customFormat="1" ht="14.25" customHeight="1" x14ac:dyDescent="0.3"/>
    <row r="4" spans="2:14" s="133" customFormat="1" ht="14.25" customHeight="1" x14ac:dyDescent="0.3">
      <c r="B4" s="8" t="b">
        <v>0</v>
      </c>
      <c r="C4" s="133" t="s">
        <v>0</v>
      </c>
    </row>
    <row r="5" spans="2:14" ht="18" customHeight="1" x14ac:dyDescent="0.3">
      <c r="H5" s="250" t="s">
        <v>322</v>
      </c>
      <c r="I5" s="251"/>
      <c r="K5" s="250" t="s">
        <v>323</v>
      </c>
      <c r="L5" s="251"/>
    </row>
    <row r="6" spans="2:14" ht="14.25" customHeight="1" x14ac:dyDescent="0.25">
      <c r="C6" s="141" t="s">
        <v>310</v>
      </c>
      <c r="D6" s="150" t="s">
        <v>256</v>
      </c>
      <c r="F6" s="252" t="s">
        <v>311</v>
      </c>
      <c r="H6" s="153" t="s">
        <v>312</v>
      </c>
      <c r="I6" s="154" t="s">
        <v>313</v>
      </c>
      <c r="J6" s="142" t="str">
        <f>VLOOKUP($D$15, VP_Base, 6, FALSE) &amp; IF($D$7="None",VLOOKUP($D$6, VP_Motor, 6, FALSE), "") &amp; VLOOKUP($D$7, VP_DualMotor, CHOOSE(MATCH($D$6, {"775pro","CIM","Mini CIM","BAG","BB RS-775","BB RS-550","AM 9015","NeverRest"}),7,9,9,8,7,6,6,9), FALSE) &amp; VLOOKUP($D$9, VP_Stage, 6, FALSE) &amp; VLOOKUP($D$10, VP_Stage, 6, FALSE) &amp; VLOOKUP($D$11, VP_Stage, 6, FALSE) &amp; VLOOKUP($D$8, VP_180, CHOOSE(MATCH($D$6, {"775pro","CIM","Mini CIM","BAG","BB RS-775","BB RS-550","AM 9015","NeverRest"}),7,9,9,8,7,6,6,9), FALSE) &amp; VLOOKUP($D$12, VP_90, 6, FALSE) &amp; VLOOKUP($D$13, VP_Ratchet, 6, FALSE) &amp; VLOOKUP($D$14, VP_Encoder, 6, FALSE)</f>
        <v>217-4973,217-2816,217-3102,217-2816,217-2819,</v>
      </c>
      <c r="K6" s="153" t="s">
        <v>312</v>
      </c>
      <c r="L6" s="154" t="s">
        <v>313</v>
      </c>
      <c r="M6" s="142" t="str">
        <f>VLOOKUP($D$15, VP_Base, 7, FALSE) &amp; IF($D$7="None",VLOOKUP($D$6, VP_Motor, 7, FALSE), "") &amp; VLOOKUP($D$7, VP_DualMotor, CHOOSE(MATCH($D$6, {"775pro","CIM","Mini CIM","BAG","BB RS-775","BB RS-550","AM 9015","NeverRest"}),7,9,9,8,7,6,6,9), FALSE) &amp; VLOOKUP($D$9, VP_Stage, 7, FALSE) &amp; VLOOKUP($D$10, VP_Stage, 7, FALSE) &amp; VLOOKUP($D$11, VP_Stage, 7, FALSE) &amp; VLOOKUP($D$8, VP_180, CHOOSE(MATCH($D$6, {"775pro","CIM","Mini CIM","BAG","BB RS-775","BB RS-550","AM 9015","NeverRest"}),7,9,9,8,7,6,6,9), FALSE) &amp; VLOOKUP($D$12, VP_90, 6, FALSE) &amp; VLOOKUP($D$13, VP_Ratchet, 6, FALSE) &amp; VLOOKUP($D$14, VP_Encoder, 6, FALSE)</f>
        <v>217-5823,217-2897,217-3564,217-4649,217-5832,217-3102,217-5832,217-2819,</v>
      </c>
      <c r="N6" s="143" t="s">
        <v>326</v>
      </c>
    </row>
    <row r="7" spans="2:14" ht="14.25" customHeight="1" x14ac:dyDescent="0.25">
      <c r="C7" s="141" t="s">
        <v>314</v>
      </c>
      <c r="D7" s="150" t="s">
        <v>258</v>
      </c>
      <c r="E7" s="142">
        <f>CHOOSE(MATCH($D$7, {"None","DM Nyl 1:1","DM Nyl 3.75:1","DM Nyl 5.33:1","DM Al 1:1","DM Al 3.75:1","DM Al 5.33:1","Dual Motor"}, 0), 1, 2, 7.5, 10.67, 2, 7.5, 10.67, 2)</f>
        <v>1</v>
      </c>
      <c r="F7" s="253"/>
      <c r="H7" s="155">
        <f t="shared" ref="H7:H24" si="0">IF(LEN(J6)&gt;0, (LEN(J6)-LEN(J7))/9, "")</f>
        <v>1</v>
      </c>
      <c r="I7" s="156" t="str">
        <f t="shared" ref="I7:I24" si="1">LEFT(J6, 8)</f>
        <v>217-4973</v>
      </c>
      <c r="J7" s="142" t="str">
        <f t="shared" ref="J7:J24" si="2">SUBSTITUTE(J6, I7&amp;",", "")</f>
        <v>217-2816,217-3102,217-2816,217-2819,</v>
      </c>
      <c r="K7" s="155">
        <f t="shared" ref="K7:K24" si="3">IF(LEN(M6)&gt;0, (LEN(M6)-LEN(M7))/9, "")</f>
        <v>1</v>
      </c>
      <c r="L7" s="156" t="str">
        <f t="shared" ref="L7:L24" si="4">LEFT(M6, 8)</f>
        <v>217-5823</v>
      </c>
      <c r="M7" s="142" t="str">
        <f t="shared" ref="M7:M24" si="5">SUBSTITUTE(M6, L7&amp;",", "")</f>
        <v>217-2897,217-3564,217-4649,217-5832,217-3102,217-5832,217-2819,</v>
      </c>
      <c r="N7" s="143" t="s">
        <v>326</v>
      </c>
    </row>
    <row r="8" spans="2:14" ht="14.25" customHeight="1" x14ac:dyDescent="0.25">
      <c r="C8" s="141" t="s">
        <v>324</v>
      </c>
      <c r="D8" s="150" t="s">
        <v>303</v>
      </c>
      <c r="F8" s="253"/>
      <c r="H8" s="155">
        <f t="shared" si="0"/>
        <v>2</v>
      </c>
      <c r="I8" s="156" t="str">
        <f t="shared" si="1"/>
        <v>217-2816</v>
      </c>
      <c r="J8" s="142" t="str">
        <f t="shared" si="2"/>
        <v>217-3102,217-2819,</v>
      </c>
      <c r="K8" s="155">
        <f t="shared" si="3"/>
        <v>1</v>
      </c>
      <c r="L8" s="156" t="str">
        <f t="shared" si="4"/>
        <v>217-2897</v>
      </c>
      <c r="M8" s="142" t="str">
        <f t="shared" si="5"/>
        <v>217-3564,217-4649,217-5832,217-3102,217-5832,217-2819,</v>
      </c>
      <c r="N8" s="143" t="s">
        <v>326</v>
      </c>
    </row>
    <row r="9" spans="2:14" ht="14.25" customHeight="1" x14ac:dyDescent="0.25">
      <c r="C9" s="141" t="s">
        <v>315</v>
      </c>
      <c r="D9" s="151" t="s">
        <v>268</v>
      </c>
      <c r="F9" s="253"/>
      <c r="H9" s="155">
        <f t="shared" si="0"/>
        <v>1</v>
      </c>
      <c r="I9" s="156" t="str">
        <f t="shared" si="1"/>
        <v>217-3102</v>
      </c>
      <c r="J9" s="142" t="str">
        <f t="shared" si="2"/>
        <v>217-2819,</v>
      </c>
      <c r="K9" s="155">
        <f t="shared" si="3"/>
        <v>1</v>
      </c>
      <c r="L9" s="156" t="str">
        <f t="shared" si="4"/>
        <v>217-3564</v>
      </c>
      <c r="M9" s="142" t="str">
        <f t="shared" si="5"/>
        <v>217-4649,217-5832,217-3102,217-5832,217-2819,</v>
      </c>
      <c r="N9" s="143" t="s">
        <v>326</v>
      </c>
    </row>
    <row r="10" spans="2:14" ht="14.25" customHeight="1" x14ac:dyDescent="0.25">
      <c r="C10" s="141" t="s">
        <v>316</v>
      </c>
      <c r="D10" s="151" t="s">
        <v>265</v>
      </c>
      <c r="F10" s="254"/>
      <c r="H10" s="155">
        <f t="shared" si="0"/>
        <v>1</v>
      </c>
      <c r="I10" s="156" t="str">
        <f t="shared" si="1"/>
        <v>217-2819</v>
      </c>
      <c r="J10" s="142" t="str">
        <f t="shared" si="2"/>
        <v/>
      </c>
      <c r="K10" s="155">
        <f t="shared" si="3"/>
        <v>1</v>
      </c>
      <c r="L10" s="156" t="str">
        <f t="shared" si="4"/>
        <v>217-4649</v>
      </c>
      <c r="M10" s="142" t="str">
        <f t="shared" si="5"/>
        <v>217-5832,217-3102,217-5832,217-2819,</v>
      </c>
      <c r="N10" s="143" t="s">
        <v>326</v>
      </c>
    </row>
    <row r="11" spans="2:14" ht="14.25" customHeight="1" x14ac:dyDescent="0.3">
      <c r="C11" s="141" t="s">
        <v>236</v>
      </c>
      <c r="D11" s="151" t="s">
        <v>258</v>
      </c>
      <c r="H11" s="155" t="str">
        <f t="shared" si="0"/>
        <v/>
      </c>
      <c r="I11" s="156" t="str">
        <f t="shared" si="1"/>
        <v/>
      </c>
      <c r="J11" s="142" t="str">
        <f t="shared" si="2"/>
        <v/>
      </c>
      <c r="K11" s="155">
        <f t="shared" si="3"/>
        <v>2</v>
      </c>
      <c r="L11" s="156" t="str">
        <f t="shared" si="4"/>
        <v>217-5832</v>
      </c>
      <c r="M11" s="142" t="str">
        <f t="shared" si="5"/>
        <v>217-3102,217-2819,</v>
      </c>
      <c r="N11" s="143" t="s">
        <v>326</v>
      </c>
    </row>
    <row r="12" spans="2:14" ht="14.25" customHeight="1" x14ac:dyDescent="0.25">
      <c r="C12" s="141" t="s">
        <v>304</v>
      </c>
      <c r="D12" s="150" t="s">
        <v>303</v>
      </c>
      <c r="F12" s="258" t="s">
        <v>344</v>
      </c>
      <c r="G12" s="144"/>
      <c r="H12" s="155" t="str">
        <f t="shared" si="0"/>
        <v/>
      </c>
      <c r="I12" s="156" t="str">
        <f t="shared" si="1"/>
        <v/>
      </c>
      <c r="J12" s="142" t="str">
        <f t="shared" si="2"/>
        <v/>
      </c>
      <c r="K12" s="155">
        <f t="shared" si="3"/>
        <v>1</v>
      </c>
      <c r="L12" s="156" t="str">
        <f t="shared" si="4"/>
        <v>217-3102</v>
      </c>
      <c r="M12" s="142" t="str">
        <f t="shared" si="5"/>
        <v>217-2819,</v>
      </c>
      <c r="N12" s="143" t="s">
        <v>326</v>
      </c>
    </row>
    <row r="13" spans="2:14" ht="14.25" customHeight="1" x14ac:dyDescent="0.25">
      <c r="C13" s="141" t="s">
        <v>306</v>
      </c>
      <c r="D13" s="150" t="s">
        <v>303</v>
      </c>
      <c r="F13" s="259"/>
      <c r="G13" s="144"/>
      <c r="H13" s="155" t="str">
        <f t="shared" si="0"/>
        <v/>
      </c>
      <c r="I13" s="156" t="str">
        <f t="shared" si="1"/>
        <v/>
      </c>
      <c r="J13" s="142" t="str">
        <f t="shared" si="2"/>
        <v/>
      </c>
      <c r="K13" s="155">
        <f t="shared" si="3"/>
        <v>1</v>
      </c>
      <c r="L13" s="156" t="str">
        <f t="shared" si="4"/>
        <v>217-2819</v>
      </c>
      <c r="M13" s="142" t="str">
        <f t="shared" si="5"/>
        <v/>
      </c>
      <c r="N13" s="143" t="s">
        <v>326</v>
      </c>
    </row>
    <row r="14" spans="2:14" ht="14.25" customHeight="1" x14ac:dyDescent="0.25">
      <c r="C14" s="141" t="s">
        <v>308</v>
      </c>
      <c r="D14" s="150" t="s">
        <v>303</v>
      </c>
      <c r="F14" s="259"/>
      <c r="G14" s="144"/>
      <c r="H14" s="155" t="str">
        <f t="shared" si="0"/>
        <v/>
      </c>
      <c r="I14" s="156" t="str">
        <f t="shared" si="1"/>
        <v/>
      </c>
      <c r="J14" s="142" t="str">
        <f t="shared" si="2"/>
        <v/>
      </c>
      <c r="K14" s="155" t="str">
        <f t="shared" si="3"/>
        <v/>
      </c>
      <c r="L14" s="156" t="str">
        <f t="shared" si="4"/>
        <v/>
      </c>
      <c r="M14" s="142" t="str">
        <f t="shared" si="5"/>
        <v/>
      </c>
      <c r="N14" s="143" t="s">
        <v>326</v>
      </c>
    </row>
    <row r="15" spans="2:14" ht="14.25" customHeight="1" x14ac:dyDescent="0.25">
      <c r="C15" s="141" t="s">
        <v>234</v>
      </c>
      <c r="D15" s="150" t="s">
        <v>117</v>
      </c>
      <c r="F15" s="260"/>
      <c r="G15" s="144"/>
      <c r="H15" s="155" t="str">
        <f t="shared" si="0"/>
        <v/>
      </c>
      <c r="I15" s="156" t="str">
        <f t="shared" si="1"/>
        <v/>
      </c>
      <c r="J15" s="142" t="str">
        <f t="shared" si="2"/>
        <v/>
      </c>
      <c r="K15" s="155" t="str">
        <f t="shared" si="3"/>
        <v/>
      </c>
      <c r="L15" s="156" t="str">
        <f t="shared" si="4"/>
        <v/>
      </c>
      <c r="M15" s="142" t="str">
        <f t="shared" si="5"/>
        <v/>
      </c>
      <c r="N15" s="143" t="s">
        <v>326</v>
      </c>
    </row>
    <row r="16" spans="2:14" ht="14.25" customHeight="1" thickBot="1" x14ac:dyDescent="0.35">
      <c r="H16" s="155" t="str">
        <f t="shared" si="0"/>
        <v/>
      </c>
      <c r="I16" s="156" t="str">
        <f t="shared" si="1"/>
        <v/>
      </c>
      <c r="J16" s="142" t="str">
        <f t="shared" si="2"/>
        <v/>
      </c>
      <c r="K16" s="155" t="str">
        <f t="shared" si="3"/>
        <v/>
      </c>
      <c r="L16" s="156" t="str">
        <f t="shared" si="4"/>
        <v/>
      </c>
      <c r="M16" s="142" t="str">
        <f t="shared" si="5"/>
        <v/>
      </c>
      <c r="N16" s="143" t="s">
        <v>326</v>
      </c>
    </row>
    <row r="17" spans="3:14" ht="14.25" customHeight="1" x14ac:dyDescent="0.25">
      <c r="C17" s="141" t="s">
        <v>330</v>
      </c>
      <c r="D17" s="145">
        <f>VALUE(IF($D$9="None", 1, LEFT($D$9, 2)))*VALUE(IF($D$10="None", 1, LEFT($D$10, 2)))*VALUE(IF($D$11="None", 1, LEFT($D$11, 2)))</f>
        <v>35</v>
      </c>
      <c r="F17" s="255" t="s">
        <v>317</v>
      </c>
      <c r="H17" s="155" t="str">
        <f t="shared" si="0"/>
        <v/>
      </c>
      <c r="I17" s="156" t="str">
        <f t="shared" si="1"/>
        <v/>
      </c>
      <c r="J17" s="142" t="str">
        <f t="shared" si="2"/>
        <v/>
      </c>
      <c r="K17" s="155" t="str">
        <f t="shared" si="3"/>
        <v/>
      </c>
      <c r="L17" s="156" t="str">
        <f t="shared" si="4"/>
        <v/>
      </c>
      <c r="M17" s="142" t="str">
        <f t="shared" si="5"/>
        <v/>
      </c>
      <c r="N17" s="143" t="s">
        <v>326</v>
      </c>
    </row>
    <row r="18" spans="3:14" ht="14.25" customHeight="1" x14ac:dyDescent="0.25">
      <c r="C18" s="141" t="s">
        <v>320</v>
      </c>
      <c r="D18" s="146">
        <f>VLOOKUP($D$6, MotorSpecs, 2, FALSE)/D17</f>
        <v>535.14285714285711</v>
      </c>
      <c r="F18" s="256"/>
      <c r="H18" s="155" t="str">
        <f t="shared" si="0"/>
        <v/>
      </c>
      <c r="I18" s="156" t="str">
        <f t="shared" si="1"/>
        <v/>
      </c>
      <c r="J18" s="142" t="str">
        <f t="shared" si="2"/>
        <v/>
      </c>
      <c r="K18" s="155" t="str">
        <f t="shared" si="3"/>
        <v/>
      </c>
      <c r="L18" s="156" t="str">
        <f t="shared" si="4"/>
        <v/>
      </c>
      <c r="M18" s="142" t="str">
        <f t="shared" si="5"/>
        <v/>
      </c>
      <c r="N18" s="143" t="s">
        <v>326</v>
      </c>
    </row>
    <row r="19" spans="3:14" ht="14.25" customHeight="1" thickBot="1" x14ac:dyDescent="0.3">
      <c r="C19" s="141" t="str">
        <f>"Stall Torque ("&amp;IF($B$4,"Nm","ft-lbs")&amp;")"</f>
        <v>Stall Torque (ft-lbs)</v>
      </c>
      <c r="D19" s="147">
        <f>VLOOKUP($D$6,MotorSpecs,3,FALSE)*D17*IF($B$4,1,0.73756)</f>
        <v>18.328365999999999</v>
      </c>
      <c r="F19" s="257"/>
      <c r="H19" s="155" t="str">
        <f t="shared" si="0"/>
        <v/>
      </c>
      <c r="I19" s="156" t="str">
        <f t="shared" si="1"/>
        <v/>
      </c>
      <c r="J19" s="142" t="str">
        <f t="shared" si="2"/>
        <v/>
      </c>
      <c r="K19" s="155" t="str">
        <f t="shared" si="3"/>
        <v/>
      </c>
      <c r="L19" s="156" t="str">
        <f t="shared" si="4"/>
        <v/>
      </c>
      <c r="M19" s="142" t="str">
        <f t="shared" si="5"/>
        <v/>
      </c>
      <c r="N19" s="143" t="s">
        <v>326</v>
      </c>
    </row>
    <row r="20" spans="3:14" ht="14.25" customHeight="1" thickBot="1" x14ac:dyDescent="0.3">
      <c r="F20" s="148"/>
      <c r="H20" s="155" t="str">
        <f t="shared" si="0"/>
        <v/>
      </c>
      <c r="I20" s="156" t="str">
        <f t="shared" si="1"/>
        <v/>
      </c>
      <c r="J20" s="142" t="str">
        <f t="shared" si="2"/>
        <v/>
      </c>
      <c r="K20" s="155" t="str">
        <f t="shared" si="3"/>
        <v/>
      </c>
      <c r="L20" s="156" t="str">
        <f t="shared" si="4"/>
        <v/>
      </c>
      <c r="M20" s="142" t="str">
        <f t="shared" si="5"/>
        <v/>
      </c>
      <c r="N20" s="143" t="s">
        <v>326</v>
      </c>
    </row>
    <row r="21" spans="3:14" ht="14.25" customHeight="1" x14ac:dyDescent="0.25">
      <c r="C21" s="141" t="s">
        <v>345</v>
      </c>
      <c r="D21" s="152" t="b">
        <f>IF(OR(VALUE(IF($D$10="None", 1, LEFT($D$10, 2)))&gt;VALUE(IF($D$9="None", 1, LEFT($D$9, 2))), VALUE(IF($D$11="None", 1, LEFT($D$11, 2)))&gt;VALUE(IF($D$10="None", 1, LEFT($D$10, 2))), VALUE(IF($D$11="None", 1, LEFT($D$11, 2)))&gt;VALUE(IF($D$9="None", 1, LEFT($D$9, 2)))), "----&gt;", VLOOKUP($D$15&amp;" "&amp;D6&amp;" "&amp;(IF($D$9="None", 1, LEFT($D$9, 2))*IF($D$10="None", -1, LEFT($D$10, 2))), VP_Load, MATCH($E$7, {1,2,7.5,10.67}, 0)+1, FALSE)&gt;=VALUE(IF($D$11="None", 1, LEFT($D$11, 2))))</f>
        <v>1</v>
      </c>
      <c r="F21" s="255" t="s">
        <v>325</v>
      </c>
      <c r="H21" s="155" t="str">
        <f t="shared" si="0"/>
        <v/>
      </c>
      <c r="I21" s="156" t="str">
        <f t="shared" si="1"/>
        <v/>
      </c>
      <c r="J21" s="142" t="str">
        <f t="shared" si="2"/>
        <v/>
      </c>
      <c r="K21" s="155" t="str">
        <f t="shared" si="3"/>
        <v/>
      </c>
      <c r="L21" s="156" t="str">
        <f t="shared" si="4"/>
        <v/>
      </c>
      <c r="M21" s="142" t="str">
        <f t="shared" si="5"/>
        <v/>
      </c>
      <c r="N21" s="143" t="s">
        <v>326</v>
      </c>
    </row>
    <row r="22" spans="3:14" ht="14.25" customHeight="1" x14ac:dyDescent="0.25">
      <c r="C22" s="141" t="s">
        <v>318</v>
      </c>
      <c r="D22" s="149">
        <f>VLOOKUP($D$15, VP_Base, 2, FALSE)+VLOOKUP($D$6, VP_Motor, 2, FALSE)+VLOOKUP($D$9, VP_Stage, 2, FALSE)+VLOOKUP($D$10, VP_Stage, 2, FALSE)+VLOOKUP($D$11, VP_Stage, 2, FALSE)+VLOOKUP($D$7, VP_DualMotor, 2, FALSE)+VLOOKUP($D$8, VP_180, 2, FALSE)+VLOOKUP($D$12, VP_90, 2, FALSE)+VLOOKUP($D$13, VP_Ratchet, 2, FALSE)+VLOOKUP($D$14, VP_Encoder, 2, FALSE)</f>
        <v>89.95</v>
      </c>
      <c r="F22" s="256"/>
      <c r="H22" s="155" t="str">
        <f t="shared" si="0"/>
        <v/>
      </c>
      <c r="I22" s="156" t="str">
        <f t="shared" si="1"/>
        <v/>
      </c>
      <c r="J22" s="142" t="str">
        <f t="shared" si="2"/>
        <v/>
      </c>
      <c r="K22" s="155" t="str">
        <f t="shared" si="3"/>
        <v/>
      </c>
      <c r="L22" s="156" t="str">
        <f t="shared" si="4"/>
        <v/>
      </c>
      <c r="M22" s="142" t="str">
        <f t="shared" si="5"/>
        <v/>
      </c>
      <c r="N22" s="143" t="s">
        <v>326</v>
      </c>
    </row>
    <row r="23" spans="3:14" ht="14.25" customHeight="1" x14ac:dyDescent="0.25">
      <c r="C23" s="141" t="str">
        <f>"VP Weight ("&amp;IF($B$4,"kg","lbs")&amp;")"</f>
        <v>VP Weight (lbs)</v>
      </c>
      <c r="D23" s="186">
        <f>(VLOOKUP($D$15, VP_Base, 4, FALSE) + IF($D$7="None",VLOOKUP($D$6, VP_Motor, 4, FALSE), 0) + VLOOKUP($D$7, VP_DualMotor, 4, FALSE) + VLOOKUP($D$9, VP_Stage, 4, FALSE) + VLOOKUP($D$10, VP_Stage, 4, FALSE) + VLOOKUP($D$11, VP_Stage, 4, FALSE) + VLOOKUP($D$8, VP_180, 4, FALSE) + VLOOKUP($D$12, VP_90, 4, FALSE) + VLOOKUP($D$13, VP_Ratchet, 4, FALSE) + VLOOKUP($D$14, VP_Encoder, 4, FALSE))/IF($B$4, 2.2, 1)</f>
        <v>0.74</v>
      </c>
      <c r="F23" s="256"/>
      <c r="H23" s="155" t="str">
        <f t="shared" si="0"/>
        <v/>
      </c>
      <c r="I23" s="156" t="str">
        <f t="shared" si="1"/>
        <v/>
      </c>
      <c r="J23" s="142" t="str">
        <f t="shared" si="2"/>
        <v/>
      </c>
      <c r="K23" s="155" t="str">
        <f t="shared" si="3"/>
        <v/>
      </c>
      <c r="L23" s="156" t="str">
        <f t="shared" si="4"/>
        <v/>
      </c>
      <c r="M23" s="142" t="str">
        <f t="shared" si="5"/>
        <v/>
      </c>
      <c r="N23" s="143" t="s">
        <v>326</v>
      </c>
    </row>
    <row r="24" spans="3:14" ht="14.25" customHeight="1" thickBot="1" x14ac:dyDescent="0.3">
      <c r="F24" s="257"/>
      <c r="H24" s="155" t="str">
        <f t="shared" si="0"/>
        <v/>
      </c>
      <c r="I24" s="156" t="str">
        <f t="shared" si="1"/>
        <v/>
      </c>
      <c r="J24" s="142" t="str">
        <f t="shared" si="2"/>
        <v/>
      </c>
      <c r="K24" s="155" t="str">
        <f t="shared" si="3"/>
        <v/>
      </c>
      <c r="L24" s="156" t="str">
        <f t="shared" si="4"/>
        <v/>
      </c>
      <c r="M24" s="142" t="str">
        <f t="shared" si="5"/>
        <v/>
      </c>
      <c r="N24" s="143" t="s">
        <v>326</v>
      </c>
    </row>
    <row r="25" spans="3:14" ht="14.25" customHeight="1" x14ac:dyDescent="0.25">
      <c r="C25" s="141" t="s">
        <v>346</v>
      </c>
      <c r="D25" s="152" t="b">
        <f>IF(E7=1, IF(OR(VALUE(IF($D$10="None", 1, LEFT($D$10, 2)))&gt;VALUE(IF($D$9="None", 1, LEFT($D$9, 2))), VALUE(IF($D$11="None", 1, LEFT($D$11, 2)))&gt;VALUE(IF($D$10="None", 1, LEFT($D$10, 2))), VALUE(IF($D$11="None", 1, LEFT($D$11, 2)))&gt;VALUE(IF($D$9="None", 1, LEFT($D$9, 2)))), "----&gt;", VLOOKUP($D$15&amp;" "&amp;D6&amp;" "&amp;(IF($D$9="None", 1, LEFT($D$9, 2))*IF($D$10="None", -1, LEFT($D$10, 2))), VP_Load, MATCH($E$7, {1,2,7.5,10.67}, 0)+5, FALSE)&gt;=VALUE(IF($D$11="None", 1, LEFT($D$11, 2)))), "V V V")</f>
        <v>1</v>
      </c>
      <c r="H25" s="157" t="str">
        <f t="shared" ref="H25" si="6">IF(LEN(J24)&gt;0, (LEN(J24)-LEN(J25))/9, "")</f>
        <v/>
      </c>
      <c r="I25" s="158" t="str">
        <f t="shared" ref="I25" si="7">LEFT(J24, 8)</f>
        <v/>
      </c>
      <c r="J25" s="142" t="str">
        <f t="shared" ref="J25" si="8">SUBSTITUTE(J24, I25&amp;",", "")</f>
        <v/>
      </c>
      <c r="K25" s="157" t="str">
        <f t="shared" ref="K25" si="9">IF(LEN(M24)&gt;0, (LEN(M24)-LEN(M25))/9, "")</f>
        <v/>
      </c>
      <c r="L25" s="158" t="str">
        <f t="shared" ref="L25" si="10">LEFT(M24, 8)</f>
        <v/>
      </c>
      <c r="M25" s="142" t="str">
        <f t="shared" ref="M25" si="11">SUBSTITUTE(M24, L25&amp;",", "")</f>
        <v/>
      </c>
      <c r="N25" s="143" t="s">
        <v>326</v>
      </c>
    </row>
    <row r="26" spans="3:14" ht="14.25" customHeight="1" x14ac:dyDescent="0.25">
      <c r="C26" s="141" t="s">
        <v>319</v>
      </c>
      <c r="D26" s="149">
        <f>VLOOKUP($D$15, VP_Base, 3, FALSE)+VLOOKUP($D$6, VP_Motor, 3, FALSE)+VLOOKUP($D$9, VP_Stage, 3, FALSE)+VLOOKUP($D$10, VP_Stage, 3, FALSE)+VLOOKUP($D$11, VP_Stage, 3, FALSE)+VLOOKUP($D$7, VP_DualMotor, 2, FALSE)+VLOOKUP($D$8, VP_180, 2, FALSE)+VLOOKUP($D$12, VP_90, 2, FALSE)+VLOOKUP($D$13, VP_Ratchet, 2, FALSE)+VLOOKUP($D$14, VP_Encoder, 2, FALSE)</f>
        <v>78.92</v>
      </c>
    </row>
    <row r="27" spans="3:14" ht="14.25" customHeight="1" x14ac:dyDescent="0.25">
      <c r="C27" s="141" t="str">
        <f>"VP Lite Weight ("&amp;IF($B$4,"kg","lbs")&amp;")"</f>
        <v>VP Lite Weight (lbs)</v>
      </c>
      <c r="D27" s="186">
        <f>(VLOOKUP($D$15, VP_Base, 5, FALSE) + IF($D$7="None",VLOOKUP($D$6, VP_Motor, 5, FALSE), 0) + VLOOKUP($D$7, VP_DualMotor, 4, FALSE) + VLOOKUP($D$9, VP_Stage, 5, FALSE) + VLOOKUP($D$10, VP_Stage, 5, FALSE) + VLOOKUP($D$11, VP_Stage, 5, FALSE) + VLOOKUP($D$8, VP_180, 4, FALSE) + VLOOKUP($D$12, VP_90, 4, FALSE) + VLOOKUP($D$13, VP_Ratchet, 4, FALSE) + VLOOKUP($D$14, VP_Encoder, 4, FALSE))/IF($B$4, 2.2, 1)</f>
        <v>0.58000000000000007</v>
      </c>
    </row>
    <row r="28" spans="3:14" ht="14.25" customHeight="1" thickBot="1" x14ac:dyDescent="0.3">
      <c r="D28" s="185"/>
    </row>
    <row r="29" spans="3:14" ht="14.25" customHeight="1" x14ac:dyDescent="0.25">
      <c r="C29" s="244" t="s">
        <v>358</v>
      </c>
      <c r="D29" s="245"/>
      <c r="E29" s="185"/>
    </row>
    <row r="30" spans="3:14" ht="14.25" customHeight="1" x14ac:dyDescent="0.25">
      <c r="C30" s="246"/>
      <c r="D30" s="247"/>
    </row>
    <row r="31" spans="3:14" ht="14.25" customHeight="1" thickBot="1" x14ac:dyDescent="0.3">
      <c r="C31" s="248"/>
      <c r="D31" s="249"/>
    </row>
  </sheetData>
  <sheetProtection sheet="1" objects="1" scenarios="1"/>
  <mergeCells count="7">
    <mergeCell ref="C29:D31"/>
    <mergeCell ref="K5:L5"/>
    <mergeCell ref="F6:F10"/>
    <mergeCell ref="F17:F19"/>
    <mergeCell ref="F21:F24"/>
    <mergeCell ref="H5:I5"/>
    <mergeCell ref="F12:F15"/>
  </mergeCells>
  <conditionalFormatting sqref="D21 D25">
    <cfRule type="cellIs" dxfId="12" priority="6" operator="equal">
      <formula>FALSE</formula>
    </cfRule>
    <cfRule type="cellIs" dxfId="11" priority="11" operator="equal">
      <formula>TRUE</formula>
    </cfRule>
  </conditionalFormatting>
  <conditionalFormatting sqref="F21:F24">
    <cfRule type="expression" dxfId="10" priority="12">
      <formula>NOT(OR(VALUE(IF($D$10="None", 1, LEFT($D$10, 2)))&gt;VALUE(IF($D$9="None", 1, LEFT($D$9, 2))), VALUE(IF($D$11="None", 1, LEFT($D$11, 2)))&gt;VALUE(IF($D$10="None", 1, LEFT($D$10, 2))), VALUE(IF($D$11="None", 1, LEFT($D$11, 2)))&gt;VALUE(IF($D$9="None", 1, LEFT($D$9, 2)))))</formula>
    </cfRule>
  </conditionalFormatting>
  <conditionalFormatting sqref="F17:F19">
    <cfRule type="expression" dxfId="9" priority="13">
      <formula>OR($D$7="None", OR($D$6="775pro", $D$6="BB RS-775", $D$6="BB RS-550", $D$6="BAG"))</formula>
    </cfRule>
  </conditionalFormatting>
  <conditionalFormatting sqref="D6:D7">
    <cfRule type="expression" dxfId="8" priority="10">
      <formula>NOT(OR($D$7="None", OR($D$6="775pro", $D$6="BB RS-775", $D$6="BB RS-550", $D$6="BAG")))</formula>
    </cfRule>
  </conditionalFormatting>
  <conditionalFormatting sqref="D9:D10">
    <cfRule type="expression" dxfId="7" priority="9">
      <formula>VALUE(IF($D$10="None", 1, LEFT($D$10, 2)))&gt;VALUE(IF($D$9="None", 1, LEFT($D$9, 2)))</formula>
    </cfRule>
  </conditionalFormatting>
  <conditionalFormatting sqref="D10:D11">
    <cfRule type="expression" dxfId="6" priority="8">
      <formula>VALUE(IF($D$11="None", 1, LEFT($D$11, 2)))&gt;VALUE(IF($D$10="None", 1, LEFT($D$10, 2)))</formula>
    </cfRule>
  </conditionalFormatting>
  <conditionalFormatting sqref="D9 D11">
    <cfRule type="expression" dxfId="5" priority="7">
      <formula>VALUE(IF($D$11="None", 1, LEFT($D$11, 2)))&gt;VALUE(IF($D$9="None", 1, LEFT($D$9, 2)))</formula>
    </cfRule>
  </conditionalFormatting>
  <conditionalFormatting sqref="H5:I25">
    <cfRule type="expression" dxfId="4" priority="2">
      <formula>NOT($D$21)</formula>
    </cfRule>
    <cfRule type="expression" dxfId="3" priority="5">
      <formula>$D$21</formula>
    </cfRule>
  </conditionalFormatting>
  <conditionalFormatting sqref="C29:D31">
    <cfRule type="expression" dxfId="2" priority="1">
      <formula>$E$7=1</formula>
    </cfRule>
  </conditionalFormatting>
  <conditionalFormatting sqref="K5:L25">
    <cfRule type="expression" dxfId="1" priority="39">
      <formula>NOT($D$25)</formula>
    </cfRule>
    <cfRule type="expression" dxfId="0" priority="40">
      <formula>$D$25</formula>
    </cfRule>
  </conditionalFormatting>
  <dataValidations count="5">
    <dataValidation type="list" allowBlank="1" showErrorMessage="1" sqref="D15">
      <formula1>"1/2"" Hex,1/2"" Round,3/8"" Hex,CIM Motor,Female"</formula1>
    </dataValidation>
    <dataValidation type="list" allowBlank="1" showErrorMessage="1" sqref="D6">
      <formula1>"775pro,CIM,Mini CIM,BAG Motor,BB RS-775,BB RS-550,AM 9015,NeveRest"</formula1>
    </dataValidation>
    <dataValidation type="list" allowBlank="1" showErrorMessage="1" sqref="D9:D11">
      <formula1>"None,3 : 1,4 : 1,5 : 1,7 : 1,9 : 1,10 : 1"</formula1>
    </dataValidation>
    <dataValidation type="list" allowBlank="1" showErrorMessage="1" sqref="D8 D12:D14">
      <formula1>"Yes,No"</formula1>
    </dataValidation>
    <dataValidation type="list" allowBlank="1" showErrorMessage="1" sqref="D7">
      <formula1>"None,DM Nyl 1:1,DM Nyl 3.75:1,DM Nyl 5.33:1,DM Al 1:1,DM Al 3.75:1,DM Al 5.33:1,Dual Motor"</formula1>
    </dataValidation>
  </dataValidations>
  <pageMargins left="0.7" right="0.7" top="0.75" bottom="0.75" header="0" footer="0"/>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4" r:id="rId4" name="Metric">
              <controlPr locked="0" defaultSize="0" autoFill="0" autoLine="0" autoPict="0">
                <anchor moveWithCells="1">
                  <from>
                    <xdr:col>1</xdr:col>
                    <xdr:colOff>0</xdr:colOff>
                    <xdr:row>3</xdr:row>
                    <xdr:rowOff>0</xdr:rowOff>
                  </from>
                  <to>
                    <xdr:col>2</xdr:col>
                    <xdr:colOff>9525</xdr:colOff>
                    <xdr:row>4</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S32"/>
  <sheetViews>
    <sheetView workbookViewId="0"/>
  </sheetViews>
  <sheetFormatPr defaultColWidth="9.140625" defaultRowHeight="15" x14ac:dyDescent="0.25"/>
  <cols>
    <col min="1" max="1" width="9.140625" style="1"/>
    <col min="2" max="2" width="18.7109375" style="1" customWidth="1"/>
    <col min="3" max="3" width="16.85546875" style="1" customWidth="1"/>
    <col min="4" max="4" width="17" style="1" customWidth="1"/>
    <col min="5" max="5" width="15.140625" style="1" customWidth="1"/>
    <col min="6" max="6" width="15" style="1" customWidth="1"/>
    <col min="7" max="7" width="12.28515625" style="1" customWidth="1"/>
    <col min="8" max="9" width="9.140625" style="1"/>
    <col min="10" max="10" width="9.85546875" style="1" customWidth="1"/>
    <col min="11" max="16" width="9.140625" style="1"/>
    <col min="17" max="17" width="11.28515625" style="1" customWidth="1"/>
    <col min="18" max="19" width="22.28515625" style="1" customWidth="1"/>
    <col min="20" max="16384" width="9.140625" style="1"/>
  </cols>
  <sheetData>
    <row r="2" spans="1:19" ht="31.15" x14ac:dyDescent="0.3">
      <c r="B2" s="2" t="s">
        <v>210</v>
      </c>
      <c r="J2" s="2" t="s">
        <v>20</v>
      </c>
      <c r="Q2" s="2" t="s">
        <v>215</v>
      </c>
    </row>
    <row r="3" spans="1:19" ht="14.45" x14ac:dyDescent="0.3">
      <c r="B3" s="119"/>
    </row>
    <row r="4" spans="1:19" ht="14.45" x14ac:dyDescent="0.3">
      <c r="A4" s="119"/>
      <c r="B4" s="119"/>
      <c r="C4" s="120" t="s">
        <v>1</v>
      </c>
      <c r="D4" s="121" t="s">
        <v>2</v>
      </c>
      <c r="E4" s="121" t="s">
        <v>3</v>
      </c>
      <c r="F4" s="121" t="s">
        <v>4</v>
      </c>
      <c r="G4" s="122" t="s">
        <v>5</v>
      </c>
      <c r="J4" s="90"/>
      <c r="K4" s="123" t="s">
        <v>21</v>
      </c>
      <c r="L4" s="124" t="s">
        <v>22</v>
      </c>
      <c r="M4" s="124" t="s">
        <v>23</v>
      </c>
      <c r="N4" s="125" t="s">
        <v>24</v>
      </c>
      <c r="R4" s="126" t="s">
        <v>217</v>
      </c>
      <c r="S4" s="125" t="s">
        <v>218</v>
      </c>
    </row>
    <row r="5" spans="1:19" ht="14.45" x14ac:dyDescent="0.3">
      <c r="B5" s="73" t="s">
        <v>6</v>
      </c>
      <c r="C5" s="74">
        <v>5330</v>
      </c>
      <c r="D5" s="74">
        <v>2.41</v>
      </c>
      <c r="E5" s="74">
        <v>2.7</v>
      </c>
      <c r="F5" s="74">
        <v>131</v>
      </c>
      <c r="G5" s="127">
        <f>IF(ISBLANK(B5), "", (C5/60*2*PI())*D5/4)</f>
        <v>336.28916760964142</v>
      </c>
      <c r="J5" s="73" t="s">
        <v>25</v>
      </c>
      <c r="K5" s="128">
        <v>6.35</v>
      </c>
      <c r="L5" s="128">
        <v>9</v>
      </c>
      <c r="M5" s="128">
        <v>5.9</v>
      </c>
      <c r="N5" s="129">
        <v>0.31</v>
      </c>
      <c r="Q5" s="130" t="s">
        <v>220</v>
      </c>
      <c r="R5" s="74">
        <v>71700</v>
      </c>
      <c r="S5" s="131">
        <v>26900</v>
      </c>
    </row>
    <row r="6" spans="1:19" ht="14.45" x14ac:dyDescent="0.3">
      <c r="B6" s="73" t="s">
        <v>7</v>
      </c>
      <c r="C6" s="74">
        <v>5840</v>
      </c>
      <c r="D6" s="74">
        <v>1.41</v>
      </c>
      <c r="E6" s="74">
        <v>3</v>
      </c>
      <c r="F6" s="74">
        <v>89</v>
      </c>
      <c r="G6" s="127">
        <f t="shared" ref="G6:G28" si="0">IF(ISBLANK(B6), "", (C6/60*2*PI())*D6/4)</f>
        <v>215.57608788933157</v>
      </c>
      <c r="J6" s="73" t="s">
        <v>26</v>
      </c>
      <c r="K6" s="128">
        <v>9.5299999999999994</v>
      </c>
      <c r="L6" s="128">
        <v>11.76</v>
      </c>
      <c r="M6" s="128">
        <v>8.94</v>
      </c>
      <c r="N6" s="129">
        <v>0.41</v>
      </c>
      <c r="Q6" s="130" t="s">
        <v>221</v>
      </c>
      <c r="R6" s="74">
        <v>68900</v>
      </c>
      <c r="S6" s="131">
        <v>26000</v>
      </c>
    </row>
    <row r="7" spans="1:19" ht="14.45" x14ac:dyDescent="0.3">
      <c r="B7" s="73" t="s">
        <v>9</v>
      </c>
      <c r="C7" s="74">
        <v>5676</v>
      </c>
      <c r="D7" s="74">
        <v>2.6</v>
      </c>
      <c r="E7" s="74">
        <v>1.8</v>
      </c>
      <c r="F7" s="74">
        <v>105</v>
      </c>
      <c r="G7" s="127">
        <f t="shared" si="0"/>
        <v>386.35306453847278</v>
      </c>
      <c r="J7" s="73" t="s">
        <v>27</v>
      </c>
      <c r="K7" s="128">
        <v>5</v>
      </c>
      <c r="L7" s="128">
        <v>15</v>
      </c>
      <c r="M7" s="128">
        <v>3</v>
      </c>
      <c r="N7" s="129">
        <v>0</v>
      </c>
      <c r="Q7" s="130" t="s">
        <v>59</v>
      </c>
      <c r="R7" s="74">
        <v>206000</v>
      </c>
      <c r="S7" s="131">
        <v>70000</v>
      </c>
    </row>
    <row r="8" spans="1:19" ht="14.45" x14ac:dyDescent="0.3">
      <c r="B8" s="73" t="s">
        <v>334</v>
      </c>
      <c r="C8" s="74">
        <v>6380</v>
      </c>
      <c r="D8" s="74">
        <v>4.6900000000000004</v>
      </c>
      <c r="E8" s="74">
        <v>1.5</v>
      </c>
      <c r="F8" s="74">
        <v>257</v>
      </c>
      <c r="G8" s="127">
        <f t="shared" ref="G8:G26" si="1">IF(ISBLANK(B8), "", (C8/60*2*PI())*D8/4)</f>
        <v>783.36136416037095</v>
      </c>
      <c r="J8" s="73" t="s">
        <v>28</v>
      </c>
      <c r="K8" s="128">
        <v>3</v>
      </c>
      <c r="L8" s="128">
        <v>9</v>
      </c>
      <c r="M8" s="128">
        <v>3</v>
      </c>
      <c r="N8" s="129">
        <v>0</v>
      </c>
      <c r="Q8" s="130" t="s">
        <v>216</v>
      </c>
      <c r="R8" s="74">
        <v>193000</v>
      </c>
      <c r="S8" s="131">
        <v>77000</v>
      </c>
    </row>
    <row r="9" spans="1:19" ht="14.45" x14ac:dyDescent="0.3">
      <c r="B9" s="73" t="s">
        <v>256</v>
      </c>
      <c r="C9" s="74">
        <v>18730</v>
      </c>
      <c r="D9" s="74">
        <v>0.71</v>
      </c>
      <c r="E9" s="74">
        <v>0.7</v>
      </c>
      <c r="F9" s="74">
        <v>134</v>
      </c>
      <c r="G9" s="127">
        <f t="shared" si="1"/>
        <v>348.14867987694288</v>
      </c>
      <c r="J9" s="73"/>
      <c r="K9" s="128"/>
      <c r="L9" s="128"/>
      <c r="M9" s="128"/>
      <c r="N9" s="129"/>
      <c r="Q9" s="130"/>
      <c r="R9" s="74"/>
      <c r="S9" s="131"/>
    </row>
    <row r="10" spans="1:19" ht="14.45" x14ac:dyDescent="0.3">
      <c r="B10" s="73" t="s">
        <v>329</v>
      </c>
      <c r="C10" s="74">
        <v>21020</v>
      </c>
      <c r="D10" s="74">
        <v>0.7</v>
      </c>
      <c r="E10" s="74">
        <v>3.8</v>
      </c>
      <c r="F10" s="74">
        <v>130</v>
      </c>
      <c r="G10" s="127">
        <f t="shared" si="1"/>
        <v>385.21161920766843</v>
      </c>
      <c r="J10" s="73"/>
      <c r="K10" s="128"/>
      <c r="L10" s="128"/>
      <c r="M10" s="128"/>
      <c r="N10" s="129"/>
      <c r="Q10" s="130"/>
      <c r="R10" s="74"/>
      <c r="S10" s="131"/>
    </row>
    <row r="11" spans="1:19" ht="14.45" x14ac:dyDescent="0.3">
      <c r="B11" s="73" t="s">
        <v>336</v>
      </c>
      <c r="C11" s="74">
        <v>11000</v>
      </c>
      <c r="D11" s="74">
        <v>0.97</v>
      </c>
      <c r="E11" s="74">
        <v>1.4</v>
      </c>
      <c r="F11" s="74">
        <v>100</v>
      </c>
      <c r="G11" s="127">
        <f t="shared" si="1"/>
        <v>279.33994678169245</v>
      </c>
      <c r="J11" s="73"/>
      <c r="K11" s="128"/>
      <c r="L11" s="128"/>
      <c r="M11" s="128"/>
      <c r="N11" s="129"/>
      <c r="Q11" s="130"/>
      <c r="R11" s="74"/>
      <c r="S11" s="131"/>
    </row>
    <row r="12" spans="1:19" ht="14.45" x14ac:dyDescent="0.3">
      <c r="B12" s="73" t="s">
        <v>8</v>
      </c>
      <c r="C12" s="74">
        <v>13180</v>
      </c>
      <c r="D12" s="74">
        <v>0.43</v>
      </c>
      <c r="E12" s="74">
        <v>1.8</v>
      </c>
      <c r="F12" s="74">
        <v>53</v>
      </c>
      <c r="G12" s="127">
        <f t="shared" si="1"/>
        <v>148.37218504128995</v>
      </c>
    </row>
    <row r="13" spans="1:19" ht="14.45" x14ac:dyDescent="0.3">
      <c r="B13" s="73" t="s">
        <v>10</v>
      </c>
      <c r="C13" s="74">
        <v>5800</v>
      </c>
      <c r="D13" s="74">
        <v>0.28000000000000003</v>
      </c>
      <c r="E13" s="74">
        <v>1.6</v>
      </c>
      <c r="F13" s="74">
        <v>18</v>
      </c>
      <c r="G13" s="127">
        <f t="shared" si="1"/>
        <v>42.516220578581873</v>
      </c>
      <c r="J13" s="1" t="s">
        <v>29</v>
      </c>
    </row>
    <row r="14" spans="1:19" ht="14.45" x14ac:dyDescent="0.3">
      <c r="B14" s="73" t="s">
        <v>11</v>
      </c>
      <c r="C14" s="74">
        <v>14270</v>
      </c>
      <c r="D14" s="74">
        <v>0.36</v>
      </c>
      <c r="E14" s="74">
        <v>3.7</v>
      </c>
      <c r="F14" s="74">
        <v>71</v>
      </c>
      <c r="G14" s="127">
        <f t="shared" si="1"/>
        <v>134.49158150017905</v>
      </c>
    </row>
    <row r="15" spans="1:19" ht="14.45" x14ac:dyDescent="0.3">
      <c r="B15" s="73" t="s">
        <v>328</v>
      </c>
      <c r="C15" s="74">
        <v>13050</v>
      </c>
      <c r="D15" s="74">
        <v>0.72</v>
      </c>
      <c r="E15" s="74">
        <v>2.7</v>
      </c>
      <c r="F15" s="74">
        <v>97</v>
      </c>
      <c r="G15" s="127">
        <f t="shared" si="1"/>
        <v>245.98670477608078</v>
      </c>
    </row>
    <row r="16" spans="1:19" ht="14.45" x14ac:dyDescent="0.3">
      <c r="B16" s="73" t="s">
        <v>327</v>
      </c>
      <c r="C16" s="74">
        <v>19000</v>
      </c>
      <c r="D16" s="74">
        <v>0.38</v>
      </c>
      <c r="E16" s="74">
        <v>0.4</v>
      </c>
      <c r="F16" s="74">
        <v>84</v>
      </c>
      <c r="G16" s="127">
        <f t="shared" si="1"/>
        <v>189.01915799098592</v>
      </c>
    </row>
    <row r="17" spans="2:13" ht="14.45" x14ac:dyDescent="0.3">
      <c r="B17" s="73" t="s">
        <v>335</v>
      </c>
      <c r="C17" s="74">
        <v>410</v>
      </c>
      <c r="D17" s="74">
        <v>4.4000000000000004</v>
      </c>
      <c r="E17" s="74"/>
      <c r="F17" s="74">
        <v>26</v>
      </c>
      <c r="G17" s="127">
        <f t="shared" si="1"/>
        <v>47.228609558966561</v>
      </c>
    </row>
    <row r="18" spans="2:13" ht="14.45" x14ac:dyDescent="0.3">
      <c r="B18" s="73" t="s">
        <v>15</v>
      </c>
      <c r="C18" s="74">
        <v>100</v>
      </c>
      <c r="D18" s="74">
        <v>7.91</v>
      </c>
      <c r="E18" s="74">
        <v>5</v>
      </c>
      <c r="F18" s="74">
        <v>24</v>
      </c>
      <c r="G18" s="127">
        <f t="shared" si="1"/>
        <v>20.708331574912719</v>
      </c>
      <c r="M18" s="4"/>
    </row>
    <row r="19" spans="2:13" ht="14.45" x14ac:dyDescent="0.3">
      <c r="B19" s="73" t="s">
        <v>331</v>
      </c>
      <c r="C19" s="74">
        <v>6600</v>
      </c>
      <c r="D19" s="74">
        <v>6.1800000000000001E-2</v>
      </c>
      <c r="E19" s="74">
        <v>2</v>
      </c>
      <c r="F19" s="74">
        <v>11.5</v>
      </c>
      <c r="G19" s="127">
        <f t="shared" si="1"/>
        <v>10.678273429551707</v>
      </c>
      <c r="M19" s="4"/>
    </row>
    <row r="20" spans="2:13" ht="14.45" x14ac:dyDescent="0.3">
      <c r="B20" s="73" t="s">
        <v>16</v>
      </c>
      <c r="C20" s="74">
        <v>5300</v>
      </c>
      <c r="D20" s="74">
        <v>0.13</v>
      </c>
      <c r="E20" s="74">
        <v>1</v>
      </c>
      <c r="F20" s="74">
        <v>7</v>
      </c>
      <c r="G20" s="127">
        <f t="shared" si="1"/>
        <v>18.037977819361398</v>
      </c>
    </row>
    <row r="21" spans="2:13" ht="14.45" x14ac:dyDescent="0.3">
      <c r="B21" s="73" t="s">
        <v>17</v>
      </c>
      <c r="C21" s="74">
        <v>24</v>
      </c>
      <c r="D21" s="74">
        <v>22</v>
      </c>
      <c r="E21" s="74">
        <v>3</v>
      </c>
      <c r="F21" s="74">
        <v>12</v>
      </c>
      <c r="G21" s="127">
        <f t="shared" si="1"/>
        <v>13.82300767579509</v>
      </c>
    </row>
    <row r="22" spans="2:13" ht="14.45" x14ac:dyDescent="0.3">
      <c r="B22" s="73" t="s">
        <v>18</v>
      </c>
      <c r="C22" s="74">
        <v>3084</v>
      </c>
      <c r="D22" s="74">
        <v>0.32</v>
      </c>
      <c r="E22" s="74">
        <v>0.28000000000000003</v>
      </c>
      <c r="F22" s="74">
        <v>6.5</v>
      </c>
      <c r="G22" s="127">
        <f t="shared" si="1"/>
        <v>25.836457983122461</v>
      </c>
    </row>
    <row r="23" spans="2:13" ht="14.45" x14ac:dyDescent="0.3">
      <c r="B23" s="73" t="s">
        <v>19</v>
      </c>
      <c r="C23" s="74">
        <v>90</v>
      </c>
      <c r="D23" s="74">
        <v>9.24</v>
      </c>
      <c r="E23" s="74">
        <v>1.5</v>
      </c>
      <c r="F23" s="74">
        <v>16.25</v>
      </c>
      <c r="G23" s="127">
        <f t="shared" si="1"/>
        <v>21.771237089377266</v>
      </c>
    </row>
    <row r="24" spans="2:13" ht="14.45" x14ac:dyDescent="0.3">
      <c r="B24" s="73" t="s">
        <v>12</v>
      </c>
      <c r="C24" s="74">
        <v>5508</v>
      </c>
      <c r="D24" s="74">
        <v>3.82</v>
      </c>
      <c r="E24" s="74">
        <v>8.16</v>
      </c>
      <c r="F24" s="74">
        <v>220</v>
      </c>
      <c r="G24" s="127">
        <f t="shared" si="1"/>
        <v>550.84057269512709</v>
      </c>
    </row>
    <row r="25" spans="2:13" ht="14.45" x14ac:dyDescent="0.3">
      <c r="B25" s="73" t="s">
        <v>13</v>
      </c>
      <c r="C25" s="74">
        <v>5593</v>
      </c>
      <c r="D25" s="74">
        <v>5.23</v>
      </c>
      <c r="E25" s="74">
        <v>9.6199999999999992</v>
      </c>
      <c r="F25" s="74">
        <v>309</v>
      </c>
      <c r="G25" s="127">
        <f t="shared" si="1"/>
        <v>765.79959942741618</v>
      </c>
    </row>
    <row r="26" spans="2:13" ht="14.45" x14ac:dyDescent="0.3">
      <c r="B26" s="73" t="s">
        <v>14</v>
      </c>
      <c r="C26" s="74">
        <v>5437</v>
      </c>
      <c r="D26" s="74">
        <v>6.23</v>
      </c>
      <c r="E26" s="74">
        <v>9.15</v>
      </c>
      <c r="F26" s="74">
        <v>351</v>
      </c>
      <c r="G26" s="127">
        <f t="shared" si="1"/>
        <v>886.78023812205663</v>
      </c>
    </row>
    <row r="27" spans="2:13" ht="14.45" x14ac:dyDescent="0.3">
      <c r="B27" s="73"/>
      <c r="C27" s="74"/>
      <c r="D27" s="74"/>
      <c r="E27" s="74"/>
      <c r="F27" s="74"/>
      <c r="G27" s="127" t="str">
        <f t="shared" ref="G27" si="2">IF(ISBLANK(B27), "", (C27/60*2*PI())*D27/4)</f>
        <v/>
      </c>
    </row>
    <row r="28" spans="2:13" ht="14.45" x14ac:dyDescent="0.3">
      <c r="B28" s="73"/>
      <c r="C28" s="74"/>
      <c r="D28" s="74"/>
      <c r="E28" s="74"/>
      <c r="F28" s="74"/>
      <c r="G28" s="127" t="str">
        <f t="shared" si="0"/>
        <v/>
      </c>
    </row>
    <row r="29" spans="2:13" ht="14.45" x14ac:dyDescent="0.3">
      <c r="B29" s="73"/>
      <c r="C29" s="74"/>
      <c r="D29" s="74"/>
      <c r="E29" s="74"/>
      <c r="F29" s="74"/>
      <c r="G29" s="127" t="str">
        <f t="shared" ref="G29:G30" si="3">IF(ISBLANK(B29), "", (C29/60*2*PI())*D29/4)</f>
        <v/>
      </c>
    </row>
    <row r="30" spans="2:13" ht="14.45" x14ac:dyDescent="0.3">
      <c r="B30" s="73"/>
      <c r="C30" s="74"/>
      <c r="D30" s="74"/>
      <c r="E30" s="74"/>
      <c r="F30" s="74"/>
      <c r="G30" s="127" t="str">
        <f t="shared" si="3"/>
        <v/>
      </c>
    </row>
    <row r="32" spans="2:13" ht="14.45" x14ac:dyDescent="0.3">
      <c r="B32" s="1" t="s">
        <v>233</v>
      </c>
    </row>
  </sheetData>
  <sheetProtection formatCells="0" formatColumns="0" formatRows="0"/>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HOME</vt:lpstr>
      <vt:lpstr>±ÉÇÌÅÒÍ×Ñ¶ÅØÍÓ</vt:lpstr>
      <vt:lpstr>°ÉÅÈ·ÇÖÉÛ</vt:lpstr>
      <vt:lpstr>¨ÖÍÚÉØÖÅÍÒ</vt:lpstr>
      <vt:lpstr>¦ÉÅÑ¦ÉÒÈ</vt:lpstr>
      <vt:lpstr>´ÖÓÎÉÇØÍÐÉ</vt:lpstr>
      <vt:lpstr>§ÌÅÍÒ¦ÉÐØ</vt:lpstr>
      <vt:lpstr>«ÉÅÖ§ÐÉÅÖ</vt:lpstr>
      <vt:lpstr>¶ÅØÍÓ¨Í×Ø</vt:lpstr>
      <vt:lpstr>´ÒÉÙÑÅØÍÇ×</vt:lpstr>
      <vt:lpstr>´ÒÉÙ°ÍÒÏÅËÉ</vt:lpstr>
      <vt:lpstr>º´¨ÅØÅ</vt:lpstr>
      <vt:lpstr>ºÉÖ×Å´ÐÅÒÉØÅÖÝ</vt:lpstr>
      <vt:lpstr>Specs</vt:lpstr>
      <vt:lpstr>ChainBelts</vt:lpstr>
      <vt:lpstr>ChainBeltSpecs</vt:lpstr>
      <vt:lpstr>Materials</vt:lpstr>
      <vt:lpstr>MaterialSpecs</vt:lpstr>
      <vt:lpstr>Motors</vt:lpstr>
      <vt:lpstr>MotorSpecs</vt:lpstr>
      <vt:lpstr>VP_180</vt:lpstr>
      <vt:lpstr>VP_90</vt:lpstr>
      <vt:lpstr>VP_Base</vt:lpstr>
      <vt:lpstr>VP_DualMotor</vt:lpstr>
      <vt:lpstr>VP_Encoder</vt:lpstr>
      <vt:lpstr>VP_Load</vt:lpstr>
      <vt:lpstr>VP_Motor</vt:lpstr>
      <vt:lpstr>VP_Ratchet</vt:lpstr>
      <vt:lpstr>VP_Stage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Ari Meles-Braverman</dc:creator>
  <cp:lastModifiedBy>Ari Meles-Braverman</cp:lastModifiedBy>
  <dcterms:created xsi:type="dcterms:W3CDTF">2019-06-08T20:43:41Z</dcterms:created>
  <dcterms:modified xsi:type="dcterms:W3CDTF">2020-01-03T21:55:16Z</dcterms:modified>
</cp:coreProperties>
</file>