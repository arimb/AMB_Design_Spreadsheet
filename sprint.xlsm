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130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arimb\Documents\Robotics\AMB_Design_Spreadsheet\"/>
    </mc:Choice>
  </mc:AlternateContent>
  <xr:revisionPtr revIDLastSave="0" documentId="13_ncr:1_{22AA12F2-5408-4EBF-8E2D-3BF43AEB08C1}" xr6:coauthVersionLast="45" xr6:coauthVersionMax="45" xr10:uidLastSave="{00000000-0000-0000-0000-000000000000}"/>
  <bookViews>
    <workbookView xWindow="-108" yWindow="-108" windowWidth="23256" windowHeight="13176" xr2:uid="{E2D4B526-3992-4F17-80A8-4D019720CD5E}"/>
  </bookViews>
  <sheets>
    <sheet name="¨ÖÍÚÉØÖÅÍÒ" sheetId="1" r:id="rId1"/>
  </sheets>
  <externalReferences>
    <externalReference r:id="rId2"/>
  </externalReferences>
  <definedNames>
    <definedName name="ChainBelts">[1]Specs!$J$5:$J$11</definedName>
    <definedName name="ChainBeltSpecs">[1]Specs!$J$5:$N$11</definedName>
    <definedName name="Eval_Links_Teeth">EVALUATE(CHOOSE(MATCH('[1]§ÌÅÍÒ¦ÉÐØ'!A1048572, {"Nearest","Up","Down"}, 0), "MROUND", "CEILING", "FLOOR") &amp; "(" &amp; 2/'[1]§ÌÅÍÒ¦ÉÐØ'!XEY5*SQRT(('[1]§ÌÅÍÒ¦ÉÐØ'!A1048571-'[1]§ÌÅÍÒ¦ÉÐØ'!XEY8)^2-('[1]§ÌÅÍÒ¦ÉÐØ'!XEY1048574/2-'[1]§ÌÅÍÒ¦ÉÐØ'!XEY1/2)^2)+('[1]§ÌÅÍÒ¦ÉÐØ'!XEY1048573-'[1]§ÌÅÍÒ¦ÉÐØ'!XEY1048576)*ACOS(('[1]§ÌÅÍÒ¦ÉÐØ'!XEY1-'[1]§ÌÅÍÒ¦ÉÐØ'!XEY1048574)/(2*('[1]§ÌÅÍÒ¦ÉÐØ'!A1048571-'[1]§ÌÅÍÒ¦ÉÐØ'!XEY8)))/PI()+'[1]§ÌÅÍÒ¦ÉÐØ'!XEY1048576 &amp; "," &amp; '[1]§ÌÅÍÒ¦ÉÐØ'!A1048573 &amp; ")")</definedName>
    <definedName name="Materials">[1]Specs!$Q$5:$Q$11</definedName>
    <definedName name="MaterialSpecs">[1]Specs!$Q$5:$S$11</definedName>
    <definedName name="Motors">[1]Specs!$B$5:$B$28</definedName>
    <definedName name="MotorSpecs">[1]Specs!$B$5:$G$28</definedName>
    <definedName name="VP_180">[1]º´¨ÅØÅ!$O$45:$T$46</definedName>
    <definedName name="VP_90">[1]º´¨ÅØÅ!$O$50:$R$51</definedName>
    <definedName name="VP_Base">[1]º´¨ÅØÅ!$O$3:$S$7</definedName>
    <definedName name="VP_DualMotor">[1]º´¨ÅØÅ!$O$34:$T$41</definedName>
    <definedName name="VP_Encoder">[1]º´¨ÅØÅ!$O$59:$R$60</definedName>
    <definedName name="VP_Load">[1]º´¨ÅØÅ!$D$2:$L$1216</definedName>
    <definedName name="VP_Motor">[1]º´¨ÅØÅ!$O$11:$S$20</definedName>
    <definedName name="VP_Ratchet">[1]º´¨ÅØÅ!$O$55:$R$56</definedName>
    <definedName name="VP_Stage">[1]º´¨ÅØÅ!$O$24:$S$30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Q76" i="1" l="1"/>
  <c r="Q75" i="1"/>
  <c r="Q74" i="1"/>
  <c r="Q73" i="1"/>
  <c r="Q72" i="1"/>
  <c r="Q71" i="1"/>
  <c r="Q70" i="1"/>
  <c r="Q69" i="1"/>
  <c r="Q68" i="1"/>
  <c r="Q67" i="1"/>
  <c r="Q66" i="1"/>
  <c r="Q65" i="1"/>
  <c r="Q64" i="1"/>
  <c r="Q63" i="1"/>
  <c r="Q62" i="1"/>
  <c r="Q61" i="1"/>
  <c r="Q60" i="1"/>
  <c r="Q59" i="1"/>
  <c r="Q58" i="1"/>
  <c r="Q57" i="1"/>
  <c r="Q56" i="1"/>
  <c r="Q55" i="1"/>
  <c r="Q54" i="1"/>
  <c r="Q53" i="1"/>
  <c r="Q52" i="1"/>
  <c r="Q51" i="1"/>
  <c r="Q50" i="1"/>
  <c r="Q49" i="1"/>
  <c r="Q48" i="1"/>
  <c r="Q47" i="1"/>
  <c r="Q46" i="1"/>
  <c r="Q45" i="1"/>
  <c r="Q44" i="1"/>
  <c r="Q43" i="1"/>
  <c r="Q42" i="1"/>
  <c r="Q41" i="1"/>
  <c r="Q40" i="1"/>
  <c r="Q39" i="1"/>
  <c r="Q38" i="1"/>
  <c r="Q37" i="1"/>
  <c r="Q36" i="1"/>
  <c r="Q35" i="1"/>
  <c r="Q34" i="1"/>
  <c r="Q33" i="1"/>
  <c r="Q32" i="1"/>
  <c r="Q31" i="1"/>
  <c r="Q30" i="1"/>
  <c r="Q29" i="1"/>
  <c r="Q28" i="1"/>
  <c r="Q27" i="1"/>
  <c r="Q26" i="1"/>
  <c r="Q25" i="1"/>
  <c r="Q24" i="1"/>
  <c r="Q23" i="1"/>
  <c r="Q22" i="1"/>
  <c r="Q21" i="1"/>
  <c r="Q20" i="1"/>
  <c r="Q19" i="1"/>
  <c r="Q18" i="1"/>
  <c r="Q17" i="1"/>
  <c r="Q16" i="1"/>
  <c r="Q15" i="1"/>
  <c r="Q14" i="1"/>
  <c r="Q13" i="1"/>
  <c r="Q12" i="1"/>
  <c r="Q11" i="1"/>
  <c r="Q10" i="1"/>
  <c r="Q9" i="1"/>
  <c r="C17" i="1"/>
  <c r="Q8" i="1"/>
  <c r="H10" i="1"/>
  <c r="H11" i="1" s="1"/>
  <c r="H12" i="1" s="1"/>
  <c r="H13" i="1" s="1"/>
  <c r="H14" i="1" s="1"/>
  <c r="H15" i="1" s="1"/>
  <c r="H16" i="1" s="1"/>
  <c r="H17" i="1" s="1"/>
  <c r="H18" i="1" s="1"/>
  <c r="H19" i="1" s="1"/>
  <c r="H20" i="1" s="1"/>
  <c r="H21" i="1" s="1"/>
  <c r="H22" i="1" s="1"/>
  <c r="H23" i="1" s="1"/>
  <c r="H24" i="1" s="1"/>
  <c r="H25" i="1" s="1"/>
  <c r="H26" i="1" s="1"/>
  <c r="H27" i="1" s="1"/>
  <c r="H28" i="1" s="1"/>
  <c r="H29" i="1" s="1"/>
  <c r="H30" i="1" s="1"/>
  <c r="H31" i="1" s="1"/>
  <c r="H32" i="1" s="1"/>
  <c r="H33" i="1" s="1"/>
  <c r="H34" i="1" s="1"/>
  <c r="H35" i="1" s="1"/>
  <c r="H36" i="1" s="1"/>
  <c r="H37" i="1" s="1"/>
  <c r="H38" i="1" s="1"/>
  <c r="H39" i="1" s="1"/>
  <c r="H40" i="1" s="1"/>
  <c r="H41" i="1" s="1"/>
  <c r="H42" i="1" s="1"/>
  <c r="H43" i="1" s="1"/>
  <c r="H44" i="1" s="1"/>
  <c r="H45" i="1" s="1"/>
  <c r="H46" i="1" s="1"/>
  <c r="H47" i="1" s="1"/>
  <c r="H48" i="1" s="1"/>
  <c r="H49" i="1" s="1"/>
  <c r="H50" i="1" s="1"/>
  <c r="H51" i="1" s="1"/>
  <c r="H52" i="1" s="1"/>
  <c r="H53" i="1" s="1"/>
  <c r="H54" i="1" s="1"/>
  <c r="H55" i="1" s="1"/>
  <c r="H56" i="1" s="1"/>
  <c r="H57" i="1" s="1"/>
  <c r="H58" i="1" s="1"/>
  <c r="H59" i="1" s="1"/>
  <c r="H60" i="1" s="1"/>
  <c r="H61" i="1" s="1"/>
  <c r="H62" i="1" s="1"/>
  <c r="H63" i="1" s="1"/>
  <c r="H64" i="1" s="1"/>
  <c r="H65" i="1" s="1"/>
  <c r="H66" i="1" s="1"/>
  <c r="H67" i="1" s="1"/>
  <c r="H68" i="1" s="1"/>
  <c r="H69" i="1" s="1"/>
  <c r="H70" i="1" s="1"/>
  <c r="H71" i="1" s="1"/>
  <c r="H72" i="1" s="1"/>
  <c r="H73" i="1" s="1"/>
  <c r="H74" i="1" s="1"/>
  <c r="H75" i="1" s="1"/>
  <c r="H76" i="1" s="1"/>
  <c r="H9" i="1"/>
  <c r="I8" i="1"/>
  <c r="U8" i="1"/>
  <c r="T8" i="1"/>
  <c r="V7" i="1"/>
  <c r="U7" i="1"/>
  <c r="T7" i="1"/>
  <c r="J8" i="1"/>
  <c r="K8" i="1"/>
  <c r="L8" i="1" l="1"/>
  <c r="C19" i="1" l="1"/>
  <c r="D11" i="1"/>
  <c r="D10" i="1"/>
  <c r="E10" i="1" s="1"/>
  <c r="M8" i="1" s="1"/>
  <c r="N8" i="1" s="1"/>
  <c r="I9" i="1" s="1"/>
  <c r="D9" i="1"/>
  <c r="E9" i="1" s="1"/>
  <c r="D8" i="1"/>
  <c r="E8" i="1" s="1"/>
  <c r="D7" i="1"/>
  <c r="E7" i="1" s="1"/>
  <c r="E11" i="1" l="1"/>
  <c r="O8" i="1" l="1"/>
  <c r="P8" i="1" l="1"/>
  <c r="R8" i="1" s="1"/>
  <c r="S8" i="1" s="1"/>
  <c r="V8" i="1" l="1"/>
  <c r="K9" i="1"/>
  <c r="U9" i="1" s="1"/>
  <c r="J9" i="1"/>
  <c r="T9" i="1" s="1"/>
  <c r="L9" i="1" l="1"/>
  <c r="M9" i="1" s="1"/>
  <c r="N9" i="1" l="1"/>
  <c r="I10" i="1" s="1"/>
  <c r="O9" i="1" l="1"/>
  <c r="P9" i="1" s="1"/>
  <c r="R9" i="1" s="1"/>
  <c r="S9" i="1" l="1"/>
  <c r="J10" i="1" l="1"/>
  <c r="T10" i="1" s="1"/>
  <c r="V9" i="1"/>
  <c r="K10" i="1"/>
  <c r="L10" i="1" l="1"/>
  <c r="M10" i="1" s="1"/>
  <c r="U10" i="1"/>
  <c r="N10" i="1" l="1"/>
  <c r="I11" i="1" l="1"/>
  <c r="O10" i="1"/>
  <c r="P10" i="1" s="1"/>
  <c r="R10" i="1" s="1"/>
  <c r="S10" i="1" l="1"/>
  <c r="J11" i="1" l="1"/>
  <c r="V10" i="1"/>
  <c r="K11" i="1"/>
  <c r="L11" i="1" l="1"/>
  <c r="M11" i="1" s="1"/>
  <c r="U11" i="1"/>
  <c r="T11" i="1"/>
  <c r="N11" i="1" l="1"/>
  <c r="I12" i="1" l="1"/>
  <c r="O11" i="1"/>
  <c r="P11" i="1" s="1"/>
  <c r="R11" i="1" s="1"/>
  <c r="S11" i="1" l="1"/>
  <c r="V11" i="1" l="1"/>
  <c r="K12" i="1"/>
  <c r="J12" i="1"/>
  <c r="T12" i="1" l="1"/>
  <c r="L12" i="1"/>
  <c r="M12" i="1" s="1"/>
  <c r="U12" i="1"/>
  <c r="N12" i="1" l="1"/>
  <c r="X12" i="1" s="1"/>
  <c r="I13" i="1" l="1"/>
  <c r="O12" i="1"/>
  <c r="P12" i="1" s="1"/>
  <c r="R12" i="1" s="1"/>
  <c r="S12" i="1" l="1"/>
  <c r="V12" i="1" l="1"/>
  <c r="J13" i="1"/>
  <c r="K13" i="1"/>
  <c r="L13" i="1" l="1"/>
  <c r="M13" i="1" s="1"/>
  <c r="U13" i="1"/>
  <c r="T13" i="1"/>
  <c r="N13" i="1" l="1"/>
  <c r="X13" i="1" s="1"/>
  <c r="I14" i="1" l="1"/>
  <c r="O13" i="1"/>
  <c r="P13" i="1" s="1"/>
  <c r="R13" i="1" s="1"/>
  <c r="S13" i="1" l="1"/>
  <c r="V13" i="1" l="1"/>
  <c r="J14" i="1"/>
  <c r="K14" i="1"/>
  <c r="T14" i="1" l="1"/>
  <c r="L14" i="1"/>
  <c r="M14" i="1" s="1"/>
  <c r="U14" i="1"/>
  <c r="N14" i="1" l="1"/>
  <c r="X14" i="1" s="1"/>
  <c r="I15" i="1" l="1"/>
  <c r="O14" i="1"/>
  <c r="P14" i="1" s="1"/>
  <c r="R14" i="1" s="1"/>
  <c r="W14" i="1" s="1"/>
  <c r="S14" i="1" l="1"/>
  <c r="V14" i="1" l="1"/>
  <c r="J15" i="1"/>
  <c r="K15" i="1"/>
  <c r="T15" i="1" l="1"/>
  <c r="U15" i="1"/>
  <c r="L15" i="1"/>
  <c r="M15" i="1" s="1"/>
  <c r="N15" i="1" l="1"/>
  <c r="X15" i="1" s="1"/>
  <c r="I16" i="1" l="1"/>
  <c r="O15" i="1"/>
  <c r="P15" i="1" s="1"/>
  <c r="R15" i="1" s="1"/>
  <c r="W15" i="1" s="1"/>
  <c r="S15" i="1" l="1"/>
  <c r="V15" i="1" l="1"/>
  <c r="J16" i="1"/>
  <c r="K16" i="1"/>
  <c r="L16" i="1" l="1"/>
  <c r="M16" i="1" s="1"/>
  <c r="U16" i="1"/>
  <c r="T16" i="1"/>
  <c r="N16" i="1" l="1"/>
  <c r="X16" i="1" s="1"/>
  <c r="I17" i="1" l="1"/>
  <c r="O16" i="1"/>
  <c r="P16" i="1" s="1"/>
  <c r="R16" i="1" s="1"/>
  <c r="W16" i="1" s="1"/>
  <c r="S16" i="1" l="1"/>
  <c r="V16" i="1" l="1"/>
  <c r="K17" i="1"/>
  <c r="J17" i="1"/>
  <c r="T17" i="1" l="1"/>
  <c r="U17" i="1"/>
  <c r="L17" i="1"/>
  <c r="M17" i="1" s="1"/>
  <c r="N17" i="1" l="1"/>
  <c r="X17" i="1" s="1"/>
  <c r="I18" i="1" l="1"/>
  <c r="O17" i="1"/>
  <c r="P17" i="1" s="1"/>
  <c r="R17" i="1" s="1"/>
  <c r="W17" i="1" s="1"/>
  <c r="S17" i="1" l="1"/>
  <c r="V17" i="1" l="1"/>
  <c r="J18" i="1"/>
  <c r="K18" i="1"/>
  <c r="U18" i="1" l="1"/>
  <c r="L18" i="1"/>
  <c r="M18" i="1" s="1"/>
  <c r="T18" i="1"/>
  <c r="N18" i="1" l="1"/>
  <c r="X18" i="1" s="1"/>
  <c r="I19" i="1" l="1"/>
  <c r="O18" i="1"/>
  <c r="P18" i="1" s="1"/>
  <c r="R18" i="1" s="1"/>
  <c r="W18" i="1" s="1"/>
  <c r="S18" i="1" l="1"/>
  <c r="V18" i="1" l="1"/>
  <c r="K19" i="1"/>
  <c r="J19" i="1"/>
  <c r="T19" i="1" s="1"/>
  <c r="L19" i="1" l="1"/>
  <c r="M19" i="1" s="1"/>
  <c r="U19" i="1"/>
  <c r="N19" i="1" l="1"/>
  <c r="X19" i="1" s="1"/>
  <c r="O19" i="1" l="1"/>
  <c r="P19" i="1" s="1"/>
  <c r="R19" i="1" s="1"/>
  <c r="W19" i="1" s="1"/>
  <c r="I20" i="1"/>
  <c r="S19" i="1" l="1"/>
  <c r="J20" i="1" l="1"/>
  <c r="V19" i="1"/>
  <c r="K20" i="1"/>
  <c r="U20" i="1" l="1"/>
  <c r="L20" i="1"/>
  <c r="M20" i="1" s="1"/>
  <c r="T20" i="1"/>
  <c r="N20" i="1" l="1"/>
  <c r="X20" i="1" s="1"/>
  <c r="O20" i="1" l="1"/>
  <c r="P20" i="1" s="1"/>
  <c r="R20" i="1" s="1"/>
  <c r="W20" i="1" s="1"/>
  <c r="I21" i="1"/>
  <c r="S20" i="1" l="1"/>
  <c r="V20" i="1" l="1"/>
  <c r="K21" i="1"/>
  <c r="J21" i="1"/>
  <c r="T21" i="1" l="1"/>
  <c r="L21" i="1"/>
  <c r="M21" i="1" s="1"/>
  <c r="U21" i="1"/>
  <c r="N21" i="1" l="1"/>
  <c r="X21" i="1" s="1"/>
  <c r="O21" i="1" l="1"/>
  <c r="P21" i="1" s="1"/>
  <c r="R21" i="1" s="1"/>
  <c r="W21" i="1" s="1"/>
  <c r="I22" i="1"/>
  <c r="S21" i="1" l="1"/>
  <c r="V21" i="1" l="1"/>
  <c r="J22" i="1"/>
  <c r="K22" i="1"/>
  <c r="U22" i="1" l="1"/>
  <c r="L22" i="1"/>
  <c r="M22" i="1" s="1"/>
  <c r="T22" i="1"/>
  <c r="N22" i="1" l="1"/>
  <c r="X22" i="1" s="1"/>
  <c r="O22" i="1" l="1"/>
  <c r="P22" i="1" s="1"/>
  <c r="R22" i="1" s="1"/>
  <c r="W22" i="1" s="1"/>
  <c r="I23" i="1"/>
  <c r="S22" i="1" l="1"/>
  <c r="V22" i="1" l="1"/>
  <c r="K23" i="1"/>
  <c r="J23" i="1"/>
  <c r="L23" i="1" l="1"/>
  <c r="M23" i="1" s="1"/>
  <c r="U23" i="1"/>
  <c r="T23" i="1"/>
  <c r="N23" i="1" l="1"/>
  <c r="X23" i="1" s="1"/>
  <c r="O23" i="1" l="1"/>
  <c r="P23" i="1" s="1"/>
  <c r="R23" i="1" s="1"/>
  <c r="W23" i="1" s="1"/>
  <c r="I24" i="1"/>
  <c r="S23" i="1" l="1"/>
  <c r="V23" i="1" l="1"/>
  <c r="K24" i="1"/>
  <c r="J24" i="1"/>
  <c r="T24" i="1" l="1"/>
  <c r="U24" i="1"/>
  <c r="L24" i="1"/>
  <c r="M24" i="1" s="1"/>
  <c r="N24" i="1" l="1"/>
  <c r="X24" i="1" s="1"/>
  <c r="I25" i="1" l="1"/>
  <c r="O24" i="1"/>
  <c r="P24" i="1" s="1"/>
  <c r="R24" i="1" s="1"/>
  <c r="W24" i="1" s="1"/>
  <c r="S24" i="1" l="1"/>
  <c r="V24" i="1" l="1"/>
  <c r="J25" i="1"/>
  <c r="K25" i="1"/>
  <c r="U25" i="1" l="1"/>
  <c r="L25" i="1"/>
  <c r="M25" i="1" s="1"/>
  <c r="T25" i="1"/>
  <c r="N25" i="1" l="1"/>
  <c r="X25" i="1" s="1"/>
  <c r="I26" i="1" l="1"/>
  <c r="O25" i="1"/>
  <c r="P25" i="1" s="1"/>
  <c r="R25" i="1" s="1"/>
  <c r="W25" i="1" s="1"/>
  <c r="S25" i="1" l="1"/>
  <c r="V25" i="1" l="1"/>
  <c r="K26" i="1"/>
  <c r="J26" i="1"/>
  <c r="T26" i="1" l="1"/>
  <c r="U26" i="1"/>
  <c r="L26" i="1"/>
  <c r="M26" i="1" s="1"/>
  <c r="N26" i="1" l="1"/>
  <c r="X26" i="1" s="1"/>
  <c r="I27" i="1" l="1"/>
  <c r="O26" i="1"/>
  <c r="P26" i="1" s="1"/>
  <c r="R26" i="1" s="1"/>
  <c r="W26" i="1" s="1"/>
  <c r="S26" i="1" l="1"/>
  <c r="V26" i="1" l="1"/>
  <c r="J27" i="1"/>
  <c r="K27" i="1"/>
  <c r="L27" i="1" l="1"/>
  <c r="M27" i="1" s="1"/>
  <c r="U27" i="1"/>
  <c r="T27" i="1"/>
  <c r="N27" i="1" l="1"/>
  <c r="X27" i="1" s="1"/>
  <c r="I28" i="1" l="1"/>
  <c r="O27" i="1"/>
  <c r="P27" i="1" s="1"/>
  <c r="R27" i="1" s="1"/>
  <c r="W27" i="1" s="1"/>
  <c r="S27" i="1" l="1"/>
  <c r="V27" i="1" l="1"/>
  <c r="J28" i="1"/>
  <c r="K28" i="1"/>
  <c r="L28" i="1" l="1"/>
  <c r="M28" i="1" s="1"/>
  <c r="U28" i="1"/>
  <c r="T28" i="1"/>
  <c r="N28" i="1" l="1"/>
  <c r="X28" i="1" s="1"/>
  <c r="O28" i="1" l="1"/>
  <c r="P28" i="1" s="1"/>
  <c r="R28" i="1" s="1"/>
  <c r="W28" i="1" s="1"/>
  <c r="I29" i="1"/>
  <c r="S28" i="1" l="1"/>
  <c r="V28" i="1" l="1"/>
  <c r="K29" i="1"/>
  <c r="J29" i="1"/>
  <c r="T29" i="1" l="1"/>
  <c r="L29" i="1"/>
  <c r="M29" i="1" s="1"/>
  <c r="U29" i="1"/>
  <c r="N29" i="1" l="1"/>
  <c r="X29" i="1" s="1"/>
  <c r="I30" i="1" l="1"/>
  <c r="O29" i="1"/>
  <c r="P29" i="1" s="1"/>
  <c r="R29" i="1" s="1"/>
  <c r="W29" i="1" s="1"/>
  <c r="S29" i="1" l="1"/>
  <c r="V29" i="1" l="1"/>
  <c r="J30" i="1"/>
  <c r="K30" i="1"/>
  <c r="T30" i="1" l="1"/>
  <c r="U30" i="1"/>
  <c r="L30" i="1"/>
  <c r="M30" i="1" s="1"/>
  <c r="N30" i="1" l="1"/>
  <c r="X30" i="1" s="1"/>
  <c r="I31" i="1" l="1"/>
  <c r="O30" i="1"/>
  <c r="P30" i="1" s="1"/>
  <c r="R30" i="1" s="1"/>
  <c r="W30" i="1" s="1"/>
  <c r="S30" i="1" l="1"/>
  <c r="V30" i="1" l="1"/>
  <c r="J31" i="1"/>
  <c r="K31" i="1"/>
  <c r="U31" i="1" l="1"/>
  <c r="L31" i="1"/>
  <c r="M31" i="1" s="1"/>
  <c r="T31" i="1"/>
  <c r="N31" i="1" l="1"/>
  <c r="X31" i="1" s="1"/>
  <c r="I32" i="1" l="1"/>
  <c r="O31" i="1"/>
  <c r="P31" i="1" s="1"/>
  <c r="R31" i="1" s="1"/>
  <c r="W31" i="1" s="1"/>
  <c r="S31" i="1" l="1"/>
  <c r="V31" i="1" l="1"/>
  <c r="K32" i="1"/>
  <c r="J32" i="1"/>
  <c r="T32" i="1" l="1"/>
  <c r="U32" i="1"/>
  <c r="L32" i="1"/>
  <c r="M32" i="1" s="1"/>
  <c r="N32" i="1" l="1"/>
  <c r="X32" i="1" s="1"/>
  <c r="I33" i="1" l="1"/>
  <c r="O32" i="1"/>
  <c r="P32" i="1" s="1"/>
  <c r="R32" i="1" s="1"/>
  <c r="W32" i="1" s="1"/>
  <c r="S32" i="1" l="1"/>
  <c r="V32" i="1" l="1"/>
  <c r="J33" i="1"/>
  <c r="K33" i="1"/>
  <c r="U33" i="1" l="1"/>
  <c r="L33" i="1"/>
  <c r="M33" i="1" s="1"/>
  <c r="T33" i="1"/>
  <c r="N33" i="1" l="1"/>
  <c r="X33" i="1" s="1"/>
  <c r="I34" i="1" l="1"/>
  <c r="O33" i="1"/>
  <c r="P33" i="1" s="1"/>
  <c r="R33" i="1" s="1"/>
  <c r="W33" i="1" s="1"/>
  <c r="S33" i="1" l="1"/>
  <c r="V33" i="1" l="1"/>
  <c r="J34" i="1"/>
  <c r="K34" i="1"/>
  <c r="L34" i="1" l="1"/>
  <c r="M34" i="1" s="1"/>
  <c r="U34" i="1"/>
  <c r="T34" i="1"/>
  <c r="N34" i="1" l="1"/>
  <c r="X34" i="1" s="1"/>
  <c r="I35" i="1" l="1"/>
  <c r="O34" i="1"/>
  <c r="P34" i="1" s="1"/>
  <c r="R34" i="1" s="1"/>
  <c r="W34" i="1" s="1"/>
  <c r="S34" i="1" l="1"/>
  <c r="V34" i="1" l="1"/>
  <c r="J35" i="1"/>
  <c r="K35" i="1"/>
  <c r="L35" i="1" l="1"/>
  <c r="M35" i="1" s="1"/>
  <c r="U35" i="1"/>
  <c r="T35" i="1"/>
  <c r="N35" i="1" l="1"/>
  <c r="X35" i="1" s="1"/>
  <c r="O35" i="1" l="1"/>
  <c r="P35" i="1" s="1"/>
  <c r="R35" i="1" s="1"/>
  <c r="W35" i="1" s="1"/>
  <c r="I36" i="1"/>
  <c r="S35" i="1" l="1"/>
  <c r="V35" i="1" l="1"/>
  <c r="K36" i="1"/>
  <c r="J36" i="1"/>
  <c r="T36" i="1" l="1"/>
  <c r="L36" i="1"/>
  <c r="M36" i="1" s="1"/>
  <c r="U36" i="1"/>
  <c r="N36" i="1" l="1"/>
  <c r="X36" i="1" s="1"/>
  <c r="I37" i="1" l="1"/>
  <c r="O36" i="1"/>
  <c r="P36" i="1" s="1"/>
  <c r="R36" i="1" s="1"/>
  <c r="W36" i="1" s="1"/>
  <c r="S36" i="1" l="1"/>
  <c r="V36" i="1" l="1"/>
  <c r="J37" i="1"/>
  <c r="K37" i="1"/>
  <c r="L37" i="1" l="1"/>
  <c r="M37" i="1" s="1"/>
  <c r="U37" i="1"/>
  <c r="T37" i="1"/>
  <c r="N37" i="1" l="1"/>
  <c r="X37" i="1" s="1"/>
  <c r="I38" i="1" l="1"/>
  <c r="O37" i="1"/>
  <c r="P37" i="1" s="1"/>
  <c r="R37" i="1" s="1"/>
  <c r="W37" i="1" s="1"/>
  <c r="S37" i="1" l="1"/>
  <c r="V37" i="1" l="1"/>
  <c r="K38" i="1"/>
  <c r="J38" i="1"/>
  <c r="T38" i="1" l="1"/>
  <c r="U38" i="1"/>
  <c r="L38" i="1"/>
  <c r="M38" i="1" s="1"/>
  <c r="N38" i="1" l="1"/>
  <c r="X38" i="1" s="1"/>
  <c r="I39" i="1" l="1"/>
  <c r="O38" i="1"/>
  <c r="P38" i="1" s="1"/>
  <c r="R38" i="1" s="1"/>
  <c r="W38" i="1" s="1"/>
  <c r="S38" i="1" l="1"/>
  <c r="V38" i="1" l="1"/>
  <c r="J39" i="1"/>
  <c r="K39" i="1"/>
  <c r="L39" i="1" l="1"/>
  <c r="M39" i="1" s="1"/>
  <c r="U39" i="1"/>
  <c r="T39" i="1"/>
  <c r="N39" i="1" l="1"/>
  <c r="X39" i="1" s="1"/>
  <c r="I40" i="1" l="1"/>
  <c r="O39" i="1"/>
  <c r="P39" i="1" s="1"/>
  <c r="R39" i="1" s="1"/>
  <c r="W39" i="1" s="1"/>
  <c r="S39" i="1" l="1"/>
  <c r="V39" i="1" l="1"/>
  <c r="K40" i="1"/>
  <c r="J40" i="1"/>
  <c r="T40" i="1" l="1"/>
  <c r="U40" i="1"/>
  <c r="L40" i="1"/>
  <c r="M40" i="1" s="1"/>
  <c r="N40" i="1" l="1"/>
  <c r="X40" i="1" s="1"/>
  <c r="I41" i="1" l="1"/>
  <c r="O40" i="1"/>
  <c r="P40" i="1" s="1"/>
  <c r="R40" i="1" s="1"/>
  <c r="W40" i="1" s="1"/>
  <c r="S40" i="1" l="1"/>
  <c r="V40" i="1" l="1"/>
  <c r="J41" i="1"/>
  <c r="K41" i="1"/>
  <c r="U41" i="1" l="1"/>
  <c r="L41" i="1"/>
  <c r="M41" i="1" s="1"/>
  <c r="T41" i="1"/>
  <c r="N41" i="1" l="1"/>
  <c r="X41" i="1" s="1"/>
  <c r="I42" i="1" l="1"/>
  <c r="O41" i="1"/>
  <c r="P41" i="1" s="1"/>
  <c r="R41" i="1" s="1"/>
  <c r="W41" i="1" s="1"/>
  <c r="S41" i="1" l="1"/>
  <c r="V41" i="1" l="1"/>
  <c r="K42" i="1"/>
  <c r="J42" i="1"/>
  <c r="T42" i="1" l="1"/>
  <c r="U42" i="1"/>
  <c r="L42" i="1"/>
  <c r="M42" i="1" s="1"/>
  <c r="N42" i="1" l="1"/>
  <c r="X42" i="1" s="1"/>
  <c r="I43" i="1" l="1"/>
  <c r="O42" i="1"/>
  <c r="P42" i="1" s="1"/>
  <c r="R42" i="1" s="1"/>
  <c r="W42" i="1" s="1"/>
  <c r="S42" i="1" l="1"/>
  <c r="V42" i="1" l="1"/>
  <c r="J43" i="1"/>
  <c r="K43" i="1"/>
  <c r="U43" i="1" l="1"/>
  <c r="L43" i="1"/>
  <c r="M43" i="1" s="1"/>
  <c r="T43" i="1"/>
  <c r="N43" i="1" l="1"/>
  <c r="X43" i="1" s="1"/>
  <c r="I44" i="1" l="1"/>
  <c r="O43" i="1"/>
  <c r="P43" i="1" s="1"/>
  <c r="R43" i="1" s="1"/>
  <c r="W43" i="1" s="1"/>
  <c r="S43" i="1" l="1"/>
  <c r="V43" i="1" l="1"/>
  <c r="K44" i="1"/>
  <c r="J44" i="1"/>
  <c r="L44" i="1" l="1"/>
  <c r="M44" i="1" s="1"/>
  <c r="U44" i="1"/>
  <c r="T44" i="1"/>
  <c r="N44" i="1" l="1"/>
  <c r="X44" i="1" s="1"/>
  <c r="I45" i="1" l="1"/>
  <c r="O44" i="1"/>
  <c r="P44" i="1" s="1"/>
  <c r="R44" i="1" s="1"/>
  <c r="W44" i="1" s="1"/>
  <c r="S44" i="1" l="1"/>
  <c r="V44" i="1" l="1"/>
  <c r="K45" i="1"/>
  <c r="J45" i="1"/>
  <c r="T45" i="1" l="1"/>
  <c r="L45" i="1"/>
  <c r="M45" i="1" s="1"/>
  <c r="U45" i="1"/>
  <c r="N45" i="1" l="1"/>
  <c r="X45" i="1" s="1"/>
  <c r="I46" i="1" l="1"/>
  <c r="O45" i="1"/>
  <c r="P45" i="1" s="1"/>
  <c r="R45" i="1" s="1"/>
  <c r="W45" i="1" s="1"/>
  <c r="S45" i="1" l="1"/>
  <c r="V45" i="1" l="1"/>
  <c r="J46" i="1"/>
  <c r="K46" i="1"/>
  <c r="L46" i="1" l="1"/>
  <c r="M46" i="1" s="1"/>
  <c r="U46" i="1"/>
  <c r="T46" i="1"/>
  <c r="N46" i="1" l="1"/>
  <c r="X46" i="1" s="1"/>
  <c r="I47" i="1" l="1"/>
  <c r="O46" i="1"/>
  <c r="P46" i="1" s="1"/>
  <c r="R46" i="1" s="1"/>
  <c r="W46" i="1" s="1"/>
  <c r="S46" i="1" l="1"/>
  <c r="V46" i="1" l="1"/>
  <c r="K47" i="1"/>
  <c r="J47" i="1"/>
  <c r="T47" i="1" l="1"/>
  <c r="L47" i="1"/>
  <c r="M47" i="1" s="1"/>
  <c r="U47" i="1"/>
  <c r="N47" i="1" l="1"/>
  <c r="X47" i="1" s="1"/>
  <c r="O47" i="1" l="1"/>
  <c r="P47" i="1" s="1"/>
  <c r="R47" i="1" s="1"/>
  <c r="W47" i="1" s="1"/>
  <c r="I48" i="1"/>
  <c r="S47" i="1" l="1"/>
  <c r="V47" i="1" l="1"/>
  <c r="J48" i="1"/>
  <c r="K48" i="1"/>
  <c r="L48" i="1" l="1"/>
  <c r="M48" i="1" s="1"/>
  <c r="U48" i="1"/>
  <c r="T48" i="1"/>
  <c r="N48" i="1" l="1"/>
  <c r="X48" i="1" s="1"/>
  <c r="O48" i="1" l="1"/>
  <c r="P48" i="1" s="1"/>
  <c r="R48" i="1" s="1"/>
  <c r="W48" i="1" s="1"/>
  <c r="I49" i="1"/>
  <c r="S48" i="1" l="1"/>
  <c r="V48" i="1" l="1"/>
  <c r="K49" i="1"/>
  <c r="J49" i="1"/>
  <c r="T49" i="1" l="1"/>
  <c r="L49" i="1"/>
  <c r="M49" i="1" s="1"/>
  <c r="U49" i="1"/>
  <c r="N49" i="1" l="1"/>
  <c r="X49" i="1" s="1"/>
  <c r="I50" i="1" l="1"/>
  <c r="O49" i="1"/>
  <c r="P49" i="1" s="1"/>
  <c r="R49" i="1" s="1"/>
  <c r="W49" i="1" s="1"/>
  <c r="S49" i="1" l="1"/>
  <c r="V49" i="1" l="1"/>
  <c r="J50" i="1"/>
  <c r="K50" i="1"/>
  <c r="U50" i="1" l="1"/>
  <c r="L50" i="1"/>
  <c r="M50" i="1" s="1"/>
  <c r="T50" i="1"/>
  <c r="N50" i="1" l="1"/>
  <c r="X50" i="1" s="1"/>
  <c r="I51" i="1" l="1"/>
  <c r="O50" i="1"/>
  <c r="P50" i="1" s="1"/>
  <c r="R50" i="1" s="1"/>
  <c r="W50" i="1" s="1"/>
  <c r="S50" i="1" l="1"/>
  <c r="V50" i="1" l="1"/>
  <c r="K51" i="1"/>
  <c r="J51" i="1"/>
  <c r="T51" i="1" l="1"/>
  <c r="U51" i="1"/>
  <c r="L51" i="1"/>
  <c r="M51" i="1" s="1"/>
  <c r="N51" i="1" l="1"/>
  <c r="X51" i="1" s="1"/>
  <c r="I52" i="1" l="1"/>
  <c r="O51" i="1"/>
  <c r="P51" i="1" s="1"/>
  <c r="R51" i="1" s="1"/>
  <c r="W51" i="1" s="1"/>
  <c r="S51" i="1" l="1"/>
  <c r="V51" i="1" l="1"/>
  <c r="J52" i="1"/>
  <c r="K52" i="1"/>
  <c r="U52" i="1" l="1"/>
  <c r="L52" i="1"/>
  <c r="M52" i="1" s="1"/>
  <c r="T52" i="1"/>
  <c r="N52" i="1" l="1"/>
  <c r="X52" i="1" s="1"/>
  <c r="O52" i="1" l="1"/>
  <c r="P52" i="1" s="1"/>
  <c r="R52" i="1" s="1"/>
  <c r="W52" i="1" s="1"/>
  <c r="I53" i="1"/>
  <c r="S52" i="1" l="1"/>
  <c r="V52" i="1" l="1"/>
  <c r="K53" i="1"/>
  <c r="J53" i="1"/>
  <c r="T53" i="1" l="1"/>
  <c r="U53" i="1"/>
  <c r="L53" i="1"/>
  <c r="M53" i="1" s="1"/>
  <c r="N53" i="1" l="1"/>
  <c r="X53" i="1" s="1"/>
  <c r="I54" i="1" l="1"/>
  <c r="O53" i="1"/>
  <c r="P53" i="1" s="1"/>
  <c r="R53" i="1" s="1"/>
  <c r="W53" i="1" s="1"/>
  <c r="S53" i="1" l="1"/>
  <c r="V53" i="1" l="1"/>
  <c r="J54" i="1"/>
  <c r="K54" i="1"/>
  <c r="L54" i="1" l="1"/>
  <c r="M54" i="1" s="1"/>
  <c r="U54" i="1"/>
  <c r="T54" i="1"/>
  <c r="N54" i="1" l="1"/>
  <c r="X54" i="1" s="1"/>
  <c r="I55" i="1" l="1"/>
  <c r="O54" i="1"/>
  <c r="P54" i="1" s="1"/>
  <c r="R54" i="1" s="1"/>
  <c r="W54" i="1" s="1"/>
  <c r="S54" i="1" l="1"/>
  <c r="V54" i="1" l="1"/>
  <c r="K55" i="1"/>
  <c r="J55" i="1"/>
  <c r="T55" i="1" l="1"/>
  <c r="U55" i="1"/>
  <c r="L55" i="1"/>
  <c r="M55" i="1" s="1"/>
  <c r="N55" i="1" l="1"/>
  <c r="X55" i="1" s="1"/>
  <c r="I56" i="1" l="1"/>
  <c r="O55" i="1"/>
  <c r="P55" i="1" s="1"/>
  <c r="R55" i="1" s="1"/>
  <c r="W55" i="1" s="1"/>
  <c r="S55" i="1" l="1"/>
  <c r="V55" i="1" l="1"/>
  <c r="J56" i="1"/>
  <c r="K56" i="1"/>
  <c r="U56" i="1" l="1"/>
  <c r="L56" i="1"/>
  <c r="M56" i="1" s="1"/>
  <c r="T56" i="1"/>
  <c r="N56" i="1" l="1"/>
  <c r="X56" i="1" s="1"/>
  <c r="I57" i="1" l="1"/>
  <c r="O56" i="1"/>
  <c r="P56" i="1" s="1"/>
  <c r="R56" i="1" s="1"/>
  <c r="W56" i="1" s="1"/>
  <c r="S56" i="1" l="1"/>
  <c r="V56" i="1" l="1"/>
  <c r="K57" i="1"/>
  <c r="J57" i="1"/>
  <c r="T57" i="1" l="1"/>
  <c r="U57" i="1"/>
  <c r="L57" i="1"/>
  <c r="M57" i="1" s="1"/>
  <c r="N57" i="1" l="1"/>
  <c r="X57" i="1" s="1"/>
  <c r="I58" i="1" l="1"/>
  <c r="O57" i="1"/>
  <c r="P57" i="1" s="1"/>
  <c r="R57" i="1" s="1"/>
  <c r="W57" i="1" s="1"/>
  <c r="S57" i="1" l="1"/>
  <c r="V57" i="1" l="1"/>
  <c r="J58" i="1"/>
  <c r="K58" i="1"/>
  <c r="L58" i="1" l="1"/>
  <c r="M58" i="1" s="1"/>
  <c r="U58" i="1"/>
  <c r="T58" i="1"/>
  <c r="N58" i="1" l="1"/>
  <c r="X58" i="1" s="1"/>
  <c r="I59" i="1" l="1"/>
  <c r="O58" i="1"/>
  <c r="P58" i="1" s="1"/>
  <c r="R58" i="1" s="1"/>
  <c r="W58" i="1" s="1"/>
  <c r="S58" i="1" l="1"/>
  <c r="V58" i="1" l="1"/>
  <c r="K59" i="1"/>
  <c r="J59" i="1"/>
  <c r="T59" i="1" l="1"/>
  <c r="L59" i="1"/>
  <c r="M59" i="1" s="1"/>
  <c r="U59" i="1"/>
  <c r="N59" i="1" l="1"/>
  <c r="X59" i="1" s="1"/>
  <c r="I60" i="1" l="1"/>
  <c r="O59" i="1"/>
  <c r="P59" i="1" s="1"/>
  <c r="R59" i="1" s="1"/>
  <c r="W59" i="1" s="1"/>
  <c r="S59" i="1" l="1"/>
  <c r="V59" i="1" l="1"/>
  <c r="J60" i="1"/>
  <c r="K60" i="1"/>
  <c r="L60" i="1" l="1"/>
  <c r="M60" i="1" s="1"/>
  <c r="U60" i="1"/>
  <c r="T60" i="1"/>
  <c r="N60" i="1" l="1"/>
  <c r="X60" i="1" s="1"/>
  <c r="I61" i="1" l="1"/>
  <c r="O60" i="1"/>
  <c r="P60" i="1" s="1"/>
  <c r="R60" i="1" s="1"/>
  <c r="W60" i="1" s="1"/>
  <c r="S60" i="1" l="1"/>
  <c r="V60" i="1" l="1"/>
  <c r="J61" i="1"/>
  <c r="K61" i="1"/>
  <c r="L61" i="1" l="1"/>
  <c r="M61" i="1" s="1"/>
  <c r="U61" i="1"/>
  <c r="T61" i="1"/>
  <c r="N61" i="1" l="1"/>
  <c r="X61" i="1" s="1"/>
  <c r="O61" i="1" l="1"/>
  <c r="P61" i="1" s="1"/>
  <c r="R61" i="1" s="1"/>
  <c r="W61" i="1" s="1"/>
  <c r="I62" i="1"/>
  <c r="S61" i="1" l="1"/>
  <c r="V61" i="1" l="1"/>
  <c r="J62" i="1"/>
  <c r="K62" i="1"/>
  <c r="L62" i="1" l="1"/>
  <c r="M62" i="1" s="1"/>
  <c r="U62" i="1"/>
  <c r="T62" i="1"/>
  <c r="N62" i="1" l="1"/>
  <c r="X62" i="1" s="1"/>
  <c r="I63" i="1" l="1"/>
  <c r="O62" i="1"/>
  <c r="P62" i="1" s="1"/>
  <c r="R62" i="1" s="1"/>
  <c r="W62" i="1" s="1"/>
  <c r="S62" i="1" l="1"/>
  <c r="V62" i="1" l="1"/>
  <c r="K63" i="1"/>
  <c r="J63" i="1"/>
  <c r="T63" i="1" l="1"/>
  <c r="L63" i="1"/>
  <c r="M63" i="1" s="1"/>
  <c r="U63" i="1"/>
  <c r="N63" i="1" l="1"/>
  <c r="X63" i="1" s="1"/>
  <c r="I64" i="1" l="1"/>
  <c r="O63" i="1"/>
  <c r="P63" i="1" s="1"/>
  <c r="R63" i="1" s="1"/>
  <c r="W63" i="1" s="1"/>
  <c r="S63" i="1" l="1"/>
  <c r="V63" i="1" l="1"/>
  <c r="J64" i="1"/>
  <c r="K64" i="1"/>
  <c r="L64" i="1" l="1"/>
  <c r="M64" i="1" s="1"/>
  <c r="U64" i="1"/>
  <c r="T64" i="1"/>
  <c r="N64" i="1" l="1"/>
  <c r="X64" i="1" s="1"/>
  <c r="I65" i="1" l="1"/>
  <c r="O64" i="1"/>
  <c r="P64" i="1" s="1"/>
  <c r="R64" i="1" s="1"/>
  <c r="W64" i="1" s="1"/>
  <c r="S64" i="1" l="1"/>
  <c r="V64" i="1" l="1"/>
  <c r="K65" i="1"/>
  <c r="J65" i="1"/>
  <c r="T65" i="1" l="1"/>
  <c r="U65" i="1"/>
  <c r="L65" i="1"/>
  <c r="M65" i="1" s="1"/>
  <c r="N65" i="1" l="1"/>
  <c r="X65" i="1" s="1"/>
  <c r="O65" i="1" l="1"/>
  <c r="P65" i="1" s="1"/>
  <c r="R65" i="1" s="1"/>
  <c r="W65" i="1" s="1"/>
  <c r="I66" i="1"/>
  <c r="S65" i="1" l="1"/>
  <c r="V65" i="1" l="1"/>
  <c r="J66" i="1"/>
  <c r="K66" i="1"/>
  <c r="U66" i="1" l="1"/>
  <c r="L66" i="1"/>
  <c r="M66" i="1" s="1"/>
  <c r="T66" i="1"/>
  <c r="N66" i="1" l="1"/>
  <c r="X66" i="1" s="1"/>
  <c r="O66" i="1" l="1"/>
  <c r="P66" i="1" s="1"/>
  <c r="R66" i="1" s="1"/>
  <c r="W66" i="1" s="1"/>
  <c r="I67" i="1"/>
  <c r="S66" i="1" l="1"/>
  <c r="V66" i="1" l="1"/>
  <c r="K67" i="1"/>
  <c r="J67" i="1"/>
  <c r="T67" i="1" l="1"/>
  <c r="L67" i="1"/>
  <c r="M67" i="1" s="1"/>
  <c r="U67" i="1"/>
  <c r="N67" i="1" l="1"/>
  <c r="X67" i="1" s="1"/>
  <c r="I68" i="1" l="1"/>
  <c r="O67" i="1"/>
  <c r="P67" i="1" s="1"/>
  <c r="R67" i="1" s="1"/>
  <c r="W67" i="1" s="1"/>
  <c r="S67" i="1" l="1"/>
  <c r="V67" i="1" l="1"/>
  <c r="J68" i="1"/>
  <c r="K68" i="1"/>
  <c r="L68" i="1" l="1"/>
  <c r="M68" i="1" s="1"/>
  <c r="U68" i="1"/>
  <c r="T68" i="1"/>
  <c r="N68" i="1" l="1"/>
  <c r="X68" i="1" s="1"/>
  <c r="I69" i="1" l="1"/>
  <c r="O68" i="1"/>
  <c r="P68" i="1" s="1"/>
  <c r="R68" i="1" s="1"/>
  <c r="W68" i="1" s="1"/>
  <c r="S68" i="1" l="1"/>
  <c r="V68" i="1" l="1"/>
  <c r="K69" i="1"/>
  <c r="J69" i="1"/>
  <c r="T69" i="1" l="1"/>
  <c r="L69" i="1"/>
  <c r="M69" i="1" s="1"/>
  <c r="U69" i="1"/>
  <c r="N69" i="1" l="1"/>
  <c r="X69" i="1" s="1"/>
  <c r="I70" i="1" l="1"/>
  <c r="O69" i="1"/>
  <c r="P69" i="1" s="1"/>
  <c r="R69" i="1" s="1"/>
  <c r="W69" i="1" s="1"/>
  <c r="S69" i="1" l="1"/>
  <c r="V69" i="1" l="1"/>
  <c r="J70" i="1"/>
  <c r="K70" i="1"/>
  <c r="L70" i="1" l="1"/>
  <c r="M70" i="1" s="1"/>
  <c r="U70" i="1"/>
  <c r="T70" i="1"/>
  <c r="N70" i="1" l="1"/>
  <c r="X70" i="1" s="1"/>
  <c r="I71" i="1" l="1"/>
  <c r="O70" i="1"/>
  <c r="P70" i="1" s="1"/>
  <c r="R70" i="1" s="1"/>
  <c r="W70" i="1" s="1"/>
  <c r="S70" i="1" l="1"/>
  <c r="V70" i="1" l="1"/>
  <c r="J71" i="1"/>
  <c r="K71" i="1"/>
  <c r="U71" i="1" l="1"/>
  <c r="L71" i="1"/>
  <c r="M71" i="1" s="1"/>
  <c r="T71" i="1"/>
  <c r="N71" i="1" l="1"/>
  <c r="X71" i="1" s="1"/>
  <c r="O71" i="1" l="1"/>
  <c r="P71" i="1" s="1"/>
  <c r="R71" i="1" s="1"/>
  <c r="W71" i="1" s="1"/>
  <c r="I72" i="1"/>
  <c r="S71" i="1" l="1"/>
  <c r="V71" i="1" l="1"/>
  <c r="K72" i="1"/>
  <c r="J72" i="1"/>
  <c r="T72" i="1" l="1"/>
  <c r="U72" i="1"/>
  <c r="L72" i="1"/>
  <c r="M72" i="1" s="1"/>
  <c r="N72" i="1" l="1"/>
  <c r="X72" i="1" s="1"/>
  <c r="O72" i="1" l="1"/>
  <c r="P72" i="1" s="1"/>
  <c r="R72" i="1" s="1"/>
  <c r="W72" i="1" s="1"/>
  <c r="I73" i="1"/>
  <c r="S72" i="1" l="1"/>
  <c r="V72" i="1" l="1"/>
  <c r="J73" i="1"/>
  <c r="K73" i="1"/>
  <c r="U73" i="1" l="1"/>
  <c r="L73" i="1"/>
  <c r="M73" i="1" s="1"/>
  <c r="T73" i="1"/>
  <c r="N73" i="1" l="1"/>
  <c r="X73" i="1" s="1"/>
  <c r="O73" i="1" l="1"/>
  <c r="P73" i="1" s="1"/>
  <c r="R73" i="1" s="1"/>
  <c r="W73" i="1" s="1"/>
  <c r="I74" i="1"/>
  <c r="S73" i="1" l="1"/>
  <c r="V73" i="1" l="1"/>
  <c r="K74" i="1"/>
  <c r="J74" i="1"/>
  <c r="T74" i="1" l="1"/>
  <c r="L74" i="1"/>
  <c r="M74" i="1" s="1"/>
  <c r="U74" i="1"/>
  <c r="N74" i="1" l="1"/>
  <c r="X74" i="1" s="1"/>
  <c r="I75" i="1" l="1"/>
  <c r="O74" i="1"/>
  <c r="P74" i="1" s="1"/>
  <c r="R74" i="1" s="1"/>
  <c r="W74" i="1" s="1"/>
  <c r="S74" i="1" l="1"/>
  <c r="V74" i="1" l="1"/>
  <c r="J75" i="1"/>
  <c r="K75" i="1"/>
  <c r="L75" i="1" l="1"/>
  <c r="M75" i="1" s="1"/>
  <c r="U75" i="1"/>
  <c r="T75" i="1"/>
  <c r="N75" i="1" l="1"/>
  <c r="X75" i="1" s="1"/>
  <c r="I76" i="1" l="1"/>
  <c r="O75" i="1"/>
  <c r="P75" i="1" s="1"/>
  <c r="R75" i="1" s="1"/>
  <c r="W75" i="1" s="1"/>
  <c r="S75" i="1" l="1"/>
  <c r="V75" i="1" l="1"/>
  <c r="J76" i="1"/>
  <c r="T76" i="1" s="1"/>
  <c r="K76" i="1"/>
  <c r="L76" i="1" l="1"/>
  <c r="M76" i="1" s="1"/>
  <c r="U76" i="1"/>
  <c r="W9" i="1" l="1"/>
  <c r="W10" i="1"/>
  <c r="W11" i="1"/>
  <c r="W12" i="1"/>
  <c r="W13" i="1"/>
  <c r="X11" i="1"/>
  <c r="W8" i="1"/>
  <c r="X9" i="1"/>
  <c r="X10" i="1"/>
  <c r="X8" i="1"/>
  <c r="N76" i="1"/>
  <c r="O76" i="1" s="1"/>
  <c r="P76" i="1" s="1"/>
  <c r="R76" i="1" s="1"/>
  <c r="W76" i="1" s="1"/>
  <c r="X76" i="1" l="1"/>
  <c r="S76" i="1"/>
  <c r="V76" i="1" s="1"/>
</calcChain>
</file>

<file path=xl/sharedStrings.xml><?xml version="1.0" encoding="utf-8"?>
<sst xmlns="http://schemas.openxmlformats.org/spreadsheetml/2006/main" count="39" uniqueCount="39">
  <si>
    <t>Drivetrain Calculator</t>
  </si>
  <si>
    <t>Metric?</t>
  </si>
  <si>
    <t>CIM</t>
  </si>
  <si>
    <t>Adjusted</t>
  </si>
  <si>
    <t>Free Speed (RPM)</t>
  </si>
  <si>
    <t>Stall Torque (Nm)</t>
  </si>
  <si>
    <t>Free Current (A)</t>
  </si>
  <si>
    <t>Stall Current (A)</t>
  </si>
  <si>
    <t>Power (W)</t>
  </si>
  <si>
    <t># of Drivetrain Motors</t>
  </si>
  <si>
    <t>Drivetrain Efficiency</t>
  </si>
  <si>
    <t>% Driven Weight</t>
  </si>
  <si>
    <t>Wheel Friction Coeff.</t>
  </si>
  <si>
    <t>Motor Max. Current (A)</t>
  </si>
  <si>
    <t>Motor Max. Voltage (V)</t>
  </si>
  <si>
    <t>Brownout Voltage (V)</t>
  </si>
  <si>
    <t>t</t>
  </si>
  <si>
    <t>x</t>
  </si>
  <si>
    <t>v</t>
  </si>
  <si>
    <t>V</t>
  </si>
  <si>
    <t>w</t>
  </si>
  <si>
    <t>i</t>
  </si>
  <si>
    <t>Gear Ratio</t>
  </si>
  <si>
    <t>i_adj</t>
  </si>
  <si>
    <t>V_adj</t>
  </si>
  <si>
    <t>F_motor</t>
  </si>
  <si>
    <t>F_friction</t>
  </si>
  <si>
    <t>F_applied</t>
  </si>
  <si>
    <t>a</t>
  </si>
  <si>
    <r>
      <t>Battery Resistance (m</t>
    </r>
    <r>
      <rPr>
        <sz val="11"/>
        <color theme="1"/>
        <rFont val="Calibri"/>
        <family val="2"/>
      </rPr>
      <t>Ω)</t>
    </r>
  </si>
  <si>
    <r>
      <t>Branch Resistance (m</t>
    </r>
    <r>
      <rPr>
        <sz val="11"/>
        <color theme="1"/>
        <rFont val="Calibri"/>
        <family val="2"/>
      </rPr>
      <t>Ω)</t>
    </r>
  </si>
  <si>
    <t>Battery Rest Voltage (V)</t>
  </si>
  <si>
    <t>x_disp</t>
  </si>
  <si>
    <t>v_disp</t>
  </si>
  <si>
    <t>a_disp</t>
  </si>
  <si>
    <t>Simulation Timestep (s)</t>
  </si>
  <si>
    <t>Smoothing Constant (0-1)</t>
  </si>
  <si>
    <t>wheel slip</t>
  </si>
  <si>
    <t>I limit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</si>
</sst>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00"/>
    <numFmt numFmtId="165" formatCode="0.0"/>
    <numFmt numFmtId="166" formatCode="0.00\ \:\ \1"/>
  </numFmts>
  <fonts count="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24"/>
      <color theme="1"/>
      <name val="Calibri"/>
      <family val="2"/>
      <scheme val="minor"/>
    </font>
    <font>
      <sz val="11"/>
      <color theme="1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rgb="FF9FC5E8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1" tint="0.499984740745262"/>
      </right>
      <top style="thin">
        <color indexed="64"/>
      </top>
      <bottom style="thin">
        <color indexed="64"/>
      </bottom>
      <diagonal/>
    </border>
    <border>
      <left style="thin">
        <color theme="1" tint="0.499984740745262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1" tint="0.499984740745262"/>
      </right>
      <top style="thin">
        <color indexed="64"/>
      </top>
      <bottom style="thin">
        <color theme="1" tint="0.499984740745262"/>
      </bottom>
      <diagonal/>
    </border>
    <border>
      <left style="thin">
        <color theme="1" tint="0.499984740745262"/>
      </left>
      <right style="thin">
        <color theme="1" tint="0.499984740745262"/>
      </right>
      <top style="thin">
        <color indexed="64"/>
      </top>
      <bottom style="thin">
        <color theme="1" tint="0.499984740745262"/>
      </bottom>
      <diagonal/>
    </border>
    <border>
      <left style="thin">
        <color theme="1" tint="0.499984740745262"/>
      </left>
      <right style="thin">
        <color indexed="64"/>
      </right>
      <top style="thin">
        <color indexed="64"/>
      </top>
      <bottom style="thin">
        <color theme="1" tint="0.499984740745262"/>
      </bottom>
      <diagonal/>
    </border>
    <border>
      <left style="thin">
        <color indexed="64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thin">
        <color theme="1" tint="0.499984740745262"/>
      </left>
      <right style="thin">
        <color indexed="64"/>
      </right>
      <top style="thin">
        <color theme="1" tint="0.499984740745262"/>
      </top>
      <bottom style="thin">
        <color theme="1" tint="0.499984740745262"/>
      </bottom>
      <diagonal/>
    </border>
    <border>
      <left style="thin">
        <color indexed="64"/>
      </left>
      <right style="thin">
        <color theme="1" tint="0.499984740745262"/>
      </right>
      <top style="thin">
        <color theme="1" tint="0.499984740745262"/>
      </top>
      <bottom style="thin">
        <color indexed="64"/>
      </bottom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indexed="64"/>
      </bottom>
      <diagonal/>
    </border>
    <border>
      <left style="thin">
        <color theme="1" tint="0.499984740745262"/>
      </left>
      <right style="thin">
        <color indexed="64"/>
      </right>
      <top style="thin">
        <color theme="1" tint="0.499984740745262"/>
      </top>
      <bottom style="thin">
        <color indexed="64"/>
      </bottom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30">
    <xf numFmtId="0" fontId="0" fillId="0" borderId="0" xfId="0"/>
    <xf numFmtId="0" fontId="0" fillId="0" borderId="0" xfId="0" applyAlignment="1">
      <alignment vertical="center"/>
    </xf>
    <xf numFmtId="0" fontId="4" fillId="0" borderId="0" xfId="0" applyFont="1" applyAlignment="1">
      <alignment vertical="center"/>
    </xf>
    <xf numFmtId="0" fontId="3" fillId="0" borderId="0" xfId="0" applyFont="1" applyAlignment="1" applyProtection="1">
      <alignment vertical="center"/>
      <protection locked="0"/>
    </xf>
    <xf numFmtId="0" fontId="2" fillId="0" borderId="0" xfId="0" applyFont="1" applyAlignment="1">
      <alignment vertical="center"/>
    </xf>
    <xf numFmtId="0" fontId="0" fillId="0" borderId="5" xfId="0" applyBorder="1" applyAlignment="1">
      <alignment horizontal="left" vertical="center"/>
    </xf>
    <xf numFmtId="1" fontId="0" fillId="0" borderId="6" xfId="0" applyNumberFormat="1" applyBorder="1" applyAlignment="1">
      <alignment vertical="center"/>
    </xf>
    <xf numFmtId="1" fontId="0" fillId="0" borderId="7" xfId="0" applyNumberFormat="1" applyBorder="1" applyAlignment="1">
      <alignment vertical="center"/>
    </xf>
    <xf numFmtId="0" fontId="0" fillId="0" borderId="8" xfId="0" applyBorder="1" applyAlignment="1">
      <alignment horizontal="left" vertical="center"/>
    </xf>
    <xf numFmtId="2" fontId="0" fillId="0" borderId="9" xfId="0" applyNumberFormat="1" applyBorder="1" applyAlignment="1">
      <alignment vertical="center"/>
    </xf>
    <xf numFmtId="2" fontId="0" fillId="0" borderId="10" xfId="0" applyNumberFormat="1" applyBorder="1" applyAlignment="1">
      <alignment vertical="center"/>
    </xf>
    <xf numFmtId="165" fontId="0" fillId="0" borderId="9" xfId="0" applyNumberFormat="1" applyBorder="1" applyAlignment="1">
      <alignment vertical="center"/>
    </xf>
    <xf numFmtId="165" fontId="0" fillId="0" borderId="10" xfId="0" applyNumberFormat="1" applyBorder="1" applyAlignment="1">
      <alignment vertical="center"/>
    </xf>
    <xf numFmtId="1" fontId="0" fillId="0" borderId="9" xfId="0" applyNumberFormat="1" applyBorder="1" applyAlignment="1">
      <alignment vertical="center"/>
    </xf>
    <xf numFmtId="1" fontId="0" fillId="0" borderId="10" xfId="0" applyNumberFormat="1" applyBorder="1" applyAlignment="1">
      <alignment vertical="center"/>
    </xf>
    <xf numFmtId="0" fontId="0" fillId="0" borderId="11" xfId="0" applyBorder="1" applyAlignment="1">
      <alignment horizontal="left" vertical="center"/>
    </xf>
    <xf numFmtId="165" fontId="0" fillId="0" borderId="12" xfId="0" applyNumberFormat="1" applyBorder="1" applyAlignment="1">
      <alignment vertical="center"/>
    </xf>
    <xf numFmtId="165" fontId="0" fillId="0" borderId="13" xfId="0" applyNumberFormat="1" applyBorder="1" applyAlignment="1">
      <alignment vertical="center"/>
    </xf>
    <xf numFmtId="0" fontId="0" fillId="0" borderId="3" xfId="0" applyBorder="1" applyAlignment="1">
      <alignment horizontal="left" vertical="center"/>
    </xf>
    <xf numFmtId="0" fontId="0" fillId="2" borderId="4" xfId="0" applyFill="1" applyBorder="1" applyAlignment="1" applyProtection="1">
      <alignment vertical="center"/>
      <protection locked="0"/>
    </xf>
    <xf numFmtId="1" fontId="0" fillId="0" borderId="0" xfId="0" applyNumberFormat="1" applyAlignment="1">
      <alignment vertical="center"/>
    </xf>
    <xf numFmtId="9" fontId="0" fillId="2" borderId="4" xfId="1" applyFont="1" applyFill="1" applyBorder="1" applyAlignment="1" applyProtection="1">
      <alignment vertical="center"/>
      <protection locked="0"/>
    </xf>
    <xf numFmtId="0" fontId="3" fillId="0" borderId="0" xfId="0" applyFont="1" applyAlignment="1">
      <alignment vertical="center"/>
    </xf>
    <xf numFmtId="2" fontId="0" fillId="0" borderId="0" xfId="0" applyNumberFormat="1" applyAlignment="1">
      <alignment vertical="center"/>
    </xf>
    <xf numFmtId="1" fontId="0" fillId="2" borderId="4" xfId="0" applyNumberFormat="1" applyFill="1" applyBorder="1" applyAlignment="1" applyProtection="1">
      <alignment vertical="center"/>
      <protection locked="0"/>
    </xf>
    <xf numFmtId="165" fontId="0" fillId="2" borderId="4" xfId="0" applyNumberFormat="1" applyFill="1" applyBorder="1" applyAlignment="1" applyProtection="1">
      <alignment vertical="center"/>
      <protection locked="0"/>
    </xf>
    <xf numFmtId="0" fontId="0" fillId="2" borderId="1" xfId="0" applyFill="1" applyBorder="1" applyAlignment="1" applyProtection="1">
      <alignment horizontal="left" vertical="center"/>
      <protection locked="0"/>
    </xf>
    <xf numFmtId="164" fontId="0" fillId="2" borderId="2" xfId="0" applyNumberFormat="1" applyFill="1" applyBorder="1" applyAlignment="1" applyProtection="1">
      <alignment horizontal="left" vertical="center"/>
      <protection locked="0"/>
    </xf>
    <xf numFmtId="166" fontId="0" fillId="2" borderId="4" xfId="1" applyNumberFormat="1" applyFont="1" applyFill="1" applyBorder="1" applyAlignment="1" applyProtection="1">
      <alignment vertical="center"/>
      <protection locked="0"/>
    </xf>
    <xf numFmtId="2" fontId="0" fillId="2" borderId="4" xfId="0" applyNumberFormat="1" applyFill="1" applyBorder="1" applyAlignment="1" applyProtection="1">
      <alignment vertical="center"/>
      <protection locked="0"/>
    </xf>
  </cellXfs>
  <cellStyles count="2">
    <cellStyle name="Normal" xfId="0" builtinId="0"/>
    <cellStyle name="Percent" xfId="1" builtinId="5"/>
  </cellStyles>
  <dxfs count="14">
    <dxf>
      <font>
        <color rgb="FF663300"/>
      </font>
      <fill>
        <patternFill>
          <bgColor rgb="FFFFCC66"/>
        </patternFill>
      </fill>
    </dxf>
    <dxf>
      <font>
        <color rgb="FF663300"/>
      </font>
      <fill>
        <patternFill>
          <bgColor rgb="FFFFCC66"/>
        </patternFill>
      </fill>
    </dxf>
    <dxf>
      <font>
        <color rgb="FF663300"/>
      </font>
      <fill>
        <patternFill>
          <bgColor rgb="FFFFCC66"/>
        </patternFill>
      </fill>
    </dxf>
    <dxf>
      <font>
        <color rgb="FF663300"/>
      </font>
      <fill>
        <patternFill>
          <bgColor rgb="FFFFCC66"/>
        </patternFill>
      </fill>
    </dxf>
    <dxf>
      <font>
        <color rgb="FF663300"/>
      </font>
      <fill>
        <patternFill>
          <bgColor rgb="FFFFCC66"/>
        </patternFill>
      </fill>
    </dxf>
    <dxf>
      <font>
        <color rgb="FF663300"/>
      </font>
      <fill>
        <patternFill>
          <bgColor rgb="FFFFCC66"/>
        </patternFill>
      </fill>
    </dxf>
    <dxf>
      <font>
        <color rgb="FF663300"/>
      </font>
      <fill>
        <patternFill>
          <bgColor rgb="FFFFCC66"/>
        </patternFill>
      </fill>
    </dxf>
    <dxf>
      <font>
        <color rgb="FF663300"/>
      </font>
      <fill>
        <patternFill>
          <bgColor rgb="FFFFCC66"/>
        </patternFill>
      </fill>
    </dxf>
    <dxf>
      <font>
        <color rgb="FF663300"/>
      </font>
      <fill>
        <patternFill>
          <bgColor rgb="FFFFCC66"/>
        </patternFill>
      </fill>
    </dxf>
    <dxf>
      <font>
        <color rgb="FF663300"/>
      </font>
      <fill>
        <patternFill>
          <bgColor rgb="FFFFCC66"/>
        </patternFill>
      </fill>
    </dxf>
    <dxf>
      <font>
        <color rgb="FF663300"/>
      </font>
      <fill>
        <patternFill>
          <bgColor rgb="FFFFCC66"/>
        </patternFill>
      </fill>
    </dxf>
    <dxf>
      <font>
        <color rgb="FF663300"/>
      </font>
      <fill>
        <patternFill>
          <bgColor rgb="FFFFCC66"/>
        </patternFill>
      </fill>
    </dxf>
    <dxf>
      <font>
        <color rgb="FF663300"/>
      </font>
      <fill>
        <patternFill>
          <bgColor rgb="FFFFCC66"/>
        </patternFill>
      </fill>
    </dxf>
    <dxf>
      <font>
        <color rgb="FF663300"/>
      </font>
      <fill>
        <patternFill>
          <bgColor rgb="FFFFCC66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v>Position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¨ÖÍÚÉØÖÅÍÒ!$H$8:$H$76</c:f>
              <c:numCache>
                <c:formatCode>0.00</c:formatCode>
                <c:ptCount val="69"/>
                <c:pt idx="0" formatCode="General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  <c:pt idx="11">
                  <c:v>0.10999999999999999</c:v>
                </c:pt>
                <c:pt idx="12">
                  <c:v>0.11999999999999998</c:v>
                </c:pt>
                <c:pt idx="13">
                  <c:v>0.12999999999999998</c:v>
                </c:pt>
                <c:pt idx="14">
                  <c:v>0.13999999999999999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0.18000000000000002</c:v>
                </c:pt>
                <c:pt idx="19">
                  <c:v>0.19000000000000003</c:v>
                </c:pt>
                <c:pt idx="20">
                  <c:v>0.20000000000000004</c:v>
                </c:pt>
                <c:pt idx="21">
                  <c:v>0.21000000000000005</c:v>
                </c:pt>
                <c:pt idx="22">
                  <c:v>0.22000000000000006</c:v>
                </c:pt>
                <c:pt idx="23">
                  <c:v>0.23000000000000007</c:v>
                </c:pt>
                <c:pt idx="24">
                  <c:v>0.24000000000000007</c:v>
                </c:pt>
                <c:pt idx="25">
                  <c:v>0.25000000000000006</c:v>
                </c:pt>
                <c:pt idx="26">
                  <c:v>0.26000000000000006</c:v>
                </c:pt>
                <c:pt idx="27">
                  <c:v>0.27000000000000007</c:v>
                </c:pt>
                <c:pt idx="28">
                  <c:v>0.28000000000000008</c:v>
                </c:pt>
                <c:pt idx="29">
                  <c:v>0.29000000000000009</c:v>
                </c:pt>
                <c:pt idx="30">
                  <c:v>0.3000000000000001</c:v>
                </c:pt>
                <c:pt idx="31">
                  <c:v>0.31000000000000011</c:v>
                </c:pt>
                <c:pt idx="32">
                  <c:v>0.32000000000000012</c:v>
                </c:pt>
                <c:pt idx="33">
                  <c:v>0.33000000000000013</c:v>
                </c:pt>
                <c:pt idx="34">
                  <c:v>0.34000000000000014</c:v>
                </c:pt>
                <c:pt idx="35">
                  <c:v>0.35000000000000014</c:v>
                </c:pt>
                <c:pt idx="36">
                  <c:v>0.36000000000000015</c:v>
                </c:pt>
                <c:pt idx="37">
                  <c:v>0.37000000000000016</c:v>
                </c:pt>
                <c:pt idx="38">
                  <c:v>0.38000000000000017</c:v>
                </c:pt>
                <c:pt idx="39">
                  <c:v>0.39000000000000018</c:v>
                </c:pt>
                <c:pt idx="40">
                  <c:v>0.40000000000000019</c:v>
                </c:pt>
                <c:pt idx="41">
                  <c:v>0.4100000000000002</c:v>
                </c:pt>
                <c:pt idx="42">
                  <c:v>0.42000000000000021</c:v>
                </c:pt>
                <c:pt idx="43">
                  <c:v>0.43000000000000022</c:v>
                </c:pt>
                <c:pt idx="44">
                  <c:v>0.44000000000000022</c:v>
                </c:pt>
                <c:pt idx="45">
                  <c:v>0.45000000000000023</c:v>
                </c:pt>
                <c:pt idx="46">
                  <c:v>0.46000000000000024</c:v>
                </c:pt>
                <c:pt idx="47">
                  <c:v>0.47000000000000025</c:v>
                </c:pt>
                <c:pt idx="48">
                  <c:v>0.48000000000000026</c:v>
                </c:pt>
                <c:pt idx="49">
                  <c:v>0.49000000000000027</c:v>
                </c:pt>
                <c:pt idx="50">
                  <c:v>0.50000000000000022</c:v>
                </c:pt>
                <c:pt idx="51">
                  <c:v>0.51000000000000023</c:v>
                </c:pt>
                <c:pt idx="52">
                  <c:v>0.52000000000000024</c:v>
                </c:pt>
                <c:pt idx="53">
                  <c:v>0.53000000000000025</c:v>
                </c:pt>
                <c:pt idx="54">
                  <c:v>0.54000000000000026</c:v>
                </c:pt>
                <c:pt idx="55">
                  <c:v>0.55000000000000027</c:v>
                </c:pt>
                <c:pt idx="56">
                  <c:v>0.56000000000000028</c:v>
                </c:pt>
                <c:pt idx="57">
                  <c:v>0.57000000000000028</c:v>
                </c:pt>
                <c:pt idx="58">
                  <c:v>0.58000000000000029</c:v>
                </c:pt>
                <c:pt idx="59">
                  <c:v>0.5900000000000003</c:v>
                </c:pt>
                <c:pt idx="60">
                  <c:v>0.60000000000000031</c:v>
                </c:pt>
                <c:pt idx="61">
                  <c:v>0.61000000000000032</c:v>
                </c:pt>
                <c:pt idx="62">
                  <c:v>0.62000000000000033</c:v>
                </c:pt>
                <c:pt idx="63">
                  <c:v>0.63000000000000034</c:v>
                </c:pt>
                <c:pt idx="64">
                  <c:v>0.64000000000000035</c:v>
                </c:pt>
                <c:pt idx="65">
                  <c:v>0.65000000000000036</c:v>
                </c:pt>
                <c:pt idx="66">
                  <c:v>0.66000000000000036</c:v>
                </c:pt>
                <c:pt idx="67">
                  <c:v>0.67000000000000037</c:v>
                </c:pt>
                <c:pt idx="68">
                  <c:v>0.68000000000000038</c:v>
                </c:pt>
              </c:numCache>
            </c:numRef>
          </c:xVal>
          <c:yVal>
            <c:numRef>
              <c:f>¨ÖÍÚÉØÖÅÍÒ!$T$8:$T$76</c:f>
              <c:numCache>
                <c:formatCode>General</c:formatCode>
                <c:ptCount val="69"/>
                <c:pt idx="0">
                  <c:v>0</c:v>
                </c:pt>
                <c:pt idx="1">
                  <c:v>1.5623122402587451E-3</c:v>
                </c:pt>
                <c:pt idx="2">
                  <c:v>5.5908342203303497E-3</c:v>
                </c:pt>
                <c:pt idx="3">
                  <c:v>1.1660973274282086E-2</c:v>
                </c:pt>
                <c:pt idx="4">
                  <c:v>1.9890712165245822E-2</c:v>
                </c:pt>
                <c:pt idx="5">
                  <c:v>3.01859464529332E-2</c:v>
                </c:pt>
                <c:pt idx="6">
                  <c:v>4.2536553491627764E-2</c:v>
                </c:pt>
                <c:pt idx="7">
                  <c:v>5.6900221291649615E-2</c:v>
                </c:pt>
                <c:pt idx="8">
                  <c:v>7.324801442317419E-2</c:v>
                </c:pt>
                <c:pt idx="9">
                  <c:v>9.1546484777590253E-2</c:v>
                </c:pt>
                <c:pt idx="10">
                  <c:v>0.11176467829058337</c:v>
                </c:pt>
                <c:pt idx="11">
                  <c:v>0.13387137426325277</c:v>
                </c:pt>
                <c:pt idx="12">
                  <c:v>0.15783615697999337</c:v>
                </c:pt>
                <c:pt idx="13">
                  <c:v>0.18362898396226984</c:v>
                </c:pt>
                <c:pt idx="14">
                  <c:v>0.21122034422964803</c:v>
                </c:pt>
                <c:pt idx="15">
                  <c:v>0.24058118525919664</c:v>
                </c:pt>
                <c:pt idx="16">
                  <c:v>0.27168293086978779</c:v>
                </c:pt>
                <c:pt idx="17">
                  <c:v>0.30449746360722085</c:v>
                </c:pt>
                <c:pt idx="18">
                  <c:v>0.33899712122813586</c:v>
                </c:pt>
                <c:pt idx="19">
                  <c:v>0.37515468782085998</c:v>
                </c:pt>
                <c:pt idx="20">
                  <c:v>0.41294338719606505</c:v>
                </c:pt>
                <c:pt idx="21">
                  <c:v>0.45233687554990226</c:v>
                </c:pt>
                <c:pt idx="22">
                  <c:v>0.49330923457294507</c:v>
                </c:pt>
                <c:pt idx="23">
                  <c:v>0.53583496454201052</c:v>
                </c:pt>
                <c:pt idx="24">
                  <c:v>0.57988897757393398</c:v>
                </c:pt>
                <c:pt idx="25">
                  <c:v>0.62544659096853283</c:v>
                </c:pt>
                <c:pt idx="26">
                  <c:v>0.67248352066684025</c:v>
                </c:pt>
                <c:pt idx="27">
                  <c:v>0.72097587481195013</c:v>
                </c:pt>
                <c:pt idx="28">
                  <c:v>0.77090014741505231</c:v>
                </c:pt>
                <c:pt idx="29">
                  <c:v>0.82223321212329581</c:v>
                </c:pt>
                <c:pt idx="30">
                  <c:v>0.87495231608849033</c:v>
                </c:pt>
                <c:pt idx="31">
                  <c:v>0.92903507393475737</c:v>
                </c:pt>
                <c:pt idx="32">
                  <c:v>0.98445946182363864</c:v>
                </c:pt>
                <c:pt idx="33">
                  <c:v>1.0412038116150426</c:v>
                </c:pt>
                <c:pt idx="34">
                  <c:v>1.0992468051225022</c:v>
                </c:pt>
                <c:pt idx="35">
                  <c:v>1.1585674684612102</c:v>
                </c:pt>
                <c:pt idx="36">
                  <c:v>1.2191451664873385</c:v>
                </c:pt>
                <c:pt idx="37">
                  <c:v>1.2809595973271655</c:v>
                </c:pt>
                <c:pt idx="38">
                  <c:v>1.3439907869945615</c:v>
                </c:pt>
                <c:pt idx="39">
                  <c:v>1.408219084095405</c:v>
                </c:pt>
                <c:pt idx="40">
                  <c:v>1.4736251546175261</c:v>
                </c:pt>
                <c:pt idx="41">
                  <c:v>1.5401899768047942</c:v>
                </c:pt>
                <c:pt idx="42">
                  <c:v>1.6078948361139942</c:v>
                </c:pt>
                <c:pt idx="43">
                  <c:v>1.6767213202531515</c:v>
                </c:pt>
                <c:pt idx="44">
                  <c:v>1.74665131429999</c:v>
                </c:pt>
                <c:pt idx="45">
                  <c:v>1.8176669958992315</c:v>
                </c:pt>
                <c:pt idx="46">
                  <c:v>1.8897508305374611</c:v>
                </c:pt>
                <c:pt idx="47">
                  <c:v>1.9628855668943053</c:v>
                </c:pt>
                <c:pt idx="48">
                  <c:v>2.0370542322686935</c:v>
                </c:pt>
                <c:pt idx="49">
                  <c:v>2.1122401280789869</c:v>
                </c:pt>
                <c:pt idx="50">
                  <c:v>2.1884268254357817</c:v>
                </c:pt>
                <c:pt idx="51">
                  <c:v>2.2655981607862183</c:v>
                </c:pt>
                <c:pt idx="52">
                  <c:v>2.3437382316286319</c:v>
                </c:pt>
                <c:pt idx="53">
                  <c:v>2.4228313922964202</c:v>
                </c:pt>
                <c:pt idx="54">
                  <c:v>2.5028622498099988</c:v>
                </c:pt>
                <c:pt idx="55">
                  <c:v>2.5838156597957536</c:v>
                </c:pt>
                <c:pt idx="56">
                  <c:v>2.665676722470903</c:v>
                </c:pt>
                <c:pt idx="57">
                  <c:v>2.7484307786932072</c:v>
                </c:pt>
                <c:pt idx="58">
                  <c:v>2.8320634060744774</c:v>
                </c:pt>
                <c:pt idx="59">
                  <c:v>2.9165604151568538</c:v>
                </c:pt>
                <c:pt idx="60">
                  <c:v>3.0019078456508419</c:v>
                </c:pt>
                <c:pt idx="61">
                  <c:v>3.0880919627340986</c:v>
                </c:pt>
                <c:pt idx="62">
                  <c:v>3.1750992534100071</c:v>
                </c:pt>
                <c:pt idx="63">
                  <c:v>3.2629164229250525</c:v>
                </c:pt>
                <c:pt idx="64">
                  <c:v>3.3515303912440628</c:v>
                </c:pt>
                <c:pt idx="65">
                  <c:v>3.4409282895823816</c:v>
                </c:pt>
                <c:pt idx="66">
                  <c:v>3.5310974569940403</c:v>
                </c:pt>
                <c:pt idx="67">
                  <c:v>3.6220254370150373</c:v>
                </c:pt>
                <c:pt idx="68">
                  <c:v>3.7136999743608312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2FE-4C75-8733-7C011B894C29}"/>
            </c:ext>
          </c:extLst>
        </c:ser>
        <c:ser>
          <c:idx val="1"/>
          <c:order val="1"/>
          <c:tx>
            <c:v>Velocity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¨ÖÍÚÉØÖÅÍÒ!$H$8:$H$76</c:f>
              <c:numCache>
                <c:formatCode>0.00</c:formatCode>
                <c:ptCount val="69"/>
                <c:pt idx="0" formatCode="General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  <c:pt idx="11">
                  <c:v>0.10999999999999999</c:v>
                </c:pt>
                <c:pt idx="12">
                  <c:v>0.11999999999999998</c:v>
                </c:pt>
                <c:pt idx="13">
                  <c:v>0.12999999999999998</c:v>
                </c:pt>
                <c:pt idx="14">
                  <c:v>0.13999999999999999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0.18000000000000002</c:v>
                </c:pt>
                <c:pt idx="19">
                  <c:v>0.19000000000000003</c:v>
                </c:pt>
                <c:pt idx="20">
                  <c:v>0.20000000000000004</c:v>
                </c:pt>
                <c:pt idx="21">
                  <c:v>0.21000000000000005</c:v>
                </c:pt>
                <c:pt idx="22">
                  <c:v>0.22000000000000006</c:v>
                </c:pt>
                <c:pt idx="23">
                  <c:v>0.23000000000000007</c:v>
                </c:pt>
                <c:pt idx="24">
                  <c:v>0.24000000000000007</c:v>
                </c:pt>
                <c:pt idx="25">
                  <c:v>0.25000000000000006</c:v>
                </c:pt>
                <c:pt idx="26">
                  <c:v>0.26000000000000006</c:v>
                </c:pt>
                <c:pt idx="27">
                  <c:v>0.27000000000000007</c:v>
                </c:pt>
                <c:pt idx="28">
                  <c:v>0.28000000000000008</c:v>
                </c:pt>
                <c:pt idx="29">
                  <c:v>0.29000000000000009</c:v>
                </c:pt>
                <c:pt idx="30">
                  <c:v>0.3000000000000001</c:v>
                </c:pt>
                <c:pt idx="31">
                  <c:v>0.31000000000000011</c:v>
                </c:pt>
                <c:pt idx="32">
                  <c:v>0.32000000000000012</c:v>
                </c:pt>
                <c:pt idx="33">
                  <c:v>0.33000000000000013</c:v>
                </c:pt>
                <c:pt idx="34">
                  <c:v>0.34000000000000014</c:v>
                </c:pt>
                <c:pt idx="35">
                  <c:v>0.35000000000000014</c:v>
                </c:pt>
                <c:pt idx="36">
                  <c:v>0.36000000000000015</c:v>
                </c:pt>
                <c:pt idx="37">
                  <c:v>0.37000000000000016</c:v>
                </c:pt>
                <c:pt idx="38">
                  <c:v>0.38000000000000017</c:v>
                </c:pt>
                <c:pt idx="39">
                  <c:v>0.39000000000000018</c:v>
                </c:pt>
                <c:pt idx="40">
                  <c:v>0.40000000000000019</c:v>
                </c:pt>
                <c:pt idx="41">
                  <c:v>0.4100000000000002</c:v>
                </c:pt>
                <c:pt idx="42">
                  <c:v>0.42000000000000021</c:v>
                </c:pt>
                <c:pt idx="43">
                  <c:v>0.43000000000000022</c:v>
                </c:pt>
                <c:pt idx="44">
                  <c:v>0.44000000000000022</c:v>
                </c:pt>
                <c:pt idx="45">
                  <c:v>0.45000000000000023</c:v>
                </c:pt>
                <c:pt idx="46">
                  <c:v>0.46000000000000024</c:v>
                </c:pt>
                <c:pt idx="47">
                  <c:v>0.47000000000000025</c:v>
                </c:pt>
                <c:pt idx="48">
                  <c:v>0.48000000000000026</c:v>
                </c:pt>
                <c:pt idx="49">
                  <c:v>0.49000000000000027</c:v>
                </c:pt>
                <c:pt idx="50">
                  <c:v>0.50000000000000022</c:v>
                </c:pt>
                <c:pt idx="51">
                  <c:v>0.51000000000000023</c:v>
                </c:pt>
                <c:pt idx="52">
                  <c:v>0.52000000000000024</c:v>
                </c:pt>
                <c:pt idx="53">
                  <c:v>0.53000000000000025</c:v>
                </c:pt>
                <c:pt idx="54">
                  <c:v>0.54000000000000026</c:v>
                </c:pt>
                <c:pt idx="55">
                  <c:v>0.55000000000000027</c:v>
                </c:pt>
                <c:pt idx="56">
                  <c:v>0.56000000000000028</c:v>
                </c:pt>
                <c:pt idx="57">
                  <c:v>0.57000000000000028</c:v>
                </c:pt>
                <c:pt idx="58">
                  <c:v>0.58000000000000029</c:v>
                </c:pt>
                <c:pt idx="59">
                  <c:v>0.5900000000000003</c:v>
                </c:pt>
                <c:pt idx="60">
                  <c:v>0.60000000000000031</c:v>
                </c:pt>
                <c:pt idx="61">
                  <c:v>0.61000000000000032</c:v>
                </c:pt>
                <c:pt idx="62">
                  <c:v>0.62000000000000033</c:v>
                </c:pt>
                <c:pt idx="63">
                  <c:v>0.63000000000000034</c:v>
                </c:pt>
                <c:pt idx="64">
                  <c:v>0.64000000000000035</c:v>
                </c:pt>
                <c:pt idx="65">
                  <c:v>0.65000000000000036</c:v>
                </c:pt>
                <c:pt idx="66">
                  <c:v>0.66000000000000036</c:v>
                </c:pt>
                <c:pt idx="67">
                  <c:v>0.67000000000000037</c:v>
                </c:pt>
                <c:pt idx="68">
                  <c:v>0.68000000000000038</c:v>
                </c:pt>
              </c:numCache>
            </c:numRef>
          </c:xVal>
          <c:yVal>
            <c:numRef>
              <c:f>¨ÖÍÚÉØÖÅÍÒ!$U$8:$U$76</c:f>
              <c:numCache>
                <c:formatCode>General</c:formatCode>
                <c:ptCount val="69"/>
                <c:pt idx="0">
                  <c:v>0</c:v>
                </c:pt>
                <c:pt idx="1">
                  <c:v>0.312462448051749</c:v>
                </c:pt>
                <c:pt idx="2">
                  <c:v>0.49324194796257187</c:v>
                </c:pt>
                <c:pt idx="3">
                  <c:v>0.72078586282777524</c:v>
                </c:pt>
                <c:pt idx="4">
                  <c:v>0.92516191536497194</c:v>
                </c:pt>
                <c:pt idx="5">
                  <c:v>1.1338849421725035</c:v>
                </c:pt>
                <c:pt idx="6">
                  <c:v>1.3362364655664094</c:v>
                </c:pt>
                <c:pt idx="7">
                  <c:v>1.5364970944379595</c:v>
                </c:pt>
                <c:pt idx="8">
                  <c:v>1.7330615318669547</c:v>
                </c:pt>
                <c:pt idx="9">
                  <c:v>1.9266325390162573</c:v>
                </c:pt>
                <c:pt idx="10">
                  <c:v>2.1170061635823672</c:v>
                </c:pt>
                <c:pt idx="11">
                  <c:v>2.3043330309515113</c:v>
                </c:pt>
                <c:pt idx="12">
                  <c:v>2.4886235123966114</c:v>
                </c:pt>
                <c:pt idx="13">
                  <c:v>2.6699418840586842</c:v>
                </c:pt>
                <c:pt idx="14">
                  <c:v>2.848330169416954</c:v>
                </c:pt>
                <c:pt idx="15">
                  <c:v>3.0238380364927697</c:v>
                </c:pt>
                <c:pt idx="16">
                  <c:v>3.1965110856254628</c:v>
                </c:pt>
                <c:pt idx="17">
                  <c:v>3.3663954618611576</c:v>
                </c:pt>
                <c:pt idx="18">
                  <c:v>3.5335360623218266</c:v>
                </c:pt>
                <c:pt idx="19">
                  <c:v>3.6979772562230013</c:v>
                </c:pt>
                <c:pt idx="20">
                  <c:v>3.8597626188180136</c:v>
                </c:pt>
                <c:pt idx="21">
                  <c:v>4.0189350519494083</c:v>
                </c:pt>
                <c:pt idx="22">
                  <c:v>4.1755367526591396</c:v>
                </c:pt>
                <c:pt idx="23">
                  <c:v>4.3296092411539435</c:v>
                </c:pt>
                <c:pt idx="24">
                  <c:v>4.4811933652307498</c:v>
                </c:pt>
                <c:pt idx="25">
                  <c:v>4.6303293136890087</c:v>
                </c:pt>
                <c:pt idx="26">
                  <c:v>4.7770566259724596</c:v>
                </c:pt>
                <c:pt idx="27">
                  <c:v>4.9214142030495216</c:v>
                </c:pt>
                <c:pt idx="28">
                  <c:v>5.0634403175709091</c:v>
                </c:pt>
                <c:pt idx="29">
                  <c:v>5.2031726240778244</c:v>
                </c:pt>
                <c:pt idx="30">
                  <c:v>5.3406481689610699</c:v>
                </c:pt>
                <c:pt idx="31">
                  <c:v>5.4759034002923572</c:v>
                </c:pt>
                <c:pt idx="32">
                  <c:v>5.6089741774838746</c:v>
                </c:pt>
                <c:pt idx="33">
                  <c:v>5.7398957807969255</c:v>
                </c:pt>
                <c:pt idx="34">
                  <c:v>5.8687029206950037</c:v>
                </c:pt>
                <c:pt idx="35">
                  <c:v>5.9954297470465985</c:v>
                </c:pt>
                <c:pt idx="36">
                  <c:v>6.1201098581790569</c:v>
                </c:pt>
                <c:pt idx="37">
                  <c:v>6.2427763097863407</c:v>
                </c:pt>
                <c:pt idx="38">
                  <c:v>6.3634616236928716</c:v>
                </c:pt>
                <c:pt idx="39">
                  <c:v>6.4821977964758544</c:v>
                </c:pt>
                <c:pt idx="40">
                  <c:v>6.5990163079483386</c:v>
                </c:pt>
                <c:pt idx="41">
                  <c:v>6.7139481295052716</c:v>
                </c:pt>
                <c:pt idx="42">
                  <c:v>6.8270237323347587</c:v>
                </c:pt>
                <c:pt idx="43">
                  <c:v>6.9382730954967142</c:v>
                </c:pt>
                <c:pt idx="44">
                  <c:v>7.0477257138710181</c:v>
                </c:pt>
                <c:pt idx="45">
                  <c:v>7.1554106059773313</c:v>
                </c:pt>
                <c:pt idx="46">
                  <c:v>7.261356321668595</c:v>
                </c:pt>
                <c:pt idx="47">
                  <c:v>7.3655909497002821</c:v>
                </c:pt>
                <c:pt idx="48">
                  <c:v>7.4681421251774056</c:v>
                </c:pt>
                <c:pt idx="49">
                  <c:v>7.5690370368812463</c:v>
                </c:pt>
                <c:pt idx="50">
                  <c:v>7.6683024344777548</c:v>
                </c:pt>
                <c:pt idx="51">
                  <c:v>7.7659646356095244</c:v>
                </c:pt>
                <c:pt idx="52">
                  <c:v>7.8620495328732414</c:v>
                </c:pt>
                <c:pt idx="53">
                  <c:v>7.9565826006844231</c:v>
                </c:pt>
                <c:pt idx="54">
                  <c:v>8.0495889020313065</c:v>
                </c:pt>
                <c:pt idx="55">
                  <c:v>8.1410930951196434</c:v>
                </c:pt>
                <c:pt idx="56">
                  <c:v>8.2311194399101861</c:v>
                </c:pt>
                <c:pt idx="57">
                  <c:v>8.319691804550585</c:v>
                </c:pt>
                <c:pt idx="58">
                  <c:v>8.40683367170341</c:v>
                </c:pt>
                <c:pt idx="59">
                  <c:v>8.4925681447719654</c:v>
                </c:pt>
                <c:pt idx="60">
                  <c:v>8.5769179540255589</c:v>
                </c:pt>
                <c:pt idx="61">
                  <c:v>8.6599054626258454</c:v>
                </c:pt>
                <c:pt idx="62">
                  <c:v>8.7415526725558319</c:v>
                </c:pt>
                <c:pt idx="63">
                  <c:v>8.8218812304531387</c:v>
                </c:pt>
                <c:pt idx="64">
                  <c:v>8.9009124333490384</c:v>
                </c:pt>
                <c:pt idx="65">
                  <c:v>8.9786672343148162</c:v>
                </c:pt>
                <c:pt idx="66">
                  <c:v>9.0551662480169259</c:v>
                </c:pt>
                <c:pt idx="67">
                  <c:v>9.130429756182437</c:v>
                </c:pt>
                <c:pt idx="68">
                  <c:v>9.2044777129762085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42FE-4C75-8733-7C011B894C29}"/>
            </c:ext>
          </c:extLst>
        </c:ser>
        <c:ser>
          <c:idx val="3"/>
          <c:order val="3"/>
          <c:tx>
            <c:v>Wheel Slip</c:v>
          </c:tx>
          <c:spPr>
            <a:ln w="19050" cap="rnd">
              <a:solidFill>
                <a:srgbClr val="92D050"/>
              </a:solidFill>
              <a:round/>
            </a:ln>
            <a:effectLst/>
          </c:spPr>
          <c:marker>
            <c:symbol val="none"/>
          </c:marker>
          <c:xVal>
            <c:numRef>
              <c:f>¨ÖÍÚÉØÖÅÍÒ!$H$8:$H$76</c:f>
              <c:numCache>
                <c:formatCode>0.00</c:formatCode>
                <c:ptCount val="69"/>
                <c:pt idx="0" formatCode="General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  <c:pt idx="11">
                  <c:v>0.10999999999999999</c:v>
                </c:pt>
                <c:pt idx="12">
                  <c:v>0.11999999999999998</c:v>
                </c:pt>
                <c:pt idx="13">
                  <c:v>0.12999999999999998</c:v>
                </c:pt>
                <c:pt idx="14">
                  <c:v>0.13999999999999999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0.18000000000000002</c:v>
                </c:pt>
                <c:pt idx="19">
                  <c:v>0.19000000000000003</c:v>
                </c:pt>
                <c:pt idx="20">
                  <c:v>0.20000000000000004</c:v>
                </c:pt>
                <c:pt idx="21">
                  <c:v>0.21000000000000005</c:v>
                </c:pt>
                <c:pt idx="22">
                  <c:v>0.22000000000000006</c:v>
                </c:pt>
                <c:pt idx="23">
                  <c:v>0.23000000000000007</c:v>
                </c:pt>
                <c:pt idx="24">
                  <c:v>0.24000000000000007</c:v>
                </c:pt>
                <c:pt idx="25">
                  <c:v>0.25000000000000006</c:v>
                </c:pt>
                <c:pt idx="26">
                  <c:v>0.26000000000000006</c:v>
                </c:pt>
                <c:pt idx="27">
                  <c:v>0.27000000000000007</c:v>
                </c:pt>
                <c:pt idx="28">
                  <c:v>0.28000000000000008</c:v>
                </c:pt>
                <c:pt idx="29">
                  <c:v>0.29000000000000009</c:v>
                </c:pt>
                <c:pt idx="30">
                  <c:v>0.3000000000000001</c:v>
                </c:pt>
                <c:pt idx="31">
                  <c:v>0.31000000000000011</c:v>
                </c:pt>
                <c:pt idx="32">
                  <c:v>0.32000000000000012</c:v>
                </c:pt>
                <c:pt idx="33">
                  <c:v>0.33000000000000013</c:v>
                </c:pt>
                <c:pt idx="34">
                  <c:v>0.34000000000000014</c:v>
                </c:pt>
                <c:pt idx="35">
                  <c:v>0.35000000000000014</c:v>
                </c:pt>
                <c:pt idx="36">
                  <c:v>0.36000000000000015</c:v>
                </c:pt>
                <c:pt idx="37">
                  <c:v>0.37000000000000016</c:v>
                </c:pt>
                <c:pt idx="38">
                  <c:v>0.38000000000000017</c:v>
                </c:pt>
                <c:pt idx="39">
                  <c:v>0.39000000000000018</c:v>
                </c:pt>
                <c:pt idx="40">
                  <c:v>0.40000000000000019</c:v>
                </c:pt>
                <c:pt idx="41">
                  <c:v>0.4100000000000002</c:v>
                </c:pt>
                <c:pt idx="42">
                  <c:v>0.42000000000000021</c:v>
                </c:pt>
                <c:pt idx="43">
                  <c:v>0.43000000000000022</c:v>
                </c:pt>
                <c:pt idx="44">
                  <c:v>0.44000000000000022</c:v>
                </c:pt>
                <c:pt idx="45">
                  <c:v>0.45000000000000023</c:v>
                </c:pt>
                <c:pt idx="46">
                  <c:v>0.46000000000000024</c:v>
                </c:pt>
                <c:pt idx="47">
                  <c:v>0.47000000000000025</c:v>
                </c:pt>
                <c:pt idx="48">
                  <c:v>0.48000000000000026</c:v>
                </c:pt>
                <c:pt idx="49">
                  <c:v>0.49000000000000027</c:v>
                </c:pt>
                <c:pt idx="50">
                  <c:v>0.50000000000000022</c:v>
                </c:pt>
                <c:pt idx="51">
                  <c:v>0.51000000000000023</c:v>
                </c:pt>
                <c:pt idx="52">
                  <c:v>0.52000000000000024</c:v>
                </c:pt>
                <c:pt idx="53">
                  <c:v>0.53000000000000025</c:v>
                </c:pt>
                <c:pt idx="54">
                  <c:v>0.54000000000000026</c:v>
                </c:pt>
                <c:pt idx="55">
                  <c:v>0.55000000000000027</c:v>
                </c:pt>
                <c:pt idx="56">
                  <c:v>0.56000000000000028</c:v>
                </c:pt>
                <c:pt idx="57">
                  <c:v>0.57000000000000028</c:v>
                </c:pt>
                <c:pt idx="58">
                  <c:v>0.58000000000000029</c:v>
                </c:pt>
                <c:pt idx="59">
                  <c:v>0.5900000000000003</c:v>
                </c:pt>
                <c:pt idx="60">
                  <c:v>0.60000000000000031</c:v>
                </c:pt>
                <c:pt idx="61">
                  <c:v>0.61000000000000032</c:v>
                </c:pt>
                <c:pt idx="62">
                  <c:v>0.62000000000000033</c:v>
                </c:pt>
                <c:pt idx="63">
                  <c:v>0.63000000000000034</c:v>
                </c:pt>
                <c:pt idx="64">
                  <c:v>0.64000000000000035</c:v>
                </c:pt>
                <c:pt idx="65">
                  <c:v>0.65000000000000036</c:v>
                </c:pt>
                <c:pt idx="66">
                  <c:v>0.66000000000000036</c:v>
                </c:pt>
                <c:pt idx="67">
                  <c:v>0.67000000000000037</c:v>
                </c:pt>
                <c:pt idx="68">
                  <c:v>0.68000000000000038</c:v>
                </c:pt>
              </c:numCache>
            </c:numRef>
          </c:xVal>
          <c:yVal>
            <c:numRef>
              <c:f>¨ÖÍÚÉØÖÅÍÒ!$W$8:$W$76</c:f>
              <c:numCache>
                <c:formatCode>General</c:formatCode>
                <c:ptCount val="6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42FE-4C75-8733-7C011B894C29}"/>
            </c:ext>
          </c:extLst>
        </c:ser>
        <c:ser>
          <c:idx val="4"/>
          <c:order val="4"/>
          <c:tx>
            <c:v>Current Limit</c:v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¨ÖÍÚÉØÖÅÍÒ!$H$8:$H$76</c:f>
              <c:numCache>
                <c:formatCode>0.00</c:formatCode>
                <c:ptCount val="69"/>
                <c:pt idx="0" formatCode="General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  <c:pt idx="11">
                  <c:v>0.10999999999999999</c:v>
                </c:pt>
                <c:pt idx="12">
                  <c:v>0.11999999999999998</c:v>
                </c:pt>
                <c:pt idx="13">
                  <c:v>0.12999999999999998</c:v>
                </c:pt>
                <c:pt idx="14">
                  <c:v>0.13999999999999999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0.18000000000000002</c:v>
                </c:pt>
                <c:pt idx="19">
                  <c:v>0.19000000000000003</c:v>
                </c:pt>
                <c:pt idx="20">
                  <c:v>0.20000000000000004</c:v>
                </c:pt>
                <c:pt idx="21">
                  <c:v>0.21000000000000005</c:v>
                </c:pt>
                <c:pt idx="22">
                  <c:v>0.22000000000000006</c:v>
                </c:pt>
                <c:pt idx="23">
                  <c:v>0.23000000000000007</c:v>
                </c:pt>
                <c:pt idx="24">
                  <c:v>0.24000000000000007</c:v>
                </c:pt>
                <c:pt idx="25">
                  <c:v>0.25000000000000006</c:v>
                </c:pt>
                <c:pt idx="26">
                  <c:v>0.26000000000000006</c:v>
                </c:pt>
                <c:pt idx="27">
                  <c:v>0.27000000000000007</c:v>
                </c:pt>
                <c:pt idx="28">
                  <c:v>0.28000000000000008</c:v>
                </c:pt>
                <c:pt idx="29">
                  <c:v>0.29000000000000009</c:v>
                </c:pt>
                <c:pt idx="30">
                  <c:v>0.3000000000000001</c:v>
                </c:pt>
                <c:pt idx="31">
                  <c:v>0.31000000000000011</c:v>
                </c:pt>
                <c:pt idx="32">
                  <c:v>0.32000000000000012</c:v>
                </c:pt>
                <c:pt idx="33">
                  <c:v>0.33000000000000013</c:v>
                </c:pt>
                <c:pt idx="34">
                  <c:v>0.34000000000000014</c:v>
                </c:pt>
                <c:pt idx="35">
                  <c:v>0.35000000000000014</c:v>
                </c:pt>
                <c:pt idx="36">
                  <c:v>0.36000000000000015</c:v>
                </c:pt>
                <c:pt idx="37">
                  <c:v>0.37000000000000016</c:v>
                </c:pt>
                <c:pt idx="38">
                  <c:v>0.38000000000000017</c:v>
                </c:pt>
                <c:pt idx="39">
                  <c:v>0.39000000000000018</c:v>
                </c:pt>
                <c:pt idx="40">
                  <c:v>0.40000000000000019</c:v>
                </c:pt>
                <c:pt idx="41">
                  <c:v>0.4100000000000002</c:v>
                </c:pt>
                <c:pt idx="42">
                  <c:v>0.42000000000000021</c:v>
                </c:pt>
                <c:pt idx="43">
                  <c:v>0.43000000000000022</c:v>
                </c:pt>
                <c:pt idx="44">
                  <c:v>0.44000000000000022</c:v>
                </c:pt>
                <c:pt idx="45">
                  <c:v>0.45000000000000023</c:v>
                </c:pt>
                <c:pt idx="46">
                  <c:v>0.46000000000000024</c:v>
                </c:pt>
                <c:pt idx="47">
                  <c:v>0.47000000000000025</c:v>
                </c:pt>
                <c:pt idx="48">
                  <c:v>0.48000000000000026</c:v>
                </c:pt>
                <c:pt idx="49">
                  <c:v>0.49000000000000027</c:v>
                </c:pt>
                <c:pt idx="50">
                  <c:v>0.50000000000000022</c:v>
                </c:pt>
                <c:pt idx="51">
                  <c:v>0.51000000000000023</c:v>
                </c:pt>
                <c:pt idx="52">
                  <c:v>0.52000000000000024</c:v>
                </c:pt>
                <c:pt idx="53">
                  <c:v>0.53000000000000025</c:v>
                </c:pt>
                <c:pt idx="54">
                  <c:v>0.54000000000000026</c:v>
                </c:pt>
                <c:pt idx="55">
                  <c:v>0.55000000000000027</c:v>
                </c:pt>
                <c:pt idx="56">
                  <c:v>0.56000000000000028</c:v>
                </c:pt>
                <c:pt idx="57">
                  <c:v>0.57000000000000028</c:v>
                </c:pt>
                <c:pt idx="58">
                  <c:v>0.58000000000000029</c:v>
                </c:pt>
                <c:pt idx="59">
                  <c:v>0.5900000000000003</c:v>
                </c:pt>
                <c:pt idx="60">
                  <c:v>0.60000000000000031</c:v>
                </c:pt>
                <c:pt idx="61">
                  <c:v>0.61000000000000032</c:v>
                </c:pt>
                <c:pt idx="62">
                  <c:v>0.62000000000000033</c:v>
                </c:pt>
                <c:pt idx="63">
                  <c:v>0.63000000000000034</c:v>
                </c:pt>
                <c:pt idx="64">
                  <c:v>0.64000000000000035</c:v>
                </c:pt>
                <c:pt idx="65">
                  <c:v>0.65000000000000036</c:v>
                </c:pt>
                <c:pt idx="66">
                  <c:v>0.66000000000000036</c:v>
                </c:pt>
                <c:pt idx="67">
                  <c:v>0.67000000000000037</c:v>
                </c:pt>
                <c:pt idx="68">
                  <c:v>0.68000000000000038</c:v>
                </c:pt>
              </c:numCache>
            </c:numRef>
          </c:xVal>
          <c:yVal>
            <c:numRef>
              <c:f>¨ÖÍÚÉØÖÅÍÒ!$X$8:$X$76</c:f>
              <c:numCache>
                <c:formatCode>General</c:formatCode>
                <c:ptCount val="6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42FE-4C75-8733-7C011B894C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27984256"/>
        <c:axId val="718448608"/>
      </c:scatterChart>
      <c:scatterChart>
        <c:scatterStyle val="smoothMarker"/>
        <c:varyColors val="0"/>
        <c:ser>
          <c:idx val="2"/>
          <c:order val="2"/>
          <c:tx>
            <c:v>Acceleration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¨ÖÍÚÉØÖÅÍÒ!$H$8:$H$76</c:f>
              <c:numCache>
                <c:formatCode>0.00</c:formatCode>
                <c:ptCount val="69"/>
                <c:pt idx="0" formatCode="General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  <c:pt idx="11">
                  <c:v>0.10999999999999999</c:v>
                </c:pt>
                <c:pt idx="12">
                  <c:v>0.11999999999999998</c:v>
                </c:pt>
                <c:pt idx="13">
                  <c:v>0.12999999999999998</c:v>
                </c:pt>
                <c:pt idx="14">
                  <c:v>0.13999999999999999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0.18000000000000002</c:v>
                </c:pt>
                <c:pt idx="19">
                  <c:v>0.19000000000000003</c:v>
                </c:pt>
                <c:pt idx="20">
                  <c:v>0.20000000000000004</c:v>
                </c:pt>
                <c:pt idx="21">
                  <c:v>0.21000000000000005</c:v>
                </c:pt>
                <c:pt idx="22">
                  <c:v>0.22000000000000006</c:v>
                </c:pt>
                <c:pt idx="23">
                  <c:v>0.23000000000000007</c:v>
                </c:pt>
                <c:pt idx="24">
                  <c:v>0.24000000000000007</c:v>
                </c:pt>
                <c:pt idx="25">
                  <c:v>0.25000000000000006</c:v>
                </c:pt>
                <c:pt idx="26">
                  <c:v>0.26000000000000006</c:v>
                </c:pt>
                <c:pt idx="27">
                  <c:v>0.27000000000000007</c:v>
                </c:pt>
                <c:pt idx="28">
                  <c:v>0.28000000000000008</c:v>
                </c:pt>
                <c:pt idx="29">
                  <c:v>0.29000000000000009</c:v>
                </c:pt>
                <c:pt idx="30">
                  <c:v>0.3000000000000001</c:v>
                </c:pt>
                <c:pt idx="31">
                  <c:v>0.31000000000000011</c:v>
                </c:pt>
                <c:pt idx="32">
                  <c:v>0.32000000000000012</c:v>
                </c:pt>
                <c:pt idx="33">
                  <c:v>0.33000000000000013</c:v>
                </c:pt>
                <c:pt idx="34">
                  <c:v>0.34000000000000014</c:v>
                </c:pt>
                <c:pt idx="35">
                  <c:v>0.35000000000000014</c:v>
                </c:pt>
                <c:pt idx="36">
                  <c:v>0.36000000000000015</c:v>
                </c:pt>
                <c:pt idx="37">
                  <c:v>0.37000000000000016</c:v>
                </c:pt>
                <c:pt idx="38">
                  <c:v>0.38000000000000017</c:v>
                </c:pt>
                <c:pt idx="39">
                  <c:v>0.39000000000000018</c:v>
                </c:pt>
                <c:pt idx="40">
                  <c:v>0.40000000000000019</c:v>
                </c:pt>
                <c:pt idx="41">
                  <c:v>0.4100000000000002</c:v>
                </c:pt>
                <c:pt idx="42">
                  <c:v>0.42000000000000021</c:v>
                </c:pt>
                <c:pt idx="43">
                  <c:v>0.43000000000000022</c:v>
                </c:pt>
                <c:pt idx="44">
                  <c:v>0.44000000000000022</c:v>
                </c:pt>
                <c:pt idx="45">
                  <c:v>0.45000000000000023</c:v>
                </c:pt>
                <c:pt idx="46">
                  <c:v>0.46000000000000024</c:v>
                </c:pt>
                <c:pt idx="47">
                  <c:v>0.47000000000000025</c:v>
                </c:pt>
                <c:pt idx="48">
                  <c:v>0.48000000000000026</c:v>
                </c:pt>
                <c:pt idx="49">
                  <c:v>0.49000000000000027</c:v>
                </c:pt>
                <c:pt idx="50">
                  <c:v>0.50000000000000022</c:v>
                </c:pt>
                <c:pt idx="51">
                  <c:v>0.51000000000000023</c:v>
                </c:pt>
                <c:pt idx="52">
                  <c:v>0.52000000000000024</c:v>
                </c:pt>
                <c:pt idx="53">
                  <c:v>0.53000000000000025</c:v>
                </c:pt>
                <c:pt idx="54">
                  <c:v>0.54000000000000026</c:v>
                </c:pt>
                <c:pt idx="55">
                  <c:v>0.55000000000000027</c:v>
                </c:pt>
                <c:pt idx="56">
                  <c:v>0.56000000000000028</c:v>
                </c:pt>
                <c:pt idx="57">
                  <c:v>0.57000000000000028</c:v>
                </c:pt>
                <c:pt idx="58">
                  <c:v>0.58000000000000029</c:v>
                </c:pt>
                <c:pt idx="59">
                  <c:v>0.5900000000000003</c:v>
                </c:pt>
                <c:pt idx="60">
                  <c:v>0.60000000000000031</c:v>
                </c:pt>
                <c:pt idx="61">
                  <c:v>0.61000000000000032</c:v>
                </c:pt>
                <c:pt idx="62">
                  <c:v>0.62000000000000033</c:v>
                </c:pt>
                <c:pt idx="63">
                  <c:v>0.63000000000000034</c:v>
                </c:pt>
                <c:pt idx="64">
                  <c:v>0.64000000000000035</c:v>
                </c:pt>
                <c:pt idx="65">
                  <c:v>0.65000000000000036</c:v>
                </c:pt>
                <c:pt idx="66">
                  <c:v>0.66000000000000036</c:v>
                </c:pt>
                <c:pt idx="67">
                  <c:v>0.67000000000000037</c:v>
                </c:pt>
                <c:pt idx="68">
                  <c:v>0.68000000000000038</c:v>
                </c:pt>
              </c:numCache>
            </c:numRef>
          </c:xVal>
          <c:yVal>
            <c:numRef>
              <c:f>¨ÖÍÚÉØÖÅÍÒ!$V$8:$V$76</c:f>
              <c:numCache>
                <c:formatCode>General</c:formatCode>
                <c:ptCount val="69"/>
                <c:pt idx="0">
                  <c:v>31.2462448051749</c:v>
                </c:pt>
                <c:pt idx="1">
                  <c:v>18.077949991082292</c:v>
                </c:pt>
                <c:pt idx="2">
                  <c:v>22.75439148652034</c:v>
                </c:pt>
                <c:pt idx="3">
                  <c:v>20.437605253719667</c:v>
                </c:pt>
                <c:pt idx="4">
                  <c:v>20.872302680753144</c:v>
                </c:pt>
                <c:pt idx="5">
                  <c:v>20.235152339390581</c:v>
                </c:pt>
                <c:pt idx="6">
                  <c:v>20.026062887155014</c:v>
                </c:pt>
                <c:pt idx="7">
                  <c:v>19.656443742899512</c:v>
                </c:pt>
                <c:pt idx="8">
                  <c:v>19.357100714930251</c:v>
                </c:pt>
                <c:pt idx="9">
                  <c:v>19.037362456611032</c:v>
                </c:pt>
                <c:pt idx="10">
                  <c:v>18.732686736914392</c:v>
                </c:pt>
                <c:pt idx="11">
                  <c:v>18.429048144510013</c:v>
                </c:pt>
                <c:pt idx="12">
                  <c:v>18.13183716620728</c:v>
                </c:pt>
                <c:pt idx="13">
                  <c:v>17.838828535826991</c:v>
                </c:pt>
                <c:pt idx="14">
                  <c:v>17.550786707581526</c:v>
                </c:pt>
                <c:pt idx="15">
                  <c:v>17.26730491326931</c:v>
                </c:pt>
                <c:pt idx="16">
                  <c:v>16.988437623569521</c:v>
                </c:pt>
                <c:pt idx="17">
                  <c:v>16.714060046066855</c:v>
                </c:pt>
                <c:pt idx="18">
                  <c:v>16.444119390117493</c:v>
                </c:pt>
                <c:pt idx="19">
                  <c:v>16.178536259501211</c:v>
                </c:pt>
                <c:pt idx="20">
                  <c:v>15.917243313139437</c:v>
                </c:pt>
                <c:pt idx="21">
                  <c:v>15.660170070973107</c:v>
                </c:pt>
                <c:pt idx="22">
                  <c:v>15.407248849480338</c:v>
                </c:pt>
                <c:pt idx="23">
                  <c:v>15.158412407680656</c:v>
                </c:pt>
                <c:pt idx="24">
                  <c:v>14.913594845825882</c:v>
                </c:pt>
                <c:pt idx="25">
                  <c:v>14.67273122834507</c:v>
                </c:pt>
                <c:pt idx="26">
                  <c:v>14.435757707706214</c:v>
                </c:pt>
                <c:pt idx="27">
                  <c:v>14.202611452138838</c:v>
                </c:pt>
                <c:pt idx="28">
                  <c:v>13.973230650691523</c:v>
                </c:pt>
                <c:pt idx="29">
                  <c:v>13.74755448832452</c:v>
                </c:pt>
                <c:pt idx="30">
                  <c:v>13.525523133128782</c:v>
                </c:pt>
                <c:pt idx="31">
                  <c:v>13.307077719151749</c:v>
                </c:pt>
                <c:pt idx="32">
                  <c:v>13.092160331305017</c:v>
                </c:pt>
                <c:pt idx="33">
                  <c:v>12.880713989807825</c:v>
                </c:pt>
                <c:pt idx="34">
                  <c:v>12.672682635159552</c:v>
                </c:pt>
                <c:pt idx="35">
                  <c:v>12.468011113245872</c:v>
                </c:pt>
                <c:pt idx="36">
                  <c:v>12.266645160728352</c:v>
                </c:pt>
                <c:pt idx="37">
                  <c:v>12.068531390653051</c:v>
                </c:pt>
                <c:pt idx="38">
                  <c:v>11.873617278298303</c:v>
                </c:pt>
                <c:pt idx="39">
                  <c:v>11.68185114724843</c:v>
                </c:pt>
                <c:pt idx="40">
                  <c:v>11.49318215569328</c:v>
                </c:pt>
                <c:pt idx="41">
                  <c:v>11.307560282948813</c:v>
                </c:pt>
                <c:pt idx="42">
                  <c:v>11.124936316195427</c:v>
                </c:pt>
                <c:pt idx="43">
                  <c:v>10.945261837430452</c:v>
                </c:pt>
                <c:pt idx="44">
                  <c:v>10.768489210631355</c:v>
                </c:pt>
                <c:pt idx="45">
                  <c:v>10.59457156912632</c:v>
                </c:pt>
                <c:pt idx="46">
                  <c:v>10.423462803168729</c:v>
                </c:pt>
                <c:pt idx="47">
                  <c:v>10.255117547712381</c:v>
                </c:pt>
                <c:pt idx="48">
                  <c:v>10.08949117038415</c:v>
                </c:pt>
                <c:pt idx="49">
                  <c:v>9.9265397596508098</c:v>
                </c:pt>
                <c:pt idx="50">
                  <c:v>9.766220113177086</c:v>
                </c:pt>
                <c:pt idx="51">
                  <c:v>9.6084897263716744</c:v>
                </c:pt>
                <c:pt idx="52">
                  <c:v>9.4533067811182097</c:v>
                </c:pt>
                <c:pt idx="53">
                  <c:v>9.3006301346883244</c:v>
                </c:pt>
                <c:pt idx="54">
                  <c:v>9.1504193088336763</c:v>
                </c:pt>
                <c:pt idx="55">
                  <c:v>9.0026344790542705</c:v>
                </c:pt>
                <c:pt idx="56">
                  <c:v>8.8572364640399375</c:v>
                </c:pt>
                <c:pt idx="57">
                  <c:v>8.7141867152824819</c:v>
                </c:pt>
                <c:pt idx="58">
                  <c:v>8.5734473068555079</c:v>
                </c:pt>
                <c:pt idx="59">
                  <c:v>8.434980925359401</c:v>
                </c:pt>
                <c:pt idx="60">
                  <c:v>8.29875086002858</c:v>
                </c:pt>
                <c:pt idx="61">
                  <c:v>8.1647209929986584</c:v>
                </c:pt>
                <c:pt idx="62">
                  <c:v>8.0328557897306734</c:v>
                </c:pt>
                <c:pt idx="63">
                  <c:v>7.9031202895900607</c:v>
                </c:pt>
                <c:pt idx="64">
                  <c:v>7.7754800965777342</c:v>
                </c:pt>
                <c:pt idx="65">
                  <c:v>7.649901370210892</c:v>
                </c:pt>
                <c:pt idx="66">
                  <c:v>7.5263508165510782</c:v>
                </c:pt>
                <c:pt idx="67">
                  <c:v>7.4047956793771688</c:v>
                </c:pt>
                <c:pt idx="68">
                  <c:v>7.2852037315008999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42FE-4C75-8733-7C011B894C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04521280"/>
        <c:axId val="1004523360"/>
      </c:scatterChart>
      <c:valAx>
        <c:axId val="52798425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Time (s)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8448608"/>
        <c:crosses val="autoZero"/>
        <c:crossBetween val="midCat"/>
      </c:valAx>
      <c:valAx>
        <c:axId val="7184486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Distance (m) </a:t>
                </a:r>
                <a:r>
                  <a:rPr lang="en-US" baseline="0"/>
                  <a:t> &amp;  Speed (m/s)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7984256"/>
        <c:crosses val="autoZero"/>
        <c:crossBetween val="midCat"/>
      </c:valAx>
      <c:valAx>
        <c:axId val="1004523360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Acceleration (m/s</a:t>
                </a:r>
                <a:r>
                  <a:rPr lang="en-US" baseline="30000"/>
                  <a:t>2</a:t>
                </a:r>
                <a:r>
                  <a:rPr lang="en-US" baseline="0"/>
                  <a:t>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04521280"/>
        <c:crosses val="max"/>
        <c:crossBetween val="midCat"/>
      </c:valAx>
      <c:valAx>
        <c:axId val="100452128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004523360"/>
        <c:crossBetween val="midCat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CheckBox" fmlaLink="$B$4" lockText="1" noThreeD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</xdr:row>
          <xdr:rowOff>175260</xdr:rowOff>
        </xdr:from>
        <xdr:to>
          <xdr:col>2</xdr:col>
          <xdr:colOff>7620</xdr:colOff>
          <xdr:row>4</xdr:row>
          <xdr:rowOff>0</xdr:rowOff>
        </xdr:to>
        <xdr:sp macro="" textlink="">
          <xdr:nvSpPr>
            <xdr:cNvPr id="1025" name="Metric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xdr:twoCellAnchor>
    <xdr:from>
      <xdr:col>25</xdr:col>
      <xdr:colOff>0</xdr:colOff>
      <xdr:row>4</xdr:row>
      <xdr:rowOff>0</xdr:rowOff>
    </xdr:from>
    <xdr:to>
      <xdr:col>38</xdr:col>
      <xdr:colOff>411480</xdr:colOff>
      <xdr:row>32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682DF13F-CBD0-4753-8986-1043EA5157A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AMB%20Design%20Spreadsheet%20v5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ME"/>
      <sheetName val="±ÉÇÌÅÒÍ×Ñ¶ÅØÍÓ"/>
      <sheetName val="°ÉÅÈ·ÇÖÉÛ"/>
      <sheetName val="¨ÖÍÚÉØÖÅÍÒ"/>
      <sheetName val="¦ÉÅÑ¦ÉÒÈ"/>
      <sheetName val="´ÖÓÎÉÇØÍÐÉ"/>
      <sheetName val="§ÌÅÍÒ¦ÉÐØ"/>
      <sheetName val="«ÉÅÖ§ÐÉÅÖ"/>
      <sheetName val="¶ÅØÍÓ¨Í×Ø"/>
      <sheetName val="´ÒÉÙÑÅØÍÇ×"/>
      <sheetName val="´ÒÉÙ°ÍÒÏÅËÉ"/>
      <sheetName val="º´¨ÅØÅ"/>
      <sheetName val="ºÉÖ×Å´ÐÅÒÉØÅÖÝ"/>
      <sheetName val="Specs"/>
    </sheetNames>
    <definedNames>
      <definedName name="Drivetrain_Metric"/>
    </defined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/>
      <sheetData sheetId="7" refreshError="1"/>
      <sheetData sheetId="8" refreshError="1"/>
      <sheetData sheetId="9" refreshError="1"/>
      <sheetData sheetId="10" refreshError="1"/>
      <sheetData sheetId="11">
        <row r="2">
          <cell r="D2" t="str">
            <v>1/2" Hex AM 9015 -3</v>
          </cell>
          <cell r="E2">
            <v>1</v>
          </cell>
        </row>
        <row r="3">
          <cell r="D3" t="str">
            <v>1/2" Hex AM 9015 -4</v>
          </cell>
          <cell r="E3">
            <v>1</v>
          </cell>
          <cell r="O3" t="str">
            <v>1/2" Hex</v>
          </cell>
          <cell r="P3">
            <v>39.99</v>
          </cell>
          <cell r="Q3">
            <v>31.979999999999997</v>
          </cell>
          <cell r="R3" t="str">
            <v>217-4973,</v>
          </cell>
          <cell r="S3" t="str">
            <v>217-5823,217-2897,</v>
          </cell>
        </row>
        <row r="4">
          <cell r="D4" t="str">
            <v>1/2" Hex AM 9015 -5</v>
          </cell>
          <cell r="E4">
            <v>1</v>
          </cell>
          <cell r="O4" t="str">
            <v>1/2" Round</v>
          </cell>
          <cell r="P4">
            <v>39.99</v>
          </cell>
          <cell r="Q4">
            <v>27.979999999999997</v>
          </cell>
          <cell r="R4" t="str">
            <v>217-4975,</v>
          </cell>
          <cell r="S4" t="str">
            <v>217-5823,217-2895,</v>
          </cell>
        </row>
        <row r="5">
          <cell r="D5" t="str">
            <v>1/2" Hex AM 9015 -7</v>
          </cell>
          <cell r="E5">
            <v>1</v>
          </cell>
          <cell r="O5" t="str">
            <v>3/8" Hex</v>
          </cell>
          <cell r="P5">
            <v>39.99</v>
          </cell>
          <cell r="Q5">
            <v>17.989999999999998</v>
          </cell>
          <cell r="R5" t="str">
            <v>217-4974,</v>
          </cell>
          <cell r="S5" t="str">
            <v>217-5823,</v>
          </cell>
        </row>
        <row r="6">
          <cell r="D6" t="str">
            <v>1/2" Hex AM 9015 -9</v>
          </cell>
          <cell r="E6">
            <v>1</v>
          </cell>
          <cell r="O6" t="str">
            <v>CIM Motor</v>
          </cell>
          <cell r="P6">
            <v>39.99</v>
          </cell>
          <cell r="Q6">
            <v>27.979999999999997</v>
          </cell>
          <cell r="R6" t="str">
            <v>217-4976,</v>
          </cell>
          <cell r="S6" t="str">
            <v>217-5823,217-2893,</v>
          </cell>
        </row>
        <row r="7">
          <cell r="D7" t="str">
            <v>1/2" Hex AM 9015 -10</v>
          </cell>
          <cell r="E7">
            <v>1</v>
          </cell>
          <cell r="O7" t="str">
            <v>Female</v>
          </cell>
          <cell r="P7">
            <v>44.99</v>
          </cell>
          <cell r="Q7">
            <v>24.99</v>
          </cell>
          <cell r="R7" t="str">
            <v>217-6473,</v>
          </cell>
          <cell r="S7" t="str">
            <v>217-5995,</v>
          </cell>
        </row>
        <row r="8">
          <cell r="D8" t="str">
            <v>1/2" Hex AM 9015 9</v>
          </cell>
          <cell r="E8">
            <v>10</v>
          </cell>
        </row>
        <row r="9">
          <cell r="D9" t="str">
            <v>1/2" Hex AM 9015 12</v>
          </cell>
          <cell r="E9">
            <v>10</v>
          </cell>
        </row>
        <row r="10">
          <cell r="D10" t="str">
            <v>1/2" Hex AM 9015 15</v>
          </cell>
          <cell r="E10">
            <v>10</v>
          </cell>
        </row>
        <row r="11">
          <cell r="D11" t="str">
            <v>1/2" Hex AM 9015 16</v>
          </cell>
          <cell r="E11">
            <v>10</v>
          </cell>
          <cell r="O11" t="str">
            <v>AM 9015</v>
          </cell>
          <cell r="P11">
            <v>0</v>
          </cell>
          <cell r="Q11">
            <v>12.98</v>
          </cell>
          <cell r="S11" t="str">
            <v>217-3564,217-4649,</v>
          </cell>
        </row>
        <row r="12">
          <cell r="D12" t="str">
            <v>1/2" Hex AM 9015 20</v>
          </cell>
          <cell r="E12">
            <v>10</v>
          </cell>
          <cell r="O12" t="str">
            <v>NeveRest</v>
          </cell>
          <cell r="P12">
            <v>0</v>
          </cell>
          <cell r="Q12">
            <v>0</v>
          </cell>
        </row>
        <row r="13">
          <cell r="D13" t="str">
            <v>1/2" Hex AM 9015 21</v>
          </cell>
          <cell r="E13">
            <v>10</v>
          </cell>
          <cell r="O13" t="str">
            <v>BB RS-550</v>
          </cell>
          <cell r="P13">
            <v>0</v>
          </cell>
          <cell r="Q13">
            <v>0</v>
          </cell>
        </row>
        <row r="14">
          <cell r="D14" t="str">
            <v>1/2" Hex AM 9015 25</v>
          </cell>
          <cell r="E14">
            <v>7</v>
          </cell>
          <cell r="O14" t="str">
            <v>BB RS-775</v>
          </cell>
          <cell r="P14">
            <v>0</v>
          </cell>
          <cell r="Q14">
            <v>12.98</v>
          </cell>
          <cell r="S14" t="str">
            <v>217-3564,217-4649,</v>
          </cell>
        </row>
        <row r="15">
          <cell r="D15" t="str">
            <v>1/2" Hex AM 9015 27</v>
          </cell>
          <cell r="E15">
            <v>7</v>
          </cell>
          <cell r="O15" t="str">
            <v>BAG Motor</v>
          </cell>
          <cell r="P15">
            <v>0</v>
          </cell>
          <cell r="Q15">
            <v>12.98</v>
          </cell>
          <cell r="S15" t="str">
            <v>217-3564,217-4649,</v>
          </cell>
        </row>
        <row r="16">
          <cell r="D16" t="str">
            <v>1/2" Hex AM 9015 28</v>
          </cell>
          <cell r="E16">
            <v>7</v>
          </cell>
          <cell r="O16" t="str">
            <v>Mini CIM</v>
          </cell>
          <cell r="P16">
            <v>4.99</v>
          </cell>
          <cell r="Q16">
            <v>11.98</v>
          </cell>
          <cell r="R16" t="str">
            <v>217-4018,</v>
          </cell>
          <cell r="S16" t="str">
            <v>217-4018,</v>
          </cell>
        </row>
        <row r="17">
          <cell r="D17" t="str">
            <v>1/2" Hex AM 9015 30</v>
          </cell>
          <cell r="E17">
            <v>7</v>
          </cell>
          <cell r="O17" t="str">
            <v>CIM</v>
          </cell>
          <cell r="P17">
            <v>4.99</v>
          </cell>
          <cell r="Q17">
            <v>11.98</v>
          </cell>
          <cell r="R17" t="str">
            <v>217-4018,</v>
          </cell>
          <cell r="S17" t="str">
            <v>217-4018,</v>
          </cell>
        </row>
        <row r="18">
          <cell r="D18" t="str">
            <v>1/2" Hex AM 9015 35</v>
          </cell>
          <cell r="E18">
            <v>5</v>
          </cell>
          <cell r="O18" t="str">
            <v>775pro</v>
          </cell>
          <cell r="P18">
            <v>0</v>
          </cell>
          <cell r="Q18">
            <v>12.98</v>
          </cell>
          <cell r="S18" t="str">
            <v>217-3564,217-4649,</v>
          </cell>
        </row>
        <row r="19">
          <cell r="D19" t="str">
            <v>1/2" Hex AM 9015 36</v>
          </cell>
          <cell r="E19">
            <v>5</v>
          </cell>
          <cell r="O19" t="str">
            <v>NEO</v>
          </cell>
          <cell r="P19">
            <v>4.99</v>
          </cell>
          <cell r="Q19">
            <v>11.98</v>
          </cell>
          <cell r="R19" t="str">
            <v>217-4018,</v>
          </cell>
          <cell r="S19" t="str">
            <v>217-4018,</v>
          </cell>
        </row>
        <row r="20">
          <cell r="D20" t="str">
            <v>1/2" Hex AM 9015 40</v>
          </cell>
          <cell r="E20">
            <v>5</v>
          </cell>
          <cell r="O20" t="str">
            <v>Falcon 500</v>
          </cell>
          <cell r="P20">
            <v>4.99</v>
          </cell>
          <cell r="Q20">
            <v>11.98</v>
          </cell>
          <cell r="R20" t="str">
            <v>217-4018,</v>
          </cell>
          <cell r="S20" t="str">
            <v>217-4018,</v>
          </cell>
        </row>
        <row r="21">
          <cell r="D21" t="str">
            <v>1/2" Hex AM 9015 45</v>
          </cell>
          <cell r="E21">
            <v>5</v>
          </cell>
        </row>
        <row r="22">
          <cell r="D22" t="str">
            <v>1/2" Hex AM 9015 49</v>
          </cell>
          <cell r="E22">
            <v>5</v>
          </cell>
        </row>
        <row r="23">
          <cell r="D23" t="str">
            <v>1/2" Hex AM 9015 50</v>
          </cell>
          <cell r="E23">
            <v>5</v>
          </cell>
        </row>
        <row r="24">
          <cell r="D24" t="str">
            <v>1/2" Hex AM 9015 63</v>
          </cell>
          <cell r="E24">
            <v>5</v>
          </cell>
          <cell r="O24" t="str">
            <v>None</v>
          </cell>
          <cell r="P24">
            <v>0</v>
          </cell>
          <cell r="Q24">
            <v>0</v>
          </cell>
        </row>
        <row r="25">
          <cell r="D25" t="str">
            <v>1/2" Hex AM 9015 70</v>
          </cell>
          <cell r="E25">
            <v>4</v>
          </cell>
          <cell r="O25" t="str">
            <v>3 : 1</v>
          </cell>
          <cell r="P25">
            <v>24.98</v>
          </cell>
          <cell r="Q25">
            <v>16.98</v>
          </cell>
          <cell r="R25" t="str">
            <v>217-2816,217-2817,</v>
          </cell>
          <cell r="S25" t="str">
            <v>217-5832,217-2817,</v>
          </cell>
        </row>
        <row r="26">
          <cell r="D26" t="str">
            <v>1/2" Hex AM 9015 81</v>
          </cell>
          <cell r="E26">
            <v>4</v>
          </cell>
          <cell r="O26" t="str">
            <v>4 : 1</v>
          </cell>
          <cell r="P26">
            <v>24.98</v>
          </cell>
          <cell r="Q26">
            <v>16.98</v>
          </cell>
          <cell r="R26" t="str">
            <v>217-2816,217-2818,</v>
          </cell>
          <cell r="S26" t="str">
            <v>217-5832,217-2818,</v>
          </cell>
        </row>
        <row r="27">
          <cell r="D27" t="str">
            <v>1/2" Hex AM 9015 90</v>
          </cell>
          <cell r="E27">
            <v>3</v>
          </cell>
          <cell r="O27" t="str">
            <v>5 : 1</v>
          </cell>
          <cell r="P27">
            <v>24.98</v>
          </cell>
          <cell r="Q27">
            <v>16.98</v>
          </cell>
          <cell r="R27" t="str">
            <v>217-2816,217-2819,</v>
          </cell>
          <cell r="S27" t="str">
            <v>217-5832,217-2819,</v>
          </cell>
        </row>
        <row r="28">
          <cell r="D28" t="str">
            <v>1/2" Hex AM 9015 100</v>
          </cell>
          <cell r="E28">
            <v>3</v>
          </cell>
          <cell r="O28" t="str">
            <v>7 : 1</v>
          </cell>
          <cell r="P28">
            <v>24.98</v>
          </cell>
          <cell r="Q28">
            <v>16.98</v>
          </cell>
          <cell r="R28" t="str">
            <v>217-2816,217-3102,</v>
          </cell>
          <cell r="S28" t="str">
            <v>217-5832,217-3102,</v>
          </cell>
        </row>
        <row r="29">
          <cell r="D29" t="str">
            <v>1/2" Hex BB RS-550 -3</v>
          </cell>
          <cell r="E29">
            <v>1</v>
          </cell>
          <cell r="F29">
            <v>1</v>
          </cell>
          <cell r="G29">
            <v>1</v>
          </cell>
          <cell r="H29">
            <v>1</v>
          </cell>
          <cell r="O29" t="str">
            <v>9 : 1</v>
          </cell>
          <cell r="P29">
            <v>24.98</v>
          </cell>
          <cell r="Q29">
            <v>16.98</v>
          </cell>
          <cell r="R29" t="str">
            <v>217-2816,217-3106,</v>
          </cell>
          <cell r="S29" t="str">
            <v>217-5832,217-3106,</v>
          </cell>
        </row>
        <row r="30">
          <cell r="D30" t="str">
            <v>1/2" Hex BB RS-550 -4</v>
          </cell>
          <cell r="E30">
            <v>1</v>
          </cell>
          <cell r="F30">
            <v>1</v>
          </cell>
          <cell r="G30">
            <v>1</v>
          </cell>
          <cell r="H30">
            <v>1</v>
          </cell>
          <cell r="O30" t="str">
            <v>10 : 1</v>
          </cell>
          <cell r="P30">
            <v>24.98</v>
          </cell>
          <cell r="Q30">
            <v>16.98</v>
          </cell>
          <cell r="R30" t="str">
            <v>217-2816,217-2820,</v>
          </cell>
          <cell r="S30" t="str">
            <v>217-5832,217-2820,</v>
          </cell>
        </row>
        <row r="31">
          <cell r="D31" t="str">
            <v>1/2" Hex BB RS-550 -5</v>
          </cell>
          <cell r="E31">
            <v>1</v>
          </cell>
          <cell r="F31">
            <v>1</v>
          </cell>
          <cell r="G31">
            <v>1</v>
          </cell>
          <cell r="H31">
            <v>1</v>
          </cell>
        </row>
        <row r="32">
          <cell r="D32" t="str">
            <v>1/2" Hex BB RS-550 -7</v>
          </cell>
          <cell r="E32">
            <v>1</v>
          </cell>
          <cell r="F32">
            <v>1</v>
          </cell>
          <cell r="G32">
            <v>1</v>
          </cell>
          <cell r="H32">
            <v>0</v>
          </cell>
        </row>
        <row r="33">
          <cell r="D33" t="str">
            <v>1/2" Hex BB RS-550 -9</v>
          </cell>
          <cell r="E33">
            <v>1</v>
          </cell>
          <cell r="F33">
            <v>1</v>
          </cell>
          <cell r="G33">
            <v>0</v>
          </cell>
          <cell r="H33">
            <v>0</v>
          </cell>
        </row>
        <row r="34">
          <cell r="D34" t="str">
            <v>1/2" Hex BB RS-550 -10</v>
          </cell>
          <cell r="E34">
            <v>1</v>
          </cell>
          <cell r="F34">
            <v>1</v>
          </cell>
          <cell r="G34">
            <v>0</v>
          </cell>
          <cell r="H34">
            <v>0</v>
          </cell>
          <cell r="O34" t="str">
            <v>None</v>
          </cell>
          <cell r="P34">
            <v>0</v>
          </cell>
        </row>
        <row r="35">
          <cell r="D35" t="str">
            <v>1/2" Hex BB RS-550 9</v>
          </cell>
          <cell r="E35">
            <v>10</v>
          </cell>
          <cell r="F35">
            <v>10</v>
          </cell>
          <cell r="G35">
            <v>1</v>
          </cell>
          <cell r="H35">
            <v>0</v>
          </cell>
          <cell r="O35" t="str">
            <v>DM Nyl 1:1</v>
          </cell>
          <cell r="P35">
            <v>41.97</v>
          </cell>
          <cell r="R35" t="str">
            <v>217-6342,217-2701,217-6432,</v>
          </cell>
          <cell r="S35" t="str">
            <v>217-6342,217-2701,217-6432,</v>
          </cell>
          <cell r="T35" t="str">
            <v>217-6342,217-2701,217-6432,</v>
          </cell>
        </row>
        <row r="36">
          <cell r="D36" t="str">
            <v>1/2" Hex BB RS-550 12</v>
          </cell>
          <cell r="E36">
            <v>10</v>
          </cell>
          <cell r="F36">
            <v>7</v>
          </cell>
          <cell r="G36">
            <v>0</v>
          </cell>
          <cell r="H36">
            <v>0</v>
          </cell>
          <cell r="O36" t="str">
            <v>DM Nyl 3.75:1</v>
          </cell>
          <cell r="P36">
            <v>42.97</v>
          </cell>
          <cell r="R36" t="str">
            <v>217-6342,217-3210,217-6367,</v>
          </cell>
          <cell r="S36" t="str">
            <v>217-6342,217-3210,217-6362,</v>
          </cell>
          <cell r="T36" t="str">
            <v>217-6342,217-3210,217-6368,</v>
          </cell>
        </row>
        <row r="37">
          <cell r="D37" t="str">
            <v>1/2" Hex BB RS-550 15</v>
          </cell>
          <cell r="E37">
            <v>10</v>
          </cell>
          <cell r="F37">
            <v>5</v>
          </cell>
          <cell r="G37">
            <v>0</v>
          </cell>
          <cell r="H37">
            <v>0</v>
          </cell>
          <cell r="O37" t="str">
            <v>DM Nyl 5.33:1</v>
          </cell>
          <cell r="P37">
            <v>42.97</v>
          </cell>
          <cell r="R37" t="str">
            <v>217-6342,217-5455,217-6333,</v>
          </cell>
          <cell r="S37" t="str">
            <v>217-6342,217-5455,217-6285,</v>
          </cell>
          <cell r="T37" t="str">
            <v>217-6342,217-5455,217-6339,</v>
          </cell>
        </row>
        <row r="38">
          <cell r="D38" t="str">
            <v>1/2" Hex BB RS-550 16</v>
          </cell>
          <cell r="E38">
            <v>10</v>
          </cell>
          <cell r="F38">
            <v>5</v>
          </cell>
          <cell r="G38">
            <v>0</v>
          </cell>
          <cell r="H38">
            <v>0</v>
          </cell>
          <cell r="O38" t="str">
            <v>DM Al 1:1</v>
          </cell>
          <cell r="P38">
            <v>56.97</v>
          </cell>
          <cell r="R38" t="str">
            <v>217-6417,217-2701,217-6432,</v>
          </cell>
          <cell r="S38" t="str">
            <v>217-6417,217-2701,217-6432,</v>
          </cell>
          <cell r="T38" t="str">
            <v>217-6417,217-2701,217-6432,</v>
          </cell>
        </row>
        <row r="39">
          <cell r="D39" t="str">
            <v>1/2" Hex BB RS-550 20</v>
          </cell>
          <cell r="E39">
            <v>9</v>
          </cell>
          <cell r="F39">
            <v>5</v>
          </cell>
          <cell r="G39">
            <v>0</v>
          </cell>
          <cell r="H39">
            <v>0</v>
          </cell>
          <cell r="O39" t="str">
            <v>DM Al 3.75:1</v>
          </cell>
          <cell r="P39">
            <v>57.97</v>
          </cell>
          <cell r="R39" t="str">
            <v>217-6417,217-3210,217-6367,</v>
          </cell>
          <cell r="S39" t="str">
            <v>217-6417,217-3210,217-6362,</v>
          </cell>
          <cell r="T39" t="str">
            <v>217-6417,217-3210,217-6368,</v>
          </cell>
        </row>
        <row r="40">
          <cell r="D40" t="str">
            <v>1/2" Hex BB RS-550 21</v>
          </cell>
          <cell r="E40">
            <v>9</v>
          </cell>
          <cell r="F40">
            <v>5</v>
          </cell>
          <cell r="G40">
            <v>0</v>
          </cell>
          <cell r="H40">
            <v>0</v>
          </cell>
          <cell r="O40" t="str">
            <v>DM Al 5.33:1</v>
          </cell>
          <cell r="P40">
            <v>57.97</v>
          </cell>
          <cell r="R40" t="str">
            <v>217-6417,217-5455,217-6333,</v>
          </cell>
          <cell r="S40" t="str">
            <v>217-6417,217-5455,217-6285,</v>
          </cell>
          <cell r="T40" t="str">
            <v>217-6417,217-5455,217-6339,</v>
          </cell>
        </row>
        <row r="41">
          <cell r="D41" t="str">
            <v>1/2" Hex BB RS-550 25</v>
          </cell>
          <cell r="E41">
            <v>7</v>
          </cell>
          <cell r="F41">
            <v>5</v>
          </cell>
          <cell r="G41">
            <v>0</v>
          </cell>
          <cell r="H41">
            <v>0</v>
          </cell>
          <cell r="O41" t="str">
            <v>Dual Motor</v>
          </cell>
          <cell r="P41">
            <v>14.98</v>
          </cell>
          <cell r="R41" t="str">
            <v>217-3141,</v>
          </cell>
        </row>
        <row r="42">
          <cell r="D42" t="str">
            <v>1/2" Hex BB RS-550 27</v>
          </cell>
          <cell r="E42">
            <v>7</v>
          </cell>
          <cell r="F42">
            <v>5</v>
          </cell>
          <cell r="G42">
            <v>0</v>
          </cell>
          <cell r="H42">
            <v>0</v>
          </cell>
        </row>
        <row r="43">
          <cell r="D43" t="str">
            <v>1/2" Hex BB RS-550 28</v>
          </cell>
          <cell r="E43">
            <v>7</v>
          </cell>
          <cell r="F43">
            <v>5</v>
          </cell>
          <cell r="G43">
            <v>0</v>
          </cell>
          <cell r="H43">
            <v>0</v>
          </cell>
        </row>
        <row r="44">
          <cell r="D44" t="str">
            <v>1/2" Hex BB RS-550 30</v>
          </cell>
          <cell r="E44">
            <v>5</v>
          </cell>
          <cell r="F44">
            <v>5</v>
          </cell>
          <cell r="G44">
            <v>0</v>
          </cell>
          <cell r="H44">
            <v>0</v>
          </cell>
        </row>
        <row r="45">
          <cell r="D45" t="str">
            <v>1/2" Hex BB RS-550 35</v>
          </cell>
          <cell r="E45">
            <v>5</v>
          </cell>
          <cell r="F45">
            <v>4</v>
          </cell>
          <cell r="G45">
            <v>0</v>
          </cell>
          <cell r="H45">
            <v>0</v>
          </cell>
          <cell r="O45" t="str">
            <v>Yes</v>
          </cell>
          <cell r="P45">
            <v>67.95</v>
          </cell>
          <cell r="R45" t="str">
            <v>217-6011,217-6043,217-5882,217-5875,217-5870,</v>
          </cell>
          <cell r="S45" t="str">
            <v>217-6011,217-6043,217-5882,217-5875,217-5871,</v>
          </cell>
          <cell r="T45" t="str">
            <v>217-6011,217-6043,217-5882,217-5875,217-5872,</v>
          </cell>
        </row>
        <row r="46">
          <cell r="D46" t="str">
            <v>1/2" Hex BB RS-550 36</v>
          </cell>
          <cell r="E46">
            <v>5</v>
          </cell>
          <cell r="F46">
            <v>4</v>
          </cell>
          <cell r="G46">
            <v>0</v>
          </cell>
          <cell r="H46">
            <v>0</v>
          </cell>
          <cell r="O46" t="str">
            <v>No</v>
          </cell>
          <cell r="P46">
            <v>0</v>
          </cell>
        </row>
        <row r="47">
          <cell r="D47" t="str">
            <v>1/2" Hex BB RS-550 40</v>
          </cell>
          <cell r="E47">
            <v>5</v>
          </cell>
          <cell r="F47">
            <v>3</v>
          </cell>
          <cell r="G47">
            <v>0</v>
          </cell>
          <cell r="H47">
            <v>0</v>
          </cell>
        </row>
        <row r="48">
          <cell r="D48" t="str">
            <v>1/2" Hex BB RS-550 45</v>
          </cell>
          <cell r="E48">
            <v>5</v>
          </cell>
          <cell r="F48">
            <v>3</v>
          </cell>
          <cell r="G48">
            <v>0</v>
          </cell>
          <cell r="H48">
            <v>0</v>
          </cell>
        </row>
        <row r="49">
          <cell r="D49" t="str">
            <v>1/2" Hex BB RS-550 49</v>
          </cell>
          <cell r="E49">
            <v>5</v>
          </cell>
          <cell r="F49">
            <v>3</v>
          </cell>
          <cell r="G49">
            <v>0</v>
          </cell>
          <cell r="H49">
            <v>0</v>
          </cell>
        </row>
        <row r="50">
          <cell r="D50" t="str">
            <v>1/2" Hex BB RS-550 50</v>
          </cell>
          <cell r="E50">
            <v>5</v>
          </cell>
          <cell r="F50">
            <v>3</v>
          </cell>
          <cell r="G50">
            <v>0</v>
          </cell>
          <cell r="H50">
            <v>0</v>
          </cell>
          <cell r="O50" t="str">
            <v>Yes</v>
          </cell>
          <cell r="P50">
            <v>84.99</v>
          </cell>
          <cell r="R50" t="str">
            <v>217-6293,</v>
          </cell>
        </row>
        <row r="51">
          <cell r="D51" t="str">
            <v>1/2" Hex BB RS-550 63</v>
          </cell>
          <cell r="E51">
            <v>4</v>
          </cell>
          <cell r="F51">
            <v>1</v>
          </cell>
          <cell r="G51">
            <v>0</v>
          </cell>
          <cell r="H51">
            <v>0</v>
          </cell>
          <cell r="O51" t="str">
            <v>No</v>
          </cell>
          <cell r="P51">
            <v>0</v>
          </cell>
        </row>
        <row r="52">
          <cell r="D52" t="str">
            <v>1/2" Hex BB RS-550 70</v>
          </cell>
          <cell r="E52">
            <v>4</v>
          </cell>
          <cell r="F52">
            <v>1</v>
          </cell>
          <cell r="G52">
            <v>0</v>
          </cell>
          <cell r="H52">
            <v>0</v>
          </cell>
        </row>
        <row r="53">
          <cell r="D53" t="str">
            <v>1/2" Hex BB RS-550 81</v>
          </cell>
          <cell r="E53">
            <v>3</v>
          </cell>
          <cell r="F53">
            <v>1</v>
          </cell>
          <cell r="G53">
            <v>0</v>
          </cell>
          <cell r="H53">
            <v>0</v>
          </cell>
        </row>
        <row r="54">
          <cell r="D54" t="str">
            <v>1/2" Hex BB RS-550 90</v>
          </cell>
          <cell r="E54">
            <v>3</v>
          </cell>
          <cell r="F54">
            <v>1</v>
          </cell>
          <cell r="G54">
            <v>0</v>
          </cell>
          <cell r="H54">
            <v>0</v>
          </cell>
        </row>
        <row r="55">
          <cell r="D55" t="str">
            <v>1/2" Hex BB RS-550 100</v>
          </cell>
          <cell r="E55">
            <v>3</v>
          </cell>
          <cell r="F55">
            <v>0</v>
          </cell>
          <cell r="G55">
            <v>0</v>
          </cell>
          <cell r="H55">
            <v>0</v>
          </cell>
          <cell r="O55" t="str">
            <v>Yes</v>
          </cell>
          <cell r="P55">
            <v>14.99</v>
          </cell>
          <cell r="R55" t="str">
            <v>217-6048,</v>
          </cell>
        </row>
        <row r="56">
          <cell r="D56" t="str">
            <v>1/2" Hex BB RS-775 -3</v>
          </cell>
          <cell r="E56">
            <v>1</v>
          </cell>
          <cell r="F56">
            <v>1</v>
          </cell>
          <cell r="G56">
            <v>1</v>
          </cell>
          <cell r="H56">
            <v>0</v>
          </cell>
          <cell r="O56" t="str">
            <v>No</v>
          </cell>
          <cell r="P56">
            <v>0</v>
          </cell>
        </row>
        <row r="57">
          <cell r="D57" t="str">
            <v>1/2" Hex BB RS-775 -4</v>
          </cell>
          <cell r="E57">
            <v>1</v>
          </cell>
          <cell r="F57">
            <v>1</v>
          </cell>
          <cell r="G57">
            <v>1</v>
          </cell>
          <cell r="H57">
            <v>0</v>
          </cell>
        </row>
        <row r="58">
          <cell r="D58" t="str">
            <v>1/2" Hex BB RS-775 -5</v>
          </cell>
          <cell r="E58">
            <v>1</v>
          </cell>
          <cell r="F58">
            <v>1</v>
          </cell>
          <cell r="G58">
            <v>1</v>
          </cell>
          <cell r="H58">
            <v>0</v>
          </cell>
        </row>
        <row r="59">
          <cell r="D59" t="str">
            <v>1/2" Hex BB RS-775 -7</v>
          </cell>
          <cell r="E59">
            <v>1</v>
          </cell>
          <cell r="F59">
            <v>1</v>
          </cell>
          <cell r="G59">
            <v>0</v>
          </cell>
          <cell r="H59">
            <v>0</v>
          </cell>
          <cell r="O59" t="str">
            <v>Yes</v>
          </cell>
          <cell r="P59">
            <v>49.99</v>
          </cell>
          <cell r="R59" t="str">
            <v>217-5046,</v>
          </cell>
        </row>
        <row r="60">
          <cell r="D60" t="str">
            <v>1/2" Hex BB RS-775 -9</v>
          </cell>
          <cell r="E60">
            <v>1</v>
          </cell>
          <cell r="F60">
            <v>1</v>
          </cell>
          <cell r="G60">
            <v>0</v>
          </cell>
          <cell r="H60">
            <v>0</v>
          </cell>
          <cell r="O60" t="str">
            <v>No</v>
          </cell>
          <cell r="P60">
            <v>0</v>
          </cell>
        </row>
        <row r="61">
          <cell r="D61" t="str">
            <v>1/2" Hex BB RS-775 -10</v>
          </cell>
          <cell r="E61">
            <v>1</v>
          </cell>
          <cell r="F61">
            <v>1</v>
          </cell>
          <cell r="G61">
            <v>0</v>
          </cell>
          <cell r="H61">
            <v>0</v>
          </cell>
        </row>
        <row r="62">
          <cell r="D62" t="str">
            <v>1/2" Hex BB RS-775 9</v>
          </cell>
          <cell r="E62">
            <v>10</v>
          </cell>
          <cell r="F62">
            <v>5</v>
          </cell>
          <cell r="G62">
            <v>0</v>
          </cell>
          <cell r="H62">
            <v>0</v>
          </cell>
        </row>
        <row r="63">
          <cell r="D63" t="str">
            <v>1/2" Hex BB RS-775 12</v>
          </cell>
          <cell r="E63">
            <v>10</v>
          </cell>
          <cell r="F63">
            <v>5</v>
          </cell>
          <cell r="G63">
            <v>0</v>
          </cell>
          <cell r="H63">
            <v>0</v>
          </cell>
        </row>
        <row r="64">
          <cell r="D64" t="str">
            <v>1/2" Hex BB RS-775 15</v>
          </cell>
          <cell r="E64">
            <v>10</v>
          </cell>
          <cell r="F64">
            <v>5</v>
          </cell>
          <cell r="G64">
            <v>0</v>
          </cell>
          <cell r="H64">
            <v>0</v>
          </cell>
        </row>
        <row r="65">
          <cell r="D65" t="str">
            <v>1/2" Hex BB RS-775 16</v>
          </cell>
          <cell r="E65">
            <v>10</v>
          </cell>
          <cell r="F65">
            <v>5</v>
          </cell>
          <cell r="G65">
            <v>0</v>
          </cell>
          <cell r="H65">
            <v>0</v>
          </cell>
        </row>
        <row r="66">
          <cell r="D66" t="str">
            <v>1/2" Hex BB RS-775 20</v>
          </cell>
          <cell r="E66">
            <v>10</v>
          </cell>
          <cell r="F66">
            <v>4</v>
          </cell>
          <cell r="G66">
            <v>0</v>
          </cell>
          <cell r="H66">
            <v>0</v>
          </cell>
        </row>
        <row r="67">
          <cell r="D67" t="str">
            <v>1/2" Hex BB RS-775 21</v>
          </cell>
          <cell r="E67">
            <v>10</v>
          </cell>
          <cell r="F67">
            <v>4</v>
          </cell>
          <cell r="G67">
            <v>0</v>
          </cell>
          <cell r="H67">
            <v>0</v>
          </cell>
        </row>
        <row r="68">
          <cell r="D68" t="str">
            <v>1/2" Hex BB RS-775 25</v>
          </cell>
          <cell r="E68">
            <v>7</v>
          </cell>
          <cell r="F68">
            <v>3</v>
          </cell>
          <cell r="G68">
            <v>0</v>
          </cell>
          <cell r="H68">
            <v>0</v>
          </cell>
        </row>
        <row r="69">
          <cell r="D69" t="str">
            <v>1/2" Hex BB RS-775 27</v>
          </cell>
          <cell r="E69">
            <v>7</v>
          </cell>
          <cell r="F69">
            <v>3</v>
          </cell>
          <cell r="G69">
            <v>0</v>
          </cell>
          <cell r="H69">
            <v>0</v>
          </cell>
        </row>
        <row r="70">
          <cell r="D70" t="str">
            <v>1/2" Hex BB RS-775 28</v>
          </cell>
          <cell r="E70">
            <v>7</v>
          </cell>
          <cell r="F70">
            <v>3</v>
          </cell>
          <cell r="G70">
            <v>0</v>
          </cell>
          <cell r="H70">
            <v>0</v>
          </cell>
        </row>
        <row r="71">
          <cell r="D71" t="str">
            <v>1/2" Hex BB RS-775 30</v>
          </cell>
          <cell r="E71">
            <v>7</v>
          </cell>
          <cell r="F71">
            <v>3</v>
          </cell>
          <cell r="G71">
            <v>0</v>
          </cell>
          <cell r="H71">
            <v>0</v>
          </cell>
        </row>
        <row r="72">
          <cell r="D72" t="str">
            <v>1/2" Hex BB RS-775 35</v>
          </cell>
          <cell r="E72">
            <v>5</v>
          </cell>
          <cell r="F72">
            <v>1</v>
          </cell>
          <cell r="G72">
            <v>0</v>
          </cell>
          <cell r="H72">
            <v>0</v>
          </cell>
        </row>
        <row r="73">
          <cell r="D73" t="str">
            <v>1/2" Hex BB RS-775 36</v>
          </cell>
          <cell r="E73">
            <v>5</v>
          </cell>
          <cell r="F73">
            <v>1</v>
          </cell>
          <cell r="G73">
            <v>0</v>
          </cell>
          <cell r="H73">
            <v>0</v>
          </cell>
        </row>
        <row r="74">
          <cell r="D74" t="str">
            <v>1/2" Hex BB RS-775 40</v>
          </cell>
          <cell r="E74">
            <v>5</v>
          </cell>
          <cell r="F74">
            <v>1</v>
          </cell>
          <cell r="G74">
            <v>0</v>
          </cell>
          <cell r="H74">
            <v>0</v>
          </cell>
        </row>
        <row r="75">
          <cell r="D75" t="str">
            <v>1/2" Hex BB RS-775 45</v>
          </cell>
          <cell r="E75">
            <v>5</v>
          </cell>
          <cell r="F75">
            <v>1</v>
          </cell>
          <cell r="G75">
            <v>0</v>
          </cell>
          <cell r="H75">
            <v>0</v>
          </cell>
        </row>
        <row r="76">
          <cell r="D76" t="str">
            <v>1/2" Hex BB RS-775 49</v>
          </cell>
          <cell r="E76">
            <v>5</v>
          </cell>
          <cell r="F76">
            <v>1</v>
          </cell>
          <cell r="G76">
            <v>0</v>
          </cell>
          <cell r="H76">
            <v>0</v>
          </cell>
        </row>
        <row r="77">
          <cell r="D77" t="str">
            <v>1/2" Hex BB RS-775 50</v>
          </cell>
          <cell r="E77">
            <v>5</v>
          </cell>
          <cell r="F77">
            <v>1</v>
          </cell>
          <cell r="G77">
            <v>0</v>
          </cell>
          <cell r="H77">
            <v>0</v>
          </cell>
        </row>
        <row r="78">
          <cell r="D78" t="str">
            <v>1/2" Hex BB RS-775 63</v>
          </cell>
          <cell r="E78">
            <v>5</v>
          </cell>
          <cell r="F78">
            <v>0</v>
          </cell>
          <cell r="G78">
            <v>0</v>
          </cell>
          <cell r="H78">
            <v>0</v>
          </cell>
        </row>
        <row r="79">
          <cell r="D79" t="str">
            <v>1/2" Hex BB RS-775 70</v>
          </cell>
          <cell r="E79">
            <v>4</v>
          </cell>
          <cell r="F79">
            <v>0</v>
          </cell>
          <cell r="G79">
            <v>0</v>
          </cell>
          <cell r="H79">
            <v>0</v>
          </cell>
        </row>
        <row r="80">
          <cell r="D80" t="str">
            <v>1/2" Hex BB RS-775 81</v>
          </cell>
          <cell r="E80">
            <v>4</v>
          </cell>
          <cell r="F80">
            <v>0</v>
          </cell>
          <cell r="G80">
            <v>0</v>
          </cell>
          <cell r="H80">
            <v>0</v>
          </cell>
        </row>
        <row r="81">
          <cell r="D81" t="str">
            <v>1/2" Hex BB RS-775 90</v>
          </cell>
          <cell r="E81">
            <v>3</v>
          </cell>
          <cell r="F81">
            <v>0</v>
          </cell>
          <cell r="G81">
            <v>0</v>
          </cell>
          <cell r="H81">
            <v>0</v>
          </cell>
        </row>
        <row r="82">
          <cell r="D82" t="str">
            <v>1/2" Hex BB RS-775 100</v>
          </cell>
          <cell r="E82">
            <v>3</v>
          </cell>
          <cell r="F82">
            <v>0</v>
          </cell>
          <cell r="G82">
            <v>0</v>
          </cell>
          <cell r="H82">
            <v>0</v>
          </cell>
        </row>
        <row r="83">
          <cell r="D83" t="str">
            <v>1/2" Hex BAG Motor -3</v>
          </cell>
          <cell r="E83">
            <v>1</v>
          </cell>
          <cell r="F83">
            <v>1</v>
          </cell>
          <cell r="G83">
            <v>1</v>
          </cell>
          <cell r="H83">
            <v>0</v>
          </cell>
        </row>
        <row r="84">
          <cell r="D84" t="str">
            <v>1/2" Hex BAG Motor -4</v>
          </cell>
          <cell r="E84">
            <v>1</v>
          </cell>
          <cell r="F84">
            <v>1</v>
          </cell>
          <cell r="G84">
            <v>1</v>
          </cell>
          <cell r="H84">
            <v>0</v>
          </cell>
        </row>
        <row r="85">
          <cell r="D85" t="str">
            <v>1/2" Hex BAG Motor -5</v>
          </cell>
          <cell r="E85">
            <v>1</v>
          </cell>
          <cell r="F85">
            <v>1</v>
          </cell>
          <cell r="G85">
            <v>1</v>
          </cell>
          <cell r="H85">
            <v>0</v>
          </cell>
        </row>
        <row r="86">
          <cell r="D86" t="str">
            <v>1/2" Hex BAG Motor -7</v>
          </cell>
          <cell r="E86">
            <v>1</v>
          </cell>
          <cell r="F86">
            <v>1</v>
          </cell>
          <cell r="G86">
            <v>1</v>
          </cell>
          <cell r="H86">
            <v>0</v>
          </cell>
        </row>
        <row r="87">
          <cell r="D87" t="str">
            <v>1/2" Hex BAG Motor -9</v>
          </cell>
          <cell r="E87">
            <v>1</v>
          </cell>
          <cell r="F87">
            <v>1</v>
          </cell>
          <cell r="G87">
            <v>0</v>
          </cell>
          <cell r="H87">
            <v>0</v>
          </cell>
        </row>
        <row r="88">
          <cell r="D88" t="str">
            <v>1/2" Hex BAG Motor -10</v>
          </cell>
          <cell r="E88">
            <v>1</v>
          </cell>
          <cell r="F88">
            <v>1</v>
          </cell>
          <cell r="G88">
            <v>0</v>
          </cell>
          <cell r="H88">
            <v>0</v>
          </cell>
        </row>
        <row r="89">
          <cell r="D89" t="str">
            <v>1/2" Hex BAG Motor 9</v>
          </cell>
          <cell r="E89">
            <v>10</v>
          </cell>
          <cell r="F89">
            <v>10</v>
          </cell>
          <cell r="G89">
            <v>1</v>
          </cell>
          <cell r="H89">
            <v>0</v>
          </cell>
        </row>
        <row r="90">
          <cell r="D90" t="str">
            <v>1/2" Hex BAG Motor 12</v>
          </cell>
          <cell r="E90">
            <v>10</v>
          </cell>
          <cell r="F90">
            <v>9</v>
          </cell>
          <cell r="G90">
            <v>1</v>
          </cell>
          <cell r="H90">
            <v>0</v>
          </cell>
        </row>
        <row r="91">
          <cell r="D91" t="str">
            <v>1/2" Hex BAG Motor 15</v>
          </cell>
          <cell r="E91">
            <v>10</v>
          </cell>
          <cell r="F91">
            <v>7</v>
          </cell>
          <cell r="G91">
            <v>0</v>
          </cell>
          <cell r="H91">
            <v>0</v>
          </cell>
        </row>
        <row r="92">
          <cell r="D92" t="str">
            <v>1/2" Hex BAG Motor 16</v>
          </cell>
          <cell r="E92">
            <v>10</v>
          </cell>
          <cell r="F92">
            <v>5</v>
          </cell>
          <cell r="G92">
            <v>0</v>
          </cell>
          <cell r="H92">
            <v>0</v>
          </cell>
        </row>
        <row r="93">
          <cell r="D93" t="str">
            <v>1/2" Hex BAG Motor 20</v>
          </cell>
          <cell r="E93">
            <v>9</v>
          </cell>
          <cell r="F93">
            <v>5</v>
          </cell>
          <cell r="G93">
            <v>0</v>
          </cell>
          <cell r="H93">
            <v>0</v>
          </cell>
        </row>
        <row r="94">
          <cell r="D94" t="str">
            <v>1/2" Hex BAG Motor 21</v>
          </cell>
          <cell r="E94">
            <v>9</v>
          </cell>
          <cell r="F94">
            <v>5</v>
          </cell>
          <cell r="G94">
            <v>0</v>
          </cell>
          <cell r="H94">
            <v>0</v>
          </cell>
        </row>
        <row r="95">
          <cell r="D95" t="str">
            <v>1/2" Hex BAG Motor 25</v>
          </cell>
          <cell r="E95">
            <v>7</v>
          </cell>
          <cell r="F95">
            <v>5</v>
          </cell>
          <cell r="G95">
            <v>0</v>
          </cell>
          <cell r="H95">
            <v>0</v>
          </cell>
        </row>
        <row r="96">
          <cell r="D96" t="str">
            <v>1/2" Hex BAG Motor 27</v>
          </cell>
          <cell r="E96">
            <v>7</v>
          </cell>
          <cell r="F96">
            <v>5</v>
          </cell>
          <cell r="G96">
            <v>0</v>
          </cell>
          <cell r="H96">
            <v>0</v>
          </cell>
        </row>
        <row r="97">
          <cell r="D97" t="str">
            <v>1/2" Hex BAG Motor 28</v>
          </cell>
          <cell r="E97">
            <v>7</v>
          </cell>
          <cell r="F97">
            <v>5</v>
          </cell>
          <cell r="G97">
            <v>0</v>
          </cell>
          <cell r="H97">
            <v>0</v>
          </cell>
        </row>
        <row r="98">
          <cell r="D98" t="str">
            <v>1/2" Hex BAG Motor 30</v>
          </cell>
          <cell r="E98">
            <v>5</v>
          </cell>
          <cell r="F98">
            <v>5</v>
          </cell>
          <cell r="G98">
            <v>0</v>
          </cell>
          <cell r="H98">
            <v>0</v>
          </cell>
        </row>
        <row r="99">
          <cell r="D99" t="str">
            <v>1/2" Hex BAG Motor 35</v>
          </cell>
          <cell r="E99">
            <v>5</v>
          </cell>
          <cell r="F99">
            <v>4</v>
          </cell>
          <cell r="G99">
            <v>0</v>
          </cell>
          <cell r="H99">
            <v>0</v>
          </cell>
        </row>
        <row r="100">
          <cell r="D100" t="str">
            <v>1/2" Hex BAG Motor 36</v>
          </cell>
          <cell r="E100">
            <v>5</v>
          </cell>
          <cell r="F100">
            <v>4</v>
          </cell>
          <cell r="G100">
            <v>0</v>
          </cell>
          <cell r="H100">
            <v>0</v>
          </cell>
        </row>
        <row r="101">
          <cell r="D101" t="str">
            <v>1/2" Hex BAG Motor 40</v>
          </cell>
          <cell r="E101">
            <v>5</v>
          </cell>
          <cell r="F101">
            <v>4</v>
          </cell>
          <cell r="G101">
            <v>0</v>
          </cell>
          <cell r="H101">
            <v>0</v>
          </cell>
        </row>
        <row r="102">
          <cell r="D102" t="str">
            <v>1/2" Hex BAG Motor 45</v>
          </cell>
          <cell r="E102">
            <v>5</v>
          </cell>
          <cell r="F102">
            <v>3</v>
          </cell>
          <cell r="G102">
            <v>0</v>
          </cell>
          <cell r="H102">
            <v>0</v>
          </cell>
        </row>
        <row r="103">
          <cell r="D103" t="str">
            <v>1/2" Hex BAG Motor 49</v>
          </cell>
          <cell r="E103">
            <v>5</v>
          </cell>
          <cell r="F103">
            <v>3</v>
          </cell>
          <cell r="G103">
            <v>0</v>
          </cell>
          <cell r="H103">
            <v>0</v>
          </cell>
        </row>
        <row r="104">
          <cell r="D104" t="str">
            <v>1/2" Hex BAG Motor 50</v>
          </cell>
          <cell r="E104">
            <v>5</v>
          </cell>
          <cell r="F104">
            <v>3</v>
          </cell>
          <cell r="G104">
            <v>0</v>
          </cell>
          <cell r="H104">
            <v>0</v>
          </cell>
        </row>
        <row r="105">
          <cell r="D105" t="str">
            <v>1/2" Hex BAG Motor 63</v>
          </cell>
          <cell r="E105">
            <v>4</v>
          </cell>
          <cell r="F105">
            <v>1</v>
          </cell>
          <cell r="G105">
            <v>0</v>
          </cell>
          <cell r="H105">
            <v>0</v>
          </cell>
        </row>
        <row r="106">
          <cell r="D106" t="str">
            <v>1/2" Hex BAG Motor 70</v>
          </cell>
          <cell r="E106">
            <v>4</v>
          </cell>
          <cell r="F106">
            <v>1</v>
          </cell>
          <cell r="G106">
            <v>0</v>
          </cell>
          <cell r="H106">
            <v>0</v>
          </cell>
        </row>
        <row r="107">
          <cell r="D107" t="str">
            <v>1/2" Hex BAG Motor 81</v>
          </cell>
          <cell r="E107">
            <v>3</v>
          </cell>
          <cell r="F107">
            <v>1</v>
          </cell>
          <cell r="G107">
            <v>0</v>
          </cell>
          <cell r="H107">
            <v>0</v>
          </cell>
        </row>
        <row r="108">
          <cell r="D108" t="str">
            <v>1/2" Hex BAG Motor 90</v>
          </cell>
          <cell r="E108">
            <v>3</v>
          </cell>
          <cell r="F108">
            <v>1</v>
          </cell>
          <cell r="G108">
            <v>0</v>
          </cell>
          <cell r="H108">
            <v>0</v>
          </cell>
        </row>
        <row r="109">
          <cell r="D109" t="str">
            <v>1/2" Hex BAG Motor 100</v>
          </cell>
          <cell r="E109">
            <v>3</v>
          </cell>
          <cell r="F109">
            <v>1</v>
          </cell>
          <cell r="G109">
            <v>0</v>
          </cell>
          <cell r="H109">
            <v>0</v>
          </cell>
        </row>
        <row r="110">
          <cell r="D110" t="str">
            <v>1/2" Hex 775pro -3</v>
          </cell>
          <cell r="E110">
            <v>1</v>
          </cell>
          <cell r="F110">
            <v>1</v>
          </cell>
          <cell r="G110">
            <v>1</v>
          </cell>
          <cell r="H110">
            <v>0</v>
          </cell>
        </row>
        <row r="111">
          <cell r="D111" t="str">
            <v>1/2" Hex 775pro -4</v>
          </cell>
          <cell r="E111">
            <v>1</v>
          </cell>
          <cell r="F111">
            <v>1</v>
          </cell>
          <cell r="G111">
            <v>1</v>
          </cell>
          <cell r="H111">
            <v>0</v>
          </cell>
        </row>
        <row r="112">
          <cell r="D112" t="str">
            <v>1/2" Hex 775pro -5</v>
          </cell>
          <cell r="E112">
            <v>1</v>
          </cell>
          <cell r="F112">
            <v>1</v>
          </cell>
          <cell r="G112">
            <v>1</v>
          </cell>
          <cell r="H112">
            <v>0</v>
          </cell>
        </row>
        <row r="113">
          <cell r="D113" t="str">
            <v>1/2" Hex 775pro -7</v>
          </cell>
          <cell r="E113">
            <v>1</v>
          </cell>
          <cell r="F113">
            <v>1</v>
          </cell>
          <cell r="G113">
            <v>0</v>
          </cell>
          <cell r="H113">
            <v>0</v>
          </cell>
        </row>
        <row r="114">
          <cell r="D114" t="str">
            <v>1/2" Hex 775pro -9</v>
          </cell>
          <cell r="E114">
            <v>1</v>
          </cell>
          <cell r="F114">
            <v>1</v>
          </cell>
          <cell r="G114">
            <v>0</v>
          </cell>
          <cell r="H114">
            <v>0</v>
          </cell>
        </row>
        <row r="115">
          <cell r="D115" t="str">
            <v>1/2" Hex 775pro -10</v>
          </cell>
          <cell r="E115">
            <v>1</v>
          </cell>
          <cell r="F115">
            <v>1</v>
          </cell>
          <cell r="G115">
            <v>0</v>
          </cell>
          <cell r="H115">
            <v>0</v>
          </cell>
        </row>
        <row r="116">
          <cell r="D116" t="str">
            <v>1/2" Hex 775pro 9</v>
          </cell>
          <cell r="E116">
            <v>10</v>
          </cell>
          <cell r="F116">
            <v>7</v>
          </cell>
          <cell r="G116">
            <v>0</v>
          </cell>
          <cell r="H116">
            <v>0</v>
          </cell>
        </row>
        <row r="117">
          <cell r="D117" t="str">
            <v>1/2" Hex 775pro 12</v>
          </cell>
          <cell r="E117">
            <v>10</v>
          </cell>
          <cell r="F117">
            <v>5</v>
          </cell>
          <cell r="G117">
            <v>0</v>
          </cell>
          <cell r="H117">
            <v>0</v>
          </cell>
        </row>
        <row r="118">
          <cell r="D118" t="str">
            <v>1/2" Hex 775pro 15</v>
          </cell>
          <cell r="E118">
            <v>9</v>
          </cell>
          <cell r="F118">
            <v>5</v>
          </cell>
          <cell r="G118">
            <v>0</v>
          </cell>
          <cell r="H118">
            <v>0</v>
          </cell>
        </row>
        <row r="119">
          <cell r="D119" t="str">
            <v>1/2" Hex 775pro 16</v>
          </cell>
          <cell r="E119">
            <v>7</v>
          </cell>
          <cell r="F119">
            <v>5</v>
          </cell>
          <cell r="G119">
            <v>0</v>
          </cell>
          <cell r="H119">
            <v>0</v>
          </cell>
        </row>
        <row r="120">
          <cell r="D120" t="str">
            <v>1/2" Hex 775pro 20</v>
          </cell>
          <cell r="E120">
            <v>5</v>
          </cell>
          <cell r="F120">
            <v>5</v>
          </cell>
          <cell r="G120">
            <v>0</v>
          </cell>
          <cell r="H120">
            <v>0</v>
          </cell>
        </row>
        <row r="121">
          <cell r="D121" t="str">
            <v>1/2" Hex 775pro 21</v>
          </cell>
          <cell r="E121">
            <v>5</v>
          </cell>
          <cell r="F121">
            <v>5</v>
          </cell>
          <cell r="G121">
            <v>0</v>
          </cell>
          <cell r="H121">
            <v>0</v>
          </cell>
        </row>
        <row r="122">
          <cell r="D122" t="str">
            <v>1/2" Hex 775pro 25</v>
          </cell>
          <cell r="E122">
            <v>5</v>
          </cell>
          <cell r="F122">
            <v>4</v>
          </cell>
          <cell r="G122">
            <v>0</v>
          </cell>
          <cell r="H122">
            <v>0</v>
          </cell>
        </row>
        <row r="123">
          <cell r="D123" t="str">
            <v>1/2" Hex 775pro 27</v>
          </cell>
          <cell r="E123">
            <v>5</v>
          </cell>
          <cell r="F123">
            <v>4</v>
          </cell>
          <cell r="G123">
            <v>0</v>
          </cell>
          <cell r="H123">
            <v>0</v>
          </cell>
        </row>
        <row r="124">
          <cell r="D124" t="str">
            <v>1/2" Hex 775pro 28</v>
          </cell>
          <cell r="E124">
            <v>5</v>
          </cell>
          <cell r="F124">
            <v>3</v>
          </cell>
          <cell r="G124">
            <v>0</v>
          </cell>
          <cell r="H124">
            <v>0</v>
          </cell>
        </row>
        <row r="125">
          <cell r="D125" t="str">
            <v>1/2" Hex 775pro 30</v>
          </cell>
          <cell r="E125">
            <v>5</v>
          </cell>
          <cell r="F125">
            <v>3</v>
          </cell>
          <cell r="G125">
            <v>0</v>
          </cell>
          <cell r="H125">
            <v>0</v>
          </cell>
        </row>
        <row r="126">
          <cell r="D126" t="str">
            <v>1/2" Hex 775pro 35</v>
          </cell>
          <cell r="E126">
            <v>5</v>
          </cell>
          <cell r="F126">
            <v>3</v>
          </cell>
          <cell r="G126">
            <v>0</v>
          </cell>
          <cell r="H126">
            <v>0</v>
          </cell>
        </row>
        <row r="127">
          <cell r="D127" t="str">
            <v>1/2" Hex 775pro 36</v>
          </cell>
          <cell r="E127">
            <v>5</v>
          </cell>
          <cell r="F127">
            <v>3</v>
          </cell>
          <cell r="G127">
            <v>0</v>
          </cell>
          <cell r="H127">
            <v>0</v>
          </cell>
        </row>
        <row r="128">
          <cell r="D128" t="str">
            <v>1/2" Hex 775pro 40</v>
          </cell>
          <cell r="E128">
            <v>5</v>
          </cell>
          <cell r="F128">
            <v>1</v>
          </cell>
          <cell r="G128">
            <v>0</v>
          </cell>
          <cell r="H128">
            <v>0</v>
          </cell>
        </row>
        <row r="129">
          <cell r="D129" t="str">
            <v>1/2" Hex 775pro 45</v>
          </cell>
          <cell r="E129">
            <v>4</v>
          </cell>
          <cell r="F129">
            <v>1</v>
          </cell>
          <cell r="G129">
            <v>0</v>
          </cell>
          <cell r="H129">
            <v>0</v>
          </cell>
        </row>
        <row r="130">
          <cell r="D130" t="str">
            <v>1/2" Hex 775pro 49</v>
          </cell>
          <cell r="E130">
            <v>4</v>
          </cell>
          <cell r="F130">
            <v>1</v>
          </cell>
          <cell r="G130">
            <v>0</v>
          </cell>
          <cell r="H130">
            <v>0</v>
          </cell>
        </row>
        <row r="131">
          <cell r="D131" t="str">
            <v>1/2" Hex 775pro 50</v>
          </cell>
          <cell r="E131">
            <v>4</v>
          </cell>
          <cell r="F131">
            <v>1</v>
          </cell>
          <cell r="G131">
            <v>0</v>
          </cell>
          <cell r="H131">
            <v>0</v>
          </cell>
        </row>
        <row r="132">
          <cell r="D132" t="str">
            <v>1/2" Hex 775pro 63</v>
          </cell>
          <cell r="E132">
            <v>3</v>
          </cell>
          <cell r="F132">
            <v>1</v>
          </cell>
          <cell r="G132">
            <v>0</v>
          </cell>
          <cell r="H132">
            <v>0</v>
          </cell>
        </row>
        <row r="133">
          <cell r="D133" t="str">
            <v>1/2" Hex 775pro 70</v>
          </cell>
          <cell r="E133">
            <v>3</v>
          </cell>
          <cell r="F133">
            <v>0</v>
          </cell>
          <cell r="G133">
            <v>0</v>
          </cell>
          <cell r="H133">
            <v>0</v>
          </cell>
        </row>
        <row r="134">
          <cell r="D134" t="str">
            <v>1/2" Hex 775pro 81</v>
          </cell>
          <cell r="E134">
            <v>1</v>
          </cell>
          <cell r="F134">
            <v>0</v>
          </cell>
          <cell r="G134">
            <v>0</v>
          </cell>
          <cell r="H134">
            <v>0</v>
          </cell>
        </row>
        <row r="135">
          <cell r="D135" t="str">
            <v>1/2" Hex 775pro 90</v>
          </cell>
          <cell r="E135">
            <v>1</v>
          </cell>
          <cell r="F135">
            <v>0</v>
          </cell>
          <cell r="G135">
            <v>0</v>
          </cell>
          <cell r="H135">
            <v>0</v>
          </cell>
        </row>
        <row r="136">
          <cell r="D136" t="str">
            <v>1/2" Hex 775pro 100</v>
          </cell>
          <cell r="E136">
            <v>1</v>
          </cell>
          <cell r="F136">
            <v>0</v>
          </cell>
          <cell r="G136">
            <v>0</v>
          </cell>
          <cell r="H136">
            <v>0</v>
          </cell>
        </row>
        <row r="137">
          <cell r="D137" t="str">
            <v>1/2" Hex Mini CIM -3</v>
          </cell>
          <cell r="E137">
            <v>1</v>
          </cell>
          <cell r="I137">
            <v>0</v>
          </cell>
        </row>
        <row r="138">
          <cell r="D138" t="str">
            <v>1/2" Hex Mini CIM -4</v>
          </cell>
          <cell r="E138">
            <v>1</v>
          </cell>
          <cell r="I138">
            <v>0</v>
          </cell>
        </row>
        <row r="139">
          <cell r="D139" t="str">
            <v>1/2" Hex Mini CIM -5</v>
          </cell>
          <cell r="E139">
            <v>1</v>
          </cell>
          <cell r="I139">
            <v>0</v>
          </cell>
        </row>
        <row r="140">
          <cell r="D140" t="str">
            <v>1/2" Hex Mini CIM -7</v>
          </cell>
          <cell r="E140">
            <v>1</v>
          </cell>
          <cell r="I140">
            <v>0</v>
          </cell>
        </row>
        <row r="141">
          <cell r="D141" t="str">
            <v>1/2" Hex Mini CIM -9</v>
          </cell>
          <cell r="E141">
            <v>1</v>
          </cell>
          <cell r="I141">
            <v>0</v>
          </cell>
        </row>
        <row r="142">
          <cell r="D142" t="str">
            <v>1/2" Hex Mini CIM -10</v>
          </cell>
          <cell r="E142">
            <v>1</v>
          </cell>
          <cell r="I142">
            <v>0</v>
          </cell>
        </row>
        <row r="143">
          <cell r="D143" t="str">
            <v>1/2" Hex Mini CIM 9</v>
          </cell>
          <cell r="E143">
            <v>7</v>
          </cell>
          <cell r="I143">
            <v>0</v>
          </cell>
        </row>
        <row r="144">
          <cell r="D144" t="str">
            <v>1/2" Hex Mini CIM 12</v>
          </cell>
          <cell r="E144">
            <v>5</v>
          </cell>
          <cell r="I144">
            <v>0</v>
          </cell>
        </row>
        <row r="145">
          <cell r="D145" t="str">
            <v>1/2" Hex Mini CIM 15</v>
          </cell>
          <cell r="E145">
            <v>5</v>
          </cell>
          <cell r="I145">
            <v>0</v>
          </cell>
        </row>
        <row r="146">
          <cell r="D146" t="str">
            <v>1/2" Hex Mini CIM 16</v>
          </cell>
          <cell r="E146">
            <v>5</v>
          </cell>
          <cell r="I146">
            <v>0</v>
          </cell>
        </row>
        <row r="147">
          <cell r="D147" t="str">
            <v>1/2" Hex Mini CIM 20</v>
          </cell>
          <cell r="E147">
            <v>5</v>
          </cell>
          <cell r="I147">
            <v>0</v>
          </cell>
        </row>
        <row r="148">
          <cell r="D148" t="str">
            <v>1/2" Hex Mini CIM 21</v>
          </cell>
          <cell r="E148">
            <v>5</v>
          </cell>
          <cell r="I148">
            <v>0</v>
          </cell>
        </row>
        <row r="149">
          <cell r="D149" t="str">
            <v>1/2" Hex Mini CIM 25</v>
          </cell>
          <cell r="E149">
            <v>4</v>
          </cell>
          <cell r="I149">
            <v>0</v>
          </cell>
        </row>
        <row r="150">
          <cell r="D150" t="str">
            <v>1/2" Hex Mini CIM 27</v>
          </cell>
          <cell r="E150">
            <v>4</v>
          </cell>
          <cell r="I150">
            <v>0</v>
          </cell>
        </row>
        <row r="151">
          <cell r="D151" t="str">
            <v>1/2" Hex Mini CIM 28</v>
          </cell>
          <cell r="E151">
            <v>3</v>
          </cell>
          <cell r="I151">
            <v>0</v>
          </cell>
        </row>
        <row r="152">
          <cell r="D152" t="str">
            <v>1/2" Hex Mini CIM 30</v>
          </cell>
          <cell r="E152">
            <v>3</v>
          </cell>
          <cell r="I152">
            <v>0</v>
          </cell>
        </row>
        <row r="153">
          <cell r="D153" t="str">
            <v>1/2" Hex Mini CIM 35</v>
          </cell>
          <cell r="E153">
            <v>3</v>
          </cell>
          <cell r="I153">
            <v>0</v>
          </cell>
        </row>
        <row r="154">
          <cell r="D154" t="str">
            <v>1/2" Hex Mini CIM 36</v>
          </cell>
          <cell r="E154">
            <v>3</v>
          </cell>
          <cell r="I154">
            <v>0</v>
          </cell>
        </row>
        <row r="155">
          <cell r="D155" t="str">
            <v>1/2" Hex Mini CIM 40</v>
          </cell>
          <cell r="E155">
            <v>1</v>
          </cell>
          <cell r="I155">
            <v>0</v>
          </cell>
        </row>
        <row r="156">
          <cell r="D156" t="str">
            <v>1/2" Hex Mini CIM 45</v>
          </cell>
          <cell r="E156">
            <v>1</v>
          </cell>
          <cell r="I156">
            <v>0</v>
          </cell>
        </row>
        <row r="157">
          <cell r="D157" t="str">
            <v>1/2" Hex Mini CIM 49</v>
          </cell>
          <cell r="E157">
            <v>1</v>
          </cell>
          <cell r="I157">
            <v>0</v>
          </cell>
        </row>
        <row r="158">
          <cell r="D158" t="str">
            <v>1/2" Hex Mini CIM 50</v>
          </cell>
          <cell r="E158">
            <v>1</v>
          </cell>
          <cell r="I158">
            <v>0</v>
          </cell>
        </row>
        <row r="159">
          <cell r="D159" t="str">
            <v>1/2" Hex Mini CIM 63</v>
          </cell>
          <cell r="E159">
            <v>1</v>
          </cell>
          <cell r="I159">
            <v>0</v>
          </cell>
        </row>
        <row r="160">
          <cell r="D160" t="str">
            <v>1/2" Hex Mini CIM 70</v>
          </cell>
          <cell r="E160">
            <v>0</v>
          </cell>
          <cell r="I160">
            <v>0</v>
          </cell>
        </row>
        <row r="161">
          <cell r="D161" t="str">
            <v>1/2" Hex Mini CIM 81</v>
          </cell>
          <cell r="E161">
            <v>0</v>
          </cell>
          <cell r="I161">
            <v>0</v>
          </cell>
        </row>
        <row r="162">
          <cell r="D162" t="str">
            <v>1/2" Hex Mini CIM 90</v>
          </cell>
          <cell r="E162">
            <v>0</v>
          </cell>
          <cell r="I162">
            <v>0</v>
          </cell>
        </row>
        <row r="163">
          <cell r="D163" t="str">
            <v>1/2" Hex Mini CIM 100</v>
          </cell>
          <cell r="E163">
            <v>0</v>
          </cell>
          <cell r="I163">
            <v>0</v>
          </cell>
        </row>
        <row r="164">
          <cell r="D164" t="str">
            <v>1/2" Hex CIM -3</v>
          </cell>
          <cell r="E164">
            <v>1</v>
          </cell>
          <cell r="I164">
            <v>0</v>
          </cell>
        </row>
        <row r="165">
          <cell r="D165" t="str">
            <v>1/2" Hex CIM -4</v>
          </cell>
          <cell r="E165">
            <v>1</v>
          </cell>
          <cell r="I165">
            <v>0</v>
          </cell>
        </row>
        <row r="166">
          <cell r="D166" t="str">
            <v>1/2" Hex CIM -5</v>
          </cell>
          <cell r="E166">
            <v>1</v>
          </cell>
          <cell r="I166">
            <v>0</v>
          </cell>
        </row>
        <row r="167">
          <cell r="D167" t="str">
            <v>1/2" Hex CIM -7</v>
          </cell>
          <cell r="E167">
            <v>1</v>
          </cell>
          <cell r="I167">
            <v>0</v>
          </cell>
        </row>
        <row r="168">
          <cell r="D168" t="str">
            <v>1/2" Hex CIM -9</v>
          </cell>
          <cell r="E168">
            <v>1</v>
          </cell>
          <cell r="I168">
            <v>0</v>
          </cell>
        </row>
        <row r="169">
          <cell r="D169" t="str">
            <v>1/2" Hex CIM -10</v>
          </cell>
          <cell r="E169">
            <v>1</v>
          </cell>
          <cell r="I169">
            <v>0</v>
          </cell>
        </row>
        <row r="170">
          <cell r="D170" t="str">
            <v>1/2" Hex CIM 9</v>
          </cell>
          <cell r="E170">
            <v>5</v>
          </cell>
          <cell r="I170">
            <v>0</v>
          </cell>
        </row>
        <row r="171">
          <cell r="D171" t="str">
            <v>1/2" Hex CIM 12</v>
          </cell>
          <cell r="E171">
            <v>5</v>
          </cell>
          <cell r="I171">
            <v>0</v>
          </cell>
        </row>
        <row r="172">
          <cell r="D172" t="str">
            <v>1/2" Hex CIM 15</v>
          </cell>
          <cell r="E172">
            <v>4</v>
          </cell>
          <cell r="I172">
            <v>0</v>
          </cell>
        </row>
        <row r="173">
          <cell r="D173" t="str">
            <v>1/2" Hex CIM 16</v>
          </cell>
          <cell r="E173">
            <v>4</v>
          </cell>
          <cell r="I173">
            <v>0</v>
          </cell>
        </row>
        <row r="174">
          <cell r="D174" t="str">
            <v>1/2" Hex CIM 20</v>
          </cell>
          <cell r="E174">
            <v>3</v>
          </cell>
          <cell r="I174">
            <v>0</v>
          </cell>
        </row>
        <row r="175">
          <cell r="D175" t="str">
            <v>1/2" Hex CIM 21</v>
          </cell>
          <cell r="E175">
            <v>3</v>
          </cell>
          <cell r="I175">
            <v>0</v>
          </cell>
        </row>
        <row r="176">
          <cell r="D176" t="str">
            <v>1/2" Hex CIM 25</v>
          </cell>
          <cell r="E176">
            <v>1</v>
          </cell>
          <cell r="I176">
            <v>0</v>
          </cell>
        </row>
        <row r="177">
          <cell r="D177" t="str">
            <v>1/2" Hex CIM 27</v>
          </cell>
          <cell r="E177">
            <v>1</v>
          </cell>
          <cell r="I177">
            <v>0</v>
          </cell>
        </row>
        <row r="178">
          <cell r="D178" t="str">
            <v>1/2" Hex CIM 28</v>
          </cell>
          <cell r="E178">
            <v>1</v>
          </cell>
          <cell r="I178">
            <v>0</v>
          </cell>
        </row>
        <row r="179">
          <cell r="D179" t="str">
            <v>1/2" Hex CIM 30</v>
          </cell>
          <cell r="E179">
            <v>1</v>
          </cell>
          <cell r="I179">
            <v>0</v>
          </cell>
        </row>
        <row r="180">
          <cell r="D180" t="str">
            <v>1/2" Hex CIM 35</v>
          </cell>
          <cell r="E180">
            <v>1</v>
          </cell>
          <cell r="I180">
            <v>0</v>
          </cell>
        </row>
        <row r="181">
          <cell r="D181" t="str">
            <v>1/2" Hex CIM 36</v>
          </cell>
          <cell r="E181">
            <v>1</v>
          </cell>
          <cell r="I181">
            <v>0</v>
          </cell>
        </row>
        <row r="182">
          <cell r="D182" t="str">
            <v>1/2" Hex CIM 40</v>
          </cell>
          <cell r="E182">
            <v>1</v>
          </cell>
          <cell r="I182">
            <v>0</v>
          </cell>
        </row>
        <row r="183">
          <cell r="D183" t="str">
            <v>1/2" Hex CIM 45</v>
          </cell>
          <cell r="E183">
            <v>1</v>
          </cell>
          <cell r="I183">
            <v>0</v>
          </cell>
        </row>
        <row r="184">
          <cell r="D184" t="str">
            <v>1/2" Hex CIM 49</v>
          </cell>
          <cell r="E184">
            <v>0</v>
          </cell>
          <cell r="I184">
            <v>0</v>
          </cell>
        </row>
        <row r="185">
          <cell r="D185" t="str">
            <v>1/2" Hex CIM 50</v>
          </cell>
          <cell r="E185">
            <v>1</v>
          </cell>
          <cell r="I185">
            <v>0</v>
          </cell>
        </row>
        <row r="186">
          <cell r="D186" t="str">
            <v>1/2" Hex CIM 63</v>
          </cell>
          <cell r="E186">
            <v>0</v>
          </cell>
          <cell r="I186">
            <v>0</v>
          </cell>
        </row>
        <row r="187">
          <cell r="D187" t="str">
            <v>1/2" Hex CIM 70</v>
          </cell>
          <cell r="E187">
            <v>0</v>
          </cell>
          <cell r="I187">
            <v>0</v>
          </cell>
        </row>
        <row r="188">
          <cell r="D188" t="str">
            <v>1/2" Hex CIM 81</v>
          </cell>
          <cell r="E188">
            <v>0</v>
          </cell>
          <cell r="I188">
            <v>0</v>
          </cell>
        </row>
        <row r="189">
          <cell r="D189" t="str">
            <v>1/2" Hex CIM 90</v>
          </cell>
          <cell r="E189">
            <v>0</v>
          </cell>
          <cell r="I189">
            <v>0</v>
          </cell>
        </row>
        <row r="190">
          <cell r="D190" t="str">
            <v>1/2" Hex CIM 100</v>
          </cell>
          <cell r="E190">
            <v>0</v>
          </cell>
          <cell r="I190">
            <v>0</v>
          </cell>
        </row>
        <row r="191">
          <cell r="D191" t="str">
            <v>1/2" Hex NEO -3</v>
          </cell>
          <cell r="E191">
            <v>1</v>
          </cell>
          <cell r="I191">
            <v>0</v>
          </cell>
        </row>
        <row r="192">
          <cell r="D192" t="str">
            <v>1/2" Hex NEO -4</v>
          </cell>
          <cell r="E192">
            <v>1</v>
          </cell>
          <cell r="I192">
            <v>0</v>
          </cell>
        </row>
        <row r="193">
          <cell r="D193" t="str">
            <v>1/2" Hex NEO -5</v>
          </cell>
          <cell r="E193">
            <v>1</v>
          </cell>
          <cell r="I193">
            <v>0</v>
          </cell>
        </row>
        <row r="194">
          <cell r="D194" t="str">
            <v>1/2" Hex NEO -7</v>
          </cell>
          <cell r="E194">
            <v>1</v>
          </cell>
          <cell r="I194">
            <v>0</v>
          </cell>
        </row>
        <row r="195">
          <cell r="D195" t="str">
            <v>1/2" Hex NEO -9</v>
          </cell>
          <cell r="E195">
            <v>1</v>
          </cell>
          <cell r="I195">
            <v>0</v>
          </cell>
        </row>
        <row r="196">
          <cell r="D196" t="str">
            <v>1/2" Hex NEO -10</v>
          </cell>
          <cell r="E196">
            <v>1</v>
          </cell>
          <cell r="I196">
            <v>0</v>
          </cell>
        </row>
        <row r="197">
          <cell r="D197" t="str">
            <v>1/2" Hex NEO 9</v>
          </cell>
          <cell r="E197">
            <v>5</v>
          </cell>
          <cell r="I197">
            <v>0</v>
          </cell>
        </row>
        <row r="198">
          <cell r="D198" t="str">
            <v>1/2" Hex NEO 12</v>
          </cell>
          <cell r="E198">
            <v>3</v>
          </cell>
          <cell r="I198">
            <v>0</v>
          </cell>
        </row>
        <row r="199">
          <cell r="D199" t="str">
            <v>1/2" Hex NEO 15</v>
          </cell>
          <cell r="E199">
            <v>3</v>
          </cell>
          <cell r="I199">
            <v>0</v>
          </cell>
        </row>
        <row r="200">
          <cell r="D200" t="str">
            <v>1/2" Hex NEO 16</v>
          </cell>
          <cell r="E200">
            <v>1</v>
          </cell>
          <cell r="I200">
            <v>0</v>
          </cell>
        </row>
        <row r="201">
          <cell r="D201" t="str">
            <v>1/2" Hex NEO 20</v>
          </cell>
          <cell r="E201">
            <v>1</v>
          </cell>
          <cell r="I201">
            <v>0</v>
          </cell>
        </row>
        <row r="202">
          <cell r="D202" t="str">
            <v>1/2" Hex NEO 21</v>
          </cell>
          <cell r="E202">
            <v>1</v>
          </cell>
          <cell r="I202">
            <v>0</v>
          </cell>
        </row>
        <row r="203">
          <cell r="D203" t="str">
            <v>1/2" Hex NEO 25</v>
          </cell>
          <cell r="E203">
            <v>1</v>
          </cell>
          <cell r="I203">
            <v>0</v>
          </cell>
        </row>
        <row r="204">
          <cell r="D204" t="str">
            <v>1/2" Hex NEO 27</v>
          </cell>
          <cell r="E204">
            <v>1</v>
          </cell>
          <cell r="I204">
            <v>0</v>
          </cell>
        </row>
        <row r="205">
          <cell r="D205" t="str">
            <v>1/2" Hex NEO 28</v>
          </cell>
          <cell r="E205">
            <v>1</v>
          </cell>
          <cell r="I205">
            <v>0</v>
          </cell>
        </row>
        <row r="206">
          <cell r="D206" t="str">
            <v>1/2" Hex NEO 30</v>
          </cell>
          <cell r="E206">
            <v>1</v>
          </cell>
          <cell r="I206">
            <v>0</v>
          </cell>
        </row>
        <row r="207">
          <cell r="D207" t="str">
            <v>1/2" Hex NEO 35</v>
          </cell>
          <cell r="E207">
            <v>1</v>
          </cell>
          <cell r="I207">
            <v>0</v>
          </cell>
        </row>
        <row r="208">
          <cell r="D208" t="str">
            <v>1/2" Hex NEO 36</v>
          </cell>
          <cell r="E208">
            <v>1</v>
          </cell>
          <cell r="I208">
            <v>0</v>
          </cell>
        </row>
        <row r="209">
          <cell r="D209" t="str">
            <v>1/2" Hex NEO 40</v>
          </cell>
          <cell r="E209">
            <v>1</v>
          </cell>
          <cell r="I209">
            <v>0</v>
          </cell>
        </row>
        <row r="210">
          <cell r="D210" t="str">
            <v>1/2" Hex NEO 45</v>
          </cell>
          <cell r="E210">
            <v>1</v>
          </cell>
          <cell r="I210">
            <v>0</v>
          </cell>
        </row>
        <row r="211">
          <cell r="D211" t="str">
            <v>1/2" Hex NEO 49</v>
          </cell>
          <cell r="E211">
            <v>0</v>
          </cell>
          <cell r="I211">
            <v>0</v>
          </cell>
        </row>
        <row r="212">
          <cell r="D212" t="str">
            <v>1/2" Hex NEO 50</v>
          </cell>
          <cell r="E212">
            <v>0</v>
          </cell>
          <cell r="I212">
            <v>0</v>
          </cell>
        </row>
        <row r="213">
          <cell r="D213" t="str">
            <v>1/2" Hex NEO 63</v>
          </cell>
          <cell r="E213">
            <v>0</v>
          </cell>
          <cell r="I213">
            <v>0</v>
          </cell>
        </row>
        <row r="214">
          <cell r="D214" t="str">
            <v>1/2" Hex NEO 70</v>
          </cell>
          <cell r="E214">
            <v>0</v>
          </cell>
          <cell r="I214">
            <v>0</v>
          </cell>
        </row>
        <row r="215">
          <cell r="D215" t="str">
            <v>1/2" Hex NEO 81</v>
          </cell>
          <cell r="E215">
            <v>0</v>
          </cell>
          <cell r="I215">
            <v>0</v>
          </cell>
        </row>
        <row r="216">
          <cell r="D216" t="str">
            <v>1/2" Hex NEO 90</v>
          </cell>
          <cell r="E216">
            <v>0</v>
          </cell>
          <cell r="I216">
            <v>0</v>
          </cell>
        </row>
        <row r="217">
          <cell r="D217" t="str">
            <v>1/2" Hex NEO 100</v>
          </cell>
          <cell r="E217">
            <v>0</v>
          </cell>
          <cell r="I217">
            <v>0</v>
          </cell>
        </row>
        <row r="218">
          <cell r="D218" t="str">
            <v>1/2" Hex Falcon 500 -3</v>
          </cell>
          <cell r="E218">
            <v>1</v>
          </cell>
          <cell r="I218">
            <v>0</v>
          </cell>
        </row>
        <row r="219">
          <cell r="D219" t="str">
            <v>1/2" Hex Falcon 500 -4</v>
          </cell>
          <cell r="E219">
            <v>1</v>
          </cell>
          <cell r="I219">
            <v>0</v>
          </cell>
        </row>
        <row r="220">
          <cell r="D220" t="str">
            <v>1/2" Hex Falcon 500 -5</v>
          </cell>
          <cell r="E220">
            <v>1</v>
          </cell>
          <cell r="I220">
            <v>0</v>
          </cell>
        </row>
        <row r="221">
          <cell r="D221" t="str">
            <v>1/2" Hex Falcon 500 -7</v>
          </cell>
          <cell r="E221">
            <v>1</v>
          </cell>
          <cell r="I221">
            <v>0</v>
          </cell>
        </row>
        <row r="222">
          <cell r="D222" t="str">
            <v>1/2" Hex Falcon 500 -9</v>
          </cell>
          <cell r="E222">
            <v>1</v>
          </cell>
          <cell r="I222">
            <v>0</v>
          </cell>
        </row>
        <row r="223">
          <cell r="D223" t="str">
            <v>1/2" Hex Falcon 500 -10</v>
          </cell>
          <cell r="E223">
            <v>1</v>
          </cell>
          <cell r="I223">
            <v>0</v>
          </cell>
        </row>
        <row r="224">
          <cell r="D224" t="str">
            <v>1/2" Hex Falcon 500 9</v>
          </cell>
          <cell r="E224">
            <v>3</v>
          </cell>
          <cell r="I224">
            <v>0</v>
          </cell>
        </row>
        <row r="225">
          <cell r="D225" t="str">
            <v>1/2" Hex Falcon 500 12</v>
          </cell>
          <cell r="E225">
            <v>1</v>
          </cell>
          <cell r="I225">
            <v>0</v>
          </cell>
        </row>
        <row r="226">
          <cell r="D226" t="str">
            <v>1/2" Hex Falcon 500 15</v>
          </cell>
          <cell r="E226">
            <v>1</v>
          </cell>
          <cell r="I226">
            <v>0</v>
          </cell>
        </row>
        <row r="227">
          <cell r="D227" t="str">
            <v>1/2" Hex Falcon 500 16</v>
          </cell>
          <cell r="E227">
            <v>1</v>
          </cell>
          <cell r="I227">
            <v>0</v>
          </cell>
        </row>
        <row r="228">
          <cell r="D228" t="str">
            <v>1/2" Hex Falcon 500 20</v>
          </cell>
          <cell r="E228">
            <v>1</v>
          </cell>
          <cell r="I228">
            <v>0</v>
          </cell>
        </row>
        <row r="229">
          <cell r="D229" t="str">
            <v>1/2" Hex Falcon 500 21</v>
          </cell>
          <cell r="E229">
            <v>1</v>
          </cell>
          <cell r="I229">
            <v>0</v>
          </cell>
        </row>
        <row r="230">
          <cell r="D230" t="str">
            <v>1/2" Hex Falcon 500 25</v>
          </cell>
          <cell r="E230">
            <v>1</v>
          </cell>
          <cell r="I230">
            <v>0</v>
          </cell>
        </row>
        <row r="231">
          <cell r="D231" t="str">
            <v>1/2" Hex Falcon 500 27</v>
          </cell>
          <cell r="E231">
            <v>1</v>
          </cell>
          <cell r="I231">
            <v>0</v>
          </cell>
        </row>
        <row r="232">
          <cell r="D232" t="str">
            <v>1/2" Hex Falcon 500 28</v>
          </cell>
          <cell r="E232">
            <v>1</v>
          </cell>
          <cell r="I232">
            <v>0</v>
          </cell>
        </row>
        <row r="233">
          <cell r="D233" t="str">
            <v>1/2" Hex Falcon 500 30</v>
          </cell>
          <cell r="E233">
            <v>1</v>
          </cell>
          <cell r="I233">
            <v>0</v>
          </cell>
        </row>
        <row r="234">
          <cell r="D234" t="str">
            <v>1/2" Hex Falcon 500 35</v>
          </cell>
          <cell r="E234">
            <v>0</v>
          </cell>
          <cell r="I234">
            <v>0</v>
          </cell>
        </row>
        <row r="235">
          <cell r="D235" t="str">
            <v>1/2" Hex Falcon 500 36</v>
          </cell>
          <cell r="E235">
            <v>0</v>
          </cell>
          <cell r="I235">
            <v>0</v>
          </cell>
        </row>
        <row r="236">
          <cell r="D236" t="str">
            <v>1/2" Hex Falcon 500 40</v>
          </cell>
          <cell r="E236">
            <v>0</v>
          </cell>
          <cell r="I236">
            <v>0</v>
          </cell>
        </row>
        <row r="237">
          <cell r="D237" t="str">
            <v>1/2" Hex Falcon 500 45</v>
          </cell>
          <cell r="E237">
            <v>0</v>
          </cell>
          <cell r="I237">
            <v>0</v>
          </cell>
        </row>
        <row r="238">
          <cell r="D238" t="str">
            <v>1/2" Hex Falcon 500 49</v>
          </cell>
          <cell r="E238">
            <v>0</v>
          </cell>
          <cell r="I238">
            <v>0</v>
          </cell>
        </row>
        <row r="239">
          <cell r="D239" t="str">
            <v>1/2" Hex Falcon 500 50</v>
          </cell>
          <cell r="E239">
            <v>0</v>
          </cell>
          <cell r="I239">
            <v>0</v>
          </cell>
        </row>
        <row r="240">
          <cell r="D240" t="str">
            <v>1/2" Hex Falcon 500 63</v>
          </cell>
          <cell r="E240">
            <v>0</v>
          </cell>
          <cell r="I240">
            <v>0</v>
          </cell>
        </row>
        <row r="241">
          <cell r="D241" t="str">
            <v>1/2" Hex Falcon 500 70</v>
          </cell>
          <cell r="E241">
            <v>0</v>
          </cell>
          <cell r="I241">
            <v>0</v>
          </cell>
        </row>
        <row r="242">
          <cell r="D242" t="str">
            <v>1/2" Hex Falcon 500 81</v>
          </cell>
          <cell r="E242">
            <v>0</v>
          </cell>
          <cell r="I242">
            <v>0</v>
          </cell>
        </row>
        <row r="243">
          <cell r="D243" t="str">
            <v>1/2" Hex Falcon 500 90</v>
          </cell>
          <cell r="E243">
            <v>0</v>
          </cell>
          <cell r="I243">
            <v>0</v>
          </cell>
        </row>
        <row r="244">
          <cell r="D244" t="str">
            <v>1/2" Hex Falcon 500 100</v>
          </cell>
          <cell r="E244">
            <v>0</v>
          </cell>
          <cell r="I244">
            <v>0</v>
          </cell>
        </row>
        <row r="245">
          <cell r="D245" t="str">
            <v>1/2" Round AM 9015 -3</v>
          </cell>
          <cell r="E245">
            <v>1</v>
          </cell>
        </row>
        <row r="246">
          <cell r="D246" t="str">
            <v>1/2" Round AM 9015 -4</v>
          </cell>
          <cell r="E246">
            <v>1</v>
          </cell>
        </row>
        <row r="247">
          <cell r="D247" t="str">
            <v>1/2" Round AM 9015 -5</v>
          </cell>
          <cell r="E247">
            <v>1</v>
          </cell>
        </row>
        <row r="248">
          <cell r="D248" t="str">
            <v>1/2" Round AM 9015 -7</v>
          </cell>
          <cell r="E248">
            <v>1</v>
          </cell>
        </row>
        <row r="249">
          <cell r="D249" t="str">
            <v>1/2" Round AM 9015 -9</v>
          </cell>
          <cell r="E249">
            <v>1</v>
          </cell>
        </row>
        <row r="250">
          <cell r="D250" t="str">
            <v>1/2" Round AM 9015 -10</v>
          </cell>
          <cell r="E250">
            <v>1</v>
          </cell>
        </row>
        <row r="251">
          <cell r="D251" t="str">
            <v>1/2" Round AM 9015 9</v>
          </cell>
          <cell r="E251">
            <v>10</v>
          </cell>
        </row>
        <row r="252">
          <cell r="D252" t="str">
            <v>1/2" Round AM 9015 12</v>
          </cell>
          <cell r="E252">
            <v>10</v>
          </cell>
        </row>
        <row r="253">
          <cell r="D253" t="str">
            <v>1/2" Round AM 9015 15</v>
          </cell>
          <cell r="E253">
            <v>10</v>
          </cell>
        </row>
        <row r="254">
          <cell r="D254" t="str">
            <v>1/2" Round AM 9015 16</v>
          </cell>
          <cell r="E254">
            <v>10</v>
          </cell>
        </row>
        <row r="255">
          <cell r="D255" t="str">
            <v>1/2" Round AM 9015 20</v>
          </cell>
          <cell r="E255">
            <v>10</v>
          </cell>
        </row>
        <row r="256">
          <cell r="D256" t="str">
            <v>1/2" Round AM 9015 21</v>
          </cell>
          <cell r="E256">
            <v>10</v>
          </cell>
        </row>
        <row r="257">
          <cell r="D257" t="str">
            <v>1/2" Round AM 9015 25</v>
          </cell>
          <cell r="E257">
            <v>7</v>
          </cell>
        </row>
        <row r="258">
          <cell r="D258" t="str">
            <v>1/2" Round AM 9015 27</v>
          </cell>
          <cell r="E258">
            <v>7</v>
          </cell>
        </row>
        <row r="259">
          <cell r="D259" t="str">
            <v>1/2" Round AM 9015 28</v>
          </cell>
          <cell r="E259">
            <v>7</v>
          </cell>
        </row>
        <row r="260">
          <cell r="D260" t="str">
            <v>1/2" Round AM 9015 30</v>
          </cell>
          <cell r="E260">
            <v>7</v>
          </cell>
        </row>
        <row r="261">
          <cell r="D261" t="str">
            <v>1/2" Round AM 9015 35</v>
          </cell>
          <cell r="E261">
            <v>5</v>
          </cell>
        </row>
        <row r="262">
          <cell r="D262" t="str">
            <v>1/2" Round AM 9015 36</v>
          </cell>
          <cell r="E262">
            <v>5</v>
          </cell>
        </row>
        <row r="263">
          <cell r="D263" t="str">
            <v>1/2" Round AM 9015 40</v>
          </cell>
          <cell r="E263">
            <v>5</v>
          </cell>
        </row>
        <row r="264">
          <cell r="D264" t="str">
            <v>1/2" Round AM 9015 45</v>
          </cell>
          <cell r="E264">
            <v>5</v>
          </cell>
        </row>
        <row r="265">
          <cell r="D265" t="str">
            <v>1/2" Round AM 9015 49</v>
          </cell>
          <cell r="E265">
            <v>5</v>
          </cell>
        </row>
        <row r="266">
          <cell r="D266" t="str">
            <v>1/2" Round AM 9015 50</v>
          </cell>
          <cell r="E266">
            <v>5</v>
          </cell>
        </row>
        <row r="267">
          <cell r="D267" t="str">
            <v>1/2" Round AM 9015 63</v>
          </cell>
          <cell r="E267">
            <v>4</v>
          </cell>
        </row>
        <row r="268">
          <cell r="D268" t="str">
            <v>1/2" Round AM 9015 70</v>
          </cell>
          <cell r="E268">
            <v>4</v>
          </cell>
        </row>
        <row r="269">
          <cell r="D269" t="str">
            <v>1/2" Round AM 9015 81</v>
          </cell>
          <cell r="E269">
            <v>3</v>
          </cell>
        </row>
        <row r="270">
          <cell r="D270" t="str">
            <v>1/2" Round AM 9015 90</v>
          </cell>
          <cell r="E270">
            <v>3</v>
          </cell>
        </row>
        <row r="271">
          <cell r="D271" t="str">
            <v>1/2" Round AM 9015 100</v>
          </cell>
          <cell r="E271">
            <v>1</v>
          </cell>
        </row>
        <row r="272">
          <cell r="D272" t="str">
            <v>1/2" Round BB RS-550 -3</v>
          </cell>
          <cell r="E272">
            <v>1</v>
          </cell>
          <cell r="F272">
            <v>1</v>
          </cell>
          <cell r="G272">
            <v>1</v>
          </cell>
          <cell r="H272">
            <v>1</v>
          </cell>
        </row>
        <row r="273">
          <cell r="D273" t="str">
            <v>1/2" Round BB RS-550 -4</v>
          </cell>
          <cell r="E273">
            <v>1</v>
          </cell>
          <cell r="F273">
            <v>1</v>
          </cell>
          <cell r="G273">
            <v>1</v>
          </cell>
          <cell r="H273">
            <v>0</v>
          </cell>
        </row>
        <row r="274">
          <cell r="D274" t="str">
            <v>1/2" Round BB RS-550 -5</v>
          </cell>
          <cell r="E274">
            <v>1</v>
          </cell>
          <cell r="F274">
            <v>1</v>
          </cell>
          <cell r="G274">
            <v>1</v>
          </cell>
          <cell r="H274">
            <v>0</v>
          </cell>
        </row>
        <row r="275">
          <cell r="D275" t="str">
            <v>1/2" Round BB RS-550 -7</v>
          </cell>
          <cell r="E275">
            <v>1</v>
          </cell>
          <cell r="F275">
            <v>1</v>
          </cell>
          <cell r="G275">
            <v>1</v>
          </cell>
          <cell r="H275">
            <v>0</v>
          </cell>
        </row>
        <row r="276">
          <cell r="D276" t="str">
            <v>1/2" Round BB RS-550 -9</v>
          </cell>
          <cell r="E276">
            <v>1</v>
          </cell>
          <cell r="F276">
            <v>1</v>
          </cell>
          <cell r="G276">
            <v>0</v>
          </cell>
          <cell r="H276">
            <v>0</v>
          </cell>
        </row>
        <row r="277">
          <cell r="D277" t="str">
            <v>1/2" Round BB RS-550 -10</v>
          </cell>
          <cell r="E277">
            <v>1</v>
          </cell>
          <cell r="F277">
            <v>1</v>
          </cell>
          <cell r="G277">
            <v>0</v>
          </cell>
          <cell r="H277">
            <v>0</v>
          </cell>
        </row>
        <row r="278">
          <cell r="D278" t="str">
            <v>1/2" Round BB RS-550 9</v>
          </cell>
          <cell r="E278">
            <v>10</v>
          </cell>
          <cell r="F278">
            <v>10</v>
          </cell>
          <cell r="G278">
            <v>1</v>
          </cell>
          <cell r="H278">
            <v>0</v>
          </cell>
        </row>
        <row r="279">
          <cell r="D279" t="str">
            <v>1/2" Round BB RS-550 12</v>
          </cell>
          <cell r="E279">
            <v>10</v>
          </cell>
          <cell r="F279">
            <v>7</v>
          </cell>
          <cell r="G279">
            <v>0</v>
          </cell>
          <cell r="H279">
            <v>0</v>
          </cell>
        </row>
        <row r="280">
          <cell r="D280" t="str">
            <v>1/2" Round BB RS-550 15</v>
          </cell>
          <cell r="E280">
            <v>10</v>
          </cell>
          <cell r="F280">
            <v>5</v>
          </cell>
          <cell r="G280">
            <v>0</v>
          </cell>
          <cell r="H280">
            <v>0</v>
          </cell>
        </row>
        <row r="281">
          <cell r="D281" t="str">
            <v>1/2" Round BB RS-550 16</v>
          </cell>
          <cell r="E281">
            <v>10</v>
          </cell>
          <cell r="F281">
            <v>5</v>
          </cell>
          <cell r="G281">
            <v>0</v>
          </cell>
          <cell r="H281">
            <v>0</v>
          </cell>
        </row>
        <row r="282">
          <cell r="D282" t="str">
            <v>1/2" Round BB RS-550 20</v>
          </cell>
          <cell r="E282">
            <v>9</v>
          </cell>
          <cell r="F282">
            <v>5</v>
          </cell>
          <cell r="G282">
            <v>0</v>
          </cell>
          <cell r="H282">
            <v>0</v>
          </cell>
        </row>
        <row r="283">
          <cell r="D283" t="str">
            <v>1/2" Round BB RS-550 21</v>
          </cell>
          <cell r="E283">
            <v>9</v>
          </cell>
          <cell r="F283">
            <v>5</v>
          </cell>
          <cell r="G283">
            <v>0</v>
          </cell>
          <cell r="H283">
            <v>0</v>
          </cell>
        </row>
        <row r="284">
          <cell r="D284" t="str">
            <v>1/2" Round BB RS-550 25</v>
          </cell>
          <cell r="E284">
            <v>7</v>
          </cell>
          <cell r="F284">
            <v>5</v>
          </cell>
          <cell r="G284">
            <v>0</v>
          </cell>
          <cell r="H284">
            <v>0</v>
          </cell>
        </row>
        <row r="285">
          <cell r="D285" t="str">
            <v>1/2" Round BB RS-550 27</v>
          </cell>
          <cell r="E285">
            <v>7</v>
          </cell>
          <cell r="F285">
            <v>4</v>
          </cell>
          <cell r="G285">
            <v>0</v>
          </cell>
          <cell r="H285">
            <v>0</v>
          </cell>
        </row>
        <row r="286">
          <cell r="D286" t="str">
            <v>1/2" Round BB RS-550 28</v>
          </cell>
          <cell r="E286">
            <v>7</v>
          </cell>
          <cell r="F286">
            <v>4</v>
          </cell>
          <cell r="G286">
            <v>0</v>
          </cell>
          <cell r="H286">
            <v>0</v>
          </cell>
        </row>
        <row r="287">
          <cell r="D287" t="str">
            <v>1/2" Round BB RS-550 30</v>
          </cell>
          <cell r="E287">
            <v>5</v>
          </cell>
          <cell r="F287">
            <v>4</v>
          </cell>
          <cell r="G287">
            <v>0</v>
          </cell>
          <cell r="H287">
            <v>0</v>
          </cell>
        </row>
        <row r="288">
          <cell r="D288" t="str">
            <v>1/2" Round BB RS-550 35</v>
          </cell>
          <cell r="E288">
            <v>5</v>
          </cell>
          <cell r="F288">
            <v>3</v>
          </cell>
          <cell r="G288">
            <v>0</v>
          </cell>
          <cell r="H288">
            <v>0</v>
          </cell>
        </row>
        <row r="289">
          <cell r="D289" t="str">
            <v>1/2" Round BB RS-550 36</v>
          </cell>
          <cell r="E289">
            <v>5</v>
          </cell>
          <cell r="F289">
            <v>3</v>
          </cell>
          <cell r="G289">
            <v>0</v>
          </cell>
          <cell r="H289">
            <v>0</v>
          </cell>
        </row>
        <row r="290">
          <cell r="D290" t="str">
            <v>1/2" Round BB RS-550 40</v>
          </cell>
          <cell r="E290">
            <v>5</v>
          </cell>
          <cell r="F290">
            <v>3</v>
          </cell>
          <cell r="G290">
            <v>0</v>
          </cell>
          <cell r="H290">
            <v>0</v>
          </cell>
        </row>
        <row r="291">
          <cell r="D291" t="str">
            <v>1/2" Round BB RS-550 45</v>
          </cell>
          <cell r="E291">
            <v>5</v>
          </cell>
          <cell r="F291">
            <v>1</v>
          </cell>
          <cell r="G291">
            <v>0</v>
          </cell>
          <cell r="H291">
            <v>0</v>
          </cell>
        </row>
        <row r="292">
          <cell r="D292" t="str">
            <v>1/2" Round BB RS-550 49</v>
          </cell>
          <cell r="E292">
            <v>5</v>
          </cell>
          <cell r="F292">
            <v>1</v>
          </cell>
          <cell r="G292">
            <v>0</v>
          </cell>
          <cell r="H292">
            <v>0</v>
          </cell>
        </row>
        <row r="293">
          <cell r="D293" t="str">
            <v>1/2" Round BB RS-550 50</v>
          </cell>
          <cell r="E293">
            <v>5</v>
          </cell>
          <cell r="F293">
            <v>1</v>
          </cell>
          <cell r="G293">
            <v>0</v>
          </cell>
          <cell r="H293">
            <v>0</v>
          </cell>
        </row>
        <row r="294">
          <cell r="D294" t="str">
            <v>1/2" Round BB RS-550 63</v>
          </cell>
          <cell r="E294">
            <v>4</v>
          </cell>
          <cell r="F294">
            <v>1</v>
          </cell>
          <cell r="G294">
            <v>0</v>
          </cell>
          <cell r="H294">
            <v>0</v>
          </cell>
        </row>
        <row r="295">
          <cell r="D295" t="str">
            <v>1/2" Round BB RS-550 70</v>
          </cell>
          <cell r="E295">
            <v>3</v>
          </cell>
          <cell r="F295">
            <v>1</v>
          </cell>
          <cell r="G295">
            <v>0</v>
          </cell>
          <cell r="H295">
            <v>0</v>
          </cell>
        </row>
        <row r="296">
          <cell r="D296" t="str">
            <v>1/2" Round BB RS-550 81</v>
          </cell>
          <cell r="E296">
            <v>3</v>
          </cell>
          <cell r="F296">
            <v>1</v>
          </cell>
          <cell r="G296">
            <v>0</v>
          </cell>
          <cell r="H296">
            <v>0</v>
          </cell>
        </row>
        <row r="297">
          <cell r="D297" t="str">
            <v>1/2" Round BB RS-550 90</v>
          </cell>
          <cell r="E297">
            <v>1</v>
          </cell>
          <cell r="F297">
            <v>1</v>
          </cell>
          <cell r="G297">
            <v>0</v>
          </cell>
          <cell r="H297">
            <v>0</v>
          </cell>
        </row>
        <row r="298">
          <cell r="D298" t="str">
            <v>1/2" Round BB RS-550 100</v>
          </cell>
          <cell r="E298">
            <v>1</v>
          </cell>
          <cell r="F298">
            <v>0</v>
          </cell>
          <cell r="G298">
            <v>0</v>
          </cell>
          <cell r="H298">
            <v>0</v>
          </cell>
        </row>
        <row r="299">
          <cell r="D299" t="str">
            <v>1/2" Round BB RS-775 -3</v>
          </cell>
          <cell r="E299">
            <v>1</v>
          </cell>
          <cell r="F299">
            <v>1</v>
          </cell>
          <cell r="G299">
            <v>1</v>
          </cell>
          <cell r="H299">
            <v>0</v>
          </cell>
        </row>
        <row r="300">
          <cell r="D300" t="str">
            <v>1/2" Round BB RS-775 -4</v>
          </cell>
          <cell r="E300">
            <v>1</v>
          </cell>
          <cell r="F300">
            <v>1</v>
          </cell>
          <cell r="G300">
            <v>1</v>
          </cell>
          <cell r="H300">
            <v>0</v>
          </cell>
        </row>
        <row r="301">
          <cell r="D301" t="str">
            <v>1/2" Round BB RS-775 -5</v>
          </cell>
          <cell r="E301">
            <v>1</v>
          </cell>
          <cell r="F301">
            <v>1</v>
          </cell>
          <cell r="G301">
            <v>1</v>
          </cell>
          <cell r="H301">
            <v>0</v>
          </cell>
        </row>
        <row r="302">
          <cell r="D302" t="str">
            <v>1/2" Round BB RS-775 -7</v>
          </cell>
          <cell r="E302">
            <v>1</v>
          </cell>
          <cell r="F302">
            <v>1</v>
          </cell>
          <cell r="G302">
            <v>0</v>
          </cell>
          <cell r="H302">
            <v>0</v>
          </cell>
        </row>
        <row r="303">
          <cell r="D303" t="str">
            <v>1/2" Round BB RS-775 -9</v>
          </cell>
          <cell r="E303">
            <v>1</v>
          </cell>
          <cell r="F303">
            <v>1</v>
          </cell>
          <cell r="G303">
            <v>0</v>
          </cell>
          <cell r="H303">
            <v>0</v>
          </cell>
        </row>
        <row r="304">
          <cell r="D304" t="str">
            <v>1/2" Round BB RS-775 -10</v>
          </cell>
          <cell r="E304">
            <v>1</v>
          </cell>
          <cell r="F304">
            <v>1</v>
          </cell>
          <cell r="G304">
            <v>0</v>
          </cell>
          <cell r="H304">
            <v>0</v>
          </cell>
        </row>
        <row r="305">
          <cell r="D305" t="str">
            <v>1/2" Round BB RS-775 9</v>
          </cell>
          <cell r="E305">
            <v>10</v>
          </cell>
          <cell r="F305">
            <v>5</v>
          </cell>
          <cell r="G305">
            <v>0</v>
          </cell>
          <cell r="H305">
            <v>0</v>
          </cell>
        </row>
        <row r="306">
          <cell r="D306" t="str">
            <v>1/2" Round BB RS-775 12</v>
          </cell>
          <cell r="E306">
            <v>10</v>
          </cell>
          <cell r="F306">
            <v>5</v>
          </cell>
          <cell r="G306">
            <v>0</v>
          </cell>
          <cell r="H306">
            <v>0</v>
          </cell>
        </row>
        <row r="307">
          <cell r="D307" t="str">
            <v>1/2" Round BB RS-775 15</v>
          </cell>
          <cell r="E307">
            <v>7</v>
          </cell>
          <cell r="F307">
            <v>5</v>
          </cell>
          <cell r="G307">
            <v>0</v>
          </cell>
          <cell r="H307">
            <v>0</v>
          </cell>
        </row>
        <row r="308">
          <cell r="D308" t="str">
            <v>1/2" Round BB RS-775 16</v>
          </cell>
          <cell r="E308">
            <v>7</v>
          </cell>
          <cell r="F308">
            <v>5</v>
          </cell>
          <cell r="G308">
            <v>0</v>
          </cell>
          <cell r="H308">
            <v>0</v>
          </cell>
        </row>
        <row r="309">
          <cell r="D309" t="str">
            <v>1/2" Round BB RS-775 20</v>
          </cell>
          <cell r="E309">
            <v>5</v>
          </cell>
          <cell r="F309">
            <v>4</v>
          </cell>
          <cell r="G309">
            <v>0</v>
          </cell>
          <cell r="H309">
            <v>0</v>
          </cell>
        </row>
        <row r="310">
          <cell r="D310" t="str">
            <v>1/2" Round BB RS-775 21</v>
          </cell>
          <cell r="E310">
            <v>5</v>
          </cell>
          <cell r="F310">
            <v>3</v>
          </cell>
          <cell r="G310">
            <v>0</v>
          </cell>
          <cell r="H310">
            <v>0</v>
          </cell>
        </row>
        <row r="311">
          <cell r="D311" t="str">
            <v>1/2" Round BB RS-775 25</v>
          </cell>
          <cell r="E311">
            <v>5</v>
          </cell>
          <cell r="F311">
            <v>3</v>
          </cell>
          <cell r="G311">
            <v>0</v>
          </cell>
          <cell r="H311">
            <v>0</v>
          </cell>
        </row>
        <row r="312">
          <cell r="D312" t="str">
            <v>1/2" Round BB RS-775 27</v>
          </cell>
          <cell r="E312">
            <v>5</v>
          </cell>
          <cell r="F312">
            <v>3</v>
          </cell>
          <cell r="G312">
            <v>0</v>
          </cell>
          <cell r="H312">
            <v>0</v>
          </cell>
        </row>
        <row r="313">
          <cell r="D313" t="str">
            <v>1/2" Round BB RS-775 28</v>
          </cell>
          <cell r="E313">
            <v>5</v>
          </cell>
          <cell r="F313">
            <v>1</v>
          </cell>
          <cell r="G313">
            <v>0</v>
          </cell>
          <cell r="H313">
            <v>0</v>
          </cell>
        </row>
        <row r="314">
          <cell r="D314" t="str">
            <v>1/2" Round BB RS-775 30</v>
          </cell>
          <cell r="E314">
            <v>5</v>
          </cell>
          <cell r="F314">
            <v>1</v>
          </cell>
          <cell r="G314">
            <v>0</v>
          </cell>
          <cell r="H314">
            <v>0</v>
          </cell>
        </row>
        <row r="315">
          <cell r="D315" t="str">
            <v>1/2" Round BB RS-775 35</v>
          </cell>
          <cell r="E315">
            <v>4</v>
          </cell>
          <cell r="F315">
            <v>1</v>
          </cell>
          <cell r="G315">
            <v>0</v>
          </cell>
          <cell r="H315">
            <v>0</v>
          </cell>
        </row>
        <row r="316">
          <cell r="D316" t="str">
            <v>1/2" Round BB RS-775 36</v>
          </cell>
          <cell r="E316">
            <v>4</v>
          </cell>
          <cell r="F316">
            <v>1</v>
          </cell>
          <cell r="G316">
            <v>0</v>
          </cell>
          <cell r="H316">
            <v>0</v>
          </cell>
        </row>
        <row r="317">
          <cell r="D317" t="str">
            <v>1/2" Round BB RS-775 40</v>
          </cell>
          <cell r="E317">
            <v>4</v>
          </cell>
          <cell r="F317">
            <v>1</v>
          </cell>
          <cell r="G317">
            <v>0</v>
          </cell>
          <cell r="H317">
            <v>0</v>
          </cell>
        </row>
        <row r="318">
          <cell r="D318" t="str">
            <v>1/2" Round BB RS-775 45</v>
          </cell>
          <cell r="E318">
            <v>3</v>
          </cell>
          <cell r="F318">
            <v>1</v>
          </cell>
          <cell r="G318">
            <v>0</v>
          </cell>
          <cell r="H318">
            <v>0</v>
          </cell>
        </row>
        <row r="319">
          <cell r="D319" t="str">
            <v>1/2" Round BB RS-775 49</v>
          </cell>
          <cell r="E319">
            <v>3</v>
          </cell>
          <cell r="F319">
            <v>1</v>
          </cell>
          <cell r="G319">
            <v>0</v>
          </cell>
          <cell r="H319">
            <v>0</v>
          </cell>
        </row>
        <row r="320">
          <cell r="D320" t="str">
            <v>1/2" Round BB RS-775 50</v>
          </cell>
          <cell r="E320">
            <v>3</v>
          </cell>
          <cell r="F320">
            <v>1</v>
          </cell>
          <cell r="G320">
            <v>0</v>
          </cell>
          <cell r="H320">
            <v>0</v>
          </cell>
        </row>
        <row r="321">
          <cell r="D321" t="str">
            <v>1/2" Round BB RS-775 63</v>
          </cell>
          <cell r="E321">
            <v>1</v>
          </cell>
          <cell r="F321">
            <v>0</v>
          </cell>
          <cell r="G321">
            <v>0</v>
          </cell>
          <cell r="H321">
            <v>0</v>
          </cell>
        </row>
        <row r="322">
          <cell r="D322" t="str">
            <v>1/2" Round BB RS-775 70</v>
          </cell>
          <cell r="E322">
            <v>1</v>
          </cell>
          <cell r="F322">
            <v>0</v>
          </cell>
          <cell r="G322">
            <v>0</v>
          </cell>
          <cell r="H322">
            <v>0</v>
          </cell>
        </row>
        <row r="323">
          <cell r="D323" t="str">
            <v>1/2" Round BB RS-775 81</v>
          </cell>
          <cell r="E323">
            <v>1</v>
          </cell>
          <cell r="F323">
            <v>0</v>
          </cell>
          <cell r="G323">
            <v>0</v>
          </cell>
          <cell r="H323">
            <v>0</v>
          </cell>
        </row>
        <row r="324">
          <cell r="D324" t="str">
            <v>1/2" Round BB RS-775 90</v>
          </cell>
          <cell r="E324">
            <v>1</v>
          </cell>
          <cell r="F324">
            <v>0</v>
          </cell>
          <cell r="G324">
            <v>0</v>
          </cell>
          <cell r="H324">
            <v>0</v>
          </cell>
        </row>
        <row r="325">
          <cell r="D325" t="str">
            <v>1/2" Round BB RS-775 100</v>
          </cell>
          <cell r="E325">
            <v>1</v>
          </cell>
          <cell r="F325">
            <v>0</v>
          </cell>
          <cell r="G325">
            <v>0</v>
          </cell>
          <cell r="H325">
            <v>0</v>
          </cell>
        </row>
        <row r="326">
          <cell r="D326" t="str">
            <v>1/2" Round BAG Motor -3</v>
          </cell>
          <cell r="E326">
            <v>1</v>
          </cell>
          <cell r="F326">
            <v>1</v>
          </cell>
          <cell r="G326">
            <v>1</v>
          </cell>
          <cell r="H326">
            <v>0</v>
          </cell>
        </row>
        <row r="327">
          <cell r="D327" t="str">
            <v>1/2" Round BAG Motor -4</v>
          </cell>
          <cell r="E327">
            <v>1</v>
          </cell>
          <cell r="F327">
            <v>1</v>
          </cell>
          <cell r="G327">
            <v>1</v>
          </cell>
          <cell r="H327">
            <v>0</v>
          </cell>
        </row>
        <row r="328">
          <cell r="D328" t="str">
            <v>1/2" Round BAG Motor -5</v>
          </cell>
          <cell r="E328">
            <v>1</v>
          </cell>
          <cell r="F328">
            <v>1</v>
          </cell>
          <cell r="G328">
            <v>1</v>
          </cell>
          <cell r="H328">
            <v>0</v>
          </cell>
        </row>
        <row r="329">
          <cell r="D329" t="str">
            <v>1/2" Round BAG Motor -7</v>
          </cell>
          <cell r="E329">
            <v>1</v>
          </cell>
          <cell r="F329">
            <v>1</v>
          </cell>
          <cell r="G329">
            <v>1</v>
          </cell>
          <cell r="H329">
            <v>0</v>
          </cell>
        </row>
        <row r="330">
          <cell r="D330" t="str">
            <v>1/2" Round BAG Motor -9</v>
          </cell>
          <cell r="E330">
            <v>1</v>
          </cell>
          <cell r="F330">
            <v>1</v>
          </cell>
          <cell r="G330">
            <v>0</v>
          </cell>
          <cell r="H330">
            <v>0</v>
          </cell>
        </row>
        <row r="331">
          <cell r="D331" t="str">
            <v>1/2" Round BAG Motor -10</v>
          </cell>
          <cell r="E331">
            <v>1</v>
          </cell>
          <cell r="F331">
            <v>1</v>
          </cell>
          <cell r="G331">
            <v>0</v>
          </cell>
          <cell r="H331">
            <v>0</v>
          </cell>
        </row>
        <row r="332">
          <cell r="D332" t="str">
            <v>1/2" Round BAG Motor 9</v>
          </cell>
          <cell r="E332">
            <v>10</v>
          </cell>
          <cell r="F332">
            <v>10</v>
          </cell>
          <cell r="G332">
            <v>1</v>
          </cell>
          <cell r="H332">
            <v>0</v>
          </cell>
        </row>
        <row r="333">
          <cell r="D333" t="str">
            <v>1/2" Round BAG Motor 12</v>
          </cell>
          <cell r="E333">
            <v>10</v>
          </cell>
          <cell r="F333">
            <v>9</v>
          </cell>
          <cell r="G333">
            <v>1</v>
          </cell>
          <cell r="H333">
            <v>0</v>
          </cell>
        </row>
        <row r="334">
          <cell r="D334" t="str">
            <v>1/2" Round BAG Motor 15</v>
          </cell>
          <cell r="E334">
            <v>10</v>
          </cell>
          <cell r="F334">
            <v>7</v>
          </cell>
          <cell r="G334">
            <v>0</v>
          </cell>
          <cell r="H334">
            <v>0</v>
          </cell>
        </row>
        <row r="335">
          <cell r="D335" t="str">
            <v>1/2" Round BAG Motor 16</v>
          </cell>
          <cell r="E335">
            <v>10</v>
          </cell>
          <cell r="F335">
            <v>5</v>
          </cell>
          <cell r="G335">
            <v>0</v>
          </cell>
          <cell r="H335">
            <v>0</v>
          </cell>
        </row>
        <row r="336">
          <cell r="D336" t="str">
            <v>1/2" Round BAG Motor 20</v>
          </cell>
          <cell r="E336">
            <v>10</v>
          </cell>
          <cell r="F336">
            <v>5</v>
          </cell>
          <cell r="G336">
            <v>0</v>
          </cell>
          <cell r="H336">
            <v>0</v>
          </cell>
        </row>
        <row r="337">
          <cell r="D337" t="str">
            <v>1/2" Round BAG Motor 21</v>
          </cell>
          <cell r="E337">
            <v>10</v>
          </cell>
          <cell r="F337">
            <v>5</v>
          </cell>
          <cell r="G337">
            <v>0</v>
          </cell>
          <cell r="H337">
            <v>0</v>
          </cell>
        </row>
        <row r="338">
          <cell r="D338" t="str">
            <v>1/2" Round BAG Motor 25</v>
          </cell>
          <cell r="E338">
            <v>7</v>
          </cell>
          <cell r="F338">
            <v>5</v>
          </cell>
          <cell r="G338">
            <v>0</v>
          </cell>
          <cell r="H338">
            <v>0</v>
          </cell>
        </row>
        <row r="339">
          <cell r="D339" t="str">
            <v>1/2" Round BAG Motor 27</v>
          </cell>
          <cell r="E339">
            <v>7</v>
          </cell>
          <cell r="F339">
            <v>5</v>
          </cell>
          <cell r="G339">
            <v>0</v>
          </cell>
          <cell r="H339">
            <v>0</v>
          </cell>
        </row>
        <row r="340">
          <cell r="D340" t="str">
            <v>1/2" Round BAG Motor 28</v>
          </cell>
          <cell r="E340">
            <v>7</v>
          </cell>
          <cell r="F340">
            <v>5</v>
          </cell>
          <cell r="G340">
            <v>0</v>
          </cell>
          <cell r="H340">
            <v>0</v>
          </cell>
        </row>
        <row r="341">
          <cell r="D341" t="str">
            <v>1/2" Round BAG Motor 30</v>
          </cell>
          <cell r="E341">
            <v>7</v>
          </cell>
          <cell r="F341">
            <v>4</v>
          </cell>
          <cell r="G341">
            <v>0</v>
          </cell>
          <cell r="H341">
            <v>0</v>
          </cell>
        </row>
        <row r="342">
          <cell r="D342" t="str">
            <v>1/2" Round BAG Motor 35</v>
          </cell>
          <cell r="E342">
            <v>5</v>
          </cell>
          <cell r="F342">
            <v>4</v>
          </cell>
          <cell r="G342">
            <v>0</v>
          </cell>
          <cell r="H342">
            <v>0</v>
          </cell>
        </row>
        <row r="343">
          <cell r="D343" t="str">
            <v>1/2" Round BAG Motor 36</v>
          </cell>
          <cell r="E343">
            <v>5</v>
          </cell>
          <cell r="F343">
            <v>4</v>
          </cell>
          <cell r="G343">
            <v>0</v>
          </cell>
          <cell r="H343">
            <v>0</v>
          </cell>
        </row>
        <row r="344">
          <cell r="D344" t="str">
            <v>1/2" Round BAG Motor 40</v>
          </cell>
          <cell r="E344">
            <v>5</v>
          </cell>
          <cell r="F344">
            <v>3</v>
          </cell>
          <cell r="G344">
            <v>0</v>
          </cell>
          <cell r="H344">
            <v>0</v>
          </cell>
        </row>
        <row r="345">
          <cell r="D345" t="str">
            <v>1/2" Round BAG Motor 45</v>
          </cell>
          <cell r="E345">
            <v>5</v>
          </cell>
          <cell r="F345">
            <v>3</v>
          </cell>
          <cell r="G345">
            <v>0</v>
          </cell>
          <cell r="H345">
            <v>0</v>
          </cell>
        </row>
        <row r="346">
          <cell r="D346" t="str">
            <v>1/2" Round BAG Motor 49</v>
          </cell>
          <cell r="E346">
            <v>5</v>
          </cell>
          <cell r="F346">
            <v>1</v>
          </cell>
          <cell r="G346">
            <v>0</v>
          </cell>
          <cell r="H346">
            <v>0</v>
          </cell>
        </row>
        <row r="347">
          <cell r="D347" t="str">
            <v>1/2" Round BAG Motor 50</v>
          </cell>
          <cell r="E347">
            <v>5</v>
          </cell>
          <cell r="F347">
            <v>1</v>
          </cell>
          <cell r="G347">
            <v>0</v>
          </cell>
          <cell r="H347">
            <v>0</v>
          </cell>
        </row>
        <row r="348">
          <cell r="D348" t="str">
            <v>1/2" Round BAG Motor 63</v>
          </cell>
          <cell r="E348">
            <v>4</v>
          </cell>
          <cell r="F348">
            <v>1</v>
          </cell>
          <cell r="G348">
            <v>0</v>
          </cell>
          <cell r="H348">
            <v>0</v>
          </cell>
        </row>
        <row r="349">
          <cell r="D349" t="str">
            <v>1/2" Round BAG Motor 70</v>
          </cell>
          <cell r="E349">
            <v>4</v>
          </cell>
          <cell r="F349">
            <v>1</v>
          </cell>
          <cell r="G349">
            <v>0</v>
          </cell>
          <cell r="H349">
            <v>0</v>
          </cell>
        </row>
        <row r="350">
          <cell r="D350" t="str">
            <v>1/2" Round BAG Motor 81</v>
          </cell>
          <cell r="E350">
            <v>3</v>
          </cell>
          <cell r="F350">
            <v>1</v>
          </cell>
          <cell r="G350">
            <v>0</v>
          </cell>
          <cell r="H350">
            <v>0</v>
          </cell>
        </row>
        <row r="351">
          <cell r="D351" t="str">
            <v>1/2" Round BAG Motor 90</v>
          </cell>
          <cell r="E351">
            <v>3</v>
          </cell>
          <cell r="F351">
            <v>1</v>
          </cell>
          <cell r="G351">
            <v>0</v>
          </cell>
          <cell r="H351">
            <v>0</v>
          </cell>
        </row>
        <row r="352">
          <cell r="D352" t="str">
            <v>1/2" Round BAG Motor 100</v>
          </cell>
          <cell r="E352">
            <v>1</v>
          </cell>
          <cell r="F352">
            <v>1</v>
          </cell>
          <cell r="G352">
            <v>0</v>
          </cell>
          <cell r="H352">
            <v>0</v>
          </cell>
        </row>
        <row r="353">
          <cell r="D353" t="str">
            <v>1/2" Round 775pro -3</v>
          </cell>
          <cell r="E353">
            <v>1</v>
          </cell>
          <cell r="F353">
            <v>1</v>
          </cell>
          <cell r="G353">
            <v>1</v>
          </cell>
          <cell r="H353">
            <v>0</v>
          </cell>
        </row>
        <row r="354">
          <cell r="D354" t="str">
            <v>1/2" Round 775pro -4</v>
          </cell>
          <cell r="E354">
            <v>1</v>
          </cell>
          <cell r="F354">
            <v>1</v>
          </cell>
          <cell r="G354">
            <v>1</v>
          </cell>
          <cell r="H354">
            <v>0</v>
          </cell>
        </row>
        <row r="355">
          <cell r="D355" t="str">
            <v>1/2" Round 775pro -5</v>
          </cell>
          <cell r="E355">
            <v>1</v>
          </cell>
          <cell r="F355">
            <v>1</v>
          </cell>
          <cell r="G355">
            <v>1</v>
          </cell>
          <cell r="H355">
            <v>0</v>
          </cell>
        </row>
        <row r="356">
          <cell r="D356" t="str">
            <v>1/2" Round 775pro -7</v>
          </cell>
          <cell r="E356">
            <v>1</v>
          </cell>
          <cell r="F356">
            <v>1</v>
          </cell>
          <cell r="G356">
            <v>0</v>
          </cell>
          <cell r="H356">
            <v>0</v>
          </cell>
        </row>
        <row r="357">
          <cell r="D357" t="str">
            <v>1/2" Round 775pro -9</v>
          </cell>
          <cell r="E357">
            <v>1</v>
          </cell>
          <cell r="F357">
            <v>1</v>
          </cell>
          <cell r="G357">
            <v>0</v>
          </cell>
          <cell r="H357">
            <v>0</v>
          </cell>
        </row>
        <row r="358">
          <cell r="D358" t="str">
            <v>1/2" Round 775pro -10</v>
          </cell>
          <cell r="E358">
            <v>1</v>
          </cell>
          <cell r="F358">
            <v>1</v>
          </cell>
          <cell r="G358">
            <v>0</v>
          </cell>
          <cell r="H358">
            <v>0</v>
          </cell>
        </row>
        <row r="359">
          <cell r="D359" t="str">
            <v>1/2" Round 775pro 9</v>
          </cell>
          <cell r="E359">
            <v>10</v>
          </cell>
          <cell r="F359">
            <v>7</v>
          </cell>
          <cell r="G359">
            <v>0</v>
          </cell>
          <cell r="H359">
            <v>0</v>
          </cell>
        </row>
        <row r="360">
          <cell r="D360" t="str">
            <v>1/2" Round 775pro 12</v>
          </cell>
          <cell r="E360">
            <v>10</v>
          </cell>
          <cell r="F360">
            <v>5</v>
          </cell>
          <cell r="G360">
            <v>0</v>
          </cell>
          <cell r="H360">
            <v>0</v>
          </cell>
        </row>
        <row r="361">
          <cell r="D361" t="str">
            <v>1/2" Round 775pro 15</v>
          </cell>
          <cell r="E361">
            <v>9</v>
          </cell>
          <cell r="F361">
            <v>5</v>
          </cell>
          <cell r="G361">
            <v>0</v>
          </cell>
          <cell r="H361">
            <v>0</v>
          </cell>
        </row>
        <row r="362">
          <cell r="D362" t="str">
            <v>1/2" Round 775pro 16</v>
          </cell>
          <cell r="E362">
            <v>7</v>
          </cell>
          <cell r="F362">
            <v>5</v>
          </cell>
          <cell r="G362">
            <v>0</v>
          </cell>
          <cell r="H362">
            <v>0</v>
          </cell>
        </row>
        <row r="363">
          <cell r="D363" t="str">
            <v>1/2" Round 775pro 20</v>
          </cell>
          <cell r="E363">
            <v>5</v>
          </cell>
          <cell r="F363">
            <v>4</v>
          </cell>
          <cell r="G363">
            <v>0</v>
          </cell>
          <cell r="H363">
            <v>0</v>
          </cell>
        </row>
        <row r="364">
          <cell r="D364" t="str">
            <v>1/2" Round 775pro 21</v>
          </cell>
          <cell r="E364">
            <v>5</v>
          </cell>
          <cell r="F364">
            <v>4</v>
          </cell>
          <cell r="G364">
            <v>0</v>
          </cell>
          <cell r="H364">
            <v>0</v>
          </cell>
        </row>
        <row r="365">
          <cell r="D365" t="str">
            <v>1/2" Round 775pro 25</v>
          </cell>
          <cell r="E365">
            <v>5</v>
          </cell>
          <cell r="F365">
            <v>3</v>
          </cell>
          <cell r="G365">
            <v>0</v>
          </cell>
          <cell r="H365">
            <v>0</v>
          </cell>
        </row>
        <row r="366">
          <cell r="D366" t="str">
            <v>1/2" Round 775pro 27</v>
          </cell>
          <cell r="E366">
            <v>5</v>
          </cell>
          <cell r="F366">
            <v>3</v>
          </cell>
          <cell r="G366">
            <v>0</v>
          </cell>
          <cell r="H366">
            <v>0</v>
          </cell>
        </row>
        <row r="367">
          <cell r="D367" t="str">
            <v>1/2" Round 775pro 28</v>
          </cell>
          <cell r="E367">
            <v>5</v>
          </cell>
          <cell r="F367">
            <v>3</v>
          </cell>
          <cell r="G367">
            <v>0</v>
          </cell>
          <cell r="H367">
            <v>0</v>
          </cell>
        </row>
        <row r="368">
          <cell r="D368" t="str">
            <v>1/2" Round 775pro 30</v>
          </cell>
          <cell r="E368">
            <v>5</v>
          </cell>
          <cell r="F368">
            <v>3</v>
          </cell>
          <cell r="G368">
            <v>0</v>
          </cell>
          <cell r="H368">
            <v>0</v>
          </cell>
        </row>
        <row r="369">
          <cell r="D369" t="str">
            <v>1/2" Round 775pro 35</v>
          </cell>
          <cell r="E369">
            <v>5</v>
          </cell>
          <cell r="F369">
            <v>1</v>
          </cell>
          <cell r="G369">
            <v>0</v>
          </cell>
          <cell r="H369">
            <v>0</v>
          </cell>
        </row>
        <row r="370">
          <cell r="D370" t="str">
            <v>1/2" Round 775pro 36</v>
          </cell>
          <cell r="E370">
            <v>5</v>
          </cell>
          <cell r="F370">
            <v>1</v>
          </cell>
          <cell r="G370">
            <v>0</v>
          </cell>
          <cell r="H370">
            <v>0</v>
          </cell>
        </row>
        <row r="371">
          <cell r="D371" t="str">
            <v>1/2" Round 775pro 40</v>
          </cell>
          <cell r="E371">
            <v>4</v>
          </cell>
          <cell r="F371">
            <v>1</v>
          </cell>
          <cell r="G371">
            <v>0</v>
          </cell>
          <cell r="H371">
            <v>0</v>
          </cell>
        </row>
        <row r="372">
          <cell r="D372" t="str">
            <v>1/2" Round 775pro 45</v>
          </cell>
          <cell r="E372">
            <v>4</v>
          </cell>
          <cell r="F372">
            <v>1</v>
          </cell>
          <cell r="G372">
            <v>0</v>
          </cell>
          <cell r="H372">
            <v>0</v>
          </cell>
        </row>
        <row r="373">
          <cell r="D373" t="str">
            <v>1/2" Round 775pro 49</v>
          </cell>
          <cell r="E373">
            <v>3</v>
          </cell>
          <cell r="F373">
            <v>1</v>
          </cell>
          <cell r="G373">
            <v>0</v>
          </cell>
          <cell r="H373">
            <v>0</v>
          </cell>
        </row>
        <row r="374">
          <cell r="D374" t="str">
            <v>1/2" Round 775pro 50</v>
          </cell>
          <cell r="E374">
            <v>3</v>
          </cell>
          <cell r="F374">
            <v>1</v>
          </cell>
          <cell r="G374">
            <v>0</v>
          </cell>
          <cell r="H374">
            <v>0</v>
          </cell>
        </row>
        <row r="375">
          <cell r="D375" t="str">
            <v>1/2" Round 775pro 63</v>
          </cell>
          <cell r="E375">
            <v>1</v>
          </cell>
          <cell r="F375">
            <v>1</v>
          </cell>
          <cell r="G375">
            <v>0</v>
          </cell>
          <cell r="H375">
            <v>0</v>
          </cell>
        </row>
        <row r="376">
          <cell r="D376" t="str">
            <v>1/2" Round 775pro 70</v>
          </cell>
          <cell r="E376">
            <v>1</v>
          </cell>
          <cell r="F376">
            <v>0</v>
          </cell>
          <cell r="G376">
            <v>0</v>
          </cell>
          <cell r="H376">
            <v>0</v>
          </cell>
        </row>
        <row r="377">
          <cell r="D377" t="str">
            <v>1/2" Round 775pro 81</v>
          </cell>
          <cell r="E377">
            <v>1</v>
          </cell>
          <cell r="F377">
            <v>0</v>
          </cell>
          <cell r="G377">
            <v>0</v>
          </cell>
          <cell r="H377">
            <v>0</v>
          </cell>
        </row>
        <row r="378">
          <cell r="D378" t="str">
            <v>1/2" Round 775pro 90</v>
          </cell>
          <cell r="E378">
            <v>1</v>
          </cell>
          <cell r="F378">
            <v>0</v>
          </cell>
          <cell r="G378">
            <v>0</v>
          </cell>
          <cell r="H378">
            <v>0</v>
          </cell>
        </row>
        <row r="379">
          <cell r="D379" t="str">
            <v>1/2" Round 775pro 100</v>
          </cell>
          <cell r="E379">
            <v>1</v>
          </cell>
          <cell r="F379">
            <v>0</v>
          </cell>
          <cell r="G379">
            <v>0</v>
          </cell>
          <cell r="H379">
            <v>0</v>
          </cell>
        </row>
        <row r="380">
          <cell r="D380" t="str">
            <v>1/2" Round Mini CIM -3</v>
          </cell>
          <cell r="E380">
            <v>1</v>
          </cell>
          <cell r="I380">
            <v>0</v>
          </cell>
        </row>
        <row r="381">
          <cell r="D381" t="str">
            <v>1/2" Round Mini CIM -4</v>
          </cell>
          <cell r="E381">
            <v>1</v>
          </cell>
          <cell r="I381">
            <v>0</v>
          </cell>
        </row>
        <row r="382">
          <cell r="D382" t="str">
            <v>1/2" Round Mini CIM -5</v>
          </cell>
          <cell r="E382">
            <v>1</v>
          </cell>
          <cell r="I382">
            <v>0</v>
          </cell>
        </row>
        <row r="383">
          <cell r="D383" t="str">
            <v>1/2" Round Mini CIM -7</v>
          </cell>
          <cell r="E383">
            <v>1</v>
          </cell>
          <cell r="I383">
            <v>0</v>
          </cell>
        </row>
        <row r="384">
          <cell r="D384" t="str">
            <v>1/2" Round Mini CIM -9</v>
          </cell>
          <cell r="E384">
            <v>1</v>
          </cell>
          <cell r="I384">
            <v>0</v>
          </cell>
        </row>
        <row r="385">
          <cell r="D385" t="str">
            <v>1/2" Round Mini CIM -10</v>
          </cell>
          <cell r="E385">
            <v>1</v>
          </cell>
          <cell r="I385">
            <v>0</v>
          </cell>
        </row>
        <row r="386">
          <cell r="D386" t="str">
            <v>1/2" Round Mini CIM 9</v>
          </cell>
          <cell r="E386">
            <v>7</v>
          </cell>
          <cell r="I386">
            <v>0</v>
          </cell>
        </row>
        <row r="387">
          <cell r="D387" t="str">
            <v>1/2" Round Mini CIM 12</v>
          </cell>
          <cell r="E387">
            <v>5</v>
          </cell>
          <cell r="I387">
            <v>0</v>
          </cell>
        </row>
        <row r="388">
          <cell r="D388" t="str">
            <v>1/2" Round Mini CIM 15</v>
          </cell>
          <cell r="E388">
            <v>5</v>
          </cell>
          <cell r="I388">
            <v>0</v>
          </cell>
        </row>
        <row r="389">
          <cell r="D389" t="str">
            <v>1/2" Round Mini CIM 16</v>
          </cell>
          <cell r="E389">
            <v>5</v>
          </cell>
          <cell r="I389">
            <v>0</v>
          </cell>
        </row>
        <row r="390">
          <cell r="D390" t="str">
            <v>1/2" Round Mini CIM 20</v>
          </cell>
          <cell r="E390">
            <v>4</v>
          </cell>
          <cell r="I390">
            <v>0</v>
          </cell>
        </row>
        <row r="391">
          <cell r="D391" t="str">
            <v>1/2" Round Mini CIM 21</v>
          </cell>
          <cell r="E391">
            <v>4</v>
          </cell>
          <cell r="I391">
            <v>0</v>
          </cell>
        </row>
        <row r="392">
          <cell r="D392" t="str">
            <v>1/2" Round Mini CIM 25</v>
          </cell>
          <cell r="E392">
            <v>3</v>
          </cell>
          <cell r="I392">
            <v>0</v>
          </cell>
        </row>
        <row r="393">
          <cell r="D393" t="str">
            <v>1/2" Round Mini CIM 27</v>
          </cell>
          <cell r="E393">
            <v>3</v>
          </cell>
          <cell r="I393">
            <v>0</v>
          </cell>
        </row>
        <row r="394">
          <cell r="D394" t="str">
            <v>1/2" Round Mini CIM 28</v>
          </cell>
          <cell r="E394">
            <v>3</v>
          </cell>
          <cell r="I394">
            <v>0</v>
          </cell>
        </row>
        <row r="395">
          <cell r="D395" t="str">
            <v>1/2" Round Mini CIM 30</v>
          </cell>
          <cell r="E395">
            <v>1</v>
          </cell>
          <cell r="I395">
            <v>0</v>
          </cell>
        </row>
        <row r="396">
          <cell r="D396" t="str">
            <v>1/2" Round Mini CIM 35</v>
          </cell>
          <cell r="E396">
            <v>1</v>
          </cell>
          <cell r="I396">
            <v>0</v>
          </cell>
        </row>
        <row r="397">
          <cell r="D397" t="str">
            <v>1/2" Round Mini CIM 36</v>
          </cell>
          <cell r="E397">
            <v>1</v>
          </cell>
          <cell r="I397">
            <v>0</v>
          </cell>
        </row>
        <row r="398">
          <cell r="D398" t="str">
            <v>1/2" Round Mini CIM 40</v>
          </cell>
          <cell r="E398">
            <v>1</v>
          </cell>
          <cell r="I398">
            <v>0</v>
          </cell>
        </row>
        <row r="399">
          <cell r="D399" t="str">
            <v>1/2" Round Mini CIM 45</v>
          </cell>
          <cell r="E399">
            <v>1</v>
          </cell>
          <cell r="I399">
            <v>0</v>
          </cell>
        </row>
        <row r="400">
          <cell r="D400" t="str">
            <v>1/2" Round Mini CIM 49</v>
          </cell>
          <cell r="E400">
            <v>1</v>
          </cell>
          <cell r="I400">
            <v>0</v>
          </cell>
        </row>
        <row r="401">
          <cell r="D401" t="str">
            <v>1/2" Round Mini CIM 50</v>
          </cell>
          <cell r="E401">
            <v>1</v>
          </cell>
          <cell r="I401">
            <v>0</v>
          </cell>
        </row>
        <row r="402">
          <cell r="D402" t="str">
            <v>1/2" Round Mini CIM 63</v>
          </cell>
          <cell r="E402">
            <v>1</v>
          </cell>
          <cell r="I402">
            <v>0</v>
          </cell>
        </row>
        <row r="403">
          <cell r="D403" t="str">
            <v>1/2" Round Mini CIM 70</v>
          </cell>
          <cell r="E403">
            <v>0</v>
          </cell>
          <cell r="I403">
            <v>0</v>
          </cell>
        </row>
        <row r="404">
          <cell r="D404" t="str">
            <v>1/2" Round Mini CIM 81</v>
          </cell>
          <cell r="E404">
            <v>0</v>
          </cell>
          <cell r="I404">
            <v>0</v>
          </cell>
        </row>
        <row r="405">
          <cell r="D405" t="str">
            <v>1/2" Round Mini CIM 90</v>
          </cell>
          <cell r="E405">
            <v>0</v>
          </cell>
          <cell r="I405">
            <v>0</v>
          </cell>
        </row>
        <row r="406">
          <cell r="D406" t="str">
            <v>1/2" Round Mini CIM 100</v>
          </cell>
          <cell r="E406">
            <v>0</v>
          </cell>
          <cell r="I406">
            <v>0</v>
          </cell>
        </row>
        <row r="407">
          <cell r="D407" t="str">
            <v>1/2" Round CIM -3</v>
          </cell>
          <cell r="E407">
            <v>1</v>
          </cell>
          <cell r="I407">
            <v>0</v>
          </cell>
        </row>
        <row r="408">
          <cell r="D408" t="str">
            <v>1/2" Round CIM -4</v>
          </cell>
          <cell r="E408">
            <v>1</v>
          </cell>
          <cell r="I408">
            <v>0</v>
          </cell>
        </row>
        <row r="409">
          <cell r="D409" t="str">
            <v>1/2" Round CIM -5</v>
          </cell>
          <cell r="E409">
            <v>1</v>
          </cell>
          <cell r="I409">
            <v>0</v>
          </cell>
        </row>
        <row r="410">
          <cell r="D410" t="str">
            <v>1/2" Round CIM -7</v>
          </cell>
          <cell r="E410">
            <v>1</v>
          </cell>
          <cell r="I410">
            <v>0</v>
          </cell>
        </row>
        <row r="411">
          <cell r="D411" t="str">
            <v>1/2" Round CIM -9</v>
          </cell>
          <cell r="E411">
            <v>1</v>
          </cell>
          <cell r="I411">
            <v>0</v>
          </cell>
        </row>
        <row r="412">
          <cell r="D412" t="str">
            <v>1/2" Round CIM -10</v>
          </cell>
          <cell r="E412">
            <v>1</v>
          </cell>
          <cell r="I412">
            <v>0</v>
          </cell>
        </row>
        <row r="413">
          <cell r="D413" t="str">
            <v>1/2" Round CIM 9</v>
          </cell>
          <cell r="E413">
            <v>5</v>
          </cell>
          <cell r="I413">
            <v>0</v>
          </cell>
        </row>
        <row r="414">
          <cell r="D414" t="str">
            <v>1/2" Round CIM 12</v>
          </cell>
          <cell r="E414">
            <v>4</v>
          </cell>
          <cell r="I414">
            <v>0</v>
          </cell>
        </row>
        <row r="415">
          <cell r="D415" t="str">
            <v>1/2" Round CIM 15</v>
          </cell>
          <cell r="E415">
            <v>3</v>
          </cell>
          <cell r="I415">
            <v>0</v>
          </cell>
        </row>
        <row r="416">
          <cell r="D416" t="str">
            <v>1/2" Round CIM 16</v>
          </cell>
          <cell r="E416">
            <v>3</v>
          </cell>
          <cell r="I416">
            <v>0</v>
          </cell>
        </row>
        <row r="417">
          <cell r="D417" t="str">
            <v>1/2" Round CIM 20</v>
          </cell>
          <cell r="E417">
            <v>1</v>
          </cell>
          <cell r="I417">
            <v>0</v>
          </cell>
        </row>
        <row r="418">
          <cell r="D418" t="str">
            <v>1/2" Round CIM 21</v>
          </cell>
          <cell r="E418">
            <v>1</v>
          </cell>
          <cell r="I418">
            <v>0</v>
          </cell>
        </row>
        <row r="419">
          <cell r="D419" t="str">
            <v>1/2" Round CIM 25</v>
          </cell>
          <cell r="E419">
            <v>1</v>
          </cell>
          <cell r="I419">
            <v>0</v>
          </cell>
        </row>
        <row r="420">
          <cell r="D420" t="str">
            <v>1/2" Round CIM 27</v>
          </cell>
          <cell r="E420">
            <v>1</v>
          </cell>
          <cell r="I420">
            <v>0</v>
          </cell>
        </row>
        <row r="421">
          <cell r="D421" t="str">
            <v>1/2" Round CIM 28</v>
          </cell>
          <cell r="E421">
            <v>1</v>
          </cell>
          <cell r="I421">
            <v>0</v>
          </cell>
        </row>
        <row r="422">
          <cell r="D422" t="str">
            <v>1/2" Round CIM 30</v>
          </cell>
          <cell r="E422">
            <v>1</v>
          </cell>
          <cell r="I422">
            <v>0</v>
          </cell>
        </row>
        <row r="423">
          <cell r="D423" t="str">
            <v>1/2" Round CIM 35</v>
          </cell>
          <cell r="E423">
            <v>1</v>
          </cell>
          <cell r="I423">
            <v>0</v>
          </cell>
        </row>
        <row r="424">
          <cell r="D424" t="str">
            <v>1/2" Round CIM 36</v>
          </cell>
          <cell r="E424">
            <v>1</v>
          </cell>
          <cell r="I424">
            <v>0</v>
          </cell>
        </row>
        <row r="425">
          <cell r="D425" t="str">
            <v>1/2" Round CIM 40</v>
          </cell>
          <cell r="E425">
            <v>1</v>
          </cell>
          <cell r="I425">
            <v>0</v>
          </cell>
        </row>
        <row r="426">
          <cell r="D426" t="str">
            <v>1/2" Round CIM 45</v>
          </cell>
          <cell r="E426">
            <v>1</v>
          </cell>
          <cell r="I426">
            <v>0</v>
          </cell>
        </row>
        <row r="427">
          <cell r="D427" t="str">
            <v>1/2" Round CIM 49</v>
          </cell>
          <cell r="E427">
            <v>0</v>
          </cell>
          <cell r="I427">
            <v>0</v>
          </cell>
        </row>
        <row r="428">
          <cell r="D428" t="str">
            <v>1/2" Round CIM 50</v>
          </cell>
          <cell r="E428">
            <v>1</v>
          </cell>
          <cell r="I428">
            <v>0</v>
          </cell>
        </row>
        <row r="429">
          <cell r="D429" t="str">
            <v>1/2" Round CIM 63</v>
          </cell>
          <cell r="E429">
            <v>0</v>
          </cell>
          <cell r="I429">
            <v>0</v>
          </cell>
        </row>
        <row r="430">
          <cell r="D430" t="str">
            <v>1/2" Round CIM 70</v>
          </cell>
          <cell r="E430">
            <v>0</v>
          </cell>
          <cell r="I430">
            <v>0</v>
          </cell>
        </row>
        <row r="431">
          <cell r="D431" t="str">
            <v>1/2" Round CIM 81</v>
          </cell>
          <cell r="E431">
            <v>0</v>
          </cell>
          <cell r="I431">
            <v>0</v>
          </cell>
        </row>
        <row r="432">
          <cell r="D432" t="str">
            <v>1/2" Round CIM 90</v>
          </cell>
          <cell r="E432">
            <v>0</v>
          </cell>
          <cell r="I432">
            <v>0</v>
          </cell>
        </row>
        <row r="433">
          <cell r="D433" t="str">
            <v>1/2" Round CIM 100</v>
          </cell>
          <cell r="E433">
            <v>0</v>
          </cell>
          <cell r="I433">
            <v>0</v>
          </cell>
        </row>
        <row r="434">
          <cell r="D434" t="str">
            <v>1/2" Round NEO -3</v>
          </cell>
          <cell r="E434">
            <v>1</v>
          </cell>
          <cell r="I434">
            <v>0</v>
          </cell>
        </row>
        <row r="435">
          <cell r="D435" t="str">
            <v>1/2" Round NEO -4</v>
          </cell>
          <cell r="E435">
            <v>1</v>
          </cell>
          <cell r="I435">
            <v>0</v>
          </cell>
        </row>
        <row r="436">
          <cell r="D436" t="str">
            <v>1/2" Round NEO -5</v>
          </cell>
          <cell r="E436">
            <v>1</v>
          </cell>
          <cell r="I436">
            <v>0</v>
          </cell>
        </row>
        <row r="437">
          <cell r="D437" t="str">
            <v>1/2" Round NEO -7</v>
          </cell>
          <cell r="E437">
            <v>1</v>
          </cell>
          <cell r="I437">
            <v>0</v>
          </cell>
        </row>
        <row r="438">
          <cell r="D438" t="str">
            <v>1/2" Round NEO -9</v>
          </cell>
          <cell r="E438">
            <v>1</v>
          </cell>
          <cell r="I438">
            <v>0</v>
          </cell>
        </row>
        <row r="439">
          <cell r="D439" t="str">
            <v>1/2" Round NEO -10</v>
          </cell>
          <cell r="E439">
            <v>1</v>
          </cell>
          <cell r="I439">
            <v>0</v>
          </cell>
        </row>
        <row r="440">
          <cell r="D440" t="str">
            <v>1/2" Round NEO 9</v>
          </cell>
          <cell r="E440">
            <v>4</v>
          </cell>
          <cell r="I440">
            <v>0</v>
          </cell>
        </row>
        <row r="441">
          <cell r="D441" t="str">
            <v>1/2" Round NEO 12</v>
          </cell>
          <cell r="E441">
            <v>3</v>
          </cell>
          <cell r="I441">
            <v>0</v>
          </cell>
        </row>
        <row r="442">
          <cell r="D442" t="str">
            <v>1/2" Round NEO 15</v>
          </cell>
          <cell r="E442">
            <v>1</v>
          </cell>
          <cell r="I442">
            <v>0</v>
          </cell>
        </row>
        <row r="443">
          <cell r="D443" t="str">
            <v>1/2" Round NEO 16</v>
          </cell>
          <cell r="E443">
            <v>1</v>
          </cell>
          <cell r="I443">
            <v>0</v>
          </cell>
        </row>
        <row r="444">
          <cell r="D444" t="str">
            <v>1/2" Round NEO 20</v>
          </cell>
          <cell r="E444">
            <v>1</v>
          </cell>
          <cell r="I444">
            <v>0</v>
          </cell>
        </row>
        <row r="445">
          <cell r="D445" t="str">
            <v>1/2" Round NEO 21</v>
          </cell>
          <cell r="E445">
            <v>1</v>
          </cell>
          <cell r="I445">
            <v>0</v>
          </cell>
        </row>
        <row r="446">
          <cell r="D446" t="str">
            <v>1/2" Round NEO 25</v>
          </cell>
          <cell r="E446">
            <v>1</v>
          </cell>
          <cell r="I446">
            <v>0</v>
          </cell>
        </row>
        <row r="447">
          <cell r="D447" t="str">
            <v>1/2" Round NEO 27</v>
          </cell>
          <cell r="E447">
            <v>1</v>
          </cell>
          <cell r="I447">
            <v>0</v>
          </cell>
        </row>
        <row r="448">
          <cell r="D448" t="str">
            <v>1/2" Round NEO 28</v>
          </cell>
          <cell r="E448">
            <v>1</v>
          </cell>
          <cell r="I448">
            <v>0</v>
          </cell>
        </row>
        <row r="449">
          <cell r="D449" t="str">
            <v>1/2" Round NEO 30</v>
          </cell>
          <cell r="E449">
            <v>1</v>
          </cell>
          <cell r="I449">
            <v>0</v>
          </cell>
        </row>
        <row r="450">
          <cell r="D450" t="str">
            <v>1/2" Round NEO 35</v>
          </cell>
          <cell r="E450">
            <v>1</v>
          </cell>
          <cell r="I450">
            <v>0</v>
          </cell>
        </row>
        <row r="451">
          <cell r="D451" t="str">
            <v>1/2" Round NEO 36</v>
          </cell>
          <cell r="E451">
            <v>1</v>
          </cell>
          <cell r="I451">
            <v>0</v>
          </cell>
        </row>
        <row r="452">
          <cell r="D452" t="str">
            <v>1/2" Round NEO 40</v>
          </cell>
          <cell r="E452">
            <v>0</v>
          </cell>
          <cell r="I452">
            <v>0</v>
          </cell>
        </row>
        <row r="453">
          <cell r="D453" t="str">
            <v>1/2" Round NEO 45</v>
          </cell>
          <cell r="E453">
            <v>0</v>
          </cell>
          <cell r="I453">
            <v>0</v>
          </cell>
        </row>
        <row r="454">
          <cell r="D454" t="str">
            <v>1/2" Round NEO 49</v>
          </cell>
          <cell r="E454">
            <v>0</v>
          </cell>
          <cell r="I454">
            <v>0</v>
          </cell>
        </row>
        <row r="455">
          <cell r="D455" t="str">
            <v>1/2" Round NEO 50</v>
          </cell>
          <cell r="E455">
            <v>0</v>
          </cell>
          <cell r="I455">
            <v>0</v>
          </cell>
        </row>
        <row r="456">
          <cell r="D456" t="str">
            <v>1/2" Round NEO 63</v>
          </cell>
          <cell r="E456">
            <v>0</v>
          </cell>
          <cell r="I456">
            <v>0</v>
          </cell>
        </row>
        <row r="457">
          <cell r="D457" t="str">
            <v>1/2" Round NEO 70</v>
          </cell>
          <cell r="E457">
            <v>0</v>
          </cell>
          <cell r="I457">
            <v>0</v>
          </cell>
        </row>
        <row r="458">
          <cell r="D458" t="str">
            <v>1/2" Round NEO 81</v>
          </cell>
          <cell r="E458">
            <v>0</v>
          </cell>
          <cell r="I458">
            <v>0</v>
          </cell>
        </row>
        <row r="459">
          <cell r="D459" t="str">
            <v>1/2" Round NEO 90</v>
          </cell>
          <cell r="E459">
            <v>0</v>
          </cell>
          <cell r="I459">
            <v>0</v>
          </cell>
        </row>
        <row r="460">
          <cell r="D460" t="str">
            <v>1/2" Round NEO 100</v>
          </cell>
          <cell r="E460">
            <v>0</v>
          </cell>
          <cell r="I460">
            <v>0</v>
          </cell>
        </row>
        <row r="461">
          <cell r="D461" t="str">
            <v>1/2" Round Falcon 500 -3</v>
          </cell>
          <cell r="E461">
            <v>1</v>
          </cell>
          <cell r="I461">
            <v>0</v>
          </cell>
        </row>
        <row r="462">
          <cell r="D462" t="str">
            <v>1/2" Round Falcon 500 -4</v>
          </cell>
          <cell r="E462">
            <v>1</v>
          </cell>
          <cell r="I462">
            <v>0</v>
          </cell>
        </row>
        <row r="463">
          <cell r="D463" t="str">
            <v>1/2" Round Falcon 500 -5</v>
          </cell>
          <cell r="E463">
            <v>1</v>
          </cell>
          <cell r="I463">
            <v>0</v>
          </cell>
        </row>
        <row r="464">
          <cell r="D464" t="str">
            <v>1/2" Round Falcon 500 -7</v>
          </cell>
          <cell r="E464">
            <v>1</v>
          </cell>
          <cell r="I464">
            <v>0</v>
          </cell>
        </row>
        <row r="465">
          <cell r="D465" t="str">
            <v>1/2" Round Falcon 500 -9</v>
          </cell>
          <cell r="E465">
            <v>1</v>
          </cell>
          <cell r="I465">
            <v>0</v>
          </cell>
        </row>
        <row r="466">
          <cell r="D466" t="str">
            <v>1/2" Round Falcon 500 -10</v>
          </cell>
          <cell r="E466">
            <v>1</v>
          </cell>
          <cell r="I466">
            <v>0</v>
          </cell>
        </row>
        <row r="467">
          <cell r="D467" t="str">
            <v>1/2" Round Falcon 500 9</v>
          </cell>
          <cell r="E467">
            <v>3</v>
          </cell>
          <cell r="I467">
            <v>0</v>
          </cell>
        </row>
        <row r="468">
          <cell r="D468" t="str">
            <v>1/2" Round Falcon 500 12</v>
          </cell>
          <cell r="E468">
            <v>1</v>
          </cell>
          <cell r="I468">
            <v>0</v>
          </cell>
        </row>
        <row r="469">
          <cell r="D469" t="str">
            <v>1/2" Round Falcon 500 15</v>
          </cell>
          <cell r="E469">
            <v>1</v>
          </cell>
          <cell r="I469">
            <v>0</v>
          </cell>
        </row>
        <row r="470">
          <cell r="D470" t="str">
            <v>1/2" Round Falcon 500 16</v>
          </cell>
          <cell r="E470">
            <v>1</v>
          </cell>
          <cell r="I470">
            <v>0</v>
          </cell>
        </row>
        <row r="471">
          <cell r="D471" t="str">
            <v>1/2" Round Falcon 500 20</v>
          </cell>
          <cell r="E471">
            <v>1</v>
          </cell>
          <cell r="I471">
            <v>0</v>
          </cell>
        </row>
        <row r="472">
          <cell r="D472" t="str">
            <v>1/2" Round Falcon 500 21</v>
          </cell>
          <cell r="E472">
            <v>1</v>
          </cell>
          <cell r="I472">
            <v>0</v>
          </cell>
        </row>
        <row r="473">
          <cell r="D473" t="str">
            <v>1/2" Round Falcon 500 25</v>
          </cell>
          <cell r="E473">
            <v>1</v>
          </cell>
          <cell r="I473">
            <v>0</v>
          </cell>
        </row>
        <row r="474">
          <cell r="D474" t="str">
            <v>1/2" Round Falcon 500 27</v>
          </cell>
          <cell r="E474">
            <v>1</v>
          </cell>
          <cell r="I474">
            <v>0</v>
          </cell>
        </row>
        <row r="475">
          <cell r="D475" t="str">
            <v>1/2" Round Falcon 500 28</v>
          </cell>
          <cell r="E475">
            <v>0</v>
          </cell>
          <cell r="I475">
            <v>0</v>
          </cell>
        </row>
        <row r="476">
          <cell r="D476" t="str">
            <v>1/2" Round Falcon 500 30</v>
          </cell>
          <cell r="E476">
            <v>0</v>
          </cell>
          <cell r="I476">
            <v>0</v>
          </cell>
        </row>
        <row r="477">
          <cell r="D477" t="str">
            <v>1/2" Round Falcon 500 35</v>
          </cell>
          <cell r="E477">
            <v>0</v>
          </cell>
          <cell r="I477">
            <v>0</v>
          </cell>
        </row>
        <row r="478">
          <cell r="D478" t="str">
            <v>1/2" Round Falcon 500 36</v>
          </cell>
          <cell r="E478">
            <v>0</v>
          </cell>
          <cell r="I478">
            <v>0</v>
          </cell>
        </row>
        <row r="479">
          <cell r="D479" t="str">
            <v>1/2" Round Falcon 500 40</v>
          </cell>
          <cell r="E479">
            <v>0</v>
          </cell>
          <cell r="I479">
            <v>0</v>
          </cell>
        </row>
        <row r="480">
          <cell r="D480" t="str">
            <v>1/2" Round Falcon 500 45</v>
          </cell>
          <cell r="E480">
            <v>0</v>
          </cell>
          <cell r="I480">
            <v>0</v>
          </cell>
        </row>
        <row r="481">
          <cell r="D481" t="str">
            <v>1/2" Round Falcon 500 49</v>
          </cell>
          <cell r="E481">
            <v>0</v>
          </cell>
          <cell r="I481">
            <v>0</v>
          </cell>
        </row>
        <row r="482">
          <cell r="D482" t="str">
            <v>1/2" Round Falcon 500 50</v>
          </cell>
          <cell r="E482">
            <v>0</v>
          </cell>
          <cell r="I482">
            <v>0</v>
          </cell>
        </row>
        <row r="483">
          <cell r="D483" t="str">
            <v>1/2" Round Falcon 500 63</v>
          </cell>
          <cell r="E483">
            <v>0</v>
          </cell>
          <cell r="I483">
            <v>0</v>
          </cell>
        </row>
        <row r="484">
          <cell r="D484" t="str">
            <v>1/2" Round Falcon 500 70</v>
          </cell>
          <cell r="E484">
            <v>0</v>
          </cell>
          <cell r="I484">
            <v>0</v>
          </cell>
        </row>
        <row r="485">
          <cell r="D485" t="str">
            <v>1/2" Round Falcon 500 81</v>
          </cell>
          <cell r="E485">
            <v>0</v>
          </cell>
          <cell r="I485">
            <v>0</v>
          </cell>
        </row>
        <row r="486">
          <cell r="D486" t="str">
            <v>1/2" Round Falcon 500 90</v>
          </cell>
          <cell r="E486">
            <v>0</v>
          </cell>
          <cell r="I486">
            <v>0</v>
          </cell>
        </row>
        <row r="487">
          <cell r="D487" t="str">
            <v>1/2" Round Falcon 500 100</v>
          </cell>
          <cell r="E487">
            <v>0</v>
          </cell>
          <cell r="I487">
            <v>0</v>
          </cell>
        </row>
        <row r="488">
          <cell r="D488" t="str">
            <v>3/8" Hex AM 9015 -3</v>
          </cell>
          <cell r="E488">
            <v>1</v>
          </cell>
        </row>
        <row r="489">
          <cell r="D489" t="str">
            <v>3/8" Hex AM 9015 -4</v>
          </cell>
          <cell r="E489">
            <v>1</v>
          </cell>
        </row>
        <row r="490">
          <cell r="D490" t="str">
            <v>3/8" Hex AM 9015 -5</v>
          </cell>
          <cell r="E490">
            <v>1</v>
          </cell>
        </row>
        <row r="491">
          <cell r="D491" t="str">
            <v>3/8" Hex AM 9015 -7</v>
          </cell>
          <cell r="E491">
            <v>1</v>
          </cell>
        </row>
        <row r="492">
          <cell r="D492" t="str">
            <v>3/8" Hex AM 9015 -9</v>
          </cell>
          <cell r="E492">
            <v>1</v>
          </cell>
        </row>
        <row r="493">
          <cell r="D493" t="str">
            <v>3/8" Hex AM 9015 -10</v>
          </cell>
          <cell r="E493">
            <v>1</v>
          </cell>
        </row>
        <row r="494">
          <cell r="D494" t="str">
            <v>3/8" Hex AM 9015 9</v>
          </cell>
          <cell r="E494">
            <v>10</v>
          </cell>
        </row>
        <row r="495">
          <cell r="D495" t="str">
            <v>3/8" Hex AM 9015 12</v>
          </cell>
          <cell r="E495">
            <v>10</v>
          </cell>
        </row>
        <row r="496">
          <cell r="D496" t="str">
            <v>3/8" Hex AM 9015 15</v>
          </cell>
          <cell r="E496">
            <v>7</v>
          </cell>
        </row>
        <row r="497">
          <cell r="D497" t="str">
            <v>3/8" Hex AM 9015 16</v>
          </cell>
          <cell r="E497">
            <v>7</v>
          </cell>
        </row>
        <row r="498">
          <cell r="D498" t="str">
            <v>3/8" Hex AM 9015 20</v>
          </cell>
          <cell r="E498">
            <v>5</v>
          </cell>
        </row>
        <row r="499">
          <cell r="D499" t="str">
            <v>3/8" Hex AM 9015 21</v>
          </cell>
          <cell r="E499">
            <v>5</v>
          </cell>
        </row>
        <row r="500">
          <cell r="D500" t="str">
            <v>3/8" Hex AM 9015 25</v>
          </cell>
          <cell r="E500">
            <v>5</v>
          </cell>
        </row>
        <row r="501">
          <cell r="D501" t="str">
            <v>3/8" Hex AM 9015 27</v>
          </cell>
          <cell r="E501">
            <v>4</v>
          </cell>
        </row>
        <row r="502">
          <cell r="D502" t="str">
            <v>3/8" Hex AM 9015 28</v>
          </cell>
          <cell r="E502">
            <v>4</v>
          </cell>
        </row>
        <row r="503">
          <cell r="D503" t="str">
            <v>3/8" Hex AM 9015 30</v>
          </cell>
          <cell r="E503">
            <v>4</v>
          </cell>
        </row>
        <row r="504">
          <cell r="D504" t="str">
            <v>3/8" Hex AM 9015 35</v>
          </cell>
          <cell r="E504">
            <v>3</v>
          </cell>
        </row>
        <row r="505">
          <cell r="D505" t="str">
            <v>3/8" Hex AM 9015 36</v>
          </cell>
          <cell r="E505">
            <v>3</v>
          </cell>
        </row>
        <row r="506">
          <cell r="D506" t="str">
            <v>3/8" Hex AM 9015 40</v>
          </cell>
          <cell r="E506">
            <v>3</v>
          </cell>
        </row>
        <row r="507">
          <cell r="D507" t="str">
            <v>3/8" Hex AM 9015 45</v>
          </cell>
          <cell r="E507">
            <v>1</v>
          </cell>
        </row>
        <row r="508">
          <cell r="D508" t="str">
            <v>3/8" Hex AM 9015 49</v>
          </cell>
          <cell r="E508">
            <v>1</v>
          </cell>
        </row>
        <row r="509">
          <cell r="D509" t="str">
            <v>3/8" Hex AM 9015 50</v>
          </cell>
          <cell r="E509">
            <v>1</v>
          </cell>
        </row>
        <row r="510">
          <cell r="D510" t="str">
            <v>3/8" Hex AM 9015 63</v>
          </cell>
          <cell r="E510">
            <v>1</v>
          </cell>
        </row>
        <row r="511">
          <cell r="D511" t="str">
            <v>3/8" Hex AM 9015 70</v>
          </cell>
          <cell r="E511">
            <v>1</v>
          </cell>
        </row>
        <row r="512">
          <cell r="D512" t="str">
            <v>3/8" Hex AM 9015 81</v>
          </cell>
          <cell r="E512">
            <v>1</v>
          </cell>
        </row>
        <row r="513">
          <cell r="D513" t="str">
            <v>3/8" Hex AM 9015 90</v>
          </cell>
          <cell r="E513">
            <v>1</v>
          </cell>
        </row>
        <row r="514">
          <cell r="D514" t="str">
            <v>3/8" Hex AM 9015 100</v>
          </cell>
          <cell r="E514">
            <v>1</v>
          </cell>
        </row>
        <row r="515">
          <cell r="D515" t="str">
            <v>3/8" Hex BB RS-550 -3</v>
          </cell>
          <cell r="E515">
            <v>1</v>
          </cell>
          <cell r="F515">
            <v>1</v>
          </cell>
          <cell r="G515">
            <v>1</v>
          </cell>
          <cell r="H515">
            <v>1</v>
          </cell>
        </row>
        <row r="516">
          <cell r="D516" t="str">
            <v>3/8" Hex BB RS-550 -4</v>
          </cell>
          <cell r="E516">
            <v>1</v>
          </cell>
          <cell r="F516">
            <v>1</v>
          </cell>
          <cell r="G516">
            <v>1</v>
          </cell>
          <cell r="H516">
            <v>1</v>
          </cell>
        </row>
        <row r="517">
          <cell r="D517" t="str">
            <v>3/8" Hex BB RS-550 -5</v>
          </cell>
          <cell r="E517">
            <v>1</v>
          </cell>
          <cell r="F517">
            <v>1</v>
          </cell>
          <cell r="G517">
            <v>0</v>
          </cell>
          <cell r="H517">
            <v>1</v>
          </cell>
        </row>
        <row r="518">
          <cell r="D518" t="str">
            <v>3/8" Hex BB RS-550 -7</v>
          </cell>
          <cell r="E518">
            <v>1</v>
          </cell>
          <cell r="F518">
            <v>1</v>
          </cell>
          <cell r="G518">
            <v>0</v>
          </cell>
          <cell r="H518">
            <v>0</v>
          </cell>
        </row>
        <row r="519">
          <cell r="D519" t="str">
            <v>3/8" Hex BB RS-550 -9</v>
          </cell>
          <cell r="E519">
            <v>1</v>
          </cell>
          <cell r="F519">
            <v>1</v>
          </cell>
          <cell r="G519">
            <v>0</v>
          </cell>
          <cell r="H519">
            <v>0</v>
          </cell>
        </row>
        <row r="520">
          <cell r="D520" t="str">
            <v>3/8" Hex BB RS-550 -10</v>
          </cell>
          <cell r="E520">
            <v>1</v>
          </cell>
          <cell r="F520">
            <v>1</v>
          </cell>
          <cell r="G520">
            <v>0</v>
          </cell>
          <cell r="H520">
            <v>0</v>
          </cell>
        </row>
        <row r="521">
          <cell r="D521" t="str">
            <v>3/8" Hex BB RS-550 9</v>
          </cell>
          <cell r="E521">
            <v>10</v>
          </cell>
          <cell r="F521">
            <v>5</v>
          </cell>
          <cell r="G521">
            <v>0</v>
          </cell>
          <cell r="H521">
            <v>0</v>
          </cell>
        </row>
        <row r="522">
          <cell r="D522" t="str">
            <v>3/8" Hex BB RS-550 12</v>
          </cell>
          <cell r="E522">
            <v>9</v>
          </cell>
          <cell r="F522">
            <v>4</v>
          </cell>
          <cell r="G522">
            <v>0</v>
          </cell>
          <cell r="H522">
            <v>0</v>
          </cell>
        </row>
        <row r="523">
          <cell r="D523" t="str">
            <v>3/8" Hex BB RS-550 15</v>
          </cell>
          <cell r="E523">
            <v>7</v>
          </cell>
          <cell r="F523">
            <v>3</v>
          </cell>
          <cell r="G523">
            <v>0</v>
          </cell>
          <cell r="H523">
            <v>0</v>
          </cell>
        </row>
        <row r="524">
          <cell r="D524" t="str">
            <v>3/8" Hex BB RS-550 16</v>
          </cell>
          <cell r="E524">
            <v>7</v>
          </cell>
          <cell r="F524">
            <v>3</v>
          </cell>
          <cell r="G524">
            <v>0</v>
          </cell>
          <cell r="H524">
            <v>0</v>
          </cell>
        </row>
        <row r="525">
          <cell r="D525" t="str">
            <v>3/8" Hex BB RS-550 20</v>
          </cell>
          <cell r="E525">
            <v>5</v>
          </cell>
          <cell r="F525">
            <v>1</v>
          </cell>
          <cell r="G525">
            <v>0</v>
          </cell>
          <cell r="H525">
            <v>0</v>
          </cell>
        </row>
        <row r="526">
          <cell r="D526" t="str">
            <v>3/8" Hex BB RS-550 21</v>
          </cell>
          <cell r="E526">
            <v>5</v>
          </cell>
          <cell r="F526">
            <v>1</v>
          </cell>
          <cell r="G526">
            <v>0</v>
          </cell>
          <cell r="H526">
            <v>0</v>
          </cell>
        </row>
        <row r="527">
          <cell r="D527" t="str">
            <v>3/8" Hex BB RS-550 25</v>
          </cell>
          <cell r="E527">
            <v>4</v>
          </cell>
          <cell r="F527">
            <v>1</v>
          </cell>
          <cell r="G527">
            <v>0</v>
          </cell>
          <cell r="H527">
            <v>0</v>
          </cell>
        </row>
        <row r="528">
          <cell r="D528" t="str">
            <v>3/8" Hex BB RS-550 27</v>
          </cell>
          <cell r="E528">
            <v>4</v>
          </cell>
          <cell r="F528">
            <v>1</v>
          </cell>
          <cell r="G528">
            <v>0</v>
          </cell>
          <cell r="H528">
            <v>0</v>
          </cell>
        </row>
        <row r="529">
          <cell r="D529" t="str">
            <v>3/8" Hex BB RS-550 28</v>
          </cell>
          <cell r="E529">
            <v>4</v>
          </cell>
          <cell r="F529">
            <v>1</v>
          </cell>
          <cell r="G529">
            <v>0</v>
          </cell>
          <cell r="H529">
            <v>0</v>
          </cell>
        </row>
        <row r="530">
          <cell r="D530" t="str">
            <v>3/8" Hex BB RS-550 30</v>
          </cell>
          <cell r="E530">
            <v>3</v>
          </cell>
          <cell r="F530">
            <v>1</v>
          </cell>
          <cell r="G530">
            <v>0</v>
          </cell>
          <cell r="H530">
            <v>0</v>
          </cell>
        </row>
        <row r="531">
          <cell r="D531" t="str">
            <v>3/8" Hex BB RS-550 35</v>
          </cell>
          <cell r="E531">
            <v>3</v>
          </cell>
          <cell r="F531">
            <v>1</v>
          </cell>
          <cell r="G531">
            <v>0</v>
          </cell>
          <cell r="H531">
            <v>0</v>
          </cell>
        </row>
        <row r="532">
          <cell r="D532" t="str">
            <v>3/8" Hex BB RS-550 36</v>
          </cell>
          <cell r="E532">
            <v>3</v>
          </cell>
          <cell r="F532">
            <v>1</v>
          </cell>
          <cell r="G532">
            <v>0</v>
          </cell>
          <cell r="H532">
            <v>0</v>
          </cell>
        </row>
        <row r="533">
          <cell r="D533" t="str">
            <v>3/8" Hex BB RS-550 40</v>
          </cell>
          <cell r="E533">
            <v>1</v>
          </cell>
          <cell r="F533">
            <v>1</v>
          </cell>
          <cell r="G533">
            <v>0</v>
          </cell>
          <cell r="H533">
            <v>0</v>
          </cell>
        </row>
        <row r="534">
          <cell r="D534" t="str">
            <v>3/8" Hex BB RS-550 45</v>
          </cell>
          <cell r="E534">
            <v>1</v>
          </cell>
          <cell r="F534">
            <v>1</v>
          </cell>
          <cell r="G534">
            <v>0</v>
          </cell>
          <cell r="H534">
            <v>0</v>
          </cell>
        </row>
        <row r="535">
          <cell r="D535" t="str">
            <v>3/8" Hex BB RS-550 49</v>
          </cell>
          <cell r="E535">
            <v>1</v>
          </cell>
          <cell r="F535">
            <v>1</v>
          </cell>
          <cell r="G535">
            <v>0</v>
          </cell>
          <cell r="H535">
            <v>0</v>
          </cell>
        </row>
        <row r="536">
          <cell r="D536" t="str">
            <v>3/8" Hex BB RS-550 50</v>
          </cell>
          <cell r="E536">
            <v>1</v>
          </cell>
          <cell r="F536">
            <v>1</v>
          </cell>
          <cell r="G536">
            <v>0</v>
          </cell>
          <cell r="H536">
            <v>0</v>
          </cell>
        </row>
        <row r="537">
          <cell r="D537" t="str">
            <v>3/8" Hex BB RS-550 63</v>
          </cell>
          <cell r="E537">
            <v>1</v>
          </cell>
          <cell r="F537">
            <v>0</v>
          </cell>
          <cell r="G537">
            <v>0</v>
          </cell>
          <cell r="H537">
            <v>0</v>
          </cell>
        </row>
        <row r="538">
          <cell r="D538" t="str">
            <v>3/8" Hex BB RS-550 70</v>
          </cell>
          <cell r="E538">
            <v>1</v>
          </cell>
          <cell r="F538">
            <v>0</v>
          </cell>
          <cell r="G538">
            <v>0</v>
          </cell>
          <cell r="H538">
            <v>0</v>
          </cell>
        </row>
        <row r="539">
          <cell r="D539" t="str">
            <v>3/8" Hex BB RS-550 81</v>
          </cell>
          <cell r="E539">
            <v>1</v>
          </cell>
          <cell r="F539">
            <v>0</v>
          </cell>
          <cell r="G539">
            <v>0</v>
          </cell>
          <cell r="H539">
            <v>0</v>
          </cell>
        </row>
        <row r="540">
          <cell r="D540" t="str">
            <v>3/8" Hex BB RS-550 90</v>
          </cell>
          <cell r="E540">
            <v>1</v>
          </cell>
          <cell r="F540">
            <v>0</v>
          </cell>
          <cell r="G540">
            <v>0</v>
          </cell>
          <cell r="H540">
            <v>0</v>
          </cell>
        </row>
        <row r="541">
          <cell r="D541" t="str">
            <v>3/8" Hex BB RS-550 100</v>
          </cell>
          <cell r="E541">
            <v>1</v>
          </cell>
          <cell r="F541">
            <v>0</v>
          </cell>
          <cell r="G541">
            <v>0</v>
          </cell>
          <cell r="H541">
            <v>0</v>
          </cell>
        </row>
        <row r="542">
          <cell r="D542" t="str">
            <v>3/8" Hex BB RS-775 -3</v>
          </cell>
          <cell r="E542">
            <v>1</v>
          </cell>
          <cell r="F542">
            <v>1</v>
          </cell>
          <cell r="G542">
            <v>0</v>
          </cell>
          <cell r="H542">
            <v>0</v>
          </cell>
        </row>
        <row r="543">
          <cell r="D543" t="str">
            <v>3/8" Hex BB RS-775 -4</v>
          </cell>
          <cell r="E543">
            <v>1</v>
          </cell>
          <cell r="F543">
            <v>1</v>
          </cell>
          <cell r="G543">
            <v>0</v>
          </cell>
          <cell r="H543">
            <v>0</v>
          </cell>
        </row>
        <row r="544">
          <cell r="D544" t="str">
            <v>3/8" Hex BB RS-775 -5</v>
          </cell>
          <cell r="E544">
            <v>1</v>
          </cell>
          <cell r="F544">
            <v>1</v>
          </cell>
          <cell r="G544">
            <v>0</v>
          </cell>
          <cell r="H544">
            <v>0</v>
          </cell>
        </row>
        <row r="545">
          <cell r="D545" t="str">
            <v>3/8" Hex BB RS-775 -7</v>
          </cell>
          <cell r="E545">
            <v>1</v>
          </cell>
          <cell r="F545">
            <v>1</v>
          </cell>
          <cell r="G545">
            <v>0</v>
          </cell>
          <cell r="H545">
            <v>0</v>
          </cell>
        </row>
        <row r="546">
          <cell r="D546" t="str">
            <v>3/8" Hex BB RS-775 -9</v>
          </cell>
          <cell r="E546">
            <v>1</v>
          </cell>
          <cell r="F546">
            <v>1</v>
          </cell>
          <cell r="G546">
            <v>0</v>
          </cell>
          <cell r="H546">
            <v>0</v>
          </cell>
        </row>
        <row r="547">
          <cell r="D547" t="str">
            <v>3/8" Hex BB RS-775 -10</v>
          </cell>
          <cell r="E547">
            <v>1</v>
          </cell>
          <cell r="F547">
            <v>1</v>
          </cell>
          <cell r="G547">
            <v>0</v>
          </cell>
          <cell r="H547">
            <v>0</v>
          </cell>
        </row>
        <row r="548">
          <cell r="D548" t="str">
            <v>3/8" Hex BB RS-775 9</v>
          </cell>
          <cell r="E548">
            <v>7</v>
          </cell>
          <cell r="F548">
            <v>3</v>
          </cell>
          <cell r="G548">
            <v>0</v>
          </cell>
          <cell r="H548">
            <v>0</v>
          </cell>
        </row>
        <row r="549">
          <cell r="D549" t="str">
            <v>3/8" Hex BB RS-775 12</v>
          </cell>
          <cell r="E549">
            <v>5</v>
          </cell>
          <cell r="F549">
            <v>1</v>
          </cell>
          <cell r="G549">
            <v>0</v>
          </cell>
          <cell r="H549">
            <v>0</v>
          </cell>
        </row>
        <row r="550">
          <cell r="D550" t="str">
            <v>3/8" Hex BB RS-775 15</v>
          </cell>
          <cell r="E550">
            <v>4</v>
          </cell>
          <cell r="F550">
            <v>1</v>
          </cell>
          <cell r="G550">
            <v>0</v>
          </cell>
          <cell r="H550">
            <v>0</v>
          </cell>
        </row>
        <row r="551">
          <cell r="D551" t="str">
            <v>3/8" Hex BB RS-775 16</v>
          </cell>
          <cell r="E551">
            <v>4</v>
          </cell>
          <cell r="F551">
            <v>1</v>
          </cell>
          <cell r="G551">
            <v>0</v>
          </cell>
          <cell r="H551">
            <v>0</v>
          </cell>
        </row>
        <row r="552">
          <cell r="D552" t="str">
            <v>3/8" Hex BB RS-775 20</v>
          </cell>
          <cell r="E552">
            <v>3</v>
          </cell>
          <cell r="F552">
            <v>1</v>
          </cell>
          <cell r="G552">
            <v>0</v>
          </cell>
          <cell r="H552">
            <v>0</v>
          </cell>
        </row>
        <row r="553">
          <cell r="D553" t="str">
            <v>3/8" Hex BB RS-775 21</v>
          </cell>
          <cell r="E553">
            <v>3</v>
          </cell>
          <cell r="F553">
            <v>1</v>
          </cell>
          <cell r="G553">
            <v>0</v>
          </cell>
          <cell r="H553">
            <v>0</v>
          </cell>
        </row>
        <row r="554">
          <cell r="D554" t="str">
            <v>3/8" Hex BB RS-775 25</v>
          </cell>
          <cell r="E554">
            <v>1</v>
          </cell>
          <cell r="F554">
            <v>1</v>
          </cell>
          <cell r="G554">
            <v>0</v>
          </cell>
          <cell r="H554">
            <v>0</v>
          </cell>
        </row>
        <row r="555">
          <cell r="D555" t="str">
            <v>3/8" Hex BB RS-775 27</v>
          </cell>
          <cell r="E555">
            <v>1</v>
          </cell>
          <cell r="F555">
            <v>1</v>
          </cell>
          <cell r="G555">
            <v>0</v>
          </cell>
          <cell r="H555">
            <v>0</v>
          </cell>
        </row>
        <row r="556">
          <cell r="D556" t="str">
            <v>3/8" Hex BB RS-775 28</v>
          </cell>
          <cell r="E556">
            <v>1</v>
          </cell>
          <cell r="F556">
            <v>1</v>
          </cell>
          <cell r="G556">
            <v>0</v>
          </cell>
          <cell r="H556">
            <v>0</v>
          </cell>
        </row>
        <row r="557">
          <cell r="D557" t="str">
            <v>3/8" Hex BB RS-775 30</v>
          </cell>
          <cell r="E557">
            <v>1</v>
          </cell>
          <cell r="F557">
            <v>1</v>
          </cell>
          <cell r="G557">
            <v>0</v>
          </cell>
          <cell r="H557">
            <v>0</v>
          </cell>
        </row>
        <row r="558">
          <cell r="D558" t="str">
            <v>3/8" Hex BB RS-775 35</v>
          </cell>
          <cell r="E558">
            <v>1</v>
          </cell>
          <cell r="F558">
            <v>1</v>
          </cell>
          <cell r="G558">
            <v>0</v>
          </cell>
          <cell r="H558">
            <v>0</v>
          </cell>
        </row>
        <row r="559">
          <cell r="D559" t="str">
            <v>3/8" Hex BB RS-775 36</v>
          </cell>
          <cell r="E559">
            <v>1</v>
          </cell>
          <cell r="F559">
            <v>0</v>
          </cell>
          <cell r="G559">
            <v>0</v>
          </cell>
          <cell r="H559">
            <v>0</v>
          </cell>
        </row>
        <row r="560">
          <cell r="D560" t="str">
            <v>3/8" Hex BB RS-775 40</v>
          </cell>
          <cell r="E560">
            <v>1</v>
          </cell>
          <cell r="F560">
            <v>0</v>
          </cell>
          <cell r="G560">
            <v>0</v>
          </cell>
          <cell r="H560">
            <v>0</v>
          </cell>
        </row>
        <row r="561">
          <cell r="D561" t="str">
            <v>3/8" Hex BB RS-775 45</v>
          </cell>
          <cell r="E561">
            <v>1</v>
          </cell>
          <cell r="F561">
            <v>0</v>
          </cell>
          <cell r="G561">
            <v>0</v>
          </cell>
          <cell r="H561">
            <v>0</v>
          </cell>
        </row>
        <row r="562">
          <cell r="D562" t="str">
            <v>3/8" Hex BB RS-775 49</v>
          </cell>
          <cell r="E562">
            <v>1</v>
          </cell>
          <cell r="F562">
            <v>0</v>
          </cell>
          <cell r="G562">
            <v>0</v>
          </cell>
          <cell r="H562">
            <v>0</v>
          </cell>
        </row>
        <row r="563">
          <cell r="D563" t="str">
            <v>3/8" Hex BB RS-775 50</v>
          </cell>
          <cell r="E563">
            <v>1</v>
          </cell>
          <cell r="F563">
            <v>0</v>
          </cell>
          <cell r="G563">
            <v>0</v>
          </cell>
          <cell r="H563">
            <v>0</v>
          </cell>
        </row>
        <row r="564">
          <cell r="D564" t="str">
            <v>3/8" Hex BB RS-775 63</v>
          </cell>
          <cell r="E564">
            <v>1</v>
          </cell>
          <cell r="F564">
            <v>0</v>
          </cell>
          <cell r="G564">
            <v>0</v>
          </cell>
          <cell r="H564">
            <v>0</v>
          </cell>
        </row>
        <row r="565">
          <cell r="D565" t="str">
            <v>3/8" Hex BB RS-775 70</v>
          </cell>
          <cell r="E565">
            <v>1</v>
          </cell>
          <cell r="F565">
            <v>0</v>
          </cell>
          <cell r="G565">
            <v>0</v>
          </cell>
          <cell r="H565">
            <v>0</v>
          </cell>
        </row>
        <row r="566">
          <cell r="D566" t="str">
            <v>3/8" Hex BB RS-775 81</v>
          </cell>
          <cell r="E566">
            <v>0</v>
          </cell>
          <cell r="F566">
            <v>0</v>
          </cell>
          <cell r="G566">
            <v>0</v>
          </cell>
          <cell r="H566">
            <v>0</v>
          </cell>
        </row>
        <row r="567">
          <cell r="D567" t="str">
            <v>3/8" Hex BB RS-775 90</v>
          </cell>
          <cell r="E567">
            <v>0</v>
          </cell>
          <cell r="F567">
            <v>0</v>
          </cell>
          <cell r="G567">
            <v>0</v>
          </cell>
          <cell r="H567">
            <v>0</v>
          </cell>
        </row>
        <row r="568">
          <cell r="D568" t="str">
            <v>3/8" Hex BB RS-775 100</v>
          </cell>
          <cell r="E568">
            <v>0</v>
          </cell>
          <cell r="F568">
            <v>0</v>
          </cell>
          <cell r="G568">
            <v>0</v>
          </cell>
          <cell r="H568">
            <v>0</v>
          </cell>
        </row>
        <row r="569">
          <cell r="D569" t="str">
            <v>3/8" Hex BAG Motor -3</v>
          </cell>
          <cell r="E569">
            <v>1</v>
          </cell>
          <cell r="F569">
            <v>1</v>
          </cell>
          <cell r="G569">
            <v>1</v>
          </cell>
          <cell r="H569">
            <v>0</v>
          </cell>
        </row>
        <row r="570">
          <cell r="D570" t="str">
            <v>3/8" Hex BAG Motor -4</v>
          </cell>
          <cell r="E570">
            <v>1</v>
          </cell>
          <cell r="F570">
            <v>1</v>
          </cell>
          <cell r="G570">
            <v>1</v>
          </cell>
          <cell r="H570">
            <v>0</v>
          </cell>
        </row>
        <row r="571">
          <cell r="D571" t="str">
            <v>3/8" Hex BAG Motor -5</v>
          </cell>
          <cell r="E571">
            <v>1</v>
          </cell>
          <cell r="F571">
            <v>1</v>
          </cell>
          <cell r="G571">
            <v>0</v>
          </cell>
          <cell r="H571">
            <v>0</v>
          </cell>
        </row>
        <row r="572">
          <cell r="D572" t="str">
            <v>3/8" Hex BAG Motor -7</v>
          </cell>
          <cell r="E572">
            <v>1</v>
          </cell>
          <cell r="F572">
            <v>1</v>
          </cell>
          <cell r="G572">
            <v>0</v>
          </cell>
          <cell r="H572">
            <v>0</v>
          </cell>
        </row>
        <row r="573">
          <cell r="D573" t="str">
            <v>3/8" Hex BAG Motor -9</v>
          </cell>
          <cell r="E573">
            <v>1</v>
          </cell>
          <cell r="F573">
            <v>1</v>
          </cell>
          <cell r="G573">
            <v>0</v>
          </cell>
          <cell r="H573">
            <v>0</v>
          </cell>
        </row>
        <row r="574">
          <cell r="D574" t="str">
            <v>3/8" Hex BAG Motor -10</v>
          </cell>
          <cell r="E574">
            <v>1</v>
          </cell>
          <cell r="F574">
            <v>1</v>
          </cell>
          <cell r="G574">
            <v>0</v>
          </cell>
          <cell r="H574">
            <v>0</v>
          </cell>
        </row>
        <row r="575">
          <cell r="D575" t="str">
            <v>3/8" Hex BAG Motor 9</v>
          </cell>
          <cell r="E575">
            <v>10</v>
          </cell>
          <cell r="F575">
            <v>5</v>
          </cell>
          <cell r="G575">
            <v>0</v>
          </cell>
          <cell r="H575">
            <v>0</v>
          </cell>
        </row>
        <row r="576">
          <cell r="D576" t="str">
            <v>3/8" Hex BAG Motor 12</v>
          </cell>
          <cell r="E576">
            <v>10</v>
          </cell>
          <cell r="F576">
            <v>5</v>
          </cell>
          <cell r="G576">
            <v>0</v>
          </cell>
          <cell r="H576">
            <v>0</v>
          </cell>
        </row>
        <row r="577">
          <cell r="D577" t="str">
            <v>3/8" Hex BAG Motor 15</v>
          </cell>
          <cell r="E577">
            <v>7</v>
          </cell>
          <cell r="F577">
            <v>4</v>
          </cell>
          <cell r="G577">
            <v>0</v>
          </cell>
          <cell r="H577">
            <v>0</v>
          </cell>
        </row>
        <row r="578">
          <cell r="D578" t="str">
            <v>3/8" Hex BAG Motor 16</v>
          </cell>
          <cell r="E578">
            <v>7</v>
          </cell>
          <cell r="F578">
            <v>3</v>
          </cell>
          <cell r="G578">
            <v>0</v>
          </cell>
          <cell r="H578">
            <v>0</v>
          </cell>
        </row>
        <row r="579">
          <cell r="D579" t="str">
            <v>3/8" Hex BAG Motor 20</v>
          </cell>
          <cell r="E579">
            <v>5</v>
          </cell>
          <cell r="F579">
            <v>3</v>
          </cell>
          <cell r="G579">
            <v>0</v>
          </cell>
          <cell r="H579">
            <v>0</v>
          </cell>
        </row>
        <row r="580">
          <cell r="D580" t="str">
            <v>3/8" Hex BAG Motor 21</v>
          </cell>
          <cell r="E580">
            <v>5</v>
          </cell>
          <cell r="F580">
            <v>1</v>
          </cell>
          <cell r="G580">
            <v>0</v>
          </cell>
          <cell r="H580">
            <v>0</v>
          </cell>
        </row>
        <row r="581">
          <cell r="D581" t="str">
            <v>3/8" Hex BAG Motor 25</v>
          </cell>
          <cell r="E581">
            <v>5</v>
          </cell>
          <cell r="F581">
            <v>1</v>
          </cell>
          <cell r="G581">
            <v>0</v>
          </cell>
          <cell r="H581">
            <v>0</v>
          </cell>
        </row>
        <row r="582">
          <cell r="D582" t="str">
            <v>3/8" Hex BAG Motor 27</v>
          </cell>
          <cell r="E582">
            <v>4</v>
          </cell>
          <cell r="F582">
            <v>1</v>
          </cell>
          <cell r="G582">
            <v>0</v>
          </cell>
          <cell r="H582">
            <v>0</v>
          </cell>
        </row>
        <row r="583">
          <cell r="D583" t="str">
            <v>3/8" Hex BAG Motor 28</v>
          </cell>
          <cell r="E583">
            <v>4</v>
          </cell>
          <cell r="F583">
            <v>1</v>
          </cell>
          <cell r="G583">
            <v>0</v>
          </cell>
          <cell r="H583">
            <v>0</v>
          </cell>
        </row>
        <row r="584">
          <cell r="D584" t="str">
            <v>3/8" Hex BAG Motor 30</v>
          </cell>
          <cell r="E584">
            <v>4</v>
          </cell>
          <cell r="F584">
            <v>1</v>
          </cell>
          <cell r="G584">
            <v>0</v>
          </cell>
          <cell r="H584">
            <v>0</v>
          </cell>
        </row>
        <row r="585">
          <cell r="D585" t="str">
            <v>3/8" Hex BAG Motor 35</v>
          </cell>
          <cell r="E585">
            <v>3</v>
          </cell>
          <cell r="F585">
            <v>1</v>
          </cell>
          <cell r="G585">
            <v>0</v>
          </cell>
          <cell r="H585">
            <v>0</v>
          </cell>
        </row>
        <row r="586">
          <cell r="D586" t="str">
            <v>3/8" Hex BAG Motor 36</v>
          </cell>
          <cell r="E586">
            <v>3</v>
          </cell>
          <cell r="F586">
            <v>1</v>
          </cell>
          <cell r="G586">
            <v>0</v>
          </cell>
          <cell r="H586">
            <v>0</v>
          </cell>
        </row>
        <row r="587">
          <cell r="D587" t="str">
            <v>3/8" Hex BAG Motor 40</v>
          </cell>
          <cell r="E587">
            <v>3</v>
          </cell>
          <cell r="F587">
            <v>1</v>
          </cell>
          <cell r="G587">
            <v>0</v>
          </cell>
          <cell r="H587">
            <v>0</v>
          </cell>
        </row>
        <row r="588">
          <cell r="D588" t="str">
            <v>3/8" Hex BAG Motor 45</v>
          </cell>
          <cell r="E588">
            <v>1</v>
          </cell>
          <cell r="F588">
            <v>1</v>
          </cell>
          <cell r="G588">
            <v>0</v>
          </cell>
          <cell r="H588">
            <v>0</v>
          </cell>
        </row>
        <row r="589">
          <cell r="D589" t="str">
            <v>3/8" Hex BAG Motor 49</v>
          </cell>
          <cell r="E589">
            <v>1</v>
          </cell>
          <cell r="F589">
            <v>1</v>
          </cell>
          <cell r="G589">
            <v>0</v>
          </cell>
          <cell r="H589">
            <v>0</v>
          </cell>
        </row>
        <row r="590">
          <cell r="D590" t="str">
            <v>3/8" Hex BAG Motor 50</v>
          </cell>
          <cell r="E590">
            <v>1</v>
          </cell>
          <cell r="F590">
            <v>1</v>
          </cell>
          <cell r="G590">
            <v>0</v>
          </cell>
          <cell r="H590">
            <v>0</v>
          </cell>
        </row>
        <row r="591">
          <cell r="D591" t="str">
            <v>3/8" Hex BAG Motor 63</v>
          </cell>
          <cell r="E591">
            <v>1</v>
          </cell>
          <cell r="F591">
            <v>0</v>
          </cell>
          <cell r="G591">
            <v>0</v>
          </cell>
          <cell r="H591">
            <v>0</v>
          </cell>
        </row>
        <row r="592">
          <cell r="D592" t="str">
            <v>3/8" Hex BAG Motor 70</v>
          </cell>
          <cell r="E592">
            <v>1</v>
          </cell>
          <cell r="F592">
            <v>0</v>
          </cell>
          <cell r="G592">
            <v>0</v>
          </cell>
          <cell r="H592">
            <v>0</v>
          </cell>
        </row>
        <row r="593">
          <cell r="D593" t="str">
            <v>3/8" Hex BAG Motor 81</v>
          </cell>
          <cell r="E593">
            <v>1</v>
          </cell>
          <cell r="F593">
            <v>0</v>
          </cell>
          <cell r="G593">
            <v>0</v>
          </cell>
          <cell r="H593">
            <v>0</v>
          </cell>
        </row>
        <row r="594">
          <cell r="D594" t="str">
            <v>3/8" Hex BAG Motor 90</v>
          </cell>
          <cell r="E594">
            <v>1</v>
          </cell>
          <cell r="F594">
            <v>0</v>
          </cell>
          <cell r="G594">
            <v>0</v>
          </cell>
          <cell r="H594">
            <v>0</v>
          </cell>
        </row>
        <row r="595">
          <cell r="D595" t="str">
            <v>3/8" Hex BAG Motor 100</v>
          </cell>
          <cell r="E595">
            <v>1</v>
          </cell>
          <cell r="F595">
            <v>0</v>
          </cell>
          <cell r="G595">
            <v>0</v>
          </cell>
          <cell r="H595">
            <v>0</v>
          </cell>
        </row>
        <row r="596">
          <cell r="D596" t="str">
            <v>3/8" Hex 775pro -3</v>
          </cell>
          <cell r="E596">
            <v>1</v>
          </cell>
          <cell r="F596">
            <v>1</v>
          </cell>
          <cell r="G596">
            <v>0</v>
          </cell>
          <cell r="H596">
            <v>0</v>
          </cell>
        </row>
        <row r="597">
          <cell r="D597" t="str">
            <v>3/8" Hex 775pro -4</v>
          </cell>
          <cell r="E597">
            <v>1</v>
          </cell>
          <cell r="F597">
            <v>1</v>
          </cell>
          <cell r="G597">
            <v>0</v>
          </cell>
          <cell r="H597">
            <v>0</v>
          </cell>
        </row>
        <row r="598">
          <cell r="D598" t="str">
            <v>3/8" Hex 775pro -5</v>
          </cell>
          <cell r="E598">
            <v>1</v>
          </cell>
          <cell r="F598">
            <v>1</v>
          </cell>
          <cell r="G598">
            <v>0</v>
          </cell>
          <cell r="H598">
            <v>0</v>
          </cell>
        </row>
        <row r="599">
          <cell r="D599" t="str">
            <v>3/8" Hex 775pro -7</v>
          </cell>
          <cell r="E599">
            <v>1</v>
          </cell>
          <cell r="F599">
            <v>1</v>
          </cell>
          <cell r="G599">
            <v>0</v>
          </cell>
          <cell r="H599">
            <v>0</v>
          </cell>
        </row>
        <row r="600">
          <cell r="D600" t="str">
            <v>3/8" Hex 775pro -9</v>
          </cell>
          <cell r="E600">
            <v>1</v>
          </cell>
          <cell r="F600">
            <v>1</v>
          </cell>
          <cell r="G600">
            <v>0</v>
          </cell>
          <cell r="H600">
            <v>0</v>
          </cell>
        </row>
        <row r="601">
          <cell r="D601" t="str">
            <v>3/8" Hex 775pro -10</v>
          </cell>
          <cell r="E601">
            <v>1</v>
          </cell>
          <cell r="F601">
            <v>1</v>
          </cell>
          <cell r="G601">
            <v>0</v>
          </cell>
          <cell r="H601">
            <v>0</v>
          </cell>
        </row>
        <row r="602">
          <cell r="D602" t="str">
            <v>3/8" Hex 775pro 9</v>
          </cell>
          <cell r="E602">
            <v>7</v>
          </cell>
          <cell r="F602">
            <v>4</v>
          </cell>
          <cell r="G602">
            <v>0</v>
          </cell>
          <cell r="H602">
            <v>0</v>
          </cell>
        </row>
        <row r="603">
          <cell r="D603" t="str">
            <v>3/8" Hex 775pro 12</v>
          </cell>
          <cell r="E603">
            <v>5</v>
          </cell>
          <cell r="F603">
            <v>3</v>
          </cell>
          <cell r="G603">
            <v>0</v>
          </cell>
          <cell r="H603">
            <v>0</v>
          </cell>
        </row>
        <row r="604">
          <cell r="D604" t="str">
            <v>3/8" Hex 775pro 15</v>
          </cell>
          <cell r="E604">
            <v>5</v>
          </cell>
          <cell r="F604">
            <v>1</v>
          </cell>
          <cell r="G604">
            <v>0</v>
          </cell>
          <cell r="H604">
            <v>0</v>
          </cell>
        </row>
        <row r="605">
          <cell r="D605" t="str">
            <v>3/8" Hex 775pro 16</v>
          </cell>
          <cell r="E605">
            <v>4</v>
          </cell>
          <cell r="F605">
            <v>1</v>
          </cell>
          <cell r="G605">
            <v>0</v>
          </cell>
          <cell r="H605">
            <v>0</v>
          </cell>
        </row>
        <row r="606">
          <cell r="D606" t="str">
            <v>3/8" Hex 775pro 20</v>
          </cell>
          <cell r="E606">
            <v>3</v>
          </cell>
          <cell r="F606">
            <v>1</v>
          </cell>
          <cell r="G606">
            <v>0</v>
          </cell>
          <cell r="H606">
            <v>0</v>
          </cell>
        </row>
        <row r="607">
          <cell r="D607" t="str">
            <v>3/8" Hex 775pro 21</v>
          </cell>
          <cell r="E607">
            <v>3</v>
          </cell>
          <cell r="F607">
            <v>1</v>
          </cell>
          <cell r="G607">
            <v>0</v>
          </cell>
          <cell r="H607">
            <v>0</v>
          </cell>
        </row>
        <row r="608">
          <cell r="D608" t="str">
            <v>3/8" Hex 775pro 25</v>
          </cell>
          <cell r="E608">
            <v>3</v>
          </cell>
          <cell r="F608">
            <v>1</v>
          </cell>
          <cell r="G608">
            <v>0</v>
          </cell>
          <cell r="H608">
            <v>0</v>
          </cell>
        </row>
        <row r="609">
          <cell r="D609" t="str">
            <v>3/8" Hex 775pro 27</v>
          </cell>
          <cell r="E609">
            <v>1</v>
          </cell>
          <cell r="F609">
            <v>1</v>
          </cell>
          <cell r="G609">
            <v>0</v>
          </cell>
          <cell r="H609">
            <v>0</v>
          </cell>
        </row>
        <row r="610">
          <cell r="D610" t="str">
            <v>3/8" Hex 775pro 28</v>
          </cell>
          <cell r="E610">
            <v>1</v>
          </cell>
          <cell r="F610">
            <v>1</v>
          </cell>
          <cell r="G610">
            <v>0</v>
          </cell>
          <cell r="H610">
            <v>0</v>
          </cell>
        </row>
        <row r="611">
          <cell r="D611" t="str">
            <v>3/8" Hex 775pro 30</v>
          </cell>
          <cell r="E611">
            <v>1</v>
          </cell>
          <cell r="F611">
            <v>1</v>
          </cell>
          <cell r="G611">
            <v>0</v>
          </cell>
          <cell r="H611">
            <v>0</v>
          </cell>
        </row>
        <row r="612">
          <cell r="D612" t="str">
            <v>3/8" Hex 775pro 35</v>
          </cell>
          <cell r="E612">
            <v>1</v>
          </cell>
          <cell r="F612">
            <v>1</v>
          </cell>
          <cell r="G612">
            <v>0</v>
          </cell>
          <cell r="H612">
            <v>0</v>
          </cell>
        </row>
        <row r="613">
          <cell r="D613" t="str">
            <v>3/8" Hex 775pro 36</v>
          </cell>
          <cell r="E613">
            <v>1</v>
          </cell>
          <cell r="F613">
            <v>1</v>
          </cell>
          <cell r="G613">
            <v>0</v>
          </cell>
          <cell r="H613">
            <v>0</v>
          </cell>
        </row>
        <row r="614">
          <cell r="D614" t="str">
            <v>3/8" Hex 775pro 40</v>
          </cell>
          <cell r="E614">
            <v>1</v>
          </cell>
          <cell r="F614">
            <v>0</v>
          </cell>
          <cell r="G614">
            <v>0</v>
          </cell>
          <cell r="H614">
            <v>0</v>
          </cell>
        </row>
        <row r="615">
          <cell r="D615" t="str">
            <v>3/8" Hex 775pro 45</v>
          </cell>
          <cell r="E615">
            <v>1</v>
          </cell>
          <cell r="F615">
            <v>0</v>
          </cell>
          <cell r="G615">
            <v>0</v>
          </cell>
          <cell r="H615">
            <v>0</v>
          </cell>
        </row>
        <row r="616">
          <cell r="D616" t="str">
            <v>3/8" Hex 775pro 49</v>
          </cell>
          <cell r="E616">
            <v>1</v>
          </cell>
          <cell r="F616">
            <v>0</v>
          </cell>
          <cell r="G616">
            <v>0</v>
          </cell>
          <cell r="H616">
            <v>0</v>
          </cell>
        </row>
        <row r="617">
          <cell r="D617" t="str">
            <v>3/8" Hex 775pro 50</v>
          </cell>
          <cell r="E617">
            <v>1</v>
          </cell>
          <cell r="F617">
            <v>0</v>
          </cell>
          <cell r="G617">
            <v>0</v>
          </cell>
          <cell r="H617">
            <v>0</v>
          </cell>
        </row>
        <row r="618">
          <cell r="D618" t="str">
            <v>3/8" Hex 775pro 63</v>
          </cell>
          <cell r="E618">
            <v>1</v>
          </cell>
          <cell r="F618">
            <v>0</v>
          </cell>
          <cell r="G618">
            <v>0</v>
          </cell>
          <cell r="H618">
            <v>0</v>
          </cell>
        </row>
        <row r="619">
          <cell r="D619" t="str">
            <v>3/8" Hex 775pro 70</v>
          </cell>
          <cell r="E619">
            <v>1</v>
          </cell>
          <cell r="F619">
            <v>0</v>
          </cell>
          <cell r="G619">
            <v>0</v>
          </cell>
          <cell r="H619">
            <v>0</v>
          </cell>
        </row>
        <row r="620">
          <cell r="D620" t="str">
            <v>3/8" Hex 775pro 81</v>
          </cell>
          <cell r="E620">
            <v>0</v>
          </cell>
          <cell r="F620">
            <v>0</v>
          </cell>
          <cell r="G620">
            <v>0</v>
          </cell>
          <cell r="H620">
            <v>0</v>
          </cell>
        </row>
        <row r="621">
          <cell r="D621" t="str">
            <v>3/8" Hex 775pro 90</v>
          </cell>
          <cell r="E621">
            <v>0</v>
          </cell>
          <cell r="F621">
            <v>0</v>
          </cell>
          <cell r="G621">
            <v>0</v>
          </cell>
          <cell r="H621">
            <v>0</v>
          </cell>
        </row>
        <row r="622">
          <cell r="D622" t="str">
            <v>3/8" Hex 775pro 100</v>
          </cell>
          <cell r="E622">
            <v>0</v>
          </cell>
          <cell r="F622">
            <v>0</v>
          </cell>
          <cell r="G622">
            <v>0</v>
          </cell>
          <cell r="H622">
            <v>0</v>
          </cell>
        </row>
        <row r="623">
          <cell r="D623" t="str">
            <v>3/8" Hex Mini CIM -3</v>
          </cell>
          <cell r="E623">
            <v>1</v>
          </cell>
          <cell r="I623">
            <v>0</v>
          </cell>
        </row>
        <row r="624">
          <cell r="D624" t="str">
            <v>3/8" Hex Mini CIM -4</v>
          </cell>
          <cell r="E624">
            <v>1</v>
          </cell>
          <cell r="I624">
            <v>0</v>
          </cell>
        </row>
        <row r="625">
          <cell r="D625" t="str">
            <v>3/8" Hex Mini CIM -5</v>
          </cell>
          <cell r="E625">
            <v>1</v>
          </cell>
          <cell r="I625">
            <v>0</v>
          </cell>
        </row>
        <row r="626">
          <cell r="D626" t="str">
            <v>3/8" Hex Mini CIM -7</v>
          </cell>
          <cell r="E626">
            <v>1</v>
          </cell>
          <cell r="I626">
            <v>0</v>
          </cell>
        </row>
        <row r="627">
          <cell r="D627" t="str">
            <v>3/8" Hex Mini CIM -9</v>
          </cell>
          <cell r="E627">
            <v>1</v>
          </cell>
          <cell r="I627">
            <v>0</v>
          </cell>
        </row>
        <row r="628">
          <cell r="D628" t="str">
            <v>3/8" Hex Mini CIM -10</v>
          </cell>
          <cell r="E628">
            <v>1</v>
          </cell>
          <cell r="I628">
            <v>0</v>
          </cell>
        </row>
        <row r="629">
          <cell r="D629" t="str">
            <v>3/8" Hex Mini CIM 9</v>
          </cell>
          <cell r="E629">
            <v>4</v>
          </cell>
          <cell r="I629">
            <v>0</v>
          </cell>
        </row>
        <row r="630">
          <cell r="D630" t="str">
            <v>3/8" Hex Mini CIM 12</v>
          </cell>
          <cell r="E630">
            <v>3</v>
          </cell>
          <cell r="I630">
            <v>0</v>
          </cell>
        </row>
        <row r="631">
          <cell r="D631" t="str">
            <v>3/8" Hex Mini CIM 15</v>
          </cell>
          <cell r="E631">
            <v>1</v>
          </cell>
          <cell r="I631">
            <v>0</v>
          </cell>
        </row>
        <row r="632">
          <cell r="D632" t="str">
            <v>3/8" Hex Mini CIM 16</v>
          </cell>
          <cell r="E632">
            <v>1</v>
          </cell>
          <cell r="I632">
            <v>0</v>
          </cell>
        </row>
        <row r="633">
          <cell r="D633" t="str">
            <v>3/8" Hex Mini CIM 20</v>
          </cell>
          <cell r="E633">
            <v>1</v>
          </cell>
          <cell r="I633">
            <v>0</v>
          </cell>
        </row>
        <row r="634">
          <cell r="D634" t="str">
            <v>3/8" Hex Mini CIM 21</v>
          </cell>
          <cell r="E634">
            <v>1</v>
          </cell>
          <cell r="I634">
            <v>0</v>
          </cell>
        </row>
        <row r="635">
          <cell r="D635" t="str">
            <v>3/8" Hex Mini CIM 25</v>
          </cell>
          <cell r="E635">
            <v>1</v>
          </cell>
          <cell r="I635">
            <v>0</v>
          </cell>
        </row>
        <row r="636">
          <cell r="D636" t="str">
            <v>3/8" Hex Mini CIM 27</v>
          </cell>
          <cell r="E636">
            <v>1</v>
          </cell>
          <cell r="I636">
            <v>0</v>
          </cell>
        </row>
        <row r="637">
          <cell r="D637" t="str">
            <v>3/8" Hex Mini CIM 28</v>
          </cell>
          <cell r="E637">
            <v>1</v>
          </cell>
          <cell r="I637">
            <v>0</v>
          </cell>
        </row>
        <row r="638">
          <cell r="D638" t="str">
            <v>3/8" Hex Mini CIM 30</v>
          </cell>
          <cell r="E638">
            <v>1</v>
          </cell>
          <cell r="I638">
            <v>0</v>
          </cell>
        </row>
        <row r="639">
          <cell r="D639" t="str">
            <v>3/8" Hex Mini CIM 35</v>
          </cell>
          <cell r="E639">
            <v>1</v>
          </cell>
          <cell r="I639">
            <v>0</v>
          </cell>
        </row>
        <row r="640">
          <cell r="D640" t="str">
            <v>3/8" Hex Mini CIM 36</v>
          </cell>
          <cell r="E640">
            <v>1</v>
          </cell>
          <cell r="I640">
            <v>0</v>
          </cell>
        </row>
        <row r="641">
          <cell r="D641" t="str">
            <v>3/8" Hex Mini CIM 40</v>
          </cell>
          <cell r="E641">
            <v>0</v>
          </cell>
          <cell r="I641">
            <v>0</v>
          </cell>
        </row>
        <row r="642">
          <cell r="D642" t="str">
            <v>3/8" Hex Mini CIM 45</v>
          </cell>
          <cell r="E642">
            <v>0</v>
          </cell>
          <cell r="I642">
            <v>0</v>
          </cell>
        </row>
        <row r="643">
          <cell r="D643" t="str">
            <v>3/8" Hex Mini CIM 49</v>
          </cell>
          <cell r="E643">
            <v>0</v>
          </cell>
          <cell r="I643">
            <v>0</v>
          </cell>
        </row>
        <row r="644">
          <cell r="D644" t="str">
            <v>3/8" Hex Mini CIM 50</v>
          </cell>
          <cell r="E644">
            <v>0</v>
          </cell>
          <cell r="I644">
            <v>0</v>
          </cell>
        </row>
        <row r="645">
          <cell r="D645" t="str">
            <v>3/8" Hex Mini CIM 63</v>
          </cell>
          <cell r="E645">
            <v>0</v>
          </cell>
          <cell r="I645">
            <v>0</v>
          </cell>
        </row>
        <row r="646">
          <cell r="D646" t="str">
            <v>3/8" Hex Mini CIM 70</v>
          </cell>
          <cell r="E646">
            <v>0</v>
          </cell>
          <cell r="I646">
            <v>0</v>
          </cell>
        </row>
        <row r="647">
          <cell r="D647" t="str">
            <v>3/8" Hex Mini CIM 81</v>
          </cell>
          <cell r="E647">
            <v>0</v>
          </cell>
          <cell r="I647">
            <v>0</v>
          </cell>
        </row>
        <row r="648">
          <cell r="D648" t="str">
            <v>3/8" Hex Mini CIM 90</v>
          </cell>
          <cell r="E648">
            <v>0</v>
          </cell>
          <cell r="I648">
            <v>0</v>
          </cell>
        </row>
        <row r="649">
          <cell r="D649" t="str">
            <v>3/8" Hex Mini CIM 100</v>
          </cell>
          <cell r="E649">
            <v>0</v>
          </cell>
          <cell r="I649">
            <v>0</v>
          </cell>
        </row>
        <row r="650">
          <cell r="D650" t="str">
            <v>3/8" Hex CIM -3</v>
          </cell>
          <cell r="E650">
            <v>1</v>
          </cell>
          <cell r="I650">
            <v>0</v>
          </cell>
        </row>
        <row r="651">
          <cell r="D651" t="str">
            <v>3/8" Hex CIM -4</v>
          </cell>
          <cell r="E651">
            <v>1</v>
          </cell>
          <cell r="I651">
            <v>0</v>
          </cell>
        </row>
        <row r="652">
          <cell r="D652" t="str">
            <v>3/8" Hex CIM -5</v>
          </cell>
          <cell r="E652">
            <v>1</v>
          </cell>
          <cell r="I652">
            <v>0</v>
          </cell>
        </row>
        <row r="653">
          <cell r="D653" t="str">
            <v>3/8" Hex CIM -7</v>
          </cell>
          <cell r="E653">
            <v>1</v>
          </cell>
          <cell r="I653">
            <v>0</v>
          </cell>
        </row>
        <row r="654">
          <cell r="D654" t="str">
            <v>3/8" Hex CIM -9</v>
          </cell>
          <cell r="E654">
            <v>1</v>
          </cell>
          <cell r="I654">
            <v>0</v>
          </cell>
        </row>
        <row r="655">
          <cell r="D655" t="str">
            <v>3/8" Hex CIM -10</v>
          </cell>
          <cell r="E655">
            <v>1</v>
          </cell>
          <cell r="I655">
            <v>0</v>
          </cell>
        </row>
        <row r="656">
          <cell r="D656" t="str">
            <v>3/8" Hex CIM 9</v>
          </cell>
          <cell r="E656">
            <v>1</v>
          </cell>
          <cell r="I656">
            <v>0</v>
          </cell>
        </row>
        <row r="657">
          <cell r="D657" t="str">
            <v>3/8" Hex CIM 12</v>
          </cell>
          <cell r="E657">
            <v>1</v>
          </cell>
          <cell r="I657">
            <v>0</v>
          </cell>
        </row>
        <row r="658">
          <cell r="D658" t="str">
            <v>3/8" Hex CIM 15</v>
          </cell>
          <cell r="E658">
            <v>1</v>
          </cell>
          <cell r="I658">
            <v>0</v>
          </cell>
        </row>
        <row r="659">
          <cell r="D659" t="str">
            <v>3/8" Hex CIM 16</v>
          </cell>
          <cell r="E659">
            <v>1</v>
          </cell>
          <cell r="I659">
            <v>0</v>
          </cell>
        </row>
        <row r="660">
          <cell r="D660" t="str">
            <v>3/8" Hex CIM 20</v>
          </cell>
          <cell r="E660">
            <v>1</v>
          </cell>
          <cell r="I660">
            <v>0</v>
          </cell>
        </row>
        <row r="661">
          <cell r="D661" t="str">
            <v>3/8" Hex CIM 21</v>
          </cell>
          <cell r="E661">
            <v>1</v>
          </cell>
          <cell r="I661">
            <v>0</v>
          </cell>
        </row>
        <row r="662">
          <cell r="D662" t="str">
            <v>3/8" Hex CIM 25</v>
          </cell>
          <cell r="E662">
            <v>0</v>
          </cell>
          <cell r="I662">
            <v>0</v>
          </cell>
        </row>
        <row r="663">
          <cell r="D663" t="str">
            <v>3/8" Hex CIM 27</v>
          </cell>
          <cell r="E663">
            <v>0</v>
          </cell>
          <cell r="I663">
            <v>0</v>
          </cell>
        </row>
        <row r="664">
          <cell r="D664" t="str">
            <v>3/8" Hex CIM 28</v>
          </cell>
          <cell r="E664">
            <v>0</v>
          </cell>
          <cell r="I664">
            <v>0</v>
          </cell>
        </row>
        <row r="665">
          <cell r="D665" t="str">
            <v>3/8" Hex CIM 30</v>
          </cell>
          <cell r="E665">
            <v>0</v>
          </cell>
          <cell r="I665">
            <v>0</v>
          </cell>
        </row>
        <row r="666">
          <cell r="D666" t="str">
            <v>3/8" Hex CIM 35</v>
          </cell>
          <cell r="E666">
            <v>0</v>
          </cell>
          <cell r="I666">
            <v>0</v>
          </cell>
        </row>
        <row r="667">
          <cell r="D667" t="str">
            <v>3/8" Hex CIM 36</v>
          </cell>
          <cell r="E667">
            <v>0</v>
          </cell>
          <cell r="I667">
            <v>0</v>
          </cell>
        </row>
        <row r="668">
          <cell r="D668" t="str">
            <v>3/8" Hex CIM 40</v>
          </cell>
          <cell r="E668">
            <v>0</v>
          </cell>
          <cell r="I668">
            <v>0</v>
          </cell>
        </row>
        <row r="669">
          <cell r="D669" t="str">
            <v>3/8" Hex CIM 45</v>
          </cell>
          <cell r="E669">
            <v>0</v>
          </cell>
          <cell r="I669">
            <v>0</v>
          </cell>
        </row>
        <row r="670">
          <cell r="D670" t="str">
            <v>3/8" Hex CIM 49</v>
          </cell>
          <cell r="E670">
            <v>0</v>
          </cell>
          <cell r="I670">
            <v>0</v>
          </cell>
        </row>
        <row r="671">
          <cell r="D671" t="str">
            <v>3/8" Hex CIM 50</v>
          </cell>
          <cell r="E671">
            <v>0</v>
          </cell>
          <cell r="I671">
            <v>0</v>
          </cell>
        </row>
        <row r="672">
          <cell r="D672" t="str">
            <v>3/8" Hex CIM 63</v>
          </cell>
          <cell r="E672">
            <v>0</v>
          </cell>
          <cell r="I672">
            <v>0</v>
          </cell>
        </row>
        <row r="673">
          <cell r="D673" t="str">
            <v>3/8" Hex CIM 70</v>
          </cell>
          <cell r="E673">
            <v>0</v>
          </cell>
          <cell r="I673">
            <v>0</v>
          </cell>
        </row>
        <row r="674">
          <cell r="D674" t="str">
            <v>3/8" Hex CIM 81</v>
          </cell>
          <cell r="E674">
            <v>0</v>
          </cell>
          <cell r="I674">
            <v>0</v>
          </cell>
        </row>
        <row r="675">
          <cell r="D675" t="str">
            <v>3/8" Hex CIM 90</v>
          </cell>
          <cell r="E675">
            <v>0</v>
          </cell>
          <cell r="I675">
            <v>0</v>
          </cell>
        </row>
        <row r="676">
          <cell r="D676" t="str">
            <v>3/8" Hex CIM 100</v>
          </cell>
          <cell r="E676">
            <v>0</v>
          </cell>
          <cell r="I676">
            <v>0</v>
          </cell>
        </row>
        <row r="677">
          <cell r="D677" t="str">
            <v>3/8" Hex NEO -3</v>
          </cell>
          <cell r="E677">
            <v>1</v>
          </cell>
          <cell r="I677">
            <v>0</v>
          </cell>
        </row>
        <row r="678">
          <cell r="D678" t="str">
            <v>3/8" Hex NEO -4</v>
          </cell>
          <cell r="E678">
            <v>1</v>
          </cell>
          <cell r="I678">
            <v>0</v>
          </cell>
        </row>
        <row r="679">
          <cell r="D679" t="str">
            <v>3/8" Hex NEO -5</v>
          </cell>
          <cell r="E679">
            <v>1</v>
          </cell>
          <cell r="I679">
            <v>0</v>
          </cell>
        </row>
        <row r="680">
          <cell r="D680" t="str">
            <v>3/8" Hex NEO -7</v>
          </cell>
          <cell r="E680">
            <v>1</v>
          </cell>
          <cell r="I680">
            <v>0</v>
          </cell>
        </row>
        <row r="681">
          <cell r="D681" t="str">
            <v>3/8" Hex NEO -9</v>
          </cell>
          <cell r="E681">
            <v>1</v>
          </cell>
          <cell r="I681">
            <v>0</v>
          </cell>
        </row>
        <row r="682">
          <cell r="D682" t="str">
            <v>3/8" Hex NEO -10</v>
          </cell>
          <cell r="E682">
            <v>1</v>
          </cell>
          <cell r="I682">
            <v>0</v>
          </cell>
        </row>
        <row r="683">
          <cell r="D683" t="str">
            <v>3/8" Hex NEO 9</v>
          </cell>
          <cell r="E683">
            <v>1</v>
          </cell>
          <cell r="I683">
            <v>0</v>
          </cell>
        </row>
        <row r="684">
          <cell r="D684" t="str">
            <v>3/8" Hex NEO 12</v>
          </cell>
          <cell r="E684">
            <v>1</v>
          </cell>
          <cell r="I684">
            <v>0</v>
          </cell>
        </row>
        <row r="685">
          <cell r="D685" t="str">
            <v>3/8" Hex NEO 15</v>
          </cell>
          <cell r="E685">
            <v>1</v>
          </cell>
          <cell r="I685">
            <v>0</v>
          </cell>
        </row>
        <row r="686">
          <cell r="D686" t="str">
            <v>3/8" Hex NEO 16</v>
          </cell>
          <cell r="E686">
            <v>1</v>
          </cell>
          <cell r="I686">
            <v>0</v>
          </cell>
        </row>
        <row r="687">
          <cell r="D687" t="str">
            <v>3/8" Hex NEO 20</v>
          </cell>
          <cell r="E687">
            <v>0</v>
          </cell>
          <cell r="I687">
            <v>0</v>
          </cell>
        </row>
        <row r="688">
          <cell r="D688" t="str">
            <v>3/8" Hex NEO 21</v>
          </cell>
          <cell r="E688">
            <v>0</v>
          </cell>
          <cell r="I688">
            <v>0</v>
          </cell>
        </row>
        <row r="689">
          <cell r="D689" t="str">
            <v>3/8" Hex NEO 25</v>
          </cell>
          <cell r="E689">
            <v>0</v>
          </cell>
          <cell r="I689">
            <v>0</v>
          </cell>
        </row>
        <row r="690">
          <cell r="D690" t="str">
            <v>3/8" Hex NEO 27</v>
          </cell>
          <cell r="E690">
            <v>0</v>
          </cell>
          <cell r="I690">
            <v>0</v>
          </cell>
        </row>
        <row r="691">
          <cell r="D691" t="str">
            <v>3/8" Hex NEO 28</v>
          </cell>
          <cell r="E691">
            <v>0</v>
          </cell>
          <cell r="I691">
            <v>0</v>
          </cell>
        </row>
        <row r="692">
          <cell r="D692" t="str">
            <v>3/8" Hex NEO 30</v>
          </cell>
          <cell r="E692">
            <v>0</v>
          </cell>
          <cell r="I692">
            <v>0</v>
          </cell>
        </row>
        <row r="693">
          <cell r="D693" t="str">
            <v>3/8" Hex NEO 35</v>
          </cell>
          <cell r="E693">
            <v>0</v>
          </cell>
          <cell r="I693">
            <v>0</v>
          </cell>
        </row>
        <row r="694">
          <cell r="D694" t="str">
            <v>3/8" Hex NEO 36</v>
          </cell>
          <cell r="E694">
            <v>0</v>
          </cell>
          <cell r="I694">
            <v>0</v>
          </cell>
        </row>
        <row r="695">
          <cell r="D695" t="str">
            <v>3/8" Hex NEO 40</v>
          </cell>
          <cell r="E695">
            <v>0</v>
          </cell>
          <cell r="I695">
            <v>0</v>
          </cell>
        </row>
        <row r="696">
          <cell r="D696" t="str">
            <v>3/8" Hex NEO 45</v>
          </cell>
          <cell r="E696">
            <v>0</v>
          </cell>
          <cell r="I696">
            <v>0</v>
          </cell>
        </row>
        <row r="697">
          <cell r="D697" t="str">
            <v>3/8" Hex NEO 49</v>
          </cell>
          <cell r="E697">
            <v>0</v>
          </cell>
          <cell r="I697">
            <v>0</v>
          </cell>
        </row>
        <row r="698">
          <cell r="D698" t="str">
            <v>3/8" Hex NEO 50</v>
          </cell>
          <cell r="E698">
            <v>0</v>
          </cell>
          <cell r="I698">
            <v>0</v>
          </cell>
        </row>
        <row r="699">
          <cell r="D699" t="str">
            <v>3/8" Hex NEO 63</v>
          </cell>
          <cell r="E699">
            <v>0</v>
          </cell>
          <cell r="I699">
            <v>0</v>
          </cell>
        </row>
        <row r="700">
          <cell r="D700" t="str">
            <v>3/8" Hex NEO 70</v>
          </cell>
          <cell r="E700">
            <v>0</v>
          </cell>
          <cell r="I700">
            <v>0</v>
          </cell>
        </row>
        <row r="701">
          <cell r="D701" t="str">
            <v>3/8" Hex NEO 81</v>
          </cell>
          <cell r="E701">
            <v>0</v>
          </cell>
          <cell r="I701">
            <v>0</v>
          </cell>
        </row>
        <row r="702">
          <cell r="D702" t="str">
            <v>3/8" Hex NEO 90</v>
          </cell>
          <cell r="E702">
            <v>0</v>
          </cell>
          <cell r="I702">
            <v>0</v>
          </cell>
        </row>
        <row r="703">
          <cell r="D703" t="str">
            <v>3/8" Hex NEO 100</v>
          </cell>
          <cell r="E703">
            <v>0</v>
          </cell>
          <cell r="I703">
            <v>0</v>
          </cell>
        </row>
        <row r="704">
          <cell r="D704" t="str">
            <v>3/8" Hex Falcon 500 -3</v>
          </cell>
          <cell r="E704">
            <v>1</v>
          </cell>
          <cell r="I704">
            <v>0</v>
          </cell>
        </row>
        <row r="705">
          <cell r="D705" t="str">
            <v>3/8" Hex Falcon 500 -4</v>
          </cell>
          <cell r="E705">
            <v>1</v>
          </cell>
          <cell r="I705">
            <v>0</v>
          </cell>
        </row>
        <row r="706">
          <cell r="D706" t="str">
            <v>3/8" Hex Falcon 500 -5</v>
          </cell>
          <cell r="E706">
            <v>1</v>
          </cell>
          <cell r="I706">
            <v>0</v>
          </cell>
        </row>
        <row r="707">
          <cell r="D707" t="str">
            <v>3/8" Hex Falcon 500 -7</v>
          </cell>
          <cell r="E707">
            <v>1</v>
          </cell>
          <cell r="I707">
            <v>0</v>
          </cell>
        </row>
        <row r="708">
          <cell r="D708" t="str">
            <v>3/8" Hex Falcon 500 -9</v>
          </cell>
          <cell r="E708">
            <v>1</v>
          </cell>
          <cell r="I708">
            <v>0</v>
          </cell>
        </row>
        <row r="709">
          <cell r="D709" t="str">
            <v>3/8" Hex Falcon 500 -10</v>
          </cell>
          <cell r="E709">
            <v>1</v>
          </cell>
          <cell r="I709">
            <v>0</v>
          </cell>
        </row>
        <row r="710">
          <cell r="D710" t="str">
            <v>3/8" Hex Falcon 500 9</v>
          </cell>
          <cell r="E710">
            <v>1</v>
          </cell>
          <cell r="I710">
            <v>0</v>
          </cell>
        </row>
        <row r="711">
          <cell r="D711" t="str">
            <v>3/8" Hex Falcon 500 12</v>
          </cell>
          <cell r="E711">
            <v>1</v>
          </cell>
          <cell r="I711">
            <v>0</v>
          </cell>
        </row>
        <row r="712">
          <cell r="D712" t="str">
            <v>3/8" Hex Falcon 500 15</v>
          </cell>
          <cell r="E712">
            <v>0</v>
          </cell>
          <cell r="I712">
            <v>0</v>
          </cell>
        </row>
        <row r="713">
          <cell r="D713" t="str">
            <v>3/8" Hex Falcon 500 16</v>
          </cell>
          <cell r="E713">
            <v>0</v>
          </cell>
          <cell r="I713">
            <v>0</v>
          </cell>
        </row>
        <row r="714">
          <cell r="D714" t="str">
            <v>3/8" Hex Falcon 500 20</v>
          </cell>
          <cell r="E714">
            <v>0</v>
          </cell>
          <cell r="I714">
            <v>0</v>
          </cell>
        </row>
        <row r="715">
          <cell r="D715" t="str">
            <v>3/8" Hex Falcon 500 21</v>
          </cell>
          <cell r="E715">
            <v>0</v>
          </cell>
          <cell r="I715">
            <v>0</v>
          </cell>
        </row>
        <row r="716">
          <cell r="D716" t="str">
            <v>3/8" Hex Falcon 500 25</v>
          </cell>
          <cell r="E716">
            <v>0</v>
          </cell>
          <cell r="I716">
            <v>0</v>
          </cell>
        </row>
        <row r="717">
          <cell r="D717" t="str">
            <v>3/8" Hex Falcon 500 27</v>
          </cell>
          <cell r="E717">
            <v>0</v>
          </cell>
          <cell r="I717">
            <v>0</v>
          </cell>
        </row>
        <row r="718">
          <cell r="D718" t="str">
            <v>3/8" Hex Falcon 500 28</v>
          </cell>
          <cell r="E718">
            <v>0</v>
          </cell>
          <cell r="I718">
            <v>0</v>
          </cell>
        </row>
        <row r="719">
          <cell r="D719" t="str">
            <v>3/8" Hex Falcon 500 30</v>
          </cell>
          <cell r="E719">
            <v>0</v>
          </cell>
          <cell r="I719">
            <v>0</v>
          </cell>
        </row>
        <row r="720">
          <cell r="D720" t="str">
            <v>3/8" Hex Falcon 500 35</v>
          </cell>
          <cell r="E720">
            <v>0</v>
          </cell>
          <cell r="I720">
            <v>0</v>
          </cell>
        </row>
        <row r="721">
          <cell r="D721" t="str">
            <v>3/8" Hex Falcon 500 36</v>
          </cell>
          <cell r="E721">
            <v>0</v>
          </cell>
          <cell r="I721">
            <v>0</v>
          </cell>
        </row>
        <row r="722">
          <cell r="D722" t="str">
            <v>3/8" Hex Falcon 500 40</v>
          </cell>
          <cell r="E722">
            <v>0</v>
          </cell>
          <cell r="I722">
            <v>0</v>
          </cell>
        </row>
        <row r="723">
          <cell r="D723" t="str">
            <v>3/8" Hex Falcon 500 45</v>
          </cell>
          <cell r="E723">
            <v>0</v>
          </cell>
          <cell r="I723">
            <v>0</v>
          </cell>
        </row>
        <row r="724">
          <cell r="D724" t="str">
            <v>3/8" Hex Falcon 500 49</v>
          </cell>
          <cell r="E724">
            <v>0</v>
          </cell>
          <cell r="I724">
            <v>0</v>
          </cell>
        </row>
        <row r="725">
          <cell r="D725" t="str">
            <v>3/8" Hex Falcon 500 50</v>
          </cell>
          <cell r="E725">
            <v>0</v>
          </cell>
          <cell r="I725">
            <v>0</v>
          </cell>
        </row>
        <row r="726">
          <cell r="D726" t="str">
            <v>3/8" Hex Falcon 500 63</v>
          </cell>
          <cell r="E726">
            <v>0</v>
          </cell>
          <cell r="I726">
            <v>0</v>
          </cell>
        </row>
        <row r="727">
          <cell r="D727" t="str">
            <v>3/8" Hex Falcon 500 70</v>
          </cell>
          <cell r="E727">
            <v>0</v>
          </cell>
          <cell r="I727">
            <v>0</v>
          </cell>
        </row>
        <row r="728">
          <cell r="D728" t="str">
            <v>3/8" Hex Falcon 500 81</v>
          </cell>
          <cell r="E728">
            <v>0</v>
          </cell>
          <cell r="I728">
            <v>0</v>
          </cell>
        </row>
        <row r="729">
          <cell r="D729" t="str">
            <v>3/8" Hex Falcon 500 90</v>
          </cell>
          <cell r="E729">
            <v>0</v>
          </cell>
          <cell r="I729">
            <v>0</v>
          </cell>
        </row>
        <row r="730">
          <cell r="D730" t="str">
            <v>3/8" Hex Falcon 500 100</v>
          </cell>
          <cell r="E730">
            <v>0</v>
          </cell>
          <cell r="I730">
            <v>0</v>
          </cell>
        </row>
        <row r="731">
          <cell r="D731" t="str">
            <v>CIM Motor AM 9015 -3</v>
          </cell>
          <cell r="E731">
            <v>1</v>
          </cell>
        </row>
        <row r="732">
          <cell r="D732" t="str">
            <v>CIM Motor AM 9015 -4</v>
          </cell>
          <cell r="E732">
            <v>1</v>
          </cell>
        </row>
        <row r="733">
          <cell r="D733" t="str">
            <v>CIM Motor AM 9015 -5</v>
          </cell>
          <cell r="E733">
            <v>1</v>
          </cell>
        </row>
        <row r="734">
          <cell r="D734" t="str">
            <v>CIM Motor AM 9015 -7</v>
          </cell>
          <cell r="E734">
            <v>1</v>
          </cell>
        </row>
        <row r="735">
          <cell r="D735" t="str">
            <v>CIM Motor AM 9015 -9</v>
          </cell>
          <cell r="E735">
            <v>1</v>
          </cell>
        </row>
        <row r="736">
          <cell r="D736" t="str">
            <v>CIM Motor AM 9015 -10</v>
          </cell>
          <cell r="E736">
            <v>1</v>
          </cell>
        </row>
        <row r="737">
          <cell r="D737" t="str">
            <v>CIM Motor AM 9015 9</v>
          </cell>
          <cell r="E737">
            <v>7</v>
          </cell>
        </row>
        <row r="738">
          <cell r="D738" t="str">
            <v>CIM Motor AM 9015 12</v>
          </cell>
          <cell r="E738">
            <v>5</v>
          </cell>
        </row>
        <row r="739">
          <cell r="D739" t="str">
            <v>CIM Motor AM 9015 15</v>
          </cell>
          <cell r="E739">
            <v>4</v>
          </cell>
        </row>
        <row r="740">
          <cell r="D740" t="str">
            <v>CIM Motor AM 9015 16</v>
          </cell>
          <cell r="E740">
            <v>4</v>
          </cell>
        </row>
        <row r="741">
          <cell r="D741" t="str">
            <v>CIM Motor AM 9015 20</v>
          </cell>
          <cell r="E741">
            <v>3</v>
          </cell>
        </row>
        <row r="742">
          <cell r="D742" t="str">
            <v>CIM Motor AM 9015 21</v>
          </cell>
          <cell r="E742">
            <v>3</v>
          </cell>
        </row>
        <row r="743">
          <cell r="D743" t="str">
            <v>CIM Motor AM 9015 25</v>
          </cell>
          <cell r="E743">
            <v>1</v>
          </cell>
        </row>
        <row r="744">
          <cell r="D744" t="str">
            <v>CIM Motor AM 9015 27</v>
          </cell>
          <cell r="E744">
            <v>1</v>
          </cell>
        </row>
        <row r="745">
          <cell r="D745" t="str">
            <v>CIM Motor AM 9015 28</v>
          </cell>
          <cell r="E745">
            <v>1</v>
          </cell>
        </row>
        <row r="746">
          <cell r="D746" t="str">
            <v>CIM Motor AM 9015 30</v>
          </cell>
          <cell r="E746">
            <v>1</v>
          </cell>
        </row>
        <row r="747">
          <cell r="D747" t="str">
            <v>CIM Motor AM 9015 35</v>
          </cell>
          <cell r="E747">
            <v>1</v>
          </cell>
        </row>
        <row r="748">
          <cell r="D748" t="str">
            <v>CIM Motor AM 9015 36</v>
          </cell>
          <cell r="E748">
            <v>1</v>
          </cell>
        </row>
        <row r="749">
          <cell r="D749" t="str">
            <v>CIM Motor AM 9015 40</v>
          </cell>
          <cell r="E749">
            <v>1</v>
          </cell>
        </row>
        <row r="750">
          <cell r="D750" t="str">
            <v>CIM Motor AM 9015 45</v>
          </cell>
          <cell r="E750">
            <v>1</v>
          </cell>
        </row>
        <row r="751">
          <cell r="D751" t="str">
            <v>CIM Motor AM 9015 49</v>
          </cell>
          <cell r="E751">
            <v>1</v>
          </cell>
        </row>
        <row r="752">
          <cell r="D752" t="str">
            <v>CIM Motor AM 9015 50</v>
          </cell>
          <cell r="E752">
            <v>1</v>
          </cell>
        </row>
        <row r="753">
          <cell r="D753" t="str">
            <v>CIM Motor AM 9015 63</v>
          </cell>
          <cell r="E753">
            <v>1</v>
          </cell>
        </row>
        <row r="754">
          <cell r="D754" t="str">
            <v>CIM Motor AM 9015 70</v>
          </cell>
          <cell r="E754">
            <v>0</v>
          </cell>
        </row>
        <row r="755">
          <cell r="D755" t="str">
            <v>CIM Motor AM 9015 81</v>
          </cell>
          <cell r="E755">
            <v>0</v>
          </cell>
        </row>
        <row r="756">
          <cell r="D756" t="str">
            <v>CIM Motor AM 9015 90</v>
          </cell>
          <cell r="E756">
            <v>0</v>
          </cell>
        </row>
        <row r="757">
          <cell r="D757" t="str">
            <v>CIM Motor AM 9015 100</v>
          </cell>
          <cell r="E757">
            <v>0</v>
          </cell>
        </row>
        <row r="758">
          <cell r="D758" t="str">
            <v>CIM Motor BB RS-550 -3</v>
          </cell>
          <cell r="E758">
            <v>1</v>
          </cell>
          <cell r="F758">
            <v>1</v>
          </cell>
          <cell r="G758">
            <v>0</v>
          </cell>
          <cell r="H758">
            <v>1</v>
          </cell>
        </row>
        <row r="759">
          <cell r="D759" t="str">
            <v>CIM Motor BB RS-550 -4</v>
          </cell>
          <cell r="E759">
            <v>1</v>
          </cell>
          <cell r="F759">
            <v>1</v>
          </cell>
          <cell r="G759">
            <v>0</v>
          </cell>
          <cell r="H759">
            <v>0</v>
          </cell>
        </row>
        <row r="760">
          <cell r="D760" t="str">
            <v>CIM Motor BB RS-550 -5</v>
          </cell>
          <cell r="E760">
            <v>1</v>
          </cell>
          <cell r="F760">
            <v>1</v>
          </cell>
          <cell r="G760">
            <v>0</v>
          </cell>
          <cell r="H760">
            <v>0</v>
          </cell>
        </row>
        <row r="761">
          <cell r="D761" t="str">
            <v>CIM Motor BB RS-550 -7</v>
          </cell>
          <cell r="E761">
            <v>1</v>
          </cell>
          <cell r="F761">
            <v>1</v>
          </cell>
          <cell r="G761">
            <v>0</v>
          </cell>
          <cell r="H761">
            <v>0</v>
          </cell>
        </row>
        <row r="762">
          <cell r="D762" t="str">
            <v>CIM Motor BB RS-550 -9</v>
          </cell>
          <cell r="E762">
            <v>1</v>
          </cell>
          <cell r="F762">
            <v>1</v>
          </cell>
          <cell r="G762">
            <v>0</v>
          </cell>
          <cell r="H762">
            <v>0</v>
          </cell>
        </row>
        <row r="763">
          <cell r="D763" t="str">
            <v>CIM Motor BB RS-550 -10</v>
          </cell>
          <cell r="E763">
            <v>1</v>
          </cell>
          <cell r="F763">
            <v>1</v>
          </cell>
          <cell r="G763">
            <v>0</v>
          </cell>
          <cell r="H763">
            <v>0</v>
          </cell>
        </row>
        <row r="764">
          <cell r="D764" t="str">
            <v>CIM Motor BB RS-550 9</v>
          </cell>
          <cell r="E764">
            <v>5</v>
          </cell>
          <cell r="F764">
            <v>3</v>
          </cell>
          <cell r="G764">
            <v>0</v>
          </cell>
          <cell r="H764">
            <v>0</v>
          </cell>
        </row>
        <row r="765">
          <cell r="D765" t="str">
            <v>CIM Motor BB RS-550 12</v>
          </cell>
          <cell r="E765">
            <v>4</v>
          </cell>
          <cell r="F765">
            <v>1</v>
          </cell>
          <cell r="G765">
            <v>0</v>
          </cell>
          <cell r="H765">
            <v>0</v>
          </cell>
        </row>
        <row r="766">
          <cell r="D766" t="str">
            <v>CIM Motor BB RS-550 15</v>
          </cell>
          <cell r="E766">
            <v>3</v>
          </cell>
          <cell r="F766">
            <v>1</v>
          </cell>
          <cell r="G766">
            <v>0</v>
          </cell>
          <cell r="H766">
            <v>0</v>
          </cell>
        </row>
        <row r="767">
          <cell r="D767" t="str">
            <v>CIM Motor BB RS-550 16</v>
          </cell>
          <cell r="E767">
            <v>3</v>
          </cell>
          <cell r="F767">
            <v>1</v>
          </cell>
          <cell r="G767">
            <v>0</v>
          </cell>
          <cell r="H767">
            <v>0</v>
          </cell>
        </row>
        <row r="768">
          <cell r="D768" t="str">
            <v>CIM Motor BB RS-550 20</v>
          </cell>
          <cell r="E768">
            <v>1</v>
          </cell>
          <cell r="F768">
            <v>1</v>
          </cell>
          <cell r="G768">
            <v>0</v>
          </cell>
          <cell r="H768">
            <v>0</v>
          </cell>
        </row>
        <row r="769">
          <cell r="D769" t="str">
            <v>CIM Motor BB RS-550 21</v>
          </cell>
          <cell r="E769">
            <v>1</v>
          </cell>
          <cell r="F769">
            <v>1</v>
          </cell>
          <cell r="G769">
            <v>0</v>
          </cell>
          <cell r="H769">
            <v>0</v>
          </cell>
        </row>
        <row r="770">
          <cell r="D770" t="str">
            <v>CIM Motor BB RS-550 25</v>
          </cell>
          <cell r="E770">
            <v>1</v>
          </cell>
          <cell r="F770">
            <v>1</v>
          </cell>
          <cell r="G770">
            <v>0</v>
          </cell>
          <cell r="H770">
            <v>0</v>
          </cell>
        </row>
        <row r="771">
          <cell r="D771" t="str">
            <v>CIM Motor BB RS-550 27</v>
          </cell>
          <cell r="E771">
            <v>1</v>
          </cell>
          <cell r="F771">
            <v>1</v>
          </cell>
          <cell r="G771">
            <v>0</v>
          </cell>
          <cell r="H771">
            <v>0</v>
          </cell>
        </row>
        <row r="772">
          <cell r="D772" t="str">
            <v>CIM Motor BB RS-550 28</v>
          </cell>
          <cell r="E772">
            <v>1</v>
          </cell>
          <cell r="F772">
            <v>1</v>
          </cell>
          <cell r="G772">
            <v>0</v>
          </cell>
          <cell r="H772">
            <v>0</v>
          </cell>
        </row>
        <row r="773">
          <cell r="D773" t="str">
            <v>CIM Motor BB RS-550 30</v>
          </cell>
          <cell r="E773">
            <v>1</v>
          </cell>
          <cell r="F773">
            <v>0</v>
          </cell>
          <cell r="G773">
            <v>0</v>
          </cell>
          <cell r="H773">
            <v>0</v>
          </cell>
        </row>
        <row r="774">
          <cell r="D774" t="str">
            <v>CIM Motor BB RS-550 35</v>
          </cell>
          <cell r="E774">
            <v>1</v>
          </cell>
          <cell r="F774">
            <v>0</v>
          </cell>
          <cell r="G774">
            <v>0</v>
          </cell>
          <cell r="H774">
            <v>0</v>
          </cell>
        </row>
        <row r="775">
          <cell r="D775" t="str">
            <v>CIM Motor BB RS-550 36</v>
          </cell>
          <cell r="E775">
            <v>1</v>
          </cell>
          <cell r="F775">
            <v>0</v>
          </cell>
          <cell r="G775">
            <v>0</v>
          </cell>
          <cell r="H775">
            <v>0</v>
          </cell>
        </row>
        <row r="776">
          <cell r="D776" t="str">
            <v>CIM Motor BB RS-550 40</v>
          </cell>
          <cell r="E776">
            <v>1</v>
          </cell>
          <cell r="F776">
            <v>0</v>
          </cell>
          <cell r="G776">
            <v>0</v>
          </cell>
          <cell r="H776">
            <v>0</v>
          </cell>
        </row>
        <row r="777">
          <cell r="D777" t="str">
            <v>CIM Motor BB RS-550 45</v>
          </cell>
          <cell r="E777">
            <v>1</v>
          </cell>
          <cell r="F777">
            <v>0</v>
          </cell>
          <cell r="G777">
            <v>0</v>
          </cell>
          <cell r="H777">
            <v>0</v>
          </cell>
        </row>
        <row r="778">
          <cell r="D778" t="str">
            <v>CIM Motor BB RS-550 49</v>
          </cell>
          <cell r="E778">
            <v>1</v>
          </cell>
          <cell r="F778">
            <v>0</v>
          </cell>
          <cell r="G778">
            <v>0</v>
          </cell>
          <cell r="H778">
            <v>0</v>
          </cell>
        </row>
        <row r="779">
          <cell r="D779" t="str">
            <v>CIM Motor BB RS-550 50</v>
          </cell>
          <cell r="E779">
            <v>1</v>
          </cell>
          <cell r="F779">
            <v>0</v>
          </cell>
          <cell r="G779">
            <v>0</v>
          </cell>
          <cell r="H779">
            <v>0</v>
          </cell>
        </row>
        <row r="780">
          <cell r="D780" t="str">
            <v>CIM Motor BB RS-550 63</v>
          </cell>
          <cell r="E780">
            <v>0</v>
          </cell>
          <cell r="F780">
            <v>0</v>
          </cell>
          <cell r="G780">
            <v>0</v>
          </cell>
          <cell r="H780">
            <v>0</v>
          </cell>
        </row>
        <row r="781">
          <cell r="D781" t="str">
            <v>CIM Motor BB RS-550 70</v>
          </cell>
          <cell r="E781">
            <v>0</v>
          </cell>
          <cell r="F781">
            <v>0</v>
          </cell>
          <cell r="G781">
            <v>0</v>
          </cell>
          <cell r="H781">
            <v>0</v>
          </cell>
        </row>
        <row r="782">
          <cell r="D782" t="str">
            <v>CIM Motor BB RS-550 81</v>
          </cell>
          <cell r="E782">
            <v>0</v>
          </cell>
          <cell r="F782">
            <v>0</v>
          </cell>
          <cell r="G782">
            <v>0</v>
          </cell>
          <cell r="H782">
            <v>0</v>
          </cell>
        </row>
        <row r="783">
          <cell r="D783" t="str">
            <v>CIM Motor BB RS-550 90</v>
          </cell>
          <cell r="E783">
            <v>0</v>
          </cell>
          <cell r="F783">
            <v>0</v>
          </cell>
          <cell r="G783">
            <v>0</v>
          </cell>
          <cell r="H783">
            <v>0</v>
          </cell>
        </row>
        <row r="784">
          <cell r="D784" t="str">
            <v>CIM Motor BB RS-550 100</v>
          </cell>
          <cell r="E784">
            <v>0</v>
          </cell>
          <cell r="F784">
            <v>0</v>
          </cell>
          <cell r="G784">
            <v>0</v>
          </cell>
          <cell r="H784">
            <v>0</v>
          </cell>
        </row>
        <row r="785">
          <cell r="D785" t="str">
            <v>CIM Motor BB RS-775 -3</v>
          </cell>
          <cell r="E785">
            <v>1</v>
          </cell>
          <cell r="F785">
            <v>1</v>
          </cell>
          <cell r="G785">
            <v>0</v>
          </cell>
          <cell r="H785">
            <v>0</v>
          </cell>
        </row>
        <row r="786">
          <cell r="D786" t="str">
            <v>CIM Motor BB RS-775 -4</v>
          </cell>
          <cell r="E786">
            <v>1</v>
          </cell>
          <cell r="F786">
            <v>1</v>
          </cell>
          <cell r="G786">
            <v>0</v>
          </cell>
          <cell r="H786">
            <v>0</v>
          </cell>
        </row>
        <row r="787">
          <cell r="D787" t="str">
            <v>CIM Motor BB RS-775 -5</v>
          </cell>
          <cell r="E787">
            <v>1</v>
          </cell>
          <cell r="F787">
            <v>1</v>
          </cell>
          <cell r="G787">
            <v>0</v>
          </cell>
          <cell r="H787">
            <v>0</v>
          </cell>
        </row>
        <row r="788">
          <cell r="D788" t="str">
            <v>CIM Motor BB RS-775 -7</v>
          </cell>
          <cell r="E788">
            <v>1</v>
          </cell>
          <cell r="F788">
            <v>1</v>
          </cell>
          <cell r="G788">
            <v>0</v>
          </cell>
          <cell r="H788">
            <v>0</v>
          </cell>
        </row>
        <row r="789">
          <cell r="D789" t="str">
            <v>CIM Motor BB RS-775 -9</v>
          </cell>
          <cell r="E789">
            <v>1</v>
          </cell>
          <cell r="F789">
            <v>1</v>
          </cell>
          <cell r="G789">
            <v>0</v>
          </cell>
          <cell r="H789">
            <v>0</v>
          </cell>
        </row>
        <row r="790">
          <cell r="D790" t="str">
            <v>CIM Motor BB RS-775 -10</v>
          </cell>
          <cell r="E790">
            <v>1</v>
          </cell>
          <cell r="F790">
            <v>1</v>
          </cell>
          <cell r="G790">
            <v>0</v>
          </cell>
          <cell r="H790">
            <v>0</v>
          </cell>
        </row>
        <row r="791">
          <cell r="D791" t="str">
            <v>CIM Motor BB RS-775 9</v>
          </cell>
          <cell r="E791">
            <v>4</v>
          </cell>
          <cell r="F791">
            <v>1</v>
          </cell>
          <cell r="G791">
            <v>0</v>
          </cell>
          <cell r="H791">
            <v>0</v>
          </cell>
        </row>
        <row r="792">
          <cell r="D792" t="str">
            <v>CIM Motor BB RS-775 12</v>
          </cell>
          <cell r="E792">
            <v>3</v>
          </cell>
          <cell r="F792">
            <v>1</v>
          </cell>
          <cell r="G792">
            <v>0</v>
          </cell>
          <cell r="H792">
            <v>0</v>
          </cell>
        </row>
        <row r="793">
          <cell r="D793" t="str">
            <v>CIM Motor BB RS-775 15</v>
          </cell>
          <cell r="E793">
            <v>1</v>
          </cell>
          <cell r="F793">
            <v>1</v>
          </cell>
          <cell r="G793">
            <v>0</v>
          </cell>
          <cell r="H793">
            <v>0</v>
          </cell>
        </row>
        <row r="794">
          <cell r="D794" t="str">
            <v>CIM Motor BB RS-775 16</v>
          </cell>
          <cell r="E794">
            <v>1</v>
          </cell>
          <cell r="F794">
            <v>1</v>
          </cell>
          <cell r="G794">
            <v>0</v>
          </cell>
          <cell r="H794">
            <v>0</v>
          </cell>
        </row>
        <row r="795">
          <cell r="D795" t="str">
            <v>CIM Motor BB RS-775 20</v>
          </cell>
          <cell r="E795">
            <v>1</v>
          </cell>
          <cell r="F795">
            <v>0</v>
          </cell>
          <cell r="G795">
            <v>0</v>
          </cell>
          <cell r="H795">
            <v>0</v>
          </cell>
        </row>
        <row r="796">
          <cell r="D796" t="str">
            <v>CIM Motor BB RS-775 21</v>
          </cell>
          <cell r="E796">
            <v>1</v>
          </cell>
          <cell r="F796">
            <v>0</v>
          </cell>
          <cell r="G796">
            <v>0</v>
          </cell>
          <cell r="H796">
            <v>0</v>
          </cell>
        </row>
        <row r="797">
          <cell r="D797" t="str">
            <v>CIM Motor BB RS-775 25</v>
          </cell>
          <cell r="E797">
            <v>1</v>
          </cell>
          <cell r="F797">
            <v>0</v>
          </cell>
          <cell r="G797">
            <v>0</v>
          </cell>
          <cell r="H797">
            <v>0</v>
          </cell>
        </row>
        <row r="798">
          <cell r="D798" t="str">
            <v>CIM Motor BB RS-775 27</v>
          </cell>
          <cell r="E798">
            <v>1</v>
          </cell>
          <cell r="F798">
            <v>0</v>
          </cell>
          <cell r="G798">
            <v>0</v>
          </cell>
          <cell r="H798">
            <v>0</v>
          </cell>
        </row>
        <row r="799">
          <cell r="D799" t="str">
            <v>CIM Motor BB RS-775 28</v>
          </cell>
          <cell r="E799">
            <v>1</v>
          </cell>
          <cell r="F799">
            <v>0</v>
          </cell>
          <cell r="G799">
            <v>0</v>
          </cell>
          <cell r="H799">
            <v>0</v>
          </cell>
        </row>
        <row r="800">
          <cell r="D800" t="str">
            <v>CIM Motor BB RS-775 30</v>
          </cell>
          <cell r="E800">
            <v>1</v>
          </cell>
          <cell r="F800">
            <v>0</v>
          </cell>
          <cell r="G800">
            <v>0</v>
          </cell>
          <cell r="H800">
            <v>0</v>
          </cell>
        </row>
        <row r="801">
          <cell r="D801" t="str">
            <v>CIM Motor BB RS-775 35</v>
          </cell>
          <cell r="E801">
            <v>1</v>
          </cell>
          <cell r="F801">
            <v>0</v>
          </cell>
          <cell r="G801">
            <v>0</v>
          </cell>
          <cell r="H801">
            <v>0</v>
          </cell>
        </row>
        <row r="802">
          <cell r="D802" t="str">
            <v>CIM Motor BB RS-775 36</v>
          </cell>
          <cell r="E802">
            <v>1</v>
          </cell>
          <cell r="F802">
            <v>0</v>
          </cell>
          <cell r="G802">
            <v>0</v>
          </cell>
          <cell r="H802">
            <v>0</v>
          </cell>
        </row>
        <row r="803">
          <cell r="D803" t="str">
            <v>CIM Motor BB RS-775 40</v>
          </cell>
          <cell r="E803">
            <v>0</v>
          </cell>
          <cell r="F803">
            <v>0</v>
          </cell>
          <cell r="G803">
            <v>0</v>
          </cell>
          <cell r="H803">
            <v>0</v>
          </cell>
        </row>
        <row r="804">
          <cell r="D804" t="str">
            <v>CIM Motor BB RS-775 45</v>
          </cell>
          <cell r="E804">
            <v>0</v>
          </cell>
          <cell r="F804">
            <v>0</v>
          </cell>
          <cell r="G804">
            <v>0</v>
          </cell>
          <cell r="H804">
            <v>0</v>
          </cell>
        </row>
        <row r="805">
          <cell r="D805" t="str">
            <v>CIM Motor BB RS-775 49</v>
          </cell>
          <cell r="E805">
            <v>0</v>
          </cell>
          <cell r="F805">
            <v>0</v>
          </cell>
          <cell r="G805">
            <v>0</v>
          </cell>
          <cell r="H805">
            <v>0</v>
          </cell>
        </row>
        <row r="806">
          <cell r="D806" t="str">
            <v>CIM Motor BB RS-775 50</v>
          </cell>
          <cell r="E806">
            <v>0</v>
          </cell>
          <cell r="F806">
            <v>0</v>
          </cell>
          <cell r="G806">
            <v>0</v>
          </cell>
          <cell r="H806">
            <v>0</v>
          </cell>
        </row>
        <row r="807">
          <cell r="D807" t="str">
            <v>CIM Motor BB RS-775 63</v>
          </cell>
          <cell r="E807">
            <v>0</v>
          </cell>
          <cell r="F807">
            <v>0</v>
          </cell>
          <cell r="G807">
            <v>0</v>
          </cell>
          <cell r="H807">
            <v>0</v>
          </cell>
        </row>
        <row r="808">
          <cell r="D808" t="str">
            <v>CIM Motor BB RS-775 70</v>
          </cell>
          <cell r="E808">
            <v>0</v>
          </cell>
          <cell r="F808">
            <v>0</v>
          </cell>
          <cell r="G808">
            <v>0</v>
          </cell>
          <cell r="H808">
            <v>0</v>
          </cell>
        </row>
        <row r="809">
          <cell r="D809" t="str">
            <v>CIM Motor BB RS-775 81</v>
          </cell>
          <cell r="E809">
            <v>0</v>
          </cell>
          <cell r="F809">
            <v>0</v>
          </cell>
          <cell r="G809">
            <v>0</v>
          </cell>
          <cell r="H809">
            <v>0</v>
          </cell>
        </row>
        <row r="810">
          <cell r="D810" t="str">
            <v>CIM Motor BB RS-775 90</v>
          </cell>
          <cell r="E810">
            <v>0</v>
          </cell>
          <cell r="F810">
            <v>0</v>
          </cell>
          <cell r="G810">
            <v>0</v>
          </cell>
          <cell r="H810">
            <v>0</v>
          </cell>
        </row>
        <row r="811">
          <cell r="D811" t="str">
            <v>CIM Motor BB RS-775 100</v>
          </cell>
          <cell r="E811">
            <v>0</v>
          </cell>
          <cell r="F811">
            <v>0</v>
          </cell>
          <cell r="G811">
            <v>0</v>
          </cell>
          <cell r="H811">
            <v>0</v>
          </cell>
        </row>
        <row r="812">
          <cell r="D812" t="str">
            <v>CIM Motor BAG Motor -3</v>
          </cell>
          <cell r="E812">
            <v>1</v>
          </cell>
          <cell r="F812">
            <v>1</v>
          </cell>
          <cell r="G812">
            <v>0</v>
          </cell>
          <cell r="H812">
            <v>0</v>
          </cell>
        </row>
        <row r="813">
          <cell r="D813" t="str">
            <v>CIM Motor BAG Motor -4</v>
          </cell>
          <cell r="E813">
            <v>1</v>
          </cell>
          <cell r="F813">
            <v>1</v>
          </cell>
          <cell r="G813">
            <v>0</v>
          </cell>
          <cell r="H813">
            <v>0</v>
          </cell>
        </row>
        <row r="814">
          <cell r="D814" t="str">
            <v>CIM Motor BAG Motor -5</v>
          </cell>
          <cell r="E814">
            <v>1</v>
          </cell>
          <cell r="F814">
            <v>1</v>
          </cell>
          <cell r="G814">
            <v>0</v>
          </cell>
          <cell r="H814">
            <v>0</v>
          </cell>
        </row>
        <row r="815">
          <cell r="D815" t="str">
            <v>CIM Motor BAG Motor -7</v>
          </cell>
          <cell r="E815">
            <v>1</v>
          </cell>
          <cell r="F815">
            <v>1</v>
          </cell>
          <cell r="G815">
            <v>0</v>
          </cell>
          <cell r="H815">
            <v>0</v>
          </cell>
        </row>
        <row r="816">
          <cell r="D816" t="str">
            <v>CIM Motor BAG Motor -9</v>
          </cell>
          <cell r="E816">
            <v>1</v>
          </cell>
          <cell r="F816">
            <v>1</v>
          </cell>
          <cell r="G816">
            <v>0</v>
          </cell>
          <cell r="H816">
            <v>0</v>
          </cell>
        </row>
        <row r="817">
          <cell r="D817" t="str">
            <v>CIM Motor BAG Motor -10</v>
          </cell>
          <cell r="E817">
            <v>1</v>
          </cell>
          <cell r="F817">
            <v>1</v>
          </cell>
          <cell r="G817">
            <v>0</v>
          </cell>
          <cell r="H817">
            <v>0</v>
          </cell>
        </row>
        <row r="818">
          <cell r="D818" t="str">
            <v>CIM Motor BAG Motor 9</v>
          </cell>
          <cell r="E818">
            <v>7</v>
          </cell>
          <cell r="F818">
            <v>3</v>
          </cell>
          <cell r="G818">
            <v>0</v>
          </cell>
          <cell r="H818">
            <v>0</v>
          </cell>
        </row>
        <row r="819">
          <cell r="D819" t="str">
            <v>CIM Motor BAG Motor 12</v>
          </cell>
          <cell r="E819">
            <v>5</v>
          </cell>
          <cell r="F819">
            <v>1</v>
          </cell>
          <cell r="G819">
            <v>0</v>
          </cell>
          <cell r="H819">
            <v>0</v>
          </cell>
        </row>
        <row r="820">
          <cell r="D820" t="str">
            <v>CIM Motor BAG Motor 15</v>
          </cell>
          <cell r="E820">
            <v>4</v>
          </cell>
          <cell r="F820">
            <v>1</v>
          </cell>
          <cell r="G820">
            <v>0</v>
          </cell>
          <cell r="H820">
            <v>0</v>
          </cell>
        </row>
        <row r="821">
          <cell r="D821" t="str">
            <v>CIM Motor BAG Motor 16</v>
          </cell>
          <cell r="E821">
            <v>4</v>
          </cell>
          <cell r="F821">
            <v>1</v>
          </cell>
          <cell r="G821">
            <v>0</v>
          </cell>
          <cell r="H821">
            <v>0</v>
          </cell>
        </row>
        <row r="822">
          <cell r="D822" t="str">
            <v>CIM Motor BAG Motor 20</v>
          </cell>
          <cell r="E822">
            <v>3</v>
          </cell>
          <cell r="F822">
            <v>1</v>
          </cell>
          <cell r="G822">
            <v>0</v>
          </cell>
          <cell r="H822">
            <v>0</v>
          </cell>
        </row>
        <row r="823">
          <cell r="D823" t="str">
            <v>CIM Motor BAG Motor 21</v>
          </cell>
          <cell r="E823">
            <v>3</v>
          </cell>
          <cell r="F823">
            <v>1</v>
          </cell>
          <cell r="G823">
            <v>0</v>
          </cell>
          <cell r="H823">
            <v>0</v>
          </cell>
        </row>
        <row r="824">
          <cell r="D824" t="str">
            <v>CIM Motor BAG Motor 25</v>
          </cell>
          <cell r="E824">
            <v>1</v>
          </cell>
          <cell r="F824">
            <v>1</v>
          </cell>
          <cell r="G824">
            <v>0</v>
          </cell>
          <cell r="H824">
            <v>0</v>
          </cell>
        </row>
        <row r="825">
          <cell r="D825" t="str">
            <v>CIM Motor BAG Motor 27</v>
          </cell>
          <cell r="E825">
            <v>1</v>
          </cell>
          <cell r="F825">
            <v>1</v>
          </cell>
          <cell r="G825">
            <v>0</v>
          </cell>
          <cell r="H825">
            <v>0</v>
          </cell>
        </row>
        <row r="826">
          <cell r="D826" t="str">
            <v>CIM Motor BAG Motor 28</v>
          </cell>
          <cell r="E826">
            <v>1</v>
          </cell>
          <cell r="F826">
            <v>1</v>
          </cell>
          <cell r="G826">
            <v>0</v>
          </cell>
          <cell r="H826">
            <v>0</v>
          </cell>
        </row>
        <row r="827">
          <cell r="D827" t="str">
            <v>CIM Motor BAG Motor 30</v>
          </cell>
          <cell r="E827">
            <v>1</v>
          </cell>
          <cell r="F827">
            <v>1</v>
          </cell>
          <cell r="G827">
            <v>0</v>
          </cell>
          <cell r="H827">
            <v>0</v>
          </cell>
        </row>
        <row r="828">
          <cell r="D828" t="str">
            <v>CIM Motor BAG Motor 35</v>
          </cell>
          <cell r="E828">
            <v>1</v>
          </cell>
          <cell r="F828">
            <v>0</v>
          </cell>
          <cell r="G828">
            <v>0</v>
          </cell>
          <cell r="H828">
            <v>0</v>
          </cell>
        </row>
        <row r="829">
          <cell r="D829" t="str">
            <v>CIM Motor BAG Motor 36</v>
          </cell>
          <cell r="E829">
            <v>1</v>
          </cell>
          <cell r="F829">
            <v>0</v>
          </cell>
          <cell r="G829">
            <v>0</v>
          </cell>
          <cell r="H829">
            <v>0</v>
          </cell>
        </row>
        <row r="830">
          <cell r="D830" t="str">
            <v>CIM Motor BAG Motor 40</v>
          </cell>
          <cell r="E830">
            <v>1</v>
          </cell>
          <cell r="F830">
            <v>0</v>
          </cell>
          <cell r="G830">
            <v>0</v>
          </cell>
          <cell r="H830">
            <v>0</v>
          </cell>
        </row>
        <row r="831">
          <cell r="D831" t="str">
            <v>CIM Motor BAG Motor 45</v>
          </cell>
          <cell r="E831">
            <v>1</v>
          </cell>
          <cell r="F831">
            <v>0</v>
          </cell>
          <cell r="G831">
            <v>0</v>
          </cell>
          <cell r="H831">
            <v>0</v>
          </cell>
        </row>
        <row r="832">
          <cell r="D832" t="str">
            <v>CIM Motor BAG Motor 49</v>
          </cell>
          <cell r="E832">
            <v>1</v>
          </cell>
          <cell r="F832">
            <v>0</v>
          </cell>
          <cell r="G832">
            <v>0</v>
          </cell>
          <cell r="H832">
            <v>0</v>
          </cell>
        </row>
        <row r="833">
          <cell r="D833" t="str">
            <v>CIM Motor BAG Motor 50</v>
          </cell>
          <cell r="E833">
            <v>1</v>
          </cell>
          <cell r="F833">
            <v>0</v>
          </cell>
          <cell r="G833">
            <v>0</v>
          </cell>
          <cell r="H833">
            <v>0</v>
          </cell>
        </row>
        <row r="834">
          <cell r="D834" t="str">
            <v>CIM Motor BAG Motor 63</v>
          </cell>
          <cell r="E834">
            <v>1</v>
          </cell>
          <cell r="F834">
            <v>0</v>
          </cell>
          <cell r="G834">
            <v>0</v>
          </cell>
          <cell r="H834">
            <v>0</v>
          </cell>
        </row>
        <row r="835">
          <cell r="D835" t="str">
            <v>CIM Motor BAG Motor 70</v>
          </cell>
          <cell r="E835">
            <v>0</v>
          </cell>
          <cell r="F835">
            <v>0</v>
          </cell>
          <cell r="G835">
            <v>0</v>
          </cell>
          <cell r="H835">
            <v>0</v>
          </cell>
        </row>
        <row r="836">
          <cell r="D836" t="str">
            <v>CIM Motor BAG Motor 81</v>
          </cell>
          <cell r="E836">
            <v>0</v>
          </cell>
          <cell r="F836">
            <v>0</v>
          </cell>
          <cell r="G836">
            <v>0</v>
          </cell>
          <cell r="H836">
            <v>0</v>
          </cell>
        </row>
        <row r="837">
          <cell r="D837" t="str">
            <v>CIM Motor BAG Motor 90</v>
          </cell>
          <cell r="E837">
            <v>0</v>
          </cell>
          <cell r="F837">
            <v>0</v>
          </cell>
          <cell r="G837">
            <v>0</v>
          </cell>
          <cell r="H837">
            <v>0</v>
          </cell>
        </row>
        <row r="838">
          <cell r="D838" t="str">
            <v>CIM Motor BAG Motor 100</v>
          </cell>
          <cell r="E838">
            <v>0</v>
          </cell>
          <cell r="F838">
            <v>0</v>
          </cell>
          <cell r="G838">
            <v>0</v>
          </cell>
          <cell r="H838">
            <v>0</v>
          </cell>
        </row>
        <row r="839">
          <cell r="D839" t="str">
            <v>CIM Motor 775pro -3</v>
          </cell>
          <cell r="E839">
            <v>1</v>
          </cell>
          <cell r="F839">
            <v>1</v>
          </cell>
          <cell r="G839">
            <v>0</v>
          </cell>
          <cell r="H839">
            <v>0</v>
          </cell>
        </row>
        <row r="840">
          <cell r="D840" t="str">
            <v>CIM Motor 775pro -4</v>
          </cell>
          <cell r="E840">
            <v>1</v>
          </cell>
          <cell r="F840">
            <v>1</v>
          </cell>
          <cell r="G840">
            <v>0</v>
          </cell>
          <cell r="H840">
            <v>0</v>
          </cell>
        </row>
        <row r="841">
          <cell r="D841" t="str">
            <v>CIM Motor 775pro -5</v>
          </cell>
          <cell r="E841">
            <v>1</v>
          </cell>
          <cell r="F841">
            <v>1</v>
          </cell>
          <cell r="G841">
            <v>0</v>
          </cell>
          <cell r="H841">
            <v>0</v>
          </cell>
        </row>
        <row r="842">
          <cell r="D842" t="str">
            <v>CIM Motor 775pro -7</v>
          </cell>
          <cell r="E842">
            <v>1</v>
          </cell>
          <cell r="F842">
            <v>1</v>
          </cell>
          <cell r="G842">
            <v>0</v>
          </cell>
          <cell r="H842">
            <v>0</v>
          </cell>
        </row>
        <row r="843">
          <cell r="D843" t="str">
            <v>CIM Motor 775pro -9</v>
          </cell>
          <cell r="E843">
            <v>1</v>
          </cell>
          <cell r="F843">
            <v>1</v>
          </cell>
          <cell r="G843">
            <v>0</v>
          </cell>
          <cell r="H843">
            <v>0</v>
          </cell>
        </row>
        <row r="844">
          <cell r="D844" t="str">
            <v>CIM Motor 775pro -10</v>
          </cell>
          <cell r="E844">
            <v>1</v>
          </cell>
          <cell r="F844">
            <v>1</v>
          </cell>
          <cell r="G844">
            <v>0</v>
          </cell>
          <cell r="H844">
            <v>0</v>
          </cell>
        </row>
        <row r="845">
          <cell r="D845" t="str">
            <v>CIM Motor 775pro 9</v>
          </cell>
          <cell r="E845">
            <v>4</v>
          </cell>
          <cell r="F845">
            <v>1</v>
          </cell>
          <cell r="G845">
            <v>0</v>
          </cell>
          <cell r="H845">
            <v>0</v>
          </cell>
        </row>
        <row r="846">
          <cell r="D846" t="str">
            <v>CIM Motor 775pro 12</v>
          </cell>
          <cell r="E846">
            <v>3</v>
          </cell>
          <cell r="F846">
            <v>1</v>
          </cell>
          <cell r="G846">
            <v>0</v>
          </cell>
          <cell r="H846">
            <v>0</v>
          </cell>
        </row>
        <row r="847">
          <cell r="D847" t="str">
            <v>CIM Motor 775pro 15</v>
          </cell>
          <cell r="E847">
            <v>1</v>
          </cell>
          <cell r="F847">
            <v>1</v>
          </cell>
          <cell r="G847">
            <v>0</v>
          </cell>
          <cell r="H847">
            <v>0</v>
          </cell>
        </row>
        <row r="848">
          <cell r="D848" t="str">
            <v>CIM Motor 775pro 16</v>
          </cell>
          <cell r="E848">
            <v>1</v>
          </cell>
          <cell r="F848">
            <v>1</v>
          </cell>
          <cell r="G848">
            <v>0</v>
          </cell>
          <cell r="H848">
            <v>0</v>
          </cell>
        </row>
        <row r="849">
          <cell r="D849" t="str">
            <v>CIM Motor 775pro 20</v>
          </cell>
          <cell r="E849">
            <v>1</v>
          </cell>
          <cell r="F849">
            <v>1</v>
          </cell>
          <cell r="G849">
            <v>0</v>
          </cell>
          <cell r="H849">
            <v>0</v>
          </cell>
        </row>
        <row r="850">
          <cell r="D850" t="str">
            <v>CIM Motor 775pro 21</v>
          </cell>
          <cell r="E850">
            <v>1</v>
          </cell>
          <cell r="F850">
            <v>0</v>
          </cell>
          <cell r="G850">
            <v>0</v>
          </cell>
          <cell r="H850">
            <v>0</v>
          </cell>
        </row>
        <row r="851">
          <cell r="D851" t="str">
            <v>CIM Motor 775pro 25</v>
          </cell>
          <cell r="E851">
            <v>1</v>
          </cell>
          <cell r="F851">
            <v>0</v>
          </cell>
          <cell r="G851">
            <v>0</v>
          </cell>
          <cell r="H851">
            <v>0</v>
          </cell>
        </row>
        <row r="852">
          <cell r="D852" t="str">
            <v>CIM Motor 775pro 27</v>
          </cell>
          <cell r="E852">
            <v>1</v>
          </cell>
          <cell r="F852">
            <v>0</v>
          </cell>
          <cell r="G852">
            <v>0</v>
          </cell>
          <cell r="H852">
            <v>0</v>
          </cell>
        </row>
        <row r="853">
          <cell r="D853" t="str">
            <v>CIM Motor 775pro 28</v>
          </cell>
          <cell r="E853">
            <v>1</v>
          </cell>
          <cell r="F853">
            <v>0</v>
          </cell>
          <cell r="G853">
            <v>0</v>
          </cell>
          <cell r="H853">
            <v>0</v>
          </cell>
        </row>
        <row r="854">
          <cell r="D854" t="str">
            <v>CIM Motor 775pro 30</v>
          </cell>
          <cell r="E854">
            <v>1</v>
          </cell>
          <cell r="F854">
            <v>0</v>
          </cell>
          <cell r="G854">
            <v>0</v>
          </cell>
          <cell r="H854">
            <v>0</v>
          </cell>
        </row>
        <row r="855">
          <cell r="D855" t="str">
            <v>CIM Motor 775pro 35</v>
          </cell>
          <cell r="E855">
            <v>1</v>
          </cell>
          <cell r="F855">
            <v>0</v>
          </cell>
          <cell r="G855">
            <v>0</v>
          </cell>
          <cell r="H855">
            <v>0</v>
          </cell>
        </row>
        <row r="856">
          <cell r="D856" t="str">
            <v>CIM Motor 775pro 36</v>
          </cell>
          <cell r="E856">
            <v>1</v>
          </cell>
          <cell r="F856">
            <v>0</v>
          </cell>
          <cell r="G856">
            <v>0</v>
          </cell>
          <cell r="H856">
            <v>0</v>
          </cell>
        </row>
        <row r="857">
          <cell r="D857" t="str">
            <v>CIM Motor 775pro 40</v>
          </cell>
          <cell r="E857">
            <v>1</v>
          </cell>
          <cell r="F857">
            <v>0</v>
          </cell>
          <cell r="G857">
            <v>0</v>
          </cell>
          <cell r="H857">
            <v>0</v>
          </cell>
        </row>
        <row r="858">
          <cell r="D858" t="str">
            <v>CIM Motor 775pro 45</v>
          </cell>
          <cell r="E858">
            <v>0</v>
          </cell>
          <cell r="F858">
            <v>0</v>
          </cell>
          <cell r="G858">
            <v>0</v>
          </cell>
          <cell r="H858">
            <v>0</v>
          </cell>
        </row>
        <row r="859">
          <cell r="D859" t="str">
            <v>CIM Motor 775pro 49</v>
          </cell>
          <cell r="E859">
            <v>0</v>
          </cell>
          <cell r="F859">
            <v>0</v>
          </cell>
          <cell r="G859">
            <v>0</v>
          </cell>
          <cell r="H859">
            <v>0</v>
          </cell>
        </row>
        <row r="860">
          <cell r="D860" t="str">
            <v>CIM Motor 775pro 50</v>
          </cell>
          <cell r="E860">
            <v>0</v>
          </cell>
          <cell r="F860">
            <v>0</v>
          </cell>
          <cell r="G860">
            <v>0</v>
          </cell>
          <cell r="H860">
            <v>0</v>
          </cell>
        </row>
        <row r="861">
          <cell r="D861" t="str">
            <v>CIM Motor 775pro 63</v>
          </cell>
          <cell r="E861">
            <v>0</v>
          </cell>
          <cell r="F861">
            <v>0</v>
          </cell>
          <cell r="G861">
            <v>0</v>
          </cell>
          <cell r="H861">
            <v>0</v>
          </cell>
        </row>
        <row r="862">
          <cell r="D862" t="str">
            <v>CIM Motor 775pro 70</v>
          </cell>
          <cell r="E862">
            <v>0</v>
          </cell>
          <cell r="F862">
            <v>0</v>
          </cell>
          <cell r="G862">
            <v>0</v>
          </cell>
          <cell r="H862">
            <v>0</v>
          </cell>
        </row>
        <row r="863">
          <cell r="D863" t="str">
            <v>CIM Motor 775pro 81</v>
          </cell>
          <cell r="E863">
            <v>0</v>
          </cell>
          <cell r="F863">
            <v>0</v>
          </cell>
          <cell r="G863">
            <v>0</v>
          </cell>
          <cell r="H863">
            <v>0</v>
          </cell>
        </row>
        <row r="864">
          <cell r="D864" t="str">
            <v>CIM Motor 775pro 90</v>
          </cell>
          <cell r="E864">
            <v>0</v>
          </cell>
          <cell r="F864">
            <v>0</v>
          </cell>
          <cell r="G864">
            <v>0</v>
          </cell>
          <cell r="H864">
            <v>0</v>
          </cell>
        </row>
        <row r="865">
          <cell r="D865" t="str">
            <v>CIM Motor 775pro 100</v>
          </cell>
          <cell r="E865">
            <v>0</v>
          </cell>
          <cell r="F865">
            <v>0</v>
          </cell>
          <cell r="G865">
            <v>0</v>
          </cell>
          <cell r="H865">
            <v>0</v>
          </cell>
        </row>
        <row r="866">
          <cell r="D866" t="str">
            <v>CIM Motor Mini CIM -3</v>
          </cell>
          <cell r="E866">
            <v>1</v>
          </cell>
          <cell r="I866">
            <v>0</v>
          </cell>
        </row>
        <row r="867">
          <cell r="D867" t="str">
            <v>CIM Motor Mini CIM -4</v>
          </cell>
          <cell r="E867">
            <v>1</v>
          </cell>
          <cell r="I867">
            <v>0</v>
          </cell>
        </row>
        <row r="868">
          <cell r="D868" t="str">
            <v>CIM Motor Mini CIM -5</v>
          </cell>
          <cell r="E868">
            <v>1</v>
          </cell>
          <cell r="I868">
            <v>0</v>
          </cell>
        </row>
        <row r="869">
          <cell r="D869" t="str">
            <v>CIM Motor Mini CIM -7</v>
          </cell>
          <cell r="E869">
            <v>1</v>
          </cell>
          <cell r="I869">
            <v>0</v>
          </cell>
        </row>
        <row r="870">
          <cell r="D870" t="str">
            <v>CIM Motor Mini CIM -9</v>
          </cell>
          <cell r="E870">
            <v>1</v>
          </cell>
          <cell r="I870">
            <v>0</v>
          </cell>
        </row>
        <row r="871">
          <cell r="D871" t="str">
            <v>CIM Motor Mini CIM -10</v>
          </cell>
          <cell r="E871">
            <v>1</v>
          </cell>
          <cell r="I871">
            <v>0</v>
          </cell>
        </row>
        <row r="872">
          <cell r="D872" t="str">
            <v>CIM Motor Mini CIM 9</v>
          </cell>
          <cell r="E872">
            <v>1</v>
          </cell>
          <cell r="I872">
            <v>0</v>
          </cell>
        </row>
        <row r="873">
          <cell r="D873" t="str">
            <v>CIM Motor Mini CIM 12</v>
          </cell>
          <cell r="E873">
            <v>1</v>
          </cell>
          <cell r="I873">
            <v>0</v>
          </cell>
        </row>
        <row r="874">
          <cell r="D874" t="str">
            <v>CIM Motor Mini CIM 15</v>
          </cell>
          <cell r="E874">
            <v>1</v>
          </cell>
          <cell r="I874">
            <v>0</v>
          </cell>
        </row>
        <row r="875">
          <cell r="D875" t="str">
            <v>CIM Motor Mini CIM 16</v>
          </cell>
          <cell r="E875">
            <v>1</v>
          </cell>
          <cell r="I875">
            <v>0</v>
          </cell>
        </row>
        <row r="876">
          <cell r="D876" t="str">
            <v>CIM Motor Mini CIM 20</v>
          </cell>
          <cell r="E876">
            <v>1</v>
          </cell>
          <cell r="I876">
            <v>0</v>
          </cell>
        </row>
        <row r="877">
          <cell r="D877" t="str">
            <v>CIM Motor Mini CIM 21</v>
          </cell>
          <cell r="E877">
            <v>0</v>
          </cell>
          <cell r="I877">
            <v>0</v>
          </cell>
        </row>
        <row r="878">
          <cell r="D878" t="str">
            <v>CIM Motor Mini CIM 25</v>
          </cell>
          <cell r="E878">
            <v>0</v>
          </cell>
          <cell r="I878">
            <v>0</v>
          </cell>
        </row>
        <row r="879">
          <cell r="D879" t="str">
            <v>CIM Motor Mini CIM 27</v>
          </cell>
          <cell r="E879">
            <v>0</v>
          </cell>
          <cell r="I879">
            <v>0</v>
          </cell>
        </row>
        <row r="880">
          <cell r="D880" t="str">
            <v>CIM Motor Mini CIM 28</v>
          </cell>
          <cell r="E880">
            <v>0</v>
          </cell>
          <cell r="I880">
            <v>0</v>
          </cell>
        </row>
        <row r="881">
          <cell r="D881" t="str">
            <v>CIM Motor Mini CIM 30</v>
          </cell>
          <cell r="E881">
            <v>0</v>
          </cell>
          <cell r="I881">
            <v>0</v>
          </cell>
        </row>
        <row r="882">
          <cell r="D882" t="str">
            <v>CIM Motor Mini CIM 35</v>
          </cell>
          <cell r="E882">
            <v>0</v>
          </cell>
          <cell r="I882">
            <v>0</v>
          </cell>
        </row>
        <row r="883">
          <cell r="D883" t="str">
            <v>CIM Motor Mini CIM 36</v>
          </cell>
          <cell r="E883">
            <v>0</v>
          </cell>
          <cell r="I883">
            <v>0</v>
          </cell>
        </row>
        <row r="884">
          <cell r="D884" t="str">
            <v>CIM Motor Mini CIM 40</v>
          </cell>
          <cell r="E884">
            <v>0</v>
          </cell>
          <cell r="I884">
            <v>0</v>
          </cell>
        </row>
        <row r="885">
          <cell r="D885" t="str">
            <v>CIM Motor Mini CIM 45</v>
          </cell>
          <cell r="E885">
            <v>0</v>
          </cell>
          <cell r="I885">
            <v>0</v>
          </cell>
        </row>
        <row r="886">
          <cell r="D886" t="str">
            <v>CIM Motor Mini CIM 49</v>
          </cell>
          <cell r="E886">
            <v>0</v>
          </cell>
          <cell r="I886">
            <v>0</v>
          </cell>
        </row>
        <row r="887">
          <cell r="D887" t="str">
            <v>CIM Motor Mini CIM 50</v>
          </cell>
          <cell r="E887">
            <v>0</v>
          </cell>
          <cell r="I887">
            <v>0</v>
          </cell>
        </row>
        <row r="888">
          <cell r="D888" t="str">
            <v>CIM Motor Mini CIM 63</v>
          </cell>
          <cell r="E888">
            <v>0</v>
          </cell>
          <cell r="I888">
            <v>0</v>
          </cell>
        </row>
        <row r="889">
          <cell r="D889" t="str">
            <v>CIM Motor Mini CIM 70</v>
          </cell>
          <cell r="E889">
            <v>0</v>
          </cell>
          <cell r="I889">
            <v>0</v>
          </cell>
        </row>
        <row r="890">
          <cell r="D890" t="str">
            <v>CIM Motor Mini CIM 81</v>
          </cell>
          <cell r="E890">
            <v>0</v>
          </cell>
          <cell r="I890">
            <v>0</v>
          </cell>
        </row>
        <row r="891">
          <cell r="D891" t="str">
            <v>CIM Motor Mini CIM 90</v>
          </cell>
          <cell r="E891">
            <v>0</v>
          </cell>
          <cell r="I891">
            <v>0</v>
          </cell>
        </row>
        <row r="892">
          <cell r="D892" t="str">
            <v>CIM Motor Mini CIM 100</v>
          </cell>
          <cell r="E892">
            <v>0</v>
          </cell>
          <cell r="I892">
            <v>0</v>
          </cell>
        </row>
        <row r="893">
          <cell r="D893" t="str">
            <v>CIM Motor CIM -3</v>
          </cell>
          <cell r="E893">
            <v>1</v>
          </cell>
          <cell r="I893">
            <v>0</v>
          </cell>
        </row>
        <row r="894">
          <cell r="D894" t="str">
            <v>CIM Motor CIM -4</v>
          </cell>
          <cell r="E894">
            <v>1</v>
          </cell>
          <cell r="I894">
            <v>0</v>
          </cell>
        </row>
        <row r="895">
          <cell r="D895" t="str">
            <v>CIM Motor CIM -5</v>
          </cell>
          <cell r="E895">
            <v>1</v>
          </cell>
          <cell r="I895">
            <v>0</v>
          </cell>
        </row>
        <row r="896">
          <cell r="D896" t="str">
            <v>CIM Motor CIM -7</v>
          </cell>
          <cell r="E896">
            <v>1</v>
          </cell>
          <cell r="I896">
            <v>0</v>
          </cell>
        </row>
        <row r="897">
          <cell r="D897" t="str">
            <v>CIM Motor CIM -9</v>
          </cell>
          <cell r="E897">
            <v>1</v>
          </cell>
          <cell r="I897">
            <v>0</v>
          </cell>
        </row>
        <row r="898">
          <cell r="D898" t="str">
            <v>CIM Motor CIM -10</v>
          </cell>
          <cell r="E898">
            <v>1</v>
          </cell>
          <cell r="I898">
            <v>0</v>
          </cell>
        </row>
        <row r="899">
          <cell r="D899" t="str">
            <v>CIM Motor CIM 9</v>
          </cell>
          <cell r="E899">
            <v>1</v>
          </cell>
          <cell r="I899">
            <v>0</v>
          </cell>
        </row>
        <row r="900">
          <cell r="D900" t="str">
            <v>CIM Motor CIM 12</v>
          </cell>
          <cell r="E900">
            <v>0</v>
          </cell>
          <cell r="I900">
            <v>0</v>
          </cell>
        </row>
        <row r="901">
          <cell r="D901" t="str">
            <v>CIM Motor CIM 15</v>
          </cell>
          <cell r="E901">
            <v>0</v>
          </cell>
          <cell r="I901">
            <v>0</v>
          </cell>
        </row>
        <row r="902">
          <cell r="D902" t="str">
            <v>CIM Motor CIM 16</v>
          </cell>
          <cell r="E902">
            <v>0</v>
          </cell>
          <cell r="I902">
            <v>0</v>
          </cell>
        </row>
        <row r="903">
          <cell r="D903" t="str">
            <v>CIM Motor CIM 20</v>
          </cell>
          <cell r="E903">
            <v>0</v>
          </cell>
          <cell r="I903">
            <v>0</v>
          </cell>
        </row>
        <row r="904">
          <cell r="D904" t="str">
            <v>CIM Motor CIM 21</v>
          </cell>
          <cell r="E904">
            <v>0</v>
          </cell>
          <cell r="I904">
            <v>0</v>
          </cell>
        </row>
        <row r="905">
          <cell r="D905" t="str">
            <v>CIM Motor CIM 25</v>
          </cell>
          <cell r="E905">
            <v>0</v>
          </cell>
          <cell r="I905">
            <v>0</v>
          </cell>
        </row>
        <row r="906">
          <cell r="D906" t="str">
            <v>CIM Motor CIM 27</v>
          </cell>
          <cell r="E906">
            <v>0</v>
          </cell>
          <cell r="I906">
            <v>0</v>
          </cell>
        </row>
        <row r="907">
          <cell r="D907" t="str">
            <v>CIM Motor CIM 28</v>
          </cell>
          <cell r="E907">
            <v>0</v>
          </cell>
          <cell r="I907">
            <v>0</v>
          </cell>
        </row>
        <row r="908">
          <cell r="D908" t="str">
            <v>CIM Motor CIM 30</v>
          </cell>
          <cell r="E908">
            <v>0</v>
          </cell>
          <cell r="I908">
            <v>0</v>
          </cell>
        </row>
        <row r="909">
          <cell r="D909" t="str">
            <v>CIM Motor CIM 35</v>
          </cell>
          <cell r="E909">
            <v>0</v>
          </cell>
          <cell r="I909">
            <v>0</v>
          </cell>
        </row>
        <row r="910">
          <cell r="D910" t="str">
            <v>CIM Motor CIM 36</v>
          </cell>
          <cell r="E910">
            <v>0</v>
          </cell>
          <cell r="I910">
            <v>0</v>
          </cell>
        </row>
        <row r="911">
          <cell r="D911" t="str">
            <v>CIM Motor CIM 40</v>
          </cell>
          <cell r="E911">
            <v>0</v>
          </cell>
          <cell r="I911">
            <v>0</v>
          </cell>
        </row>
        <row r="912">
          <cell r="D912" t="str">
            <v>CIM Motor CIM 45</v>
          </cell>
          <cell r="E912">
            <v>0</v>
          </cell>
          <cell r="I912">
            <v>0</v>
          </cell>
        </row>
        <row r="913">
          <cell r="D913" t="str">
            <v>CIM Motor CIM 49</v>
          </cell>
          <cell r="E913">
            <v>0</v>
          </cell>
          <cell r="I913">
            <v>0</v>
          </cell>
        </row>
        <row r="914">
          <cell r="D914" t="str">
            <v>CIM Motor CIM 50</v>
          </cell>
          <cell r="E914">
            <v>0</v>
          </cell>
          <cell r="I914">
            <v>0</v>
          </cell>
        </row>
        <row r="915">
          <cell r="D915" t="str">
            <v>CIM Motor CIM 63</v>
          </cell>
          <cell r="E915">
            <v>0</v>
          </cell>
          <cell r="I915">
            <v>0</v>
          </cell>
        </row>
        <row r="916">
          <cell r="D916" t="str">
            <v>CIM Motor CIM 70</v>
          </cell>
          <cell r="E916">
            <v>0</v>
          </cell>
          <cell r="I916">
            <v>0</v>
          </cell>
        </row>
        <row r="917">
          <cell r="D917" t="str">
            <v>CIM Motor CIM 81</v>
          </cell>
          <cell r="E917">
            <v>0</v>
          </cell>
          <cell r="I917">
            <v>0</v>
          </cell>
        </row>
        <row r="918">
          <cell r="D918" t="str">
            <v>CIM Motor CIM 90</v>
          </cell>
          <cell r="E918">
            <v>0</v>
          </cell>
          <cell r="I918">
            <v>0</v>
          </cell>
        </row>
        <row r="919">
          <cell r="D919" t="str">
            <v>CIM Motor CIM 100</v>
          </cell>
          <cell r="E919">
            <v>0</v>
          </cell>
          <cell r="I919">
            <v>0</v>
          </cell>
        </row>
        <row r="920">
          <cell r="D920" t="str">
            <v>CIM Motor NEO -3</v>
          </cell>
          <cell r="E920">
            <v>1</v>
          </cell>
          <cell r="I920">
            <v>0</v>
          </cell>
        </row>
        <row r="921">
          <cell r="D921" t="str">
            <v>CIM Motor NEO -4</v>
          </cell>
          <cell r="E921">
            <v>1</v>
          </cell>
          <cell r="I921">
            <v>0</v>
          </cell>
        </row>
        <row r="922">
          <cell r="D922" t="str">
            <v>CIM Motor NEO -5</v>
          </cell>
          <cell r="E922">
            <v>1</v>
          </cell>
          <cell r="I922">
            <v>0</v>
          </cell>
        </row>
        <row r="923">
          <cell r="D923" t="str">
            <v>CIM Motor NEO -7</v>
          </cell>
          <cell r="E923">
            <v>1</v>
          </cell>
          <cell r="I923">
            <v>0</v>
          </cell>
        </row>
        <row r="924">
          <cell r="D924" t="str">
            <v>CIM Motor NEO -9</v>
          </cell>
          <cell r="E924">
            <v>1</v>
          </cell>
          <cell r="I924">
            <v>0</v>
          </cell>
        </row>
        <row r="925">
          <cell r="D925" t="str">
            <v>CIM Motor NEO -10</v>
          </cell>
          <cell r="E925">
            <v>1</v>
          </cell>
          <cell r="I925">
            <v>0</v>
          </cell>
        </row>
        <row r="926">
          <cell r="D926" t="str">
            <v>CIM Motor NEO 9</v>
          </cell>
          <cell r="E926">
            <v>0</v>
          </cell>
          <cell r="I926">
            <v>0</v>
          </cell>
        </row>
        <row r="927">
          <cell r="D927" t="str">
            <v>CIM Motor NEO 12</v>
          </cell>
          <cell r="E927">
            <v>0</v>
          </cell>
          <cell r="I927">
            <v>0</v>
          </cell>
        </row>
        <row r="928">
          <cell r="D928" t="str">
            <v>CIM Motor NEO 15</v>
          </cell>
          <cell r="E928">
            <v>0</v>
          </cell>
          <cell r="I928">
            <v>0</v>
          </cell>
        </row>
        <row r="929">
          <cell r="D929" t="str">
            <v>CIM Motor NEO 16</v>
          </cell>
          <cell r="E929">
            <v>0</v>
          </cell>
          <cell r="I929">
            <v>0</v>
          </cell>
        </row>
        <row r="930">
          <cell r="D930" t="str">
            <v>CIM Motor NEO 20</v>
          </cell>
          <cell r="E930">
            <v>0</v>
          </cell>
          <cell r="I930">
            <v>0</v>
          </cell>
        </row>
        <row r="931">
          <cell r="D931" t="str">
            <v>CIM Motor NEO 21</v>
          </cell>
          <cell r="E931">
            <v>0</v>
          </cell>
          <cell r="I931">
            <v>0</v>
          </cell>
        </row>
        <row r="932">
          <cell r="D932" t="str">
            <v>CIM Motor NEO 25</v>
          </cell>
          <cell r="E932">
            <v>0</v>
          </cell>
          <cell r="I932">
            <v>0</v>
          </cell>
        </row>
        <row r="933">
          <cell r="D933" t="str">
            <v>CIM Motor NEO 27</v>
          </cell>
          <cell r="E933">
            <v>0</v>
          </cell>
          <cell r="I933">
            <v>0</v>
          </cell>
        </row>
        <row r="934">
          <cell r="D934" t="str">
            <v>CIM Motor NEO 28</v>
          </cell>
          <cell r="E934">
            <v>0</v>
          </cell>
          <cell r="I934">
            <v>0</v>
          </cell>
        </row>
        <row r="935">
          <cell r="D935" t="str">
            <v>CIM Motor NEO 30</v>
          </cell>
          <cell r="E935">
            <v>0</v>
          </cell>
          <cell r="I935">
            <v>0</v>
          </cell>
        </row>
        <row r="936">
          <cell r="D936" t="str">
            <v>CIM Motor NEO 35</v>
          </cell>
          <cell r="E936">
            <v>0</v>
          </cell>
          <cell r="I936">
            <v>0</v>
          </cell>
        </row>
        <row r="937">
          <cell r="D937" t="str">
            <v>CIM Motor NEO 36</v>
          </cell>
          <cell r="E937">
            <v>0</v>
          </cell>
          <cell r="I937">
            <v>0</v>
          </cell>
        </row>
        <row r="938">
          <cell r="D938" t="str">
            <v>CIM Motor NEO 40</v>
          </cell>
          <cell r="E938">
            <v>0</v>
          </cell>
          <cell r="I938">
            <v>0</v>
          </cell>
        </row>
        <row r="939">
          <cell r="D939" t="str">
            <v>CIM Motor NEO 45</v>
          </cell>
          <cell r="E939">
            <v>0</v>
          </cell>
          <cell r="I939">
            <v>0</v>
          </cell>
        </row>
        <row r="940">
          <cell r="D940" t="str">
            <v>CIM Motor NEO 49</v>
          </cell>
          <cell r="E940">
            <v>0</v>
          </cell>
          <cell r="I940">
            <v>0</v>
          </cell>
        </row>
        <row r="941">
          <cell r="D941" t="str">
            <v>CIM Motor NEO 50</v>
          </cell>
          <cell r="E941">
            <v>0</v>
          </cell>
          <cell r="I941">
            <v>0</v>
          </cell>
        </row>
        <row r="942">
          <cell r="D942" t="str">
            <v>CIM Motor NEO 63</v>
          </cell>
          <cell r="E942">
            <v>0</v>
          </cell>
          <cell r="I942">
            <v>0</v>
          </cell>
        </row>
        <row r="943">
          <cell r="D943" t="str">
            <v>CIM Motor NEO 70</v>
          </cell>
          <cell r="E943">
            <v>0</v>
          </cell>
          <cell r="I943">
            <v>0</v>
          </cell>
        </row>
        <row r="944">
          <cell r="D944" t="str">
            <v>CIM Motor NEO 81</v>
          </cell>
          <cell r="E944">
            <v>0</v>
          </cell>
          <cell r="I944">
            <v>0</v>
          </cell>
        </row>
        <row r="945">
          <cell r="D945" t="str">
            <v>CIM Motor NEO 90</v>
          </cell>
          <cell r="E945">
            <v>0</v>
          </cell>
          <cell r="I945">
            <v>0</v>
          </cell>
        </row>
        <row r="946">
          <cell r="D946" t="str">
            <v>CIM Motor NEO 100</v>
          </cell>
          <cell r="E946">
            <v>0</v>
          </cell>
          <cell r="I946">
            <v>0</v>
          </cell>
        </row>
        <row r="947">
          <cell r="D947" t="str">
            <v>CIM Motor Falcon 500 -3</v>
          </cell>
          <cell r="E947">
            <v>1</v>
          </cell>
          <cell r="I947">
            <v>0</v>
          </cell>
        </row>
        <row r="948">
          <cell r="D948" t="str">
            <v>CIM Motor Falcon 500 -4</v>
          </cell>
          <cell r="E948">
            <v>1</v>
          </cell>
          <cell r="I948">
            <v>0</v>
          </cell>
        </row>
        <row r="949">
          <cell r="D949" t="str">
            <v>CIM Motor Falcon 500 -5</v>
          </cell>
          <cell r="E949">
            <v>1</v>
          </cell>
          <cell r="I949">
            <v>0</v>
          </cell>
        </row>
        <row r="950">
          <cell r="D950" t="str">
            <v>CIM Motor Falcon 500 -7</v>
          </cell>
          <cell r="E950">
            <v>1</v>
          </cell>
          <cell r="I950">
            <v>0</v>
          </cell>
        </row>
        <row r="951">
          <cell r="D951" t="str">
            <v>CIM Motor Falcon 500 -9</v>
          </cell>
          <cell r="E951">
            <v>1</v>
          </cell>
          <cell r="I951">
            <v>0</v>
          </cell>
        </row>
        <row r="952">
          <cell r="D952" t="str">
            <v>CIM Motor Falcon 500 -10</v>
          </cell>
          <cell r="E952">
            <v>1</v>
          </cell>
          <cell r="I952">
            <v>0</v>
          </cell>
        </row>
        <row r="953">
          <cell r="D953" t="str">
            <v>CIM Motor Falcon 500 9</v>
          </cell>
          <cell r="E953">
            <v>0</v>
          </cell>
          <cell r="I953">
            <v>0</v>
          </cell>
        </row>
        <row r="954">
          <cell r="D954" t="str">
            <v>CIM Motor Falcon 500 12</v>
          </cell>
          <cell r="E954">
            <v>0</v>
          </cell>
          <cell r="I954">
            <v>0</v>
          </cell>
        </row>
        <row r="955">
          <cell r="D955" t="str">
            <v>CIM Motor Falcon 500 15</v>
          </cell>
          <cell r="E955">
            <v>0</v>
          </cell>
          <cell r="I955">
            <v>0</v>
          </cell>
        </row>
        <row r="956">
          <cell r="D956" t="str">
            <v>CIM Motor Falcon 500 16</v>
          </cell>
          <cell r="E956">
            <v>0</v>
          </cell>
          <cell r="I956">
            <v>0</v>
          </cell>
        </row>
        <row r="957">
          <cell r="D957" t="str">
            <v>CIM Motor Falcon 500 20</v>
          </cell>
          <cell r="E957">
            <v>0</v>
          </cell>
          <cell r="I957">
            <v>0</v>
          </cell>
        </row>
        <row r="958">
          <cell r="D958" t="str">
            <v>CIM Motor Falcon 500 21</v>
          </cell>
          <cell r="E958">
            <v>0</v>
          </cell>
          <cell r="I958">
            <v>0</v>
          </cell>
        </row>
        <row r="959">
          <cell r="D959" t="str">
            <v>CIM Motor Falcon 500 25</v>
          </cell>
          <cell r="E959">
            <v>0</v>
          </cell>
          <cell r="I959">
            <v>0</v>
          </cell>
        </row>
        <row r="960">
          <cell r="D960" t="str">
            <v>CIM Motor Falcon 500 27</v>
          </cell>
          <cell r="E960">
            <v>0</v>
          </cell>
          <cell r="I960">
            <v>0</v>
          </cell>
        </row>
        <row r="961">
          <cell r="D961" t="str">
            <v>CIM Motor Falcon 500 28</v>
          </cell>
          <cell r="E961">
            <v>0</v>
          </cell>
          <cell r="I961">
            <v>0</v>
          </cell>
        </row>
        <row r="962">
          <cell r="D962" t="str">
            <v>CIM Motor Falcon 500 30</v>
          </cell>
          <cell r="E962">
            <v>0</v>
          </cell>
          <cell r="I962">
            <v>0</v>
          </cell>
        </row>
        <row r="963">
          <cell r="D963" t="str">
            <v>CIM Motor Falcon 500 35</v>
          </cell>
          <cell r="E963">
            <v>0</v>
          </cell>
          <cell r="I963">
            <v>0</v>
          </cell>
        </row>
        <row r="964">
          <cell r="D964" t="str">
            <v>CIM Motor Falcon 500 36</v>
          </cell>
          <cell r="E964">
            <v>0</v>
          </cell>
          <cell r="I964">
            <v>0</v>
          </cell>
        </row>
        <row r="965">
          <cell r="D965" t="str">
            <v>CIM Motor Falcon 500 40</v>
          </cell>
          <cell r="E965">
            <v>0</v>
          </cell>
          <cell r="I965">
            <v>0</v>
          </cell>
        </row>
        <row r="966">
          <cell r="D966" t="str">
            <v>CIM Motor Falcon 500 45</v>
          </cell>
          <cell r="E966">
            <v>0</v>
          </cell>
          <cell r="I966">
            <v>0</v>
          </cell>
        </row>
        <row r="967">
          <cell r="D967" t="str">
            <v>CIM Motor Falcon 500 49</v>
          </cell>
          <cell r="E967">
            <v>0</v>
          </cell>
          <cell r="I967">
            <v>0</v>
          </cell>
        </row>
        <row r="968">
          <cell r="D968" t="str">
            <v>CIM Motor Falcon 500 50</v>
          </cell>
          <cell r="E968">
            <v>0</v>
          </cell>
          <cell r="I968">
            <v>0</v>
          </cell>
        </row>
        <row r="969">
          <cell r="D969" t="str">
            <v>CIM Motor Falcon 500 63</v>
          </cell>
          <cell r="E969">
            <v>0</v>
          </cell>
          <cell r="I969">
            <v>0</v>
          </cell>
        </row>
        <row r="970">
          <cell r="D970" t="str">
            <v>CIM Motor Falcon 500 70</v>
          </cell>
          <cell r="E970">
            <v>0</v>
          </cell>
          <cell r="I970">
            <v>0</v>
          </cell>
        </row>
        <row r="971">
          <cell r="D971" t="str">
            <v>CIM Motor Falcon 500 81</v>
          </cell>
          <cell r="E971">
            <v>0</v>
          </cell>
          <cell r="I971">
            <v>0</v>
          </cell>
        </row>
        <row r="972">
          <cell r="D972" t="str">
            <v>CIM Motor Falcon 500 90</v>
          </cell>
          <cell r="E972">
            <v>0</v>
          </cell>
          <cell r="I972">
            <v>0</v>
          </cell>
        </row>
        <row r="973">
          <cell r="D973" t="str">
            <v>CIM Motor Falcon 500 100</v>
          </cell>
          <cell r="E973">
            <v>0</v>
          </cell>
          <cell r="I973">
            <v>0</v>
          </cell>
        </row>
        <row r="974">
          <cell r="D974" t="str">
            <v>Female AM 9015 -3</v>
          </cell>
          <cell r="E974">
            <v>1</v>
          </cell>
        </row>
        <row r="975">
          <cell r="D975" t="str">
            <v>Female AM 9015 -4</v>
          </cell>
          <cell r="E975">
            <v>1</v>
          </cell>
        </row>
        <row r="976">
          <cell r="D976" t="str">
            <v>Female AM 9015 -5</v>
          </cell>
          <cell r="E976">
            <v>1</v>
          </cell>
        </row>
        <row r="977">
          <cell r="D977" t="str">
            <v>Female AM 9015 -7</v>
          </cell>
          <cell r="E977">
            <v>1</v>
          </cell>
        </row>
        <row r="978">
          <cell r="D978" t="str">
            <v>Female AM 9015 -9</v>
          </cell>
          <cell r="E978">
            <v>1</v>
          </cell>
        </row>
        <row r="979">
          <cell r="D979" t="str">
            <v>Female AM 9015 -10</v>
          </cell>
          <cell r="E979">
            <v>1</v>
          </cell>
        </row>
        <row r="980">
          <cell r="D980" t="str">
            <v>Female AM 9015 9</v>
          </cell>
          <cell r="E980">
            <v>10</v>
          </cell>
        </row>
        <row r="981">
          <cell r="D981" t="str">
            <v>Female AM 9015 12</v>
          </cell>
          <cell r="E981">
            <v>10</v>
          </cell>
        </row>
        <row r="982">
          <cell r="D982" t="str">
            <v>Female AM 9015 15</v>
          </cell>
          <cell r="E982">
            <v>10</v>
          </cell>
        </row>
        <row r="983">
          <cell r="D983" t="str">
            <v>Female AM 9015 16</v>
          </cell>
          <cell r="E983">
            <v>10</v>
          </cell>
        </row>
        <row r="984">
          <cell r="D984" t="str">
            <v>Female AM 9015 20</v>
          </cell>
          <cell r="E984">
            <v>10</v>
          </cell>
        </row>
        <row r="985">
          <cell r="D985" t="str">
            <v>Female AM 9015 21</v>
          </cell>
          <cell r="E985">
            <v>10</v>
          </cell>
        </row>
        <row r="986">
          <cell r="D986" t="str">
            <v>Female AM 9015 25</v>
          </cell>
          <cell r="E986">
            <v>7</v>
          </cell>
        </row>
        <row r="987">
          <cell r="D987" t="str">
            <v>Female AM 9015 27</v>
          </cell>
          <cell r="E987">
            <v>7</v>
          </cell>
        </row>
        <row r="988">
          <cell r="D988" t="str">
            <v>Female AM 9015 28</v>
          </cell>
          <cell r="E988">
            <v>7</v>
          </cell>
        </row>
        <row r="989">
          <cell r="D989" t="str">
            <v>Female AM 9015 30</v>
          </cell>
          <cell r="E989">
            <v>7</v>
          </cell>
        </row>
        <row r="990">
          <cell r="D990" t="str">
            <v>Female AM 9015 35</v>
          </cell>
          <cell r="E990">
            <v>5</v>
          </cell>
        </row>
        <row r="991">
          <cell r="D991" t="str">
            <v>Female AM 9015 36</v>
          </cell>
          <cell r="E991">
            <v>5</v>
          </cell>
        </row>
        <row r="992">
          <cell r="D992" t="str">
            <v>Female AM 9015 40</v>
          </cell>
          <cell r="E992">
            <v>5</v>
          </cell>
        </row>
        <row r="993">
          <cell r="D993" t="str">
            <v>Female AM 9015 45</v>
          </cell>
          <cell r="E993">
            <v>5</v>
          </cell>
        </row>
        <row r="994">
          <cell r="D994" t="str">
            <v>Female AM 9015 49</v>
          </cell>
          <cell r="E994">
            <v>5</v>
          </cell>
        </row>
        <row r="995">
          <cell r="D995" t="str">
            <v>Female AM 9015 50</v>
          </cell>
          <cell r="E995">
            <v>5</v>
          </cell>
        </row>
        <row r="996">
          <cell r="D996" t="str">
            <v>Female AM 9015 63</v>
          </cell>
          <cell r="E996">
            <v>5</v>
          </cell>
        </row>
        <row r="997">
          <cell r="D997" t="str">
            <v>Female AM 9015 70</v>
          </cell>
          <cell r="E997">
            <v>4</v>
          </cell>
        </row>
        <row r="998">
          <cell r="D998" t="str">
            <v>Female AM 9015 81</v>
          </cell>
          <cell r="E998">
            <v>4</v>
          </cell>
        </row>
        <row r="999">
          <cell r="D999" t="str">
            <v>Female AM 9015 90</v>
          </cell>
          <cell r="E999">
            <v>3</v>
          </cell>
        </row>
        <row r="1000">
          <cell r="D1000" t="str">
            <v>Female AM 9015 100</v>
          </cell>
          <cell r="E1000">
            <v>3</v>
          </cell>
        </row>
        <row r="1001">
          <cell r="D1001" t="str">
            <v>Female BB RS-550 -3</v>
          </cell>
          <cell r="E1001">
            <v>1</v>
          </cell>
          <cell r="F1001">
            <v>1</v>
          </cell>
          <cell r="G1001">
            <v>1</v>
          </cell>
          <cell r="H1001">
            <v>1</v>
          </cell>
        </row>
        <row r="1002">
          <cell r="D1002" t="str">
            <v>Female BB RS-550 -4</v>
          </cell>
          <cell r="E1002">
            <v>1</v>
          </cell>
          <cell r="F1002">
            <v>1</v>
          </cell>
          <cell r="G1002">
            <v>1</v>
          </cell>
          <cell r="H1002">
            <v>1</v>
          </cell>
        </row>
        <row r="1003">
          <cell r="D1003" t="str">
            <v>Female BB RS-550 -5</v>
          </cell>
          <cell r="E1003">
            <v>1</v>
          </cell>
          <cell r="F1003">
            <v>1</v>
          </cell>
          <cell r="G1003">
            <v>1</v>
          </cell>
          <cell r="H1003">
            <v>1</v>
          </cell>
        </row>
        <row r="1004">
          <cell r="D1004" t="str">
            <v>Female BB RS-550 -7</v>
          </cell>
          <cell r="E1004">
            <v>1</v>
          </cell>
          <cell r="F1004">
            <v>1</v>
          </cell>
          <cell r="G1004">
            <v>1</v>
          </cell>
          <cell r="H1004">
            <v>0</v>
          </cell>
        </row>
        <row r="1005">
          <cell r="D1005" t="str">
            <v>Female BB RS-550 -9</v>
          </cell>
          <cell r="E1005">
            <v>1</v>
          </cell>
          <cell r="F1005">
            <v>1</v>
          </cell>
          <cell r="G1005">
            <v>0</v>
          </cell>
          <cell r="H1005">
            <v>0</v>
          </cell>
        </row>
        <row r="1006">
          <cell r="D1006" t="str">
            <v>Female BB RS-550 -10</v>
          </cell>
          <cell r="E1006">
            <v>1</v>
          </cell>
          <cell r="F1006">
            <v>1</v>
          </cell>
          <cell r="G1006">
            <v>0</v>
          </cell>
          <cell r="H1006">
            <v>0</v>
          </cell>
        </row>
        <row r="1007">
          <cell r="D1007" t="str">
            <v>Female BB RS-550 9</v>
          </cell>
          <cell r="E1007">
            <v>10</v>
          </cell>
          <cell r="F1007">
            <v>10</v>
          </cell>
          <cell r="G1007">
            <v>1</v>
          </cell>
          <cell r="H1007">
            <v>0</v>
          </cell>
        </row>
        <row r="1008">
          <cell r="D1008" t="str">
            <v>Female BB RS-550 12</v>
          </cell>
          <cell r="E1008">
            <v>10</v>
          </cell>
          <cell r="F1008">
            <v>7</v>
          </cell>
          <cell r="G1008">
            <v>0</v>
          </cell>
          <cell r="H1008">
            <v>0</v>
          </cell>
        </row>
        <row r="1009">
          <cell r="D1009" t="str">
            <v>Female BB RS-550 15</v>
          </cell>
          <cell r="E1009">
            <v>10</v>
          </cell>
          <cell r="F1009">
            <v>5</v>
          </cell>
          <cell r="G1009">
            <v>0</v>
          </cell>
          <cell r="H1009">
            <v>0</v>
          </cell>
        </row>
        <row r="1010">
          <cell r="D1010" t="str">
            <v>Female BB RS-550 16</v>
          </cell>
          <cell r="E1010">
            <v>10</v>
          </cell>
          <cell r="F1010">
            <v>5</v>
          </cell>
          <cell r="G1010">
            <v>0</v>
          </cell>
          <cell r="H1010">
            <v>0</v>
          </cell>
        </row>
        <row r="1011">
          <cell r="D1011" t="str">
            <v>Female BB RS-550 20</v>
          </cell>
          <cell r="E1011">
            <v>9</v>
          </cell>
          <cell r="F1011">
            <v>5</v>
          </cell>
          <cell r="G1011">
            <v>0</v>
          </cell>
          <cell r="H1011">
            <v>0</v>
          </cell>
        </row>
        <row r="1012">
          <cell r="D1012" t="str">
            <v>Female BB RS-550 21</v>
          </cell>
          <cell r="E1012">
            <v>9</v>
          </cell>
          <cell r="F1012">
            <v>5</v>
          </cell>
          <cell r="G1012">
            <v>0</v>
          </cell>
          <cell r="H1012">
            <v>0</v>
          </cell>
        </row>
        <row r="1013">
          <cell r="D1013" t="str">
            <v>Female BB RS-550 25</v>
          </cell>
          <cell r="E1013">
            <v>7</v>
          </cell>
          <cell r="F1013">
            <v>5</v>
          </cell>
          <cell r="G1013">
            <v>0</v>
          </cell>
          <cell r="H1013">
            <v>0</v>
          </cell>
        </row>
        <row r="1014">
          <cell r="D1014" t="str">
            <v>Female BB RS-550 27</v>
          </cell>
          <cell r="E1014">
            <v>7</v>
          </cell>
          <cell r="F1014">
            <v>5</v>
          </cell>
          <cell r="G1014">
            <v>0</v>
          </cell>
          <cell r="H1014">
            <v>0</v>
          </cell>
        </row>
        <row r="1015">
          <cell r="D1015" t="str">
            <v>Female BB RS-550 28</v>
          </cell>
          <cell r="E1015">
            <v>7</v>
          </cell>
          <cell r="F1015">
            <v>5</v>
          </cell>
          <cell r="G1015">
            <v>0</v>
          </cell>
          <cell r="H1015">
            <v>0</v>
          </cell>
        </row>
        <row r="1016">
          <cell r="D1016" t="str">
            <v>Female BB RS-550 30</v>
          </cell>
          <cell r="E1016">
            <v>5</v>
          </cell>
          <cell r="F1016">
            <v>5</v>
          </cell>
          <cell r="G1016">
            <v>0</v>
          </cell>
          <cell r="H1016">
            <v>0</v>
          </cell>
        </row>
        <row r="1017">
          <cell r="D1017" t="str">
            <v>Female BB RS-550 35</v>
          </cell>
          <cell r="E1017">
            <v>5</v>
          </cell>
          <cell r="F1017">
            <v>4</v>
          </cell>
          <cell r="G1017">
            <v>0</v>
          </cell>
          <cell r="H1017">
            <v>0</v>
          </cell>
        </row>
        <row r="1018">
          <cell r="D1018" t="str">
            <v>Female BB RS-550 36</v>
          </cell>
          <cell r="E1018">
            <v>5</v>
          </cell>
          <cell r="F1018">
            <v>4</v>
          </cell>
          <cell r="G1018">
            <v>0</v>
          </cell>
          <cell r="H1018">
            <v>0</v>
          </cell>
        </row>
        <row r="1019">
          <cell r="D1019" t="str">
            <v>Female BB RS-550 40</v>
          </cell>
          <cell r="E1019">
            <v>5</v>
          </cell>
          <cell r="F1019">
            <v>3</v>
          </cell>
          <cell r="G1019">
            <v>0</v>
          </cell>
          <cell r="H1019">
            <v>0</v>
          </cell>
        </row>
        <row r="1020">
          <cell r="D1020" t="str">
            <v>Female BB RS-550 45</v>
          </cell>
          <cell r="E1020">
            <v>5</v>
          </cell>
          <cell r="F1020">
            <v>3</v>
          </cell>
          <cell r="G1020">
            <v>0</v>
          </cell>
          <cell r="H1020">
            <v>0</v>
          </cell>
        </row>
        <row r="1021">
          <cell r="D1021" t="str">
            <v>Female BB RS-550 49</v>
          </cell>
          <cell r="E1021">
            <v>5</v>
          </cell>
          <cell r="F1021">
            <v>3</v>
          </cell>
          <cell r="G1021">
            <v>0</v>
          </cell>
          <cell r="H1021">
            <v>0</v>
          </cell>
        </row>
        <row r="1022">
          <cell r="D1022" t="str">
            <v>Female BB RS-550 50</v>
          </cell>
          <cell r="E1022">
            <v>5</v>
          </cell>
          <cell r="F1022">
            <v>3</v>
          </cell>
          <cell r="G1022">
            <v>0</v>
          </cell>
          <cell r="H1022">
            <v>0</v>
          </cell>
        </row>
        <row r="1023">
          <cell r="D1023" t="str">
            <v>Female BB RS-550 63</v>
          </cell>
          <cell r="E1023">
            <v>4</v>
          </cell>
          <cell r="F1023">
            <v>1</v>
          </cell>
          <cell r="G1023">
            <v>0</v>
          </cell>
          <cell r="H1023">
            <v>0</v>
          </cell>
        </row>
        <row r="1024">
          <cell r="D1024" t="str">
            <v>Female BB RS-550 70</v>
          </cell>
          <cell r="E1024">
            <v>4</v>
          </cell>
          <cell r="F1024">
            <v>1</v>
          </cell>
          <cell r="G1024">
            <v>0</v>
          </cell>
          <cell r="H1024">
            <v>0</v>
          </cell>
        </row>
        <row r="1025">
          <cell r="D1025" t="str">
            <v>Female BB RS-550 81</v>
          </cell>
          <cell r="E1025">
            <v>3</v>
          </cell>
          <cell r="F1025">
            <v>1</v>
          </cell>
          <cell r="G1025">
            <v>0</v>
          </cell>
          <cell r="H1025">
            <v>0</v>
          </cell>
        </row>
        <row r="1026">
          <cell r="D1026" t="str">
            <v>Female BB RS-550 90</v>
          </cell>
          <cell r="E1026">
            <v>3</v>
          </cell>
          <cell r="F1026">
            <v>1</v>
          </cell>
          <cell r="G1026">
            <v>0</v>
          </cell>
          <cell r="H1026">
            <v>0</v>
          </cell>
        </row>
        <row r="1027">
          <cell r="D1027" t="str">
            <v>Female BB RS-550 100</v>
          </cell>
          <cell r="E1027">
            <v>3</v>
          </cell>
          <cell r="F1027">
            <v>0</v>
          </cell>
          <cell r="G1027">
            <v>0</v>
          </cell>
          <cell r="H1027">
            <v>0</v>
          </cell>
        </row>
        <row r="1028">
          <cell r="D1028" t="str">
            <v>Female BB RS-775 -3</v>
          </cell>
          <cell r="E1028">
            <v>1</v>
          </cell>
          <cell r="F1028">
            <v>1</v>
          </cell>
          <cell r="G1028">
            <v>1</v>
          </cell>
          <cell r="H1028">
            <v>0</v>
          </cell>
        </row>
        <row r="1029">
          <cell r="D1029" t="str">
            <v>Female BB RS-775 -4</v>
          </cell>
          <cell r="E1029">
            <v>1</v>
          </cell>
          <cell r="F1029">
            <v>1</v>
          </cell>
          <cell r="G1029">
            <v>1</v>
          </cell>
          <cell r="H1029">
            <v>0</v>
          </cell>
        </row>
        <row r="1030">
          <cell r="D1030" t="str">
            <v>Female BB RS-775 -5</v>
          </cell>
          <cell r="E1030">
            <v>1</v>
          </cell>
          <cell r="F1030">
            <v>1</v>
          </cell>
          <cell r="G1030">
            <v>1</v>
          </cell>
          <cell r="H1030">
            <v>0</v>
          </cell>
        </row>
        <row r="1031">
          <cell r="D1031" t="str">
            <v>Female BB RS-775 -7</v>
          </cell>
          <cell r="E1031">
            <v>1</v>
          </cell>
          <cell r="F1031">
            <v>1</v>
          </cell>
          <cell r="G1031">
            <v>0</v>
          </cell>
          <cell r="H1031">
            <v>0</v>
          </cell>
        </row>
        <row r="1032">
          <cell r="D1032" t="str">
            <v>Female BB RS-775 -9</v>
          </cell>
          <cell r="E1032">
            <v>1</v>
          </cell>
          <cell r="F1032">
            <v>1</v>
          </cell>
          <cell r="G1032">
            <v>0</v>
          </cell>
          <cell r="H1032">
            <v>0</v>
          </cell>
        </row>
        <row r="1033">
          <cell r="D1033" t="str">
            <v>Female BB RS-775 -10</v>
          </cell>
          <cell r="E1033">
            <v>1</v>
          </cell>
          <cell r="F1033">
            <v>1</v>
          </cell>
          <cell r="G1033">
            <v>0</v>
          </cell>
          <cell r="H1033">
            <v>0</v>
          </cell>
        </row>
        <row r="1034">
          <cell r="D1034" t="str">
            <v>Female BB RS-775 9</v>
          </cell>
          <cell r="E1034">
            <v>10</v>
          </cell>
          <cell r="F1034">
            <v>5</v>
          </cell>
          <cell r="G1034">
            <v>0</v>
          </cell>
          <cell r="H1034">
            <v>0</v>
          </cell>
        </row>
        <row r="1035">
          <cell r="D1035" t="str">
            <v>Female BB RS-775 12</v>
          </cell>
          <cell r="E1035">
            <v>10</v>
          </cell>
          <cell r="F1035">
            <v>5</v>
          </cell>
          <cell r="G1035">
            <v>0</v>
          </cell>
          <cell r="H1035">
            <v>0</v>
          </cell>
        </row>
        <row r="1036">
          <cell r="D1036" t="str">
            <v>Female BB RS-775 15</v>
          </cell>
          <cell r="E1036">
            <v>10</v>
          </cell>
          <cell r="F1036">
            <v>5</v>
          </cell>
          <cell r="G1036">
            <v>0</v>
          </cell>
          <cell r="H1036">
            <v>0</v>
          </cell>
        </row>
        <row r="1037">
          <cell r="D1037" t="str">
            <v>Female BB RS-775 16</v>
          </cell>
          <cell r="E1037">
            <v>10</v>
          </cell>
          <cell r="F1037">
            <v>5</v>
          </cell>
          <cell r="G1037">
            <v>0</v>
          </cell>
          <cell r="H1037">
            <v>0</v>
          </cell>
        </row>
        <row r="1038">
          <cell r="D1038" t="str">
            <v>Female BB RS-775 20</v>
          </cell>
          <cell r="E1038">
            <v>10</v>
          </cell>
          <cell r="F1038">
            <v>4</v>
          </cell>
          <cell r="G1038">
            <v>0</v>
          </cell>
          <cell r="H1038">
            <v>0</v>
          </cell>
        </row>
        <row r="1039">
          <cell r="D1039" t="str">
            <v>Female BB RS-775 21</v>
          </cell>
          <cell r="E1039">
            <v>10</v>
          </cell>
          <cell r="F1039">
            <v>4</v>
          </cell>
          <cell r="G1039">
            <v>0</v>
          </cell>
          <cell r="H1039">
            <v>0</v>
          </cell>
        </row>
        <row r="1040">
          <cell r="D1040" t="str">
            <v>Female BB RS-775 25</v>
          </cell>
          <cell r="E1040">
            <v>7</v>
          </cell>
          <cell r="F1040">
            <v>3</v>
          </cell>
          <cell r="G1040">
            <v>0</v>
          </cell>
          <cell r="H1040">
            <v>0</v>
          </cell>
        </row>
        <row r="1041">
          <cell r="D1041" t="str">
            <v>Female BB RS-775 27</v>
          </cell>
          <cell r="E1041">
            <v>7</v>
          </cell>
          <cell r="F1041">
            <v>3</v>
          </cell>
          <cell r="G1041">
            <v>0</v>
          </cell>
          <cell r="H1041">
            <v>0</v>
          </cell>
        </row>
        <row r="1042">
          <cell r="D1042" t="str">
            <v>Female BB RS-775 28</v>
          </cell>
          <cell r="E1042">
            <v>7</v>
          </cell>
          <cell r="F1042">
            <v>3</v>
          </cell>
          <cell r="G1042">
            <v>0</v>
          </cell>
          <cell r="H1042">
            <v>0</v>
          </cell>
        </row>
        <row r="1043">
          <cell r="D1043" t="str">
            <v>Female BB RS-775 30</v>
          </cell>
          <cell r="E1043">
            <v>7</v>
          </cell>
          <cell r="F1043">
            <v>3</v>
          </cell>
          <cell r="G1043">
            <v>0</v>
          </cell>
          <cell r="H1043">
            <v>0</v>
          </cell>
        </row>
        <row r="1044">
          <cell r="D1044" t="str">
            <v>Female BB RS-775 35</v>
          </cell>
          <cell r="E1044">
            <v>5</v>
          </cell>
          <cell r="F1044">
            <v>1</v>
          </cell>
          <cell r="G1044">
            <v>0</v>
          </cell>
          <cell r="H1044">
            <v>0</v>
          </cell>
        </row>
        <row r="1045">
          <cell r="D1045" t="str">
            <v>Female BB RS-775 36</v>
          </cell>
          <cell r="E1045">
            <v>5</v>
          </cell>
          <cell r="F1045">
            <v>1</v>
          </cell>
          <cell r="G1045">
            <v>0</v>
          </cell>
          <cell r="H1045">
            <v>0</v>
          </cell>
        </row>
        <row r="1046">
          <cell r="D1046" t="str">
            <v>Female BB RS-775 40</v>
          </cell>
          <cell r="E1046">
            <v>5</v>
          </cell>
          <cell r="F1046">
            <v>1</v>
          </cell>
          <cell r="G1046">
            <v>0</v>
          </cell>
          <cell r="H1046">
            <v>0</v>
          </cell>
        </row>
        <row r="1047">
          <cell r="D1047" t="str">
            <v>Female BB RS-775 45</v>
          </cell>
          <cell r="E1047">
            <v>5</v>
          </cell>
          <cell r="F1047">
            <v>1</v>
          </cell>
          <cell r="G1047">
            <v>0</v>
          </cell>
          <cell r="H1047">
            <v>0</v>
          </cell>
        </row>
        <row r="1048">
          <cell r="D1048" t="str">
            <v>Female BB RS-775 49</v>
          </cell>
          <cell r="E1048">
            <v>5</v>
          </cell>
          <cell r="F1048">
            <v>1</v>
          </cell>
          <cell r="G1048">
            <v>0</v>
          </cell>
          <cell r="H1048">
            <v>0</v>
          </cell>
        </row>
        <row r="1049">
          <cell r="D1049" t="str">
            <v>Female BB RS-775 50</v>
          </cell>
          <cell r="E1049">
            <v>5</v>
          </cell>
          <cell r="F1049">
            <v>1</v>
          </cell>
          <cell r="G1049">
            <v>0</v>
          </cell>
          <cell r="H1049">
            <v>0</v>
          </cell>
        </row>
        <row r="1050">
          <cell r="D1050" t="str">
            <v>Female BB RS-775 63</v>
          </cell>
          <cell r="E1050">
            <v>5</v>
          </cell>
          <cell r="F1050">
            <v>0</v>
          </cell>
          <cell r="G1050">
            <v>0</v>
          </cell>
          <cell r="H1050">
            <v>0</v>
          </cell>
        </row>
        <row r="1051">
          <cell r="D1051" t="str">
            <v>Female BB RS-775 70</v>
          </cell>
          <cell r="E1051">
            <v>4</v>
          </cell>
          <cell r="F1051">
            <v>0</v>
          </cell>
          <cell r="G1051">
            <v>0</v>
          </cell>
          <cell r="H1051">
            <v>0</v>
          </cell>
        </row>
        <row r="1052">
          <cell r="D1052" t="str">
            <v>Female BB RS-775 81</v>
          </cell>
          <cell r="E1052">
            <v>4</v>
          </cell>
          <cell r="F1052">
            <v>0</v>
          </cell>
          <cell r="G1052">
            <v>0</v>
          </cell>
          <cell r="H1052">
            <v>0</v>
          </cell>
        </row>
        <row r="1053">
          <cell r="D1053" t="str">
            <v>Female BB RS-775 90</v>
          </cell>
          <cell r="E1053">
            <v>3</v>
          </cell>
          <cell r="F1053">
            <v>0</v>
          </cell>
          <cell r="G1053">
            <v>0</v>
          </cell>
          <cell r="H1053">
            <v>0</v>
          </cell>
        </row>
        <row r="1054">
          <cell r="D1054" t="str">
            <v>Female BB RS-775 100</v>
          </cell>
          <cell r="E1054">
            <v>3</v>
          </cell>
          <cell r="F1054">
            <v>0</v>
          </cell>
          <cell r="G1054">
            <v>0</v>
          </cell>
          <cell r="H1054">
            <v>0</v>
          </cell>
        </row>
        <row r="1055">
          <cell r="D1055" t="str">
            <v>Female BAG Motor -3</v>
          </cell>
          <cell r="E1055">
            <v>1</v>
          </cell>
          <cell r="F1055">
            <v>1</v>
          </cell>
          <cell r="G1055">
            <v>1</v>
          </cell>
          <cell r="H1055">
            <v>0</v>
          </cell>
        </row>
        <row r="1056">
          <cell r="D1056" t="str">
            <v>Female BAG Motor -4</v>
          </cell>
          <cell r="E1056">
            <v>1</v>
          </cell>
          <cell r="F1056">
            <v>1</v>
          </cell>
          <cell r="G1056">
            <v>1</v>
          </cell>
          <cell r="H1056">
            <v>0</v>
          </cell>
        </row>
        <row r="1057">
          <cell r="D1057" t="str">
            <v>Female BAG Motor -5</v>
          </cell>
          <cell r="E1057">
            <v>1</v>
          </cell>
          <cell r="F1057">
            <v>1</v>
          </cell>
          <cell r="G1057">
            <v>1</v>
          </cell>
          <cell r="H1057">
            <v>0</v>
          </cell>
        </row>
        <row r="1058">
          <cell r="D1058" t="str">
            <v>Female BAG Motor -7</v>
          </cell>
          <cell r="E1058">
            <v>1</v>
          </cell>
          <cell r="F1058">
            <v>1</v>
          </cell>
          <cell r="G1058">
            <v>1</v>
          </cell>
          <cell r="H1058">
            <v>0</v>
          </cell>
        </row>
        <row r="1059">
          <cell r="D1059" t="str">
            <v>Female BAG Motor -9</v>
          </cell>
          <cell r="E1059">
            <v>1</v>
          </cell>
          <cell r="F1059">
            <v>1</v>
          </cell>
          <cell r="G1059">
            <v>0</v>
          </cell>
          <cell r="H1059">
            <v>0</v>
          </cell>
        </row>
        <row r="1060">
          <cell r="D1060" t="str">
            <v>Female BAG Motor -10</v>
          </cell>
          <cell r="E1060">
            <v>1</v>
          </cell>
          <cell r="F1060">
            <v>1</v>
          </cell>
          <cell r="G1060">
            <v>0</v>
          </cell>
          <cell r="H1060">
            <v>0</v>
          </cell>
        </row>
        <row r="1061">
          <cell r="D1061" t="str">
            <v>Female BAG Motor 9</v>
          </cell>
          <cell r="E1061">
            <v>10</v>
          </cell>
          <cell r="F1061">
            <v>10</v>
          </cell>
          <cell r="G1061">
            <v>1</v>
          </cell>
          <cell r="H1061">
            <v>0</v>
          </cell>
        </row>
        <row r="1062">
          <cell r="D1062" t="str">
            <v>Female BAG Motor 12</v>
          </cell>
          <cell r="E1062">
            <v>10</v>
          </cell>
          <cell r="F1062">
            <v>9</v>
          </cell>
          <cell r="G1062">
            <v>1</v>
          </cell>
          <cell r="H1062">
            <v>0</v>
          </cell>
        </row>
        <row r="1063">
          <cell r="D1063" t="str">
            <v>Female BAG Motor 15</v>
          </cell>
          <cell r="E1063">
            <v>10</v>
          </cell>
          <cell r="F1063">
            <v>7</v>
          </cell>
          <cell r="G1063">
            <v>0</v>
          </cell>
          <cell r="H1063">
            <v>0</v>
          </cell>
        </row>
        <row r="1064">
          <cell r="D1064" t="str">
            <v>Female BAG Motor 16</v>
          </cell>
          <cell r="E1064">
            <v>10</v>
          </cell>
          <cell r="F1064">
            <v>5</v>
          </cell>
          <cell r="G1064">
            <v>0</v>
          </cell>
          <cell r="H1064">
            <v>0</v>
          </cell>
        </row>
        <row r="1065">
          <cell r="D1065" t="str">
            <v>Female BAG Motor 20</v>
          </cell>
          <cell r="E1065">
            <v>9</v>
          </cell>
          <cell r="F1065">
            <v>5</v>
          </cell>
          <cell r="G1065">
            <v>0</v>
          </cell>
          <cell r="H1065">
            <v>0</v>
          </cell>
        </row>
        <row r="1066">
          <cell r="D1066" t="str">
            <v>Female BAG Motor 21</v>
          </cell>
          <cell r="E1066">
            <v>9</v>
          </cell>
          <cell r="F1066">
            <v>5</v>
          </cell>
          <cell r="G1066">
            <v>0</v>
          </cell>
          <cell r="H1066">
            <v>0</v>
          </cell>
        </row>
        <row r="1067">
          <cell r="D1067" t="str">
            <v>Female BAG Motor 25</v>
          </cell>
          <cell r="E1067">
            <v>7</v>
          </cell>
          <cell r="F1067">
            <v>5</v>
          </cell>
          <cell r="G1067">
            <v>0</v>
          </cell>
          <cell r="H1067">
            <v>0</v>
          </cell>
        </row>
        <row r="1068">
          <cell r="D1068" t="str">
            <v>Female BAG Motor 27</v>
          </cell>
          <cell r="E1068">
            <v>7</v>
          </cell>
          <cell r="F1068">
            <v>5</v>
          </cell>
          <cell r="G1068">
            <v>0</v>
          </cell>
          <cell r="H1068">
            <v>0</v>
          </cell>
        </row>
        <row r="1069">
          <cell r="D1069" t="str">
            <v>Female BAG Motor 28</v>
          </cell>
          <cell r="E1069">
            <v>7</v>
          </cell>
          <cell r="F1069">
            <v>5</v>
          </cell>
          <cell r="G1069">
            <v>0</v>
          </cell>
          <cell r="H1069">
            <v>0</v>
          </cell>
        </row>
        <row r="1070">
          <cell r="D1070" t="str">
            <v>Female BAG Motor 30</v>
          </cell>
          <cell r="E1070">
            <v>5</v>
          </cell>
          <cell r="F1070">
            <v>5</v>
          </cell>
          <cell r="G1070">
            <v>0</v>
          </cell>
          <cell r="H1070">
            <v>0</v>
          </cell>
        </row>
        <row r="1071">
          <cell r="D1071" t="str">
            <v>Female BAG Motor 35</v>
          </cell>
          <cell r="E1071">
            <v>5</v>
          </cell>
          <cell r="F1071">
            <v>4</v>
          </cell>
          <cell r="G1071">
            <v>0</v>
          </cell>
          <cell r="H1071">
            <v>0</v>
          </cell>
        </row>
        <row r="1072">
          <cell r="D1072" t="str">
            <v>Female BAG Motor 36</v>
          </cell>
          <cell r="E1072">
            <v>5</v>
          </cell>
          <cell r="F1072">
            <v>4</v>
          </cell>
          <cell r="G1072">
            <v>0</v>
          </cell>
          <cell r="H1072">
            <v>0</v>
          </cell>
        </row>
        <row r="1073">
          <cell r="D1073" t="str">
            <v>Female BAG Motor 40</v>
          </cell>
          <cell r="E1073">
            <v>5</v>
          </cell>
          <cell r="F1073">
            <v>4</v>
          </cell>
          <cell r="G1073">
            <v>0</v>
          </cell>
          <cell r="H1073">
            <v>0</v>
          </cell>
        </row>
        <row r="1074">
          <cell r="D1074" t="str">
            <v>Female BAG Motor 45</v>
          </cell>
          <cell r="E1074">
            <v>5</v>
          </cell>
          <cell r="F1074">
            <v>3</v>
          </cell>
          <cell r="G1074">
            <v>0</v>
          </cell>
          <cell r="H1074">
            <v>0</v>
          </cell>
        </row>
        <row r="1075">
          <cell r="D1075" t="str">
            <v>Female BAG Motor 49</v>
          </cell>
          <cell r="E1075">
            <v>5</v>
          </cell>
          <cell r="F1075">
            <v>3</v>
          </cell>
          <cell r="G1075">
            <v>0</v>
          </cell>
          <cell r="H1075">
            <v>0</v>
          </cell>
        </row>
        <row r="1076">
          <cell r="D1076" t="str">
            <v>Female BAG Motor 50</v>
          </cell>
          <cell r="E1076">
            <v>5</v>
          </cell>
          <cell r="F1076">
            <v>3</v>
          </cell>
          <cell r="G1076">
            <v>0</v>
          </cell>
          <cell r="H1076">
            <v>0</v>
          </cell>
        </row>
        <row r="1077">
          <cell r="D1077" t="str">
            <v>Female BAG Motor 63</v>
          </cell>
          <cell r="E1077">
            <v>4</v>
          </cell>
          <cell r="F1077">
            <v>1</v>
          </cell>
          <cell r="G1077">
            <v>0</v>
          </cell>
          <cell r="H1077">
            <v>0</v>
          </cell>
        </row>
        <row r="1078">
          <cell r="D1078" t="str">
            <v>Female BAG Motor 70</v>
          </cell>
          <cell r="E1078">
            <v>4</v>
          </cell>
          <cell r="F1078">
            <v>1</v>
          </cell>
          <cell r="G1078">
            <v>0</v>
          </cell>
          <cell r="H1078">
            <v>0</v>
          </cell>
        </row>
        <row r="1079">
          <cell r="D1079" t="str">
            <v>Female BAG Motor 81</v>
          </cell>
          <cell r="E1079">
            <v>3</v>
          </cell>
          <cell r="F1079">
            <v>1</v>
          </cell>
          <cell r="G1079">
            <v>0</v>
          </cell>
          <cell r="H1079">
            <v>0</v>
          </cell>
        </row>
        <row r="1080">
          <cell r="D1080" t="str">
            <v>Female BAG Motor 90</v>
          </cell>
          <cell r="E1080">
            <v>3</v>
          </cell>
          <cell r="F1080">
            <v>1</v>
          </cell>
          <cell r="G1080">
            <v>0</v>
          </cell>
          <cell r="H1080">
            <v>0</v>
          </cell>
        </row>
        <row r="1081">
          <cell r="D1081" t="str">
            <v>Female BAG Motor 100</v>
          </cell>
          <cell r="E1081">
            <v>3</v>
          </cell>
          <cell r="F1081">
            <v>1</v>
          </cell>
          <cell r="G1081">
            <v>0</v>
          </cell>
          <cell r="H1081">
            <v>0</v>
          </cell>
        </row>
        <row r="1082">
          <cell r="D1082" t="str">
            <v>Female 775pro -3</v>
          </cell>
          <cell r="E1082">
            <v>1</v>
          </cell>
          <cell r="F1082">
            <v>1</v>
          </cell>
          <cell r="G1082">
            <v>1</v>
          </cell>
          <cell r="H1082">
            <v>0</v>
          </cell>
        </row>
        <row r="1083">
          <cell r="D1083" t="str">
            <v>Female 775pro -4</v>
          </cell>
          <cell r="E1083">
            <v>1</v>
          </cell>
          <cell r="F1083">
            <v>1</v>
          </cell>
          <cell r="G1083">
            <v>1</v>
          </cell>
          <cell r="H1083">
            <v>0</v>
          </cell>
        </row>
        <row r="1084">
          <cell r="D1084" t="str">
            <v>Female 775pro -5</v>
          </cell>
          <cell r="E1084">
            <v>1</v>
          </cell>
          <cell r="F1084">
            <v>1</v>
          </cell>
          <cell r="G1084">
            <v>1</v>
          </cell>
          <cell r="H1084">
            <v>0</v>
          </cell>
        </row>
        <row r="1085">
          <cell r="D1085" t="str">
            <v>Female 775pro -7</v>
          </cell>
          <cell r="E1085">
            <v>1</v>
          </cell>
          <cell r="F1085">
            <v>1</v>
          </cell>
          <cell r="G1085">
            <v>0</v>
          </cell>
          <cell r="H1085">
            <v>0</v>
          </cell>
        </row>
        <row r="1086">
          <cell r="D1086" t="str">
            <v>Female 775pro -9</v>
          </cell>
          <cell r="E1086">
            <v>1</v>
          </cell>
          <cell r="F1086">
            <v>1</v>
          </cell>
          <cell r="G1086">
            <v>0</v>
          </cell>
          <cell r="H1086">
            <v>0</v>
          </cell>
        </row>
        <row r="1087">
          <cell r="D1087" t="str">
            <v>Female 775pro -10</v>
          </cell>
          <cell r="E1087">
            <v>1</v>
          </cell>
          <cell r="F1087">
            <v>1</v>
          </cell>
          <cell r="G1087">
            <v>0</v>
          </cell>
          <cell r="H1087">
            <v>0</v>
          </cell>
        </row>
        <row r="1088">
          <cell r="D1088" t="str">
            <v>Female 775pro 9</v>
          </cell>
          <cell r="E1088">
            <v>10</v>
          </cell>
          <cell r="F1088">
            <v>7</v>
          </cell>
          <cell r="G1088">
            <v>0</v>
          </cell>
          <cell r="H1088">
            <v>0</v>
          </cell>
        </row>
        <row r="1089">
          <cell r="D1089" t="str">
            <v>Female 775pro 12</v>
          </cell>
          <cell r="E1089">
            <v>10</v>
          </cell>
          <cell r="F1089">
            <v>5</v>
          </cell>
          <cell r="G1089">
            <v>0</v>
          </cell>
          <cell r="H1089">
            <v>0</v>
          </cell>
        </row>
        <row r="1090">
          <cell r="D1090" t="str">
            <v>Female 775pro 15</v>
          </cell>
          <cell r="E1090">
            <v>9</v>
          </cell>
          <cell r="F1090">
            <v>5</v>
          </cell>
          <cell r="G1090">
            <v>0</v>
          </cell>
          <cell r="H1090">
            <v>0</v>
          </cell>
        </row>
        <row r="1091">
          <cell r="D1091" t="str">
            <v>Female 775pro 16</v>
          </cell>
          <cell r="E1091">
            <v>7</v>
          </cell>
          <cell r="F1091">
            <v>5</v>
          </cell>
          <cell r="G1091">
            <v>0</v>
          </cell>
          <cell r="H1091">
            <v>0</v>
          </cell>
        </row>
        <row r="1092">
          <cell r="D1092" t="str">
            <v>Female 775pro 20</v>
          </cell>
          <cell r="E1092">
            <v>5</v>
          </cell>
          <cell r="F1092">
            <v>5</v>
          </cell>
          <cell r="G1092">
            <v>0</v>
          </cell>
          <cell r="H1092">
            <v>0</v>
          </cell>
        </row>
        <row r="1093">
          <cell r="D1093" t="str">
            <v>Female 775pro 21</v>
          </cell>
          <cell r="E1093">
            <v>5</v>
          </cell>
          <cell r="F1093">
            <v>5</v>
          </cell>
          <cell r="G1093">
            <v>0</v>
          </cell>
          <cell r="H1093">
            <v>0</v>
          </cell>
        </row>
        <row r="1094">
          <cell r="D1094" t="str">
            <v>Female 775pro 25</v>
          </cell>
          <cell r="E1094">
            <v>5</v>
          </cell>
          <cell r="F1094">
            <v>4</v>
          </cell>
          <cell r="G1094">
            <v>0</v>
          </cell>
          <cell r="H1094">
            <v>0</v>
          </cell>
        </row>
        <row r="1095">
          <cell r="D1095" t="str">
            <v>Female 775pro 27</v>
          </cell>
          <cell r="E1095">
            <v>5</v>
          </cell>
          <cell r="F1095">
            <v>4</v>
          </cell>
          <cell r="G1095">
            <v>0</v>
          </cell>
          <cell r="H1095">
            <v>0</v>
          </cell>
        </row>
        <row r="1096">
          <cell r="D1096" t="str">
            <v>Female 775pro 28</v>
          </cell>
          <cell r="E1096">
            <v>5</v>
          </cell>
          <cell r="F1096">
            <v>3</v>
          </cell>
          <cell r="G1096">
            <v>0</v>
          </cell>
          <cell r="H1096">
            <v>0</v>
          </cell>
        </row>
        <row r="1097">
          <cell r="D1097" t="str">
            <v>Female 775pro 30</v>
          </cell>
          <cell r="E1097">
            <v>5</v>
          </cell>
          <cell r="F1097">
            <v>3</v>
          </cell>
          <cell r="G1097">
            <v>0</v>
          </cell>
          <cell r="H1097">
            <v>0</v>
          </cell>
        </row>
        <row r="1098">
          <cell r="D1098" t="str">
            <v>Female 775pro 35</v>
          </cell>
          <cell r="E1098">
            <v>5</v>
          </cell>
          <cell r="F1098">
            <v>3</v>
          </cell>
          <cell r="G1098">
            <v>0</v>
          </cell>
          <cell r="H1098">
            <v>0</v>
          </cell>
        </row>
        <row r="1099">
          <cell r="D1099" t="str">
            <v>Female 775pro 36</v>
          </cell>
          <cell r="E1099">
            <v>5</v>
          </cell>
          <cell r="F1099">
            <v>3</v>
          </cell>
          <cell r="G1099">
            <v>0</v>
          </cell>
          <cell r="H1099">
            <v>0</v>
          </cell>
        </row>
        <row r="1100">
          <cell r="D1100" t="str">
            <v>Female 775pro 40</v>
          </cell>
          <cell r="E1100">
            <v>5</v>
          </cell>
          <cell r="F1100">
            <v>1</v>
          </cell>
          <cell r="G1100">
            <v>0</v>
          </cell>
          <cell r="H1100">
            <v>0</v>
          </cell>
        </row>
        <row r="1101">
          <cell r="D1101" t="str">
            <v>Female 775pro 45</v>
          </cell>
          <cell r="E1101">
            <v>4</v>
          </cell>
          <cell r="F1101">
            <v>1</v>
          </cell>
          <cell r="G1101">
            <v>0</v>
          </cell>
          <cell r="H1101">
            <v>0</v>
          </cell>
        </row>
        <row r="1102">
          <cell r="D1102" t="str">
            <v>Female 775pro 49</v>
          </cell>
          <cell r="E1102">
            <v>4</v>
          </cell>
          <cell r="F1102">
            <v>1</v>
          </cell>
          <cell r="G1102">
            <v>0</v>
          </cell>
          <cell r="H1102">
            <v>0</v>
          </cell>
        </row>
        <row r="1103">
          <cell r="D1103" t="str">
            <v>Female 775pro 50</v>
          </cell>
          <cell r="E1103">
            <v>4</v>
          </cell>
          <cell r="F1103">
            <v>1</v>
          </cell>
          <cell r="G1103">
            <v>0</v>
          </cell>
          <cell r="H1103">
            <v>0</v>
          </cell>
        </row>
        <row r="1104">
          <cell r="D1104" t="str">
            <v>Female 775pro 63</v>
          </cell>
          <cell r="E1104">
            <v>3</v>
          </cell>
          <cell r="F1104">
            <v>1</v>
          </cell>
          <cell r="G1104">
            <v>0</v>
          </cell>
          <cell r="H1104">
            <v>0</v>
          </cell>
        </row>
        <row r="1105">
          <cell r="D1105" t="str">
            <v>Female 775pro 70</v>
          </cell>
          <cell r="E1105">
            <v>3</v>
          </cell>
          <cell r="F1105">
            <v>0</v>
          </cell>
          <cell r="G1105">
            <v>0</v>
          </cell>
          <cell r="H1105">
            <v>0</v>
          </cell>
        </row>
        <row r="1106">
          <cell r="D1106" t="str">
            <v>Female 775pro 81</v>
          </cell>
          <cell r="E1106">
            <v>1</v>
          </cell>
          <cell r="F1106">
            <v>0</v>
          </cell>
          <cell r="G1106">
            <v>0</v>
          </cell>
          <cell r="H1106">
            <v>0</v>
          </cell>
        </row>
        <row r="1107">
          <cell r="D1107" t="str">
            <v>Female 775pro 90</v>
          </cell>
          <cell r="E1107">
            <v>1</v>
          </cell>
          <cell r="F1107">
            <v>0</v>
          </cell>
          <cell r="G1107">
            <v>0</v>
          </cell>
          <cell r="H1107">
            <v>0</v>
          </cell>
        </row>
        <row r="1108">
          <cell r="D1108" t="str">
            <v>Female 775pro 100</v>
          </cell>
          <cell r="E1108">
            <v>1</v>
          </cell>
          <cell r="F1108">
            <v>0</v>
          </cell>
          <cell r="G1108">
            <v>0</v>
          </cell>
          <cell r="H1108">
            <v>0</v>
          </cell>
        </row>
        <row r="1109">
          <cell r="D1109" t="str">
            <v>Female Mini CIM -3</v>
          </cell>
          <cell r="E1109">
            <v>1</v>
          </cell>
          <cell r="I1109">
            <v>0</v>
          </cell>
        </row>
        <row r="1110">
          <cell r="D1110" t="str">
            <v>Female Mini CIM -4</v>
          </cell>
          <cell r="E1110">
            <v>1</v>
          </cell>
          <cell r="I1110">
            <v>0</v>
          </cell>
        </row>
        <row r="1111">
          <cell r="D1111" t="str">
            <v>Female Mini CIM -5</v>
          </cell>
          <cell r="E1111">
            <v>1</v>
          </cell>
          <cell r="I1111">
            <v>0</v>
          </cell>
        </row>
        <row r="1112">
          <cell r="D1112" t="str">
            <v>Female Mini CIM -7</v>
          </cell>
          <cell r="E1112">
            <v>1</v>
          </cell>
          <cell r="I1112">
            <v>0</v>
          </cell>
        </row>
        <row r="1113">
          <cell r="D1113" t="str">
            <v>Female Mini CIM -9</v>
          </cell>
          <cell r="E1113">
            <v>1</v>
          </cell>
          <cell r="I1113">
            <v>0</v>
          </cell>
        </row>
        <row r="1114">
          <cell r="D1114" t="str">
            <v>Female Mini CIM -10</v>
          </cell>
          <cell r="E1114">
            <v>1</v>
          </cell>
          <cell r="I1114">
            <v>0</v>
          </cell>
        </row>
        <row r="1115">
          <cell r="D1115" t="str">
            <v>Female Mini CIM 9</v>
          </cell>
          <cell r="E1115">
            <v>7</v>
          </cell>
          <cell r="I1115">
            <v>0</v>
          </cell>
        </row>
        <row r="1116">
          <cell r="D1116" t="str">
            <v>Female Mini CIM 12</v>
          </cell>
          <cell r="E1116">
            <v>5</v>
          </cell>
          <cell r="I1116">
            <v>0</v>
          </cell>
        </row>
        <row r="1117">
          <cell r="D1117" t="str">
            <v>Female Mini CIM 15</v>
          </cell>
          <cell r="E1117">
            <v>5</v>
          </cell>
          <cell r="I1117">
            <v>0</v>
          </cell>
        </row>
        <row r="1118">
          <cell r="D1118" t="str">
            <v>Female Mini CIM 16</v>
          </cell>
          <cell r="E1118">
            <v>5</v>
          </cell>
          <cell r="I1118">
            <v>0</v>
          </cell>
        </row>
        <row r="1119">
          <cell r="D1119" t="str">
            <v>Female Mini CIM 20</v>
          </cell>
          <cell r="E1119">
            <v>5</v>
          </cell>
          <cell r="I1119">
            <v>0</v>
          </cell>
        </row>
        <row r="1120">
          <cell r="D1120" t="str">
            <v>Female Mini CIM 21</v>
          </cell>
          <cell r="E1120">
            <v>5</v>
          </cell>
          <cell r="I1120">
            <v>0</v>
          </cell>
        </row>
        <row r="1121">
          <cell r="D1121" t="str">
            <v>Female Mini CIM 25</v>
          </cell>
          <cell r="E1121">
            <v>4</v>
          </cell>
          <cell r="I1121">
            <v>0</v>
          </cell>
        </row>
        <row r="1122">
          <cell r="D1122" t="str">
            <v>Female Mini CIM 27</v>
          </cell>
          <cell r="E1122">
            <v>4</v>
          </cell>
          <cell r="I1122">
            <v>0</v>
          </cell>
        </row>
        <row r="1123">
          <cell r="D1123" t="str">
            <v>Female Mini CIM 28</v>
          </cell>
          <cell r="E1123">
            <v>3</v>
          </cell>
          <cell r="I1123">
            <v>0</v>
          </cell>
        </row>
        <row r="1124">
          <cell r="D1124" t="str">
            <v>Female Mini CIM 30</v>
          </cell>
          <cell r="E1124">
            <v>3</v>
          </cell>
          <cell r="I1124">
            <v>0</v>
          </cell>
        </row>
        <row r="1125">
          <cell r="D1125" t="str">
            <v>Female Mini CIM 35</v>
          </cell>
          <cell r="E1125">
            <v>3</v>
          </cell>
          <cell r="I1125">
            <v>0</v>
          </cell>
        </row>
        <row r="1126">
          <cell r="D1126" t="str">
            <v>Female Mini CIM 36</v>
          </cell>
          <cell r="E1126">
            <v>3</v>
          </cell>
          <cell r="I1126">
            <v>0</v>
          </cell>
        </row>
        <row r="1127">
          <cell r="D1127" t="str">
            <v>Female Mini CIM 40</v>
          </cell>
          <cell r="E1127">
            <v>1</v>
          </cell>
          <cell r="I1127">
            <v>0</v>
          </cell>
        </row>
        <row r="1128">
          <cell r="D1128" t="str">
            <v>Female Mini CIM 45</v>
          </cell>
          <cell r="E1128">
            <v>1</v>
          </cell>
          <cell r="I1128">
            <v>0</v>
          </cell>
        </row>
        <row r="1129">
          <cell r="D1129" t="str">
            <v>Female Mini CIM 49</v>
          </cell>
          <cell r="E1129">
            <v>1</v>
          </cell>
          <cell r="I1129">
            <v>0</v>
          </cell>
        </row>
        <row r="1130">
          <cell r="D1130" t="str">
            <v>Female Mini CIM 50</v>
          </cell>
          <cell r="E1130">
            <v>1</v>
          </cell>
          <cell r="I1130">
            <v>0</v>
          </cell>
        </row>
        <row r="1131">
          <cell r="D1131" t="str">
            <v>Female Mini CIM 63</v>
          </cell>
          <cell r="E1131">
            <v>1</v>
          </cell>
          <cell r="I1131">
            <v>0</v>
          </cell>
        </row>
        <row r="1132">
          <cell r="D1132" t="str">
            <v>Female Mini CIM 70</v>
          </cell>
          <cell r="E1132">
            <v>0</v>
          </cell>
          <cell r="I1132">
            <v>0</v>
          </cell>
        </row>
        <row r="1133">
          <cell r="D1133" t="str">
            <v>Female Mini CIM 81</v>
          </cell>
          <cell r="E1133">
            <v>0</v>
          </cell>
          <cell r="I1133">
            <v>0</v>
          </cell>
        </row>
        <row r="1134">
          <cell r="D1134" t="str">
            <v>Female Mini CIM 90</v>
          </cell>
          <cell r="E1134">
            <v>0</v>
          </cell>
          <cell r="I1134">
            <v>0</v>
          </cell>
        </row>
        <row r="1135">
          <cell r="D1135" t="str">
            <v>Female Mini CIM 100</v>
          </cell>
          <cell r="E1135">
            <v>0</v>
          </cell>
          <cell r="I1135">
            <v>0</v>
          </cell>
        </row>
        <row r="1136">
          <cell r="D1136" t="str">
            <v>Female CIM -3</v>
          </cell>
          <cell r="E1136">
            <v>1</v>
          </cell>
          <cell r="I1136">
            <v>0</v>
          </cell>
        </row>
        <row r="1137">
          <cell r="D1137" t="str">
            <v>Female CIM -4</v>
          </cell>
          <cell r="E1137">
            <v>1</v>
          </cell>
          <cell r="I1137">
            <v>0</v>
          </cell>
        </row>
        <row r="1138">
          <cell r="D1138" t="str">
            <v>Female CIM -5</v>
          </cell>
          <cell r="E1138">
            <v>1</v>
          </cell>
          <cell r="I1138">
            <v>0</v>
          </cell>
        </row>
        <row r="1139">
          <cell r="D1139" t="str">
            <v>Female CIM -7</v>
          </cell>
          <cell r="E1139">
            <v>1</v>
          </cell>
          <cell r="I1139">
            <v>0</v>
          </cell>
        </row>
        <row r="1140">
          <cell r="D1140" t="str">
            <v>Female CIM -9</v>
          </cell>
          <cell r="E1140">
            <v>1</v>
          </cell>
          <cell r="I1140">
            <v>0</v>
          </cell>
        </row>
        <row r="1141">
          <cell r="D1141" t="str">
            <v>Female CIM -10</v>
          </cell>
          <cell r="E1141">
            <v>1</v>
          </cell>
          <cell r="I1141">
            <v>0</v>
          </cell>
        </row>
        <row r="1142">
          <cell r="D1142" t="str">
            <v>Female CIM 9</v>
          </cell>
          <cell r="E1142">
            <v>5</v>
          </cell>
          <cell r="I1142">
            <v>0</v>
          </cell>
        </row>
        <row r="1143">
          <cell r="D1143" t="str">
            <v>Female CIM 12</v>
          </cell>
          <cell r="E1143">
            <v>5</v>
          </cell>
          <cell r="I1143">
            <v>0</v>
          </cell>
        </row>
        <row r="1144">
          <cell r="D1144" t="str">
            <v>Female CIM 15</v>
          </cell>
          <cell r="E1144">
            <v>4</v>
          </cell>
          <cell r="I1144">
            <v>0</v>
          </cell>
        </row>
        <row r="1145">
          <cell r="D1145" t="str">
            <v>Female CIM 16</v>
          </cell>
          <cell r="E1145">
            <v>4</v>
          </cell>
          <cell r="I1145">
            <v>0</v>
          </cell>
        </row>
        <row r="1146">
          <cell r="D1146" t="str">
            <v>Female CIM 20</v>
          </cell>
          <cell r="E1146">
            <v>3</v>
          </cell>
          <cell r="I1146">
            <v>0</v>
          </cell>
        </row>
        <row r="1147">
          <cell r="D1147" t="str">
            <v>Female CIM 21</v>
          </cell>
          <cell r="E1147">
            <v>3</v>
          </cell>
          <cell r="I1147">
            <v>0</v>
          </cell>
        </row>
        <row r="1148">
          <cell r="D1148" t="str">
            <v>Female CIM 25</v>
          </cell>
          <cell r="E1148">
            <v>1</v>
          </cell>
          <cell r="I1148">
            <v>0</v>
          </cell>
        </row>
        <row r="1149">
          <cell r="D1149" t="str">
            <v>Female CIM 27</v>
          </cell>
          <cell r="E1149">
            <v>1</v>
          </cell>
          <cell r="I1149">
            <v>0</v>
          </cell>
        </row>
        <row r="1150">
          <cell r="D1150" t="str">
            <v>Female CIM 28</v>
          </cell>
          <cell r="E1150">
            <v>1</v>
          </cell>
          <cell r="I1150">
            <v>0</v>
          </cell>
        </row>
        <row r="1151">
          <cell r="D1151" t="str">
            <v>Female CIM 30</v>
          </cell>
          <cell r="E1151">
            <v>1</v>
          </cell>
          <cell r="I1151">
            <v>0</v>
          </cell>
        </row>
        <row r="1152">
          <cell r="D1152" t="str">
            <v>Female CIM 35</v>
          </cell>
          <cell r="E1152">
            <v>1</v>
          </cell>
          <cell r="I1152">
            <v>0</v>
          </cell>
        </row>
        <row r="1153">
          <cell r="D1153" t="str">
            <v>Female CIM 36</v>
          </cell>
          <cell r="E1153">
            <v>1</v>
          </cell>
          <cell r="I1153">
            <v>0</v>
          </cell>
        </row>
        <row r="1154">
          <cell r="D1154" t="str">
            <v>Female CIM 40</v>
          </cell>
          <cell r="E1154">
            <v>1</v>
          </cell>
          <cell r="I1154">
            <v>0</v>
          </cell>
        </row>
        <row r="1155">
          <cell r="D1155" t="str">
            <v>Female CIM 45</v>
          </cell>
          <cell r="E1155">
            <v>1</v>
          </cell>
          <cell r="I1155">
            <v>0</v>
          </cell>
        </row>
        <row r="1156">
          <cell r="D1156" t="str">
            <v>Female CIM 49</v>
          </cell>
          <cell r="E1156">
            <v>0</v>
          </cell>
          <cell r="I1156">
            <v>0</v>
          </cell>
        </row>
        <row r="1157">
          <cell r="D1157" t="str">
            <v>Female CIM 50</v>
          </cell>
          <cell r="E1157">
            <v>1</v>
          </cell>
          <cell r="I1157">
            <v>0</v>
          </cell>
        </row>
        <row r="1158">
          <cell r="D1158" t="str">
            <v>Female CIM 63</v>
          </cell>
          <cell r="E1158">
            <v>0</v>
          </cell>
          <cell r="I1158">
            <v>0</v>
          </cell>
        </row>
        <row r="1159">
          <cell r="D1159" t="str">
            <v>Female CIM 70</v>
          </cell>
          <cell r="E1159">
            <v>0</v>
          </cell>
          <cell r="I1159">
            <v>0</v>
          </cell>
        </row>
        <row r="1160">
          <cell r="D1160" t="str">
            <v>Female CIM 81</v>
          </cell>
          <cell r="E1160">
            <v>0</v>
          </cell>
          <cell r="I1160">
            <v>0</v>
          </cell>
        </row>
        <row r="1161">
          <cell r="D1161" t="str">
            <v>Female CIM 90</v>
          </cell>
          <cell r="E1161">
            <v>0</v>
          </cell>
          <cell r="I1161">
            <v>0</v>
          </cell>
        </row>
        <row r="1162">
          <cell r="D1162" t="str">
            <v>Female CIM 100</v>
          </cell>
          <cell r="E1162">
            <v>0</v>
          </cell>
          <cell r="I1162">
            <v>0</v>
          </cell>
        </row>
        <row r="1163">
          <cell r="D1163" t="str">
            <v>Female NEO -3</v>
          </cell>
          <cell r="E1163">
            <v>1</v>
          </cell>
          <cell r="I1163">
            <v>0</v>
          </cell>
        </row>
        <row r="1164">
          <cell r="D1164" t="str">
            <v>Female NEO -4</v>
          </cell>
          <cell r="E1164">
            <v>1</v>
          </cell>
          <cell r="I1164">
            <v>0</v>
          </cell>
        </row>
        <row r="1165">
          <cell r="D1165" t="str">
            <v>Female NEO -5</v>
          </cell>
          <cell r="E1165">
            <v>1</v>
          </cell>
          <cell r="I1165">
            <v>0</v>
          </cell>
        </row>
        <row r="1166">
          <cell r="D1166" t="str">
            <v>Female NEO -7</v>
          </cell>
          <cell r="E1166">
            <v>1</v>
          </cell>
          <cell r="I1166">
            <v>0</v>
          </cell>
        </row>
        <row r="1167">
          <cell r="D1167" t="str">
            <v>Female NEO -9</v>
          </cell>
          <cell r="E1167">
            <v>1</v>
          </cell>
          <cell r="I1167">
            <v>0</v>
          </cell>
        </row>
        <row r="1168">
          <cell r="D1168" t="str">
            <v>Female NEO -10</v>
          </cell>
          <cell r="E1168">
            <v>1</v>
          </cell>
          <cell r="I1168">
            <v>0</v>
          </cell>
        </row>
        <row r="1169">
          <cell r="D1169" t="str">
            <v>Female NEO 9</v>
          </cell>
          <cell r="E1169">
            <v>5</v>
          </cell>
          <cell r="I1169">
            <v>0</v>
          </cell>
        </row>
        <row r="1170">
          <cell r="D1170" t="str">
            <v>Female NEO 12</v>
          </cell>
          <cell r="E1170">
            <v>3</v>
          </cell>
          <cell r="I1170">
            <v>0</v>
          </cell>
        </row>
        <row r="1171">
          <cell r="D1171" t="str">
            <v>Female NEO 15</v>
          </cell>
          <cell r="E1171">
            <v>3</v>
          </cell>
          <cell r="I1171">
            <v>0</v>
          </cell>
        </row>
        <row r="1172">
          <cell r="D1172" t="str">
            <v>Female NEO 16</v>
          </cell>
          <cell r="E1172">
            <v>1</v>
          </cell>
          <cell r="I1172">
            <v>0</v>
          </cell>
        </row>
        <row r="1173">
          <cell r="D1173" t="str">
            <v>Female NEO 20</v>
          </cell>
          <cell r="E1173">
            <v>1</v>
          </cell>
          <cell r="I1173">
            <v>0</v>
          </cell>
        </row>
        <row r="1174">
          <cell r="D1174" t="str">
            <v>Female NEO 21</v>
          </cell>
          <cell r="E1174">
            <v>1</v>
          </cell>
          <cell r="I1174">
            <v>0</v>
          </cell>
        </row>
        <row r="1175">
          <cell r="D1175" t="str">
            <v>Female NEO 25</v>
          </cell>
          <cell r="E1175">
            <v>1</v>
          </cell>
          <cell r="I1175">
            <v>0</v>
          </cell>
        </row>
        <row r="1176">
          <cell r="D1176" t="str">
            <v>Female NEO 27</v>
          </cell>
          <cell r="E1176">
            <v>1</v>
          </cell>
          <cell r="I1176">
            <v>0</v>
          </cell>
        </row>
        <row r="1177">
          <cell r="D1177" t="str">
            <v>Female NEO 28</v>
          </cell>
          <cell r="E1177">
            <v>1</v>
          </cell>
          <cell r="I1177">
            <v>0</v>
          </cell>
        </row>
        <row r="1178">
          <cell r="D1178" t="str">
            <v>Female NEO 30</v>
          </cell>
          <cell r="E1178">
            <v>1</v>
          </cell>
          <cell r="I1178">
            <v>0</v>
          </cell>
        </row>
        <row r="1179">
          <cell r="D1179" t="str">
            <v>Female NEO 35</v>
          </cell>
          <cell r="E1179">
            <v>1</v>
          </cell>
          <cell r="I1179">
            <v>0</v>
          </cell>
        </row>
        <row r="1180">
          <cell r="D1180" t="str">
            <v>Female NEO 36</v>
          </cell>
          <cell r="E1180">
            <v>1</v>
          </cell>
          <cell r="I1180">
            <v>0</v>
          </cell>
        </row>
        <row r="1181">
          <cell r="D1181" t="str">
            <v>Female NEO 40</v>
          </cell>
          <cell r="E1181">
            <v>1</v>
          </cell>
          <cell r="I1181">
            <v>0</v>
          </cell>
        </row>
        <row r="1182">
          <cell r="D1182" t="str">
            <v>Female NEO 45</v>
          </cell>
          <cell r="E1182">
            <v>1</v>
          </cell>
          <cell r="I1182">
            <v>0</v>
          </cell>
        </row>
        <row r="1183">
          <cell r="D1183" t="str">
            <v>Female NEO 49</v>
          </cell>
          <cell r="E1183">
            <v>0</v>
          </cell>
          <cell r="I1183">
            <v>0</v>
          </cell>
        </row>
        <row r="1184">
          <cell r="D1184" t="str">
            <v>Female NEO 50</v>
          </cell>
          <cell r="E1184">
            <v>0</v>
          </cell>
          <cell r="I1184">
            <v>0</v>
          </cell>
        </row>
        <row r="1185">
          <cell r="D1185" t="str">
            <v>Female NEO 63</v>
          </cell>
          <cell r="E1185">
            <v>0</v>
          </cell>
          <cell r="I1185">
            <v>0</v>
          </cell>
        </row>
        <row r="1186">
          <cell r="D1186" t="str">
            <v>Female NEO 70</v>
          </cell>
          <cell r="E1186">
            <v>0</v>
          </cell>
          <cell r="I1186">
            <v>0</v>
          </cell>
        </row>
        <row r="1187">
          <cell r="D1187" t="str">
            <v>Female NEO 81</v>
          </cell>
          <cell r="E1187">
            <v>0</v>
          </cell>
          <cell r="I1187">
            <v>0</v>
          </cell>
        </row>
        <row r="1188">
          <cell r="D1188" t="str">
            <v>Female NEO 90</v>
          </cell>
          <cell r="E1188">
            <v>0</v>
          </cell>
          <cell r="I1188">
            <v>0</v>
          </cell>
        </row>
        <row r="1189">
          <cell r="D1189" t="str">
            <v>Female NEO 100</v>
          </cell>
          <cell r="E1189">
            <v>0</v>
          </cell>
          <cell r="I1189">
            <v>0</v>
          </cell>
        </row>
        <row r="1190">
          <cell r="D1190" t="str">
            <v>Female Falcon 500 -3</v>
          </cell>
          <cell r="E1190">
            <v>1</v>
          </cell>
          <cell r="I1190">
            <v>0</v>
          </cell>
        </row>
        <row r="1191">
          <cell r="D1191" t="str">
            <v>Female Falcon 500 -4</v>
          </cell>
          <cell r="E1191">
            <v>1</v>
          </cell>
          <cell r="I1191">
            <v>0</v>
          </cell>
        </row>
        <row r="1192">
          <cell r="D1192" t="str">
            <v>Female Falcon 500 -5</v>
          </cell>
          <cell r="E1192">
            <v>1</v>
          </cell>
          <cell r="I1192">
            <v>0</v>
          </cell>
        </row>
        <row r="1193">
          <cell r="D1193" t="str">
            <v>Female Falcon 500 -7</v>
          </cell>
          <cell r="E1193">
            <v>1</v>
          </cell>
          <cell r="I1193">
            <v>0</v>
          </cell>
        </row>
        <row r="1194">
          <cell r="D1194" t="str">
            <v>Female Falcon 500 -9</v>
          </cell>
          <cell r="E1194">
            <v>1</v>
          </cell>
          <cell r="I1194">
            <v>0</v>
          </cell>
        </row>
        <row r="1195">
          <cell r="D1195" t="str">
            <v>Female Falcon 500 -10</v>
          </cell>
          <cell r="E1195">
            <v>1</v>
          </cell>
          <cell r="I1195">
            <v>0</v>
          </cell>
        </row>
        <row r="1196">
          <cell r="D1196" t="str">
            <v>Female Falcon 500 9</v>
          </cell>
          <cell r="E1196">
            <v>3</v>
          </cell>
          <cell r="I1196">
            <v>0</v>
          </cell>
        </row>
        <row r="1197">
          <cell r="D1197" t="str">
            <v>Female Falcon 500 12</v>
          </cell>
          <cell r="E1197">
            <v>1</v>
          </cell>
          <cell r="I1197">
            <v>0</v>
          </cell>
        </row>
        <row r="1198">
          <cell r="D1198" t="str">
            <v>Female Falcon 500 15</v>
          </cell>
          <cell r="E1198">
            <v>1</v>
          </cell>
          <cell r="I1198">
            <v>0</v>
          </cell>
        </row>
        <row r="1199">
          <cell r="D1199" t="str">
            <v>Female Falcon 500 16</v>
          </cell>
          <cell r="E1199">
            <v>1</v>
          </cell>
          <cell r="I1199">
            <v>0</v>
          </cell>
        </row>
        <row r="1200">
          <cell r="D1200" t="str">
            <v>Female Falcon 500 20</v>
          </cell>
          <cell r="E1200">
            <v>1</v>
          </cell>
          <cell r="I1200">
            <v>0</v>
          </cell>
        </row>
        <row r="1201">
          <cell r="D1201" t="str">
            <v>Female Falcon 500 21</v>
          </cell>
          <cell r="E1201">
            <v>1</v>
          </cell>
          <cell r="I1201">
            <v>0</v>
          </cell>
        </row>
        <row r="1202">
          <cell r="D1202" t="str">
            <v>Female Falcon 500 25</v>
          </cell>
          <cell r="E1202">
            <v>1</v>
          </cell>
          <cell r="I1202">
            <v>0</v>
          </cell>
        </row>
        <row r="1203">
          <cell r="D1203" t="str">
            <v>Female Falcon 500 27</v>
          </cell>
          <cell r="E1203">
            <v>1</v>
          </cell>
          <cell r="I1203">
            <v>0</v>
          </cell>
        </row>
        <row r="1204">
          <cell r="D1204" t="str">
            <v>Female Falcon 500 28</v>
          </cell>
          <cell r="E1204">
            <v>1</v>
          </cell>
          <cell r="I1204">
            <v>0</v>
          </cell>
        </row>
        <row r="1205">
          <cell r="D1205" t="str">
            <v>Female Falcon 500 30</v>
          </cell>
          <cell r="E1205">
            <v>1</v>
          </cell>
          <cell r="I1205">
            <v>0</v>
          </cell>
        </row>
        <row r="1206">
          <cell r="D1206" t="str">
            <v>Female Falcon 500 35</v>
          </cell>
          <cell r="E1206">
            <v>0</v>
          </cell>
          <cell r="I1206">
            <v>0</v>
          </cell>
        </row>
        <row r="1207">
          <cell r="D1207" t="str">
            <v>Female Falcon 500 36</v>
          </cell>
          <cell r="E1207">
            <v>0</v>
          </cell>
          <cell r="I1207">
            <v>0</v>
          </cell>
        </row>
        <row r="1208">
          <cell r="D1208" t="str">
            <v>Female Falcon 500 40</v>
          </cell>
          <cell r="E1208">
            <v>0</v>
          </cell>
          <cell r="I1208">
            <v>0</v>
          </cell>
        </row>
        <row r="1209">
          <cell r="D1209" t="str">
            <v>Female Falcon 500 45</v>
          </cell>
          <cell r="E1209">
            <v>0</v>
          </cell>
          <cell r="I1209">
            <v>0</v>
          </cell>
        </row>
        <row r="1210">
          <cell r="D1210" t="str">
            <v>Female Falcon 500 49</v>
          </cell>
          <cell r="E1210">
            <v>0</v>
          </cell>
          <cell r="I1210">
            <v>0</v>
          </cell>
        </row>
        <row r="1211">
          <cell r="D1211" t="str">
            <v>Female Falcon 500 50</v>
          </cell>
          <cell r="E1211">
            <v>0</v>
          </cell>
          <cell r="I1211">
            <v>0</v>
          </cell>
        </row>
        <row r="1212">
          <cell r="D1212" t="str">
            <v>Female Falcon 500 63</v>
          </cell>
          <cell r="E1212">
            <v>0</v>
          </cell>
          <cell r="I1212">
            <v>0</v>
          </cell>
        </row>
        <row r="1213">
          <cell r="D1213" t="str">
            <v>Female Falcon 500 70</v>
          </cell>
          <cell r="E1213">
            <v>0</v>
          </cell>
          <cell r="I1213">
            <v>0</v>
          </cell>
        </row>
        <row r="1214">
          <cell r="D1214" t="str">
            <v>Female Falcon 500 81</v>
          </cell>
          <cell r="E1214">
            <v>0</v>
          </cell>
          <cell r="I1214">
            <v>0</v>
          </cell>
        </row>
        <row r="1215">
          <cell r="D1215" t="str">
            <v>Female Falcon 500 90</v>
          </cell>
          <cell r="E1215">
            <v>0</v>
          </cell>
          <cell r="I1215">
            <v>0</v>
          </cell>
        </row>
        <row r="1216">
          <cell r="D1216" t="str">
            <v>Female Falcon 500 100</v>
          </cell>
          <cell r="E1216">
            <v>0</v>
          </cell>
          <cell r="I1216">
            <v>0</v>
          </cell>
        </row>
      </sheetData>
      <sheetData sheetId="12" refreshError="1"/>
      <sheetData sheetId="13">
        <row r="5">
          <cell r="B5" t="str">
            <v>CIM</v>
          </cell>
          <cell r="C5">
            <v>5330</v>
          </cell>
          <cell r="D5">
            <v>2.41</v>
          </cell>
          <cell r="E5">
            <v>2.7</v>
          </cell>
          <cell r="F5">
            <v>131</v>
          </cell>
          <cell r="G5">
            <v>336.28916760964142</v>
          </cell>
          <cell r="J5" t="str">
            <v>#25 Chain</v>
          </cell>
          <cell r="K5">
            <v>6.35</v>
          </cell>
          <cell r="L5">
            <v>9</v>
          </cell>
          <cell r="M5">
            <v>5.9</v>
          </cell>
          <cell r="N5">
            <v>0.31</v>
          </cell>
          <cell r="Q5" t="str">
            <v>7075-T6 Al</v>
          </cell>
          <cell r="R5">
            <v>71700</v>
          </cell>
          <cell r="S5">
            <v>26900</v>
          </cell>
        </row>
        <row r="6">
          <cell r="B6" t="str">
            <v>Mini CIM</v>
          </cell>
          <cell r="C6">
            <v>5840</v>
          </cell>
          <cell r="D6">
            <v>1.41</v>
          </cell>
          <cell r="E6">
            <v>3</v>
          </cell>
          <cell r="F6">
            <v>89</v>
          </cell>
          <cell r="G6">
            <v>215.57608788933157</v>
          </cell>
          <cell r="J6" t="str">
            <v>#35 Chain</v>
          </cell>
          <cell r="K6">
            <v>9.5299999999999994</v>
          </cell>
          <cell r="L6">
            <v>11.76</v>
          </cell>
          <cell r="M6">
            <v>8.94</v>
          </cell>
          <cell r="N6">
            <v>0.41</v>
          </cell>
          <cell r="Q6" t="str">
            <v>6061-T6 Al</v>
          </cell>
          <cell r="R6">
            <v>68900</v>
          </cell>
          <cell r="S6">
            <v>26000</v>
          </cell>
        </row>
        <row r="7">
          <cell r="B7" t="str">
            <v>NEO</v>
          </cell>
          <cell r="C7">
            <v>5676</v>
          </cell>
          <cell r="D7">
            <v>2.6</v>
          </cell>
          <cell r="E7">
            <v>1.8</v>
          </cell>
          <cell r="F7">
            <v>105</v>
          </cell>
          <cell r="G7">
            <v>386.35306453847278</v>
          </cell>
          <cell r="J7" t="str">
            <v>5mm HTD</v>
          </cell>
          <cell r="K7">
            <v>5</v>
          </cell>
          <cell r="L7">
            <v>15</v>
          </cell>
          <cell r="M7">
            <v>3</v>
          </cell>
          <cell r="N7">
            <v>0</v>
          </cell>
          <cell r="Q7" t="str">
            <v>Steel</v>
          </cell>
          <cell r="R7">
            <v>206000</v>
          </cell>
          <cell r="S7">
            <v>70000</v>
          </cell>
        </row>
        <row r="8">
          <cell r="B8" t="str">
            <v>Falcon 500</v>
          </cell>
          <cell r="C8">
            <v>6380</v>
          </cell>
          <cell r="D8">
            <v>4.6900000000000004</v>
          </cell>
          <cell r="E8">
            <v>1.5</v>
          </cell>
          <cell r="F8">
            <v>257</v>
          </cell>
          <cell r="G8">
            <v>783.36136416037095</v>
          </cell>
          <cell r="J8" t="str">
            <v>3mm GT2</v>
          </cell>
          <cell r="K8">
            <v>3</v>
          </cell>
          <cell r="L8">
            <v>9</v>
          </cell>
          <cell r="M8">
            <v>3</v>
          </cell>
          <cell r="N8">
            <v>0</v>
          </cell>
          <cell r="Q8" t="str">
            <v>Stainless</v>
          </cell>
          <cell r="R8">
            <v>193000</v>
          </cell>
          <cell r="S8">
            <v>77000</v>
          </cell>
        </row>
        <row r="9">
          <cell r="B9" t="str">
            <v>775pro</v>
          </cell>
          <cell r="C9">
            <v>18730</v>
          </cell>
          <cell r="D9">
            <v>0.71</v>
          </cell>
          <cell r="E9">
            <v>0.7</v>
          </cell>
          <cell r="F9">
            <v>134</v>
          </cell>
          <cell r="G9">
            <v>348.14867987694288</v>
          </cell>
        </row>
        <row r="10">
          <cell r="B10" t="str">
            <v>Redline</v>
          </cell>
          <cell r="C10">
            <v>21020</v>
          </cell>
          <cell r="D10">
            <v>0.7</v>
          </cell>
          <cell r="E10">
            <v>3.8</v>
          </cell>
          <cell r="F10">
            <v>130</v>
          </cell>
          <cell r="G10">
            <v>385.21161920766843</v>
          </cell>
        </row>
        <row r="11">
          <cell r="B11" t="str">
            <v>NEO 550</v>
          </cell>
          <cell r="G11">
            <v>0</v>
          </cell>
        </row>
        <row r="12">
          <cell r="B12" t="str">
            <v>BAG Motor</v>
          </cell>
          <cell r="C12">
            <v>13180</v>
          </cell>
          <cell r="D12">
            <v>0.43</v>
          </cell>
          <cell r="E12">
            <v>1.8</v>
          </cell>
          <cell r="F12">
            <v>53</v>
          </cell>
          <cell r="G12">
            <v>148.37218504128995</v>
          </cell>
        </row>
        <row r="13">
          <cell r="B13" t="str">
            <v>AM 775</v>
          </cell>
          <cell r="C13">
            <v>5800</v>
          </cell>
          <cell r="D13">
            <v>0.28000000000000003</v>
          </cell>
          <cell r="E13">
            <v>1.6</v>
          </cell>
          <cell r="F13">
            <v>18</v>
          </cell>
          <cell r="G13">
            <v>42.516220578581873</v>
          </cell>
        </row>
        <row r="14">
          <cell r="B14" t="str">
            <v>AM 9015</v>
          </cell>
          <cell r="C14">
            <v>14270</v>
          </cell>
          <cell r="D14">
            <v>0.36</v>
          </cell>
          <cell r="E14">
            <v>3.7</v>
          </cell>
          <cell r="F14">
            <v>71</v>
          </cell>
          <cell r="G14">
            <v>134.49158150017905</v>
          </cell>
        </row>
        <row r="15">
          <cell r="B15" t="str">
            <v>BB RS-775</v>
          </cell>
          <cell r="C15">
            <v>13050</v>
          </cell>
          <cell r="D15">
            <v>0.72</v>
          </cell>
          <cell r="E15">
            <v>2.7</v>
          </cell>
          <cell r="F15">
            <v>97</v>
          </cell>
          <cell r="G15">
            <v>245.98670477608078</v>
          </cell>
        </row>
        <row r="16">
          <cell r="B16" t="str">
            <v>BB RS-550</v>
          </cell>
          <cell r="C16">
            <v>19000</v>
          </cell>
          <cell r="D16">
            <v>0.38</v>
          </cell>
          <cell r="E16">
            <v>0.4</v>
          </cell>
          <cell r="F16">
            <v>84</v>
          </cell>
          <cell r="G16">
            <v>189.01915799098592</v>
          </cell>
        </row>
        <row r="17">
          <cell r="B17" t="str">
            <v>Johnson Motor</v>
          </cell>
          <cell r="C17">
            <v>410</v>
          </cell>
          <cell r="D17">
            <v>4.4000000000000004</v>
          </cell>
          <cell r="F17">
            <v>26</v>
          </cell>
          <cell r="G17">
            <v>47.228609558966561</v>
          </cell>
        </row>
        <row r="18">
          <cell r="B18" t="str">
            <v>Snowblower</v>
          </cell>
          <cell r="C18">
            <v>100</v>
          </cell>
          <cell r="D18">
            <v>7.91</v>
          </cell>
          <cell r="E18">
            <v>5</v>
          </cell>
          <cell r="F18">
            <v>24</v>
          </cell>
          <cell r="G18">
            <v>20.708331574912719</v>
          </cell>
        </row>
        <row r="19">
          <cell r="B19" t="str">
            <v>NeveRest</v>
          </cell>
          <cell r="C19">
            <v>6600</v>
          </cell>
          <cell r="D19">
            <v>6.1800000000000001E-2</v>
          </cell>
          <cell r="E19">
            <v>2</v>
          </cell>
          <cell r="F19">
            <v>11.5</v>
          </cell>
          <cell r="G19">
            <v>10.678273429551707</v>
          </cell>
        </row>
        <row r="20">
          <cell r="B20" t="str">
            <v>Throttle Motor</v>
          </cell>
          <cell r="C20">
            <v>5300</v>
          </cell>
          <cell r="D20">
            <v>0.13</v>
          </cell>
          <cell r="E20">
            <v>1</v>
          </cell>
          <cell r="F20">
            <v>7</v>
          </cell>
          <cell r="G20">
            <v>18.037977819361398</v>
          </cell>
        </row>
        <row r="21">
          <cell r="B21" t="str">
            <v>Bosch Motor</v>
          </cell>
          <cell r="C21">
            <v>24</v>
          </cell>
          <cell r="D21">
            <v>22</v>
          </cell>
          <cell r="E21">
            <v>3</v>
          </cell>
          <cell r="F21">
            <v>12</v>
          </cell>
          <cell r="G21">
            <v>13.82300767579509</v>
          </cell>
        </row>
        <row r="22">
          <cell r="B22" t="str">
            <v>Dynamo</v>
          </cell>
          <cell r="C22">
            <v>3084</v>
          </cell>
          <cell r="D22">
            <v>0.32</v>
          </cell>
          <cell r="E22">
            <v>0.28000000000000003</v>
          </cell>
          <cell r="F22">
            <v>6.5</v>
          </cell>
          <cell r="G22">
            <v>25.836457983122461</v>
          </cell>
        </row>
        <row r="23">
          <cell r="B23" t="str">
            <v>Window Motor</v>
          </cell>
          <cell r="C23">
            <v>90</v>
          </cell>
          <cell r="D23">
            <v>9.24</v>
          </cell>
          <cell r="E23">
            <v>1.5</v>
          </cell>
          <cell r="F23">
            <v>16.25</v>
          </cell>
          <cell r="G23">
            <v>21.771237089377266</v>
          </cell>
        </row>
        <row r="24">
          <cell r="B24" t="str">
            <v>CIM + Mini</v>
          </cell>
          <cell r="C24">
            <v>5508</v>
          </cell>
          <cell r="D24">
            <v>3.82</v>
          </cell>
          <cell r="E24">
            <v>8.16</v>
          </cell>
          <cell r="F24">
            <v>220</v>
          </cell>
          <cell r="G24">
            <v>550.84057269512709</v>
          </cell>
        </row>
        <row r="25">
          <cell r="B25" t="str">
            <v>CIM + 2 Mini</v>
          </cell>
          <cell r="C25">
            <v>5593</v>
          </cell>
          <cell r="D25">
            <v>5.23</v>
          </cell>
          <cell r="E25">
            <v>9.6199999999999992</v>
          </cell>
          <cell r="F25">
            <v>309</v>
          </cell>
          <cell r="G25">
            <v>765.79959942741618</v>
          </cell>
        </row>
        <row r="26">
          <cell r="B26" t="str">
            <v>2 CIM + Mini</v>
          </cell>
          <cell r="C26">
            <v>5437</v>
          </cell>
          <cell r="D26">
            <v>6.23</v>
          </cell>
          <cell r="E26">
            <v>9.15</v>
          </cell>
          <cell r="F26">
            <v>351</v>
          </cell>
          <cell r="G26">
            <v>886.78023812205663</v>
          </cell>
        </row>
        <row r="27">
          <cell r="G27" t="str">
            <v/>
          </cell>
        </row>
        <row r="28">
          <cell r="G28" t="str">
            <v/>
          </cell>
        </row>
      </sheetData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F5246B-F2A2-4826-B2BE-809DA1470BEC}">
  <sheetPr codeName="Sheet4"/>
  <dimension ref="B2:X76"/>
  <sheetViews>
    <sheetView tabSelected="1" zoomScaleNormal="100" workbookViewId="0">
      <selection activeCell="D29" sqref="D29"/>
    </sheetView>
  </sheetViews>
  <sheetFormatPr defaultColWidth="9.109375" defaultRowHeight="14.4" x14ac:dyDescent="0.3"/>
  <cols>
    <col min="1" max="1" width="7.109375" style="1" customWidth="1"/>
    <col min="2" max="2" width="3.33203125" style="1" customWidth="1"/>
    <col min="3" max="3" width="21.5546875" style="1" customWidth="1"/>
    <col min="4" max="4" width="9.109375" style="1" customWidth="1"/>
    <col min="5" max="16384" width="9.109375" style="1"/>
  </cols>
  <sheetData>
    <row r="2" spans="2:24" ht="31.2" x14ac:dyDescent="0.3">
      <c r="C2" s="2" t="s">
        <v>0</v>
      </c>
    </row>
    <row r="4" spans="2:24" x14ac:dyDescent="0.3">
      <c r="B4" s="3" t="b">
        <v>0</v>
      </c>
      <c r="C4" s="1" t="s">
        <v>1</v>
      </c>
    </row>
    <row r="6" spans="2:24" x14ac:dyDescent="0.3">
      <c r="C6" s="26" t="s">
        <v>2</v>
      </c>
      <c r="D6" s="27"/>
      <c r="E6" s="4" t="s">
        <v>3</v>
      </c>
      <c r="H6" s="1" t="s">
        <v>16</v>
      </c>
      <c r="I6" s="1" t="s">
        <v>19</v>
      </c>
      <c r="J6" s="1" t="s">
        <v>17</v>
      </c>
      <c r="K6" s="1" t="s">
        <v>18</v>
      </c>
      <c r="L6" s="1" t="s">
        <v>20</v>
      </c>
      <c r="M6" s="1" t="s">
        <v>21</v>
      </c>
      <c r="N6" s="1" t="s">
        <v>23</v>
      </c>
      <c r="O6" s="1" t="s">
        <v>24</v>
      </c>
      <c r="P6" s="1" t="s">
        <v>25</v>
      </c>
      <c r="Q6" s="1" t="s">
        <v>26</v>
      </c>
      <c r="R6" s="1" t="s">
        <v>27</v>
      </c>
      <c r="S6" s="1" t="s">
        <v>28</v>
      </c>
      <c r="T6" s="1" t="s">
        <v>32</v>
      </c>
      <c r="U6" s="1" t="s">
        <v>33</v>
      </c>
      <c r="V6" s="1" t="s">
        <v>34</v>
      </c>
      <c r="W6" s="1" t="s">
        <v>37</v>
      </c>
      <c r="X6" s="1" t="s">
        <v>38</v>
      </c>
    </row>
    <row r="7" spans="2:24" x14ac:dyDescent="0.3">
      <c r="C7" s="5" t="s">
        <v>4</v>
      </c>
      <c r="D7" s="6">
        <f>VLOOKUP($C$6, MotorSpecs, 2, FALSE)</f>
        <v>5330</v>
      </c>
      <c r="E7" s="7">
        <f>D7</f>
        <v>5330</v>
      </c>
      <c r="H7" s="1">
        <v>0</v>
      </c>
      <c r="I7" s="1">
        <v>0</v>
      </c>
      <c r="J7" s="1">
        <v>0</v>
      </c>
      <c r="K7" s="1">
        <v>0</v>
      </c>
      <c r="L7" s="1">
        <v>0</v>
      </c>
      <c r="M7" s="1">
        <v>0</v>
      </c>
      <c r="N7" s="1">
        <v>0</v>
      </c>
      <c r="O7" s="1">
        <v>0</v>
      </c>
      <c r="P7" s="1">
        <v>0</v>
      </c>
      <c r="Q7" s="1">
        <v>0</v>
      </c>
      <c r="R7" s="1">
        <v>0</v>
      </c>
      <c r="S7" s="1">
        <v>0</v>
      </c>
      <c r="T7" s="1">
        <f>J7*IF($B$4,1,3.281)</f>
        <v>0</v>
      </c>
      <c r="U7" s="1">
        <f t="shared" ref="U7:V7" si="0">K7*IF($B$4,1,3.281)</f>
        <v>0</v>
      </c>
      <c r="V7" s="1">
        <f>S7*IF($B$4,1,3.281)</f>
        <v>0</v>
      </c>
    </row>
    <row r="8" spans="2:24" x14ac:dyDescent="0.3">
      <c r="C8" s="8" t="s">
        <v>5</v>
      </c>
      <c r="D8" s="9">
        <f>VLOOKUP($C$6, MotorSpecs, 3, FALSE)</f>
        <v>2.41</v>
      </c>
      <c r="E8" s="10">
        <f>D8*D13*D14</f>
        <v>7.7120000000000006</v>
      </c>
      <c r="H8" s="1">
        <v>0</v>
      </c>
      <c r="I8" s="1">
        <f>D26/12</f>
        <v>1.0583333333333333</v>
      </c>
      <c r="J8" s="1">
        <f>J7+K7*0.02+S7*0.02^2/2</f>
        <v>0</v>
      </c>
      <c r="K8" s="1">
        <f>K7+S7*0.02</f>
        <v>0</v>
      </c>
      <c r="L8" s="1">
        <f>K8/($D$19*IF($B$4,0.001,0.0254)/2)</f>
        <v>0</v>
      </c>
      <c r="M8" s="1">
        <f>(($E$10-$E$9)*I8*(1-(L8*$D$15)/(($E$7*PI()/30)*I8))+$E$9*I8)*$D$31 + M7*(1-$D$31)</f>
        <v>332.74</v>
      </c>
      <c r="N8" s="1">
        <f>MIN(M8, IF(ISBLANK($D$22), $E$10*I8,$D$22* $D$13), $D$26/12*18*20)</f>
        <v>332.74</v>
      </c>
      <c r="O8" s="1">
        <f>(N8-$E$9)/($E$10-$E$9)</f>
        <v>0.62731878409976616</v>
      </c>
      <c r="P8" s="1">
        <f>$E$8*O8*$D$15/($D$19*IF($B$4,0.001,0.0254)/2)</f>
        <v>666.63734726066525</v>
      </c>
      <c r="Q8" s="1">
        <f>($D$17/IF($B$4,1,2.2))*$D$18*$D$20*9.8</f>
        <v>686</v>
      </c>
      <c r="R8" s="1">
        <f>MIN(P8,Q8)</f>
        <v>666.63734726066525</v>
      </c>
      <c r="S8" s="1">
        <f>R8/($D$17/IF($B$4,1,2.2))</f>
        <v>9.5233906751523616</v>
      </c>
      <c r="T8" s="1">
        <f t="shared" ref="T8:T71" si="1">J8*IF($B$4,1,3.281)</f>
        <v>0</v>
      </c>
      <c r="U8" s="1">
        <f t="shared" ref="U8:U71" si="2">K8*IF($B$4,1,3.281)</f>
        <v>0</v>
      </c>
      <c r="V8" s="1">
        <f t="shared" ref="V8:V71" si="3">S8*IF($B$4,1,3.281)</f>
        <v>31.2462448051749</v>
      </c>
      <c r="W8" s="1" t="e">
        <f>IF(Q8=R8, MAX(U8:U76)/20, NA())</f>
        <v>#N/A</v>
      </c>
      <c r="X8" s="1" t="e">
        <f>IF(M8&gt;N8, MAX(U8:U76)/10, NA())</f>
        <v>#N/A</v>
      </c>
    </row>
    <row r="9" spans="2:24" x14ac:dyDescent="0.3">
      <c r="C9" s="8" t="s">
        <v>6</v>
      </c>
      <c r="D9" s="11">
        <f>VLOOKUP($C$6, MotorSpecs, 4, FALSE)</f>
        <v>2.7</v>
      </c>
      <c r="E9" s="12">
        <f>D9*D13</f>
        <v>10.8</v>
      </c>
      <c r="H9" s="23">
        <f>H8+$D$30</f>
        <v>0.01</v>
      </c>
      <c r="I9" s="1">
        <f>($D$26-N8*($D$27+$D$28*$D$13)/1000)/12</f>
        <v>0.22648333333333323</v>
      </c>
      <c r="J9" s="1">
        <f>J8+K8*$D$30+S8*$D$30^2/2</f>
        <v>4.761695337576181E-4</v>
      </c>
      <c r="K9" s="1">
        <f>K8+S8*$D$30</f>
        <v>9.5233906751523614E-2</v>
      </c>
      <c r="L9" s="1">
        <f>K9/($D$19*IF($B$4,0.001,0.0254)/2)</f>
        <v>1.8746832037701504</v>
      </c>
      <c r="M9" s="1">
        <f t="shared" ref="M9:M72" si="4">(($E$10-$E$9)*I9*(1-(L9*$D$15)/(($E$7*PI()/30)*I9))+$E$9*I9)*$D$31 + M8*(1-$D$31)</f>
        <v>197.06286955177231</v>
      </c>
      <c r="N9" s="1">
        <f t="shared" ref="N9:N72" si="5">MIN(M9, IF(ISBLANK($D$22), $E$10*I9,$D$22* $D$13), $D$26/12*18*20)</f>
        <v>197.06286955177231</v>
      </c>
      <c r="O9" s="1">
        <f>(N9-$E$9)/($E$10-$E$9)</f>
        <v>0.36294401705333645</v>
      </c>
      <c r="P9" s="1">
        <f>$E$8*O9*$D$15/($D$19*IF($B$4,0.001,0.0254)/2)</f>
        <v>385.69231922455361</v>
      </c>
      <c r="Q9" s="1">
        <f t="shared" ref="Q9:Q72" si="6">($D$17/IF($B$4,1,2.2))*$D$18*$D$20*9.8</f>
        <v>686</v>
      </c>
      <c r="R9" s="1">
        <f>MIN(P9,Q9)</f>
        <v>385.69231922455361</v>
      </c>
      <c r="S9" s="1">
        <f t="shared" ref="S9:S72" si="7">R9/($D$17/IF($B$4,1,2.2))</f>
        <v>5.5098902746364802</v>
      </c>
      <c r="T9" s="1">
        <f t="shared" si="1"/>
        <v>1.5623122402587451E-3</v>
      </c>
      <c r="U9" s="1">
        <f t="shared" si="2"/>
        <v>0.312462448051749</v>
      </c>
      <c r="V9" s="1">
        <f t="shared" si="3"/>
        <v>18.077949991082292</v>
      </c>
      <c r="W9" s="1" t="e">
        <f t="shared" ref="W9:W72" si="8">IF(Q9=R9, MAX(U9:U77)/20, NA())</f>
        <v>#N/A</v>
      </c>
      <c r="X9" s="1" t="e">
        <f t="shared" ref="X9:X72" si="9">IF(M9&gt;N9, MAX(U9:U77)/10, NA())</f>
        <v>#N/A</v>
      </c>
    </row>
    <row r="10" spans="2:24" x14ac:dyDescent="0.3">
      <c r="C10" s="8" t="s">
        <v>7</v>
      </c>
      <c r="D10" s="13">
        <f>VLOOKUP($C$6, MotorSpecs, 5, FALSE)</f>
        <v>131</v>
      </c>
      <c r="E10" s="14">
        <f>D10*D13</f>
        <v>524</v>
      </c>
      <c r="H10" s="23">
        <f t="shared" ref="H10:H73" si="10">H9+$D$30</f>
        <v>0.02</v>
      </c>
      <c r="I10" s="1">
        <f t="shared" ref="I10:I73" si="11">($D$26-N9*($D$27+$D$28*$D$13)/1000)/12</f>
        <v>0.56567615945390248</v>
      </c>
      <c r="J10" s="1">
        <f t="shared" ref="J10:J73" si="12">J9+K9*$D$30+S9*$D$30^2/2</f>
        <v>1.7040031150046782E-3</v>
      </c>
      <c r="K10" s="1">
        <f t="shared" ref="K10:K73" si="13">K9+S9*$D$30</f>
        <v>0.15033280949788841</v>
      </c>
      <c r="L10" s="1">
        <f t="shared" ref="L10:L73" si="14">K10/($D$19*IF($B$4,0.001,0.0254)/2)</f>
        <v>2.9593072735804813</v>
      </c>
      <c r="M10" s="1">
        <f t="shared" si="4"/>
        <v>245.245733906467</v>
      </c>
      <c r="N10" s="1">
        <f t="shared" si="5"/>
        <v>245.245733906467</v>
      </c>
      <c r="O10" s="1">
        <f t="shared" ref="O10:O73" si="15">(N10-$E$9)/($E$10-$E$9)</f>
        <v>0.4568311260843082</v>
      </c>
      <c r="P10" s="1">
        <f t="shared" ref="P10:P73" si="16">$E$8*O10*$D$15/($D$19*IF($B$4,0.001,0.0254)/2)</f>
        <v>485.46400611289971</v>
      </c>
      <c r="Q10" s="1">
        <f t="shared" si="6"/>
        <v>686</v>
      </c>
      <c r="R10" s="1">
        <f t="shared" ref="R10:R73" si="17">MIN(P10,Q10)</f>
        <v>485.46400611289971</v>
      </c>
      <c r="S10" s="1">
        <f t="shared" si="7"/>
        <v>6.9352000873271384</v>
      </c>
      <c r="T10" s="1">
        <f t="shared" si="1"/>
        <v>5.5908342203303497E-3</v>
      </c>
      <c r="U10" s="1">
        <f t="shared" si="2"/>
        <v>0.49324194796257187</v>
      </c>
      <c r="V10" s="1">
        <f t="shared" si="3"/>
        <v>22.75439148652034</v>
      </c>
      <c r="W10" s="1" t="e">
        <f t="shared" si="8"/>
        <v>#N/A</v>
      </c>
      <c r="X10" s="1" t="e">
        <f t="shared" si="9"/>
        <v>#N/A</v>
      </c>
    </row>
    <row r="11" spans="2:24" x14ac:dyDescent="0.3">
      <c r="C11" s="15" t="s">
        <v>8</v>
      </c>
      <c r="D11" s="16">
        <f>VLOOKUP($C$6, MotorSpecs, 6, FALSE)</f>
        <v>336.28916760964142</v>
      </c>
      <c r="E11" s="17">
        <f>(E7/60*2*PI())*E8/4</f>
        <v>1076.1253363508526</v>
      </c>
      <c r="H11" s="23">
        <f t="shared" si="10"/>
        <v>0.03</v>
      </c>
      <c r="I11" s="1">
        <f t="shared" si="11"/>
        <v>0.44521899856716579</v>
      </c>
      <c r="J11" s="1">
        <f t="shared" si="12"/>
        <v>3.5540912143499194E-3</v>
      </c>
      <c r="K11" s="1">
        <f t="shared" si="13"/>
        <v>0.21968481037115978</v>
      </c>
      <c r="L11" s="1">
        <f t="shared" si="14"/>
        <v>4.3245041411645637</v>
      </c>
      <c r="M11" s="1">
        <f t="shared" si="4"/>
        <v>221.37514835487707</v>
      </c>
      <c r="N11" s="1">
        <f t="shared" si="5"/>
        <v>221.37514835487707</v>
      </c>
      <c r="O11" s="1">
        <f t="shared" si="15"/>
        <v>0.41031790404301838</v>
      </c>
      <c r="P11" s="1">
        <f t="shared" si="16"/>
        <v>436.03546716256523</v>
      </c>
      <c r="Q11" s="1">
        <f t="shared" si="6"/>
        <v>686</v>
      </c>
      <c r="R11" s="1">
        <f t="shared" si="17"/>
        <v>436.03546716256523</v>
      </c>
      <c r="S11" s="1">
        <f t="shared" si="7"/>
        <v>6.2290781023223607</v>
      </c>
      <c r="T11" s="1">
        <f t="shared" si="1"/>
        <v>1.1660973274282086E-2</v>
      </c>
      <c r="U11" s="1">
        <f t="shared" si="2"/>
        <v>0.72078586282777524</v>
      </c>
      <c r="V11" s="1">
        <f t="shared" si="3"/>
        <v>20.437605253719667</v>
      </c>
      <c r="W11" s="1" t="e">
        <f t="shared" si="8"/>
        <v>#N/A</v>
      </c>
      <c r="X11" s="1" t="e">
        <f t="shared" si="9"/>
        <v>#N/A</v>
      </c>
    </row>
    <row r="12" spans="2:24" x14ac:dyDescent="0.3">
      <c r="H12" s="23">
        <f t="shared" si="10"/>
        <v>0.04</v>
      </c>
      <c r="I12" s="1">
        <f t="shared" si="11"/>
        <v>0.50489546244614059</v>
      </c>
      <c r="J12" s="1">
        <f t="shared" si="12"/>
        <v>6.0623932231776353E-3</v>
      </c>
      <c r="K12" s="1">
        <f t="shared" si="13"/>
        <v>0.28197559139438338</v>
      </c>
      <c r="L12" s="1">
        <f t="shared" si="14"/>
        <v>5.5507006179996745</v>
      </c>
      <c r="M12" s="1">
        <f t="shared" si="4"/>
        <v>225.85397422760983</v>
      </c>
      <c r="N12" s="1">
        <f t="shared" si="5"/>
        <v>225.85397422760983</v>
      </c>
      <c r="O12" s="1">
        <f t="shared" si="15"/>
        <v>0.41904515632815625</v>
      </c>
      <c r="P12" s="1">
        <f t="shared" si="16"/>
        <v>445.30971888226765</v>
      </c>
      <c r="Q12" s="1">
        <f t="shared" si="6"/>
        <v>686</v>
      </c>
      <c r="R12" s="1">
        <f t="shared" si="17"/>
        <v>445.30971888226765</v>
      </c>
      <c r="S12" s="1">
        <f t="shared" si="7"/>
        <v>6.3615674126038231</v>
      </c>
      <c r="T12" s="1">
        <f t="shared" si="1"/>
        <v>1.9890712165245822E-2</v>
      </c>
      <c r="U12" s="1">
        <f t="shared" si="2"/>
        <v>0.92516191536497194</v>
      </c>
      <c r="V12" s="1">
        <f t="shared" si="3"/>
        <v>20.872302680753144</v>
      </c>
      <c r="W12" s="1" t="e">
        <f t="shared" si="8"/>
        <v>#N/A</v>
      </c>
      <c r="X12" s="1" t="e">
        <f t="shared" si="9"/>
        <v>#N/A</v>
      </c>
    </row>
    <row r="13" spans="2:24" x14ac:dyDescent="0.3">
      <c r="C13" s="18" t="s">
        <v>9</v>
      </c>
      <c r="D13" s="19">
        <v>4</v>
      </c>
      <c r="F13" s="20"/>
      <c r="H13" s="23">
        <f t="shared" si="10"/>
        <v>0.05</v>
      </c>
      <c r="I13" s="1">
        <f t="shared" si="11"/>
        <v>0.49369839776430874</v>
      </c>
      <c r="J13" s="1">
        <f t="shared" si="12"/>
        <v>9.2002275077516602E-3</v>
      </c>
      <c r="K13" s="1">
        <f t="shared" si="13"/>
        <v>0.34559126552042163</v>
      </c>
      <c r="L13" s="1">
        <f t="shared" si="14"/>
        <v>6.8029776677248375</v>
      </c>
      <c r="M13" s="1">
        <f t="shared" si="4"/>
        <v>219.2892115760578</v>
      </c>
      <c r="N13" s="1">
        <f t="shared" si="5"/>
        <v>219.2892115760578</v>
      </c>
      <c r="O13" s="1">
        <f t="shared" si="15"/>
        <v>0.40625333510533468</v>
      </c>
      <c r="P13" s="1">
        <f t="shared" si="16"/>
        <v>431.71614256548025</v>
      </c>
      <c r="Q13" s="1">
        <f t="shared" si="6"/>
        <v>686</v>
      </c>
      <c r="R13" s="1">
        <f t="shared" si="17"/>
        <v>431.71614256548025</v>
      </c>
      <c r="S13" s="1">
        <f t="shared" si="7"/>
        <v>6.1673734652211465</v>
      </c>
      <c r="T13" s="1">
        <f t="shared" si="1"/>
        <v>3.01859464529332E-2</v>
      </c>
      <c r="U13" s="1">
        <f t="shared" si="2"/>
        <v>1.1338849421725035</v>
      </c>
      <c r="V13" s="1">
        <f t="shared" si="3"/>
        <v>20.235152339390581</v>
      </c>
      <c r="W13" s="1" t="e">
        <f t="shared" si="8"/>
        <v>#N/A</v>
      </c>
      <c r="X13" s="1" t="e">
        <f t="shared" si="9"/>
        <v>#N/A</v>
      </c>
    </row>
    <row r="14" spans="2:24" x14ac:dyDescent="0.3">
      <c r="C14" s="18" t="s">
        <v>10</v>
      </c>
      <c r="D14" s="21">
        <v>0.8</v>
      </c>
      <c r="H14" s="23">
        <f t="shared" si="10"/>
        <v>6.0000000000000005E-2</v>
      </c>
      <c r="I14" s="1">
        <f t="shared" si="11"/>
        <v>0.51011030439318883</v>
      </c>
      <c r="J14" s="1">
        <f t="shared" si="12"/>
        <v>1.2964508836216934E-2</v>
      </c>
      <c r="K14" s="1">
        <f t="shared" si="13"/>
        <v>0.40726500017263312</v>
      </c>
      <c r="L14" s="1">
        <f t="shared" si="14"/>
        <v>8.0170275624534106</v>
      </c>
      <c r="M14" s="1">
        <f t="shared" si="4"/>
        <v>217.13489643603265</v>
      </c>
      <c r="N14" s="1">
        <f t="shared" si="5"/>
        <v>217.13489643603265</v>
      </c>
      <c r="O14" s="1">
        <f t="shared" si="15"/>
        <v>0.40205552696031299</v>
      </c>
      <c r="P14" s="1">
        <f t="shared" si="16"/>
        <v>427.2552277052273</v>
      </c>
      <c r="Q14" s="1">
        <f t="shared" si="6"/>
        <v>686</v>
      </c>
      <c r="R14" s="1">
        <f t="shared" si="17"/>
        <v>427.2552277052273</v>
      </c>
      <c r="S14" s="1">
        <f t="shared" si="7"/>
        <v>6.1036461100746759</v>
      </c>
      <c r="T14" s="1">
        <f t="shared" si="1"/>
        <v>4.2536553491627764E-2</v>
      </c>
      <c r="U14" s="1">
        <f t="shared" si="2"/>
        <v>1.3362364655664094</v>
      </c>
      <c r="V14" s="1">
        <f t="shared" si="3"/>
        <v>20.026062887155014</v>
      </c>
      <c r="W14" s="1" t="e">
        <f t="shared" si="8"/>
        <v>#N/A</v>
      </c>
      <c r="X14" s="1" t="e">
        <f t="shared" si="9"/>
        <v>#N/A</v>
      </c>
    </row>
    <row r="15" spans="2:24" x14ac:dyDescent="0.3">
      <c r="C15" s="18" t="s">
        <v>22</v>
      </c>
      <c r="D15" s="28">
        <v>7</v>
      </c>
      <c r="E15" s="22"/>
      <c r="H15" s="23">
        <f t="shared" si="10"/>
        <v>7.0000000000000007E-2</v>
      </c>
      <c r="I15" s="1">
        <f t="shared" si="11"/>
        <v>0.51549609224325166</v>
      </c>
      <c r="J15" s="1">
        <f t="shared" si="12"/>
        <v>1.7342341143447002E-2</v>
      </c>
      <c r="K15" s="1">
        <f t="shared" si="13"/>
        <v>0.4683014612733799</v>
      </c>
      <c r="L15" s="1">
        <f t="shared" si="14"/>
        <v>9.2185327022318901</v>
      </c>
      <c r="M15" s="1">
        <f t="shared" si="4"/>
        <v>213.32659281287511</v>
      </c>
      <c r="N15" s="1">
        <f t="shared" si="5"/>
        <v>213.32659281287511</v>
      </c>
      <c r="O15" s="1">
        <f t="shared" si="15"/>
        <v>0.39463482621370827</v>
      </c>
      <c r="P15" s="1">
        <f t="shared" si="16"/>
        <v>419.36941847088258</v>
      </c>
      <c r="Q15" s="1">
        <f t="shared" si="6"/>
        <v>686</v>
      </c>
      <c r="R15" s="1">
        <f t="shared" si="17"/>
        <v>419.36941847088258</v>
      </c>
      <c r="S15" s="1">
        <f t="shared" si="7"/>
        <v>5.9909916924411801</v>
      </c>
      <c r="T15" s="1">
        <f t="shared" si="1"/>
        <v>5.6900221291649615E-2</v>
      </c>
      <c r="U15" s="1">
        <f t="shared" si="2"/>
        <v>1.5364970944379595</v>
      </c>
      <c r="V15" s="1">
        <f t="shared" si="3"/>
        <v>19.656443742899512</v>
      </c>
      <c r="W15" s="1" t="e">
        <f t="shared" si="8"/>
        <v>#N/A</v>
      </c>
      <c r="X15" s="1" t="e">
        <f t="shared" si="9"/>
        <v>#N/A</v>
      </c>
    </row>
    <row r="16" spans="2:24" x14ac:dyDescent="0.3">
      <c r="D16" s="23"/>
      <c r="H16" s="23">
        <f t="shared" si="10"/>
        <v>0.08</v>
      </c>
      <c r="I16" s="1">
        <f t="shared" si="11"/>
        <v>0.5250168513011455</v>
      </c>
      <c r="J16" s="1">
        <f t="shared" si="12"/>
        <v>2.2324905340802861E-2</v>
      </c>
      <c r="K16" s="1">
        <f t="shared" si="13"/>
        <v>0.52821137819779174</v>
      </c>
      <c r="L16" s="1">
        <f t="shared" si="14"/>
        <v>10.397861775547085</v>
      </c>
      <c r="M16" s="1">
        <f t="shared" si="4"/>
        <v>210.24236637141604</v>
      </c>
      <c r="N16" s="1">
        <f t="shared" si="5"/>
        <v>210.24236637141604</v>
      </c>
      <c r="O16" s="1">
        <f t="shared" si="15"/>
        <v>0.38862503190065473</v>
      </c>
      <c r="P16" s="1">
        <f t="shared" si="16"/>
        <v>412.9829472859243</v>
      </c>
      <c r="Q16" s="1">
        <f t="shared" si="6"/>
        <v>686</v>
      </c>
      <c r="R16" s="1">
        <f t="shared" si="17"/>
        <v>412.9829472859243</v>
      </c>
      <c r="S16" s="1">
        <f t="shared" si="7"/>
        <v>5.8997563897989185</v>
      </c>
      <c r="T16" s="1">
        <f t="shared" si="1"/>
        <v>7.324801442317419E-2</v>
      </c>
      <c r="U16" s="1">
        <f t="shared" si="2"/>
        <v>1.7330615318669547</v>
      </c>
      <c r="V16" s="1">
        <f t="shared" si="3"/>
        <v>19.357100714930251</v>
      </c>
      <c r="W16" s="1" t="e">
        <f t="shared" si="8"/>
        <v>#N/A</v>
      </c>
      <c r="X16" s="1" t="e">
        <f t="shared" si="9"/>
        <v>#N/A</v>
      </c>
    </row>
    <row r="17" spans="3:24" x14ac:dyDescent="0.3">
      <c r="C17" s="18" t="str">
        <f>"Robot Mass (" &amp; IF($B$4, "kg", "lbs") &amp; ")"</f>
        <v>Robot Mass (lbs)</v>
      </c>
      <c r="D17" s="24">
        <v>154</v>
      </c>
      <c r="H17" s="23">
        <f t="shared" si="10"/>
        <v>0.09</v>
      </c>
      <c r="I17" s="1">
        <f t="shared" si="11"/>
        <v>0.53272741740479324</v>
      </c>
      <c r="J17" s="1">
        <f t="shared" si="12"/>
        <v>2.7902006942270723E-2</v>
      </c>
      <c r="K17" s="1">
        <f t="shared" si="13"/>
        <v>0.58720894209578089</v>
      </c>
      <c r="L17" s="1">
        <f t="shared" si="14"/>
        <v>11.559231143617739</v>
      </c>
      <c r="M17" s="1">
        <f t="shared" si="4"/>
        <v>206.94800138371542</v>
      </c>
      <c r="N17" s="1">
        <f t="shared" si="5"/>
        <v>206.94800138371542</v>
      </c>
      <c r="O17" s="1">
        <f t="shared" si="15"/>
        <v>0.3822057704281282</v>
      </c>
      <c r="P17" s="1">
        <f t="shared" si="16"/>
        <v>406.16134470063156</v>
      </c>
      <c r="Q17" s="1">
        <f t="shared" si="6"/>
        <v>686</v>
      </c>
      <c r="R17" s="1">
        <f t="shared" si="17"/>
        <v>406.16134470063156</v>
      </c>
      <c r="S17" s="1">
        <f t="shared" si="7"/>
        <v>5.8023049242947362</v>
      </c>
      <c r="T17" s="1">
        <f t="shared" si="1"/>
        <v>9.1546484777590253E-2</v>
      </c>
      <c r="U17" s="1">
        <f t="shared" si="2"/>
        <v>1.9266325390162573</v>
      </c>
      <c r="V17" s="1">
        <f t="shared" si="3"/>
        <v>19.037362456611032</v>
      </c>
      <c r="W17" s="1" t="e">
        <f t="shared" si="8"/>
        <v>#N/A</v>
      </c>
      <c r="X17" s="1" t="e">
        <f t="shared" si="9"/>
        <v>#N/A</v>
      </c>
    </row>
    <row r="18" spans="3:24" x14ac:dyDescent="0.3">
      <c r="C18" s="18" t="s">
        <v>11</v>
      </c>
      <c r="D18" s="21">
        <v>1</v>
      </c>
      <c r="H18" s="23">
        <f t="shared" si="10"/>
        <v>9.9999999999999992E-2</v>
      </c>
      <c r="I18" s="1">
        <f t="shared" si="11"/>
        <v>0.54096332987404472</v>
      </c>
      <c r="J18" s="1">
        <f t="shared" si="12"/>
        <v>3.4064211609443271E-2</v>
      </c>
      <c r="K18" s="1">
        <f t="shared" si="13"/>
        <v>0.64523199133872822</v>
      </c>
      <c r="L18" s="1">
        <f t="shared" si="14"/>
        <v>12.701417152337173</v>
      </c>
      <c r="M18" s="1">
        <f t="shared" si="4"/>
        <v>203.80883052300163</v>
      </c>
      <c r="N18" s="1">
        <f t="shared" si="5"/>
        <v>203.80883052300163</v>
      </c>
      <c r="O18" s="1">
        <f t="shared" si="15"/>
        <v>0.37608891372369757</v>
      </c>
      <c r="P18" s="1">
        <f t="shared" si="16"/>
        <v>399.66110075708849</v>
      </c>
      <c r="Q18" s="1">
        <f t="shared" si="6"/>
        <v>686</v>
      </c>
      <c r="R18" s="1">
        <f t="shared" si="17"/>
        <v>399.66110075708849</v>
      </c>
      <c r="S18" s="1">
        <f t="shared" si="7"/>
        <v>5.7094442965298358</v>
      </c>
      <c r="T18" s="1">
        <f t="shared" si="1"/>
        <v>0.11176467829058337</v>
      </c>
      <c r="U18" s="1">
        <f t="shared" si="2"/>
        <v>2.1170061635823672</v>
      </c>
      <c r="V18" s="1">
        <f t="shared" si="3"/>
        <v>18.732686736914392</v>
      </c>
      <c r="W18" s="1" t="e">
        <f t="shared" si="8"/>
        <v>#N/A</v>
      </c>
      <c r="X18" s="1" t="e">
        <f t="shared" si="9"/>
        <v>#N/A</v>
      </c>
    </row>
    <row r="19" spans="3:24" x14ac:dyDescent="0.3">
      <c r="C19" s="18" t="str">
        <f>"Wheel Diam. (" &amp; IF($B$4, "mm", "in") &amp; ")"</f>
        <v>Wheel Diam. (in)</v>
      </c>
      <c r="D19" s="25">
        <v>3.9999999999999987</v>
      </c>
      <c r="H19" s="23">
        <f t="shared" si="10"/>
        <v>0.10999999999999999</v>
      </c>
      <c r="I19" s="1">
        <f t="shared" si="11"/>
        <v>0.54881125702582922</v>
      </c>
      <c r="J19" s="1">
        <f t="shared" si="12"/>
        <v>4.0802003737657043E-2</v>
      </c>
      <c r="K19" s="1">
        <f t="shared" si="13"/>
        <v>0.70232643430402653</v>
      </c>
      <c r="L19" s="1">
        <f t="shared" si="14"/>
        <v>13.825323509921786</v>
      </c>
      <c r="M19" s="1">
        <f t="shared" si="4"/>
        <v>200.68034551470149</v>
      </c>
      <c r="N19" s="1">
        <f t="shared" si="5"/>
        <v>200.68034551470149</v>
      </c>
      <c r="O19" s="1">
        <f t="shared" si="15"/>
        <v>0.36999287902319067</v>
      </c>
      <c r="P19" s="1">
        <f t="shared" si="16"/>
        <v>393.18298388165221</v>
      </c>
      <c r="Q19" s="1">
        <f t="shared" si="6"/>
        <v>686</v>
      </c>
      <c r="R19" s="1">
        <f t="shared" si="17"/>
        <v>393.18298388165221</v>
      </c>
      <c r="S19" s="1">
        <f t="shared" si="7"/>
        <v>5.6168997697378886</v>
      </c>
      <c r="T19" s="1">
        <f t="shared" si="1"/>
        <v>0.13387137426325277</v>
      </c>
      <c r="U19" s="1">
        <f t="shared" si="2"/>
        <v>2.3043330309515113</v>
      </c>
      <c r="V19" s="1">
        <f t="shared" si="3"/>
        <v>18.429048144510013</v>
      </c>
      <c r="W19" s="1" t="e">
        <f t="shared" si="8"/>
        <v>#N/A</v>
      </c>
      <c r="X19" s="1" t="e">
        <f t="shared" si="9"/>
        <v>#N/A</v>
      </c>
    </row>
    <row r="20" spans="3:24" x14ac:dyDescent="0.3">
      <c r="C20" s="18" t="s">
        <v>12</v>
      </c>
      <c r="D20" s="25">
        <v>1</v>
      </c>
      <c r="H20" s="23">
        <f t="shared" si="10"/>
        <v>0.11999999999999998</v>
      </c>
      <c r="I20" s="1">
        <f t="shared" si="11"/>
        <v>0.55663246954657952</v>
      </c>
      <c r="J20" s="1">
        <f t="shared" si="12"/>
        <v>4.8106113069184199E-2</v>
      </c>
      <c r="K20" s="1">
        <f t="shared" si="13"/>
        <v>0.75849543200140546</v>
      </c>
      <c r="L20" s="1">
        <f t="shared" si="14"/>
        <v>14.931012440972554</v>
      </c>
      <c r="M20" s="1">
        <f t="shared" si="4"/>
        <v>197.61808625918491</v>
      </c>
      <c r="N20" s="1">
        <f t="shared" si="5"/>
        <v>197.61808625918491</v>
      </c>
      <c r="O20" s="1">
        <f t="shared" si="15"/>
        <v>0.36402588904751537</v>
      </c>
      <c r="P20" s="1">
        <f t="shared" si="16"/>
        <v>386.84199988860394</v>
      </c>
      <c r="Q20" s="1">
        <f t="shared" si="6"/>
        <v>686</v>
      </c>
      <c r="R20" s="1">
        <f t="shared" si="17"/>
        <v>386.84199988860394</v>
      </c>
      <c r="S20" s="1">
        <f t="shared" si="7"/>
        <v>5.5263142841229138</v>
      </c>
      <c r="T20" s="1">
        <f t="shared" si="1"/>
        <v>0.15783615697999337</v>
      </c>
      <c r="U20" s="1">
        <f t="shared" si="2"/>
        <v>2.4886235123966114</v>
      </c>
      <c r="V20" s="1">
        <f t="shared" si="3"/>
        <v>18.13183716620728</v>
      </c>
      <c r="W20" s="1" t="e">
        <f t="shared" si="8"/>
        <v>#N/A</v>
      </c>
      <c r="X20" s="1" t="e">
        <f t="shared" si="9"/>
        <v>#N/A</v>
      </c>
    </row>
    <row r="21" spans="3:24" x14ac:dyDescent="0.3">
      <c r="H21" s="23">
        <f t="shared" si="10"/>
        <v>0.12999999999999998</v>
      </c>
      <c r="I21" s="1">
        <f t="shared" si="11"/>
        <v>0.56428811768537102</v>
      </c>
      <c r="J21" s="1">
        <f t="shared" si="12"/>
        <v>5.5967383103404399E-2</v>
      </c>
      <c r="K21" s="1">
        <f t="shared" si="13"/>
        <v>0.81375857484263459</v>
      </c>
      <c r="L21" s="1">
        <f t="shared" si="14"/>
        <v>16.018869583516434</v>
      </c>
      <c r="M21" s="1">
        <f t="shared" si="4"/>
        <v>194.59912513112619</v>
      </c>
      <c r="N21" s="1">
        <f t="shared" si="5"/>
        <v>194.59912513112619</v>
      </c>
      <c r="O21" s="1">
        <f t="shared" si="15"/>
        <v>0.35814326798738533</v>
      </c>
      <c r="P21" s="1">
        <f t="shared" si="16"/>
        <v>380.59067281557122</v>
      </c>
      <c r="Q21" s="1">
        <f t="shared" si="6"/>
        <v>686</v>
      </c>
      <c r="R21" s="1">
        <f t="shared" si="17"/>
        <v>380.59067281557122</v>
      </c>
      <c r="S21" s="1">
        <f t="shared" si="7"/>
        <v>5.4370096116510176</v>
      </c>
      <c r="T21" s="1">
        <f t="shared" si="1"/>
        <v>0.18362898396226984</v>
      </c>
      <c r="U21" s="1">
        <f t="shared" si="2"/>
        <v>2.6699418840586842</v>
      </c>
      <c r="V21" s="1">
        <f t="shared" si="3"/>
        <v>17.838828535826991</v>
      </c>
      <c r="W21" s="1" t="e">
        <f t="shared" si="8"/>
        <v>#N/A</v>
      </c>
      <c r="X21" s="1" t="e">
        <f t="shared" si="9"/>
        <v>#N/A</v>
      </c>
    </row>
    <row r="22" spans="3:24" x14ac:dyDescent="0.3">
      <c r="C22" s="18" t="s">
        <v>13</v>
      </c>
      <c r="D22" s="25">
        <v>100</v>
      </c>
      <c r="H22" s="23">
        <f t="shared" si="10"/>
        <v>0.13999999999999999</v>
      </c>
      <c r="I22" s="1">
        <f t="shared" si="11"/>
        <v>0.57183552050551778</v>
      </c>
      <c r="J22" s="1">
        <f t="shared" si="12"/>
        <v>6.4376819332413293E-2</v>
      </c>
      <c r="K22" s="1">
        <f t="shared" si="13"/>
        <v>0.86812867095914481</v>
      </c>
      <c r="L22" s="1">
        <f t="shared" si="14"/>
        <v>17.089147066124902</v>
      </c>
      <c r="M22" s="1">
        <f t="shared" si="4"/>
        <v>191.63133854545663</v>
      </c>
      <c r="N22" s="1">
        <f t="shared" si="5"/>
        <v>191.63133854545663</v>
      </c>
      <c r="O22" s="1">
        <f t="shared" si="15"/>
        <v>0.35236036349465433</v>
      </c>
      <c r="P22" s="1">
        <f t="shared" si="16"/>
        <v>374.44531226172103</v>
      </c>
      <c r="Q22" s="1">
        <f t="shared" si="6"/>
        <v>686</v>
      </c>
      <c r="R22" s="1">
        <f t="shared" si="17"/>
        <v>374.44531226172103</v>
      </c>
      <c r="S22" s="1">
        <f t="shared" si="7"/>
        <v>5.3492187465960148</v>
      </c>
      <c r="T22" s="1">
        <f t="shared" si="1"/>
        <v>0.21122034422964803</v>
      </c>
      <c r="U22" s="1">
        <f t="shared" si="2"/>
        <v>2.848330169416954</v>
      </c>
      <c r="V22" s="1">
        <f t="shared" si="3"/>
        <v>17.550786707581526</v>
      </c>
      <c r="W22" s="1" t="e">
        <f t="shared" si="8"/>
        <v>#N/A</v>
      </c>
      <c r="X22" s="1" t="e">
        <f t="shared" si="9"/>
        <v>#N/A</v>
      </c>
    </row>
    <row r="23" spans="3:24" x14ac:dyDescent="0.3">
      <c r="C23" s="18" t="s">
        <v>14</v>
      </c>
      <c r="D23" s="25"/>
      <c r="H23" s="23">
        <f t="shared" si="10"/>
        <v>0.15</v>
      </c>
      <c r="I23" s="1">
        <f t="shared" si="11"/>
        <v>0.5792549869696918</v>
      </c>
      <c r="J23" s="1">
        <f t="shared" si="12"/>
        <v>7.3325566979334539E-2</v>
      </c>
      <c r="K23" s="1">
        <f t="shared" si="13"/>
        <v>0.92162085842510499</v>
      </c>
      <c r="L23" s="1">
        <f t="shared" si="14"/>
        <v>18.142142882383961</v>
      </c>
      <c r="M23" s="1">
        <f t="shared" si="4"/>
        <v>188.71053543999807</v>
      </c>
      <c r="N23" s="1">
        <f t="shared" si="5"/>
        <v>188.71053543999807</v>
      </c>
      <c r="O23" s="1">
        <f t="shared" si="15"/>
        <v>0.3466690090413056</v>
      </c>
      <c r="P23" s="1">
        <f t="shared" si="16"/>
        <v>368.39723984420959</v>
      </c>
      <c r="Q23" s="1">
        <f t="shared" si="6"/>
        <v>686</v>
      </c>
      <c r="R23" s="1">
        <f t="shared" si="17"/>
        <v>368.39723984420959</v>
      </c>
      <c r="S23" s="1">
        <f t="shared" si="7"/>
        <v>5.2628177120601372</v>
      </c>
      <c r="T23" s="1">
        <f t="shared" si="1"/>
        <v>0.24058118525919664</v>
      </c>
      <c r="U23" s="1">
        <f t="shared" si="2"/>
        <v>3.0238380364927697</v>
      </c>
      <c r="V23" s="1">
        <f t="shared" si="3"/>
        <v>17.26730491326931</v>
      </c>
      <c r="W23" s="1" t="e">
        <f t="shared" si="8"/>
        <v>#N/A</v>
      </c>
      <c r="X23" s="1" t="e">
        <f t="shared" si="9"/>
        <v>#N/A</v>
      </c>
    </row>
    <row r="24" spans="3:24" x14ac:dyDescent="0.3">
      <c r="C24" s="18" t="s">
        <v>15</v>
      </c>
      <c r="D24" s="25"/>
      <c r="H24" s="23">
        <f t="shared" si="10"/>
        <v>0.16</v>
      </c>
      <c r="I24" s="1">
        <f t="shared" si="11"/>
        <v>0.58655699473333811</v>
      </c>
      <c r="J24" s="1">
        <f t="shared" si="12"/>
        <v>8.2804916449188595E-2</v>
      </c>
      <c r="K24" s="1">
        <f t="shared" si="13"/>
        <v>0.97424903554570641</v>
      </c>
      <c r="L24" s="1">
        <f t="shared" si="14"/>
        <v>19.178130620978479</v>
      </c>
      <c r="M24" s="1">
        <f t="shared" si="4"/>
        <v>185.83727704348564</v>
      </c>
      <c r="N24" s="1">
        <f t="shared" si="5"/>
        <v>185.83727704348564</v>
      </c>
      <c r="O24" s="1">
        <f t="shared" si="15"/>
        <v>0.34107029821411849</v>
      </c>
      <c r="P24" s="1">
        <f t="shared" si="16"/>
        <v>362.44761769273583</v>
      </c>
      <c r="Q24" s="1">
        <f t="shared" si="6"/>
        <v>686</v>
      </c>
      <c r="R24" s="1">
        <f t="shared" si="17"/>
        <v>362.44761769273583</v>
      </c>
      <c r="S24" s="1">
        <f t="shared" si="7"/>
        <v>5.1778231098962264</v>
      </c>
      <c r="T24" s="1">
        <f t="shared" si="1"/>
        <v>0.27168293086978779</v>
      </c>
      <c r="U24" s="1">
        <f t="shared" si="2"/>
        <v>3.1965110856254628</v>
      </c>
      <c r="V24" s="1">
        <f t="shared" si="3"/>
        <v>16.988437623569521</v>
      </c>
      <c r="W24" s="1" t="e">
        <f t="shared" si="8"/>
        <v>#N/A</v>
      </c>
      <c r="X24" s="1" t="e">
        <f t="shared" si="9"/>
        <v>#N/A</v>
      </c>
    </row>
    <row r="25" spans="3:24" x14ac:dyDescent="0.3">
      <c r="H25" s="23">
        <f t="shared" si="10"/>
        <v>0.17</v>
      </c>
      <c r="I25" s="1">
        <f t="shared" si="11"/>
        <v>0.59374014072461911</v>
      </c>
      <c r="J25" s="1">
        <f t="shared" si="12"/>
        <v>9.2806297960140463E-2</v>
      </c>
      <c r="K25" s="1">
        <f t="shared" si="13"/>
        <v>1.0260272666446686</v>
      </c>
      <c r="L25" s="1">
        <f t="shared" si="14"/>
        <v>20.197387138674586</v>
      </c>
      <c r="M25" s="1">
        <f t="shared" si="4"/>
        <v>183.01027757996681</v>
      </c>
      <c r="N25" s="1">
        <f t="shared" si="5"/>
        <v>183.01027757996681</v>
      </c>
      <c r="O25" s="1">
        <f t="shared" si="15"/>
        <v>0.33556172560398828</v>
      </c>
      <c r="P25" s="1">
        <f t="shared" si="16"/>
        <v>356.59378336625412</v>
      </c>
      <c r="Q25" s="1">
        <f t="shared" si="6"/>
        <v>686</v>
      </c>
      <c r="R25" s="1">
        <f t="shared" si="17"/>
        <v>356.59378336625412</v>
      </c>
      <c r="S25" s="1">
        <f t="shared" si="7"/>
        <v>5.0941969052322014</v>
      </c>
      <c r="T25" s="1">
        <f t="shared" si="1"/>
        <v>0.30449746360722085</v>
      </c>
      <c r="U25" s="1">
        <f t="shared" si="2"/>
        <v>3.3663954618611576</v>
      </c>
      <c r="V25" s="1">
        <f t="shared" si="3"/>
        <v>16.714060046066855</v>
      </c>
      <c r="W25" s="1" t="e">
        <f t="shared" si="8"/>
        <v>#N/A</v>
      </c>
      <c r="X25" s="1" t="e">
        <f t="shared" si="9"/>
        <v>#N/A</v>
      </c>
    </row>
    <row r="26" spans="3:24" x14ac:dyDescent="0.3">
      <c r="C26" s="18" t="s">
        <v>31</v>
      </c>
      <c r="D26" s="25">
        <v>12.7</v>
      </c>
      <c r="H26" s="23">
        <f t="shared" si="10"/>
        <v>0.18000000000000002</v>
      </c>
      <c r="I26" s="1">
        <f t="shared" si="11"/>
        <v>0.60080763938341619</v>
      </c>
      <c r="J26" s="1">
        <f t="shared" si="12"/>
        <v>0.10332128047184877</v>
      </c>
      <c r="K26" s="1">
        <f t="shared" si="13"/>
        <v>1.0769692356969907</v>
      </c>
      <c r="L26" s="1">
        <f t="shared" si="14"/>
        <v>21.200181805058879</v>
      </c>
      <c r="M26" s="1">
        <f t="shared" si="4"/>
        <v>180.22899313064488</v>
      </c>
      <c r="N26" s="1">
        <f t="shared" si="5"/>
        <v>180.22899313064488</v>
      </c>
      <c r="O26" s="1">
        <f t="shared" si="15"/>
        <v>0.33014223135355586</v>
      </c>
      <c r="P26" s="1">
        <f t="shared" si="16"/>
        <v>350.83461057855055</v>
      </c>
      <c r="Q26" s="1">
        <f t="shared" si="6"/>
        <v>686</v>
      </c>
      <c r="R26" s="1">
        <f t="shared" si="17"/>
        <v>350.83461057855055</v>
      </c>
      <c r="S26" s="1">
        <f t="shared" si="7"/>
        <v>5.0119230082650077</v>
      </c>
      <c r="T26" s="1">
        <f t="shared" si="1"/>
        <v>0.33899712122813586</v>
      </c>
      <c r="U26" s="1">
        <f t="shared" si="2"/>
        <v>3.5335360623218266</v>
      </c>
      <c r="V26" s="1">
        <f t="shared" si="3"/>
        <v>16.444119390117493</v>
      </c>
      <c r="W26" s="1" t="e">
        <f t="shared" si="8"/>
        <v>#N/A</v>
      </c>
      <c r="X26" s="1" t="e">
        <f t="shared" si="9"/>
        <v>#N/A</v>
      </c>
    </row>
    <row r="27" spans="3:24" x14ac:dyDescent="0.3">
      <c r="C27" s="18" t="s">
        <v>29</v>
      </c>
      <c r="D27" s="25">
        <v>18</v>
      </c>
      <c r="H27" s="23">
        <f t="shared" si="10"/>
        <v>0.19000000000000003</v>
      </c>
      <c r="I27" s="1">
        <f t="shared" si="11"/>
        <v>0.60776085050672102</v>
      </c>
      <c r="J27" s="1">
        <f t="shared" si="12"/>
        <v>0.11434156897923194</v>
      </c>
      <c r="K27" s="1">
        <f t="shared" si="13"/>
        <v>1.1270884657796407</v>
      </c>
      <c r="L27" s="1">
        <f t="shared" si="14"/>
        <v>22.186780822433878</v>
      </c>
      <c r="M27" s="1">
        <f t="shared" si="4"/>
        <v>177.4926056510063</v>
      </c>
      <c r="N27" s="1">
        <f t="shared" si="5"/>
        <v>177.4926056510063</v>
      </c>
      <c r="O27" s="1">
        <f t="shared" si="15"/>
        <v>0.32481022145558508</v>
      </c>
      <c r="P27" s="1">
        <f t="shared" si="16"/>
        <v>345.16840541453365</v>
      </c>
      <c r="Q27" s="1">
        <f t="shared" si="6"/>
        <v>686</v>
      </c>
      <c r="R27" s="1">
        <f t="shared" si="17"/>
        <v>345.16840541453365</v>
      </c>
      <c r="S27" s="1">
        <f t="shared" si="7"/>
        <v>4.9309772202076232</v>
      </c>
      <c r="T27" s="1">
        <f t="shared" si="1"/>
        <v>0.37515468782085998</v>
      </c>
      <c r="U27" s="1">
        <f t="shared" si="2"/>
        <v>3.6979772562230013</v>
      </c>
      <c r="V27" s="1">
        <f t="shared" si="3"/>
        <v>16.178536259501211</v>
      </c>
      <c r="W27" s="1" t="e">
        <f t="shared" si="8"/>
        <v>#N/A</v>
      </c>
      <c r="X27" s="1" t="e">
        <f t="shared" si="9"/>
        <v>#N/A</v>
      </c>
    </row>
    <row r="28" spans="3:24" x14ac:dyDescent="0.3">
      <c r="C28" s="18" t="s">
        <v>30</v>
      </c>
      <c r="D28" s="25">
        <v>3</v>
      </c>
      <c r="H28" s="23">
        <f t="shared" si="10"/>
        <v>0.20000000000000004</v>
      </c>
      <c r="I28" s="1">
        <f t="shared" si="11"/>
        <v>0.61460181920581747</v>
      </c>
      <c r="J28" s="1">
        <f t="shared" si="12"/>
        <v>0.12585900249803872</v>
      </c>
      <c r="K28" s="1">
        <f t="shared" si="13"/>
        <v>1.1763982379817171</v>
      </c>
      <c r="L28" s="1">
        <f t="shared" si="14"/>
        <v>23.157445629561366</v>
      </c>
      <c r="M28" s="1">
        <f t="shared" si="4"/>
        <v>174.8004213044963</v>
      </c>
      <c r="N28" s="1">
        <f t="shared" si="5"/>
        <v>174.8004213044963</v>
      </c>
      <c r="O28" s="1">
        <f t="shared" si="15"/>
        <v>0.31956434392926009</v>
      </c>
      <c r="P28" s="1">
        <f t="shared" si="16"/>
        <v>339.59373115506264</v>
      </c>
      <c r="Q28" s="1">
        <f t="shared" si="6"/>
        <v>686</v>
      </c>
      <c r="R28" s="1">
        <f t="shared" si="17"/>
        <v>339.59373115506264</v>
      </c>
      <c r="S28" s="1">
        <f t="shared" si="7"/>
        <v>4.8513390165008952</v>
      </c>
      <c r="T28" s="1">
        <f t="shared" si="1"/>
        <v>0.41294338719606505</v>
      </c>
      <c r="U28" s="1">
        <f t="shared" si="2"/>
        <v>3.8597626188180136</v>
      </c>
      <c r="V28" s="1">
        <f t="shared" si="3"/>
        <v>15.917243313139437</v>
      </c>
      <c r="W28" s="1" t="e">
        <f t="shared" si="8"/>
        <v>#N/A</v>
      </c>
      <c r="X28" s="1" t="e">
        <f t="shared" si="9"/>
        <v>#N/A</v>
      </c>
    </row>
    <row r="29" spans="3:24" x14ac:dyDescent="0.3">
      <c r="H29" s="23">
        <f t="shared" si="10"/>
        <v>0.21000000000000005</v>
      </c>
      <c r="I29" s="1">
        <f t="shared" si="11"/>
        <v>0.62133228007209251</v>
      </c>
      <c r="J29" s="1">
        <f t="shared" si="12"/>
        <v>0.13786555182868096</v>
      </c>
      <c r="K29" s="1">
        <f t="shared" si="13"/>
        <v>1.2249116281467261</v>
      </c>
      <c r="L29" s="1">
        <f t="shared" si="14"/>
        <v>24.112433624935559</v>
      </c>
      <c r="M29" s="1">
        <f t="shared" si="4"/>
        <v>172.15171391264607</v>
      </c>
      <c r="N29" s="1">
        <f t="shared" si="5"/>
        <v>172.15171391264607</v>
      </c>
      <c r="O29" s="1">
        <f t="shared" si="15"/>
        <v>0.31440318377366727</v>
      </c>
      <c r="P29" s="1">
        <f t="shared" si="16"/>
        <v>334.10908411097756</v>
      </c>
      <c r="Q29" s="1">
        <f t="shared" si="6"/>
        <v>686</v>
      </c>
      <c r="R29" s="1">
        <f t="shared" si="17"/>
        <v>334.10908411097756</v>
      </c>
      <c r="S29" s="1">
        <f t="shared" si="7"/>
        <v>4.7729869158711082</v>
      </c>
      <c r="T29" s="1">
        <f t="shared" si="1"/>
        <v>0.45233687554990226</v>
      </c>
      <c r="U29" s="1">
        <f t="shared" si="2"/>
        <v>4.0189350519494083</v>
      </c>
      <c r="V29" s="1">
        <f t="shared" si="3"/>
        <v>15.660170070973107</v>
      </c>
      <c r="W29" s="1" t="e">
        <f t="shared" si="8"/>
        <v>#N/A</v>
      </c>
      <c r="X29" s="1" t="e">
        <f t="shared" si="9"/>
        <v>#N/A</v>
      </c>
    </row>
    <row r="30" spans="3:24" x14ac:dyDescent="0.3">
      <c r="C30" s="18" t="s">
        <v>35</v>
      </c>
      <c r="D30" s="29">
        <v>0.01</v>
      </c>
      <c r="H30" s="23">
        <f t="shared" si="10"/>
        <v>0.22000000000000006</v>
      </c>
      <c r="I30" s="1">
        <f t="shared" si="11"/>
        <v>0.6279540485517181</v>
      </c>
      <c r="J30" s="1">
        <f t="shared" si="12"/>
        <v>0.1503533174559418</v>
      </c>
      <c r="K30" s="1">
        <f t="shared" si="13"/>
        <v>1.2726414973054372</v>
      </c>
      <c r="L30" s="1">
        <f t="shared" si="14"/>
        <v>25.051997978453496</v>
      </c>
      <c r="M30" s="1">
        <f t="shared" si="4"/>
        <v>169.54578611059873</v>
      </c>
      <c r="N30" s="1">
        <f t="shared" si="5"/>
        <v>169.54578611059873</v>
      </c>
      <c r="O30" s="1">
        <f t="shared" si="15"/>
        <v>0.30932538213288913</v>
      </c>
      <c r="P30" s="1">
        <f t="shared" si="16"/>
        <v>328.7130202571239</v>
      </c>
      <c r="Q30" s="1">
        <f t="shared" si="6"/>
        <v>686</v>
      </c>
      <c r="R30" s="1">
        <f t="shared" si="17"/>
        <v>328.7130202571239</v>
      </c>
      <c r="S30" s="1">
        <f t="shared" si="7"/>
        <v>4.6959002893874846</v>
      </c>
      <c r="T30" s="1">
        <f t="shared" si="1"/>
        <v>0.49330923457294507</v>
      </c>
      <c r="U30" s="1">
        <f t="shared" si="2"/>
        <v>4.1755367526591396</v>
      </c>
      <c r="V30" s="1">
        <f t="shared" si="3"/>
        <v>15.407248849480338</v>
      </c>
      <c r="W30" s="1" t="e">
        <f t="shared" si="8"/>
        <v>#N/A</v>
      </c>
      <c r="X30" s="1" t="e">
        <f t="shared" si="9"/>
        <v>#N/A</v>
      </c>
    </row>
    <row r="31" spans="3:24" x14ac:dyDescent="0.3">
      <c r="C31" s="18" t="s">
        <v>36</v>
      </c>
      <c r="D31" s="25">
        <v>0.6</v>
      </c>
      <c r="H31" s="23">
        <f t="shared" si="10"/>
        <v>0.23000000000000007</v>
      </c>
      <c r="I31" s="1">
        <f t="shared" si="11"/>
        <v>0.63446886805683644</v>
      </c>
      <c r="J31" s="1">
        <f t="shared" si="12"/>
        <v>0.16331452744346556</v>
      </c>
      <c r="K31" s="1">
        <f t="shared" si="13"/>
        <v>1.3196005001993121</v>
      </c>
      <c r="L31" s="1">
        <f t="shared" si="14"/>
        <v>25.976387799199063</v>
      </c>
      <c r="M31" s="1">
        <f t="shared" si="4"/>
        <v>166.98194509314237</v>
      </c>
      <c r="N31" s="1">
        <f t="shared" si="5"/>
        <v>166.98194509314237</v>
      </c>
      <c r="O31" s="1">
        <f t="shared" si="15"/>
        <v>0.30432958903574114</v>
      </c>
      <c r="P31" s="1">
        <f t="shared" si="16"/>
        <v>323.40410500994994</v>
      </c>
      <c r="Q31" s="1">
        <f t="shared" si="6"/>
        <v>686</v>
      </c>
      <c r="R31" s="1">
        <f t="shared" si="17"/>
        <v>323.40410500994994</v>
      </c>
      <c r="S31" s="1">
        <f t="shared" si="7"/>
        <v>4.6200586429992851</v>
      </c>
      <c r="T31" s="1">
        <f t="shared" si="1"/>
        <v>0.53583496454201052</v>
      </c>
      <c r="U31" s="1">
        <f t="shared" si="2"/>
        <v>4.3296092411539435</v>
      </c>
      <c r="V31" s="1">
        <f t="shared" si="3"/>
        <v>15.158412407680656</v>
      </c>
      <c r="W31" s="1" t="e">
        <f t="shared" si="8"/>
        <v>#N/A</v>
      </c>
      <c r="X31" s="1" t="e">
        <f t="shared" si="9"/>
        <v>#N/A</v>
      </c>
    </row>
    <row r="32" spans="3:24" x14ac:dyDescent="0.3">
      <c r="H32" s="23">
        <f t="shared" si="10"/>
        <v>0.24000000000000007</v>
      </c>
      <c r="I32" s="1">
        <f t="shared" si="11"/>
        <v>0.64087847060047731</v>
      </c>
      <c r="J32" s="1">
        <f t="shared" si="12"/>
        <v>0.17674153537760864</v>
      </c>
      <c r="K32" s="1">
        <f t="shared" si="13"/>
        <v>1.3658010866293049</v>
      </c>
      <c r="L32" s="1">
        <f t="shared" si="14"/>
        <v>26.8858481619942</v>
      </c>
      <c r="M32" s="1">
        <f t="shared" si="4"/>
        <v>164.45951187420809</v>
      </c>
      <c r="N32" s="1">
        <f t="shared" si="5"/>
        <v>164.45951187420809</v>
      </c>
      <c r="O32" s="1">
        <f t="shared" si="15"/>
        <v>0.29941448143844129</v>
      </c>
      <c r="P32" s="1">
        <f t="shared" si="16"/>
        <v>318.1809324010398</v>
      </c>
      <c r="Q32" s="1">
        <f t="shared" si="6"/>
        <v>686</v>
      </c>
      <c r="R32" s="1">
        <f t="shared" si="17"/>
        <v>318.1809324010398</v>
      </c>
      <c r="S32" s="1">
        <f t="shared" si="7"/>
        <v>4.545441891443426</v>
      </c>
      <c r="T32" s="1">
        <f t="shared" si="1"/>
        <v>0.57988897757393398</v>
      </c>
      <c r="U32" s="1">
        <f t="shared" si="2"/>
        <v>4.4811933652307498</v>
      </c>
      <c r="V32" s="1">
        <f t="shared" si="3"/>
        <v>14.913594845825882</v>
      </c>
      <c r="W32" s="1" t="e">
        <f t="shared" si="8"/>
        <v>#N/A</v>
      </c>
      <c r="X32" s="1" t="e">
        <f t="shared" si="9"/>
        <v>#N/A</v>
      </c>
    </row>
    <row r="33" spans="8:24" x14ac:dyDescent="0.3">
      <c r="H33" s="23">
        <f t="shared" si="10"/>
        <v>0.25000000000000006</v>
      </c>
      <c r="I33" s="1">
        <f t="shared" si="11"/>
        <v>0.64718455364781302</v>
      </c>
      <c r="J33" s="1">
        <f t="shared" si="12"/>
        <v>0.19062681833847389</v>
      </c>
      <c r="K33" s="1">
        <f t="shared" si="13"/>
        <v>1.4112555055437392</v>
      </c>
      <c r="L33" s="1">
        <f t="shared" si="14"/>
        <v>27.780620187868891</v>
      </c>
      <c r="M33" s="1">
        <f t="shared" si="4"/>
        <v>161.97781740195171</v>
      </c>
      <c r="N33" s="1">
        <f t="shared" si="5"/>
        <v>161.97781740195171</v>
      </c>
      <c r="O33" s="1">
        <f t="shared" si="15"/>
        <v>0.29457875565462138</v>
      </c>
      <c r="P33" s="1">
        <f t="shared" si="16"/>
        <v>313.04211703265918</v>
      </c>
      <c r="Q33" s="1">
        <f t="shared" si="6"/>
        <v>686</v>
      </c>
      <c r="R33" s="1">
        <f t="shared" si="17"/>
        <v>313.04211703265918</v>
      </c>
      <c r="S33" s="1">
        <f t="shared" si="7"/>
        <v>4.4720302433237027</v>
      </c>
      <c r="T33" s="1">
        <f t="shared" si="1"/>
        <v>0.62544659096853283</v>
      </c>
      <c r="U33" s="1">
        <f t="shared" si="2"/>
        <v>4.6303293136890087</v>
      </c>
      <c r="V33" s="1">
        <f t="shared" si="3"/>
        <v>14.67273122834507</v>
      </c>
      <c r="W33" s="1" t="e">
        <f t="shared" si="8"/>
        <v>#N/A</v>
      </c>
      <c r="X33" s="1" t="e">
        <f t="shared" si="9"/>
        <v>#N/A</v>
      </c>
    </row>
    <row r="34" spans="8:24" x14ac:dyDescent="0.3">
      <c r="H34" s="23">
        <f t="shared" si="10"/>
        <v>0.26000000000000006</v>
      </c>
      <c r="I34" s="1">
        <f t="shared" si="11"/>
        <v>0.65338878982845394</v>
      </c>
      <c r="J34" s="1">
        <f t="shared" si="12"/>
        <v>0.20496297490607748</v>
      </c>
      <c r="K34" s="1">
        <f t="shared" si="13"/>
        <v>1.4559758079769762</v>
      </c>
      <c r="L34" s="1">
        <f t="shared" si="14"/>
        <v>28.660941101908989</v>
      </c>
      <c r="M34" s="1">
        <f t="shared" si="4"/>
        <v>159.53620383494035</v>
      </c>
      <c r="N34" s="1">
        <f t="shared" si="5"/>
        <v>159.53620383494035</v>
      </c>
      <c r="O34" s="1">
        <f t="shared" si="15"/>
        <v>0.2898211298420505</v>
      </c>
      <c r="P34" s="1">
        <f t="shared" si="16"/>
        <v>307.98629672033979</v>
      </c>
      <c r="Q34" s="1">
        <f t="shared" si="6"/>
        <v>686</v>
      </c>
      <c r="R34" s="1">
        <f t="shared" si="17"/>
        <v>307.98629672033979</v>
      </c>
      <c r="S34" s="1">
        <f t="shared" si="7"/>
        <v>4.3998042388619973</v>
      </c>
      <c r="T34" s="1">
        <f t="shared" si="1"/>
        <v>0.67248352066684025</v>
      </c>
      <c r="U34" s="1">
        <f t="shared" si="2"/>
        <v>4.7770566259724596</v>
      </c>
      <c r="V34" s="1">
        <f t="shared" si="3"/>
        <v>14.435757707706214</v>
      </c>
      <c r="W34" s="1" t="e">
        <f t="shared" si="8"/>
        <v>#N/A</v>
      </c>
      <c r="X34" s="1" t="e">
        <f t="shared" si="9"/>
        <v>#N/A</v>
      </c>
    </row>
    <row r="35" spans="8:24" x14ac:dyDescent="0.3">
      <c r="H35" s="23">
        <f t="shared" si="10"/>
        <v>0.27000000000000007</v>
      </c>
      <c r="I35" s="1">
        <f t="shared" si="11"/>
        <v>0.65949282374598239</v>
      </c>
      <c r="J35" s="1">
        <f t="shared" si="12"/>
        <v>0.21974272319779034</v>
      </c>
      <c r="K35" s="1">
        <f t="shared" si="13"/>
        <v>1.4999738503655962</v>
      </c>
      <c r="L35" s="1">
        <f t="shared" si="14"/>
        <v>29.527044298535365</v>
      </c>
      <c r="M35" s="1">
        <f t="shared" si="4"/>
        <v>157.13402379745531</v>
      </c>
      <c r="N35" s="1">
        <f t="shared" si="5"/>
        <v>157.13402379745531</v>
      </c>
      <c r="O35" s="1">
        <f t="shared" si="15"/>
        <v>0.28514034255154969</v>
      </c>
      <c r="P35" s="1">
        <f t="shared" si="16"/>
        <v>303.01213095084381</v>
      </c>
      <c r="Q35" s="1">
        <f t="shared" si="6"/>
        <v>686</v>
      </c>
      <c r="R35" s="1">
        <f t="shared" si="17"/>
        <v>303.01213095084381</v>
      </c>
      <c r="S35" s="1">
        <f t="shared" si="7"/>
        <v>4.3287447278691973</v>
      </c>
      <c r="T35" s="1">
        <f t="shared" si="1"/>
        <v>0.72097587481195013</v>
      </c>
      <c r="U35" s="1">
        <f t="shared" si="2"/>
        <v>4.9214142030495216</v>
      </c>
      <c r="V35" s="1">
        <f t="shared" si="3"/>
        <v>14.202611452138838</v>
      </c>
      <c r="W35" s="1" t="e">
        <f t="shared" si="8"/>
        <v>#N/A</v>
      </c>
      <c r="X35" s="1" t="e">
        <f t="shared" si="9"/>
        <v>#N/A</v>
      </c>
    </row>
    <row r="36" spans="8:24" x14ac:dyDescent="0.3">
      <c r="H36" s="23">
        <f t="shared" si="10"/>
        <v>0.28000000000000008</v>
      </c>
      <c r="I36" s="1">
        <f t="shared" si="11"/>
        <v>0.66549827383969495</v>
      </c>
      <c r="J36" s="1">
        <f t="shared" si="12"/>
        <v>0.23495889893783975</v>
      </c>
      <c r="K36" s="1">
        <f t="shared" si="13"/>
        <v>1.5432612976442881</v>
      </c>
      <c r="L36" s="1">
        <f t="shared" si="14"/>
        <v>30.379159402446625</v>
      </c>
      <c r="M36" s="1">
        <f t="shared" si="4"/>
        <v>154.77064043160146</v>
      </c>
      <c r="N36" s="1">
        <f t="shared" si="5"/>
        <v>154.77064043160146</v>
      </c>
      <c r="O36" s="1">
        <f t="shared" si="15"/>
        <v>0.2805351528285297</v>
      </c>
      <c r="P36" s="1">
        <f t="shared" si="16"/>
        <v>298.11830099006602</v>
      </c>
      <c r="Q36" s="1">
        <f t="shared" si="6"/>
        <v>686</v>
      </c>
      <c r="R36" s="1">
        <f t="shared" si="17"/>
        <v>298.11830099006602</v>
      </c>
      <c r="S36" s="1">
        <f t="shared" si="7"/>
        <v>4.258832871286657</v>
      </c>
      <c r="T36" s="1">
        <f t="shared" si="1"/>
        <v>0.77090014741505231</v>
      </c>
      <c r="U36" s="1">
        <f t="shared" si="2"/>
        <v>5.0634403175709091</v>
      </c>
      <c r="V36" s="1">
        <f t="shared" si="3"/>
        <v>13.973230650691523</v>
      </c>
      <c r="W36" s="1" t="e">
        <f t="shared" si="8"/>
        <v>#N/A</v>
      </c>
      <c r="X36" s="1" t="e">
        <f t="shared" si="9"/>
        <v>#N/A</v>
      </c>
    </row>
    <row r="37" spans="8:24" x14ac:dyDescent="0.3">
      <c r="H37" s="23">
        <f t="shared" si="10"/>
        <v>0.29000000000000009</v>
      </c>
      <c r="I37" s="1">
        <f t="shared" si="11"/>
        <v>0.67140673225432967</v>
      </c>
      <c r="J37" s="1">
        <f t="shared" si="12"/>
        <v>0.25060445355784694</v>
      </c>
      <c r="K37" s="1">
        <f t="shared" si="13"/>
        <v>1.5858496263571547</v>
      </c>
      <c r="L37" s="1">
        <f t="shared" si="14"/>
        <v>31.217512329865258</v>
      </c>
      <c r="M37" s="1">
        <f t="shared" si="4"/>
        <v>152.44542714067825</v>
      </c>
      <c r="N37" s="1">
        <f t="shared" si="5"/>
        <v>152.44542714067825</v>
      </c>
      <c r="O37" s="1">
        <f t="shared" si="15"/>
        <v>0.27600433971293498</v>
      </c>
      <c r="P37" s="1">
        <f t="shared" si="16"/>
        <v>293.30350935163557</v>
      </c>
      <c r="Q37" s="1">
        <f t="shared" si="6"/>
        <v>686</v>
      </c>
      <c r="R37" s="1">
        <f t="shared" si="17"/>
        <v>293.30350935163557</v>
      </c>
      <c r="S37" s="1">
        <f t="shared" si="7"/>
        <v>4.1900501335947942</v>
      </c>
      <c r="T37" s="1">
        <f t="shared" si="1"/>
        <v>0.82223321212329581</v>
      </c>
      <c r="U37" s="1">
        <f t="shared" si="2"/>
        <v>5.2031726240778244</v>
      </c>
      <c r="V37" s="1">
        <f t="shared" si="3"/>
        <v>13.74755448832452</v>
      </c>
      <c r="W37" s="1" t="e">
        <f t="shared" si="8"/>
        <v>#N/A</v>
      </c>
      <c r="X37" s="1" t="e">
        <f t="shared" si="9"/>
        <v>#N/A</v>
      </c>
    </row>
    <row r="38" spans="8:24" x14ac:dyDescent="0.3">
      <c r="H38" s="23">
        <f t="shared" si="10"/>
        <v>0.3000000000000001</v>
      </c>
      <c r="I38" s="1">
        <f t="shared" si="11"/>
        <v>0.67721976548163776</v>
      </c>
      <c r="J38" s="1">
        <f t="shared" si="12"/>
        <v>0.26667245232809822</v>
      </c>
      <c r="K38" s="1">
        <f t="shared" si="13"/>
        <v>1.6277501276931026</v>
      </c>
      <c r="L38" s="1">
        <f t="shared" si="14"/>
        <v>32.042325348289431</v>
      </c>
      <c r="M38" s="1">
        <f t="shared" si="4"/>
        <v>150.15776745749363</v>
      </c>
      <c r="N38" s="1">
        <f t="shared" si="5"/>
        <v>150.15776745749363</v>
      </c>
      <c r="O38" s="1">
        <f t="shared" si="15"/>
        <v>0.27154670198264536</v>
      </c>
      <c r="P38" s="1">
        <f t="shared" si="16"/>
        <v>288.56647952423486</v>
      </c>
      <c r="Q38" s="1">
        <f t="shared" si="6"/>
        <v>686</v>
      </c>
      <c r="R38" s="1">
        <f t="shared" si="17"/>
        <v>288.56647952423486</v>
      </c>
      <c r="S38" s="1">
        <f t="shared" si="7"/>
        <v>4.1223782789176413</v>
      </c>
      <c r="T38" s="1">
        <f t="shared" si="1"/>
        <v>0.87495231608849033</v>
      </c>
      <c r="U38" s="1">
        <f t="shared" si="2"/>
        <v>5.3406481689610699</v>
      </c>
      <c r="V38" s="1">
        <f t="shared" si="3"/>
        <v>13.525523133128782</v>
      </c>
      <c r="W38" s="1" t="e">
        <f t="shared" si="8"/>
        <v>#N/A</v>
      </c>
      <c r="X38" s="1" t="e">
        <f t="shared" si="9"/>
        <v>#N/A</v>
      </c>
    </row>
    <row r="39" spans="8:24" x14ac:dyDescent="0.3">
      <c r="H39" s="23">
        <f t="shared" si="10"/>
        <v>0.31000000000000011</v>
      </c>
      <c r="I39" s="1">
        <f t="shared" si="11"/>
        <v>0.68293891468959922</v>
      </c>
      <c r="J39" s="1">
        <f t="shared" si="12"/>
        <v>0.28315607251897512</v>
      </c>
      <c r="K39" s="1">
        <f t="shared" si="13"/>
        <v>1.6689739104822789</v>
      </c>
      <c r="L39" s="1">
        <f t="shared" si="14"/>
        <v>32.853817135477939</v>
      </c>
      <c r="M39" s="1">
        <f t="shared" si="4"/>
        <v>147.90705486741243</v>
      </c>
      <c r="N39" s="1">
        <f t="shared" si="5"/>
        <v>147.90705486741243</v>
      </c>
      <c r="O39" s="1">
        <f t="shared" si="15"/>
        <v>0.26716105780867577</v>
      </c>
      <c r="P39" s="1">
        <f t="shared" si="16"/>
        <v>283.90595560518818</v>
      </c>
      <c r="Q39" s="1">
        <f t="shared" si="6"/>
        <v>686</v>
      </c>
      <c r="R39" s="1">
        <f t="shared" si="17"/>
        <v>283.90595560518818</v>
      </c>
      <c r="S39" s="1">
        <f t="shared" si="7"/>
        <v>4.0557993657884026</v>
      </c>
      <c r="T39" s="1">
        <f t="shared" si="1"/>
        <v>0.92903507393475737</v>
      </c>
      <c r="U39" s="1">
        <f t="shared" si="2"/>
        <v>5.4759034002923572</v>
      </c>
      <c r="V39" s="1">
        <f t="shared" si="3"/>
        <v>13.307077719151749</v>
      </c>
      <c r="W39" s="1" t="e">
        <f t="shared" si="8"/>
        <v>#N/A</v>
      </c>
      <c r="X39" s="1" t="e">
        <f t="shared" si="9"/>
        <v>#N/A</v>
      </c>
    </row>
    <row r="40" spans="8:24" x14ac:dyDescent="0.3">
      <c r="H40" s="23">
        <f t="shared" si="10"/>
        <v>0.32000000000000012</v>
      </c>
      <c r="I40" s="1">
        <f t="shared" si="11"/>
        <v>0.68856569616480223</v>
      </c>
      <c r="J40" s="1">
        <f t="shared" si="12"/>
        <v>0.30004860159208735</v>
      </c>
      <c r="K40" s="1">
        <f t="shared" si="13"/>
        <v>1.7095319041401629</v>
      </c>
      <c r="L40" s="1">
        <f t="shared" si="14"/>
        <v>33.652202837404793</v>
      </c>
      <c r="M40" s="1">
        <f t="shared" si="4"/>
        <v>145.69269265285544</v>
      </c>
      <c r="N40" s="1">
        <f t="shared" si="5"/>
        <v>145.69269265285544</v>
      </c>
      <c r="O40" s="1">
        <f t="shared" si="15"/>
        <v>0.26284624445217347</v>
      </c>
      <c r="P40" s="1">
        <f t="shared" si="16"/>
        <v>279.3207019784673</v>
      </c>
      <c r="Q40" s="1">
        <f t="shared" si="6"/>
        <v>686</v>
      </c>
      <c r="R40" s="1">
        <f t="shared" si="17"/>
        <v>279.3207019784673</v>
      </c>
      <c r="S40" s="1">
        <f t="shared" si="7"/>
        <v>3.9902957425495327</v>
      </c>
      <c r="T40" s="1">
        <f t="shared" si="1"/>
        <v>0.98445946182363864</v>
      </c>
      <c r="U40" s="1">
        <f t="shared" si="2"/>
        <v>5.6089741774838746</v>
      </c>
      <c r="V40" s="1">
        <f t="shared" si="3"/>
        <v>13.092160331305017</v>
      </c>
      <c r="W40" s="1" t="e">
        <f t="shared" si="8"/>
        <v>#N/A</v>
      </c>
      <c r="X40" s="1" t="e">
        <f t="shared" si="9"/>
        <v>#N/A</v>
      </c>
    </row>
    <row r="41" spans="8:24" x14ac:dyDescent="0.3">
      <c r="H41" s="23">
        <f t="shared" si="10"/>
        <v>0.33000000000000013</v>
      </c>
      <c r="I41" s="1">
        <f t="shared" si="11"/>
        <v>0.69410160170119461</v>
      </c>
      <c r="J41" s="1">
        <f t="shared" si="12"/>
        <v>0.31734343542061644</v>
      </c>
      <c r="K41" s="1">
        <f t="shared" si="13"/>
        <v>1.7494348615656583</v>
      </c>
      <c r="L41" s="1">
        <f t="shared" si="14"/>
        <v>34.437694125308248</v>
      </c>
      <c r="M41" s="1">
        <f t="shared" si="4"/>
        <v>143.51409373301559</v>
      </c>
      <c r="N41" s="1">
        <f t="shared" si="5"/>
        <v>143.51409373301559</v>
      </c>
      <c r="O41" s="1">
        <f t="shared" si="15"/>
        <v>0.25860111795209578</v>
      </c>
      <c r="P41" s="1">
        <f t="shared" si="16"/>
        <v>274.80950298279419</v>
      </c>
      <c r="Q41" s="1">
        <f t="shared" si="6"/>
        <v>686</v>
      </c>
      <c r="R41" s="1">
        <f t="shared" si="17"/>
        <v>274.80950298279419</v>
      </c>
      <c r="S41" s="1">
        <f t="shared" si="7"/>
        <v>3.9258500426113456</v>
      </c>
      <c r="T41" s="1">
        <f t="shared" si="1"/>
        <v>1.0412038116150426</v>
      </c>
      <c r="U41" s="1">
        <f t="shared" si="2"/>
        <v>5.7398957807969255</v>
      </c>
      <c r="V41" s="1">
        <f t="shared" si="3"/>
        <v>12.880713989807825</v>
      </c>
      <c r="W41" s="1" t="e">
        <f t="shared" si="8"/>
        <v>#N/A</v>
      </c>
      <c r="X41" s="1" t="e">
        <f t="shared" si="9"/>
        <v>#N/A</v>
      </c>
    </row>
    <row r="42" spans="8:24" x14ac:dyDescent="0.3">
      <c r="H42" s="23">
        <f t="shared" si="10"/>
        <v>0.34000000000000014</v>
      </c>
      <c r="I42" s="1">
        <f t="shared" si="11"/>
        <v>0.69954809900079429</v>
      </c>
      <c r="J42" s="1">
        <f t="shared" si="12"/>
        <v>0.33503407653840356</v>
      </c>
      <c r="K42" s="1">
        <f t="shared" si="13"/>
        <v>1.7886933619917718</v>
      </c>
      <c r="L42" s="1">
        <f t="shared" si="14"/>
        <v>35.210499251806539</v>
      </c>
      <c r="M42" s="1">
        <f t="shared" si="4"/>
        <v>141.37068050902482</v>
      </c>
      <c r="N42" s="1">
        <f t="shared" si="5"/>
        <v>141.37068050902482</v>
      </c>
      <c r="O42" s="1">
        <f t="shared" si="15"/>
        <v>0.25442455282350895</v>
      </c>
      <c r="P42" s="1">
        <f t="shared" si="16"/>
        <v>270.37116259102976</v>
      </c>
      <c r="Q42" s="1">
        <f t="shared" si="6"/>
        <v>686</v>
      </c>
      <c r="R42" s="1">
        <f t="shared" si="17"/>
        <v>270.37116259102976</v>
      </c>
      <c r="S42" s="1">
        <f t="shared" si="7"/>
        <v>3.8624451798718535</v>
      </c>
      <c r="T42" s="1">
        <f t="shared" si="1"/>
        <v>1.0992468051225022</v>
      </c>
      <c r="U42" s="1">
        <f t="shared" si="2"/>
        <v>5.8687029206950037</v>
      </c>
      <c r="V42" s="1">
        <f t="shared" si="3"/>
        <v>12.672682635159552</v>
      </c>
      <c r="W42" s="1" t="e">
        <f t="shared" si="8"/>
        <v>#N/A</v>
      </c>
      <c r="X42" s="1" t="e">
        <f t="shared" si="9"/>
        <v>#N/A</v>
      </c>
    </row>
    <row r="43" spans="8:24" x14ac:dyDescent="0.3">
      <c r="H43" s="23">
        <f t="shared" si="10"/>
        <v>0.35000000000000014</v>
      </c>
      <c r="I43" s="1">
        <f t="shared" si="11"/>
        <v>0.70490663206077109</v>
      </c>
      <c r="J43" s="1">
        <f t="shared" si="12"/>
        <v>0.35311413241731487</v>
      </c>
      <c r="K43" s="1">
        <f t="shared" si="13"/>
        <v>1.8273178137904902</v>
      </c>
      <c r="L43" s="1">
        <f t="shared" si="14"/>
        <v>35.970823106112022</v>
      </c>
      <c r="M43" s="1">
        <f t="shared" si="4"/>
        <v>139.26188471049807</v>
      </c>
      <c r="N43" s="1">
        <f t="shared" si="5"/>
        <v>139.26188471049807</v>
      </c>
      <c r="O43" s="1">
        <f t="shared" si="15"/>
        <v>0.25031544175856985</v>
      </c>
      <c r="P43" s="1">
        <f t="shared" si="16"/>
        <v>266.00450409241421</v>
      </c>
      <c r="Q43" s="1">
        <f t="shared" si="6"/>
        <v>686</v>
      </c>
      <c r="R43" s="1">
        <f t="shared" si="17"/>
        <v>266.00450409241421</v>
      </c>
      <c r="S43" s="1">
        <f t="shared" si="7"/>
        <v>3.8000643441773456</v>
      </c>
      <c r="T43" s="1">
        <f t="shared" si="1"/>
        <v>1.1585674684612102</v>
      </c>
      <c r="U43" s="1">
        <f t="shared" si="2"/>
        <v>5.9954297470465985</v>
      </c>
      <c r="V43" s="1">
        <f t="shared" si="3"/>
        <v>12.468011113245872</v>
      </c>
      <c r="W43" s="1" t="e">
        <f t="shared" si="8"/>
        <v>#N/A</v>
      </c>
      <c r="X43" s="1" t="e">
        <f t="shared" si="9"/>
        <v>#N/A</v>
      </c>
    </row>
    <row r="44" spans="8:24" x14ac:dyDescent="0.3">
      <c r="H44" s="23">
        <f t="shared" si="10"/>
        <v>0.36000000000000015</v>
      </c>
      <c r="I44" s="1">
        <f t="shared" si="11"/>
        <v>0.71017862155708811</v>
      </c>
      <c r="J44" s="1">
        <f t="shared" si="12"/>
        <v>0.37157731377242864</v>
      </c>
      <c r="K44" s="1">
        <f t="shared" si="13"/>
        <v>1.8653184572322636</v>
      </c>
      <c r="L44" s="1">
        <f t="shared" si="14"/>
        <v>36.718867268351659</v>
      </c>
      <c r="M44" s="1">
        <f t="shared" si="4"/>
        <v>137.18714724499779</v>
      </c>
      <c r="N44" s="1">
        <f t="shared" si="5"/>
        <v>137.18714724499779</v>
      </c>
      <c r="O44" s="1">
        <f t="shared" si="15"/>
        <v>0.24627269533319909</v>
      </c>
      <c r="P44" s="1">
        <f t="shared" si="16"/>
        <v>261.70836978085481</v>
      </c>
      <c r="Q44" s="1">
        <f t="shared" si="6"/>
        <v>686</v>
      </c>
      <c r="R44" s="1">
        <f t="shared" si="17"/>
        <v>261.70836978085481</v>
      </c>
      <c r="S44" s="1">
        <f t="shared" si="7"/>
        <v>3.7386909968693542</v>
      </c>
      <c r="T44" s="1">
        <f t="shared" si="1"/>
        <v>1.2191451664873385</v>
      </c>
      <c r="U44" s="1">
        <f t="shared" si="2"/>
        <v>6.1201098581790569</v>
      </c>
      <c r="V44" s="1">
        <f t="shared" si="3"/>
        <v>12.266645160728352</v>
      </c>
      <c r="W44" s="1" t="e">
        <f t="shared" si="8"/>
        <v>#N/A</v>
      </c>
      <c r="X44" s="1" t="e">
        <f t="shared" si="9"/>
        <v>#N/A</v>
      </c>
    </row>
    <row r="45" spans="8:24" x14ac:dyDescent="0.3">
      <c r="H45" s="23">
        <f t="shared" si="10"/>
        <v>0.37000000000000016</v>
      </c>
      <c r="I45" s="1">
        <f t="shared" si="11"/>
        <v>0.71536546522083888</v>
      </c>
      <c r="J45" s="1">
        <f t="shared" si="12"/>
        <v>0.39041743289459474</v>
      </c>
      <c r="K45" s="1">
        <f t="shared" si="13"/>
        <v>1.9027053672009573</v>
      </c>
      <c r="L45" s="1">
        <f t="shared" si="14"/>
        <v>37.454830063010981</v>
      </c>
      <c r="M45" s="1">
        <f t="shared" si="4"/>
        <v>135.14591804975444</v>
      </c>
      <c r="N45" s="1">
        <f t="shared" si="5"/>
        <v>135.14591804975444</v>
      </c>
      <c r="O45" s="1">
        <f t="shared" si="15"/>
        <v>0.24229524171814973</v>
      </c>
      <c r="P45" s="1">
        <f t="shared" si="16"/>
        <v>257.48162064788585</v>
      </c>
      <c r="Q45" s="1">
        <f t="shared" si="6"/>
        <v>686</v>
      </c>
      <c r="R45" s="1">
        <f t="shared" si="17"/>
        <v>257.48162064788585</v>
      </c>
      <c r="S45" s="1">
        <f t="shared" si="7"/>
        <v>3.6783088663983694</v>
      </c>
      <c r="T45" s="1">
        <f t="shared" si="1"/>
        <v>1.2809595973271655</v>
      </c>
      <c r="U45" s="1">
        <f t="shared" si="2"/>
        <v>6.2427763097863407</v>
      </c>
      <c r="V45" s="1">
        <f t="shared" si="3"/>
        <v>12.068531390653051</v>
      </c>
      <c r="W45" s="1" t="e">
        <f t="shared" si="8"/>
        <v>#N/A</v>
      </c>
      <c r="X45" s="1" t="e">
        <f t="shared" si="9"/>
        <v>#N/A</v>
      </c>
    </row>
    <row r="46" spans="8:24" x14ac:dyDescent="0.3">
      <c r="H46" s="23">
        <f t="shared" si="10"/>
        <v>0.38000000000000017</v>
      </c>
      <c r="I46" s="1">
        <f t="shared" si="11"/>
        <v>0.72046853820894707</v>
      </c>
      <c r="J46" s="1">
        <f t="shared" si="12"/>
        <v>0.40962840200992423</v>
      </c>
      <c r="K46" s="1">
        <f t="shared" si="13"/>
        <v>1.939488455864941</v>
      </c>
      <c r="L46" s="1">
        <f t="shared" si="14"/>
        <v>38.178906611514599</v>
      </c>
      <c r="M46" s="1">
        <f t="shared" si="4"/>
        <v>133.13765594585215</v>
      </c>
      <c r="N46" s="1">
        <f t="shared" si="5"/>
        <v>133.13765594585215</v>
      </c>
      <c r="O46" s="1">
        <f t="shared" si="15"/>
        <v>0.23838202639487946</v>
      </c>
      <c r="P46" s="1">
        <f t="shared" si="16"/>
        <v>253.32313608073184</v>
      </c>
      <c r="Q46" s="1">
        <f t="shared" si="6"/>
        <v>686</v>
      </c>
      <c r="R46" s="1">
        <f t="shared" si="17"/>
        <v>253.32313608073184</v>
      </c>
      <c r="S46" s="1">
        <f t="shared" si="7"/>
        <v>3.6189019440104548</v>
      </c>
      <c r="T46" s="1">
        <f t="shared" si="1"/>
        <v>1.3439907869945615</v>
      </c>
      <c r="U46" s="1">
        <f t="shared" si="2"/>
        <v>6.3634616236928716</v>
      </c>
      <c r="V46" s="1">
        <f t="shared" si="3"/>
        <v>11.873617278298303</v>
      </c>
      <c r="W46" s="1" t="e">
        <f t="shared" si="8"/>
        <v>#N/A</v>
      </c>
      <c r="X46" s="1" t="e">
        <f t="shared" si="9"/>
        <v>#N/A</v>
      </c>
    </row>
    <row r="47" spans="8:24" x14ac:dyDescent="0.3">
      <c r="H47" s="23">
        <f t="shared" si="10"/>
        <v>0.39000000000000018</v>
      </c>
      <c r="I47" s="1">
        <f t="shared" si="11"/>
        <v>0.72548919346870289</v>
      </c>
      <c r="J47" s="1">
        <f t="shared" si="12"/>
        <v>0.42920423166577415</v>
      </c>
      <c r="K47" s="1">
        <f t="shared" si="13"/>
        <v>1.9756774753050454</v>
      </c>
      <c r="L47" s="1">
        <f t="shared" si="14"/>
        <v>38.8912888839576</v>
      </c>
      <c r="M47" s="1">
        <f t="shared" si="4"/>
        <v>131.16182849474123</v>
      </c>
      <c r="N47" s="1">
        <f t="shared" si="5"/>
        <v>131.16182849474123</v>
      </c>
      <c r="O47" s="1">
        <f t="shared" si="15"/>
        <v>0.23453201187595718</v>
      </c>
      <c r="P47" s="1">
        <f t="shared" si="16"/>
        <v>249.23181356519052</v>
      </c>
      <c r="Q47" s="1">
        <f t="shared" si="6"/>
        <v>686</v>
      </c>
      <c r="R47" s="1">
        <f t="shared" si="17"/>
        <v>249.23181356519052</v>
      </c>
      <c r="S47" s="1">
        <f t="shared" si="7"/>
        <v>3.5604544795027215</v>
      </c>
      <c r="T47" s="1">
        <f t="shared" si="1"/>
        <v>1.408219084095405</v>
      </c>
      <c r="U47" s="1">
        <f t="shared" si="2"/>
        <v>6.4821977964758544</v>
      </c>
      <c r="V47" s="1">
        <f t="shared" si="3"/>
        <v>11.68185114724843</v>
      </c>
      <c r="W47" s="1" t="e">
        <f t="shared" si="8"/>
        <v>#N/A</v>
      </c>
      <c r="X47" s="1" t="e">
        <f t="shared" si="9"/>
        <v>#N/A</v>
      </c>
    </row>
    <row r="48" spans="8:24" x14ac:dyDescent="0.3">
      <c r="H48" s="23">
        <f t="shared" si="10"/>
        <v>0.40000000000000019</v>
      </c>
      <c r="I48" s="1">
        <f t="shared" si="11"/>
        <v>0.73042876209648033</v>
      </c>
      <c r="J48" s="1">
        <f t="shared" si="12"/>
        <v>0.44913902914279974</v>
      </c>
      <c r="K48" s="1">
        <f t="shared" si="13"/>
        <v>2.0112820201000727</v>
      </c>
      <c r="L48" s="1">
        <f t="shared" si="14"/>
        <v>39.592165750001442</v>
      </c>
      <c r="M48" s="1">
        <f t="shared" si="4"/>
        <v>129.21791185707841</v>
      </c>
      <c r="N48" s="1">
        <f t="shared" si="5"/>
        <v>129.21791185707841</v>
      </c>
      <c r="O48" s="1">
        <f t="shared" si="15"/>
        <v>0.23074417743000467</v>
      </c>
      <c r="P48" s="1">
        <f t="shared" si="16"/>
        <v>245.20656839333421</v>
      </c>
      <c r="Q48" s="1">
        <f t="shared" si="6"/>
        <v>686</v>
      </c>
      <c r="R48" s="1">
        <f t="shared" si="17"/>
        <v>245.20656839333421</v>
      </c>
      <c r="S48" s="1">
        <f t="shared" si="7"/>
        <v>3.5029509770476315</v>
      </c>
      <c r="T48" s="1">
        <f t="shared" si="1"/>
        <v>1.4736251546175261</v>
      </c>
      <c r="U48" s="1">
        <f t="shared" si="2"/>
        <v>6.5990163079483386</v>
      </c>
      <c r="V48" s="1">
        <f t="shared" si="3"/>
        <v>11.49318215569328</v>
      </c>
      <c r="W48" s="1" t="e">
        <f t="shared" si="8"/>
        <v>#N/A</v>
      </c>
      <c r="X48" s="1" t="e">
        <f t="shared" si="9"/>
        <v>#N/A</v>
      </c>
    </row>
    <row r="49" spans="8:24" x14ac:dyDescent="0.3">
      <c r="H49" s="23">
        <f t="shared" si="10"/>
        <v>0.4100000000000002</v>
      </c>
      <c r="I49" s="1">
        <f t="shared" si="11"/>
        <v>0.73528855369063739</v>
      </c>
      <c r="J49" s="1">
        <f t="shared" si="12"/>
        <v>0.46942699689265288</v>
      </c>
      <c r="K49" s="1">
        <f t="shared" si="13"/>
        <v>2.046311529870549</v>
      </c>
      <c r="L49" s="1">
        <f t="shared" si="14"/>
        <v>40.28172302894783</v>
      </c>
      <c r="M49" s="1">
        <f t="shared" si="4"/>
        <v>127.30539065384389</v>
      </c>
      <c r="N49" s="1">
        <f t="shared" si="5"/>
        <v>127.30539065384389</v>
      </c>
      <c r="O49" s="1">
        <f t="shared" si="15"/>
        <v>0.22701751881107538</v>
      </c>
      <c r="P49" s="1">
        <f t="shared" si="16"/>
        <v>241.24633337592712</v>
      </c>
      <c r="Q49" s="1">
        <f t="shared" si="6"/>
        <v>686</v>
      </c>
      <c r="R49" s="1">
        <f t="shared" si="17"/>
        <v>241.24633337592712</v>
      </c>
      <c r="S49" s="1">
        <f t="shared" si="7"/>
        <v>3.4463761910846733</v>
      </c>
      <c r="T49" s="1">
        <f t="shared" si="1"/>
        <v>1.5401899768047942</v>
      </c>
      <c r="U49" s="1">
        <f t="shared" si="2"/>
        <v>6.7139481295052716</v>
      </c>
      <c r="V49" s="1">
        <f t="shared" si="3"/>
        <v>11.307560282948813</v>
      </c>
      <c r="W49" s="1" t="e">
        <f t="shared" si="8"/>
        <v>#N/A</v>
      </c>
      <c r="X49" s="1" t="e">
        <f t="shared" si="9"/>
        <v>#N/A</v>
      </c>
    </row>
    <row r="50" spans="8:24" x14ac:dyDescent="0.3">
      <c r="H50" s="23">
        <f t="shared" si="10"/>
        <v>0.42000000000000021</v>
      </c>
      <c r="I50" s="1">
        <f t="shared" si="11"/>
        <v>0.7400698566987236</v>
      </c>
      <c r="J50" s="1">
        <f t="shared" si="12"/>
        <v>0.49006243100091257</v>
      </c>
      <c r="K50" s="1">
        <f t="shared" si="13"/>
        <v>2.0807752917813955</v>
      </c>
      <c r="L50" s="1">
        <f t="shared" si="14"/>
        <v>40.960143539003859</v>
      </c>
      <c r="M50" s="1">
        <f t="shared" si="4"/>
        <v>125.42375782970217</v>
      </c>
      <c r="N50" s="1">
        <f t="shared" si="5"/>
        <v>125.42375782970217</v>
      </c>
      <c r="O50" s="1">
        <f t="shared" si="15"/>
        <v>0.22335104799240482</v>
      </c>
      <c r="P50" s="1">
        <f t="shared" si="16"/>
        <v>237.35005855948791</v>
      </c>
      <c r="Q50" s="1">
        <f t="shared" si="6"/>
        <v>686</v>
      </c>
      <c r="R50" s="1">
        <f t="shared" si="17"/>
        <v>237.35005855948791</v>
      </c>
      <c r="S50" s="1">
        <f t="shared" si="7"/>
        <v>3.3907151222783987</v>
      </c>
      <c r="T50" s="1">
        <f t="shared" si="1"/>
        <v>1.6078948361139942</v>
      </c>
      <c r="U50" s="1">
        <f t="shared" si="2"/>
        <v>6.8270237323347587</v>
      </c>
      <c r="V50" s="1">
        <f t="shared" si="3"/>
        <v>11.124936316195427</v>
      </c>
      <c r="W50" s="1" t="e">
        <f t="shared" si="8"/>
        <v>#N/A</v>
      </c>
      <c r="X50" s="1" t="e">
        <f t="shared" si="9"/>
        <v>#N/A</v>
      </c>
    </row>
    <row r="51" spans="8:24" x14ac:dyDescent="0.3">
      <c r="H51" s="23">
        <f t="shared" si="10"/>
        <v>0.43000000000000022</v>
      </c>
      <c r="I51" s="1">
        <f t="shared" si="11"/>
        <v>0.74477393875907794</v>
      </c>
      <c r="J51" s="1">
        <f t="shared" si="12"/>
        <v>0.51103971967484041</v>
      </c>
      <c r="K51" s="1">
        <f t="shared" si="13"/>
        <v>2.1146824430041797</v>
      </c>
      <c r="L51" s="1">
        <f t="shared" si="14"/>
        <v>41.627607145751583</v>
      </c>
      <c r="M51" s="1">
        <f t="shared" si="4"/>
        <v>123.57251451856942</v>
      </c>
      <c r="N51" s="1">
        <f t="shared" si="5"/>
        <v>123.57251451856942</v>
      </c>
      <c r="O51" s="1">
        <f t="shared" si="15"/>
        <v>0.21974379290446105</v>
      </c>
      <c r="P51" s="1">
        <f t="shared" si="16"/>
        <v>233.51671094792187</v>
      </c>
      <c r="Q51" s="1">
        <f t="shared" si="6"/>
        <v>686</v>
      </c>
      <c r="R51" s="1">
        <f t="shared" si="17"/>
        <v>233.51671094792187</v>
      </c>
      <c r="S51" s="1">
        <f t="shared" si="7"/>
        <v>3.335953013541741</v>
      </c>
      <c r="T51" s="1">
        <f t="shared" si="1"/>
        <v>1.6767213202531515</v>
      </c>
      <c r="U51" s="1">
        <f t="shared" si="2"/>
        <v>6.9382730954967142</v>
      </c>
      <c r="V51" s="1">
        <f t="shared" si="3"/>
        <v>10.945261837430452</v>
      </c>
      <c r="W51" s="1" t="e">
        <f t="shared" si="8"/>
        <v>#N/A</v>
      </c>
      <c r="X51" s="1" t="e">
        <f t="shared" si="9"/>
        <v>#N/A</v>
      </c>
    </row>
    <row r="52" spans="8:24" x14ac:dyDescent="0.3">
      <c r="H52" s="23">
        <f t="shared" si="10"/>
        <v>0.44000000000000022</v>
      </c>
      <c r="I52" s="1">
        <f t="shared" si="11"/>
        <v>0.74940204703690971</v>
      </c>
      <c r="J52" s="1">
        <f t="shared" si="12"/>
        <v>0.53235334175555926</v>
      </c>
      <c r="K52" s="1">
        <f t="shared" si="13"/>
        <v>2.148041973139597</v>
      </c>
      <c r="L52" s="1">
        <f t="shared" si="14"/>
        <v>42.284290809834602</v>
      </c>
      <c r="M52" s="1">
        <f t="shared" si="4"/>
        <v>121.75116991135197</v>
      </c>
      <c r="N52" s="1">
        <f t="shared" si="5"/>
        <v>121.75116991135197</v>
      </c>
      <c r="O52" s="1">
        <f t="shared" si="15"/>
        <v>0.21619479717722517</v>
      </c>
      <c r="P52" s="1">
        <f t="shared" si="16"/>
        <v>229.74527422864821</v>
      </c>
      <c r="Q52" s="1">
        <f t="shared" si="6"/>
        <v>686</v>
      </c>
      <c r="R52" s="1">
        <f t="shared" si="17"/>
        <v>229.74527422864821</v>
      </c>
      <c r="S52" s="1">
        <f t="shared" si="7"/>
        <v>3.2820753461235461</v>
      </c>
      <c r="T52" s="1">
        <f t="shared" si="1"/>
        <v>1.74665131429999</v>
      </c>
      <c r="U52" s="1">
        <f t="shared" si="2"/>
        <v>7.0477257138710181</v>
      </c>
      <c r="V52" s="1">
        <f t="shared" si="3"/>
        <v>10.768489210631355</v>
      </c>
      <c r="W52" s="1" t="e">
        <f t="shared" si="8"/>
        <v>#N/A</v>
      </c>
      <c r="X52" s="1" t="e">
        <f t="shared" si="9"/>
        <v>#N/A</v>
      </c>
    </row>
    <row r="53" spans="8:24" x14ac:dyDescent="0.3">
      <c r="H53" s="23">
        <f t="shared" si="10"/>
        <v>0.45000000000000023</v>
      </c>
      <c r="I53" s="1">
        <f t="shared" si="11"/>
        <v>0.75395540855495335</v>
      </c>
      <c r="J53" s="1">
        <f t="shared" si="12"/>
        <v>0.55399786525426131</v>
      </c>
      <c r="K53" s="1">
        <f t="shared" si="13"/>
        <v>2.1808627266008322</v>
      </c>
      <c r="L53" s="1">
        <f t="shared" si="14"/>
        <v>42.930368633874664</v>
      </c>
      <c r="M53" s="1">
        <f t="shared" si="4"/>
        <v>119.95924112582131</v>
      </c>
      <c r="N53" s="1">
        <f t="shared" si="5"/>
        <v>119.95924112582131</v>
      </c>
      <c r="O53" s="1">
        <f t="shared" si="15"/>
        <v>0.21270311988663543</v>
      </c>
      <c r="P53" s="1">
        <f t="shared" si="16"/>
        <v>226.0347485031522</v>
      </c>
      <c r="Q53" s="1">
        <f t="shared" si="6"/>
        <v>686</v>
      </c>
      <c r="R53" s="1">
        <f t="shared" si="17"/>
        <v>226.0347485031522</v>
      </c>
      <c r="S53" s="1">
        <f t="shared" si="7"/>
        <v>3.229067835759317</v>
      </c>
      <c r="T53" s="1">
        <f t="shared" si="1"/>
        <v>1.8176669958992315</v>
      </c>
      <c r="U53" s="1">
        <f t="shared" si="2"/>
        <v>7.1554106059773313</v>
      </c>
      <c r="V53" s="1">
        <f t="shared" si="3"/>
        <v>10.59457156912632</v>
      </c>
      <c r="W53" s="1" t="e">
        <f t="shared" si="8"/>
        <v>#N/A</v>
      </c>
      <c r="X53" s="1" t="e">
        <f t="shared" si="9"/>
        <v>#N/A</v>
      </c>
    </row>
    <row r="54" spans="8:24" x14ac:dyDescent="0.3">
      <c r="H54" s="23">
        <f t="shared" si="10"/>
        <v>0.46000000000000024</v>
      </c>
      <c r="I54" s="1">
        <f t="shared" si="11"/>
        <v>0.75843523051878003</v>
      </c>
      <c r="J54" s="1">
        <f t="shared" si="12"/>
        <v>0.57596794591205758</v>
      </c>
      <c r="K54" s="1">
        <f t="shared" si="13"/>
        <v>2.2131534049584256</v>
      </c>
      <c r="L54" s="1">
        <f t="shared" si="14"/>
        <v>43.566011908630436</v>
      </c>
      <c r="M54" s="1">
        <f t="shared" si="4"/>
        <v>118.19625307858998</v>
      </c>
      <c r="N54" s="1">
        <f t="shared" si="5"/>
        <v>118.19625307858998</v>
      </c>
      <c r="O54" s="1">
        <f t="shared" si="15"/>
        <v>0.20926783530512466</v>
      </c>
      <c r="P54" s="1">
        <f t="shared" si="16"/>
        <v>222.38415002188691</v>
      </c>
      <c r="Q54" s="1">
        <f t="shared" si="6"/>
        <v>686</v>
      </c>
      <c r="R54" s="1">
        <f t="shared" si="17"/>
        <v>222.38415002188691</v>
      </c>
      <c r="S54" s="1">
        <f t="shared" si="7"/>
        <v>3.1769164288840988</v>
      </c>
      <c r="T54" s="1">
        <f t="shared" si="1"/>
        <v>1.8897508305374611</v>
      </c>
      <c r="U54" s="1">
        <f t="shared" si="2"/>
        <v>7.261356321668595</v>
      </c>
      <c r="V54" s="1">
        <f t="shared" si="3"/>
        <v>10.423462803168729</v>
      </c>
      <c r="W54" s="1" t="e">
        <f t="shared" si="8"/>
        <v>#N/A</v>
      </c>
      <c r="X54" s="1" t="e">
        <f t="shared" si="9"/>
        <v>#N/A</v>
      </c>
    </row>
    <row r="55" spans="8:24" x14ac:dyDescent="0.3">
      <c r="H55" s="23">
        <f t="shared" si="10"/>
        <v>0.47000000000000025</v>
      </c>
      <c r="I55" s="1">
        <f t="shared" si="11"/>
        <v>0.76284270063685833</v>
      </c>
      <c r="J55" s="1">
        <f t="shared" si="12"/>
        <v>0.59825832578308602</v>
      </c>
      <c r="K55" s="1">
        <f t="shared" si="13"/>
        <v>2.2449225692472665</v>
      </c>
      <c r="L55" s="1">
        <f t="shared" si="14"/>
        <v>44.191389158410772</v>
      </c>
      <c r="M55" s="1">
        <f t="shared" si="4"/>
        <v>116.46173835915592</v>
      </c>
      <c r="N55" s="1">
        <f t="shared" si="5"/>
        <v>116.46173835915592</v>
      </c>
      <c r="O55" s="1">
        <f t="shared" si="15"/>
        <v>0.20588803265618844</v>
      </c>
      <c r="P55" s="1">
        <f t="shared" si="16"/>
        <v>218.79251092345831</v>
      </c>
      <c r="Q55" s="1">
        <f t="shared" si="6"/>
        <v>686</v>
      </c>
      <c r="R55" s="1">
        <f t="shared" si="17"/>
        <v>218.79251092345831</v>
      </c>
      <c r="S55" s="1">
        <f t="shared" si="7"/>
        <v>3.1256072989065471</v>
      </c>
      <c r="T55" s="1">
        <f t="shared" si="1"/>
        <v>1.9628855668943053</v>
      </c>
      <c r="U55" s="1">
        <f t="shared" si="2"/>
        <v>7.3655909497002821</v>
      </c>
      <c r="V55" s="1">
        <f t="shared" si="3"/>
        <v>10.255117547712381</v>
      </c>
      <c r="W55" s="1" t="e">
        <f t="shared" si="8"/>
        <v>#N/A</v>
      </c>
      <c r="X55" s="1" t="e">
        <f t="shared" si="9"/>
        <v>#N/A</v>
      </c>
    </row>
    <row r="56" spans="8:24" x14ac:dyDescent="0.3">
      <c r="H56" s="23">
        <f t="shared" si="10"/>
        <v>0.48000000000000026</v>
      </c>
      <c r="I56" s="1">
        <f t="shared" si="11"/>
        <v>0.76717898743544355</v>
      </c>
      <c r="J56" s="1">
        <f t="shared" si="12"/>
        <v>0.62086383184050398</v>
      </c>
      <c r="K56" s="1">
        <f t="shared" si="13"/>
        <v>2.2761786422363319</v>
      </c>
      <c r="L56" s="1">
        <f t="shared" si="14"/>
        <v>44.80666618575458</v>
      </c>
      <c r="M56" s="1">
        <f t="shared" si="4"/>
        <v>114.75523710598068</v>
      </c>
      <c r="N56" s="1">
        <f t="shared" si="5"/>
        <v>114.75523710598068</v>
      </c>
      <c r="O56" s="1">
        <f t="shared" si="15"/>
        <v>0.20256281587291636</v>
      </c>
      <c r="P56" s="1">
        <f t="shared" si="16"/>
        <v>215.25887897802207</v>
      </c>
      <c r="Q56" s="1">
        <f t="shared" si="6"/>
        <v>686</v>
      </c>
      <c r="R56" s="1">
        <f t="shared" si="17"/>
        <v>215.25887897802207</v>
      </c>
      <c r="S56" s="1">
        <f t="shared" si="7"/>
        <v>3.0751268425431726</v>
      </c>
      <c r="T56" s="1">
        <f t="shared" si="1"/>
        <v>2.0370542322686935</v>
      </c>
      <c r="U56" s="1">
        <f t="shared" si="2"/>
        <v>7.4681421251774056</v>
      </c>
      <c r="V56" s="1">
        <f t="shared" si="3"/>
        <v>10.08949117038415</v>
      </c>
      <c r="W56" s="1" t="e">
        <f t="shared" si="8"/>
        <v>#N/A</v>
      </c>
      <c r="X56" s="1" t="e">
        <f t="shared" si="9"/>
        <v>#N/A</v>
      </c>
    </row>
    <row r="57" spans="8:24" x14ac:dyDescent="0.3">
      <c r="H57" s="23">
        <f t="shared" si="10"/>
        <v>0.49000000000000027</v>
      </c>
      <c r="I57" s="1">
        <f t="shared" si="11"/>
        <v>0.7714452405683816</v>
      </c>
      <c r="J57" s="1">
        <f t="shared" si="12"/>
        <v>0.64377937460499446</v>
      </c>
      <c r="K57" s="1">
        <f t="shared" si="13"/>
        <v>2.3069299106617636</v>
      </c>
      <c r="L57" s="1">
        <f t="shared" si="14"/>
        <v>45.412006115389062</v>
      </c>
      <c r="M57" s="1">
        <f t="shared" si="4"/>
        <v>113.07629688456876</v>
      </c>
      <c r="N57" s="1">
        <f t="shared" si="5"/>
        <v>113.07629688456876</v>
      </c>
      <c r="O57" s="1">
        <f t="shared" si="15"/>
        <v>0.19929130336042236</v>
      </c>
      <c r="P57" s="1">
        <f t="shared" si="16"/>
        <v>211.78231733482372</v>
      </c>
      <c r="Q57" s="1">
        <f t="shared" si="6"/>
        <v>686</v>
      </c>
      <c r="R57" s="1">
        <f t="shared" si="17"/>
        <v>211.78231733482372</v>
      </c>
      <c r="S57" s="1">
        <f t="shared" si="7"/>
        <v>3.0254616762117674</v>
      </c>
      <c r="T57" s="1">
        <f t="shared" si="1"/>
        <v>2.1122401280789869</v>
      </c>
      <c r="U57" s="1">
        <f t="shared" si="2"/>
        <v>7.5690370368812463</v>
      </c>
      <c r="V57" s="1">
        <f t="shared" si="3"/>
        <v>9.9265397596508098</v>
      </c>
      <c r="W57" s="1" t="e">
        <f t="shared" si="8"/>
        <v>#N/A</v>
      </c>
      <c r="X57" s="1" t="e">
        <f t="shared" si="9"/>
        <v>#N/A</v>
      </c>
    </row>
    <row r="58" spans="8:24" x14ac:dyDescent="0.3">
      <c r="H58" s="23">
        <f t="shared" si="10"/>
        <v>0.50000000000000022</v>
      </c>
      <c r="I58" s="1">
        <f t="shared" si="11"/>
        <v>0.77564259112191136</v>
      </c>
      <c r="J58" s="1">
        <f t="shared" si="12"/>
        <v>0.66699994679542263</v>
      </c>
      <c r="K58" s="1">
        <f t="shared" si="13"/>
        <v>2.3371845274238812</v>
      </c>
      <c r="L58" s="1">
        <f t="shared" si="14"/>
        <v>46.00756943747799</v>
      </c>
      <c r="M58" s="1">
        <f t="shared" si="4"/>
        <v>111.42447256751667</v>
      </c>
      <c r="N58" s="1">
        <f t="shared" si="5"/>
        <v>111.42447256751667</v>
      </c>
      <c r="O58" s="1">
        <f t="shared" si="15"/>
        <v>0.19607262776211354</v>
      </c>
      <c r="P58" s="1">
        <f t="shared" si="16"/>
        <v>208.36190427381774</v>
      </c>
      <c r="Q58" s="1">
        <f t="shared" si="6"/>
        <v>686</v>
      </c>
      <c r="R58" s="1">
        <f t="shared" si="17"/>
        <v>208.36190427381774</v>
      </c>
      <c r="S58" s="1">
        <f t="shared" si="7"/>
        <v>2.9765986324831104</v>
      </c>
      <c r="T58" s="1">
        <f t="shared" si="1"/>
        <v>2.1884268254357817</v>
      </c>
      <c r="U58" s="1">
        <f t="shared" si="2"/>
        <v>7.6683024344777548</v>
      </c>
      <c r="V58" s="1">
        <f t="shared" si="3"/>
        <v>9.766220113177086</v>
      </c>
      <c r="W58" s="1" t="e">
        <f t="shared" si="8"/>
        <v>#N/A</v>
      </c>
      <c r="X58" s="1" t="e">
        <f t="shared" si="9"/>
        <v>#N/A</v>
      </c>
    </row>
    <row r="59" spans="8:24" x14ac:dyDescent="0.3">
      <c r="H59" s="23">
        <f t="shared" si="10"/>
        <v>0.51000000000000023</v>
      </c>
      <c r="I59" s="1">
        <f t="shared" si="11"/>
        <v>0.77977215191454163</v>
      </c>
      <c r="J59" s="1">
        <f t="shared" si="12"/>
        <v>0.69052062200128561</v>
      </c>
      <c r="K59" s="1">
        <f t="shared" si="13"/>
        <v>2.3669505137487121</v>
      </c>
      <c r="L59" s="1">
        <f t="shared" si="14"/>
        <v>46.593514050171514</v>
      </c>
      <c r="M59" s="1">
        <f t="shared" si="4"/>
        <v>109.79932621649903</v>
      </c>
      <c r="N59" s="1">
        <f t="shared" si="5"/>
        <v>109.79932621649903</v>
      </c>
      <c r="O59" s="1">
        <f t="shared" si="15"/>
        <v>0.19290593572973308</v>
      </c>
      <c r="P59" s="1">
        <f t="shared" si="16"/>
        <v>204.99673296129754</v>
      </c>
      <c r="Q59" s="1">
        <f t="shared" si="6"/>
        <v>686</v>
      </c>
      <c r="R59" s="1">
        <f t="shared" si="17"/>
        <v>204.99673296129754</v>
      </c>
      <c r="S59" s="1">
        <f t="shared" si="7"/>
        <v>2.9285247565899648</v>
      </c>
      <c r="T59" s="1">
        <f t="shared" si="1"/>
        <v>2.2655981607862183</v>
      </c>
      <c r="U59" s="1">
        <f t="shared" si="2"/>
        <v>7.7659646356095244</v>
      </c>
      <c r="V59" s="1">
        <f t="shared" si="3"/>
        <v>9.6084897263716744</v>
      </c>
      <c r="W59" s="1" t="e">
        <f t="shared" si="8"/>
        <v>#N/A</v>
      </c>
      <c r="X59" s="1" t="e">
        <f t="shared" si="9"/>
        <v>#N/A</v>
      </c>
    </row>
    <row r="60" spans="8:24" x14ac:dyDescent="0.3">
      <c r="H60" s="23">
        <f t="shared" si="10"/>
        <v>0.52000000000000024</v>
      </c>
      <c r="I60" s="1">
        <f t="shared" si="11"/>
        <v>0.78383501779208575</v>
      </c>
      <c r="J60" s="1">
        <f t="shared" si="12"/>
        <v>0.71433655337660218</v>
      </c>
      <c r="K60" s="1">
        <f t="shared" si="13"/>
        <v>2.3962357613146117</v>
      </c>
      <c r="L60" s="1">
        <f t="shared" si="14"/>
        <v>47.169995301468752</v>
      </c>
      <c r="M60" s="1">
        <f t="shared" si="4"/>
        <v>108.20042696616008</v>
      </c>
      <c r="N60" s="1">
        <f t="shared" si="5"/>
        <v>108.20042696616008</v>
      </c>
      <c r="O60" s="1">
        <f t="shared" si="15"/>
        <v>0.18979038769711629</v>
      </c>
      <c r="P60" s="1">
        <f t="shared" si="16"/>
        <v>201.68591120947107</v>
      </c>
      <c r="Q60" s="1">
        <f t="shared" si="6"/>
        <v>686</v>
      </c>
      <c r="R60" s="1">
        <f t="shared" si="17"/>
        <v>201.68591120947107</v>
      </c>
      <c r="S60" s="1">
        <f t="shared" si="7"/>
        <v>2.881227302992444</v>
      </c>
      <c r="T60" s="1">
        <f t="shared" si="1"/>
        <v>2.3437382316286319</v>
      </c>
      <c r="U60" s="1">
        <f t="shared" si="2"/>
        <v>7.8620495328732414</v>
      </c>
      <c r="V60" s="1">
        <f t="shared" si="3"/>
        <v>9.4533067811182097</v>
      </c>
      <c r="W60" s="1" t="e">
        <f t="shared" si="8"/>
        <v>#N/A</v>
      </c>
      <c r="X60" s="1" t="e">
        <f t="shared" si="9"/>
        <v>#N/A</v>
      </c>
    </row>
    <row r="61" spans="8:24" x14ac:dyDescent="0.3">
      <c r="H61" s="23">
        <f t="shared" si="10"/>
        <v>0.53000000000000025</v>
      </c>
      <c r="I61" s="1">
        <f t="shared" si="11"/>
        <v>0.78783226591793321</v>
      </c>
      <c r="J61" s="1">
        <f t="shared" si="12"/>
        <v>0.73844297235489798</v>
      </c>
      <c r="K61" s="1">
        <f t="shared" si="13"/>
        <v>2.425048034344536</v>
      </c>
      <c r="L61" s="1">
        <f t="shared" si="14"/>
        <v>47.737166030404268</v>
      </c>
      <c r="M61" s="1">
        <f t="shared" si="4"/>
        <v>106.62735090988159</v>
      </c>
      <c r="N61" s="1">
        <f t="shared" si="5"/>
        <v>106.62735090988159</v>
      </c>
      <c r="O61" s="1">
        <f t="shared" si="15"/>
        <v>0.18672515765760245</v>
      </c>
      <c r="P61" s="1">
        <f t="shared" si="16"/>
        <v>198.42856123992158</v>
      </c>
      <c r="Q61" s="1">
        <f t="shared" si="6"/>
        <v>686</v>
      </c>
      <c r="R61" s="1">
        <f t="shared" si="17"/>
        <v>198.42856123992158</v>
      </c>
      <c r="S61" s="1">
        <f t="shared" si="7"/>
        <v>2.8346937319988799</v>
      </c>
      <c r="T61" s="1">
        <f t="shared" si="1"/>
        <v>2.4228313922964202</v>
      </c>
      <c r="U61" s="1">
        <f t="shared" si="2"/>
        <v>7.9565826006844231</v>
      </c>
      <c r="V61" s="1">
        <f t="shared" si="3"/>
        <v>9.3006301346883244</v>
      </c>
      <c r="W61" s="1" t="e">
        <f t="shared" si="8"/>
        <v>#N/A</v>
      </c>
      <c r="X61" s="1" t="e">
        <f t="shared" si="9"/>
        <v>#N/A</v>
      </c>
    </row>
    <row r="62" spans="8:24" x14ac:dyDescent="0.3">
      <c r="H62" s="23">
        <f t="shared" si="10"/>
        <v>0.54000000000000026</v>
      </c>
      <c r="I62" s="1">
        <f t="shared" si="11"/>
        <v>0.79176495605862929</v>
      </c>
      <c r="J62" s="1">
        <f t="shared" si="12"/>
        <v>0.76283518738494327</v>
      </c>
      <c r="K62" s="1">
        <f t="shared" si="13"/>
        <v>2.4533949716645247</v>
      </c>
      <c r="L62" s="1">
        <f t="shared" si="14"/>
        <v>48.295176607569395</v>
      </c>
      <c r="M62" s="1">
        <f t="shared" si="4"/>
        <v>105.07968098739425</v>
      </c>
      <c r="N62" s="1">
        <f t="shared" si="5"/>
        <v>105.07968098739425</v>
      </c>
      <c r="O62" s="1">
        <f t="shared" si="15"/>
        <v>0.18370943294503947</v>
      </c>
      <c r="P62" s="1">
        <f t="shared" si="16"/>
        <v>195.22381945088611</v>
      </c>
      <c r="Q62" s="1">
        <f t="shared" si="6"/>
        <v>686</v>
      </c>
      <c r="R62" s="1">
        <f t="shared" si="17"/>
        <v>195.22381945088611</v>
      </c>
      <c r="S62" s="1">
        <f t="shared" si="7"/>
        <v>2.7889117064412301</v>
      </c>
      <c r="T62" s="1">
        <f t="shared" si="1"/>
        <v>2.5028622498099988</v>
      </c>
      <c r="U62" s="1">
        <f t="shared" si="2"/>
        <v>8.0495889020313065</v>
      </c>
      <c r="V62" s="1">
        <f t="shared" si="3"/>
        <v>9.1504193088336763</v>
      </c>
      <c r="W62" s="1" t="e">
        <f t="shared" si="8"/>
        <v>#N/A</v>
      </c>
      <c r="X62" s="1" t="e">
        <f t="shared" si="9"/>
        <v>#N/A</v>
      </c>
    </row>
    <row r="63" spans="8:24" x14ac:dyDescent="0.3">
      <c r="H63" s="23">
        <f t="shared" si="10"/>
        <v>0.55000000000000027</v>
      </c>
      <c r="I63" s="1">
        <f t="shared" si="11"/>
        <v>0.79563413086484758</v>
      </c>
      <c r="J63" s="1">
        <f t="shared" si="12"/>
        <v>0.7875085826869106</v>
      </c>
      <c r="K63" s="1">
        <f t="shared" si="13"/>
        <v>2.4812840887289371</v>
      </c>
      <c r="L63" s="1">
        <f t="shared" si="14"/>
        <v>48.84417497497909</v>
      </c>
      <c r="M63" s="1">
        <f t="shared" si="4"/>
        <v>103.55700687420605</v>
      </c>
      <c r="N63" s="1">
        <f t="shared" si="5"/>
        <v>103.55700687420605</v>
      </c>
      <c r="O63" s="1">
        <f t="shared" si="15"/>
        <v>0.18074241401832822</v>
      </c>
      <c r="P63" s="1">
        <f t="shared" si="16"/>
        <v>192.07083618829594</v>
      </c>
      <c r="Q63" s="1">
        <f t="shared" si="6"/>
        <v>686</v>
      </c>
      <c r="R63" s="1">
        <f t="shared" si="17"/>
        <v>192.07083618829594</v>
      </c>
      <c r="S63" s="1">
        <f t="shared" si="7"/>
        <v>2.7438690884042276</v>
      </c>
      <c r="T63" s="1">
        <f t="shared" si="1"/>
        <v>2.5838156597957536</v>
      </c>
      <c r="U63" s="1">
        <f t="shared" si="2"/>
        <v>8.1410930951196434</v>
      </c>
      <c r="V63" s="1">
        <f t="shared" si="3"/>
        <v>9.0026344790542705</v>
      </c>
      <c r="W63" s="1" t="e">
        <f t="shared" si="8"/>
        <v>#N/A</v>
      </c>
      <c r="X63" s="1" t="e">
        <f t="shared" si="9"/>
        <v>#N/A</v>
      </c>
    </row>
    <row r="64" spans="8:24" x14ac:dyDescent="0.3">
      <c r="H64" s="23">
        <f t="shared" si="10"/>
        <v>0.56000000000000028</v>
      </c>
      <c r="I64" s="1">
        <f t="shared" si="11"/>
        <v>0.79944081614781803</v>
      </c>
      <c r="J64" s="1">
        <f t="shared" si="12"/>
        <v>0.81245861702862021</v>
      </c>
      <c r="K64" s="1">
        <f t="shared" si="13"/>
        <v>2.5087227796129796</v>
      </c>
      <c r="L64" s="1">
        <f t="shared" si="14"/>
        <v>49.384306685294888</v>
      </c>
      <c r="M64" s="1">
        <f t="shared" si="4"/>
        <v>102.05892487281423</v>
      </c>
      <c r="N64" s="1">
        <f t="shared" si="5"/>
        <v>102.05892487281423</v>
      </c>
      <c r="O64" s="1">
        <f t="shared" si="15"/>
        <v>0.17782331424944314</v>
      </c>
      <c r="P64" s="1">
        <f t="shared" si="16"/>
        <v>188.96877552051069</v>
      </c>
      <c r="Q64" s="1">
        <f t="shared" si="6"/>
        <v>686</v>
      </c>
      <c r="R64" s="1">
        <f t="shared" si="17"/>
        <v>188.96877552051069</v>
      </c>
      <c r="S64" s="1">
        <f t="shared" si="7"/>
        <v>2.6995539360072955</v>
      </c>
      <c r="T64" s="1">
        <f t="shared" si="1"/>
        <v>2.665676722470903</v>
      </c>
      <c r="U64" s="1">
        <f t="shared" si="2"/>
        <v>8.2311194399101861</v>
      </c>
      <c r="V64" s="1">
        <f t="shared" si="3"/>
        <v>8.8572364640399375</v>
      </c>
      <c r="W64" s="1" t="e">
        <f t="shared" si="8"/>
        <v>#N/A</v>
      </c>
      <c r="X64" s="1" t="e">
        <f t="shared" si="9"/>
        <v>#N/A</v>
      </c>
    </row>
    <row r="65" spans="8:24" x14ac:dyDescent="0.3">
      <c r="H65" s="23">
        <f t="shared" si="10"/>
        <v>0.57000000000000028</v>
      </c>
      <c r="I65" s="1">
        <f t="shared" si="11"/>
        <v>0.80318602115129778</v>
      </c>
      <c r="J65" s="1">
        <f t="shared" si="12"/>
        <v>0.83768082252155041</v>
      </c>
      <c r="K65" s="1">
        <f t="shared" si="13"/>
        <v>2.5357183189730526</v>
      </c>
      <c r="L65" s="1">
        <f t="shared" si="14"/>
        <v>49.915714940414439</v>
      </c>
      <c r="M65" s="1">
        <f t="shared" si="4"/>
        <v>100.58503780567624</v>
      </c>
      <c r="N65" s="1">
        <f t="shared" si="5"/>
        <v>100.58503780567624</v>
      </c>
      <c r="O65" s="1">
        <f t="shared" si="15"/>
        <v>0.17495135971487963</v>
      </c>
      <c r="P65" s="1">
        <f t="shared" si="16"/>
        <v>185.91681501669422</v>
      </c>
      <c r="Q65" s="1">
        <f t="shared" si="6"/>
        <v>686</v>
      </c>
      <c r="R65" s="1">
        <f t="shared" si="17"/>
        <v>185.91681501669422</v>
      </c>
      <c r="S65" s="1">
        <f t="shared" si="7"/>
        <v>2.6559545002384888</v>
      </c>
      <c r="T65" s="1">
        <f t="shared" si="1"/>
        <v>2.7484307786932072</v>
      </c>
      <c r="U65" s="1">
        <f t="shared" si="2"/>
        <v>8.319691804550585</v>
      </c>
      <c r="V65" s="1">
        <f t="shared" si="3"/>
        <v>8.7141867152824819</v>
      </c>
      <c r="W65" s="1" t="e">
        <f t="shared" si="8"/>
        <v>#N/A</v>
      </c>
      <c r="X65" s="1" t="e">
        <f t="shared" si="9"/>
        <v>#N/A</v>
      </c>
    </row>
    <row r="66" spans="8:24" x14ac:dyDescent="0.3">
      <c r="H66" s="23">
        <f t="shared" si="10"/>
        <v>0.58000000000000029</v>
      </c>
      <c r="I66" s="1">
        <f t="shared" si="11"/>
        <v>0.80687073881914273</v>
      </c>
      <c r="J66" s="1">
        <f t="shared" si="12"/>
        <v>0.86317080343629293</v>
      </c>
      <c r="K66" s="1">
        <f t="shared" si="13"/>
        <v>2.5622778639754373</v>
      </c>
      <c r="L66" s="1">
        <f t="shared" si="14"/>
        <v>50.43854062943776</v>
      </c>
      <c r="M66" s="1">
        <f t="shared" si="4"/>
        <v>99.134954909907719</v>
      </c>
      <c r="N66" s="1">
        <f t="shared" si="5"/>
        <v>99.134954909907719</v>
      </c>
      <c r="O66" s="1">
        <f t="shared" si="15"/>
        <v>0.1721257889904671</v>
      </c>
      <c r="P66" s="1">
        <f t="shared" si="16"/>
        <v>182.91414552876731</v>
      </c>
      <c r="Q66" s="1">
        <f t="shared" si="6"/>
        <v>686</v>
      </c>
      <c r="R66" s="1">
        <f t="shared" si="17"/>
        <v>182.91414552876731</v>
      </c>
      <c r="S66" s="1">
        <f t="shared" si="7"/>
        <v>2.6130592218395328</v>
      </c>
      <c r="T66" s="1">
        <f t="shared" si="1"/>
        <v>2.8320634060744774</v>
      </c>
      <c r="U66" s="1">
        <f t="shared" si="2"/>
        <v>8.40683367170341</v>
      </c>
      <c r="V66" s="1">
        <f t="shared" si="3"/>
        <v>8.5734473068555079</v>
      </c>
      <c r="W66" s="1" t="e">
        <f t="shared" si="8"/>
        <v>#N/A</v>
      </c>
      <c r="X66" s="1" t="e">
        <f t="shared" si="9"/>
        <v>#N/A</v>
      </c>
    </row>
    <row r="67" spans="8:24" x14ac:dyDescent="0.3">
      <c r="H67" s="23">
        <f t="shared" si="10"/>
        <v>0.5900000000000003</v>
      </c>
      <c r="I67" s="1">
        <f t="shared" si="11"/>
        <v>0.81049594605856401</v>
      </c>
      <c r="J67" s="1">
        <f t="shared" si="12"/>
        <v>0.88892423503713924</v>
      </c>
      <c r="K67" s="1">
        <f t="shared" si="13"/>
        <v>2.5884084561938328</v>
      </c>
      <c r="L67" s="1">
        <f t="shared" si="14"/>
        <v>50.952922366020346</v>
      </c>
      <c r="M67" s="1">
        <f t="shared" si="4"/>
        <v>97.708291733682643</v>
      </c>
      <c r="N67" s="1">
        <f t="shared" si="5"/>
        <v>97.708291733682643</v>
      </c>
      <c r="O67" s="1">
        <f t="shared" si="15"/>
        <v>0.16934585294949853</v>
      </c>
      <c r="P67" s="1">
        <f t="shared" si="16"/>
        <v>179.95997097688451</v>
      </c>
      <c r="Q67" s="1">
        <f t="shared" si="6"/>
        <v>686</v>
      </c>
      <c r="R67" s="1">
        <f t="shared" si="17"/>
        <v>179.95997097688451</v>
      </c>
      <c r="S67" s="1">
        <f t="shared" si="7"/>
        <v>2.5708567282412074</v>
      </c>
      <c r="T67" s="1">
        <f t="shared" si="1"/>
        <v>2.9165604151568538</v>
      </c>
      <c r="U67" s="1">
        <f t="shared" si="2"/>
        <v>8.4925681447719654</v>
      </c>
      <c r="V67" s="1">
        <f t="shared" si="3"/>
        <v>8.434980925359401</v>
      </c>
      <c r="W67" s="1" t="e">
        <f t="shared" si="8"/>
        <v>#N/A</v>
      </c>
      <c r="X67" s="1" t="e">
        <f t="shared" si="9"/>
        <v>#N/A</v>
      </c>
    </row>
    <row r="68" spans="8:24" x14ac:dyDescent="0.3">
      <c r="H68" s="23">
        <f t="shared" si="10"/>
        <v>0.60000000000000031</v>
      </c>
      <c r="I68" s="1">
        <f t="shared" si="11"/>
        <v>0.81406260399912667</v>
      </c>
      <c r="J68" s="1">
        <f t="shared" si="12"/>
        <v>0.91493686243548966</v>
      </c>
      <c r="K68" s="1">
        <f t="shared" si="13"/>
        <v>2.6141170234762447</v>
      </c>
      <c r="L68" s="1">
        <f t="shared" si="14"/>
        <v>51.458996525122942</v>
      </c>
      <c r="M68" s="1">
        <f t="shared" si="4"/>
        <v>96.304670034305175</v>
      </c>
      <c r="N68" s="1">
        <f t="shared" si="5"/>
        <v>96.304670034305175</v>
      </c>
      <c r="O68" s="1">
        <f t="shared" si="15"/>
        <v>0.16661081456411764</v>
      </c>
      <c r="P68" s="1">
        <f t="shared" si="16"/>
        <v>177.05350813837265</v>
      </c>
      <c r="Q68" s="1">
        <f t="shared" si="6"/>
        <v>686</v>
      </c>
      <c r="R68" s="1">
        <f t="shared" si="17"/>
        <v>177.05350813837265</v>
      </c>
      <c r="S68" s="1">
        <f t="shared" si="7"/>
        <v>2.5293358305481806</v>
      </c>
      <c r="T68" s="1">
        <f t="shared" si="1"/>
        <v>3.0019078456508419</v>
      </c>
      <c r="U68" s="1">
        <f t="shared" si="2"/>
        <v>8.5769179540255589</v>
      </c>
      <c r="V68" s="1">
        <f t="shared" si="3"/>
        <v>8.29875086002858</v>
      </c>
      <c r="W68" s="1" t="e">
        <f t="shared" si="8"/>
        <v>#N/A</v>
      </c>
      <c r="X68" s="1" t="e">
        <f t="shared" si="9"/>
        <v>#N/A</v>
      </c>
    </row>
    <row r="69" spans="8:24" x14ac:dyDescent="0.3">
      <c r="H69" s="23">
        <f t="shared" si="10"/>
        <v>0.61000000000000032</v>
      </c>
      <c r="I69" s="1">
        <f t="shared" si="11"/>
        <v>0.81757165824757028</v>
      </c>
      <c r="J69" s="1">
        <f t="shared" si="12"/>
        <v>0.94120449946177953</v>
      </c>
      <c r="K69" s="1">
        <f t="shared" si="13"/>
        <v>2.6394103817817265</v>
      </c>
      <c r="L69" s="1">
        <f t="shared" si="14"/>
        <v>51.956897279167862</v>
      </c>
      <c r="M69" s="1">
        <f t="shared" si="4"/>
        <v>94.923717677929005</v>
      </c>
      <c r="N69" s="1">
        <f t="shared" si="5"/>
        <v>94.923717677929005</v>
      </c>
      <c r="O69" s="1">
        <f t="shared" si="15"/>
        <v>0.16391994870991622</v>
      </c>
      <c r="P69" s="1">
        <f t="shared" si="16"/>
        <v>174.19398644008109</v>
      </c>
      <c r="Q69" s="1">
        <f t="shared" si="6"/>
        <v>686</v>
      </c>
      <c r="R69" s="1">
        <f t="shared" si="17"/>
        <v>174.19398644008109</v>
      </c>
      <c r="S69" s="1">
        <f t="shared" si="7"/>
        <v>2.4884855205725871</v>
      </c>
      <c r="T69" s="1">
        <f t="shared" si="1"/>
        <v>3.0880919627340986</v>
      </c>
      <c r="U69" s="1">
        <f t="shared" si="2"/>
        <v>8.6599054626258454</v>
      </c>
      <c r="V69" s="1">
        <f t="shared" si="3"/>
        <v>8.1647209929986584</v>
      </c>
      <c r="W69" s="1" t="e">
        <f t="shared" si="8"/>
        <v>#N/A</v>
      </c>
      <c r="X69" s="1" t="e">
        <f t="shared" si="9"/>
        <v>#N/A</v>
      </c>
    </row>
    <row r="70" spans="8:24" x14ac:dyDescent="0.3">
      <c r="H70" s="23">
        <f t="shared" si="10"/>
        <v>0.62000000000000033</v>
      </c>
      <c r="I70" s="1">
        <f t="shared" si="11"/>
        <v>0.82102403913851074</v>
      </c>
      <c r="J70" s="1">
        <f t="shared" si="12"/>
        <v>0.96772302755562545</v>
      </c>
      <c r="K70" s="1">
        <f t="shared" si="13"/>
        <v>2.6642952369874524</v>
      </c>
      <c r="L70" s="1">
        <f t="shared" si="14"/>
        <v>52.446756633611287</v>
      </c>
      <c r="M70" s="1">
        <f t="shared" si="4"/>
        <v>93.565068540895297</v>
      </c>
      <c r="N70" s="1">
        <f t="shared" si="5"/>
        <v>93.565068540895297</v>
      </c>
      <c r="O70" s="1">
        <f t="shared" si="15"/>
        <v>0.16127254197368529</v>
      </c>
      <c r="P70" s="1">
        <f t="shared" si="16"/>
        <v>171.38064775408324</v>
      </c>
      <c r="Q70" s="1">
        <f t="shared" si="6"/>
        <v>686</v>
      </c>
      <c r="R70" s="1">
        <f t="shared" si="17"/>
        <v>171.38064775408324</v>
      </c>
      <c r="S70" s="1">
        <f t="shared" si="7"/>
        <v>2.4482949679154751</v>
      </c>
      <c r="T70" s="1">
        <f t="shared" si="1"/>
        <v>3.1750992534100071</v>
      </c>
      <c r="U70" s="1">
        <f t="shared" si="2"/>
        <v>8.7415526725558319</v>
      </c>
      <c r="V70" s="1">
        <f t="shared" si="3"/>
        <v>8.0328557897306734</v>
      </c>
      <c r="W70" s="1" t="e">
        <f t="shared" si="8"/>
        <v>#N/A</v>
      </c>
      <c r="X70" s="1" t="e">
        <f t="shared" si="9"/>
        <v>#N/A</v>
      </c>
    </row>
    <row r="71" spans="8:24" x14ac:dyDescent="0.3">
      <c r="H71" s="23">
        <f t="shared" si="10"/>
        <v>0.63000000000000034</v>
      </c>
      <c r="I71" s="1">
        <f t="shared" si="11"/>
        <v>0.82442066198109509</v>
      </c>
      <c r="J71" s="1">
        <f t="shared" si="12"/>
        <v>0.99448839467389583</v>
      </c>
      <c r="K71" s="1">
        <f t="shared" si="13"/>
        <v>2.6887781866666072</v>
      </c>
      <c r="L71" s="1">
        <f t="shared" si="14"/>
        <v>52.928704461941102</v>
      </c>
      <c r="M71" s="1">
        <f t="shared" si="4"/>
        <v>92.228362412664751</v>
      </c>
      <c r="N71" s="1">
        <f t="shared" si="5"/>
        <v>92.228362412664751</v>
      </c>
      <c r="O71" s="1">
        <f t="shared" si="15"/>
        <v>0.15866789246427268</v>
      </c>
      <c r="P71" s="1">
        <f t="shared" si="16"/>
        <v>168.61274619667913</v>
      </c>
      <c r="Q71" s="1">
        <f t="shared" si="6"/>
        <v>686</v>
      </c>
      <c r="R71" s="1">
        <f t="shared" si="17"/>
        <v>168.61274619667913</v>
      </c>
      <c r="S71" s="1">
        <f t="shared" si="7"/>
        <v>2.4087535170954162</v>
      </c>
      <c r="T71" s="1">
        <f t="shared" si="1"/>
        <v>3.2629164229250525</v>
      </c>
      <c r="U71" s="1">
        <f t="shared" si="2"/>
        <v>8.8218812304531387</v>
      </c>
      <c r="V71" s="1">
        <f t="shared" si="3"/>
        <v>7.9031202895900607</v>
      </c>
      <c r="W71" s="1" t="e">
        <f t="shared" si="8"/>
        <v>#N/A</v>
      </c>
      <c r="X71" s="1" t="e">
        <f t="shared" si="9"/>
        <v>#N/A</v>
      </c>
    </row>
    <row r="72" spans="8:24" x14ac:dyDescent="0.3">
      <c r="H72" s="23">
        <f t="shared" si="10"/>
        <v>0.64000000000000035</v>
      </c>
      <c r="I72" s="1">
        <f t="shared" si="11"/>
        <v>0.82776242730167138</v>
      </c>
      <c r="J72" s="1">
        <f t="shared" si="12"/>
        <v>1.0214966142164166</v>
      </c>
      <c r="K72" s="1">
        <f t="shared" si="13"/>
        <v>2.7128657218375611</v>
      </c>
      <c r="L72" s="1">
        <f t="shared" si="14"/>
        <v>53.402868540109488</v>
      </c>
      <c r="M72" s="1">
        <f t="shared" si="4"/>
        <v>90.913244900317068</v>
      </c>
      <c r="N72" s="1">
        <f t="shared" si="5"/>
        <v>90.913244900317068</v>
      </c>
      <c r="O72" s="1">
        <f t="shared" si="15"/>
        <v>0.15610530962649466</v>
      </c>
      <c r="P72" s="1">
        <f t="shared" si="16"/>
        <v>165.88954793064352</v>
      </c>
      <c r="Q72" s="1">
        <f t="shared" si="6"/>
        <v>686</v>
      </c>
      <c r="R72" s="1">
        <f t="shared" si="17"/>
        <v>165.88954793064352</v>
      </c>
      <c r="S72" s="1">
        <f t="shared" si="7"/>
        <v>2.3698506847234788</v>
      </c>
      <c r="T72" s="1">
        <f t="shared" ref="T72:T76" si="18">J72*IF($B$4,1,3.281)</f>
        <v>3.3515303912440628</v>
      </c>
      <c r="U72" s="1">
        <f t="shared" ref="U72:U76" si="19">K72*IF($B$4,1,3.281)</f>
        <v>8.9009124333490384</v>
      </c>
      <c r="V72" s="1">
        <f t="shared" ref="V72:V76" si="20">S72*IF($B$4,1,3.281)</f>
        <v>7.7754800965777342</v>
      </c>
      <c r="W72" s="1" t="e">
        <f t="shared" si="8"/>
        <v>#N/A</v>
      </c>
      <c r="X72" s="1" t="e">
        <f t="shared" si="9"/>
        <v>#N/A</v>
      </c>
    </row>
    <row r="73" spans="8:24" x14ac:dyDescent="0.3">
      <c r="H73" s="23">
        <f t="shared" si="10"/>
        <v>0.65000000000000036</v>
      </c>
      <c r="I73" s="1">
        <f t="shared" si="11"/>
        <v>0.83105022108254056</v>
      </c>
      <c r="J73" s="1">
        <f t="shared" si="12"/>
        <v>1.0487437639690282</v>
      </c>
      <c r="K73" s="1">
        <f t="shared" si="13"/>
        <v>2.736564228684796</v>
      </c>
      <c r="L73" s="1">
        <f t="shared" si="14"/>
        <v>53.869374580409385</v>
      </c>
      <c r="M73" s="1">
        <f t="shared" ref="M73:M76" si="21">(($E$10-$E$9)*I73*(1-(L73*$D$15)/(($E$7*PI()/30)*I73))+$E$9*I73)*$D$31 + M72*(1-$D$31)</f>
        <v>89.619367334592908</v>
      </c>
      <c r="N73" s="1">
        <f t="shared" ref="N73:N76" si="22">MIN(M73, IF(ISBLANK($D$22), $E$10*I73,$D$22* $D$13), $D$26/12*18*20)</f>
        <v>89.619367334592908</v>
      </c>
      <c r="O73" s="1">
        <f t="shared" si="15"/>
        <v>0.15358411405805319</v>
      </c>
      <c r="P73" s="1">
        <f t="shared" si="16"/>
        <v>163.21033097066822</v>
      </c>
      <c r="Q73" s="1">
        <f t="shared" ref="Q73:Q76" si="23">($D$17/IF($B$4,1,2.2))*$D$18*$D$20*9.8</f>
        <v>686</v>
      </c>
      <c r="R73" s="1">
        <f t="shared" si="17"/>
        <v>163.21033097066822</v>
      </c>
      <c r="S73" s="1">
        <f t="shared" ref="S73:S76" si="24">R73/($D$17/IF($B$4,1,2.2))</f>
        <v>2.3315761567238318</v>
      </c>
      <c r="T73" s="1">
        <f t="shared" si="18"/>
        <v>3.4409282895823816</v>
      </c>
      <c r="U73" s="1">
        <f t="shared" si="19"/>
        <v>8.9786672343148162</v>
      </c>
      <c r="V73" s="1">
        <f t="shared" si="20"/>
        <v>7.649901370210892</v>
      </c>
      <c r="W73" s="1" t="e">
        <f t="shared" ref="W73:W76" si="25">IF(Q73=R73, MAX(U73:U141)/20, NA())</f>
        <v>#N/A</v>
      </c>
      <c r="X73" s="1" t="e">
        <f t="shared" ref="X73:X76" si="26">IF(M73&gt;N73, MAX(U73:U141)/10, NA())</f>
        <v>#N/A</v>
      </c>
    </row>
    <row r="74" spans="8:24" x14ac:dyDescent="0.3">
      <c r="H74" s="23">
        <f t="shared" ref="H74:H76" si="27">H73+$D$30</f>
        <v>0.66000000000000036</v>
      </c>
      <c r="I74" s="1">
        <f t="shared" ref="I74:I76" si="28">($D$26-N73*($D$27+$D$28*$D$13)/1000)/12</f>
        <v>0.83428491499685098</v>
      </c>
      <c r="J74" s="1">
        <f t="shared" ref="J74:J76" si="29">J73+K73*$D$30+S73*$D$30^2/2</f>
        <v>1.0762259850637124</v>
      </c>
      <c r="K74" s="1">
        <f t="shared" ref="K74:K76" si="30">K73+S73*$D$30</f>
        <v>2.7598799902520343</v>
      </c>
      <c r="L74" s="1">
        <f t="shared" ref="L74:L76" si="31">K74/($D$19*IF($B$4,0.001,0.0254)/2)</f>
        <v>54.328346264803841</v>
      </c>
      <c r="M74" s="1">
        <f t="shared" si="21"/>
        <v>88.346386677453168</v>
      </c>
      <c r="N74" s="1">
        <f t="shared" si="22"/>
        <v>88.346386677453168</v>
      </c>
      <c r="O74" s="1">
        <f t="shared" ref="O74:O76" si="32">(N74-$E$9)/($E$10-$E$9)</f>
        <v>0.1511036373294099</v>
      </c>
      <c r="P74" s="1">
        <f t="shared" ref="P74:P76" si="33">$E$8*O74*$D$15/($D$19*IF($B$4,0.001,0.0254)/2)</f>
        <v>160.5743849919462</v>
      </c>
      <c r="Q74" s="1">
        <f t="shared" si="23"/>
        <v>686</v>
      </c>
      <c r="R74" s="1">
        <f t="shared" ref="R74:R76" si="34">MIN(P74,Q74)</f>
        <v>160.5743849919462</v>
      </c>
      <c r="S74" s="1">
        <f t="shared" si="24"/>
        <v>2.2939197855992313</v>
      </c>
      <c r="T74" s="1">
        <f t="shared" si="18"/>
        <v>3.5310974569940403</v>
      </c>
      <c r="U74" s="1">
        <f t="shared" si="19"/>
        <v>9.0551662480169259</v>
      </c>
      <c r="V74" s="1">
        <f t="shared" si="20"/>
        <v>7.5263508165510782</v>
      </c>
      <c r="W74" s="1" t="e">
        <f t="shared" si="25"/>
        <v>#N/A</v>
      </c>
      <c r="X74" s="1" t="e">
        <f t="shared" si="26"/>
        <v>#N/A</v>
      </c>
    </row>
    <row r="75" spans="8:24" x14ac:dyDescent="0.3">
      <c r="H75" s="23">
        <f t="shared" si="27"/>
        <v>0.67000000000000037</v>
      </c>
      <c r="I75" s="1">
        <f t="shared" si="28"/>
        <v>0.83746736663970045</v>
      </c>
      <c r="J75" s="1">
        <f t="shared" si="29"/>
        <v>1.1039394809555128</v>
      </c>
      <c r="K75" s="1">
        <f t="shared" si="30"/>
        <v>2.7828191881080269</v>
      </c>
      <c r="L75" s="1">
        <f t="shared" si="31"/>
        <v>54.779905277717084</v>
      </c>
      <c r="M75" s="1">
        <f t="shared" si="21"/>
        <v>87.093965431131522</v>
      </c>
      <c r="N75" s="1">
        <f t="shared" si="22"/>
        <v>87.093965431131522</v>
      </c>
      <c r="O75" s="1">
        <f t="shared" si="32"/>
        <v>0.1486632218065696</v>
      </c>
      <c r="P75" s="1">
        <f t="shared" si="33"/>
        <v>157.98101114184755</v>
      </c>
      <c r="Q75" s="1">
        <f t="shared" si="23"/>
        <v>686</v>
      </c>
      <c r="R75" s="1">
        <f t="shared" si="34"/>
        <v>157.98101114184755</v>
      </c>
      <c r="S75" s="1">
        <f t="shared" si="24"/>
        <v>2.2568715877406791</v>
      </c>
      <c r="T75" s="1">
        <f t="shared" si="18"/>
        <v>3.6220254370150373</v>
      </c>
      <c r="U75" s="1">
        <f t="shared" si="19"/>
        <v>9.130429756182437</v>
      </c>
      <c r="V75" s="1">
        <f t="shared" si="20"/>
        <v>7.4047956793771688</v>
      </c>
      <c r="W75" s="1" t="e">
        <f t="shared" si="25"/>
        <v>#N/A</v>
      </c>
      <c r="X75" s="1" t="e">
        <f t="shared" si="26"/>
        <v>#N/A</v>
      </c>
    </row>
    <row r="76" spans="8:24" x14ac:dyDescent="0.3">
      <c r="H76" s="23">
        <f t="shared" si="27"/>
        <v>0.68000000000000038</v>
      </c>
      <c r="I76" s="1">
        <f t="shared" si="28"/>
        <v>0.84059841975550442</v>
      </c>
      <c r="J76" s="1">
        <f t="shared" si="29"/>
        <v>1.1318805164159802</v>
      </c>
      <c r="K76" s="1">
        <f t="shared" si="30"/>
        <v>2.8053879039854337</v>
      </c>
      <c r="L76" s="1">
        <f t="shared" si="31"/>
        <v>55.224171338295953</v>
      </c>
      <c r="M76" s="1">
        <f t="shared" si="21"/>
        <v>85.86177154865544</v>
      </c>
      <c r="N76" s="1">
        <f t="shared" si="22"/>
        <v>85.86177154865544</v>
      </c>
      <c r="O76" s="1">
        <f t="shared" si="32"/>
        <v>0.14626222047672532</v>
      </c>
      <c r="P76" s="1">
        <f t="shared" si="33"/>
        <v>155.42952185463668</v>
      </c>
      <c r="Q76" s="1">
        <f t="shared" si="23"/>
        <v>686</v>
      </c>
      <c r="R76" s="1">
        <f t="shared" si="34"/>
        <v>155.42952185463668</v>
      </c>
      <c r="S76" s="1">
        <f t="shared" si="24"/>
        <v>2.220421740780524</v>
      </c>
      <c r="T76" s="1">
        <f t="shared" si="18"/>
        <v>3.7136999743608312</v>
      </c>
      <c r="U76" s="1">
        <f t="shared" si="19"/>
        <v>9.2044777129762085</v>
      </c>
      <c r="V76" s="1">
        <f t="shared" si="20"/>
        <v>7.2852037315008999</v>
      </c>
      <c r="W76" s="1" t="e">
        <f t="shared" si="25"/>
        <v>#N/A</v>
      </c>
      <c r="X76" s="1" t="e">
        <f t="shared" si="26"/>
        <v>#N/A</v>
      </c>
    </row>
  </sheetData>
  <sheetProtection formatCells="0" formatColumns="0" formatRows="0"/>
  <dataConsolidate/>
  <mergeCells count="1">
    <mergeCell ref="C6:D6"/>
  </mergeCells>
  <conditionalFormatting sqref="D17:D20 D13:D14">
    <cfRule type="cellIs" dxfId="13" priority="19" operator="lessThanOrEqual">
      <formula>0</formula>
    </cfRule>
  </conditionalFormatting>
  <conditionalFormatting sqref="D18 D14">
    <cfRule type="cellIs" dxfId="12" priority="18" operator="greaterThan">
      <formula>1</formula>
    </cfRule>
  </conditionalFormatting>
  <conditionalFormatting sqref="D17:D20 D13:D14">
    <cfRule type="containsBlanks" dxfId="11" priority="17">
      <formula>LEN(TRIM(D13))=0</formula>
    </cfRule>
  </conditionalFormatting>
  <conditionalFormatting sqref="D17:D20 D13:D14 D22:D24">
    <cfRule type="expression" dxfId="10" priority="14">
      <formula>ISTEXT(D13)</formula>
    </cfRule>
  </conditionalFormatting>
  <conditionalFormatting sqref="D22:D24">
    <cfRule type="cellIs" dxfId="9" priority="13" operator="lessThan">
      <formula>0</formula>
    </cfRule>
  </conditionalFormatting>
  <conditionalFormatting sqref="D15">
    <cfRule type="cellIs" dxfId="8" priority="10" operator="lessThanOrEqual">
      <formula>0</formula>
    </cfRule>
  </conditionalFormatting>
  <conditionalFormatting sqref="D15">
    <cfRule type="containsBlanks" dxfId="7" priority="8">
      <formula>LEN(TRIM(D15))=0</formula>
    </cfRule>
  </conditionalFormatting>
  <conditionalFormatting sqref="D15">
    <cfRule type="expression" dxfId="6" priority="7">
      <formula>ISTEXT(D15)</formula>
    </cfRule>
  </conditionalFormatting>
  <conditionalFormatting sqref="D26:D28">
    <cfRule type="cellIs" dxfId="5" priority="6" operator="lessThan">
      <formula>0</formula>
    </cfRule>
  </conditionalFormatting>
  <conditionalFormatting sqref="D26:D28">
    <cfRule type="expression" dxfId="4" priority="5">
      <formula>ISTEXT(D26)</formula>
    </cfRule>
  </conditionalFormatting>
  <conditionalFormatting sqref="D30">
    <cfRule type="cellIs" dxfId="3" priority="4" operator="lessThan">
      <formula>0</formula>
    </cfRule>
  </conditionalFormatting>
  <conditionalFormatting sqref="D30">
    <cfRule type="expression" dxfId="2" priority="3">
      <formula>ISTEXT(D30)</formula>
    </cfRule>
  </conditionalFormatting>
  <conditionalFormatting sqref="D31">
    <cfRule type="cellIs" dxfId="1" priority="2" operator="lessThan">
      <formula>0</formula>
    </cfRule>
  </conditionalFormatting>
  <conditionalFormatting sqref="D31">
    <cfRule type="expression" dxfId="0" priority="1">
      <formula>ISTEXT(D31)</formula>
    </cfRule>
  </conditionalFormatting>
  <dataValidations disablePrompts="1" count="1">
    <dataValidation type="list" allowBlank="1" showErrorMessage="1" errorTitle="Error" error="Not a valid motor." sqref="C6:D6" xr:uid="{A75FF25C-4495-467E-A6BE-E7C19996C386}">
      <formula1>Motors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Metric">
              <controlPr locked="0" defaultSize="0" autoFill="0" autoLine="0" autoPict="0" macro="[1]!Drivetrain_Metric">
                <anchor moveWithCells="1">
                  <from>
                    <xdr:col>1</xdr:col>
                    <xdr:colOff>0</xdr:colOff>
                    <xdr:row>2</xdr:row>
                    <xdr:rowOff>175260</xdr:rowOff>
                  </from>
                  <to>
                    <xdr:col>2</xdr:col>
                    <xdr:colOff>7620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¨ÖÍÚÉØÖÅÍÒ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Ari Meles-Braverman</dc:creator>
  <cp:lastModifiedBy>Ari Meles-Braverman</cp:lastModifiedBy>
  <dcterms:created xsi:type="dcterms:W3CDTF">2019-11-07T10:20:35Z</dcterms:created>
  <dcterms:modified xsi:type="dcterms:W3CDTF">2019-11-12T08:58:10Z</dcterms:modified>
</cp:coreProperties>
</file>