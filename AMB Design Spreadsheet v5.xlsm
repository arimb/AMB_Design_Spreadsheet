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showInkAnnotation="0" codeName="ThisWorkbook" defaultThemeVersion="124226"/>
  <mc:AlternateContent xmlns:mc="http://schemas.openxmlformats.org/markup-compatibility/2006">
    <mc:Choice Requires="x15">
      <x15ac:absPath xmlns:x15ac="http://schemas.microsoft.com/office/spreadsheetml/2010/11/ac" url="C:\Users\arimb\Documents\Robotics\AMB_Design_Spreadsheet\"/>
    </mc:Choice>
  </mc:AlternateContent>
  <xr:revisionPtr revIDLastSave="0" documentId="13_ncr:1_{6867A962-BB18-4A6D-8C94-CC5A59230E54}" xr6:coauthVersionLast="45" xr6:coauthVersionMax="45" xr10:uidLastSave="{00000000-0000-0000-0000-000000000000}"/>
  <bookViews>
    <workbookView xWindow="-108" yWindow="-108" windowWidth="23256" windowHeight="13176" activeTab="12" xr2:uid="{00000000-000D-0000-FFFF-FFFF0000000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8" r:id="rId12"/>
    <sheet name="ºÉÖ×Å´ÐÅÒÉØÅÖÝ" sheetId="17" r:id="rId13"/>
    <sheet name="Specs" sheetId="3" r:id="rId14"/>
  </sheets>
  <externalReferences>
    <externalReference r:id="rId15"/>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Specs!$B$5:$B$28</definedName>
    <definedName name="MotorSpecs">Specs!$B$5:$G$28</definedName>
    <definedName name="VP_180">º´¨ÅØÅ!$O$45:$T$46</definedName>
    <definedName name="VP_90">º´¨ÅØÅ!$O$50:$R$51</definedName>
    <definedName name="VP_Base">º´¨ÅØÅ!$O$3:$S$7</definedName>
    <definedName name="VP_DualMotor">º´¨ÅØÅ!$O$34:$T$41</definedName>
    <definedName name="VP_Encoder">º´¨ÅØÅ!$O$59:$R$60</definedName>
    <definedName name="VP_Load">º´¨ÅØÅ!$D$2:$L$1216</definedName>
    <definedName name="VP_Motor">º´¨ÅØÅ!$O$11:$S$20</definedName>
    <definedName name="VP_Ratchet">º´¨ÅØÅ!$O$55:$R$56</definedName>
    <definedName name="VP_Stage">º´¨ÅØÅ!$O$24:$S$30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 i="18" l="1"/>
  <c r="D1195" i="18"/>
  <c r="D1194" i="18"/>
  <c r="D1193" i="18"/>
  <c r="D1192" i="18"/>
  <c r="D1191" i="18"/>
  <c r="D1190" i="18"/>
  <c r="D1168" i="18"/>
  <c r="D1167" i="18"/>
  <c r="D1166" i="18"/>
  <c r="D1165" i="18"/>
  <c r="D1164" i="18"/>
  <c r="D1163" i="18"/>
  <c r="D1141" i="18"/>
  <c r="D1140" i="18"/>
  <c r="D1139" i="18"/>
  <c r="D1138" i="18"/>
  <c r="D1137" i="18"/>
  <c r="D1136" i="18"/>
  <c r="D1114" i="18"/>
  <c r="D1113" i="18"/>
  <c r="D1112" i="18"/>
  <c r="D1111" i="18"/>
  <c r="D1110" i="18"/>
  <c r="D1109" i="18"/>
  <c r="D1087" i="18"/>
  <c r="D1086" i="18"/>
  <c r="D1085" i="18"/>
  <c r="D1084" i="18"/>
  <c r="D1083" i="18"/>
  <c r="D1082" i="18"/>
  <c r="D1060" i="18"/>
  <c r="D1059" i="18"/>
  <c r="D1058" i="18"/>
  <c r="D1057" i="18"/>
  <c r="D1056" i="18"/>
  <c r="D1055" i="18"/>
  <c r="D1033" i="18"/>
  <c r="D1032" i="18"/>
  <c r="D1031" i="18"/>
  <c r="D1030" i="18"/>
  <c r="D1029" i="18"/>
  <c r="D1028" i="18"/>
  <c r="D1006" i="18"/>
  <c r="D1005" i="18"/>
  <c r="D1004" i="18"/>
  <c r="D1003" i="18"/>
  <c r="D1002" i="18"/>
  <c r="D1001" i="18"/>
  <c r="D979" i="18"/>
  <c r="D978" i="18"/>
  <c r="D977" i="18"/>
  <c r="D976" i="18"/>
  <c r="D975" i="18"/>
  <c r="D974" i="18"/>
  <c r="D952" i="18"/>
  <c r="D951" i="18"/>
  <c r="D950" i="18"/>
  <c r="D949" i="18"/>
  <c r="D948" i="18"/>
  <c r="D947" i="18"/>
  <c r="D925" i="18"/>
  <c r="D924" i="18"/>
  <c r="D923" i="18"/>
  <c r="D922" i="18"/>
  <c r="D921" i="18"/>
  <c r="D920" i="18"/>
  <c r="D898" i="18"/>
  <c r="D897" i="18"/>
  <c r="D896" i="18"/>
  <c r="D895" i="18"/>
  <c r="D894" i="18"/>
  <c r="D893" i="18"/>
  <c r="D871" i="18"/>
  <c r="D870" i="18"/>
  <c r="D869" i="18"/>
  <c r="D868" i="18"/>
  <c r="D867" i="18"/>
  <c r="D866" i="18"/>
  <c r="D844" i="18"/>
  <c r="D843" i="18"/>
  <c r="D842" i="18"/>
  <c r="D841" i="18"/>
  <c r="D840" i="18"/>
  <c r="D839" i="18"/>
  <c r="D817" i="18"/>
  <c r="D816" i="18"/>
  <c r="D815" i="18"/>
  <c r="D814" i="18"/>
  <c r="D813" i="18"/>
  <c r="D812" i="18"/>
  <c r="D791" i="18"/>
  <c r="D792" i="18"/>
  <c r="D793" i="18"/>
  <c r="D794" i="18"/>
  <c r="D795" i="18"/>
  <c r="D796" i="18"/>
  <c r="D790" i="18"/>
  <c r="D789" i="18"/>
  <c r="D788" i="18"/>
  <c r="D787" i="18"/>
  <c r="D786" i="18"/>
  <c r="D785" i="18"/>
  <c r="D763" i="18"/>
  <c r="D762" i="18"/>
  <c r="D761" i="18"/>
  <c r="D760" i="18"/>
  <c r="D759" i="18"/>
  <c r="D758" i="18"/>
  <c r="D736" i="18"/>
  <c r="D735" i="18"/>
  <c r="D734" i="18"/>
  <c r="D733" i="18"/>
  <c r="D732" i="18"/>
  <c r="D731" i="18"/>
  <c r="D709" i="18"/>
  <c r="D708" i="18"/>
  <c r="D707" i="18"/>
  <c r="D706" i="18"/>
  <c r="D705" i="18"/>
  <c r="D704" i="18"/>
  <c r="D682" i="18"/>
  <c r="D681" i="18"/>
  <c r="D680" i="18"/>
  <c r="D679" i="18"/>
  <c r="D678" i="18"/>
  <c r="D677" i="18"/>
  <c r="D655" i="18"/>
  <c r="D654" i="18"/>
  <c r="D653" i="18"/>
  <c r="D652" i="18"/>
  <c r="D651" i="18"/>
  <c r="D650" i="18"/>
  <c r="D628" i="18"/>
  <c r="D627" i="18"/>
  <c r="D626" i="18"/>
  <c r="D625" i="18"/>
  <c r="D624" i="18"/>
  <c r="D623" i="18"/>
  <c r="D601" i="18"/>
  <c r="D600" i="18"/>
  <c r="D599" i="18"/>
  <c r="D598" i="18"/>
  <c r="D597" i="18"/>
  <c r="D596" i="18"/>
  <c r="D574" i="18"/>
  <c r="D573" i="18"/>
  <c r="D572" i="18"/>
  <c r="D571" i="18"/>
  <c r="D570" i="18"/>
  <c r="D569" i="18"/>
  <c r="D548" i="18"/>
  <c r="D549" i="18"/>
  <c r="D550" i="18"/>
  <c r="D551" i="18"/>
  <c r="D552" i="18"/>
  <c r="D553" i="18"/>
  <c r="D547" i="18"/>
  <c r="D546" i="18"/>
  <c r="D545" i="18"/>
  <c r="D544" i="18"/>
  <c r="D543" i="18"/>
  <c r="D542" i="18"/>
  <c r="D520" i="18"/>
  <c r="D519" i="18"/>
  <c r="D518" i="18"/>
  <c r="D517" i="18"/>
  <c r="D516" i="18"/>
  <c r="D515" i="18"/>
  <c r="D493" i="18"/>
  <c r="D492" i="18"/>
  <c r="D491" i="18"/>
  <c r="D490" i="18"/>
  <c r="D489" i="18"/>
  <c r="D488" i="18"/>
  <c r="D466" i="18"/>
  <c r="D465" i="18"/>
  <c r="D464" i="18"/>
  <c r="D463" i="18"/>
  <c r="D462" i="18"/>
  <c r="D461" i="18"/>
  <c r="D439" i="18"/>
  <c r="D438" i="18"/>
  <c r="D437" i="18"/>
  <c r="D436" i="18"/>
  <c r="D435" i="18"/>
  <c r="D434" i="18"/>
  <c r="D412" i="18"/>
  <c r="D411" i="18"/>
  <c r="D410" i="18"/>
  <c r="D409" i="18"/>
  <c r="D408" i="18"/>
  <c r="D407" i="18"/>
  <c r="D385" i="18"/>
  <c r="D384" i="18"/>
  <c r="D383" i="18"/>
  <c r="D382" i="18"/>
  <c r="D381" i="18"/>
  <c r="D380" i="18"/>
  <c r="D358" i="18"/>
  <c r="D357" i="18"/>
  <c r="D356" i="18"/>
  <c r="D355" i="18"/>
  <c r="D354" i="18"/>
  <c r="D353" i="18"/>
  <c r="D331" i="18"/>
  <c r="D330" i="18"/>
  <c r="D329" i="18"/>
  <c r="D328" i="18"/>
  <c r="D327" i="18"/>
  <c r="D326" i="18"/>
  <c r="D304" i="18"/>
  <c r="D303" i="18"/>
  <c r="D302" i="18"/>
  <c r="D301" i="18"/>
  <c r="D300" i="18"/>
  <c r="D299" i="18"/>
  <c r="D277" i="18"/>
  <c r="D276" i="18"/>
  <c r="D275" i="18"/>
  <c r="D274" i="18"/>
  <c r="D273" i="18"/>
  <c r="D272" i="18"/>
  <c r="D250" i="18"/>
  <c r="D249" i="18"/>
  <c r="D248" i="18"/>
  <c r="D247" i="18"/>
  <c r="D246" i="18"/>
  <c r="D245" i="18"/>
  <c r="D223" i="18"/>
  <c r="D222" i="18"/>
  <c r="D221" i="18"/>
  <c r="D220" i="18"/>
  <c r="D219" i="18"/>
  <c r="D218" i="18"/>
  <c r="D196" i="18"/>
  <c r="D195" i="18"/>
  <c r="D194" i="18"/>
  <c r="D193" i="18"/>
  <c r="D192" i="18"/>
  <c r="D191" i="18"/>
  <c r="D169" i="18"/>
  <c r="D168" i="18"/>
  <c r="D167" i="18"/>
  <c r="D166" i="18"/>
  <c r="D165" i="18"/>
  <c r="D164" i="18"/>
  <c r="D142" i="18"/>
  <c r="D141" i="18"/>
  <c r="D140" i="18"/>
  <c r="D139" i="18"/>
  <c r="D138" i="18"/>
  <c r="D137" i="18"/>
  <c r="D115" i="18"/>
  <c r="D114" i="18"/>
  <c r="D113" i="18"/>
  <c r="D112" i="18"/>
  <c r="D111" i="18"/>
  <c r="D110" i="18"/>
  <c r="D88" i="18"/>
  <c r="D87" i="18"/>
  <c r="D86" i="18"/>
  <c r="D85" i="18"/>
  <c r="D84" i="18"/>
  <c r="D83" i="18"/>
  <c r="D61" i="18"/>
  <c r="D60" i="18"/>
  <c r="D59" i="18"/>
  <c r="D58" i="18"/>
  <c r="D57" i="18"/>
  <c r="D56" i="18"/>
  <c r="D34" i="18"/>
  <c r="D33" i="18"/>
  <c r="D32" i="18"/>
  <c r="D31" i="18"/>
  <c r="D30" i="18"/>
  <c r="D29" i="18"/>
  <c r="D3" i="18"/>
  <c r="D4" i="18"/>
  <c r="D5" i="18"/>
  <c r="D6" i="18"/>
  <c r="D7" i="18"/>
  <c r="D1216" i="18"/>
  <c r="D1215" i="18"/>
  <c r="D1214" i="18"/>
  <c r="D1213" i="18"/>
  <c r="D1212" i="18"/>
  <c r="D1211" i="18"/>
  <c r="D1210" i="18"/>
  <c r="D1209" i="18"/>
  <c r="D1208" i="18"/>
  <c r="D1207" i="18"/>
  <c r="D1206" i="18"/>
  <c r="D1205" i="18"/>
  <c r="D1204" i="18"/>
  <c r="D1203" i="18"/>
  <c r="D1202" i="18"/>
  <c r="D1201" i="18"/>
  <c r="D1200" i="18"/>
  <c r="D1199" i="18"/>
  <c r="D1198" i="18"/>
  <c r="D1197" i="18"/>
  <c r="D1196" i="18"/>
  <c r="D1189" i="18"/>
  <c r="D1188" i="18"/>
  <c r="D1187" i="18"/>
  <c r="D1186" i="18"/>
  <c r="D1185" i="18"/>
  <c r="D1184" i="18"/>
  <c r="D1183" i="18"/>
  <c r="D1182" i="18"/>
  <c r="D1181" i="18"/>
  <c r="D1180" i="18"/>
  <c r="D1179" i="18"/>
  <c r="D1178" i="18"/>
  <c r="D1177" i="18"/>
  <c r="D1176" i="18"/>
  <c r="D1175" i="18"/>
  <c r="D1174" i="18"/>
  <c r="D1173" i="18"/>
  <c r="D1172" i="18"/>
  <c r="D1171" i="18"/>
  <c r="D1170" i="18"/>
  <c r="D1169" i="18"/>
  <c r="D1162" i="18"/>
  <c r="D1161" i="18"/>
  <c r="D1160" i="18"/>
  <c r="D1159" i="18"/>
  <c r="D1158" i="18"/>
  <c r="D1157" i="18"/>
  <c r="D1156" i="18"/>
  <c r="D1155" i="18"/>
  <c r="D1154" i="18"/>
  <c r="D1153" i="18"/>
  <c r="D1152" i="18"/>
  <c r="D1151" i="18"/>
  <c r="D1150" i="18"/>
  <c r="D1149" i="18"/>
  <c r="D1148" i="18"/>
  <c r="D1147" i="18"/>
  <c r="D1146" i="18"/>
  <c r="D1145" i="18"/>
  <c r="D1144" i="18"/>
  <c r="D1143" i="18"/>
  <c r="D1142" i="18"/>
  <c r="D1135" i="18"/>
  <c r="D1134" i="18"/>
  <c r="D1133" i="18"/>
  <c r="D1132" i="18"/>
  <c r="D1131" i="18"/>
  <c r="D1130" i="18"/>
  <c r="D1129" i="18"/>
  <c r="D1128" i="18"/>
  <c r="D1127" i="18"/>
  <c r="D1126" i="18"/>
  <c r="D1125" i="18"/>
  <c r="D1124" i="18"/>
  <c r="D1123" i="18"/>
  <c r="D1122" i="18"/>
  <c r="D1121" i="18"/>
  <c r="D1120" i="18"/>
  <c r="D1119" i="18"/>
  <c r="D1118" i="18"/>
  <c r="D1117" i="18"/>
  <c r="D1116" i="18"/>
  <c r="D1115" i="18"/>
  <c r="D1108" i="18"/>
  <c r="D1107" i="18"/>
  <c r="D1106" i="18"/>
  <c r="D1105" i="18"/>
  <c r="D1104" i="18"/>
  <c r="D1103" i="18"/>
  <c r="D1102" i="18"/>
  <c r="D1101" i="18"/>
  <c r="D1100" i="18"/>
  <c r="D1099" i="18"/>
  <c r="D1098" i="18"/>
  <c r="D1097" i="18"/>
  <c r="D1096" i="18"/>
  <c r="D1095" i="18"/>
  <c r="D1094" i="18"/>
  <c r="D1093" i="18"/>
  <c r="D1092" i="18"/>
  <c r="D1091" i="18"/>
  <c r="D1090" i="18"/>
  <c r="D1089" i="18"/>
  <c r="D1088" i="18"/>
  <c r="D1081" i="18"/>
  <c r="D1080" i="18"/>
  <c r="D1079" i="18"/>
  <c r="D1078" i="18"/>
  <c r="D1077" i="18"/>
  <c r="D1076" i="18"/>
  <c r="D1075" i="18"/>
  <c r="D1074" i="18"/>
  <c r="D1073" i="18"/>
  <c r="D1072" i="18"/>
  <c r="D1071" i="18"/>
  <c r="D1070" i="18"/>
  <c r="D1069" i="18"/>
  <c r="D1068" i="18"/>
  <c r="D1067" i="18"/>
  <c r="D1066" i="18"/>
  <c r="D1065" i="18"/>
  <c r="D1064" i="18"/>
  <c r="D1063" i="18"/>
  <c r="D1062" i="18"/>
  <c r="D1061" i="18"/>
  <c r="D1054" i="18"/>
  <c r="D1053" i="18"/>
  <c r="D1052" i="18"/>
  <c r="D1051" i="18"/>
  <c r="D1050" i="18"/>
  <c r="D1049" i="18"/>
  <c r="D1048" i="18"/>
  <c r="D1047" i="18"/>
  <c r="D1046" i="18"/>
  <c r="D1045" i="18"/>
  <c r="D1044" i="18"/>
  <c r="D1043" i="18"/>
  <c r="D1042" i="18"/>
  <c r="D1041" i="18"/>
  <c r="D1040" i="18"/>
  <c r="D1039" i="18"/>
  <c r="D1038" i="18"/>
  <c r="D1037" i="18"/>
  <c r="D1036" i="18"/>
  <c r="D1035" i="18"/>
  <c r="D1034" i="18"/>
  <c r="D1027" i="18"/>
  <c r="D1026" i="18"/>
  <c r="D1025" i="18"/>
  <c r="D1024" i="18"/>
  <c r="D1023" i="18"/>
  <c r="D1022" i="18"/>
  <c r="D1021" i="18"/>
  <c r="D1020" i="18"/>
  <c r="D1019" i="18"/>
  <c r="D1018" i="18"/>
  <c r="D1017" i="18"/>
  <c r="D1016" i="18"/>
  <c r="D1015" i="18"/>
  <c r="D1014" i="18"/>
  <c r="D1013" i="18"/>
  <c r="D1012" i="18"/>
  <c r="D1011" i="18"/>
  <c r="D1010" i="18"/>
  <c r="D1009" i="18"/>
  <c r="D1008" i="18"/>
  <c r="D1007" i="18"/>
  <c r="D1000" i="18"/>
  <c r="D999" i="18"/>
  <c r="D998" i="18"/>
  <c r="D997" i="18"/>
  <c r="D996" i="18"/>
  <c r="D995" i="18"/>
  <c r="D994" i="18"/>
  <c r="D993" i="18"/>
  <c r="D992" i="18"/>
  <c r="D991" i="18"/>
  <c r="D990" i="18"/>
  <c r="D989" i="18"/>
  <c r="D988" i="18"/>
  <c r="D987" i="18"/>
  <c r="D986" i="18"/>
  <c r="D985" i="18"/>
  <c r="D984" i="18"/>
  <c r="D983" i="18"/>
  <c r="D982" i="18"/>
  <c r="D981" i="18"/>
  <c r="D980" i="18"/>
  <c r="D973" i="18"/>
  <c r="D972" i="18"/>
  <c r="D971" i="18"/>
  <c r="D970" i="18"/>
  <c r="D969" i="18"/>
  <c r="D968" i="18"/>
  <c r="D967" i="18"/>
  <c r="D966" i="18"/>
  <c r="D965" i="18"/>
  <c r="D964" i="18"/>
  <c r="D963" i="18"/>
  <c r="D962" i="18"/>
  <c r="D961" i="18"/>
  <c r="D960" i="18"/>
  <c r="D959" i="18"/>
  <c r="D958" i="18"/>
  <c r="D957" i="18"/>
  <c r="D956" i="18"/>
  <c r="D955" i="18"/>
  <c r="D954" i="18"/>
  <c r="D953" i="18"/>
  <c r="D946" i="18"/>
  <c r="D945" i="18"/>
  <c r="D944" i="18"/>
  <c r="D943" i="18"/>
  <c r="D942" i="18"/>
  <c r="D941" i="18"/>
  <c r="D940" i="18"/>
  <c r="D939" i="18"/>
  <c r="D938" i="18"/>
  <c r="D937" i="18"/>
  <c r="D936" i="18"/>
  <c r="D935" i="18"/>
  <c r="D934" i="18"/>
  <c r="D933" i="18"/>
  <c r="D932" i="18"/>
  <c r="D931" i="18"/>
  <c r="D930" i="18"/>
  <c r="D929" i="18"/>
  <c r="D928" i="18"/>
  <c r="D927" i="18"/>
  <c r="D926" i="18"/>
  <c r="D919" i="18"/>
  <c r="D918" i="18"/>
  <c r="D917" i="18"/>
  <c r="D916" i="18"/>
  <c r="D915" i="18"/>
  <c r="D914" i="18"/>
  <c r="D913" i="18"/>
  <c r="D912" i="18"/>
  <c r="D911" i="18"/>
  <c r="D910" i="18"/>
  <c r="D909" i="18"/>
  <c r="D908" i="18"/>
  <c r="D907" i="18"/>
  <c r="D906" i="18"/>
  <c r="D905" i="18"/>
  <c r="D904" i="18"/>
  <c r="D903" i="18"/>
  <c r="D902" i="18"/>
  <c r="D901" i="18"/>
  <c r="D900" i="18"/>
  <c r="D899" i="18"/>
  <c r="D892" i="18"/>
  <c r="D891" i="18"/>
  <c r="D890" i="18"/>
  <c r="D889" i="18"/>
  <c r="D888" i="18"/>
  <c r="D887" i="18"/>
  <c r="D886" i="18"/>
  <c r="D885" i="18"/>
  <c r="D884" i="18"/>
  <c r="D883" i="18"/>
  <c r="D882" i="18"/>
  <c r="D881" i="18"/>
  <c r="D880" i="18"/>
  <c r="D879" i="18"/>
  <c r="D878" i="18"/>
  <c r="D877" i="18"/>
  <c r="D876" i="18"/>
  <c r="D875" i="18"/>
  <c r="D874" i="18"/>
  <c r="D873" i="18"/>
  <c r="D872" i="18"/>
  <c r="D865" i="18"/>
  <c r="D864" i="18"/>
  <c r="D863" i="18"/>
  <c r="D862" i="18"/>
  <c r="D861" i="18"/>
  <c r="D860" i="18"/>
  <c r="D859" i="18"/>
  <c r="D858" i="18"/>
  <c r="D857" i="18"/>
  <c r="D856" i="18"/>
  <c r="D855" i="18"/>
  <c r="D854" i="18"/>
  <c r="D853" i="18"/>
  <c r="D852" i="18"/>
  <c r="D851" i="18"/>
  <c r="D850" i="18"/>
  <c r="D849" i="18"/>
  <c r="D848" i="18"/>
  <c r="D847" i="18"/>
  <c r="D846" i="18"/>
  <c r="D845" i="18"/>
  <c r="D838" i="18"/>
  <c r="D837" i="18"/>
  <c r="D836" i="18"/>
  <c r="D835" i="18"/>
  <c r="D834" i="18"/>
  <c r="D833" i="18"/>
  <c r="D832" i="18"/>
  <c r="D831" i="18"/>
  <c r="D830" i="18"/>
  <c r="D829" i="18"/>
  <c r="D828" i="18"/>
  <c r="D827" i="18"/>
  <c r="D826" i="18"/>
  <c r="D825" i="18"/>
  <c r="D824" i="18"/>
  <c r="D823" i="18"/>
  <c r="D822" i="18"/>
  <c r="D821" i="18"/>
  <c r="D820" i="18"/>
  <c r="D819" i="18"/>
  <c r="D818" i="18"/>
  <c r="D811" i="18"/>
  <c r="D810" i="18"/>
  <c r="D809" i="18"/>
  <c r="D808" i="18"/>
  <c r="D807" i="18"/>
  <c r="D806" i="18"/>
  <c r="D805" i="18"/>
  <c r="D804" i="18"/>
  <c r="D803" i="18"/>
  <c r="D802" i="18"/>
  <c r="D801" i="18"/>
  <c r="D800" i="18"/>
  <c r="D799" i="18"/>
  <c r="D798" i="18"/>
  <c r="D797" i="18"/>
  <c r="D784" i="18"/>
  <c r="D783" i="18"/>
  <c r="D782" i="18"/>
  <c r="D781" i="18"/>
  <c r="D780" i="18"/>
  <c r="D779" i="18"/>
  <c r="D778" i="18"/>
  <c r="D777" i="18"/>
  <c r="D776" i="18"/>
  <c r="D775" i="18"/>
  <c r="D774" i="18"/>
  <c r="D773" i="18"/>
  <c r="D772" i="18"/>
  <c r="D771" i="18"/>
  <c r="D770" i="18"/>
  <c r="D769" i="18"/>
  <c r="D768" i="18"/>
  <c r="D767" i="18"/>
  <c r="D766" i="18"/>
  <c r="D765" i="18"/>
  <c r="D764" i="18"/>
  <c r="D757" i="18"/>
  <c r="D756" i="18"/>
  <c r="D755" i="18"/>
  <c r="D754" i="18"/>
  <c r="D753" i="18"/>
  <c r="D752" i="18"/>
  <c r="D751" i="18"/>
  <c r="D750" i="18"/>
  <c r="D749" i="18"/>
  <c r="D748" i="18"/>
  <c r="D747" i="18"/>
  <c r="D746" i="18"/>
  <c r="D745" i="18"/>
  <c r="D744" i="18"/>
  <c r="D743" i="18"/>
  <c r="D742" i="18"/>
  <c r="D741" i="18"/>
  <c r="D740" i="18"/>
  <c r="D739" i="18"/>
  <c r="D738" i="18"/>
  <c r="D737" i="18"/>
  <c r="D730" i="18"/>
  <c r="D729" i="18"/>
  <c r="D728" i="18"/>
  <c r="D727" i="18"/>
  <c r="D726" i="18"/>
  <c r="D725" i="18"/>
  <c r="D724" i="18"/>
  <c r="D723" i="18"/>
  <c r="D722" i="18"/>
  <c r="D721" i="18"/>
  <c r="D720" i="18"/>
  <c r="D719" i="18"/>
  <c r="D718" i="18"/>
  <c r="D717" i="18"/>
  <c r="D716" i="18"/>
  <c r="D715" i="18"/>
  <c r="D714" i="18"/>
  <c r="D713" i="18"/>
  <c r="D712" i="18"/>
  <c r="D711" i="18"/>
  <c r="D710" i="18"/>
  <c r="D703" i="18"/>
  <c r="D702" i="18"/>
  <c r="D701" i="18"/>
  <c r="D700" i="18"/>
  <c r="D699" i="18"/>
  <c r="D698" i="18"/>
  <c r="D697" i="18"/>
  <c r="D696" i="18"/>
  <c r="D695" i="18"/>
  <c r="D694" i="18"/>
  <c r="D693" i="18"/>
  <c r="D692" i="18"/>
  <c r="D691" i="18"/>
  <c r="D690" i="18"/>
  <c r="D689" i="18"/>
  <c r="D688" i="18"/>
  <c r="D687" i="18"/>
  <c r="D686" i="18"/>
  <c r="D685" i="18"/>
  <c r="D684" i="18"/>
  <c r="D683" i="18"/>
  <c r="D676" i="18"/>
  <c r="D675" i="18"/>
  <c r="D674" i="18"/>
  <c r="D673" i="18"/>
  <c r="D672" i="18"/>
  <c r="D671" i="18"/>
  <c r="D670" i="18"/>
  <c r="D669" i="18"/>
  <c r="D668" i="18"/>
  <c r="D667" i="18"/>
  <c r="D666" i="18"/>
  <c r="D665" i="18"/>
  <c r="D664" i="18"/>
  <c r="D663" i="18"/>
  <c r="D662" i="18"/>
  <c r="D661" i="18"/>
  <c r="D660" i="18"/>
  <c r="D659" i="18"/>
  <c r="D658" i="18"/>
  <c r="D657" i="18"/>
  <c r="D656" i="18"/>
  <c r="D649" i="18"/>
  <c r="D648" i="18"/>
  <c r="D647" i="18"/>
  <c r="D646" i="18"/>
  <c r="D645" i="18"/>
  <c r="D644" i="18"/>
  <c r="D643" i="18"/>
  <c r="D642" i="18"/>
  <c r="D641" i="18"/>
  <c r="D640" i="18"/>
  <c r="D639" i="18"/>
  <c r="D638" i="18"/>
  <c r="D637" i="18"/>
  <c r="D636" i="18"/>
  <c r="D635" i="18"/>
  <c r="D634" i="18"/>
  <c r="D633" i="18"/>
  <c r="D632" i="18"/>
  <c r="D631" i="18"/>
  <c r="D630" i="18"/>
  <c r="D629" i="18"/>
  <c r="D622" i="18"/>
  <c r="D621" i="18"/>
  <c r="D620" i="18"/>
  <c r="D619" i="18"/>
  <c r="D618" i="18"/>
  <c r="D617" i="18"/>
  <c r="D616" i="18"/>
  <c r="D615" i="18"/>
  <c r="D614" i="18"/>
  <c r="D613" i="18"/>
  <c r="D612" i="18"/>
  <c r="D611" i="18"/>
  <c r="D610" i="18"/>
  <c r="D609" i="18"/>
  <c r="D608" i="18"/>
  <c r="D607" i="18"/>
  <c r="D606" i="18"/>
  <c r="D605" i="18"/>
  <c r="D604" i="18"/>
  <c r="D603" i="18"/>
  <c r="D602" i="18"/>
  <c r="D595" i="18"/>
  <c r="D594" i="18"/>
  <c r="D593" i="18"/>
  <c r="D592" i="18"/>
  <c r="D591" i="18"/>
  <c r="D590" i="18"/>
  <c r="D589" i="18"/>
  <c r="D588" i="18"/>
  <c r="D587" i="18"/>
  <c r="D586" i="18"/>
  <c r="D585" i="18"/>
  <c r="D584" i="18"/>
  <c r="D583" i="18"/>
  <c r="D582" i="18"/>
  <c r="D581" i="18"/>
  <c r="D580" i="18"/>
  <c r="D579" i="18"/>
  <c r="D578" i="18"/>
  <c r="D577" i="18"/>
  <c r="D576" i="18"/>
  <c r="D575" i="18"/>
  <c r="D568" i="18"/>
  <c r="D567" i="18"/>
  <c r="D566" i="18"/>
  <c r="D565" i="18"/>
  <c r="D564" i="18"/>
  <c r="D563" i="18"/>
  <c r="D562" i="18"/>
  <c r="D561" i="18"/>
  <c r="D560" i="18"/>
  <c r="D559" i="18"/>
  <c r="D558" i="18"/>
  <c r="D557" i="18"/>
  <c r="D556" i="18"/>
  <c r="D555" i="18"/>
  <c r="D554" i="18"/>
  <c r="D541" i="18"/>
  <c r="D540" i="18"/>
  <c r="D539" i="18"/>
  <c r="D538" i="18"/>
  <c r="D537" i="18"/>
  <c r="D536" i="18"/>
  <c r="D535" i="18"/>
  <c r="D534" i="18"/>
  <c r="D533" i="18"/>
  <c r="D532" i="18"/>
  <c r="D531" i="18"/>
  <c r="D530" i="18"/>
  <c r="D529" i="18"/>
  <c r="D528" i="18"/>
  <c r="D527" i="18"/>
  <c r="D526" i="18"/>
  <c r="D525" i="18"/>
  <c r="D524" i="18"/>
  <c r="D523" i="18"/>
  <c r="D522" i="18"/>
  <c r="D521" i="18"/>
  <c r="D514" i="18"/>
  <c r="D513" i="18"/>
  <c r="D512" i="18"/>
  <c r="D511" i="18"/>
  <c r="D510" i="18"/>
  <c r="D509" i="18"/>
  <c r="D508" i="18"/>
  <c r="D507" i="18"/>
  <c r="D506" i="18"/>
  <c r="D505" i="18"/>
  <c r="D504" i="18"/>
  <c r="D503" i="18"/>
  <c r="D502" i="18"/>
  <c r="D501" i="18"/>
  <c r="D500" i="18"/>
  <c r="D499" i="18"/>
  <c r="D498" i="18"/>
  <c r="D497" i="18"/>
  <c r="D496" i="18"/>
  <c r="D495" i="18"/>
  <c r="D494" i="18"/>
  <c r="D487" i="18"/>
  <c r="D486" i="18"/>
  <c r="D485" i="18"/>
  <c r="D484" i="18"/>
  <c r="D483" i="18"/>
  <c r="D482" i="18"/>
  <c r="D481" i="18"/>
  <c r="D480" i="18"/>
  <c r="D479" i="18"/>
  <c r="D478" i="18"/>
  <c r="D477" i="18"/>
  <c r="D476" i="18"/>
  <c r="D475" i="18"/>
  <c r="D474" i="18"/>
  <c r="D473" i="18"/>
  <c r="D472" i="18"/>
  <c r="D471" i="18"/>
  <c r="D470" i="18"/>
  <c r="D469" i="18"/>
  <c r="D468" i="18"/>
  <c r="D467" i="18"/>
  <c r="D460" i="18"/>
  <c r="D459" i="18"/>
  <c r="D458" i="18"/>
  <c r="D457" i="18"/>
  <c r="D456" i="18"/>
  <c r="D455" i="18"/>
  <c r="D454" i="18"/>
  <c r="D453" i="18"/>
  <c r="D452" i="18"/>
  <c r="D451" i="18"/>
  <c r="D450" i="18"/>
  <c r="D449" i="18"/>
  <c r="D448" i="18"/>
  <c r="D447" i="18"/>
  <c r="D446" i="18"/>
  <c r="D445" i="18"/>
  <c r="D444" i="18"/>
  <c r="D443" i="18"/>
  <c r="D442" i="18"/>
  <c r="D441" i="18"/>
  <c r="D440" i="18"/>
  <c r="D433" i="18"/>
  <c r="D432" i="18"/>
  <c r="D431" i="18"/>
  <c r="D430" i="18"/>
  <c r="D429" i="18"/>
  <c r="D428" i="18"/>
  <c r="D427" i="18"/>
  <c r="D426" i="18"/>
  <c r="D425" i="18"/>
  <c r="D424" i="18"/>
  <c r="D423" i="18"/>
  <c r="D422" i="18"/>
  <c r="D421" i="18"/>
  <c r="D420" i="18"/>
  <c r="D419" i="18"/>
  <c r="D418" i="18"/>
  <c r="D417" i="18"/>
  <c r="D416" i="18"/>
  <c r="D415" i="18"/>
  <c r="D414" i="18"/>
  <c r="D413" i="18"/>
  <c r="D406" i="18"/>
  <c r="D405" i="18"/>
  <c r="D404" i="18"/>
  <c r="D403" i="18"/>
  <c r="D402" i="18"/>
  <c r="D401" i="18"/>
  <c r="D400" i="18"/>
  <c r="D399" i="18"/>
  <c r="D398" i="18"/>
  <c r="D397" i="18"/>
  <c r="D396" i="18"/>
  <c r="D395" i="18"/>
  <c r="D394" i="18"/>
  <c r="D393" i="18"/>
  <c r="D392" i="18"/>
  <c r="D391" i="18"/>
  <c r="D390" i="18"/>
  <c r="D389" i="18"/>
  <c r="D388" i="18"/>
  <c r="D387" i="18"/>
  <c r="D386" i="18"/>
  <c r="D379" i="18"/>
  <c r="D378" i="18"/>
  <c r="D377" i="18"/>
  <c r="D376" i="18"/>
  <c r="D375" i="18"/>
  <c r="D374" i="18"/>
  <c r="D373" i="18"/>
  <c r="D372" i="18"/>
  <c r="D371" i="18"/>
  <c r="D370" i="18"/>
  <c r="D369" i="18"/>
  <c r="D368" i="18"/>
  <c r="D367" i="18"/>
  <c r="D366" i="18"/>
  <c r="D365" i="18"/>
  <c r="D364" i="18"/>
  <c r="D363" i="18"/>
  <c r="D362" i="18"/>
  <c r="D361" i="18"/>
  <c r="D360" i="18"/>
  <c r="D359" i="18"/>
  <c r="D352" i="18"/>
  <c r="D351" i="18"/>
  <c r="D350" i="18"/>
  <c r="D349" i="18"/>
  <c r="D348" i="18"/>
  <c r="D347" i="18"/>
  <c r="D346" i="18"/>
  <c r="D345" i="18"/>
  <c r="D344" i="18"/>
  <c r="D343" i="18"/>
  <c r="D342" i="18"/>
  <c r="D341" i="18"/>
  <c r="D340" i="18"/>
  <c r="D339" i="18"/>
  <c r="D338" i="18"/>
  <c r="D337" i="18"/>
  <c r="D336" i="18"/>
  <c r="D335" i="18"/>
  <c r="D334" i="18"/>
  <c r="D333" i="18"/>
  <c r="D332" i="18"/>
  <c r="D325" i="18"/>
  <c r="D324" i="18"/>
  <c r="D323" i="18"/>
  <c r="D322" i="18"/>
  <c r="D321" i="18"/>
  <c r="D320" i="18"/>
  <c r="D319" i="18"/>
  <c r="D318" i="18"/>
  <c r="D317" i="18"/>
  <c r="D316" i="18"/>
  <c r="D315" i="18"/>
  <c r="D314" i="18"/>
  <c r="D313" i="18"/>
  <c r="D312" i="18"/>
  <c r="D311" i="18"/>
  <c r="D310" i="18"/>
  <c r="D309" i="18"/>
  <c r="D308" i="18"/>
  <c r="D307" i="18"/>
  <c r="D306" i="18"/>
  <c r="D305" i="18"/>
  <c r="D298" i="18"/>
  <c r="D297" i="18"/>
  <c r="D296" i="18"/>
  <c r="D295" i="18"/>
  <c r="D294" i="18"/>
  <c r="D293" i="18"/>
  <c r="D292" i="18"/>
  <c r="D291" i="18"/>
  <c r="D290" i="18"/>
  <c r="D289" i="18"/>
  <c r="D288" i="18"/>
  <c r="D287" i="18"/>
  <c r="D286" i="18"/>
  <c r="D285" i="18"/>
  <c r="D284" i="18"/>
  <c r="D283" i="18"/>
  <c r="D282" i="18"/>
  <c r="D281" i="18"/>
  <c r="D280" i="18"/>
  <c r="D279" i="18"/>
  <c r="D278" i="18"/>
  <c r="D271" i="18"/>
  <c r="D270" i="18"/>
  <c r="D269" i="18"/>
  <c r="D268" i="18"/>
  <c r="D267" i="18"/>
  <c r="D266" i="18"/>
  <c r="D265" i="18"/>
  <c r="D264" i="18"/>
  <c r="D263" i="18"/>
  <c r="D262" i="18"/>
  <c r="D261" i="18"/>
  <c r="D260" i="18"/>
  <c r="D259" i="18"/>
  <c r="D258" i="18"/>
  <c r="D257" i="18"/>
  <c r="D256" i="18"/>
  <c r="D255" i="18"/>
  <c r="D254" i="18"/>
  <c r="D253" i="18"/>
  <c r="D252" i="18"/>
  <c r="D251" i="18"/>
  <c r="D244" i="18"/>
  <c r="D243" i="18"/>
  <c r="D242" i="18"/>
  <c r="D241" i="18"/>
  <c r="D240" i="18"/>
  <c r="D239" i="18"/>
  <c r="D238" i="18"/>
  <c r="D237" i="18"/>
  <c r="D236" i="18"/>
  <c r="D235" i="18"/>
  <c r="D234" i="18"/>
  <c r="D233" i="18"/>
  <c r="D232" i="18"/>
  <c r="D231" i="18"/>
  <c r="D230" i="18"/>
  <c r="D229" i="18"/>
  <c r="D228" i="18"/>
  <c r="D227" i="18"/>
  <c r="D226" i="18"/>
  <c r="D225" i="18"/>
  <c r="D224" i="18"/>
  <c r="D217" i="18"/>
  <c r="D216" i="18"/>
  <c r="D215" i="18"/>
  <c r="D214" i="18"/>
  <c r="D213" i="18"/>
  <c r="D212" i="18"/>
  <c r="D211" i="18"/>
  <c r="D210" i="18"/>
  <c r="D209" i="18"/>
  <c r="D208" i="18"/>
  <c r="D207" i="18"/>
  <c r="D206" i="18"/>
  <c r="D205" i="18"/>
  <c r="D204" i="18"/>
  <c r="D203" i="18"/>
  <c r="D202" i="18"/>
  <c r="D201" i="18"/>
  <c r="D200" i="18"/>
  <c r="D199" i="18"/>
  <c r="D198" i="18"/>
  <c r="D197" i="18"/>
  <c r="D190" i="18"/>
  <c r="D189" i="18"/>
  <c r="D188" i="18"/>
  <c r="D187" i="18"/>
  <c r="D186" i="18"/>
  <c r="D185" i="18"/>
  <c r="D184" i="18"/>
  <c r="D183" i="18"/>
  <c r="D182" i="18"/>
  <c r="D181" i="18"/>
  <c r="D180" i="18"/>
  <c r="D179" i="18"/>
  <c r="D178" i="18"/>
  <c r="D177" i="18"/>
  <c r="D176" i="18"/>
  <c r="D175" i="18"/>
  <c r="D174" i="18"/>
  <c r="D173" i="18"/>
  <c r="D172" i="18"/>
  <c r="D171" i="18"/>
  <c r="D170" i="18"/>
  <c r="D163" i="18"/>
  <c r="D162" i="18"/>
  <c r="D161" i="18"/>
  <c r="D160" i="18"/>
  <c r="D159" i="18"/>
  <c r="D158" i="18"/>
  <c r="D157" i="18"/>
  <c r="D156" i="18"/>
  <c r="D155" i="18"/>
  <c r="D154" i="18"/>
  <c r="D153" i="18"/>
  <c r="D152" i="18"/>
  <c r="D151" i="18"/>
  <c r="D150" i="18"/>
  <c r="D149" i="18"/>
  <c r="D148" i="18"/>
  <c r="D147" i="18"/>
  <c r="D146" i="18"/>
  <c r="D145" i="18"/>
  <c r="D144" i="18"/>
  <c r="D143" i="18"/>
  <c r="D136" i="18"/>
  <c r="D135" i="18"/>
  <c r="D134" i="18"/>
  <c r="D133" i="18"/>
  <c r="D132" i="18"/>
  <c r="D131" i="18"/>
  <c r="D130" i="18"/>
  <c r="D129" i="18"/>
  <c r="D128" i="18"/>
  <c r="D127" i="18"/>
  <c r="D126" i="18"/>
  <c r="D125" i="18"/>
  <c r="D124" i="18"/>
  <c r="D123" i="18"/>
  <c r="D122" i="18"/>
  <c r="D121" i="18"/>
  <c r="D120" i="18"/>
  <c r="D119" i="18"/>
  <c r="D118" i="18"/>
  <c r="D117" i="18"/>
  <c r="D116" i="18"/>
  <c r="D109" i="18"/>
  <c r="D108" i="18"/>
  <c r="D107" i="18"/>
  <c r="D106" i="18"/>
  <c r="D105" i="18"/>
  <c r="D104" i="18"/>
  <c r="D103" i="18"/>
  <c r="D102" i="18"/>
  <c r="D101" i="18"/>
  <c r="D100" i="18"/>
  <c r="D99" i="18"/>
  <c r="D98" i="18"/>
  <c r="D97" i="18"/>
  <c r="D96" i="18"/>
  <c r="D95" i="18"/>
  <c r="D94" i="18"/>
  <c r="D93" i="18"/>
  <c r="D92" i="18"/>
  <c r="D91" i="18"/>
  <c r="D90" i="18"/>
  <c r="D89" i="18"/>
  <c r="D82" i="18"/>
  <c r="D81" i="18"/>
  <c r="D80" i="18"/>
  <c r="D79" i="18"/>
  <c r="D78" i="18"/>
  <c r="D77" i="18"/>
  <c r="D76" i="18"/>
  <c r="D75" i="18"/>
  <c r="D74" i="18"/>
  <c r="D73" i="18"/>
  <c r="D72" i="18"/>
  <c r="D71" i="18"/>
  <c r="D70" i="18"/>
  <c r="D69" i="18"/>
  <c r="D68" i="18"/>
  <c r="D67" i="18"/>
  <c r="D66" i="18"/>
  <c r="D65" i="18"/>
  <c r="D64" i="18"/>
  <c r="D63" i="18"/>
  <c r="D62" i="18"/>
  <c r="D55" i="18"/>
  <c r="D54" i="18"/>
  <c r="D53" i="18"/>
  <c r="D52" i="18"/>
  <c r="D51" i="18"/>
  <c r="D50" i="18"/>
  <c r="D49" i="18"/>
  <c r="D48" i="18"/>
  <c r="D47" i="18"/>
  <c r="D46" i="18"/>
  <c r="D45" i="18"/>
  <c r="D44" i="18"/>
  <c r="D43" i="18"/>
  <c r="D42" i="18"/>
  <c r="D41" i="18"/>
  <c r="D40" i="18"/>
  <c r="D39" i="18"/>
  <c r="D38" i="18"/>
  <c r="D37" i="18"/>
  <c r="D36" i="18"/>
  <c r="D35" i="18"/>
  <c r="D9" i="18"/>
  <c r="D10" i="18"/>
  <c r="D11" i="18"/>
  <c r="D12" i="18"/>
  <c r="D13" i="18"/>
  <c r="D14" i="18"/>
  <c r="D15" i="18"/>
  <c r="D16" i="18"/>
  <c r="D17" i="18"/>
  <c r="D18" i="18"/>
  <c r="D19" i="18"/>
  <c r="D20" i="18"/>
  <c r="D21" i="18"/>
  <c r="D22" i="18"/>
  <c r="D23" i="18"/>
  <c r="D24" i="18"/>
  <c r="D25" i="18"/>
  <c r="D26" i="18"/>
  <c r="D27" i="18"/>
  <c r="D28" i="18"/>
  <c r="D8" i="18"/>
  <c r="Q6" i="18"/>
  <c r="Q4" i="18"/>
  <c r="Q3" i="18"/>
  <c r="G29" i="3" l="1"/>
  <c r="G30" i="3"/>
  <c r="G27" i="3"/>
  <c r="G12" i="3"/>
  <c r="G11" i="3"/>
  <c r="G17" i="3"/>
  <c r="G9" i="3"/>
  <c r="G8" i="3"/>
  <c r="G6" i="3" l="1"/>
  <c r="G7" i="3"/>
  <c r="G10" i="3"/>
  <c r="G13" i="3"/>
  <c r="G14" i="3"/>
  <c r="G24" i="3"/>
  <c r="G25" i="3"/>
  <c r="G26" i="3"/>
  <c r="G15" i="3"/>
  <c r="G16" i="3"/>
  <c r="G18" i="3"/>
  <c r="G19" i="3"/>
  <c r="G20" i="3"/>
  <c r="G21" i="3"/>
  <c r="G22" i="3"/>
  <c r="G23" i="3"/>
  <c r="G28" i="3"/>
  <c r="G5" i="3"/>
  <c r="D17" i="17" l="1"/>
  <c r="D19" i="17" s="1"/>
  <c r="D18" i="17" l="1"/>
  <c r="M6" i="17"/>
  <c r="J6" i="17"/>
  <c r="C19" i="17"/>
  <c r="D25" i="17"/>
  <c r="D22" i="17"/>
  <c r="E7" i="17"/>
  <c r="D21" i="17" l="1"/>
  <c r="D24" i="17"/>
  <c r="I7" i="17"/>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c r="L16" i="17"/>
  <c r="M16" i="17" s="1"/>
  <c r="K16" i="17"/>
  <c r="M41" i="14"/>
  <c r="N41" i="14" s="1"/>
  <c r="L41" i="14"/>
  <c r="D42" i="13"/>
  <c r="D11" i="12"/>
  <c r="D15" i="12" s="1"/>
  <c r="C17" i="12"/>
  <c r="C16" i="12"/>
  <c r="C13" i="12"/>
  <c r="C12" i="12"/>
  <c r="C9" i="12"/>
  <c r="J10" i="11"/>
  <c r="J11" i="11" s="1"/>
  <c r="I10" i="11"/>
  <c r="G10" i="11"/>
  <c r="G11" i="11" s="1"/>
  <c r="F10" i="11"/>
  <c r="H17" i="17" l="1"/>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K18" i="17" l="1"/>
  <c r="L18" i="17"/>
  <c r="M18" i="17" s="1"/>
  <c r="I18" i="17"/>
  <c r="J18" i="17" s="1"/>
  <c r="H18" i="17"/>
  <c r="E44" i="13"/>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K19" i="17" l="1"/>
  <c r="L19" i="17"/>
  <c r="M19" i="17" s="1"/>
  <c r="I19" i="17"/>
  <c r="J19" i="17" s="1"/>
  <c r="H19" i="17"/>
  <c r="O8" i="10"/>
  <c r="N8" i="10"/>
  <c r="O16" i="10"/>
  <c r="N16" i="10"/>
  <c r="E45" i="13"/>
  <c r="G13" i="9"/>
  <c r="M33" i="9" s="1"/>
  <c r="M37" i="9" s="1"/>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L20" i="17" l="1"/>
  <c r="M20" i="17" s="1"/>
  <c r="K20" i="17"/>
  <c r="I20" i="17"/>
  <c r="J20" i="17" s="1"/>
  <c r="H20" i="17"/>
  <c r="L25" i="7"/>
  <c r="I15" i="7"/>
  <c r="L20" i="7"/>
  <c r="I14" i="7"/>
  <c r="I13" i="7" s="1"/>
  <c r="L24" i="7"/>
  <c r="L23" i="7" s="1"/>
  <c r="L19" i="7"/>
  <c r="L18" i="7" s="1"/>
  <c r="P16" i="10"/>
  <c r="Q16" i="10" s="1"/>
  <c r="M17" i="10" s="1"/>
  <c r="P8" i="10"/>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D11" i="1" l="1"/>
  <c r="I21" i="17"/>
  <c r="J21" i="17" s="1"/>
  <c r="H21" i="17"/>
  <c r="L21" i="17"/>
  <c r="M21" i="17" s="1"/>
  <c r="K21" i="17"/>
  <c r="H6" i="5"/>
  <c r="H11" i="5"/>
  <c r="H13" i="5" s="1"/>
  <c r="I9" i="5"/>
  <c r="I11" i="5" s="1"/>
  <c r="I13" i="5" s="1"/>
  <c r="J13" i="10"/>
  <c r="J12" i="10" s="1"/>
  <c r="M9" i="10"/>
  <c r="R8" i="10"/>
  <c r="O17" i="10"/>
  <c r="N17" i="10"/>
  <c r="J12" i="5"/>
  <c r="D46" i="13"/>
  <c r="D16" i="5"/>
  <c r="Q33" i="9"/>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K23" i="17" l="1"/>
  <c r="L23" i="17"/>
  <c r="M23" i="17" s="1"/>
  <c r="I23" i="17"/>
  <c r="J23" i="17" s="1"/>
  <c r="H23" i="17"/>
  <c r="P9" i="10"/>
  <c r="R9" i="10" s="1"/>
  <c r="S9" i="10" s="1"/>
  <c r="M10" i="10" s="1"/>
  <c r="Q17" i="10"/>
  <c r="E48" i="13"/>
  <c r="D48" i="13" s="1"/>
  <c r="P9" i="1"/>
  <c r="P11" i="1" s="1"/>
  <c r="P10" i="1"/>
  <c r="N9" i="1"/>
  <c r="N11" i="1" s="1"/>
  <c r="N10" i="1"/>
  <c r="I9" i="1"/>
  <c r="I11" i="1" s="1"/>
  <c r="I10" i="1"/>
  <c r="J9" i="1"/>
  <c r="J11" i="1" s="1"/>
  <c r="I24" i="17" l="1"/>
  <c r="J24" i="17" s="1"/>
  <c r="H24" i="17"/>
  <c r="K24" i="17"/>
  <c r="L24" i="17"/>
  <c r="M24" i="17" s="1"/>
  <c r="O10" i="10"/>
  <c r="N10" i="10"/>
  <c r="Q18" i="10"/>
  <c r="Q19" i="10" s="1"/>
  <c r="Q20" i="10" s="1"/>
  <c r="Q21" i="10" s="1"/>
  <c r="Q22" i="10" s="1"/>
  <c r="R17" i="10"/>
  <c r="E49" i="13"/>
  <c r="D49" i="13" s="1"/>
  <c r="F50" i="13" s="1"/>
  <c r="K25" i="17" l="1"/>
  <c r="L25" i="17"/>
  <c r="M25" i="17" s="1"/>
  <c r="H25" i="17"/>
  <c r="I25" i="17"/>
  <c r="J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Ari Meles-Braverman</author>
  </authors>
  <commentList>
    <comment ref="F6" authorId="0" shapeId="0" xr:uid="{00000000-0006-0000-0400-000001000000}">
      <text>
        <r>
          <rPr>
            <b/>
            <sz val="9"/>
            <color indexed="81"/>
            <rFont val="Tahoma"/>
            <family val="2"/>
          </rPr>
          <t>Ari Meles-Braverman:</t>
        </r>
        <r>
          <rPr>
            <sz val="9"/>
            <color indexed="81"/>
            <rFont val="Tahoma"/>
            <family val="2"/>
          </rPr>
          <t xml:space="preserve">
</t>
        </r>
      </text>
    </comment>
    <comment ref="I6" authorId="0" shapeId="0" xr:uid="{00000000-0006-0000-0400-000002000000}">
      <text>
        <r>
          <rPr>
            <b/>
            <sz val="9"/>
            <color indexed="81"/>
            <rFont val="Tahoma"/>
            <family val="2"/>
          </rPr>
          <t>Ari Meles-Braverman:</t>
        </r>
        <r>
          <rPr>
            <sz val="9"/>
            <color indexed="81"/>
            <rFont val="Tahoma"/>
            <family val="2"/>
          </rPr>
          <t xml:space="preserve">
</t>
        </r>
      </text>
    </comment>
    <comment ref="L6" authorId="0" shapeId="0" xr:uid="{00000000-0006-0000-0400-000003000000}">
      <text>
        <r>
          <rPr>
            <b/>
            <sz val="9"/>
            <color indexed="81"/>
            <rFont val="Tahoma"/>
            <family val="2"/>
          </rPr>
          <t>Ari Meles-Braverman:</t>
        </r>
        <r>
          <rPr>
            <sz val="9"/>
            <color indexed="81"/>
            <rFont val="Tahoma"/>
            <family val="2"/>
          </rPr>
          <t xml:space="preserve">
</t>
        </r>
      </text>
    </comment>
    <comment ref="O6" authorId="0" shapeId="0" xr:uid="{00000000-0006-0000-0400-00000400000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<sst xmlns="http://schemas.openxmlformats.org/spreadsheetml/2006/main" count="2915" uniqueCount="350">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</sst>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s>
  <fonts count="31"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73">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s>
  <cellStyleXfs count="7">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xf numFmtId="0" fontId="29" fillId="0" borderId="0"/>
  </cellStyleXfs>
  <cellXfs count="220">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8" fillId="0" borderId="0" xfId="6"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1" fillId="4" borderId="64" xfId="0" applyFont="1" applyFill="1" applyBorder="1" applyAlignment="1"/>
    <xf numFmtId="0" fontId="22" fillId="4" borderId="65" xfId="4" applyFill="1" applyBorder="1" applyAlignment="1"/>
    <xf numFmtId="0" fontId="22" fillId="0" borderId="65" xfId="4" applyBorder="1" applyAlignment="1"/>
    <xf numFmtId="0" fontId="22"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30"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5"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5" fillId="0" borderId="59" xfId="6" applyFont="1" applyBorder="1" applyProtection="1"/>
    <xf numFmtId="0" fontId="15" fillId="0" borderId="60" xfId="6" applyFont="1" applyBorder="1" applyProtection="1"/>
    <xf numFmtId="0" fontId="30" fillId="0" borderId="61" xfId="6" applyFont="1" applyBorder="1" applyAlignment="1" applyProtection="1">
      <alignment horizontal="center" vertical="center" wrapText="1"/>
    </xf>
    <xf numFmtId="0" fontId="30" fillId="0" borderId="62" xfId="6" applyFont="1" applyBorder="1" applyAlignment="1" applyProtection="1">
      <alignment horizontal="center" vertical="center" wrapText="1"/>
    </xf>
    <xf numFmtId="0" fontId="30"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cellXfs>
  <cellStyles count="7">
    <cellStyle name="Bad 2" xfId="3" xr:uid="{00000000-0005-0000-0000-000000000000}"/>
    <cellStyle name="Hyperlink" xfId="4" builtinId="8"/>
    <cellStyle name="Neutral 2" xfId="2" xr:uid="{00000000-0005-0000-0000-000002000000}"/>
    <cellStyle name="Normal" xfId="0" builtinId="0"/>
    <cellStyle name="Normal 2" xfId="5" xr:uid="{00000000-0005-0000-0000-000004000000}"/>
    <cellStyle name="Normal 3" xfId="6" xr:uid="{00000000-0005-0000-0000-000005000000}"/>
    <cellStyle name="Percent" xfId="1" builtinId="5"/>
  </cellStyles>
  <dxfs count="83">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E18F8F"/>
      <color rgb="FFFF8F8F"/>
      <color rgb="FF97D997"/>
      <color rgb="FF83D183"/>
      <color rgb="FF800000"/>
      <color rgb="FFFF5050"/>
      <color rgb="FFE60000"/>
      <color rgb="FF663300"/>
      <color rgb="FFFFCC66"/>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100387840"/>
        <c:axId val="100393728"/>
      </c:scatterChart>
      <c:valAx>
        <c:axId val="100387840"/>
        <c:scaling>
          <c:orientation val="minMax"/>
        </c:scaling>
        <c:delete val="0"/>
        <c:axPos val="b"/>
        <c:numFmt formatCode="General" sourceLinked="1"/>
        <c:majorTickMark val="out"/>
        <c:minorTickMark val="none"/>
        <c:tickLblPos val="nextTo"/>
        <c:crossAx val="100393728"/>
        <c:crosses val="autoZero"/>
        <c:crossBetween val="midCat"/>
      </c:valAx>
      <c:valAx>
        <c:axId val="100393728"/>
        <c:scaling>
          <c:orientation val="minMax"/>
        </c:scaling>
        <c:delete val="0"/>
        <c:axPos val="l"/>
        <c:majorGridlines/>
        <c:numFmt formatCode="General" sourceLinked="1"/>
        <c:majorTickMark val="out"/>
        <c:minorTickMark val="none"/>
        <c:tickLblPos val="nextTo"/>
        <c:crossAx val="10038784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92730496"/>
        <c:axId val="92732416"/>
      </c:scatterChart>
      <c:valAx>
        <c:axId val="92730496"/>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92732416"/>
        <c:crosses val="autoZero"/>
        <c:crossBetween val="midCat"/>
      </c:valAx>
      <c:valAx>
        <c:axId val="92732416"/>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92730496"/>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13922048"/>
        <c:axId val="113923584"/>
      </c:scatterChart>
      <c:valAx>
        <c:axId val="113922048"/>
        <c:scaling>
          <c:orientation val="minMax"/>
        </c:scaling>
        <c:delete val="1"/>
        <c:axPos val="b"/>
        <c:numFmt formatCode="General" sourceLinked="1"/>
        <c:majorTickMark val="out"/>
        <c:minorTickMark val="none"/>
        <c:tickLblPos val="nextTo"/>
        <c:crossAx val="113923584"/>
        <c:crosses val="autoZero"/>
        <c:crossBetween val="midCat"/>
      </c:valAx>
      <c:valAx>
        <c:axId val="113923584"/>
        <c:scaling>
          <c:orientation val="minMax"/>
        </c:scaling>
        <c:delete val="1"/>
        <c:axPos val="l"/>
        <c:numFmt formatCode="General" sourceLinked="1"/>
        <c:majorTickMark val="out"/>
        <c:minorTickMark val="none"/>
        <c:tickLblPos val="nextTo"/>
        <c:crossAx val="11392204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121920</xdr:colOff>
          <xdr:row>5</xdr:row>
          <xdr:rowOff>182880</xdr:rowOff>
        </xdr:from>
        <xdr:to>
          <xdr:col>7</xdr:col>
          <xdr:colOff>518160</xdr:colOff>
          <xdr:row>9</xdr:row>
          <xdr:rowOff>182880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Calibri"/>
                  <a:cs typeface="Calibri"/>
                </a:rPr>
                <a:t>ADD ALL</a:t>
              </a:r>
            </a:p>
            <a:p>
              <a:pPr algn="ctr" rtl="0">
                <a:defRPr sz="1000"/>
              </a:pPr>
              <a:r>
                <a:rPr lang="en-US" sz="2000" b="1" i="0" u="none" strike="noStrike" baseline="0">
                  <a:solidFill>
                    <a:srgbClr val="000000"/>
                  </a:solidFill>
                  <a:latin typeface="Calibri"/>
                  <a:cs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2</xdr:col>
          <xdr:colOff>7620</xdr:colOff>
          <xdr:row>4</xdr:row>
          <xdr:rowOff>7620</xdr:rowOff>
        </xdr:to>
        <xdr:sp macro="" textlink="">
          <xdr:nvSpPr>
            <xdr:cNvPr id="1025" name="Metric"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3073" name="Metric"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175260</xdr:rowOff>
        </xdr:from>
        <xdr:to>
          <xdr:col>2</xdr:col>
          <xdr:colOff>7620</xdr:colOff>
          <xdr:row>4</xdr:row>
          <xdr:rowOff>0</xdr:rowOff>
        </xdr:to>
        <xdr:sp macro="" textlink="">
          <xdr:nvSpPr>
            <xdr:cNvPr id="5121" name="Metric"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182880</xdr:rowOff>
        </xdr:from>
        <xdr:to>
          <xdr:col>3</xdr:col>
          <xdr:colOff>228600</xdr:colOff>
          <xdr:row>22</xdr:row>
          <xdr:rowOff>182880</xdr:rowOff>
        </xdr:to>
        <xdr:sp macro="" textlink="">
          <xdr:nvSpPr>
            <xdr:cNvPr id="5126" name="Shifting"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182880</xdr:rowOff>
        </xdr:from>
        <xdr:to>
          <xdr:col>3</xdr:col>
          <xdr:colOff>228600</xdr:colOff>
          <xdr:row>23</xdr:row>
          <xdr:rowOff>182880</xdr:rowOff>
        </xdr:to>
        <xdr:sp macro="" textlink="">
          <xdr:nvSpPr>
            <xdr:cNvPr id="5127" name="2Wheels"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6145" name="Metric"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7169" name="Metric"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9217" name="Metric"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0241" name="Metric"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2289" name="Metric"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4337" name="Metric"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7620</xdr:rowOff>
        </xdr:from>
        <xdr:to>
          <xdr:col>13</xdr:col>
          <xdr:colOff>411480</xdr:colOff>
          <xdr:row>2</xdr:row>
          <xdr:rowOff>182880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00000000-0008-0000-0A00-00000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411480</xdr:colOff>
          <xdr:row>2</xdr:row>
          <xdr:rowOff>7620</xdr:rowOff>
        </xdr:from>
        <xdr:to>
          <xdr:col>15</xdr:col>
          <xdr:colOff>213360</xdr:colOff>
          <xdr:row>2</xdr:row>
          <xdr:rowOff>182880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00000000-0008-0000-0A00-00000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7620</xdr:colOff>
          <xdr:row>4</xdr:row>
          <xdr:rowOff>7620</xdr:rowOff>
        </xdr:to>
        <xdr:sp macro="" textlink="">
          <xdr:nvSpPr>
            <xdr:cNvPr id="28674" name="Metric" hidden="1">
              <a:extLst>
                <a:ext uri="{63B3BB69-23CF-44E3-9099-C40C66FF867C}">
                  <a14:compatExt spid="_x0000_s28674"/>
                </a:ext>
                <a:ext uri="{FF2B5EF4-FFF2-40B4-BE49-F238E27FC236}">
                  <a16:creationId xmlns:a16="http://schemas.microsoft.com/office/drawing/2014/main" id="{00000000-0008-0000-0C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B2:E52"/>
  <sheetViews>
    <sheetView workbookViewId="0"/>
  </sheetViews>
  <sheetFormatPr defaultColWidth="9.109375" defaultRowHeight="14.4" x14ac:dyDescent="0.3"/>
  <cols>
    <col min="1" max="1" width="9.109375" style="81"/>
    <col min="2" max="2" width="2.6640625" style="81" customWidth="1"/>
    <col min="3" max="3" width="70.6640625" style="81" customWidth="1"/>
    <col min="4" max="4" width="9.109375" style="81"/>
    <col min="5" max="5" width="8.5546875" style="81" customWidth="1"/>
    <col min="6" max="16384" width="9.109375" style="81"/>
  </cols>
  <sheetData>
    <row r="2" spans="2:5" ht="31.2" x14ac:dyDescent="0.6">
      <c r="C2" s="82" t="s">
        <v>179</v>
      </c>
    </row>
    <row r="3" spans="2:5" ht="15.6" x14ac:dyDescent="0.3">
      <c r="C3" s="83" t="s">
        <v>336</v>
      </c>
    </row>
    <row r="4" spans="2:5" ht="15.6" x14ac:dyDescent="0.3">
      <c r="C4" s="83" t="s">
        <v>180</v>
      </c>
    </row>
    <row r="5" spans="2:5" x14ac:dyDescent="0.3">
      <c r="D5" s="161" t="s">
        <v>213</v>
      </c>
      <c r="E5" s="162"/>
    </row>
    <row r="6" spans="2:5" ht="15" customHeight="1" x14ac:dyDescent="0.3">
      <c r="C6" s="84" t="s">
        <v>181</v>
      </c>
      <c r="D6" s="163"/>
      <c r="E6" s="164"/>
    </row>
    <row r="7" spans="2:5" ht="15" customHeight="1" x14ac:dyDescent="0.3">
      <c r="B7" s="85" t="s">
        <v>169</v>
      </c>
      <c r="C7" s="81" t="s">
        <v>182</v>
      </c>
      <c r="D7" s="163"/>
      <c r="E7" s="164"/>
    </row>
    <row r="8" spans="2:5" ht="15" customHeight="1" x14ac:dyDescent="0.3">
      <c r="B8" s="108" t="s">
        <v>169</v>
      </c>
      <c r="C8" s="81" t="s">
        <v>183</v>
      </c>
      <c r="D8" s="163"/>
      <c r="E8" s="164"/>
    </row>
    <row r="9" spans="2:5" ht="15" customHeight="1" x14ac:dyDescent="0.3">
      <c r="B9" s="109" t="s">
        <v>169</v>
      </c>
      <c r="C9" s="81" t="s">
        <v>184</v>
      </c>
      <c r="D9" s="163"/>
      <c r="E9" s="164"/>
    </row>
    <row r="10" spans="2:5" ht="15" customHeight="1" x14ac:dyDescent="0.3">
      <c r="B10" s="110" t="s">
        <v>169</v>
      </c>
      <c r="C10" s="86" t="s">
        <v>185</v>
      </c>
      <c r="D10" s="165"/>
      <c r="E10" s="166"/>
    </row>
    <row r="12" spans="2:5" x14ac:dyDescent="0.3">
      <c r="C12" s="87" t="s">
        <v>187</v>
      </c>
    </row>
    <row r="13" spans="2:5" ht="60.75" customHeight="1" x14ac:dyDescent="0.3">
      <c r="C13" s="136" t="s">
        <v>204</v>
      </c>
    </row>
    <row r="14" spans="2:5" x14ac:dyDescent="0.3">
      <c r="C14" s="88"/>
    </row>
    <row r="15" spans="2:5" x14ac:dyDescent="0.3">
      <c r="C15" s="87" t="s">
        <v>199</v>
      </c>
    </row>
    <row r="16" spans="2:5" ht="86.4" x14ac:dyDescent="0.3">
      <c r="C16" s="136" t="s">
        <v>200</v>
      </c>
    </row>
    <row r="17" spans="3:3" x14ac:dyDescent="0.3">
      <c r="C17" s="88"/>
    </row>
    <row r="18" spans="3:3" x14ac:dyDescent="0.3">
      <c r="C18" s="87" t="s">
        <v>186</v>
      </c>
    </row>
    <row r="19" spans="3:3" ht="72" x14ac:dyDescent="0.3">
      <c r="C19" s="136" t="s">
        <v>203</v>
      </c>
    </row>
    <row r="20" spans="3:3" x14ac:dyDescent="0.3">
      <c r="C20" s="88"/>
    </row>
    <row r="21" spans="3:3" x14ac:dyDescent="0.3">
      <c r="C21" s="87" t="s">
        <v>201</v>
      </c>
    </row>
    <row r="22" spans="3:3" ht="57.6" x14ac:dyDescent="0.3">
      <c r="C22" s="136" t="s">
        <v>202</v>
      </c>
    </row>
    <row r="23" spans="3:3" x14ac:dyDescent="0.3">
      <c r="C23" s="88"/>
    </row>
    <row r="24" spans="3:3" x14ac:dyDescent="0.3">
      <c r="C24" s="87" t="s">
        <v>94</v>
      </c>
    </row>
    <row r="25" spans="3:3" ht="100.8" x14ac:dyDescent="0.3">
      <c r="C25" s="136" t="s">
        <v>333</v>
      </c>
    </row>
    <row r="26" spans="3:3" x14ac:dyDescent="0.3">
      <c r="C26" s="88"/>
    </row>
    <row r="27" spans="3:3" x14ac:dyDescent="0.3">
      <c r="C27" s="87" t="s">
        <v>188</v>
      </c>
    </row>
    <row r="28" spans="3:3" ht="86.4" x14ac:dyDescent="0.3">
      <c r="C28" s="136" t="s">
        <v>189</v>
      </c>
    </row>
    <row r="29" spans="3:3" x14ac:dyDescent="0.3">
      <c r="C29" s="88"/>
    </row>
    <row r="30" spans="3:3" x14ac:dyDescent="0.3">
      <c r="C30" s="87" t="s">
        <v>205</v>
      </c>
    </row>
    <row r="31" spans="3:3" ht="43.2" x14ac:dyDescent="0.3">
      <c r="C31" s="136" t="s">
        <v>206</v>
      </c>
    </row>
    <row r="32" spans="3:3" x14ac:dyDescent="0.3">
      <c r="C32" s="88"/>
    </row>
    <row r="33" spans="3:3" x14ac:dyDescent="0.3">
      <c r="C33" s="87" t="s">
        <v>212</v>
      </c>
    </row>
    <row r="34" spans="3:3" ht="31.5" customHeight="1" x14ac:dyDescent="0.3">
      <c r="C34" s="136" t="s">
        <v>207</v>
      </c>
    </row>
    <row r="35" spans="3:3" x14ac:dyDescent="0.3">
      <c r="C35" s="88"/>
    </row>
    <row r="36" spans="3:3" x14ac:dyDescent="0.3">
      <c r="C36" s="87" t="s">
        <v>190</v>
      </c>
    </row>
    <row r="37" spans="3:3" ht="86.4" x14ac:dyDescent="0.3">
      <c r="C37" s="136" t="s">
        <v>191</v>
      </c>
    </row>
    <row r="38" spans="3:3" x14ac:dyDescent="0.3">
      <c r="C38" s="88"/>
    </row>
    <row r="39" spans="3:3" x14ac:dyDescent="0.3">
      <c r="C39" s="87" t="s">
        <v>208</v>
      </c>
    </row>
    <row r="40" spans="3:3" ht="57.6" x14ac:dyDescent="0.3">
      <c r="C40" s="136" t="s">
        <v>209</v>
      </c>
    </row>
    <row r="41" spans="3:3" x14ac:dyDescent="0.3">
      <c r="C41" s="88"/>
    </row>
    <row r="42" spans="3:3" x14ac:dyDescent="0.3">
      <c r="C42" s="87" t="s">
        <v>322</v>
      </c>
    </row>
    <row r="43" spans="3:3" ht="60" customHeight="1" x14ac:dyDescent="0.3">
      <c r="C43" s="136" t="s">
        <v>334</v>
      </c>
    </row>
    <row r="44" spans="3:3" x14ac:dyDescent="0.3">
      <c r="C44" s="88"/>
    </row>
    <row r="46" spans="3:3" x14ac:dyDescent="0.3">
      <c r="C46" s="138" t="s">
        <v>192</v>
      </c>
    </row>
    <row r="47" spans="3:3" x14ac:dyDescent="0.3">
      <c r="C47" s="139" t="s">
        <v>193</v>
      </c>
    </row>
    <row r="48" spans="3:3" x14ac:dyDescent="0.3">
      <c r="C48" s="139" t="s">
        <v>194</v>
      </c>
    </row>
    <row r="49" spans="2:3" x14ac:dyDescent="0.3">
      <c r="C49" s="139" t="s">
        <v>195</v>
      </c>
    </row>
    <row r="50" spans="2:3" x14ac:dyDescent="0.3">
      <c r="B50" s="137"/>
      <c r="C50" s="140" t="s">
        <v>196</v>
      </c>
    </row>
    <row r="51" spans="2:3" x14ac:dyDescent="0.3">
      <c r="B51" s="137"/>
      <c r="C51" s="140" t="s">
        <v>197</v>
      </c>
    </row>
    <row r="52" spans="2:3" x14ac:dyDescent="0.3">
      <c r="C52" s="141" t="s">
        <v>335</v>
      </c>
    </row>
  </sheetData>
  <sheetProtection sheet="1" objects="1" scenarios="1"/>
  <mergeCells count="1">
    <mergeCell ref="D5:E10"/>
  </mergeCells>
  <hyperlinks>
    <hyperlink ref="C47" r:id="rId1" xr:uid="{00000000-0004-0000-0000-000000000000}"/>
    <hyperlink ref="C49" r:id="rId2" xr:uid="{00000000-0004-0000-0000-000001000000}"/>
    <hyperlink ref="C48" r:id="rId3" xr:uid="{00000000-0004-0000-0000-000002000000}"/>
    <hyperlink ref="C50" r:id="rId4" xr:uid="{00000000-0004-0000-0000-000003000000}"/>
    <hyperlink ref="C51" r:id="rId5" xr:uid="{00000000-0004-0000-0000-000004000000}"/>
    <hyperlink ref="C52" r:id="rId6" xr:uid="{00000000-0004-0000-0000-000005000000}"/>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30480</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30480</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30480</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30480</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30480</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30480</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30480</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30480</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30480</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30480</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121920</xdr:colOff>
                    <xdr:row>5</xdr:row>
                    <xdr:rowOff>182880</xdr:rowOff>
                  </from>
                  <to>
                    <xdr:col>7</xdr:col>
                    <xdr:colOff>518160</xdr:colOff>
                    <xdr:row>9</xdr:row>
                    <xdr:rowOff>182880</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30480</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P27"/>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 style="1" customWidth="1"/>
    <col min="8" max="15" width="11.44140625" style="1" customWidth="1"/>
    <col min="16" max="16" width="12" style="1" customWidth="1"/>
    <col min="17" max="16384" width="9.109375" style="1"/>
  </cols>
  <sheetData>
    <row r="2" spans="2:16" ht="31.2" x14ac:dyDescent="0.3">
      <c r="C2" s="2" t="s">
        <v>198</v>
      </c>
    </row>
    <row r="4" spans="2:16" x14ac:dyDescent="0.3">
      <c r="B4" s="8" t="b">
        <v>0</v>
      </c>
      <c r="C4" s="1" t="s">
        <v>0</v>
      </c>
    </row>
    <row r="6" spans="2:16" x14ac:dyDescent="0.3">
      <c r="C6" s="176" t="s">
        <v>6</v>
      </c>
      <c r="D6" s="177"/>
      <c r="E6" s="22" t="s">
        <v>30</v>
      </c>
      <c r="G6" s="92"/>
      <c r="H6" s="93" t="s">
        <v>39</v>
      </c>
      <c r="I6" s="93" t="s">
        <v>40</v>
      </c>
      <c r="J6" s="93" t="s">
        <v>41</v>
      </c>
      <c r="K6" s="93" t="s">
        <v>42</v>
      </c>
      <c r="L6" s="93" t="s">
        <v>43</v>
      </c>
      <c r="M6" s="93" t="s">
        <v>44</v>
      </c>
      <c r="N6" s="93" t="s">
        <v>45</v>
      </c>
      <c r="O6" s="93" t="s">
        <v>46</v>
      </c>
      <c r="P6" s="93" t="s">
        <v>47</v>
      </c>
    </row>
    <row r="7" spans="2:16" x14ac:dyDescent="0.3">
      <c r="C7" s="24" t="s">
        <v>1</v>
      </c>
      <c r="D7" s="25">
        <f>VLOOKUP($C$6, MotorSpecs, 2, FALSE)</f>
        <v>5330</v>
      </c>
      <c r="E7" s="26">
        <f>D7*(D14/12)</f>
        <v>4885.833333333333</v>
      </c>
      <c r="G7" s="94" t="s">
        <v>34</v>
      </c>
      <c r="H7" s="95">
        <f>I17</f>
        <v>20</v>
      </c>
      <c r="I7" s="95">
        <f>$E$17*I13*IF($B$4, 2.205, 1)/$E$8*0.113</f>
        <v>11.278687287815917</v>
      </c>
      <c r="J7" s="95">
        <f>$E$17*$E$18/8.8507/((SQRT($E$9)*$E$8)/(SQRT($E$10)+SQRT($E$9)))</f>
        <v>44.914526214849644</v>
      </c>
      <c r="K7" s="95">
        <f>$E$17*K13*IF($B$4, 2.205, 1)/$E$8*0.113</f>
        <v>5.6393436439079583</v>
      </c>
      <c r="L7" s="95">
        <f>($E$7*$E$8+SQRT(($E$7*$E$8)^2-27.119*$E$18*$E$17*L9*$E$7*$E$8))/(120*L9*$E$8)</f>
        <v>75.335154890959018</v>
      </c>
      <c r="M7" s="95">
        <f>($E$7*$E$8+SQRT(($E$7*$E$8)^2-27.119*$E$18*$E$17*M9*$E$7*$E$8))/(120*M9*$E$8)</f>
        <v>35.948632261633549</v>
      </c>
      <c r="N7" s="95">
        <f>($E$10-$E$9)/$E$8*$E$17*$E$18/$D$13/0.2248/39.37/(N12-$E$9/$D$13)</f>
        <v>24.093459457162297</v>
      </c>
      <c r="O7" s="95">
        <f>$E$17*O13*IF($B$4, 2.205, 1)/$E$8*0.113</f>
        <v>19.181440965673325</v>
      </c>
      <c r="P7" s="95">
        <f>12*0.113*$E$17*$E$18/($D$15*$D$8*$D$13*P14)</f>
        <v>6.2032780082987529</v>
      </c>
    </row>
    <row r="8" spans="2:16" x14ac:dyDescent="0.3">
      <c r="C8" s="30" t="s">
        <v>2</v>
      </c>
      <c r="D8" s="31">
        <f>VLOOKUP($C$6, MotorSpecs, 3, FALSE)</f>
        <v>2.41</v>
      </c>
      <c r="E8" s="32">
        <f>D8*D13*(D14/12)*D15</f>
        <v>3.5346666666666664</v>
      </c>
      <c r="G8" s="66" t="s">
        <v>35</v>
      </c>
      <c r="H8" s="96">
        <f t="shared" ref="H8:P8" si="0">$E$7/H7/60</f>
        <v>4.0715277777777779</v>
      </c>
      <c r="I8" s="96">
        <f t="shared" si="0"/>
        <v>7.2198610953176212</v>
      </c>
      <c r="J8" s="96">
        <f t="shared" si="0"/>
        <v>1.8130115670380369</v>
      </c>
      <c r="K8" s="96">
        <f t="shared" si="0"/>
        <v>14.439722190635242</v>
      </c>
      <c r="L8" s="96">
        <f t="shared" si="0"/>
        <v>1.0809104417906765</v>
      </c>
      <c r="M8" s="96">
        <f t="shared" si="0"/>
        <v>2.2651920374301118</v>
      </c>
      <c r="N8" s="96">
        <f t="shared" si="0"/>
        <v>3.3797784705985245</v>
      </c>
      <c r="O8" s="96">
        <f t="shared" si="0"/>
        <v>4.2452783240467618</v>
      </c>
      <c r="P8" s="96">
        <f t="shared" si="0"/>
        <v>13.127020173304768</v>
      </c>
    </row>
    <row r="9" spans="2:16" x14ac:dyDescent="0.3">
      <c r="C9" s="30" t="s">
        <v>3</v>
      </c>
      <c r="D9" s="33">
        <f>VLOOKUP($C$6, MotorSpecs, 4, FALSE)</f>
        <v>2.7</v>
      </c>
      <c r="E9" s="34">
        <f>D9*D13*(D14/12)</f>
        <v>4.95</v>
      </c>
      <c r="G9" s="66" t="s">
        <v>36</v>
      </c>
      <c r="H9" s="97">
        <f>H8*(1-$D$18/H13)</f>
        <v>2.9235967328939667</v>
      </c>
      <c r="I9" s="97">
        <f t="shared" ref="I9:K9" si="1">I8*(1-$D$18/I13)</f>
        <v>3.6099305476588106</v>
      </c>
      <c r="J9" s="97">
        <f t="shared" si="1"/>
        <v>1.5853959025627293</v>
      </c>
      <c r="K9" s="97">
        <f t="shared" si="1"/>
        <v>0</v>
      </c>
      <c r="L9" s="9">
        <v>1</v>
      </c>
      <c r="M9" s="97">
        <f>M11*IF($B$4, 3.281, 1)/$E$17/2/PI()*12</f>
        <v>1.909859317102744</v>
      </c>
      <c r="N9" s="97">
        <f>N8*(1-$D$18/N13)</f>
        <v>2.588776678747966</v>
      </c>
      <c r="O9" s="97">
        <f>O8*(1-$D$18/O13)</f>
        <v>2.9971664967770137</v>
      </c>
      <c r="P9" s="97">
        <f>P8*(1-$D$18/P13)</f>
        <v>1.1944690880851982</v>
      </c>
    </row>
    <row r="10" spans="2:16" x14ac:dyDescent="0.3">
      <c r="C10" s="30" t="s">
        <v>4</v>
      </c>
      <c r="D10" s="35">
        <f>VLOOKUP($C$6, MotorSpecs, 5, FALSE)</f>
        <v>131</v>
      </c>
      <c r="E10" s="36">
        <f>D10*D13*(D14/12)</f>
        <v>240.16666666666666</v>
      </c>
      <c r="G10" s="66" t="str">
        <f>"Free Lin. Speed (" &amp; IF($B$4, "m", "ft") &amp; "/s)"</f>
        <v>Free Lin. Speed (ft/s)</v>
      </c>
      <c r="H10" s="97">
        <f>H8*2*PI()*$E$17/12/IF($B$4, 3.281, 1)</f>
        <v>4.2636939185178129</v>
      </c>
      <c r="I10" s="97">
        <f t="shared" ref="I10:L10" si="2">I8*2*PI()*$E$17/12/IF($B$4, 3.281, 1)</f>
        <v>7.5606208589961961</v>
      </c>
      <c r="J10" s="97">
        <f t="shared" si="2"/>
        <v>1.898581273293338</v>
      </c>
      <c r="K10" s="97">
        <f t="shared" si="2"/>
        <v>15.121241717992392</v>
      </c>
      <c r="L10" s="97">
        <f t="shared" si="2"/>
        <v>1.1319267677060285</v>
      </c>
      <c r="M10" s="97">
        <f t="shared" ref="M10" si="3">M8*2*PI()*$D$17/12/IF($B$4, 3.281, 1)</f>
        <v>2.3721035545868441</v>
      </c>
      <c r="N10" s="97">
        <f t="shared" ref="N10:P11" si="4">N8*2*PI()*$E$17/12/IF($B$4, 3.281, 1)</f>
        <v>3.5392957379977559</v>
      </c>
      <c r="O10" s="97">
        <f t="shared" si="4"/>
        <v>4.4456450650897636</v>
      </c>
      <c r="P10" s="97">
        <f t="shared" si="4"/>
        <v>13.746583379993085</v>
      </c>
    </row>
    <row r="11" spans="2:16" x14ac:dyDescent="0.3">
      <c r="C11" s="37" t="s">
        <v>5</v>
      </c>
      <c r="D11" s="38">
        <f>VLOOKUP($C$6, MotorSpecs, 6, FALSE)</f>
        <v>336.28916760964142</v>
      </c>
      <c r="E11" s="39">
        <f>(E7/60*2*PI())*E8/4</f>
        <v>452.12210311962895</v>
      </c>
      <c r="G11" s="66" t="str">
        <f>"Loaded Lin. Speed (" &amp; IF($B$4, "m", "ft") &amp; "/s)"</f>
        <v>Loaded Lin. Speed (ft/s)</v>
      </c>
      <c r="H11" s="97">
        <f>H9*2*PI()*$E$17/12/IF($B$4, 3.281, 1)</f>
        <v>3.0615833393729344</v>
      </c>
      <c r="I11" s="97">
        <f t="shared" ref="I11:L11" si="5">I9*2*PI()*$E$17/12/IF($B$4, 3.281, 1)</f>
        <v>3.780310429498098</v>
      </c>
      <c r="J11" s="97">
        <f t="shared" si="5"/>
        <v>1.6602227068408093</v>
      </c>
      <c r="K11" s="97">
        <f t="shared" si="5"/>
        <v>0</v>
      </c>
      <c r="L11" s="97">
        <f t="shared" si="5"/>
        <v>1.0471975511965974</v>
      </c>
      <c r="M11" s="9">
        <v>1.9999999999999996</v>
      </c>
      <c r="N11" s="97">
        <f t="shared" si="4"/>
        <v>2.7109605985797303</v>
      </c>
      <c r="O11" s="97">
        <f t="shared" si="4"/>
        <v>3.1386254159533729</v>
      </c>
      <c r="P11" s="97">
        <f t="shared" si="4"/>
        <v>1.2508451040228523</v>
      </c>
    </row>
    <row r="12" spans="2:16" x14ac:dyDescent="0.3">
      <c r="G12" s="66" t="s">
        <v>37</v>
      </c>
      <c r="H12" s="77">
        <f t="shared" ref="H12:M12" si="6">($E$10-$E$9)/$E$8*$E$17*$E$18/H7/$D$13/0.2248/39.37 + $E$9/$D$13</f>
        <v>35.633623577919614</v>
      </c>
      <c r="I12" s="77">
        <f t="shared" si="6"/>
        <v>61.273728489866095</v>
      </c>
      <c r="J12" s="77">
        <f t="shared" si="6"/>
        <v>17.240211334660238</v>
      </c>
      <c r="K12" s="77">
        <f t="shared" si="6"/>
        <v>120.07245697973218</v>
      </c>
      <c r="L12" s="77">
        <f t="shared" si="6"/>
        <v>11.277961545884864</v>
      </c>
      <c r="M12" s="77">
        <f t="shared" si="6"/>
        <v>20.922780342012295</v>
      </c>
      <c r="N12" s="10">
        <v>30</v>
      </c>
      <c r="O12" s="77">
        <f t="shared" ref="O12:P12" si="7">($E$10-$E$9)/$E$8*$E$17*$E$18/O7/$D$13/0.2248/39.37 + $E$9/$D$13</f>
        <v>37.048652352041266</v>
      </c>
      <c r="P12" s="77">
        <f t="shared" si="7"/>
        <v>109.38177907248382</v>
      </c>
    </row>
    <row r="13" spans="2:16" x14ac:dyDescent="0.3">
      <c r="C13" s="41" t="s">
        <v>31</v>
      </c>
      <c r="D13" s="11">
        <v>2</v>
      </c>
      <c r="G13" s="66" t="str">
        <f>"Stall Load (" &amp; IF($B$4, "kgf", "lbf") &amp; ")"</f>
        <v>Stall Load (lbf)</v>
      </c>
      <c r="H13" s="98">
        <f>$E$8*H7*39.37*0.2248/$E$17/IF($B$4, 2.205, 1)</f>
        <v>312.83129034666672</v>
      </c>
      <c r="I13" s="98">
        <f>2*D18</f>
        <v>176.4</v>
      </c>
      <c r="J13" s="98">
        <f>$E$8*J7*39.37*0.2248/$E$17/IF($B$4, 2.205, 1)</f>
        <v>702.53345955503016</v>
      </c>
      <c r="K13" s="98">
        <f>D18</f>
        <v>88.2</v>
      </c>
      <c r="L13" s="98">
        <f>$E$8*L7*39.37*0.2248/$E$17/IF($B$4, 2.205, 1)</f>
        <v>1178.3596856502354</v>
      </c>
      <c r="M13" s="98">
        <f>$E$8*M7*39.37*0.2248/$E$17/IF($B$4, 2.205, 1)</f>
        <v>562.29285083023171</v>
      </c>
      <c r="N13" s="98">
        <f>$E$8*N7*39.37*0.2248/$E$17/IF($B$4, 2.205, 1)</f>
        <v>376.8594005449591</v>
      </c>
      <c r="O13" s="12">
        <v>300</v>
      </c>
      <c r="P13" s="98">
        <f>$E$8*P7*39.37*0.2248/$E$17/IF($B$4, 2.205, 1)</f>
        <v>97.028973185759966</v>
      </c>
    </row>
    <row r="14" spans="2:16" x14ac:dyDescent="0.3">
      <c r="C14" s="41" t="s">
        <v>32</v>
      </c>
      <c r="D14" s="11">
        <v>11</v>
      </c>
      <c r="G14" s="67" t="s">
        <v>38</v>
      </c>
      <c r="H14" s="99">
        <f t="shared" ref="H14:O14" si="8">12*0.113*$E$17*$E$18/($D$15*$D$8*$D$13*H7)</f>
        <v>3.1016390041493764</v>
      </c>
      <c r="I14" s="99">
        <f t="shared" si="8"/>
        <v>5.4999999999999991</v>
      </c>
      <c r="J14" s="99">
        <f t="shared" si="8"/>
        <v>1.3811295656610589</v>
      </c>
      <c r="K14" s="99">
        <f t="shared" si="8"/>
        <v>10.999999999999998</v>
      </c>
      <c r="L14" s="99">
        <f t="shared" si="8"/>
        <v>0.82342407303435561</v>
      </c>
      <c r="M14" s="99">
        <f t="shared" si="8"/>
        <v>1.7255949998740978</v>
      </c>
      <c r="N14" s="99">
        <f t="shared" ref="N14" si="9">12*0.113*$E$17*$E$18/($D$15*$D$8*$D$13*N7)</f>
        <v>2.5746730224972723</v>
      </c>
      <c r="O14" s="99">
        <f t="shared" si="8"/>
        <v>3.234</v>
      </c>
      <c r="P14" s="13">
        <v>10</v>
      </c>
    </row>
    <row r="15" spans="2:16" x14ac:dyDescent="0.3">
      <c r="C15" s="41" t="s">
        <v>33</v>
      </c>
      <c r="D15" s="14">
        <v>0.8</v>
      </c>
    </row>
    <row r="17" spans="3:15" x14ac:dyDescent="0.3">
      <c r="C17" s="41" t="str">
        <f>"Radius (" &amp; IF($B$4, "mm", "in") &amp; ")"</f>
        <v>Radius (in)</v>
      </c>
      <c r="D17" s="15">
        <v>1.9999999999999993</v>
      </c>
      <c r="E17" s="3">
        <f>D17/IF($B$4, 25.4, 1)</f>
        <v>1.9999999999999993</v>
      </c>
      <c r="H17" s="22" t="s">
        <v>48</v>
      </c>
      <c r="I17" s="100">
        <f>IF(PRODUCT(I18:I21)&gt;0,PRODUCT(I18:I21),1)/IF(PRODUCT(H18:H21)&gt;0,PRODUCT(H18:H21), 1)</f>
        <v>20</v>
      </c>
    </row>
    <row r="18" spans="3:15" x14ac:dyDescent="0.3">
      <c r="C18" s="41" t="str">
        <f>"Load (" &amp; IF($B$4, "kgf", "lbf") &amp; ")"</f>
        <v>Load (lbf)</v>
      </c>
      <c r="D18" s="16">
        <v>88.2</v>
      </c>
      <c r="E18" s="3">
        <f>D18*IF($B$4, 2.205, 1)</f>
        <v>88.2</v>
      </c>
      <c r="H18" s="17"/>
      <c r="I18" s="18">
        <v>6</v>
      </c>
    </row>
    <row r="19" spans="3:15" x14ac:dyDescent="0.3">
      <c r="H19" s="17">
        <v>18</v>
      </c>
      <c r="I19" s="18">
        <v>60</v>
      </c>
    </row>
    <row r="20" spans="3:15" x14ac:dyDescent="0.3">
      <c r="H20" s="17"/>
      <c r="I20" s="18"/>
    </row>
    <row r="21" spans="3:15" x14ac:dyDescent="0.3">
      <c r="H21" s="17"/>
      <c r="I21" s="18"/>
    </row>
    <row r="23" spans="3:15" ht="15" thickBot="1" x14ac:dyDescent="0.35"/>
    <row r="24" spans="3:15" ht="18.75" customHeight="1" x14ac:dyDescent="0.3">
      <c r="D24" s="170" t="s">
        <v>49</v>
      </c>
      <c r="E24" s="171"/>
      <c r="F24" s="171"/>
      <c r="G24" s="171"/>
      <c r="H24" s="171"/>
      <c r="I24" s="171"/>
      <c r="J24" s="171"/>
      <c r="K24" s="171"/>
      <c r="L24" s="171"/>
      <c r="M24" s="171"/>
      <c r="N24" s="171"/>
      <c r="O24" s="172"/>
    </row>
    <row r="25" spans="3:15" ht="75" customHeight="1" x14ac:dyDescent="0.3">
      <c r="D25" s="173" t="s">
        <v>50</v>
      </c>
      <c r="E25" s="174"/>
      <c r="F25" s="174"/>
      <c r="G25" s="174"/>
      <c r="H25" s="174"/>
      <c r="I25" s="174"/>
      <c r="J25" s="174"/>
      <c r="K25" s="174"/>
      <c r="L25" s="174"/>
      <c r="M25" s="174"/>
      <c r="N25" s="174"/>
      <c r="O25" s="175"/>
    </row>
    <row r="26" spans="3:15" ht="72" customHeight="1" x14ac:dyDescent="0.3">
      <c r="D26" s="173" t="s">
        <v>51</v>
      </c>
      <c r="E26" s="174"/>
      <c r="F26" s="174"/>
      <c r="G26" s="174"/>
      <c r="H26" s="174"/>
      <c r="I26" s="174"/>
      <c r="J26" s="174"/>
      <c r="K26" s="174"/>
      <c r="L26" s="174"/>
      <c r="M26" s="174"/>
      <c r="N26" s="174"/>
      <c r="O26" s="175"/>
    </row>
    <row r="27" spans="3:15" ht="73.5" customHeight="1" thickBot="1" x14ac:dyDescent="0.35">
      <c r="D27" s="167" t="s">
        <v>52</v>
      </c>
      <c r="E27" s="168"/>
      <c r="F27" s="168"/>
      <c r="G27" s="168"/>
      <c r="H27" s="168"/>
      <c r="I27" s="168"/>
      <c r="J27" s="168"/>
      <c r="K27" s="168"/>
      <c r="L27" s="168"/>
      <c r="M27" s="168"/>
      <c r="N27" s="168"/>
      <c r="O27" s="169"/>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82" priority="26">
      <formula>LEN(TRIM(D9))=0</formula>
    </cfRule>
  </conditionalFormatting>
  <conditionalFormatting sqref="H18:I21">
    <cfRule type="expression" dxfId="81" priority="18">
      <formula>$I$17=1</formula>
    </cfRule>
  </conditionalFormatting>
  <conditionalFormatting sqref="D14">
    <cfRule type="cellIs" dxfId="80" priority="17" operator="greaterThan">
      <formula>12</formula>
    </cfRule>
  </conditionalFormatting>
  <conditionalFormatting sqref="P14">
    <cfRule type="cellIs" dxfId="79" priority="16" operator="greaterThan">
      <formula>$D$14</formula>
    </cfRule>
  </conditionalFormatting>
  <conditionalFormatting sqref="D15">
    <cfRule type="cellIs" dxfId="78" priority="15" operator="greaterThan">
      <formula>1</formula>
    </cfRule>
  </conditionalFormatting>
  <conditionalFormatting sqref="D13:D15 D17:D18 L9 M11 N12 O13 P14">
    <cfRule type="cellIs" dxfId="77" priority="14" operator="lessThanOrEqual">
      <formula>0</formula>
    </cfRule>
  </conditionalFormatting>
  <conditionalFormatting sqref="D13:D15 D17:D18 H18:I21 L9 M11 N12 O13 P14">
    <cfRule type="expression" dxfId="76" priority="8">
      <formula>ISTEXT(D9)</formula>
    </cfRule>
  </conditionalFormatting>
  <conditionalFormatting sqref="P7:P13">
    <cfRule type="expression" dxfId="75" priority="7">
      <formula>ISERROR($P$7)</formula>
    </cfRule>
  </conditionalFormatting>
  <conditionalFormatting sqref="O7:O12 O14">
    <cfRule type="expression" dxfId="74" priority="6">
      <formula>ISERROR($O$8)</formula>
    </cfRule>
  </conditionalFormatting>
  <conditionalFormatting sqref="N7:N11 N13:N14">
    <cfRule type="expression" dxfId="73" priority="4">
      <formula>$N$9&lt;0</formula>
    </cfRule>
  </conditionalFormatting>
  <conditionalFormatting sqref="M7:M10 M12:M14">
    <cfRule type="expression" dxfId="72" priority="3">
      <formula>ISERROR($M$7)</formula>
    </cfRule>
  </conditionalFormatting>
  <conditionalFormatting sqref="L7:L8 L10:L14">
    <cfRule type="expression" dxfId="71" priority="2">
      <formula>ISERROR($L$7)</formula>
    </cfRule>
  </conditionalFormatting>
  <conditionalFormatting sqref="H7:H14">
    <cfRule type="expression" dxfId="70" priority="1">
      <formula>$H$9&lt;=0</formula>
    </cfRule>
  </conditionalFormatting>
  <dataValidations count="1">
    <dataValidation type="list" allowBlank="1" showErrorMessage="1" errorTitle="Error" error="Not a valid motor." sqref="C6:D6" xr:uid="{00000000-0002-0000-0100-000000000000}">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182880</xdr:rowOff>
                  </from>
                  <to>
                    <xdr:col>2</xdr:col>
                    <xdr:colOff>7620</xdr:colOff>
                    <xdr:row>4</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J23"/>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6640625" style="1" customWidth="1"/>
    <col min="8" max="16384" width="9.109375" style="1"/>
  </cols>
  <sheetData>
    <row r="2" spans="2:10" ht="31.2" x14ac:dyDescent="0.3">
      <c r="C2" s="2" t="s">
        <v>53</v>
      </c>
    </row>
    <row r="4" spans="2:10" x14ac:dyDescent="0.3">
      <c r="B4" s="8" t="b">
        <v>0</v>
      </c>
      <c r="C4" s="1" t="s">
        <v>0</v>
      </c>
    </row>
    <row r="6" spans="2:10" x14ac:dyDescent="0.3">
      <c r="C6" s="101" t="str">
        <f>"Diameter (" &amp; IF($B$4,"mm","in") &amp; ")"</f>
        <v>Diameter (in)</v>
      </c>
      <c r="D6" s="107">
        <v>0.375</v>
      </c>
      <c r="G6" s="90" t="s">
        <v>62</v>
      </c>
      <c r="H6" s="102">
        <f>(D7*D8/(PI()*(D6-D7/2)))/((PI()*(D6-D7/2)*D14+D7*D8*COS(0.5*RADIANS(D9)))/(PI()*(D6-D7/2)*COS(0.5*RADIANS(D9))-D14*D7*D8))</f>
        <v>0.41621760320185969</v>
      </c>
    </row>
    <row r="7" spans="2:10" x14ac:dyDescent="0.3">
      <c r="C7" s="101" t="str">
        <f>"Pitch (" &amp; IF($B$4, "mm", "in") &amp; "/rev)"</f>
        <v>Pitch (in/rev)</v>
      </c>
      <c r="D7" s="107">
        <v>0.1</v>
      </c>
      <c r="G7" s="90" t="str">
        <f>"Equivalent Radius (" &amp; IF($B$4, "mm", "in") &amp; ")"</f>
        <v>Equivalent Radius (in)</v>
      </c>
      <c r="H7" s="42">
        <f>D7*D8/(2*PI())</f>
        <v>1.5915494309189534E-2</v>
      </c>
    </row>
    <row r="8" spans="2:10" x14ac:dyDescent="0.3">
      <c r="C8" s="101" t="s">
        <v>54</v>
      </c>
      <c r="D8" s="18">
        <v>1</v>
      </c>
    </row>
    <row r="9" spans="2:10" x14ac:dyDescent="0.3">
      <c r="C9" s="101" t="s">
        <v>55</v>
      </c>
      <c r="D9" s="18">
        <v>29</v>
      </c>
      <c r="G9" s="65" t="str">
        <f>"Applied Force (" &amp; IF($B$4, "N", "lbf") &amp; ")"</f>
        <v>Applied Force (lbf)</v>
      </c>
      <c r="H9" s="19">
        <v>889.60000000000048</v>
      </c>
      <c r="I9" s="103">
        <f>I10/(($D$6-$D$7/2)/2*((PI()*($D$6-$D$7/2)*$D$14+$D$7*$D$8*COS(0.5*RADIANS($D$9)))/(PI()*($D$6-$D$7/2)*COS(0.5*RADIANS($D$9))-$D$14*$D$7*$D$8)))</f>
        <v>46.294429616346761</v>
      </c>
      <c r="J9" s="103">
        <f>J11/(($D$6-$D$7/2)/2*((PI()*$D$14*($D$6-$D$7/2)-$D$7*$D$8*COS(0.5*RADIANS($D$9)))/(PI()*($D$6-$D$7/2)*COS(0.5*RADIANS($D$9))+$D$14*$D$7*$D$8)))</f>
        <v>45.562656592416822</v>
      </c>
    </row>
    <row r="10" spans="2:10" x14ac:dyDescent="0.3">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x14ac:dyDescent="0.3">
      <c r="C11" s="101" t="s">
        <v>56</v>
      </c>
      <c r="D11" s="18" t="s">
        <v>59</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x14ac:dyDescent="0.3">
      <c r="C12" s="101" t="s">
        <v>57</v>
      </c>
      <c r="D12" s="18" t="s">
        <v>64</v>
      </c>
      <c r="G12" s="66" t="str">
        <f>"Eq. Raise Load (" &amp; IF($B$4, "kgf", "lbf") &amp; ")"</f>
        <v>Eq. Raise Load (lbf)</v>
      </c>
      <c r="H12" s="77">
        <f t="shared" ref="H12:J13" si="0">H10/$H$7/9.8</f>
        <v>218.09627825869933</v>
      </c>
      <c r="I12" s="77">
        <f t="shared" si="0"/>
        <v>11.349643439112555</v>
      </c>
      <c r="J12" s="77">
        <f t="shared" si="0"/>
        <v>11.170240366889946</v>
      </c>
    </row>
    <row r="13" spans="2:10" x14ac:dyDescent="0.3">
      <c r="C13" s="101" t="s">
        <v>58</v>
      </c>
      <c r="D13" s="18" t="s">
        <v>60</v>
      </c>
      <c r="G13" s="67" t="str">
        <f>"Eq. Lower Load (" &amp; IF($B$4, "kgf", "lbf") &amp; ")"</f>
        <v>Eq. Lower Load (lbf)</v>
      </c>
      <c r="H13" s="99">
        <f t="shared" si="0"/>
        <v>33.239862066498624</v>
      </c>
      <c r="I13" s="99">
        <f t="shared" si="0"/>
        <v>1.7297891804120888</v>
      </c>
      <c r="J13" s="99">
        <f t="shared" si="0"/>
        <v>1.7024465158668827</v>
      </c>
    </row>
    <row r="14" spans="2:10" x14ac:dyDescent="0.3">
      <c r="D14" s="3">
        <f>IF($D$11="Steel", IF($D$13="No",IF($D$12="Steel",0.2,IF($D$12="Bronze",0.19,IF($D$12="Brass",0.17,0.2))), IF($D$12="Steel",0.14,IF($D$12="Bronze",0.13,IF($D$12="Brass",0.13,0.14)))), IF($D$12="Steel",0.1,IF($D$12="Bronze",0.05,IF($D$12="Brass",0.05,0.08))))</f>
        <v>0.13</v>
      </c>
    </row>
    <row r="15" spans="2:10" x14ac:dyDescent="0.3">
      <c r="G15" s="65" t="s">
        <v>63</v>
      </c>
      <c r="H15" s="20">
        <v>5000</v>
      </c>
      <c r="I15" s="104">
        <f>I16*60/$D$7/$D$8*IF($B$4, 1000, 12)</f>
        <v>7200</v>
      </c>
    </row>
    <row r="16" spans="2:10" x14ac:dyDescent="0.3">
      <c r="C16" s="101" t="s">
        <v>61</v>
      </c>
      <c r="D16" s="105" t="b">
        <f>((PI()*$D$14*($D$6-$D$7/2)-$D$7*$D$8*COS(0.5*RADIANS($D$9)))/(PI()*($D$6-$D$7/2)*COS(0.5*RADIANS($D$9))+$D$14*$D$7*$D$8))&lt;0</f>
        <v>0</v>
      </c>
      <c r="G16" s="67" t="str">
        <f>"Linear Speed (" &amp; IF($B$4, "m", "ft") &amp; "/s)"</f>
        <v>Linear Speed (ft/s)</v>
      </c>
      <c r="H16" s="106">
        <f>H15/60*$D$7*$D$8/IF($B$4, 1000, 12)</f>
        <v>0.69444444444444453</v>
      </c>
      <c r="I16" s="21">
        <v>1</v>
      </c>
    </row>
    <row r="19" spans="3:10" ht="43.5" customHeight="1" x14ac:dyDescent="0.3">
      <c r="C19" s="178" t="s">
        <v>65</v>
      </c>
      <c r="D19" s="179"/>
      <c r="E19" s="179"/>
      <c r="F19" s="179"/>
      <c r="G19" s="179"/>
      <c r="H19" s="179"/>
      <c r="I19" s="179"/>
      <c r="J19" s="180"/>
    </row>
    <row r="20" spans="3:10" x14ac:dyDescent="0.3">
      <c r="C20" s="181" t="s">
        <v>66</v>
      </c>
      <c r="D20" s="182"/>
      <c r="E20" s="182"/>
      <c r="F20" s="182"/>
      <c r="G20" s="182"/>
      <c r="H20" s="182"/>
      <c r="I20" s="182"/>
      <c r="J20" s="183"/>
    </row>
    <row r="22" spans="3:10" ht="43.5" customHeight="1" x14ac:dyDescent="0.3">
      <c r="C22" s="178" t="s">
        <v>67</v>
      </c>
      <c r="D22" s="179"/>
      <c r="E22" s="179"/>
      <c r="F22" s="179"/>
      <c r="G22" s="179"/>
      <c r="H22" s="179"/>
      <c r="I22" s="179"/>
      <c r="J22" s="180"/>
    </row>
    <row r="23" spans="3:10" ht="29.25" customHeight="1" x14ac:dyDescent="0.3">
      <c r="C23" s="181" t="s">
        <v>68</v>
      </c>
      <c r="D23" s="182"/>
      <c r="E23" s="182"/>
      <c r="F23" s="182"/>
      <c r="G23" s="182"/>
      <c r="H23" s="182"/>
      <c r="I23" s="182"/>
      <c r="J23" s="183"/>
    </row>
  </sheetData>
  <sheetProtection sheet="1" objects="1" scenarios="1" formatCells="0" formatColumns="0" formatRows="0"/>
  <mergeCells count="4">
    <mergeCell ref="C19:J19"/>
    <mergeCell ref="C20:J20"/>
    <mergeCell ref="C22:J22"/>
    <mergeCell ref="C23:J23"/>
  </mergeCells>
  <conditionalFormatting sqref="J9:J10 J12:J13">
    <cfRule type="expression" dxfId="69" priority="6">
      <formula>$J$9&lt;0</formula>
    </cfRule>
  </conditionalFormatting>
  <conditionalFormatting sqref="I9 I11:I13">
    <cfRule type="expression" dxfId="68" priority="5">
      <formula>$I$9&lt;0</formula>
    </cfRule>
  </conditionalFormatting>
  <conditionalFormatting sqref="H9 I10 I16 H15 D6:D9">
    <cfRule type="cellIs" dxfId="67" priority="4" operator="lessThan">
      <formula>0</formula>
    </cfRule>
  </conditionalFormatting>
  <conditionalFormatting sqref="J11 I10 H9 I16 H15 D6:D9 D11:D13">
    <cfRule type="containsBlanks" dxfId="66" priority="3">
      <formula>LEN(TRIM(D6))=0</formula>
    </cfRule>
  </conditionalFormatting>
  <conditionalFormatting sqref="D9">
    <cfRule type="cellIs" dxfId="65" priority="2" operator="greaterThan">
      <formula>90</formula>
    </cfRule>
  </conditionalFormatting>
  <conditionalFormatting sqref="D6:D9 H9 I10 J11 H15 I16">
    <cfRule type="expression" dxfId="64" priority="1">
      <formula>ISTEXT(D6)</formula>
    </cfRule>
  </conditionalFormatting>
  <dataValidations count="4">
    <dataValidation type="list" allowBlank="1" showInputMessage="1" prompt="You can choose a common thread angle or enter a custom angle" sqref="D9" xr:uid="{00000000-0002-0000-0200-000000000000}">
      <formula1>"29,30,90"</formula1>
    </dataValidation>
    <dataValidation type="list" allowBlank="1" showInputMessage="1" showErrorMessage="1" sqref="D11" xr:uid="{00000000-0002-0000-0200-000001000000}">
      <formula1>"Steel,Bronze"</formula1>
    </dataValidation>
    <dataValidation type="list" allowBlank="1" showInputMessage="1" showErrorMessage="1" sqref="D12" xr:uid="{00000000-0002-0000-0200-000002000000}">
      <formula1>"Steel,Bronze,Brass,Cast Iron"</formula1>
    </dataValidation>
    <dataValidation type="list" allowBlank="1" showInputMessage="1" showErrorMessage="1" sqref="D13" xr:uid="{00000000-0002-0000-0200-000003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N27"/>
  <sheetViews>
    <sheetView zoomScaleNormal="100" workbookViewId="0"/>
  </sheetViews>
  <sheetFormatPr defaultColWidth="9.109375" defaultRowHeight="14.4" x14ac:dyDescent="0.3"/>
  <cols>
    <col min="1" max="1" width="7.109375" style="1" customWidth="1"/>
    <col min="2" max="2" width="3.33203125" style="1" customWidth="1"/>
    <col min="3" max="3" width="21.5546875" style="1" customWidth="1"/>
    <col min="4" max="4" width="9.109375" style="1" customWidth="1"/>
    <col min="5" max="5" width="9.109375" style="1"/>
    <col min="6" max="6" width="14.33203125" style="1" customWidth="1"/>
    <col min="7" max="8" width="11.44140625" style="1" customWidth="1"/>
    <col min="9" max="9" width="9.109375" style="1" customWidth="1"/>
    <col min="10" max="10" width="13.33203125" style="1" customWidth="1"/>
    <col min="11" max="11" width="8.109375" style="1" customWidth="1"/>
    <col min="12" max="12" width="9.109375" style="1" customWidth="1"/>
    <col min="13" max="16384" width="9.109375" style="1"/>
  </cols>
  <sheetData>
    <row r="2" spans="2:14" ht="31.2" x14ac:dyDescent="0.3">
      <c r="C2" s="2" t="s">
        <v>69</v>
      </c>
    </row>
    <row r="4" spans="2:14" x14ac:dyDescent="0.3">
      <c r="B4" s="8" t="b">
        <v>0</v>
      </c>
      <c r="C4" s="1" t="s">
        <v>0</v>
      </c>
    </row>
    <row r="6" spans="2:14" x14ac:dyDescent="0.3">
      <c r="C6" s="176" t="s">
        <v>6</v>
      </c>
      <c r="D6" s="184"/>
      <c r="E6" s="22" t="s">
        <v>30</v>
      </c>
      <c r="G6" s="90" t="s">
        <v>75</v>
      </c>
      <c r="H6" s="91" t="s">
        <v>76</v>
      </c>
      <c r="I6" s="91" t="s">
        <v>77</v>
      </c>
      <c r="J6" s="23" t="str">
        <f>"C-C dist. (" &amp; IF($B$4, "mm", "in") &amp; ")"</f>
        <v>C-C dist. (in)</v>
      </c>
    </row>
    <row r="7" spans="2:14" x14ac:dyDescent="0.3">
      <c r="C7" s="24" t="s">
        <v>1</v>
      </c>
      <c r="D7" s="25">
        <f>VLOOKUP($C$6, MotorSpecs, 2, FALSE)</f>
        <v>5330</v>
      </c>
      <c r="E7" s="26">
        <f>D7*(D14/12)</f>
        <v>4885.833333333333</v>
      </c>
      <c r="G7" s="27">
        <v>12</v>
      </c>
      <c r="H7" s="28">
        <v>54</v>
      </c>
      <c r="I7" s="28">
        <v>20</v>
      </c>
      <c r="J7" s="29">
        <f>IF(COUNTBLANK(G7:I7)&gt;0, "", ((G7+H7)/(2*I7)+0.003)*IF($B$4, 25.4, 1))</f>
        <v>1.6529999999999998</v>
      </c>
    </row>
    <row r="8" spans="2:14"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x14ac:dyDescent="0.3">
      <c r="C9" s="30" t="s">
        <v>3</v>
      </c>
      <c r="D9" s="33">
        <f>VLOOKUP($C$6, MotorSpecs, 4, FALSE)</f>
        <v>2.7</v>
      </c>
      <c r="E9" s="34">
        <f>D9*D13*(D14/12)</f>
        <v>14.850000000000001</v>
      </c>
      <c r="G9" s="27"/>
      <c r="H9" s="28"/>
      <c r="I9" s="28"/>
      <c r="J9" s="29" t="str">
        <f t="shared" si="0"/>
        <v/>
      </c>
    </row>
    <row r="10" spans="2:14" x14ac:dyDescent="0.3">
      <c r="C10" s="30" t="s">
        <v>4</v>
      </c>
      <c r="D10" s="35">
        <f>VLOOKUP($C$6, MotorSpecs, 5, FALSE)</f>
        <v>131</v>
      </c>
      <c r="E10" s="36">
        <f>D10*D13*(D14/12)</f>
        <v>720.5</v>
      </c>
      <c r="G10" s="27"/>
      <c r="H10" s="28"/>
      <c r="I10" s="28"/>
      <c r="J10" s="29" t="str">
        <f t="shared" si="0"/>
        <v/>
      </c>
    </row>
    <row r="11" spans="2:14" x14ac:dyDescent="0.3">
      <c r="C11" s="37" t="s">
        <v>5</v>
      </c>
      <c r="D11" s="38">
        <f>VLOOKUP($C$6, MotorSpecs, 6, FALSE)</f>
        <v>336.28916760964142</v>
      </c>
      <c r="E11" s="39">
        <f>(E7/60*2*PI())*E8/4</f>
        <v>1356.3663093588871</v>
      </c>
    </row>
    <row r="12" spans="2:14" x14ac:dyDescent="0.3">
      <c r="G12" s="187" t="s">
        <v>78</v>
      </c>
      <c r="H12" s="188"/>
      <c r="I12" s="40">
        <f>IF(COUNTBLANK($H$7:$H$10)&lt;4, PRODUCT($H$7:$H$10), 1)/IF(COUNTBLANK($G$7:$G$10)&lt;4, PRODUCT($G$7:$G$10), 1)</f>
        <v>12.5</v>
      </c>
    </row>
    <row r="13" spans="2:14" x14ac:dyDescent="0.3">
      <c r="C13" s="41" t="s">
        <v>80</v>
      </c>
      <c r="D13" s="11">
        <v>6</v>
      </c>
      <c r="G13" s="187" t="str">
        <f>"Adjusted Speed (" &amp; IF($B$4, "m", "ft") &amp; "/s)"</f>
        <v>Adjusted Speed (ft/s)</v>
      </c>
      <c r="H13" s="188"/>
      <c r="I13" s="42">
        <f>I14*$D$16</f>
        <v>6.0715001399693662</v>
      </c>
      <c r="N13" s="43"/>
    </row>
    <row r="14" spans="2:14" x14ac:dyDescent="0.3">
      <c r="C14" s="41" t="s">
        <v>32</v>
      </c>
      <c r="D14" s="11">
        <v>11</v>
      </c>
      <c r="G14" s="187" t="str">
        <f>"Free Speed (" &amp; IF($B$4, "m", "ft") &amp; "/s)"</f>
        <v>Free Speed (ft/s)</v>
      </c>
      <c r="H14" s="188"/>
      <c r="I14" s="42">
        <f>($E$7/60)/I12*((D20/IF($B$4,25.4,1))*PI()/12)/IF($B$4, 3.281, 1)</f>
        <v>6.8219102696285008</v>
      </c>
    </row>
    <row r="15" spans="2:14" x14ac:dyDescent="0.3">
      <c r="C15" s="41" t="s">
        <v>70</v>
      </c>
      <c r="D15" s="14">
        <v>0.8</v>
      </c>
      <c r="G15" s="187" t="s">
        <v>79</v>
      </c>
      <c r="H15" s="188"/>
      <c r="I15" s="44">
        <f>(($E$10-$E$9)/$E$8)*($D$19*IF($B$4,2.205,1))*$D$17*D21/$D$13*((D20/IF($B$4,25.4,1))/2)/I12*4.448*0.0254 + $E$9/$D$13</f>
        <v>33.350043284094035</v>
      </c>
    </row>
    <row r="16" spans="2:14" x14ac:dyDescent="0.3">
      <c r="C16" s="41" t="s">
        <v>71</v>
      </c>
      <c r="D16" s="14">
        <v>0.89</v>
      </c>
    </row>
    <row r="17" spans="3:12" x14ac:dyDescent="0.3">
      <c r="C17" s="41" t="s">
        <v>72</v>
      </c>
      <c r="D17" s="14">
        <v>1</v>
      </c>
      <c r="E17" s="3"/>
      <c r="G17" s="45" t="s">
        <v>75</v>
      </c>
      <c r="H17" s="46" t="s">
        <v>76</v>
      </c>
      <c r="J17" s="185" t="s">
        <v>78</v>
      </c>
      <c r="K17" s="186"/>
      <c r="L17" s="40">
        <f>IF(COUNTBLANK($H$7:$H$10)&lt;4, PRODUCT($H$7:$H$10), 1)*IF(ISBLANK(H18), 1, H18) / (IF(COUNTBLANK($G$7:$G$10)&lt;4, PRODUCT($G$7:$G$10), 1)*IF(ISBLANK(G18), 1, G18))</f>
        <v>15.625</v>
      </c>
    </row>
    <row r="18" spans="3:12" x14ac:dyDescent="0.3">
      <c r="D18" s="5"/>
      <c r="E18" s="3"/>
      <c r="G18" s="47">
        <v>12</v>
      </c>
      <c r="H18" s="48">
        <v>15</v>
      </c>
      <c r="J18" s="185" t="str">
        <f>"Adjusted Speed (" &amp; IF($B$4, "m", "ft") &amp; "/s)"</f>
        <v>Adjusted Speed (ft/s)</v>
      </c>
      <c r="K18" s="186"/>
      <c r="L18" s="42">
        <f>L19*$D$16</f>
        <v>4.8572001119754935</v>
      </c>
    </row>
    <row r="19" spans="3:12" x14ac:dyDescent="0.3">
      <c r="C19" s="41" t="str">
        <f>"Robot Weight  (" &amp; IF($B$4, "kg", "lbs") &amp; ")"</f>
        <v>Robot Weight  (lbs)</v>
      </c>
      <c r="D19" s="49">
        <v>154</v>
      </c>
      <c r="G19" s="50" t="s">
        <v>77</v>
      </c>
      <c r="H19" s="51"/>
      <c r="J19" s="185" t="str">
        <f>"Free Speed (" &amp; IF($B$4, "m", "ft") &amp; "/s)"</f>
        <v>Free Speed (ft/s)</v>
      </c>
      <c r="K19" s="186"/>
      <c r="L19" s="42">
        <f>($E$7/60)/L17*((D20/IF($B$4,25.4,1))*PI()/12)/IF($B$4, 3.281, 1)</f>
        <v>5.4575282157028013</v>
      </c>
    </row>
    <row r="20" spans="3:12" x14ac:dyDescent="0.3">
      <c r="C20" s="41" t="str">
        <f>"Wheel Diam. (" &amp; IF($B$4, "mm", "in") &amp; ")"</f>
        <v>Wheel Diam. (in)</v>
      </c>
      <c r="D20" s="52">
        <v>3.9999999999999987</v>
      </c>
      <c r="G20" s="53" t="str">
        <f>"C-C (" &amp; IF($B$4, "mm", "in") &amp; ")"</f>
        <v>C-C (in)</v>
      </c>
      <c r="H20" s="54" t="str">
        <f>IF(COUNTBLANK(G18:H19)&gt;0, "", ((G18+H18)/(2*H19)+0.003)*IF($B$4, 25.4, 1))</f>
        <v/>
      </c>
      <c r="J20" s="185" t="s">
        <v>79</v>
      </c>
      <c r="K20" s="186"/>
      <c r="L20" s="44">
        <f>(($E$10-$E$9)/$E$8)*($D$19*IF($B$4,2.205,1))*$D$17*D21/$D$13*((D20/IF($B$4,25.4,1))/2)/L17*4.448*0.0254 + $E$9/$D$13</f>
        <v>27.175034627275231</v>
      </c>
    </row>
    <row r="21" spans="3:12" x14ac:dyDescent="0.3">
      <c r="C21" s="41" t="s">
        <v>73</v>
      </c>
      <c r="D21" s="52">
        <v>1</v>
      </c>
    </row>
    <row r="22" spans="3:12" x14ac:dyDescent="0.3">
      <c r="G22" s="45" t="s">
        <v>75</v>
      </c>
      <c r="H22" s="46" t="s">
        <v>76</v>
      </c>
      <c r="J22" s="189" t="s">
        <v>78</v>
      </c>
      <c r="K22" s="190"/>
      <c r="L22" s="40">
        <f>IF(COUNTBLANK($H$7:$H$10)&lt;4, PRODUCT($H$7:$H$10), 1)*IF(ISBLANK(H23), 1, H23) / (IF(COUNTBLANK($G$7:$G$10)&lt;4, PRODUCT($G$7:$G$10), 1)*IF(ISBLANK(G23), 1, G23))</f>
        <v>25</v>
      </c>
    </row>
    <row r="23" spans="3:12" x14ac:dyDescent="0.3">
      <c r="C23" s="55" t="s">
        <v>74</v>
      </c>
      <c r="D23" s="8" t="b">
        <v>0</v>
      </c>
      <c r="G23" s="47"/>
      <c r="H23" s="48">
        <v>2</v>
      </c>
      <c r="J23" s="189" t="str">
        <f>"Adjusted Speed (" &amp; IF($B$4, "m", "ft") &amp; "/s)"</f>
        <v>Adjusted Speed (ft/s)</v>
      </c>
      <c r="K23" s="190"/>
      <c r="L23" s="42">
        <f>L24*$D$16</f>
        <v>3.0357500699846831</v>
      </c>
    </row>
    <row r="24" spans="3:12" x14ac:dyDescent="0.3">
      <c r="C24" s="55" t="s">
        <v>215</v>
      </c>
      <c r="D24" s="8" t="b">
        <v>0</v>
      </c>
      <c r="G24" s="50" t="s">
        <v>77</v>
      </c>
      <c r="H24" s="51"/>
      <c r="J24" s="189" t="str">
        <f>"Free Speed (" &amp; IF($B$4, "m", "ft") &amp; "/s)"</f>
        <v>Free Speed (ft/s)</v>
      </c>
      <c r="K24" s="190"/>
      <c r="L24" s="42">
        <f>($E$7/60)/L22*((IF(D24,D26,D20)/IF($B$4,25.4,1))*PI()/12)/IF($B$4, 3.281, 1)</f>
        <v>3.4109551348142504</v>
      </c>
    </row>
    <row r="25" spans="3:12" x14ac:dyDescent="0.3">
      <c r="G25" s="53" t="str">
        <f>"C-C (" &amp; IF($B$4, "mm", "in") &amp; ")"</f>
        <v>C-C (in)</v>
      </c>
      <c r="H25" s="54" t="str">
        <f>IF(COUNTBLANK(G23:H24)&gt;0, "", ((G23+H23)/(2*H24)+0.003)*IF($B$4, 25.4, 1))</f>
        <v/>
      </c>
      <c r="J25" s="189" t="s">
        <v>79</v>
      </c>
      <c r="K25" s="190"/>
      <c r="L25" s="44">
        <f>(($E$10-$E$9)/$E$8)*($D$19*IF($B$4,2.205,1))*$D$17*IF(D24,D27,D21)/$D$13*((IF(D24,D26,D20)/IF($B$4,25.4,1))/2)/L22*4.448*0.0254 + $E$9/$D$13</f>
        <v>17.912521642047018</v>
      </c>
    </row>
    <row r="26" spans="3:12" x14ac:dyDescent="0.3">
      <c r="C26" s="89" t="str">
        <f>"2nd Wheel Diam. (" &amp; IF($B$4, "mm", "in") &amp; ")"</f>
        <v>2nd Wheel Diam. (in)</v>
      </c>
      <c r="D26" s="52">
        <v>5.9999999999999991</v>
      </c>
    </row>
    <row r="27" spans="3:12" x14ac:dyDescent="0.3">
      <c r="C27" s="89" t="s">
        <v>100</v>
      </c>
      <c r="D27" s="11">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63" priority="23" operator="greaterThan">
      <formula>12</formula>
    </cfRule>
  </conditionalFormatting>
  <conditionalFormatting sqref="D13:D17 D19:D21">
    <cfRule type="cellIs" dxfId="62" priority="20" operator="lessThanOrEqual">
      <formula>0</formula>
    </cfRule>
  </conditionalFormatting>
  <conditionalFormatting sqref="D15:D17">
    <cfRule type="cellIs" dxfId="61" priority="13" operator="greaterThan">
      <formula>1</formula>
    </cfRule>
  </conditionalFormatting>
  <conditionalFormatting sqref="D13:D17 D19:D21">
    <cfRule type="containsBlanks" dxfId="60" priority="9">
      <formula>LEN(TRIM(D13))=0</formula>
    </cfRule>
  </conditionalFormatting>
  <conditionalFormatting sqref="G7:I10 G18:H18 H19 D26:D27 G23:H23 H24">
    <cfRule type="cellIs" dxfId="59" priority="7" operator="lessThan">
      <formula>0</formula>
    </cfRule>
  </conditionalFormatting>
  <conditionalFormatting sqref="C26:D27">
    <cfRule type="expression" dxfId="58" priority="24">
      <formula>NOT($D$24)</formula>
    </cfRule>
  </conditionalFormatting>
  <conditionalFormatting sqref="G17:L25">
    <cfRule type="expression" dxfId="57" priority="25">
      <formula>NOT($D$23)</formula>
    </cfRule>
  </conditionalFormatting>
  <conditionalFormatting sqref="G12:I15">
    <cfRule type="expression" dxfId="56" priority="2">
      <formula>$D$23</formula>
    </cfRule>
  </conditionalFormatting>
  <conditionalFormatting sqref="D13:D17 D19:D21 G7:I10 G18:H18 H19 G23:H23 H24">
    <cfRule type="expression" dxfId="55" priority="1">
      <formula>ISTEXT(D7)</formula>
    </cfRule>
  </conditionalFormatting>
  <dataValidations count="1">
    <dataValidation type="list" allowBlank="1" showErrorMessage="1" errorTitle="Error" error="Not a valid motor." sqref="C6:D6" xr:uid="{00000000-0002-0000-0300-000000000000}">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175260</xdr:rowOff>
                  </from>
                  <to>
                    <xdr:col>2</xdr:col>
                    <xdr:colOff>7620</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182880</xdr:rowOff>
                  </from>
                  <to>
                    <xdr:col>3</xdr:col>
                    <xdr:colOff>228600</xdr:colOff>
                    <xdr:row>22</xdr:row>
                    <xdr:rowOff>182880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182880</xdr:rowOff>
                  </from>
                  <to>
                    <xdr:col>3</xdr:col>
                    <xdr:colOff>228600</xdr:colOff>
                    <xdr:row>23</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P23"/>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10.6640625" style="1" customWidth="1"/>
    <col min="5" max="5" width="12.88671875" style="1" customWidth="1"/>
    <col min="6" max="6" width="24.33203125" style="1" customWidth="1"/>
    <col min="7" max="7" width="9.109375" style="1"/>
    <col min="8" max="8" width="9.109375" style="1" customWidth="1"/>
    <col min="9" max="9" width="24.33203125" style="1" customWidth="1"/>
    <col min="10" max="10" width="9.109375" style="1"/>
    <col min="11" max="11" width="9.109375" style="1" customWidth="1"/>
    <col min="12" max="12" width="19.88671875" style="1" customWidth="1"/>
    <col min="13" max="13" width="9.109375" style="1"/>
    <col min="14" max="14" width="9.109375" style="1" customWidth="1"/>
    <col min="15" max="15" width="24.33203125" style="1" customWidth="1"/>
    <col min="16" max="16384" width="9.109375" style="1"/>
  </cols>
  <sheetData>
    <row r="2" spans="2:16" ht="31.2" x14ac:dyDescent="0.3">
      <c r="C2" s="2" t="s">
        <v>81</v>
      </c>
    </row>
    <row r="4" spans="2:16" x14ac:dyDescent="0.3">
      <c r="B4" s="8" t="b">
        <v>0</v>
      </c>
      <c r="C4" s="1" t="s">
        <v>0</v>
      </c>
    </row>
    <row r="6" spans="2:16" ht="18" x14ac:dyDescent="0.3">
      <c r="D6" s="5"/>
      <c r="F6" s="191" t="s">
        <v>86</v>
      </c>
      <c r="G6" s="191"/>
      <c r="I6" s="191" t="s">
        <v>85</v>
      </c>
      <c r="J6" s="191"/>
      <c r="L6" s="191" t="s">
        <v>87</v>
      </c>
      <c r="M6" s="191"/>
      <c r="O6" s="56" t="s">
        <v>88</v>
      </c>
      <c r="P6" s="56"/>
    </row>
    <row r="7" spans="2:16" x14ac:dyDescent="0.3">
      <c r="D7" s="5"/>
    </row>
    <row r="8" spans="2:16" x14ac:dyDescent="0.3">
      <c r="C8" s="90" t="s">
        <v>84</v>
      </c>
      <c r="D8" s="11" t="s">
        <v>221</v>
      </c>
      <c r="F8" s="90" t="str">
        <f>"Load Force (" &amp; IF($B$4, "kgf", "lbf") &amp; ")"</f>
        <v>Load Force (lbf)</v>
      </c>
      <c r="G8" s="52">
        <v>160</v>
      </c>
      <c r="I8" s="90" t="str">
        <f>"Load Force (" &amp; IF($B$4, "kgf", "lbf") &amp; ")"</f>
        <v>Load Force (lbf)</v>
      </c>
      <c r="J8" s="52">
        <v>160</v>
      </c>
      <c r="L8" s="90" t="str">
        <f>"Length (" &amp; IF($B$4, "mm", "in") &amp; ")"</f>
        <v>Length (in)</v>
      </c>
      <c r="M8" s="52">
        <v>20</v>
      </c>
      <c r="O8" s="90" t="str">
        <f>"Torque (" &amp; IF($B$4, "Nmm", "in-lbs") &amp; ")"</f>
        <v>Torque (in-lbs)</v>
      </c>
      <c r="P8" s="52">
        <v>1500</v>
      </c>
    </row>
    <row r="9" spans="2:16" x14ac:dyDescent="0.3">
      <c r="D9" s="57"/>
      <c r="F9" s="90" t="str">
        <f>"Distance To Support (" &amp; IF($B$4, "mm", "in") &amp; ")"</f>
        <v>Distance To Support (in)</v>
      </c>
      <c r="G9" s="52">
        <v>8</v>
      </c>
      <c r="H9" s="58"/>
      <c r="I9" s="90" t="str">
        <f>"Distance To Support (" &amp; IF($B$4, "mm", "in") &amp; ")"</f>
        <v>Distance To Support (in)</v>
      </c>
      <c r="J9" s="52">
        <v>3</v>
      </c>
      <c r="K9" s="58"/>
      <c r="L9" s="90" t="s">
        <v>220</v>
      </c>
      <c r="M9" s="16">
        <v>0.8</v>
      </c>
      <c r="N9" s="58"/>
      <c r="O9" s="90" t="str">
        <f>"Distance To Support (" &amp; IF($B$4, "mm", "in") &amp; ")"</f>
        <v>Distance To Support (in)</v>
      </c>
      <c r="P9" s="52">
        <v>3</v>
      </c>
    </row>
    <row r="10" spans="2:16" x14ac:dyDescent="0.3">
      <c r="C10" s="90" t="s">
        <v>82</v>
      </c>
      <c r="D10" s="11" t="s">
        <v>83</v>
      </c>
      <c r="F10" s="90" t="str">
        <f>"Dist. Btwn. Supports (" &amp; IF($B$4, "mm", "in") &amp; ")"</f>
        <v>Dist. Btwn. Supports (in)</v>
      </c>
      <c r="G10" s="52">
        <v>20</v>
      </c>
      <c r="I10" s="90" t="str">
        <f>"Length (" &amp; IF($B$4, "mm", "in") &amp; ")"</f>
        <v>Length (in)</v>
      </c>
      <c r="J10" s="52">
        <v>10</v>
      </c>
    </row>
    <row r="11" spans="2:16" x14ac:dyDescent="0.3">
      <c r="C11" s="90" t="str">
        <f>CHOOSE(MATCH($D$10,{"Hex","Round","Round Tube","Square","Rect. Tube"},0), "Size","Diameter","Outside Diam.","Size","║ Size") &amp; " (" &amp; IF($B$4,"mm","in") &amp; ")"</f>
        <v>Size (in)</v>
      </c>
      <c r="D11" s="15">
        <v>0.49999999999999983</v>
      </c>
    </row>
    <row r="12" spans="2:16" x14ac:dyDescent="0.3">
      <c r="C12" s="90" t="str">
        <f>CHOOSE(MATCH($D$10,{"Hex","Round","Round Tube","Square","Rect. Tube"},0), "","","Wall Thick. ("&amp;IF($B$4,"in","mm")&amp;")","","┴ Size ("&amp;IF($B$4,"mm","in")&amp;")")</f>
        <v/>
      </c>
      <c r="D12" s="15">
        <v>0.11811023622047244</v>
      </c>
    </row>
    <row r="13" spans="2:16" x14ac:dyDescent="0.3">
      <c r="C13" s="90" t="str">
        <f>CHOOSE(MATCH($D$10,{"Hex","Round","Round Tube","Square","Rect. Tube"},0), "","","","","Wall Thick. ("&amp;IF($B$4,"mm","in")&amp;")")</f>
        <v/>
      </c>
      <c r="D13" s="15">
        <v>0</v>
      </c>
      <c r="F13" s="90" t="str">
        <f>"Displacement (" &amp; IF($B$4, "mm", "in") &amp; ")"</f>
        <v>Displacement (in)</v>
      </c>
      <c r="G13" s="7">
        <f>4*G8*IF($B$4, 9.8, 1)*(MAX(G9,G10-G9))^3*(MIN(G9,G10-G9))^2 / (3*D20*D22*(3*MAX(G9,G10-G9)+MIN(G9,G10-G9))^2)</f>
        <v>0.31197632003203801</v>
      </c>
      <c r="I13" s="90" t="str">
        <f>"Displacement (" &amp; IF($B$4, "mm", "in") &amp; ")"</f>
        <v>Displacement (in)</v>
      </c>
      <c r="J13" s="42">
        <f>(J8*IF($B$4, 9.8, 1))*J9^2/(6*D22*D20)*(3*J10-J9)</f>
        <v>0.16588975220453583</v>
      </c>
      <c r="L13" s="90" t="str">
        <f>"Max. Force (" &amp; IF($B$4, "kgf", "lbf") &amp; ")"</f>
        <v>Max. Force (lbf)</v>
      </c>
      <c r="M13" s="6">
        <f>PI()^2*D22*D20/(M8*M9)^2 / IF($B$4, 9.8, 1)</f>
        <v>1505.9662099835457</v>
      </c>
      <c r="O13" s="90" t="s">
        <v>89</v>
      </c>
      <c r="P13" s="42">
        <f>DEGREES(P8*P9/(D23*D21))</f>
        <v>9.162526370559771</v>
      </c>
    </row>
    <row r="14" spans="2:16" x14ac:dyDescent="0.3">
      <c r="G14" s="57"/>
    </row>
    <row r="15" spans="2:16" ht="15" customHeight="1" x14ac:dyDescent="0.3">
      <c r="C15" s="192" t="s">
        <v>214</v>
      </c>
      <c r="D15" s="193"/>
    </row>
    <row r="16" spans="2:16" ht="15" customHeight="1" x14ac:dyDescent="0.3">
      <c r="C16" s="194"/>
      <c r="D16" s="195"/>
    </row>
    <row r="17" spans="3:4" ht="15" customHeight="1" x14ac:dyDescent="0.3">
      <c r="C17" s="194"/>
      <c r="D17" s="195"/>
    </row>
    <row r="18" spans="3:4" x14ac:dyDescent="0.3">
      <c r="C18" s="196"/>
      <c r="D18" s="197"/>
    </row>
    <row r="20" spans="3:4" x14ac:dyDescent="0.3">
      <c r="C20" s="59" t="s">
        <v>90</v>
      </c>
      <c r="D20" s="60">
        <f>CHOOSE(MATCH($D$10,{"Hex","Round","Round Tube","Square","Rect. Tube"},0), 0.0601*$D$11^4, PI()/64*$D$11^4, PI()/8*$D$11^3*$D$12, $D$11^4/12, $D$11^2*$D$12*$D$13/3)</f>
        <v>3.7562499999999948E-3</v>
      </c>
    </row>
    <row r="21" spans="3:4" x14ac:dyDescent="0.3">
      <c r="C21" s="59" t="s">
        <v>91</v>
      </c>
      <c r="D21" s="60">
        <f>CHOOSE(MATCH($D$10,{"Hex","Round","Round Tube","Square","Rect. Tube"},0), 0.1154*$D$11^4, PI()/32*$D$11^4, PI()/4*$D$11^3*$D$12, 9/64*$D$11^4, (2*$D$13^2*($D$12-$D$13)^2*($D$11-$D$13)^2)/($D$11*$D$13+$D$12*$D$13-2*$D$13^2))</f>
        <v>7.2124999999999906E-3</v>
      </c>
    </row>
    <row r="22" spans="3:4" x14ac:dyDescent="0.3">
      <c r="C22" s="59" t="s">
        <v>92</v>
      </c>
      <c r="D22" s="3">
        <f>VLOOKUP($D$8, MaterialSpecs, 2, 0)*IF($B$4, 1, 145.038)</f>
        <v>10399224.600000001</v>
      </c>
    </row>
    <row r="23" spans="3:4" x14ac:dyDescent="0.3">
      <c r="C23" s="59"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4" priority="4">
      <formula>NOT($D$10="Rect. Tube")</formula>
    </cfRule>
  </conditionalFormatting>
  <conditionalFormatting sqref="C12:D13">
    <cfRule type="expression" dxfId="53" priority="7">
      <formula>NOT(OR($D$10="Round Tube", $D$10="Rect. Tube"))</formula>
    </cfRule>
  </conditionalFormatting>
  <conditionalFormatting sqref="D11:D13 G8:G10 J8:J10 M8:M9 P8:P9">
    <cfRule type="cellIs" dxfId="52" priority="8" operator="lessThanOrEqual">
      <formula>0</formula>
    </cfRule>
  </conditionalFormatting>
  <conditionalFormatting sqref="G9">
    <cfRule type="cellIs" dxfId="51" priority="3" operator="greaterThanOrEqual">
      <formula>$G$10</formula>
    </cfRule>
  </conditionalFormatting>
  <conditionalFormatting sqref="D11 G8:G10 J8:J10 M8:M9 P8:P9">
    <cfRule type="expression" dxfId="50" priority="2">
      <formula>ISTEXT(D8)</formula>
    </cfRule>
  </conditionalFormatting>
  <conditionalFormatting sqref="D11">
    <cfRule type="containsBlanks" dxfId="49" priority="1">
      <formula>LEN(TRIM(D11))=0</formula>
    </cfRule>
  </conditionalFormatting>
  <dataValidations count="3">
    <dataValidation type="list" allowBlank="1" showInputMessage="1" showErrorMessage="1" sqref="D10" xr:uid="{00000000-0002-0000-0400-000000000000}">
      <formula1>"Hex,Round,Round Tube,Square,Rect. Tube"</formula1>
    </dataValidation>
    <dataValidation type="list" allowBlank="1" showInputMessage="1" showErrorMessage="1" sqref="D8" xr:uid="{00000000-0002-0000-0400-000001000000}">
      <formula1>Materials</formula1>
    </dataValidation>
    <dataValidation type="list" allowBlank="1" showInputMessage="1" showErrorMessage="1" prompt="Select a common value from the list or write in a custom value." sqref="M9" xr:uid="{00000000-0002-0000-0400-000002000000}">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Q135"/>
  <sheetViews>
    <sheetView zoomScaleNormal="100" workbookViewId="0"/>
  </sheetViews>
  <sheetFormatPr defaultColWidth="9.109375" defaultRowHeight="14.4" x14ac:dyDescent="0.3"/>
  <cols>
    <col min="1" max="1" width="7.109375" style="1" customWidth="1"/>
    <col min="2" max="2" width="3.33203125" style="1" customWidth="1"/>
    <col min="3" max="3" width="21.109375" style="1" customWidth="1"/>
    <col min="4" max="4" width="9.33203125" style="1" customWidth="1"/>
    <col min="5" max="5" width="9.109375" style="1" customWidth="1"/>
    <col min="6" max="6" width="21.109375" style="1" customWidth="1"/>
    <col min="7" max="8" width="9.109375" style="1"/>
    <col min="9" max="9" width="9.109375" style="1" customWidth="1"/>
    <col min="10" max="10" width="1.5546875" style="1" customWidth="1"/>
    <col min="11" max="16384" width="9.109375" style="1"/>
  </cols>
  <sheetData>
    <row r="2" spans="2:16" ht="31.2" x14ac:dyDescent="0.3">
      <c r="C2" s="2" t="s">
        <v>94</v>
      </c>
    </row>
    <row r="4" spans="2:16" x14ac:dyDescent="0.3">
      <c r="B4" s="8" t="b">
        <v>1</v>
      </c>
      <c r="C4" s="1" t="s">
        <v>0</v>
      </c>
    </row>
    <row r="6" spans="2:16" ht="18" x14ac:dyDescent="0.3">
      <c r="C6" s="191" t="s">
        <v>95</v>
      </c>
      <c r="D6" s="191"/>
      <c r="F6" s="191" t="s">
        <v>98</v>
      </c>
      <c r="G6" s="191"/>
      <c r="I6" s="198" t="s">
        <v>95</v>
      </c>
      <c r="J6" s="199"/>
    </row>
    <row r="7" spans="2:16" x14ac:dyDescent="0.3">
      <c r="C7" s="90" t="str">
        <f>"Distance to Target (" &amp; IF($B$4, "m", "ft") &amp; ")"</f>
        <v>Distance to Target (m)</v>
      </c>
      <c r="D7" s="52">
        <v>1.523925632429137</v>
      </c>
      <c r="F7" s="90" t="str">
        <f>"Distance to Target (" &amp; IF($B$4, "m", "ft") &amp; ")"</f>
        <v>Distance to Target (m)</v>
      </c>
      <c r="G7" s="52">
        <v>1.523925632429137</v>
      </c>
    </row>
    <row r="8" spans="2:16" x14ac:dyDescent="0.3">
      <c r="C8" s="90" t="str">
        <f>"Release Height (" &amp; IF($B$4, "m", "ft") &amp; ")"</f>
        <v>Release Height (m)</v>
      </c>
      <c r="D8" s="52">
        <v>0.3047851264858274</v>
      </c>
      <c r="F8" s="90" t="str">
        <f>"Release Height (" &amp; IF($B$4, "m", "ft") &amp; ")"</f>
        <v>Release Height (m)</v>
      </c>
      <c r="G8" s="52">
        <v>0.3047851264858274</v>
      </c>
      <c r="I8" s="58"/>
      <c r="J8" s="58">
        <v>0</v>
      </c>
      <c r="L8" s="58"/>
      <c r="M8" s="58">
        <v>0</v>
      </c>
      <c r="O8" s="58"/>
      <c r="P8" s="58">
        <v>0</v>
      </c>
    </row>
    <row r="9" spans="2:16" x14ac:dyDescent="0.3">
      <c r="C9" s="90" t="str">
        <f>"Release Velocity (" &amp; IF($B$4, "m", "ft") &amp; "/s)"</f>
        <v>Release Velocity (m/s)</v>
      </c>
      <c r="D9" s="52">
        <v>4.5717768972874122</v>
      </c>
      <c r="F9" s="90" t="str">
        <f>"Target Height (" &amp; IF($B$4, "m", "ft") &amp; ")"</f>
        <v>Target Height (m)</v>
      </c>
      <c r="G9" s="52">
        <v>1.2191405059433096</v>
      </c>
      <c r="I9" s="58"/>
      <c r="J9" s="58">
        <v>0</v>
      </c>
      <c r="O9" s="58"/>
      <c r="P9" s="58">
        <v>0</v>
      </c>
    </row>
    <row r="10" spans="2:16" x14ac:dyDescent="0.3">
      <c r="C10" s="90" t="s">
        <v>96</v>
      </c>
      <c r="D10" s="74">
        <v>70</v>
      </c>
      <c r="F10" s="90" t="s">
        <v>99</v>
      </c>
      <c r="G10" s="74">
        <v>-60</v>
      </c>
      <c r="I10" s="61"/>
      <c r="J10" s="58">
        <v>0</v>
      </c>
    </row>
    <row r="11" spans="2:16" x14ac:dyDescent="0.3">
      <c r="D11" s="57"/>
      <c r="G11" s="57"/>
    </row>
    <row r="12" spans="2:16" x14ac:dyDescent="0.3">
      <c r="D12" s="57"/>
      <c r="G12" s="57"/>
    </row>
    <row r="13" spans="2:16" x14ac:dyDescent="0.3">
      <c r="C13" s="90" t="str">
        <f>"Final Height (" &amp; IF($B$4, "m", "ft") &amp; ")"</f>
        <v>Final Height (m)</v>
      </c>
      <c r="D13" s="44">
        <v>10.079807336426413</v>
      </c>
      <c r="F13" s="90" t="str">
        <f>"Release Velocity (" &amp; IF($B$4, "m", "ft") &amp; "/s)"</f>
        <v>Release Velocity (m/s)</v>
      </c>
      <c r="G13" s="44">
        <f>SQRT((IF($B$4, 9.807, 32.174)*G7)/(ABS(TAN(RADIANS(G14))-TAN(RADIANS(G10)))))/COS(RADIANS(G14))</f>
        <v>5.5453881994838294</v>
      </c>
    </row>
    <row r="14" spans="2:16" x14ac:dyDescent="0.3">
      <c r="C14" s="90" t="s">
        <v>97</v>
      </c>
      <c r="D14" s="62">
        <f>DEGREES(ATAN(2*(D13-D8)/D7-TAN(RADIANS(D10))))</f>
        <v>84.335137472670056</v>
      </c>
      <c r="F14" s="90" t="s">
        <v>96</v>
      </c>
      <c r="G14" s="62">
        <f>DEGREES(ATAN(2*(G9-G8)/G7-TAN(RADIANS(G10))))</f>
        <v>71.167636014035594</v>
      </c>
    </row>
    <row r="33" spans="11:17" x14ac:dyDescent="0.3">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3">
      <c r="K34" s="3"/>
      <c r="L34" s="3"/>
      <c r="M34" s="3"/>
      <c r="N34" s="3"/>
      <c r="O34" s="3"/>
      <c r="P34" s="3"/>
      <c r="Q34" s="3"/>
    </row>
    <row r="35" spans="11:17" x14ac:dyDescent="0.3">
      <c r="K35" s="3">
        <v>0</v>
      </c>
      <c r="L35" s="3">
        <f t="shared" ref="L35:L66" si="0">$L$33/100*K35</f>
        <v>0</v>
      </c>
      <c r="M35" s="3">
        <f>MAX(TAN($N$33)*L35 - $O$33*L35^2 / (2*($M$33*COS($N$33))^2) + $K$33, 0)</f>
        <v>0.3047851264858274</v>
      </c>
      <c r="N35" s="3"/>
      <c r="O35" s="3"/>
      <c r="P35" s="3"/>
      <c r="Q35" s="3"/>
    </row>
    <row r="36" spans="11:17" x14ac:dyDescent="0.3">
      <c r="K36" s="3">
        <v>1</v>
      </c>
      <c r="L36" s="3">
        <f t="shared" si="0"/>
        <v>1.5239256324291371E-2</v>
      </c>
      <c r="M36" s="3">
        <f t="shared" ref="M36:M99" si="1">MAX(TAN($N$33)*L36 - $O$33*L36^2 / (2*($M$33*COS($N$33))^2) + $K$33, 0)</f>
        <v>0.34618888115001428</v>
      </c>
      <c r="N36" s="3"/>
      <c r="O36" s="3"/>
      <c r="P36" s="3"/>
      <c r="Q36" s="3"/>
    </row>
    <row r="37" spans="11:17" x14ac:dyDescent="0.3">
      <c r="K37" s="3">
        <v>2</v>
      </c>
      <c r="L37" s="3">
        <f t="shared" si="0"/>
        <v>3.0478512648582742E-2</v>
      </c>
      <c r="M37" s="3">
        <f t="shared" si="1"/>
        <v>0.38666111986203189</v>
      </c>
      <c r="N37" s="3"/>
      <c r="O37" s="3"/>
      <c r="P37" s="3"/>
      <c r="Q37" s="3"/>
    </row>
    <row r="38" spans="11:17" x14ac:dyDescent="0.3">
      <c r="K38" s="3">
        <v>3</v>
      </c>
      <c r="L38" s="3">
        <f t="shared" si="0"/>
        <v>4.5717768972874114E-2</v>
      </c>
      <c r="M38" s="3">
        <f t="shared" si="1"/>
        <v>0.4262018426218801</v>
      </c>
      <c r="N38" s="3"/>
      <c r="O38" s="3"/>
      <c r="P38" s="3"/>
      <c r="Q38" s="3"/>
    </row>
    <row r="39" spans="11:17" x14ac:dyDescent="0.3">
      <c r="K39" s="3">
        <v>4</v>
      </c>
      <c r="L39" s="3">
        <f t="shared" si="0"/>
        <v>6.0957025297165485E-2</v>
      </c>
      <c r="M39" s="3">
        <f t="shared" si="1"/>
        <v>0.46481104942955898</v>
      </c>
      <c r="N39" s="3"/>
      <c r="O39" s="3"/>
      <c r="P39" s="3"/>
      <c r="Q39" s="3"/>
    </row>
    <row r="40" spans="11:17" x14ac:dyDescent="0.3">
      <c r="K40" s="3">
        <v>5</v>
      </c>
      <c r="L40" s="3">
        <f t="shared" si="0"/>
        <v>7.6196281621456863E-2</v>
      </c>
      <c r="M40" s="3">
        <f t="shared" si="1"/>
        <v>0.50248874028506862</v>
      </c>
      <c r="N40" s="3"/>
      <c r="O40" s="3"/>
      <c r="P40" s="3"/>
      <c r="Q40" s="3"/>
    </row>
    <row r="41" spans="11:17" x14ac:dyDescent="0.3">
      <c r="K41" s="3">
        <v>6</v>
      </c>
      <c r="L41" s="3">
        <f t="shared" si="0"/>
        <v>9.1435537945748227E-2</v>
      </c>
      <c r="M41" s="3">
        <f t="shared" si="1"/>
        <v>0.53923491518840883</v>
      </c>
      <c r="N41" s="3"/>
      <c r="O41" s="3"/>
      <c r="P41" s="3"/>
      <c r="Q41" s="3"/>
    </row>
    <row r="42" spans="11:17" x14ac:dyDescent="0.3">
      <c r="K42" s="3">
        <v>7</v>
      </c>
      <c r="L42" s="3">
        <f t="shared" si="0"/>
        <v>0.10667479427003959</v>
      </c>
      <c r="M42" s="3">
        <f t="shared" si="1"/>
        <v>0.57504957413957958</v>
      </c>
      <c r="N42" s="3"/>
      <c r="O42" s="3"/>
      <c r="P42" s="3"/>
      <c r="Q42" s="3"/>
    </row>
    <row r="43" spans="11:17" x14ac:dyDescent="0.3">
      <c r="K43" s="3">
        <v>8</v>
      </c>
      <c r="L43" s="3">
        <f t="shared" si="0"/>
        <v>0.12191405059433097</v>
      </c>
      <c r="M43" s="3">
        <f t="shared" si="1"/>
        <v>0.6099327171385811</v>
      </c>
      <c r="N43" s="3"/>
      <c r="O43" s="3"/>
      <c r="P43" s="3"/>
      <c r="Q43" s="3"/>
    </row>
    <row r="44" spans="11:17" x14ac:dyDescent="0.3">
      <c r="K44" s="3">
        <v>9</v>
      </c>
      <c r="L44" s="3">
        <f t="shared" si="0"/>
        <v>0.13715330691862235</v>
      </c>
      <c r="M44" s="3">
        <f t="shared" si="1"/>
        <v>0.6438843441854134</v>
      </c>
      <c r="N44" s="3"/>
      <c r="O44" s="3"/>
      <c r="P44" s="3"/>
      <c r="Q44" s="3"/>
    </row>
    <row r="45" spans="11:17" x14ac:dyDescent="0.3">
      <c r="K45" s="3">
        <v>10</v>
      </c>
      <c r="L45" s="3">
        <f t="shared" si="0"/>
        <v>0.15239256324291373</v>
      </c>
      <c r="M45" s="3">
        <f t="shared" si="1"/>
        <v>0.67690445528007626</v>
      </c>
      <c r="N45" s="3"/>
      <c r="O45" s="3"/>
      <c r="P45" s="3"/>
      <c r="Q45" s="3"/>
    </row>
    <row r="46" spans="11:17" x14ac:dyDescent="0.3">
      <c r="K46" s="3">
        <v>11</v>
      </c>
      <c r="L46" s="3">
        <f t="shared" si="0"/>
        <v>0.16763181956720508</v>
      </c>
      <c r="M46" s="3">
        <f t="shared" si="1"/>
        <v>0.70899305042256966</v>
      </c>
      <c r="N46" s="3"/>
      <c r="O46" s="3"/>
      <c r="P46" s="3"/>
      <c r="Q46" s="3"/>
    </row>
    <row r="47" spans="11:17" x14ac:dyDescent="0.3">
      <c r="K47" s="3">
        <v>12</v>
      </c>
      <c r="L47" s="3">
        <f t="shared" si="0"/>
        <v>0.18287107589149645</v>
      </c>
      <c r="M47" s="3">
        <f t="shared" si="1"/>
        <v>0.74015012961289406</v>
      </c>
      <c r="N47" s="3"/>
      <c r="O47" s="3"/>
      <c r="P47" s="3"/>
      <c r="Q47" s="3"/>
    </row>
    <row r="48" spans="11:17" x14ac:dyDescent="0.3">
      <c r="K48" s="3">
        <v>13</v>
      </c>
      <c r="L48" s="3">
        <f t="shared" si="0"/>
        <v>0.19811033221578783</v>
      </c>
      <c r="M48" s="3">
        <f t="shared" si="1"/>
        <v>0.77037569285104879</v>
      </c>
      <c r="N48" s="3"/>
      <c r="O48" s="3"/>
      <c r="P48" s="3"/>
      <c r="Q48" s="3"/>
    </row>
    <row r="49" spans="11:17" x14ac:dyDescent="0.3">
      <c r="K49" s="3">
        <v>14</v>
      </c>
      <c r="L49" s="3">
        <f t="shared" si="0"/>
        <v>0.21334958854007918</v>
      </c>
      <c r="M49" s="3">
        <f t="shared" si="1"/>
        <v>0.79966974013703429</v>
      </c>
      <c r="N49" s="3"/>
      <c r="O49" s="3"/>
      <c r="P49" s="3"/>
      <c r="Q49" s="3"/>
    </row>
    <row r="50" spans="11:17" x14ac:dyDescent="0.3">
      <c r="K50" s="3">
        <v>15</v>
      </c>
      <c r="L50" s="3">
        <f t="shared" si="0"/>
        <v>0.22858884486437056</v>
      </c>
      <c r="M50" s="3">
        <f t="shared" si="1"/>
        <v>0.82803227147085057</v>
      </c>
      <c r="N50" s="3"/>
      <c r="O50" s="3"/>
      <c r="P50" s="3"/>
      <c r="Q50" s="3"/>
    </row>
    <row r="51" spans="11:17" x14ac:dyDescent="0.3">
      <c r="K51" s="3">
        <v>16</v>
      </c>
      <c r="L51" s="3">
        <f t="shared" si="0"/>
        <v>0.24382810118866194</v>
      </c>
      <c r="M51" s="3">
        <f t="shared" si="1"/>
        <v>0.85546328685249717</v>
      </c>
      <c r="N51" s="3"/>
      <c r="O51" s="3"/>
      <c r="P51" s="3"/>
      <c r="Q51" s="3"/>
    </row>
    <row r="52" spans="11:17" x14ac:dyDescent="0.3">
      <c r="K52" s="3">
        <v>17</v>
      </c>
      <c r="L52" s="3">
        <f t="shared" si="0"/>
        <v>0.25906735751295329</v>
      </c>
      <c r="M52" s="3">
        <f t="shared" si="1"/>
        <v>0.88196278628197478</v>
      </c>
      <c r="N52" s="3"/>
      <c r="O52" s="3"/>
      <c r="P52" s="3"/>
      <c r="Q52" s="3"/>
    </row>
    <row r="53" spans="11:17" x14ac:dyDescent="0.3">
      <c r="K53" s="3">
        <v>18</v>
      </c>
      <c r="L53" s="3">
        <f t="shared" si="0"/>
        <v>0.27430661383724469</v>
      </c>
      <c r="M53" s="3">
        <f t="shared" si="1"/>
        <v>0.90753076975928293</v>
      </c>
      <c r="N53" s="3"/>
      <c r="O53" s="3"/>
      <c r="P53" s="3"/>
      <c r="Q53" s="3"/>
    </row>
    <row r="54" spans="11:17" x14ac:dyDescent="0.3">
      <c r="K54" s="3">
        <v>19</v>
      </c>
      <c r="L54" s="3">
        <f t="shared" si="0"/>
        <v>0.28954587016153605</v>
      </c>
      <c r="M54" s="3">
        <f t="shared" si="1"/>
        <v>0.93216723728442163</v>
      </c>
      <c r="N54" s="3"/>
      <c r="O54" s="3"/>
      <c r="P54" s="3"/>
      <c r="Q54" s="3"/>
    </row>
    <row r="55" spans="11:17" x14ac:dyDescent="0.3">
      <c r="K55" s="3">
        <v>20</v>
      </c>
      <c r="L55" s="3">
        <f t="shared" si="0"/>
        <v>0.30478512648582745</v>
      </c>
      <c r="M55" s="3">
        <f t="shared" si="1"/>
        <v>0.95587218885739111</v>
      </c>
      <c r="N55" s="3"/>
      <c r="O55" s="3"/>
      <c r="P55" s="3"/>
      <c r="Q55" s="3"/>
    </row>
    <row r="56" spans="11:17" x14ac:dyDescent="0.3">
      <c r="K56" s="3">
        <v>21</v>
      </c>
      <c r="L56" s="3">
        <f t="shared" si="0"/>
        <v>0.3200243828101188</v>
      </c>
      <c r="M56" s="3">
        <f t="shared" si="1"/>
        <v>0.97864562447819137</v>
      </c>
      <c r="N56" s="3"/>
      <c r="O56" s="3"/>
      <c r="P56" s="3"/>
      <c r="Q56" s="3"/>
    </row>
    <row r="57" spans="11:17" x14ac:dyDescent="0.3">
      <c r="K57" s="3">
        <v>22</v>
      </c>
      <c r="L57" s="3">
        <f t="shared" si="0"/>
        <v>0.33526363913441015</v>
      </c>
      <c r="M57" s="3">
        <f t="shared" si="1"/>
        <v>1.0004875441468219</v>
      </c>
      <c r="N57" s="3"/>
      <c r="O57" s="3"/>
      <c r="P57" s="3"/>
      <c r="Q57" s="3"/>
    </row>
    <row r="58" spans="11:17" x14ac:dyDescent="0.3">
      <c r="K58" s="3">
        <v>23</v>
      </c>
      <c r="L58" s="3">
        <f t="shared" si="0"/>
        <v>0.35050289545870156</v>
      </c>
      <c r="M58" s="3">
        <f t="shared" si="1"/>
        <v>1.0213979478632835</v>
      </c>
      <c r="N58" s="3"/>
      <c r="O58" s="3"/>
      <c r="P58" s="3"/>
      <c r="Q58" s="3"/>
    </row>
    <row r="59" spans="11:17" x14ac:dyDescent="0.3">
      <c r="K59" s="3">
        <v>24</v>
      </c>
      <c r="L59" s="3">
        <f t="shared" si="0"/>
        <v>0.36574215178299291</v>
      </c>
      <c r="M59" s="3">
        <f t="shared" si="1"/>
        <v>1.0413768356275757</v>
      </c>
      <c r="N59" s="3"/>
      <c r="O59" s="3"/>
      <c r="P59" s="3"/>
      <c r="Q59" s="3"/>
    </row>
    <row r="60" spans="11:17" x14ac:dyDescent="0.3">
      <c r="K60" s="3">
        <v>25</v>
      </c>
      <c r="L60" s="3">
        <f t="shared" si="0"/>
        <v>0.38098140810728426</v>
      </c>
      <c r="M60" s="3">
        <f t="shared" si="1"/>
        <v>1.0604242074396986</v>
      </c>
      <c r="N60" s="3"/>
      <c r="O60" s="3"/>
      <c r="P60" s="3"/>
      <c r="Q60" s="3"/>
    </row>
    <row r="61" spans="11:17" x14ac:dyDescent="0.3">
      <c r="K61" s="3">
        <v>26</v>
      </c>
      <c r="L61" s="3">
        <f t="shared" si="0"/>
        <v>0.39622066443157566</v>
      </c>
      <c r="M61" s="3">
        <f t="shared" si="1"/>
        <v>1.0785400632996518</v>
      </c>
      <c r="N61" s="3"/>
      <c r="O61" s="3"/>
      <c r="P61" s="3"/>
      <c r="Q61" s="3"/>
    </row>
    <row r="62" spans="11:17" x14ac:dyDescent="0.3">
      <c r="K62" s="3">
        <v>27</v>
      </c>
      <c r="L62" s="3">
        <f t="shared" si="0"/>
        <v>0.41145992075586701</v>
      </c>
      <c r="M62" s="3">
        <f t="shared" si="1"/>
        <v>1.095724403207436</v>
      </c>
      <c r="N62" s="3"/>
      <c r="O62" s="3"/>
      <c r="P62" s="3"/>
      <c r="Q62" s="3"/>
    </row>
    <row r="63" spans="11:17" x14ac:dyDescent="0.3">
      <c r="K63" s="3">
        <v>28</v>
      </c>
      <c r="L63" s="3">
        <f t="shared" si="0"/>
        <v>0.42669917708015836</v>
      </c>
      <c r="M63" s="3">
        <f t="shared" si="1"/>
        <v>1.1119772271630508</v>
      </c>
      <c r="N63" s="3"/>
      <c r="O63" s="3"/>
      <c r="P63" s="3"/>
      <c r="Q63" s="3"/>
    </row>
    <row r="64" spans="11:17" x14ac:dyDescent="0.3">
      <c r="K64" s="3">
        <v>29</v>
      </c>
      <c r="L64" s="3">
        <f t="shared" si="0"/>
        <v>0.44193843340444977</v>
      </c>
      <c r="M64" s="3">
        <f t="shared" si="1"/>
        <v>1.1272985351664959</v>
      </c>
      <c r="N64" s="3"/>
      <c r="O64" s="3"/>
      <c r="P64" s="3"/>
      <c r="Q64" s="3"/>
    </row>
    <row r="65" spans="11:17" x14ac:dyDescent="0.3">
      <c r="K65" s="3">
        <v>30</v>
      </c>
      <c r="L65" s="3">
        <f t="shared" si="0"/>
        <v>0.45717768972874112</v>
      </c>
      <c r="M65" s="3">
        <f t="shared" si="1"/>
        <v>1.1416883272177722</v>
      </c>
      <c r="N65" s="3"/>
      <c r="O65" s="3"/>
      <c r="P65" s="3"/>
      <c r="Q65" s="3"/>
    </row>
    <row r="66" spans="11:17" x14ac:dyDescent="0.3">
      <c r="K66" s="3">
        <v>31</v>
      </c>
      <c r="L66" s="3">
        <f t="shared" si="0"/>
        <v>0.47241694605303253</v>
      </c>
      <c r="M66" s="3">
        <f t="shared" si="1"/>
        <v>1.1551466033168789</v>
      </c>
      <c r="N66" s="3"/>
      <c r="O66" s="3"/>
      <c r="P66" s="3"/>
      <c r="Q66" s="3"/>
    </row>
    <row r="67" spans="11:17" x14ac:dyDescent="0.3">
      <c r="K67" s="3">
        <v>32</v>
      </c>
      <c r="L67" s="3">
        <f t="shared" ref="L67:L98" si="2">$L$33/100*K67</f>
        <v>0.48765620237732388</v>
      </c>
      <c r="M67" s="3">
        <f t="shared" si="1"/>
        <v>1.1676733634638161</v>
      </c>
      <c r="N67" s="3"/>
      <c r="O67" s="3"/>
      <c r="P67" s="3"/>
      <c r="Q67" s="3"/>
    </row>
    <row r="68" spans="11:17" x14ac:dyDescent="0.3">
      <c r="K68" s="3">
        <v>33</v>
      </c>
      <c r="L68" s="3">
        <f t="shared" si="2"/>
        <v>0.50289545870161523</v>
      </c>
      <c r="M68" s="3">
        <f t="shared" si="1"/>
        <v>1.1792686076585845</v>
      </c>
      <c r="N68" s="3"/>
      <c r="O68" s="3"/>
      <c r="P68" s="3"/>
      <c r="Q68" s="3"/>
    </row>
    <row r="69" spans="11:17" x14ac:dyDescent="0.3">
      <c r="K69" s="3">
        <v>34</v>
      </c>
      <c r="L69" s="3">
        <f t="shared" si="2"/>
        <v>0.51813471502590658</v>
      </c>
      <c r="M69" s="3">
        <f t="shared" si="1"/>
        <v>1.1899323359011831</v>
      </c>
      <c r="N69" s="3"/>
      <c r="O69" s="3"/>
      <c r="P69" s="3"/>
      <c r="Q69" s="3"/>
    </row>
    <row r="70" spans="11:17" x14ac:dyDescent="0.3">
      <c r="K70" s="3">
        <v>35</v>
      </c>
      <c r="L70" s="3">
        <f t="shared" si="2"/>
        <v>0.53337397135019804</v>
      </c>
      <c r="M70" s="3">
        <f t="shared" si="1"/>
        <v>1.1996645481916124</v>
      </c>
      <c r="N70" s="3"/>
      <c r="O70" s="3"/>
      <c r="P70" s="3"/>
      <c r="Q70" s="3"/>
    </row>
    <row r="71" spans="11:17" x14ac:dyDescent="0.3">
      <c r="K71" s="3">
        <v>36</v>
      </c>
      <c r="L71" s="3">
        <f t="shared" si="2"/>
        <v>0.54861322767448939</v>
      </c>
      <c r="M71" s="3">
        <f t="shared" si="1"/>
        <v>1.2084652445298725</v>
      </c>
      <c r="N71" s="3"/>
      <c r="O71" s="3"/>
      <c r="P71" s="3"/>
      <c r="Q71" s="3"/>
    </row>
    <row r="72" spans="11:17" x14ac:dyDescent="0.3">
      <c r="K72" s="3">
        <v>37</v>
      </c>
      <c r="L72" s="3">
        <f t="shared" si="2"/>
        <v>0.56385248399878074</v>
      </c>
      <c r="M72" s="3">
        <f t="shared" si="1"/>
        <v>1.2163344249159631</v>
      </c>
      <c r="N72" s="3"/>
      <c r="O72" s="3"/>
      <c r="P72" s="3"/>
      <c r="Q72" s="3"/>
    </row>
    <row r="73" spans="11:17" x14ac:dyDescent="0.3">
      <c r="K73" s="3">
        <v>38</v>
      </c>
      <c r="L73" s="3">
        <f t="shared" si="2"/>
        <v>0.57909174032307209</v>
      </c>
      <c r="M73" s="3">
        <f t="shared" si="1"/>
        <v>1.2232720893498843</v>
      </c>
      <c r="N73" s="3"/>
      <c r="O73" s="3"/>
      <c r="P73" s="3"/>
      <c r="Q73" s="3"/>
    </row>
    <row r="74" spans="11:17" x14ac:dyDescent="0.3">
      <c r="K74" s="3">
        <v>39</v>
      </c>
      <c r="L74" s="3">
        <f t="shared" si="2"/>
        <v>0.59433099664736344</v>
      </c>
      <c r="M74" s="3">
        <f t="shared" si="1"/>
        <v>1.2292782378316365</v>
      </c>
      <c r="N74" s="3"/>
      <c r="O74" s="3"/>
      <c r="P74" s="3"/>
      <c r="Q74" s="3"/>
    </row>
    <row r="75" spans="11:17" x14ac:dyDescent="0.3">
      <c r="K75" s="3">
        <v>40</v>
      </c>
      <c r="L75" s="3">
        <f t="shared" si="2"/>
        <v>0.6095702529716549</v>
      </c>
      <c r="M75" s="3">
        <f t="shared" si="1"/>
        <v>1.2343528703612192</v>
      </c>
      <c r="N75" s="3"/>
      <c r="O75" s="3"/>
      <c r="P75" s="3"/>
      <c r="Q75" s="3"/>
    </row>
    <row r="76" spans="11:17" x14ac:dyDescent="0.3">
      <c r="K76" s="3">
        <v>41</v>
      </c>
      <c r="L76" s="3">
        <f t="shared" si="2"/>
        <v>0.62480950929594625</v>
      </c>
      <c r="M76" s="3">
        <f t="shared" si="1"/>
        <v>1.2384959869386325</v>
      </c>
      <c r="N76" s="3"/>
      <c r="O76" s="3"/>
      <c r="P76" s="3"/>
      <c r="Q76" s="3"/>
    </row>
    <row r="77" spans="11:17" x14ac:dyDescent="0.3">
      <c r="K77" s="3">
        <v>42</v>
      </c>
      <c r="L77" s="3">
        <f t="shared" si="2"/>
        <v>0.6400487656202376</v>
      </c>
      <c r="M77" s="3">
        <f t="shared" si="1"/>
        <v>1.2417075875638766</v>
      </c>
      <c r="N77" s="3"/>
      <c r="O77" s="3"/>
      <c r="P77" s="3"/>
      <c r="Q77" s="3"/>
    </row>
    <row r="78" spans="11:17" x14ac:dyDescent="0.3">
      <c r="K78" s="3">
        <v>43</v>
      </c>
      <c r="L78" s="3">
        <f t="shared" si="2"/>
        <v>0.65528802194452895</v>
      </c>
      <c r="M78" s="3">
        <f t="shared" si="1"/>
        <v>1.2439876722369512</v>
      </c>
      <c r="N78" s="3"/>
      <c r="O78" s="3"/>
      <c r="P78" s="3"/>
      <c r="Q78" s="3"/>
    </row>
    <row r="79" spans="11:17" x14ac:dyDescent="0.3">
      <c r="K79" s="3">
        <v>44</v>
      </c>
      <c r="L79" s="3">
        <f t="shared" si="2"/>
        <v>0.6705272782688203</v>
      </c>
      <c r="M79" s="3">
        <f t="shared" si="1"/>
        <v>1.2453362409578566</v>
      </c>
      <c r="N79" s="3"/>
      <c r="O79" s="3"/>
      <c r="P79" s="3"/>
      <c r="Q79" s="3"/>
    </row>
    <row r="80" spans="11:17" x14ac:dyDescent="0.3">
      <c r="K80" s="3">
        <v>45</v>
      </c>
      <c r="L80" s="3">
        <f t="shared" si="2"/>
        <v>0.68576653459311165</v>
      </c>
      <c r="M80" s="3">
        <f t="shared" si="1"/>
        <v>1.2457532937265925</v>
      </c>
      <c r="N80" s="3"/>
      <c r="O80" s="3"/>
      <c r="P80" s="3"/>
      <c r="Q80" s="3"/>
    </row>
    <row r="81" spans="11:17" x14ac:dyDescent="0.3">
      <c r="K81" s="3">
        <v>46</v>
      </c>
      <c r="L81" s="3">
        <f t="shared" si="2"/>
        <v>0.70100579091740312</v>
      </c>
      <c r="M81" s="3">
        <f t="shared" si="1"/>
        <v>1.2452388305431592</v>
      </c>
      <c r="N81" s="3"/>
      <c r="O81" s="3"/>
      <c r="P81" s="3"/>
      <c r="Q81" s="3"/>
    </row>
    <row r="82" spans="11:17" x14ac:dyDescent="0.3">
      <c r="K82" s="3">
        <v>47</v>
      </c>
      <c r="L82" s="3">
        <f t="shared" si="2"/>
        <v>0.71624504724169447</v>
      </c>
      <c r="M82" s="3">
        <f t="shared" si="1"/>
        <v>1.2437928514075565</v>
      </c>
      <c r="N82" s="3"/>
      <c r="O82" s="3"/>
      <c r="P82" s="3"/>
      <c r="Q82" s="3"/>
    </row>
    <row r="83" spans="11:17" x14ac:dyDescent="0.3">
      <c r="K83" s="3">
        <v>48</v>
      </c>
      <c r="L83" s="3">
        <f t="shared" si="2"/>
        <v>0.73148430356598582</v>
      </c>
      <c r="M83" s="3">
        <f t="shared" si="1"/>
        <v>1.2414153563197847</v>
      </c>
      <c r="N83" s="3"/>
      <c r="O83" s="3"/>
      <c r="P83" s="3"/>
      <c r="Q83" s="3"/>
    </row>
    <row r="84" spans="11:17" x14ac:dyDescent="0.3">
      <c r="K84" s="3">
        <v>49</v>
      </c>
      <c r="L84" s="3">
        <f t="shared" si="2"/>
        <v>0.74672355989027717</v>
      </c>
      <c r="M84" s="3">
        <f t="shared" si="1"/>
        <v>1.2381063452798431</v>
      </c>
      <c r="N84" s="3"/>
      <c r="O84" s="3"/>
      <c r="P84" s="3"/>
      <c r="Q84" s="3"/>
    </row>
    <row r="85" spans="11:17" x14ac:dyDescent="0.3">
      <c r="K85" s="3">
        <v>50</v>
      </c>
      <c r="L85" s="3">
        <f t="shared" si="2"/>
        <v>0.76196281621456852</v>
      </c>
      <c r="M85" s="3">
        <f t="shared" si="1"/>
        <v>1.2338658182877327</v>
      </c>
      <c r="N85" s="3"/>
      <c r="O85" s="3"/>
      <c r="P85" s="3"/>
      <c r="Q85" s="3"/>
    </row>
    <row r="86" spans="11:17" x14ac:dyDescent="0.3">
      <c r="K86" s="3">
        <v>51</v>
      </c>
      <c r="L86" s="3">
        <f t="shared" si="2"/>
        <v>0.77720207253885998</v>
      </c>
      <c r="M86" s="3">
        <f t="shared" si="1"/>
        <v>1.2286937753434524</v>
      </c>
      <c r="N86" s="3"/>
      <c r="O86" s="3"/>
      <c r="P86" s="3"/>
      <c r="Q86" s="3"/>
    </row>
    <row r="87" spans="11:17" x14ac:dyDescent="0.3">
      <c r="K87" s="3">
        <v>52</v>
      </c>
      <c r="L87" s="3">
        <f t="shared" si="2"/>
        <v>0.79244132886315133</v>
      </c>
      <c r="M87" s="3">
        <f t="shared" si="1"/>
        <v>1.2225902164470028</v>
      </c>
      <c r="N87" s="3"/>
      <c r="O87" s="3"/>
      <c r="P87" s="3"/>
      <c r="Q87" s="3"/>
    </row>
    <row r="88" spans="11:17" x14ac:dyDescent="0.3">
      <c r="K88" s="3">
        <v>53</v>
      </c>
      <c r="L88" s="3">
        <f t="shared" si="2"/>
        <v>0.80768058518744268</v>
      </c>
      <c r="M88" s="3">
        <f t="shared" si="1"/>
        <v>1.2155551415983843</v>
      </c>
      <c r="N88" s="3"/>
      <c r="O88" s="3"/>
      <c r="P88" s="3"/>
      <c r="Q88" s="3"/>
    </row>
    <row r="89" spans="11:17" x14ac:dyDescent="0.3">
      <c r="K89" s="3">
        <v>54</v>
      </c>
      <c r="L89" s="3">
        <f t="shared" si="2"/>
        <v>0.82291984151173403</v>
      </c>
      <c r="M89" s="3">
        <f t="shared" si="1"/>
        <v>1.2075885507975963</v>
      </c>
      <c r="N89" s="3"/>
      <c r="O89" s="3"/>
      <c r="P89" s="3"/>
      <c r="Q89" s="3"/>
    </row>
    <row r="90" spans="11:17" x14ac:dyDescent="0.3">
      <c r="K90" s="3">
        <v>55</v>
      </c>
      <c r="L90" s="3">
        <f t="shared" si="2"/>
        <v>0.83815909783602538</v>
      </c>
      <c r="M90" s="3">
        <f t="shared" si="1"/>
        <v>1.1986904440446389</v>
      </c>
      <c r="N90" s="3"/>
      <c r="O90" s="3"/>
      <c r="P90" s="3"/>
      <c r="Q90" s="3"/>
    </row>
    <row r="91" spans="11:17" x14ac:dyDescent="0.3">
      <c r="K91" s="3">
        <v>56</v>
      </c>
      <c r="L91" s="3">
        <f t="shared" si="2"/>
        <v>0.85339835416031673</v>
      </c>
      <c r="M91" s="3">
        <f t="shared" si="1"/>
        <v>1.1888608213395122</v>
      </c>
      <c r="N91" s="3"/>
      <c r="O91" s="3"/>
      <c r="P91" s="3"/>
      <c r="Q91" s="3"/>
    </row>
    <row r="92" spans="11:17" x14ac:dyDescent="0.3">
      <c r="K92" s="3">
        <v>57</v>
      </c>
      <c r="L92" s="3">
        <f t="shared" si="2"/>
        <v>0.86863761048460819</v>
      </c>
      <c r="M92" s="3">
        <f t="shared" si="1"/>
        <v>1.1780996826822159</v>
      </c>
      <c r="N92" s="3"/>
      <c r="O92" s="3"/>
      <c r="P92" s="3"/>
      <c r="Q92" s="3"/>
    </row>
    <row r="93" spans="11:17" x14ac:dyDescent="0.3">
      <c r="K93" s="3">
        <v>58</v>
      </c>
      <c r="L93" s="3">
        <f t="shared" si="2"/>
        <v>0.88387686680889954</v>
      </c>
      <c r="M93" s="3">
        <f t="shared" si="1"/>
        <v>1.1664070280727501</v>
      </c>
      <c r="N93" s="3"/>
      <c r="O93" s="3"/>
      <c r="P93" s="3"/>
      <c r="Q93" s="3"/>
    </row>
    <row r="94" spans="11:17" x14ac:dyDescent="0.3">
      <c r="K94" s="3">
        <v>59</v>
      </c>
      <c r="L94" s="3">
        <f t="shared" si="2"/>
        <v>0.89911612313319089</v>
      </c>
      <c r="M94" s="3">
        <f t="shared" si="1"/>
        <v>1.1537828575111155</v>
      </c>
      <c r="N94" s="3"/>
      <c r="O94" s="3"/>
      <c r="P94" s="3"/>
      <c r="Q94" s="3"/>
    </row>
    <row r="95" spans="11:17" x14ac:dyDescent="0.3">
      <c r="K95" s="3">
        <v>60</v>
      </c>
      <c r="L95" s="3">
        <f t="shared" si="2"/>
        <v>0.91435537945748224</v>
      </c>
      <c r="M95" s="3">
        <f t="shared" si="1"/>
        <v>1.1402271709973117</v>
      </c>
      <c r="N95" s="3"/>
      <c r="O95" s="3"/>
      <c r="P95" s="3"/>
      <c r="Q95" s="3"/>
    </row>
    <row r="96" spans="11:17" x14ac:dyDescent="0.3">
      <c r="K96" s="3">
        <v>61</v>
      </c>
      <c r="L96" s="3">
        <f t="shared" si="2"/>
        <v>0.92959463578177359</v>
      </c>
      <c r="M96" s="3">
        <f t="shared" si="1"/>
        <v>1.1257399685313381</v>
      </c>
      <c r="N96" s="3"/>
      <c r="O96" s="3"/>
      <c r="P96" s="3"/>
      <c r="Q96" s="3"/>
    </row>
    <row r="97" spans="11:17" x14ac:dyDescent="0.3">
      <c r="K97" s="3">
        <v>62</v>
      </c>
      <c r="L97" s="3">
        <f t="shared" si="2"/>
        <v>0.94483389210606505</v>
      </c>
      <c r="M97" s="3">
        <f t="shared" si="1"/>
        <v>1.1103212501131952</v>
      </c>
      <c r="N97" s="3"/>
      <c r="O97" s="3"/>
      <c r="P97" s="3"/>
      <c r="Q97" s="3"/>
    </row>
    <row r="98" spans="11:17" x14ac:dyDescent="0.3">
      <c r="K98" s="3">
        <v>63</v>
      </c>
      <c r="L98" s="3">
        <f t="shared" si="2"/>
        <v>0.9600731484303564</v>
      </c>
      <c r="M98" s="3">
        <f t="shared" si="1"/>
        <v>1.0939710157428832</v>
      </c>
      <c r="N98" s="3"/>
      <c r="O98" s="3"/>
      <c r="P98" s="3"/>
      <c r="Q98" s="3"/>
    </row>
    <row r="99" spans="11:17" x14ac:dyDescent="0.3">
      <c r="K99" s="3">
        <v>64</v>
      </c>
      <c r="L99" s="3">
        <f t="shared" ref="L99:L130" si="3">$L$33/100*K99</f>
        <v>0.97531240475464775</v>
      </c>
      <c r="M99" s="3">
        <f t="shared" si="1"/>
        <v>1.0766892654204017</v>
      </c>
      <c r="N99" s="3"/>
      <c r="O99" s="3"/>
      <c r="P99" s="3"/>
      <c r="Q99" s="3"/>
    </row>
    <row r="100" spans="11:17" x14ac:dyDescent="0.3">
      <c r="K100" s="3">
        <v>65</v>
      </c>
      <c r="L100" s="3">
        <f t="shared" si="3"/>
        <v>0.99055166107893911</v>
      </c>
      <c r="M100" s="3">
        <f t="shared" ref="M100:M135" si="4">MAX(TAN($N$33)*L100 - $O$33*L100^2 / (2*($M$33*COS($N$33))^2) + $K$33, 0)</f>
        <v>1.0584759991457511</v>
      </c>
      <c r="N100" s="3"/>
      <c r="O100" s="3"/>
      <c r="P100" s="3"/>
      <c r="Q100" s="3"/>
    </row>
    <row r="101" spans="11:17" x14ac:dyDescent="0.3">
      <c r="K101" s="3">
        <v>66</v>
      </c>
      <c r="L101" s="3">
        <f t="shared" si="3"/>
        <v>1.0057909174032305</v>
      </c>
      <c r="M101" s="3">
        <f t="shared" si="4"/>
        <v>1.0393312169189315</v>
      </c>
      <c r="N101" s="3"/>
      <c r="O101" s="3"/>
      <c r="P101" s="3"/>
      <c r="Q101" s="3"/>
    </row>
    <row r="102" spans="11:17" x14ac:dyDescent="0.3">
      <c r="K102" s="3">
        <v>67</v>
      </c>
      <c r="L102" s="3">
        <f t="shared" si="3"/>
        <v>1.0210301737275218</v>
      </c>
      <c r="M102" s="3">
        <f t="shared" si="4"/>
        <v>1.0192549187399416</v>
      </c>
      <c r="N102" s="3"/>
      <c r="O102" s="3"/>
      <c r="P102" s="3"/>
      <c r="Q102" s="3"/>
    </row>
    <row r="103" spans="11:17" x14ac:dyDescent="0.3">
      <c r="K103" s="3">
        <v>68</v>
      </c>
      <c r="L103" s="3">
        <f t="shared" si="3"/>
        <v>1.0362694300518132</v>
      </c>
      <c r="M103" s="3">
        <f t="shared" si="4"/>
        <v>0.99824710460878308</v>
      </c>
      <c r="N103" s="3"/>
      <c r="O103" s="3"/>
      <c r="P103" s="3"/>
      <c r="Q103" s="3"/>
    </row>
    <row r="104" spans="11:17" x14ac:dyDescent="0.3">
      <c r="K104" s="3">
        <v>69</v>
      </c>
      <c r="L104" s="3">
        <f t="shared" si="3"/>
        <v>1.0515086863761045</v>
      </c>
      <c r="M104" s="3">
        <f t="shared" si="4"/>
        <v>0.9763077745254547</v>
      </c>
      <c r="N104" s="3"/>
      <c r="O104" s="3"/>
      <c r="P104" s="3"/>
      <c r="Q104" s="3"/>
    </row>
    <row r="105" spans="11:17" x14ac:dyDescent="0.3">
      <c r="K105" s="3">
        <v>70</v>
      </c>
      <c r="L105" s="3">
        <f t="shared" si="3"/>
        <v>1.0667479427003961</v>
      </c>
      <c r="M105" s="3">
        <f t="shared" si="4"/>
        <v>0.95343692848995687</v>
      </c>
      <c r="N105" s="3"/>
      <c r="O105" s="3"/>
      <c r="P105" s="3"/>
      <c r="Q105" s="3"/>
    </row>
    <row r="106" spans="11:17" x14ac:dyDescent="0.3">
      <c r="K106" s="3">
        <v>71</v>
      </c>
      <c r="L106" s="3">
        <f t="shared" si="3"/>
        <v>1.0819871990246874</v>
      </c>
      <c r="M106" s="3">
        <f t="shared" si="4"/>
        <v>0.92963456650229004</v>
      </c>
      <c r="N106" s="3"/>
      <c r="O106" s="3"/>
      <c r="P106" s="3"/>
      <c r="Q106" s="3"/>
    </row>
    <row r="107" spans="11:17" x14ac:dyDescent="0.3">
      <c r="K107" s="3">
        <v>72</v>
      </c>
      <c r="L107" s="3">
        <f t="shared" si="3"/>
        <v>1.0972264553489788</v>
      </c>
      <c r="M107" s="3">
        <f t="shared" si="4"/>
        <v>0.90490068856245376</v>
      </c>
      <c r="N107" s="3"/>
      <c r="O107" s="3"/>
      <c r="P107" s="3"/>
      <c r="Q107" s="3"/>
    </row>
    <row r="108" spans="11:17" x14ac:dyDescent="0.3">
      <c r="K108" s="3">
        <v>73</v>
      </c>
      <c r="L108" s="3">
        <f t="shared" si="3"/>
        <v>1.1124657116732701</v>
      </c>
      <c r="M108" s="3">
        <f t="shared" si="4"/>
        <v>0.87923529467044848</v>
      </c>
      <c r="N108" s="3"/>
      <c r="O108" s="3"/>
      <c r="P108" s="3"/>
      <c r="Q108" s="3"/>
    </row>
    <row r="109" spans="11:17" x14ac:dyDescent="0.3">
      <c r="K109" s="3">
        <v>74</v>
      </c>
      <c r="L109" s="3">
        <f t="shared" si="3"/>
        <v>1.1277049679975615</v>
      </c>
      <c r="M109" s="3">
        <f t="shared" si="4"/>
        <v>0.8526383848262733</v>
      </c>
      <c r="N109" s="3"/>
      <c r="O109" s="3"/>
      <c r="P109" s="3"/>
      <c r="Q109" s="3"/>
    </row>
    <row r="110" spans="11:17" x14ac:dyDescent="0.3">
      <c r="K110" s="3">
        <v>75</v>
      </c>
      <c r="L110" s="3">
        <f t="shared" si="3"/>
        <v>1.1429442243218528</v>
      </c>
      <c r="M110" s="3">
        <f t="shared" si="4"/>
        <v>0.82510995902992956</v>
      </c>
      <c r="N110" s="3"/>
      <c r="O110" s="3"/>
      <c r="P110" s="3"/>
      <c r="Q110" s="3"/>
    </row>
    <row r="111" spans="11:17" x14ac:dyDescent="0.3">
      <c r="K111" s="3">
        <v>76</v>
      </c>
      <c r="L111" s="3">
        <f t="shared" si="3"/>
        <v>1.1581834806461442</v>
      </c>
      <c r="M111" s="3">
        <f t="shared" si="4"/>
        <v>0.79665001728141549</v>
      </c>
      <c r="N111" s="3"/>
      <c r="O111" s="3"/>
      <c r="P111" s="3"/>
      <c r="Q111" s="3"/>
    </row>
    <row r="112" spans="11:17" x14ac:dyDescent="0.3">
      <c r="K112" s="3">
        <v>77</v>
      </c>
      <c r="L112" s="3">
        <f t="shared" si="3"/>
        <v>1.1734227369704355</v>
      </c>
      <c r="M112" s="3">
        <f t="shared" si="4"/>
        <v>0.7672585595807333</v>
      </c>
      <c r="N112" s="3"/>
      <c r="O112" s="3"/>
      <c r="P112" s="3"/>
      <c r="Q112" s="3"/>
    </row>
    <row r="113" spans="11:17" x14ac:dyDescent="0.3">
      <c r="K113" s="3">
        <v>78</v>
      </c>
      <c r="L113" s="3">
        <f t="shared" si="3"/>
        <v>1.1886619932947269</v>
      </c>
      <c r="M113" s="3">
        <f t="shared" si="4"/>
        <v>0.73693558592788078</v>
      </c>
      <c r="N113" s="3"/>
      <c r="O113" s="3"/>
      <c r="P113" s="3"/>
      <c r="Q113" s="3"/>
    </row>
    <row r="114" spans="11:17" x14ac:dyDescent="0.3">
      <c r="K114" s="3">
        <v>79</v>
      </c>
      <c r="L114" s="3">
        <f t="shared" si="3"/>
        <v>1.2039012496190182</v>
      </c>
      <c r="M114" s="3">
        <f t="shared" si="4"/>
        <v>0.70568109632285925</v>
      </c>
      <c r="N114" s="3"/>
      <c r="O114" s="3"/>
      <c r="P114" s="3"/>
      <c r="Q114" s="3"/>
    </row>
    <row r="115" spans="11:17" x14ac:dyDescent="0.3">
      <c r="K115" s="3">
        <v>80</v>
      </c>
      <c r="L115" s="3">
        <f t="shared" si="3"/>
        <v>1.2191405059433098</v>
      </c>
      <c r="M115" s="3">
        <f t="shared" si="4"/>
        <v>0.67349509076566827</v>
      </c>
      <c r="N115" s="3"/>
      <c r="O115" s="3"/>
      <c r="P115" s="3"/>
      <c r="Q115" s="3"/>
    </row>
    <row r="116" spans="11:17" x14ac:dyDescent="0.3">
      <c r="K116" s="3">
        <v>81</v>
      </c>
      <c r="L116" s="3">
        <f t="shared" si="3"/>
        <v>1.2343797622676012</v>
      </c>
      <c r="M116" s="3">
        <f t="shared" si="4"/>
        <v>0.64037756925630784</v>
      </c>
      <c r="N116" s="3"/>
      <c r="O116" s="3"/>
      <c r="P116" s="3"/>
      <c r="Q116" s="3"/>
    </row>
    <row r="117" spans="11:17" x14ac:dyDescent="0.3">
      <c r="K117" s="3">
        <v>82</v>
      </c>
      <c r="L117" s="3">
        <f t="shared" si="3"/>
        <v>1.2496190185918925</v>
      </c>
      <c r="M117" s="3">
        <f t="shared" si="4"/>
        <v>0.60632853179477841</v>
      </c>
      <c r="N117" s="3"/>
      <c r="O117" s="3"/>
      <c r="P117" s="3"/>
      <c r="Q117" s="3"/>
    </row>
    <row r="118" spans="11:17" x14ac:dyDescent="0.3">
      <c r="K118" s="3">
        <v>83</v>
      </c>
      <c r="L118" s="3">
        <f t="shared" si="3"/>
        <v>1.2648582749161839</v>
      </c>
      <c r="M118" s="3">
        <f t="shared" si="4"/>
        <v>0.57134797838107954</v>
      </c>
      <c r="N118" s="3"/>
      <c r="O118" s="3"/>
      <c r="P118" s="3"/>
      <c r="Q118" s="3"/>
    </row>
    <row r="119" spans="11:17" x14ac:dyDescent="0.3">
      <c r="K119" s="3">
        <v>84</v>
      </c>
      <c r="L119" s="3">
        <f t="shared" si="3"/>
        <v>1.2800975312404752</v>
      </c>
      <c r="M119" s="3">
        <f t="shared" si="4"/>
        <v>0.53543590901521121</v>
      </c>
      <c r="N119" s="3"/>
      <c r="O119" s="3"/>
      <c r="P119" s="3"/>
      <c r="Q119" s="3"/>
    </row>
    <row r="120" spans="11:17" x14ac:dyDescent="0.3">
      <c r="K120" s="3">
        <v>85</v>
      </c>
      <c r="L120" s="3">
        <f t="shared" si="3"/>
        <v>1.2953367875647666</v>
      </c>
      <c r="M120" s="3">
        <f t="shared" si="4"/>
        <v>0.49859232369717382</v>
      </c>
      <c r="N120" s="3"/>
      <c r="O120" s="3"/>
      <c r="P120" s="3"/>
      <c r="Q120" s="3"/>
    </row>
    <row r="121" spans="11:17" x14ac:dyDescent="0.3">
      <c r="K121" s="3">
        <v>86</v>
      </c>
      <c r="L121" s="3">
        <f t="shared" si="3"/>
        <v>1.3105760438890579</v>
      </c>
      <c r="M121" s="3">
        <f t="shared" si="4"/>
        <v>0.4608172224269666</v>
      </c>
      <c r="N121" s="3"/>
      <c r="O121" s="3"/>
      <c r="P121" s="3"/>
      <c r="Q121" s="3"/>
    </row>
    <row r="122" spans="11:17" x14ac:dyDescent="0.3">
      <c r="K122" s="3">
        <v>87</v>
      </c>
      <c r="L122" s="3">
        <f t="shared" si="3"/>
        <v>1.3258153002133493</v>
      </c>
      <c r="M122" s="3">
        <f t="shared" si="4"/>
        <v>0.42211060520459082</v>
      </c>
      <c r="N122" s="3"/>
      <c r="O122" s="3"/>
      <c r="P122" s="3"/>
      <c r="Q122" s="3"/>
    </row>
    <row r="123" spans="11:17" x14ac:dyDescent="0.3">
      <c r="K123" s="3">
        <v>88</v>
      </c>
      <c r="L123" s="3">
        <f t="shared" si="3"/>
        <v>1.3410545565376406</v>
      </c>
      <c r="M123" s="3">
        <f t="shared" si="4"/>
        <v>0.38247247203004514</v>
      </c>
      <c r="N123" s="3"/>
      <c r="O123" s="3"/>
      <c r="P123" s="3"/>
      <c r="Q123" s="3"/>
    </row>
    <row r="124" spans="11:17" x14ac:dyDescent="0.3">
      <c r="K124" s="3">
        <v>89</v>
      </c>
      <c r="L124" s="3">
        <f t="shared" si="3"/>
        <v>1.356293812861932</v>
      </c>
      <c r="M124" s="3">
        <f t="shared" si="4"/>
        <v>0.34190282290333002</v>
      </c>
      <c r="N124" s="3"/>
      <c r="O124" s="3"/>
      <c r="P124" s="3"/>
      <c r="Q124" s="3"/>
    </row>
    <row r="125" spans="11:17" x14ac:dyDescent="0.3">
      <c r="K125" s="3">
        <v>90</v>
      </c>
      <c r="L125" s="3">
        <f t="shared" si="3"/>
        <v>1.3715330691862233</v>
      </c>
      <c r="M125" s="3">
        <f t="shared" si="4"/>
        <v>0.30040165782444633</v>
      </c>
      <c r="N125" s="3"/>
      <c r="O125" s="3"/>
      <c r="P125" s="3"/>
      <c r="Q125" s="3"/>
    </row>
    <row r="126" spans="11:17" x14ac:dyDescent="0.3">
      <c r="K126" s="3">
        <v>91</v>
      </c>
      <c r="L126" s="3">
        <f t="shared" si="3"/>
        <v>1.3867723255105149</v>
      </c>
      <c r="M126" s="3">
        <f t="shared" si="4"/>
        <v>0.25796897679339187</v>
      </c>
      <c r="N126" s="3"/>
      <c r="O126" s="3"/>
      <c r="P126" s="3"/>
      <c r="Q126" s="3"/>
    </row>
    <row r="127" spans="11:17" x14ac:dyDescent="0.3">
      <c r="K127" s="3">
        <v>92</v>
      </c>
      <c r="L127" s="3">
        <f t="shared" si="3"/>
        <v>1.4020115818348062</v>
      </c>
      <c r="M127" s="3">
        <f t="shared" si="4"/>
        <v>0.21460477981016884</v>
      </c>
      <c r="N127" s="3"/>
      <c r="O127" s="3"/>
      <c r="P127" s="3"/>
      <c r="Q127" s="3"/>
    </row>
    <row r="128" spans="11:17" x14ac:dyDescent="0.3">
      <c r="K128" s="3">
        <v>93</v>
      </c>
      <c r="L128" s="3">
        <f t="shared" si="3"/>
        <v>1.4172508381590976</v>
      </c>
      <c r="M128" s="3">
        <f t="shared" si="4"/>
        <v>0.17030906687477682</v>
      </c>
      <c r="N128" s="3"/>
      <c r="O128" s="3"/>
      <c r="P128" s="3"/>
      <c r="Q128" s="3"/>
    </row>
    <row r="129" spans="11:17" x14ac:dyDescent="0.3">
      <c r="K129" s="3">
        <v>94</v>
      </c>
      <c r="L129" s="3">
        <f t="shared" si="3"/>
        <v>1.4324900944833889</v>
      </c>
      <c r="M129" s="3">
        <f t="shared" si="4"/>
        <v>0.12508183798721489</v>
      </c>
      <c r="N129" s="3"/>
      <c r="O129" s="3"/>
      <c r="P129" s="3"/>
      <c r="Q129" s="3"/>
    </row>
    <row r="130" spans="11:17" x14ac:dyDescent="0.3">
      <c r="K130" s="3">
        <v>95</v>
      </c>
      <c r="L130" s="3">
        <f t="shared" si="3"/>
        <v>1.4477293508076803</v>
      </c>
      <c r="M130" s="3">
        <f t="shared" si="4"/>
        <v>7.8923093147483525E-2</v>
      </c>
      <c r="N130" s="3"/>
      <c r="O130" s="3"/>
      <c r="P130" s="3"/>
      <c r="Q130" s="3"/>
    </row>
    <row r="131" spans="11:17" x14ac:dyDescent="0.3">
      <c r="K131" s="3">
        <v>96</v>
      </c>
      <c r="L131" s="3">
        <f t="shared" ref="L131:L135" si="5">$L$33/100*K131</f>
        <v>1.4629686071319716</v>
      </c>
      <c r="M131" s="3">
        <f t="shared" si="4"/>
        <v>3.1832832355584484E-2</v>
      </c>
      <c r="N131" s="3"/>
      <c r="O131" s="3"/>
      <c r="P131" s="3"/>
      <c r="Q131" s="3"/>
    </row>
    <row r="132" spans="11:17" x14ac:dyDescent="0.3">
      <c r="K132" s="3">
        <v>97</v>
      </c>
      <c r="L132" s="3">
        <f t="shared" si="5"/>
        <v>1.478207863456263</v>
      </c>
      <c r="M132" s="3">
        <f t="shared" si="4"/>
        <v>0</v>
      </c>
      <c r="N132" s="3"/>
      <c r="O132" s="3"/>
      <c r="P132" s="3"/>
      <c r="Q132" s="3"/>
    </row>
    <row r="133" spans="11:17" x14ac:dyDescent="0.3">
      <c r="K133" s="3">
        <v>98</v>
      </c>
      <c r="L133" s="3">
        <f t="shared" si="5"/>
        <v>1.4934471197805543</v>
      </c>
      <c r="M133" s="3">
        <f t="shared" si="4"/>
        <v>0</v>
      </c>
      <c r="N133" s="3"/>
      <c r="O133" s="3"/>
      <c r="P133" s="3"/>
      <c r="Q133" s="3"/>
    </row>
    <row r="134" spans="11:17" x14ac:dyDescent="0.3">
      <c r="K134" s="3">
        <v>99</v>
      </c>
      <c r="L134" s="3">
        <f t="shared" si="5"/>
        <v>1.5086863761048457</v>
      </c>
      <c r="M134" s="3">
        <f t="shared" si="4"/>
        <v>0</v>
      </c>
      <c r="N134" s="3"/>
      <c r="O134" s="3"/>
      <c r="P134" s="3"/>
      <c r="Q134" s="3"/>
    </row>
    <row r="135" spans="11:17" x14ac:dyDescent="0.3">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48" priority="6" operator="lessThanOrEqual">
      <formula>0</formula>
    </cfRule>
  </conditionalFormatting>
  <conditionalFormatting sqref="D8 G8">
    <cfRule type="cellIs" dxfId="47" priority="5" operator="lessThan">
      <formula>0</formula>
    </cfRule>
  </conditionalFormatting>
  <conditionalFormatting sqref="D10 G10">
    <cfRule type="cellIs" dxfId="46" priority="3" operator="lessThanOrEqual">
      <formula>-90</formula>
    </cfRule>
    <cfRule type="cellIs" dxfId="45" priority="4" operator="greaterThanOrEqual">
      <formula>90</formula>
    </cfRule>
  </conditionalFormatting>
  <conditionalFormatting sqref="D7:D10 G7:G10">
    <cfRule type="expression" dxfId="44" priority="2">
      <formula>ISTEXT(D7)</formula>
    </cfRule>
  </conditionalFormatting>
  <conditionalFormatting sqref="D7:D10 G7:G10 I6">
    <cfRule type="containsBlanks" dxfId="43" priority="1">
      <formula>LEN(TRIM(D6))=0</formula>
    </cfRule>
  </conditionalFormatting>
  <dataValidations count="1">
    <dataValidation type="list" allowBlank="1" showInputMessage="1" showErrorMessage="1" sqref="I6" xr:uid="{00000000-0002-0000-05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S22"/>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9.44140625" style="1" customWidth="1"/>
    <col min="5" max="5" width="13" style="1" customWidth="1"/>
    <col min="6" max="6" width="17.88671875" style="1" customWidth="1"/>
    <col min="7" max="7" width="9.109375" style="1"/>
    <col min="8" max="8" width="12.5546875" style="1" customWidth="1"/>
    <col min="9" max="9" width="19.44140625" style="1" customWidth="1"/>
    <col min="10" max="12" width="9.109375" style="1"/>
    <col min="13" max="19" width="0" style="1" hidden="1" customWidth="1"/>
    <col min="20" max="16384" width="9.109375" style="1"/>
  </cols>
  <sheetData>
    <row r="2" spans="2:19" ht="31.2" x14ac:dyDescent="0.3">
      <c r="C2" s="2" t="s">
        <v>101</v>
      </c>
    </row>
    <row r="4" spans="2:19" x14ac:dyDescent="0.3">
      <c r="B4" s="8" t="b">
        <v>1</v>
      </c>
      <c r="C4" s="1" t="s">
        <v>0</v>
      </c>
    </row>
    <row r="6" spans="2:19" ht="18" x14ac:dyDescent="0.3">
      <c r="F6" s="191" t="s">
        <v>95</v>
      </c>
      <c r="G6" s="191"/>
      <c r="I6" s="191" t="s">
        <v>98</v>
      </c>
      <c r="J6" s="191"/>
    </row>
    <row r="7" spans="2:19" x14ac:dyDescent="0.3">
      <c r="C7" s="90" t="s">
        <v>102</v>
      </c>
      <c r="D7" s="11" t="s">
        <v>26</v>
      </c>
      <c r="F7" s="90" t="s">
        <v>105</v>
      </c>
      <c r="G7" s="11">
        <v>50</v>
      </c>
      <c r="I7" s="90" t="str">
        <f>"Estimated Dist. (" &amp; IF($B$4, "mm", "in") &amp; ")"</f>
        <v>Estimated Dist. (mm)</v>
      </c>
      <c r="J7" s="52">
        <v>70</v>
      </c>
      <c r="M7" s="116" t="s">
        <v>228</v>
      </c>
      <c r="N7" s="117" t="s">
        <v>229</v>
      </c>
      <c r="O7" s="116" t="s">
        <v>223</v>
      </c>
      <c r="P7" s="116" t="s">
        <v>230</v>
      </c>
      <c r="Q7" s="116" t="s">
        <v>231</v>
      </c>
      <c r="R7" s="116" t="s">
        <v>232</v>
      </c>
      <c r="S7" s="118" t="s">
        <v>233</v>
      </c>
    </row>
    <row r="8" spans="2:19" x14ac:dyDescent="0.3">
      <c r="I8" s="90" t="s">
        <v>106</v>
      </c>
      <c r="J8" s="73" t="s">
        <v>108</v>
      </c>
      <c r="M8" s="119">
        <f>G7*$D$17/2</f>
        <v>238.24999999999997</v>
      </c>
      <c r="N8" s="119">
        <f t="shared" ref="N8:N14" si="0">ACOS((D$13-D$10)/(2*M8))</f>
        <v>1.5516965723780121</v>
      </c>
      <c r="O8" s="119">
        <f t="shared" ref="O8:O14" si="1">SQRT(M8^2-(D$10/2-D$13/2)^2)</f>
        <v>238.20654444736232</v>
      </c>
      <c r="P8" s="119">
        <f t="shared" ref="P8:P14" si="2">(2*O8+D$9*$D$17*N8/PI()+D$12*$D$17*(PI()-N8)/PI())/$D$17</f>
        <v>63.509119183739664</v>
      </c>
      <c r="Q8" s="119">
        <f>G7</f>
        <v>50</v>
      </c>
      <c r="R8" s="119">
        <f t="shared" ref="R8:R14" si="3">P8-Q8</f>
        <v>13.509119183739664</v>
      </c>
      <c r="S8" s="119"/>
    </row>
    <row r="9" spans="2:19" x14ac:dyDescent="0.3">
      <c r="C9" s="90" t="s">
        <v>103</v>
      </c>
      <c r="D9" s="11">
        <v>12</v>
      </c>
      <c r="I9" s="90" t="s">
        <v>107</v>
      </c>
      <c r="J9" s="11">
        <v>2</v>
      </c>
      <c r="M9" s="119">
        <f>IF(Q8&gt;P8, M8+$D$17/10, M8-$D$17/10)</f>
        <v>237.29699999999997</v>
      </c>
      <c r="N9" s="119">
        <f t="shared" si="0"/>
        <v>1.5516198571518878</v>
      </c>
      <c r="O9" s="119">
        <f t="shared" si="1"/>
        <v>237.25336989504109</v>
      </c>
      <c r="P9" s="119">
        <f t="shared" si="2"/>
        <v>63.309155809207809</v>
      </c>
      <c r="Q9" s="119">
        <f t="shared" ref="Q9:Q14" si="4">Q8</f>
        <v>50</v>
      </c>
      <c r="R9" s="119">
        <f t="shared" si="3"/>
        <v>13.309155809207809</v>
      </c>
      <c r="S9" s="119">
        <f t="shared" ref="S9:S14" si="5">(R9-R8)/(M9-M8)</f>
        <v>0.20982515690645764</v>
      </c>
    </row>
    <row r="10" spans="2:19" x14ac:dyDescent="0.3">
      <c r="C10" s="90" t="str">
        <f>"Pitch Diam. 1 (" &amp; IF($B$4, "mm", "in") &amp; ")"</f>
        <v>Pitch Diam. 1 (mm)</v>
      </c>
      <c r="D10" s="42">
        <f>$D$17*D9/PI()</f>
        <v>36.401918583978301</v>
      </c>
      <c r="M10" s="119">
        <f>IF(ABS(R9)&lt;0.000000000001,M9,M9-R9/S9)</f>
        <v>173.86725684893835</v>
      </c>
      <c r="N10" s="119">
        <f t="shared" si="0"/>
        <v>1.544622569398344</v>
      </c>
      <c r="O10" s="119">
        <f t="shared" si="1"/>
        <v>173.80770501254514</v>
      </c>
      <c r="P10" s="119">
        <f t="shared" si="2"/>
        <v>50.000902809185398</v>
      </c>
      <c r="Q10" s="119">
        <f t="shared" si="4"/>
        <v>50</v>
      </c>
      <c r="R10" s="119">
        <f t="shared" si="3"/>
        <v>9.0280918539775712E-4</v>
      </c>
      <c r="S10" s="119">
        <f t="shared" si="5"/>
        <v>0.2098109236912411</v>
      </c>
    </row>
    <row r="11" spans="2:19" x14ac:dyDescent="0.3">
      <c r="F11" s="90" t="str">
        <f>"C-C Dist. (" &amp; IF($B$4, "mm", "in") &amp; ")"</f>
        <v>C-C Dist. (mm)</v>
      </c>
      <c r="G11" s="42">
        <f>M14+D20</f>
        <v>174.27295348917576</v>
      </c>
      <c r="I11" s="90" t="str">
        <f>"Actual Dist. (" &amp; IF($B$4, "mm", "in") &amp; ")"</f>
        <v>Actual Dist. (mm)</v>
      </c>
      <c r="J11" s="42">
        <f>M22+D20</f>
        <v>69.352285889877948</v>
      </c>
      <c r="M11" s="119">
        <f>IF(ABS(R10)&lt;0.000000000001,M10,M10-R10/S10)</f>
        <v>173.86295388334671</v>
      </c>
      <c r="N11" s="119">
        <f t="shared" si="0"/>
        <v>1.5446219214713335</v>
      </c>
      <c r="O11" s="119">
        <f t="shared" si="1"/>
        <v>173.80340057258937</v>
      </c>
      <c r="P11" s="119">
        <f t="shared" si="2"/>
        <v>50.000000082693795</v>
      </c>
      <c r="Q11" s="119">
        <f t="shared" si="4"/>
        <v>50</v>
      </c>
      <c r="R11" s="119">
        <f t="shared" si="3"/>
        <v>8.2693794922761299E-8</v>
      </c>
      <c r="S11" s="119">
        <f t="shared" si="5"/>
        <v>0.20979170583072324</v>
      </c>
    </row>
    <row r="12" spans="2:19" x14ac:dyDescent="0.3">
      <c r="C12" s="90" t="s">
        <v>104</v>
      </c>
      <c r="D12" s="11">
        <v>15</v>
      </c>
      <c r="F12" s="90" t="str">
        <f>"Chain Length (" &amp; IF($B$4, "mm", "in") &amp; ")"</f>
        <v>Chain Length (mm)</v>
      </c>
      <c r="G12" s="42">
        <f>G7*$D$17</f>
        <v>476.49999999999994</v>
      </c>
      <c r="I12" s="90" t="str">
        <f>"Chain Length (" &amp; IF($B$4, "mm", "in") &amp; ")"</f>
        <v>Chain Length (mm)</v>
      </c>
      <c r="J12" s="42">
        <f>J13*D17</f>
        <v>266.83999999999997</v>
      </c>
      <c r="M12" s="119">
        <f>IF(ABS(R11)&lt;0.000000000001,M11,M11-R11/S11)</f>
        <v>173.86295348917577</v>
      </c>
      <c r="N12" s="119">
        <f t="shared" si="0"/>
        <v>1.544621921411979</v>
      </c>
      <c r="O12" s="119">
        <f t="shared" si="1"/>
        <v>173.80340017828334</v>
      </c>
      <c r="P12" s="119">
        <f t="shared" si="2"/>
        <v>49.999999999999993</v>
      </c>
      <c r="Q12" s="119">
        <f t="shared" si="4"/>
        <v>50</v>
      </c>
      <c r="R12" s="119">
        <f t="shared" si="3"/>
        <v>0</v>
      </c>
      <c r="S12" s="119">
        <f t="shared" si="5"/>
        <v>0.20979170874295902</v>
      </c>
    </row>
    <row r="13" spans="2:19" x14ac:dyDescent="0.3">
      <c r="C13" s="90" t="str">
        <f>"Pitch Diam. 2 (" &amp; IF($B$4, "mm", "in") &amp; ")"</f>
        <v>Pitch Diam. 2 (mm)</v>
      </c>
      <c r="D13" s="42">
        <f>$D$17*D12/PI()</f>
        <v>45.502398229972876</v>
      </c>
      <c r="F13" s="90" t="str">
        <f>"Clearance (" &amp; IF($B$4, "mm", "in") &amp; ")"</f>
        <v>Clearance (mm)</v>
      </c>
      <c r="G13" s="42">
        <f>G11 - ($D$10+$D$13)/2</f>
        <v>133.32079508220016</v>
      </c>
      <c r="I13" s="90" t="s">
        <v>105</v>
      </c>
      <c r="J13" s="6">
        <f>Q16</f>
        <v>28</v>
      </c>
      <c r="M13" s="119">
        <f>IF(ABS(R12)&lt;0.000000000001,M12,M12-R12/S12)</f>
        <v>173.86295348917577</v>
      </c>
      <c r="N13" s="119">
        <f t="shared" si="0"/>
        <v>1.544621921411979</v>
      </c>
      <c r="O13" s="119">
        <f t="shared" si="1"/>
        <v>173.80340017828334</v>
      </c>
      <c r="P13" s="119">
        <f t="shared" si="2"/>
        <v>49.999999999999993</v>
      </c>
      <c r="Q13" s="119">
        <f t="shared" si="4"/>
        <v>50</v>
      </c>
      <c r="R13" s="119">
        <f t="shared" si="3"/>
        <v>0</v>
      </c>
      <c r="S13" s="119" t="e">
        <f t="shared" si="5"/>
        <v>#DIV/0!</v>
      </c>
    </row>
    <row r="14" spans="2:19" x14ac:dyDescent="0.3">
      <c r="I14" s="90" t="str">
        <f>"Clearance (" &amp; IF($B$4, "mm", "in") &amp; ")"</f>
        <v>Clearance (mm)</v>
      </c>
      <c r="J14" s="42">
        <f>J11 - ($D$10+$D$13)/2</f>
        <v>28.400127482902363</v>
      </c>
      <c r="M14" s="119">
        <f>IF(ABS(R13)&lt;0.000000000001,M13,M13-R13/S13)</f>
        <v>173.86295348917577</v>
      </c>
      <c r="N14" s="119">
        <f t="shared" si="0"/>
        <v>1.544621921411979</v>
      </c>
      <c r="O14" s="119">
        <f t="shared" si="1"/>
        <v>173.80340017828334</v>
      </c>
      <c r="P14" s="119">
        <f t="shared" si="2"/>
        <v>49.999999999999993</v>
      </c>
      <c r="Q14" s="119">
        <f t="shared" si="4"/>
        <v>50</v>
      </c>
      <c r="R14" s="119">
        <f t="shared" si="3"/>
        <v>0</v>
      </c>
      <c r="S14" s="119" t="e">
        <f t="shared" si="5"/>
        <v>#DIV/0!</v>
      </c>
    </row>
    <row r="15" spans="2:19" x14ac:dyDescent="0.3">
      <c r="M15" s="115"/>
      <c r="N15" s="115"/>
      <c r="O15" s="115"/>
      <c r="P15" s="115"/>
      <c r="Q15" s="115"/>
      <c r="R15" s="115"/>
      <c r="S15" s="115"/>
    </row>
    <row r="16" spans="2:19" x14ac:dyDescent="0.3">
      <c r="C16" s="200" t="s">
        <v>20</v>
      </c>
      <c r="D16" s="200"/>
      <c r="M16" s="120">
        <f>J7-D20</f>
        <v>69.59</v>
      </c>
      <c r="N16" s="119">
        <f t="shared" ref="N16:N22" si="6">ACOS((D$13-D$10)/(2*M16))</f>
        <v>1.5053632414045293</v>
      </c>
      <c r="O16" s="119">
        <f t="shared" ref="O16:O22" si="7">SQRT(M16^2-(D$10/2-D$13/2)^2)</f>
        <v>69.441078747044315</v>
      </c>
      <c r="P16" s="119">
        <f t="shared" ref="P16:P22" si="8">(2*O16+D$9*$D$17*N16/PI()+D$12*$D$17*(PI()-N16)/PI())/$D$17</f>
        <v>28.135637980677682</v>
      </c>
      <c r="Q16" s="119">
        <f>IF(J8="Nearest", MROUND(P16, J9), IF(J8="Up",CEILING(P16, J9),FLOOR(P16, J9)))</f>
        <v>28</v>
      </c>
      <c r="R16" s="119">
        <f t="shared" ref="R16:R22" si="9">P16-Q16</f>
        <v>0.13563798067768218</v>
      </c>
      <c r="S16" s="119"/>
    </row>
    <row r="17" spans="3:19" x14ac:dyDescent="0.3">
      <c r="C17" s="63" t="str">
        <f>"Pitch (" &amp; IF($B$4, "mm", "in") &amp; ")"</f>
        <v>Pitch (mm)</v>
      </c>
      <c r="D17" s="64">
        <f>VLOOKUP($D$7, ChainBeltSpecs, 2, FALSE) / IF($B$4, 1, 25.4)</f>
        <v>9.5299999999999994</v>
      </c>
      <c r="M17" s="119">
        <f>IF(Q16&gt;P16, M16+$D$17/10, M16-$D$17/10)</f>
        <v>68.637</v>
      </c>
      <c r="N17" s="119">
        <f t="shared" si="6"/>
        <v>1.5044534005334584</v>
      </c>
      <c r="O17" s="119">
        <f t="shared" si="7"/>
        <v>68.486006501716901</v>
      </c>
      <c r="P17" s="119">
        <f t="shared" si="8"/>
        <v>27.936071925869019</v>
      </c>
      <c r="Q17" s="119">
        <f t="shared" ref="Q17:Q22" si="10">Q16</f>
        <v>28</v>
      </c>
      <c r="R17" s="119">
        <f t="shared" si="9"/>
        <v>-6.3928074130981116E-2</v>
      </c>
      <c r="S17" s="119">
        <f t="shared" ref="S17:S22" si="11">(R17-R16)/(M17-M16)</f>
        <v>0.20940824219167123</v>
      </c>
    </row>
    <row r="18" spans="3:19" x14ac:dyDescent="0.3">
      <c r="C18" s="63" t="str">
        <f>"Width (" &amp; IF($B$4, "mm", "in") &amp; ")"</f>
        <v>Width (mm)</v>
      </c>
      <c r="D18" s="64">
        <f>VLOOKUP($D$7, ChainBeltSpecs, 3, FALSE) / IF($B$4, 1, 25.4)</f>
        <v>11.76</v>
      </c>
      <c r="M18" s="119">
        <f>IF(ABS(R17)&lt;0.000000000001,M17,M17-R17/S17)</f>
        <v>68.942279646406988</v>
      </c>
      <c r="N18" s="119">
        <f t="shared" si="6"/>
        <v>1.5047475990078809</v>
      </c>
      <c r="O18" s="119">
        <f t="shared" si="7"/>
        <v>68.791956218707668</v>
      </c>
      <c r="P18" s="119">
        <f t="shared" si="8"/>
        <v>27.999998692579737</v>
      </c>
      <c r="Q18" s="119">
        <f t="shared" si="10"/>
        <v>28</v>
      </c>
      <c r="R18" s="119">
        <f t="shared" si="9"/>
        <v>-1.3074202627194609E-6</v>
      </c>
      <c r="S18" s="119">
        <f t="shared" si="11"/>
        <v>0.2094039594945471</v>
      </c>
    </row>
    <row r="19" spans="3:19" x14ac:dyDescent="0.3">
      <c r="C19" s="63" t="str">
        <f>"Thickness (" &amp; IF($B$4, "mm", "in") &amp; ")"</f>
        <v>Thickness (mm)</v>
      </c>
      <c r="D19" s="64">
        <f>VLOOKUP($D$7, ChainBeltSpecs, 4, FALSE) / IF($B$4, 1, 25.4)</f>
        <v>8.94</v>
      </c>
      <c r="M19" s="119">
        <f>IF(ABS(R18)&lt;0.000000000001,M18,M18-R18/S18)</f>
        <v>68.942285889938702</v>
      </c>
      <c r="N19" s="119">
        <f t="shared" si="6"/>
        <v>1.5047476049980801</v>
      </c>
      <c r="O19" s="119">
        <f t="shared" si="7"/>
        <v>68.791962475882684</v>
      </c>
      <c r="P19" s="119">
        <f t="shared" si="8"/>
        <v>28.000000000012722</v>
      </c>
      <c r="Q19" s="119">
        <f t="shared" si="10"/>
        <v>28</v>
      </c>
      <c r="R19" s="119">
        <f t="shared" si="9"/>
        <v>1.2722267683784594E-11</v>
      </c>
      <c r="S19" s="119">
        <f t="shared" si="11"/>
        <v>0.20940599723382855</v>
      </c>
    </row>
    <row r="20" spans="3:19" x14ac:dyDescent="0.3">
      <c r="C20" s="63" t="str">
        <f>"C-C Addition (" &amp; IF($B$4, "mm", "in") &amp; ")"</f>
        <v>C-C Addition (mm)</v>
      </c>
      <c r="D20" s="64">
        <f>VLOOKUP($D$7, ChainBeltSpecs, 5, FALSE) / IF($B$4, 1, 25.4)</f>
        <v>0.41</v>
      </c>
      <c r="M20" s="119">
        <f>IF(ABS(R19)&lt;0.000000000001,M19,M19-R19/S19)</f>
        <v>68.942285889877951</v>
      </c>
      <c r="N20" s="119">
        <f t="shared" si="6"/>
        <v>1.504747604998022</v>
      </c>
      <c r="O20" s="119">
        <f t="shared" si="7"/>
        <v>68.791962475821791</v>
      </c>
      <c r="P20" s="119">
        <f t="shared" si="8"/>
        <v>28</v>
      </c>
      <c r="Q20" s="119">
        <f t="shared" si="10"/>
        <v>28</v>
      </c>
      <c r="R20" s="119">
        <f t="shared" si="9"/>
        <v>0</v>
      </c>
      <c r="S20" s="119">
        <f t="shared" si="11"/>
        <v>0.20941520467836258</v>
      </c>
    </row>
    <row r="21" spans="3:19" x14ac:dyDescent="0.3">
      <c r="M21" s="119">
        <f>IF(ABS(R20)&lt;0.000000000001,M20,M20-R20/S20)</f>
        <v>68.942285889877951</v>
      </c>
      <c r="N21" s="119">
        <f t="shared" si="6"/>
        <v>1.504747604998022</v>
      </c>
      <c r="O21" s="119">
        <f t="shared" si="7"/>
        <v>68.791962475821791</v>
      </c>
      <c r="P21" s="119">
        <f t="shared" si="8"/>
        <v>28</v>
      </c>
      <c r="Q21" s="119">
        <f t="shared" si="10"/>
        <v>28</v>
      </c>
      <c r="R21" s="119">
        <f t="shared" si="9"/>
        <v>0</v>
      </c>
      <c r="S21" s="119" t="e">
        <f t="shared" si="11"/>
        <v>#DIV/0!</v>
      </c>
    </row>
    <row r="22" spans="3:19" x14ac:dyDescent="0.3">
      <c r="M22" s="119">
        <f>IF(ABS(R21)&lt;0.000000000001,M21,M21-R21/S21)</f>
        <v>68.942285889877951</v>
      </c>
      <c r="N22" s="119">
        <f t="shared" si="6"/>
        <v>1.504747604998022</v>
      </c>
      <c r="O22" s="119">
        <f t="shared" si="7"/>
        <v>68.791962475821791</v>
      </c>
      <c r="P22" s="119">
        <f t="shared" si="8"/>
        <v>28</v>
      </c>
      <c r="Q22" s="119">
        <f t="shared" si="10"/>
        <v>28</v>
      </c>
      <c r="R22" s="119">
        <f t="shared" si="9"/>
        <v>0</v>
      </c>
      <c r="S22" s="119"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2" priority="3">
      <formula>ISTEXT(D7)</formula>
    </cfRule>
    <cfRule type="cellIs" dxfId="41" priority="8" operator="lessThanOrEqual">
      <formula>0</formula>
    </cfRule>
  </conditionalFormatting>
  <conditionalFormatting sqref="D7 D9 D12 G7 J7:J9">
    <cfRule type="containsBlanks" dxfId="40" priority="4">
      <formula>LEN(TRIM(D7))=0</formula>
    </cfRule>
    <cfRule type="containsBlanks" dxfId="39" priority="7">
      <formula>LEN(TRIM(D7))=0</formula>
    </cfRule>
  </conditionalFormatting>
  <conditionalFormatting sqref="G11:G13">
    <cfRule type="expression" dxfId="38" priority="2">
      <formula>ISERROR($G$11)</formula>
    </cfRule>
    <cfRule type="expression" dxfId="37" priority="6">
      <formula>$G$13&lt;=0</formula>
    </cfRule>
  </conditionalFormatting>
  <conditionalFormatting sqref="J11:J14">
    <cfRule type="expression" dxfId="36" priority="1">
      <formula>ISERROR($J$11)</formula>
    </cfRule>
    <cfRule type="expression" dxfId="35" priority="5">
      <formula>$J$14&lt;=0</formula>
    </cfRule>
  </conditionalFormatting>
  <dataValidations count="2">
    <dataValidation type="list" allowBlank="1" showInputMessage="1" showErrorMessage="1" errorTitle="Error" error="Invalid chain/belt type" sqref="D7" xr:uid="{00000000-0002-0000-0600-000000000000}">
      <formula1>ChainBelts</formula1>
    </dataValidation>
    <dataValidation type="list" allowBlank="1" showInputMessage="1" showErrorMessage="1" sqref="J8" xr:uid="{00000000-0002-0000-0600-000001000000}">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12.33203125" style="1" customWidth="1"/>
    <col min="4" max="4" width="9.109375" style="1"/>
    <col min="5" max="5" width="15.44140625" style="1" customWidth="1"/>
    <col min="6" max="6" width="14.88671875" style="1" customWidth="1"/>
    <col min="7" max="7" width="9.109375" style="1"/>
    <col min="8" max="8" width="13.6640625" style="1" customWidth="1"/>
    <col min="9" max="9" width="15" style="1" customWidth="1"/>
    <col min="10" max="16384" width="9.109375" style="1"/>
  </cols>
  <sheetData>
    <row r="2" spans="2:10" ht="31.2" x14ac:dyDescent="0.3">
      <c r="C2" s="2" t="s">
        <v>109</v>
      </c>
    </row>
    <row r="4" spans="2:10" x14ac:dyDescent="0.3">
      <c r="B4" s="8" t="b">
        <v>1</v>
      </c>
      <c r="C4" s="1" t="s">
        <v>0</v>
      </c>
    </row>
    <row r="5" spans="2:10" x14ac:dyDescent="0.3">
      <c r="B5" s="4"/>
    </row>
    <row r="6" spans="2:10" ht="18" x14ac:dyDescent="0.3">
      <c r="F6" s="191" t="s">
        <v>116</v>
      </c>
      <c r="G6" s="191"/>
      <c r="I6" s="191" t="s">
        <v>121</v>
      </c>
      <c r="J6" s="191"/>
    </row>
    <row r="7" spans="2:10" x14ac:dyDescent="0.3">
      <c r="C7" s="90" t="s">
        <v>110</v>
      </c>
      <c r="D7" s="11">
        <v>100</v>
      </c>
      <c r="F7" s="90" t="s">
        <v>115</v>
      </c>
      <c r="G7" s="11" t="s">
        <v>117</v>
      </c>
      <c r="I7" s="90" t="s">
        <v>119</v>
      </c>
      <c r="J7" s="11">
        <v>20</v>
      </c>
    </row>
    <row r="8" spans="2:10" x14ac:dyDescent="0.3">
      <c r="C8" s="90" t="s">
        <v>111</v>
      </c>
      <c r="D8" s="11">
        <v>32</v>
      </c>
      <c r="I8" s="90" t="s">
        <v>120</v>
      </c>
      <c r="J8" s="11">
        <v>20</v>
      </c>
    </row>
    <row r="10" spans="2:10" x14ac:dyDescent="0.3">
      <c r="C10" s="90" t="s">
        <v>112</v>
      </c>
      <c r="D10" s="49">
        <v>30</v>
      </c>
      <c r="F10" s="90" t="str">
        <f>"Clearance (" &amp; IF($B$4, "mm", "in") &amp; ")"</f>
        <v>Clearance (mm)</v>
      </c>
      <c r="G10" s="42">
        <f>(($D$10+$D$11)/(2*$D$12) - ($D$7+2)/(2*$D$8) - IFERROR(CHOOSE(MATCH(G7, {"1/2"" Hex","1/2"" Round","3/8"" Hex","3/8"" Round","1/4"" Square"}, 0), 0.577, 0.5, 0.433, 0.375, 0.354), G7/IF($B$4, 25.4, 1))/2) * IF($B$4, 25.4, 1)</f>
        <v>9.3408499999999997</v>
      </c>
      <c r="I10" s="90" t="str">
        <f>"Clearance (" &amp; IF($B$4, "mm", "in") &amp; ")"</f>
        <v>Clearance (mm)</v>
      </c>
      <c r="J10" s="42">
        <f>(($D$10+$D$11)/(2*$D$12) - ($D$7+2)/(2*$D$8) - (J7+2)/(2*J8)) * IF($B$4, 25.4, 1)</f>
        <v>2.6987499999999986</v>
      </c>
    </row>
    <row r="11" spans="2:10" x14ac:dyDescent="0.3">
      <c r="C11" s="90" t="s">
        <v>113</v>
      </c>
      <c r="D11" s="11">
        <v>60</v>
      </c>
      <c r="F11" s="90" t="s">
        <v>118</v>
      </c>
      <c r="G11" s="42" t="b">
        <f>G10&gt;0</f>
        <v>1</v>
      </c>
      <c r="I11" s="90" t="s">
        <v>118</v>
      </c>
      <c r="J11" s="42" t="b">
        <f>J10&gt;0</f>
        <v>1</v>
      </c>
    </row>
    <row r="12" spans="2:10" x14ac:dyDescent="0.3">
      <c r="C12" s="90" t="s">
        <v>114</v>
      </c>
      <c r="D12" s="11">
        <v>20</v>
      </c>
      <c r="G12" s="5"/>
      <c r="J12" s="5"/>
    </row>
    <row r="13" spans="2:10" x14ac:dyDescent="0.3">
      <c r="D13" s="5"/>
      <c r="G13" s="5"/>
    </row>
    <row r="14" spans="2:10" x14ac:dyDescent="0.3">
      <c r="J14" s="5"/>
    </row>
    <row r="17" spans="4:4" x14ac:dyDescent="0.3">
      <c r="D17" s="5"/>
    </row>
    <row r="18" spans="4:4" x14ac:dyDescent="0.3">
      <c r="D18" s="5"/>
    </row>
    <row r="19" spans="4:4" x14ac:dyDescent="0.3">
      <c r="D19" s="5"/>
    </row>
    <row r="20" spans="4:4" x14ac:dyDescent="0.3">
      <c r="D20" s="5"/>
    </row>
  </sheetData>
  <sheetProtection sheet="1" objects="1" scenarios="1" formatCells="0" formatColumns="0" formatRows="0"/>
  <mergeCells count="2">
    <mergeCell ref="F6:G6"/>
    <mergeCell ref="I6:J6"/>
  </mergeCells>
  <conditionalFormatting sqref="D7:D8 D10:D12 G7 J7:J8">
    <cfRule type="containsBlanks" dxfId="34" priority="4">
      <formula>LEN(TRIM(D7))=0</formula>
    </cfRule>
    <cfRule type="cellIs" dxfId="33" priority="5" operator="lessThanOrEqual">
      <formula>0</formula>
    </cfRule>
  </conditionalFormatting>
  <conditionalFormatting sqref="G10:G11">
    <cfRule type="expression" dxfId="32" priority="3">
      <formula>$G$10&lt;=0</formula>
    </cfRule>
  </conditionalFormatting>
  <conditionalFormatting sqref="J10:J11">
    <cfRule type="expression" dxfId="31" priority="2">
      <formula>$J$10&lt;=0</formula>
    </cfRule>
  </conditionalFormatting>
  <conditionalFormatting sqref="D7:D8 D10:D12 J7:J8">
    <cfRule type="expression" dxfId="30" priority="1">
      <formula>ISTEXT(D7)</formula>
    </cfRule>
  </conditionalFormatting>
  <dataValidations count="1">
    <dataValidation type="list" allowBlank="1" showInputMessage="1" prompt="You can select an axle type from the drop-down list or enter a diameter manually." sqref="G7" xr:uid="{00000000-0002-0000-0700-000000000000}">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6384" width="9.109375" style="1"/>
  </cols>
  <sheetData>
    <row r="2" spans="2:10" ht="31.2" x14ac:dyDescent="0.3">
      <c r="C2" s="2" t="s">
        <v>122</v>
      </c>
    </row>
    <row r="4" spans="2:10" x14ac:dyDescent="0.3">
      <c r="B4" s="8" t="b">
        <v>0</v>
      </c>
      <c r="C4" s="1" t="s">
        <v>0</v>
      </c>
    </row>
    <row r="5" spans="2:10" x14ac:dyDescent="0.3">
      <c r="B5" s="4"/>
    </row>
    <row r="6" spans="2:10" x14ac:dyDescent="0.3">
      <c r="C6" s="90" t="s">
        <v>123</v>
      </c>
      <c r="D6" s="49">
        <v>20</v>
      </c>
    </row>
    <row r="8" spans="2:10" x14ac:dyDescent="0.3">
      <c r="C8" s="90" t="s">
        <v>124</v>
      </c>
      <c r="D8" s="72">
        <v>3</v>
      </c>
    </row>
    <row r="9" spans="2:10" x14ac:dyDescent="0.3">
      <c r="C9" s="90" t="str">
        <f>"Desired Distance (" &amp; IF($B$4, "mm", "in") &amp; ")"</f>
        <v>Desired Distance (in)</v>
      </c>
      <c r="D9" s="15">
        <v>2</v>
      </c>
    </row>
    <row r="10" spans="2:10" x14ac:dyDescent="0.3">
      <c r="D10" s="5"/>
      <c r="G10" s="5"/>
      <c r="J10" s="5"/>
    </row>
    <row r="11" spans="2:10" x14ac:dyDescent="0.3">
      <c r="C11" s="90" t="s">
        <v>125</v>
      </c>
      <c r="D11" s="6">
        <f>2*D9/IF($B$4, 25.4, 1)*D6/(D8+1)</f>
        <v>20</v>
      </c>
    </row>
    <row r="12" spans="2:10" x14ac:dyDescent="0.3">
      <c r="C12" s="90" t="str">
        <f>"Pitch Diameter (" &amp; IF($B$4, "mm", "in") &amp; ")"</f>
        <v>Pitch Diameter (in)</v>
      </c>
      <c r="D12" s="7">
        <f>D11/$D$6*IF($B$4, 25.4, 1)</f>
        <v>1</v>
      </c>
    </row>
    <row r="13" spans="2:10" x14ac:dyDescent="0.3">
      <c r="C13" s="90" t="str">
        <f>"Outside Diameter (" &amp; IF($B$4, "mm", "in") &amp; ")"</f>
        <v>Outside Diameter (in)</v>
      </c>
      <c r="D13" s="7">
        <f>(D11+2)/$D$6*IF($B$4, 25.4, 1)</f>
        <v>1.1000000000000001</v>
      </c>
    </row>
    <row r="15" spans="2:10" x14ac:dyDescent="0.3">
      <c r="C15" s="90" t="s">
        <v>126</v>
      </c>
      <c r="D15" s="6">
        <f>D11*D8</f>
        <v>60</v>
      </c>
    </row>
    <row r="16" spans="2:10" x14ac:dyDescent="0.3">
      <c r="C16" s="90" t="str">
        <f>"Pitch Diameter (" &amp; IF($B$4, "mm", "in") &amp; ")"</f>
        <v>Pitch Diameter (in)</v>
      </c>
      <c r="D16" s="7">
        <f>D15/$D$6*IF($B$4, 25.4, 1)</f>
        <v>3</v>
      </c>
    </row>
    <row r="17" spans="3:4" x14ac:dyDescent="0.3">
      <c r="C17" s="90" t="str">
        <f>"Outside Diameter (" &amp; IF($B$4, "mm", "in") &amp; ")"</f>
        <v>Outside Diameter (in)</v>
      </c>
      <c r="D17" s="7">
        <f>(D15+2)/$D$6*IF($B$4, 25.4, 1)</f>
        <v>3.1</v>
      </c>
    </row>
    <row r="19" spans="3:4" ht="14.4" customHeight="1" x14ac:dyDescent="0.3">
      <c r="C19" s="201" t="s">
        <v>127</v>
      </c>
      <c r="D19" s="201"/>
    </row>
    <row r="20" spans="3:4" ht="14.4" customHeight="1" x14ac:dyDescent="0.3">
      <c r="C20" s="202" t="s">
        <v>128</v>
      </c>
      <c r="D20" s="202"/>
    </row>
  </sheetData>
  <sheetProtection sheet="1" objects="1" scenarios="1" formatCells="0" formatColumns="0" formatRows="0"/>
  <mergeCells count="2">
    <mergeCell ref="C19:D19"/>
    <mergeCell ref="C20:D20"/>
  </mergeCells>
  <conditionalFormatting sqref="D11:D13 D15:D17">
    <cfRule type="expression" dxfId="29" priority="5">
      <formula>NOT(AND(INT($D$11)=$D$11, INT($D$15)=$D$15))</formula>
    </cfRule>
  </conditionalFormatting>
  <conditionalFormatting sqref="C19:D20">
    <cfRule type="expression" dxfId="28" priority="4">
      <formula>AND(INT($D$11)=$D$11, INT($D$15)=$D$15)</formula>
    </cfRule>
  </conditionalFormatting>
  <conditionalFormatting sqref="D6 D8:D9">
    <cfRule type="expression" dxfId="27" priority="1">
      <formula>ISTEXT(D6)</formula>
    </cfRule>
    <cfRule type="containsBlanks" dxfId="26" priority="2">
      <formula>LEN(TRIM(D6))=0</formula>
    </cfRule>
    <cfRule type="cellIs" dxfId="25"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2:Q192"/>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1" width="10.88671875" style="1" customWidth="1"/>
    <col min="12" max="12" width="9.109375" style="1"/>
    <col min="13" max="13" width="19.6640625" style="1" customWidth="1"/>
    <col min="14" max="16384" width="9.109375" style="1"/>
  </cols>
  <sheetData>
    <row r="2" spans="2:17" ht="31.2" x14ac:dyDescent="0.3">
      <c r="C2" s="2" t="s">
        <v>129</v>
      </c>
    </row>
    <row r="4" spans="2:17" x14ac:dyDescent="0.3">
      <c r="B4" s="8" t="b">
        <v>0</v>
      </c>
      <c r="C4" s="1" t="s">
        <v>0</v>
      </c>
      <c r="G4" s="5"/>
      <c r="H4" s="5"/>
      <c r="I4" s="5"/>
    </row>
    <row r="5" spans="2:17" x14ac:dyDescent="0.3">
      <c r="B5" s="4"/>
      <c r="G5" s="5"/>
      <c r="H5" s="5"/>
      <c r="I5" s="5"/>
    </row>
    <row r="6" spans="2:17" x14ac:dyDescent="0.3">
      <c r="D6" s="65" t="s">
        <v>134</v>
      </c>
      <c r="E6" s="65" t="s">
        <v>135</v>
      </c>
      <c r="F6" s="65" t="s">
        <v>136</v>
      </c>
      <c r="G6" s="65" t="s">
        <v>137</v>
      </c>
      <c r="H6" s="65" t="s">
        <v>138</v>
      </c>
      <c r="I6" s="65" t="s">
        <v>139</v>
      </c>
      <c r="J6" s="65" t="s">
        <v>140</v>
      </c>
      <c r="K6" s="65" t="s">
        <v>141</v>
      </c>
      <c r="N6" s="65" t="s">
        <v>144</v>
      </c>
      <c r="O6" s="65" t="s">
        <v>146</v>
      </c>
      <c r="P6" s="65" t="s">
        <v>145</v>
      </c>
      <c r="Q6" s="65" t="s">
        <v>147</v>
      </c>
    </row>
    <row r="7" spans="2:17" x14ac:dyDescent="0.3">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x14ac:dyDescent="0.3">
      <c r="C8" s="66" t="str">
        <f>"Rod Diameter (" &amp; IF($B$4, "mm", "in") &amp; ")"</f>
        <v>Rod Diameter (in)</v>
      </c>
      <c r="D8" s="78">
        <v>0.37499999999999994</v>
      </c>
      <c r="E8" s="9"/>
      <c r="F8" s="9"/>
      <c r="G8" s="9"/>
      <c r="H8" s="9"/>
      <c r="I8" s="9"/>
      <c r="J8" s="9"/>
      <c r="K8" s="9"/>
      <c r="M8" s="66" t="s">
        <v>142</v>
      </c>
      <c r="N8" s="69">
        <v>3</v>
      </c>
      <c r="O8" s="69"/>
      <c r="P8" s="69"/>
      <c r="Q8" s="69"/>
    </row>
    <row r="9" spans="2:17" x14ac:dyDescent="0.3">
      <c r="C9" s="66" t="str">
        <f>"Stroke Length (" &amp; IF($B$4, "mm", "in") &amp; ")"</f>
        <v>Stroke Length (in)</v>
      </c>
      <c r="D9" s="78">
        <v>11.999999999999998</v>
      </c>
      <c r="E9" s="9"/>
      <c r="F9" s="9"/>
      <c r="G9" s="9"/>
      <c r="H9" s="9"/>
      <c r="I9" s="9"/>
      <c r="J9" s="9"/>
      <c r="K9" s="9"/>
      <c r="M9" s="67" t="s">
        <v>143</v>
      </c>
      <c r="N9" s="71">
        <v>120</v>
      </c>
      <c r="O9" s="71"/>
      <c r="P9" s="71"/>
      <c r="Q9" s="71"/>
    </row>
    <row r="10" spans="2:17" x14ac:dyDescent="0.3">
      <c r="C10" s="66" t="s">
        <v>130</v>
      </c>
      <c r="D10" s="69">
        <v>40</v>
      </c>
      <c r="E10" s="69"/>
      <c r="F10" s="69"/>
      <c r="G10" s="69"/>
      <c r="H10" s="69"/>
      <c r="I10" s="69"/>
      <c r="J10" s="69"/>
      <c r="K10" s="69"/>
      <c r="M10" s="90" t="str">
        <f>"Total Tank Vol. (" &amp; IF($B$4, "mL", "in^3") &amp; ")"</f>
        <v>Total Tank Vol. (in^3)</v>
      </c>
      <c r="N10" s="29">
        <f>SUMPRODUCT(N7:Q7,N8:Q8,N9:Q9)/120</f>
        <v>105.00000000000004</v>
      </c>
      <c r="O10" s="1" t="s">
        <v>153</v>
      </c>
    </row>
    <row r="11" spans="2:17" x14ac:dyDescent="0.3">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x14ac:dyDescent="0.3">
      <c r="C12" s="66" t="s">
        <v>131</v>
      </c>
      <c r="D12" s="12">
        <v>15</v>
      </c>
      <c r="E12" s="69"/>
      <c r="F12" s="69"/>
      <c r="G12" s="69"/>
      <c r="H12" s="69"/>
      <c r="I12" s="69"/>
      <c r="J12" s="69"/>
      <c r="K12" s="69"/>
      <c r="M12" s="90" t="s">
        <v>148</v>
      </c>
      <c r="N12" s="203" t="s">
        <v>154</v>
      </c>
      <c r="O12" s="204"/>
    </row>
    <row r="13" spans="2:17" x14ac:dyDescent="0.3">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x14ac:dyDescent="0.3">
      <c r="C14" s="66" t="s">
        <v>166</v>
      </c>
      <c r="D14" s="69">
        <v>5</v>
      </c>
      <c r="E14" s="69"/>
      <c r="F14" s="69"/>
      <c r="G14" s="69"/>
      <c r="H14" s="69"/>
      <c r="I14" s="69"/>
      <c r="J14" s="69"/>
      <c r="K14" s="69"/>
      <c r="M14" s="90" t="s">
        <v>149</v>
      </c>
      <c r="N14" s="11">
        <v>120</v>
      </c>
    </row>
    <row r="15" spans="2:17" x14ac:dyDescent="0.3">
      <c r="C15" s="66" t="s">
        <v>132</v>
      </c>
      <c r="D15" s="69">
        <v>8</v>
      </c>
      <c r="E15" s="69"/>
      <c r="F15" s="69"/>
      <c r="G15" s="69"/>
      <c r="H15" s="69"/>
      <c r="I15" s="69"/>
      <c r="J15" s="69"/>
      <c r="K15" s="69"/>
      <c r="M15" s="90" t="s">
        <v>150</v>
      </c>
      <c r="N15" s="11">
        <v>95</v>
      </c>
    </row>
    <row r="16" spans="2:17" x14ac:dyDescent="0.3">
      <c r="C16" s="67" t="s">
        <v>133</v>
      </c>
      <c r="D16" s="70">
        <v>140</v>
      </c>
      <c r="E16" s="71"/>
      <c r="F16" s="71"/>
      <c r="G16" s="71"/>
      <c r="H16" s="71"/>
      <c r="I16" s="71"/>
      <c r="J16" s="71"/>
      <c r="K16" s="71"/>
      <c r="M16" s="90" t="s">
        <v>151</v>
      </c>
      <c r="N16" s="44">
        <f>MIN(D42:D192)</f>
        <v>33.320099200506633</v>
      </c>
    </row>
    <row r="17" spans="4:14" x14ac:dyDescent="0.3">
      <c r="D17" s="57"/>
      <c r="M17" s="90" t="s">
        <v>152</v>
      </c>
      <c r="N17" s="44">
        <f>D192</f>
        <v>56.540434019763524</v>
      </c>
    </row>
    <row r="39" spans="3:14" x14ac:dyDescent="0.3">
      <c r="C39" s="4"/>
      <c r="D39" s="4"/>
      <c r="E39" s="4"/>
      <c r="F39" s="4"/>
      <c r="G39" s="4"/>
      <c r="H39" s="4"/>
      <c r="I39" s="4"/>
      <c r="J39" s="4"/>
      <c r="K39" s="4"/>
      <c r="L39" s="4"/>
      <c r="M39" s="4"/>
      <c r="N39" s="4"/>
    </row>
    <row r="40" spans="3:14" x14ac:dyDescent="0.3">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3">
      <c r="C41" s="3" t="s">
        <v>155</v>
      </c>
      <c r="D41" s="3" t="s">
        <v>156</v>
      </c>
      <c r="E41" s="3" t="s">
        <v>157</v>
      </c>
      <c r="F41" s="3" t="s">
        <v>158</v>
      </c>
      <c r="G41" s="3" t="s">
        <v>159</v>
      </c>
      <c r="H41" s="3" t="s">
        <v>160</v>
      </c>
      <c r="I41" s="3" t="s">
        <v>161</v>
      </c>
      <c r="J41" s="3" t="s">
        <v>162</v>
      </c>
      <c r="K41" s="3" t="s">
        <v>163</v>
      </c>
      <c r="L41" s="3" t="s">
        <v>164</v>
      </c>
      <c r="M41" s="3" t="s">
        <v>165</v>
      </c>
      <c r="N41" s="4"/>
    </row>
    <row r="42" spans="3:14" x14ac:dyDescent="0.3">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3">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3">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3">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3">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3">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3">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3">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3">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3">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3">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3">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3">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3">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3">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3">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3">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3">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3">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3">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3">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3">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3">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3">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3">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3">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3">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3">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3">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3">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3">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3">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3">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3">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3">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3">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3">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3">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3">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3">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3">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3">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3">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3">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3">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3">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3">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3">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3">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3">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3">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3">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3">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3">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3">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3">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3">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3">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3">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3">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3">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3">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3">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3">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3">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3">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3">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3">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3">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3">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3">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3">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3">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3">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3">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3">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3">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3">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3">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3">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3">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3">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3">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3">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3">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3">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3">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3">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3">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3">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3">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3">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3">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3">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3">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3">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3">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3">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3">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3">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3">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3">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3">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3">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3">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3">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3">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3">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3">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3">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3">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3">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3">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3">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3">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3">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3">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3">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3">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3">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3">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3">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3">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3">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3">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3">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3">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3">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3">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3">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3">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3">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3">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3">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3">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3">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3">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3">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3">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3">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3">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3">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3">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3">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3">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3">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3">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3">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3">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3">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3">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4" priority="5">
      <formula>AND(COUNTBLANK(D$7:D$16)&lt;10, ISBLANK(D7))</formula>
    </cfRule>
    <cfRule type="cellIs" dxfId="23" priority="8" operator="lessThan">
      <formula>0</formula>
    </cfRule>
  </conditionalFormatting>
  <conditionalFormatting sqref="N16:N17">
    <cfRule type="cellIs" dxfId="22" priority="7" operator="lessThanOrEqual">
      <formula>$I$40</formula>
    </cfRule>
  </conditionalFormatting>
  <conditionalFormatting sqref="N7:Q9">
    <cfRule type="expression" dxfId="21" priority="3">
      <formula>AND(COUNTBLANK(N$7:N$9)&lt;3, ISBLANK(N7))</formula>
    </cfRule>
  </conditionalFormatting>
  <conditionalFormatting sqref="D7:K10 D12:K12 D14:K16 N7:Q9 N14:N15">
    <cfRule type="expression" dxfId="20" priority="4">
      <formula>ISTEXT(D7)</formula>
    </cfRule>
  </conditionalFormatting>
  <conditionalFormatting sqref="D8:K8">
    <cfRule type="cellIs" dxfId="19" priority="1" operator="greaterThan">
      <formula>D7</formula>
    </cfRule>
  </conditionalFormatting>
  <dataValidations count="1">
    <dataValidation type="list" allowBlank="1" showInputMessage="1" showErrorMessage="1" sqref="N12:O12" xr:uid="{00000000-0002-0000-0900-000000000000}">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C2:R41"/>
  <sheetViews>
    <sheetView zoomScaleNormal="100" workbookViewId="0"/>
  </sheetViews>
  <sheetFormatPr defaultColWidth="9.109375" defaultRowHeight="14.4" x14ac:dyDescent="0.3"/>
  <cols>
    <col min="1" max="1" width="7.109375" style="1" customWidth="1"/>
    <col min="2" max="2" width="3.33203125" style="1" customWidth="1"/>
    <col min="3" max="3" width="12.88671875" style="1" customWidth="1"/>
    <col min="4" max="4" width="9.109375" style="1"/>
    <col min="5" max="5" width="14.6640625" style="1" customWidth="1"/>
    <col min="6" max="6" width="12.88671875" style="1" customWidth="1"/>
    <col min="7" max="7" width="9.109375" style="1"/>
    <col min="8" max="8" width="3.109375" style="1" customWidth="1"/>
    <col min="9" max="9" width="22.44140625" style="1" customWidth="1"/>
    <col min="10" max="10" width="3.109375" style="1" customWidth="1"/>
    <col min="11" max="16384" width="9.109375" style="1"/>
  </cols>
  <sheetData>
    <row r="2" spans="3:16" ht="31.2" x14ac:dyDescent="0.3">
      <c r="C2" s="2" t="s">
        <v>210</v>
      </c>
    </row>
    <row r="3" spans="3:16" x14ac:dyDescent="0.3">
      <c r="K3" s="80" t="s">
        <v>98</v>
      </c>
      <c r="M3" s="113" t="b">
        <v>1</v>
      </c>
      <c r="N3" s="111"/>
      <c r="O3" s="114" t="b">
        <v>1</v>
      </c>
      <c r="P3" s="112"/>
    </row>
    <row r="4" spans="3:16" ht="18" x14ac:dyDescent="0.3">
      <c r="C4" s="191" t="s">
        <v>95</v>
      </c>
      <c r="D4" s="191"/>
      <c r="F4" s="191" t="s">
        <v>98</v>
      </c>
      <c r="G4" s="191"/>
      <c r="I4" s="206" t="s">
        <v>227</v>
      </c>
    </row>
    <row r="5" spans="3:16" ht="15" customHeight="1" x14ac:dyDescent="0.3">
      <c r="C5" s="90" t="s">
        <v>167</v>
      </c>
      <c r="D5" s="52">
        <v>40</v>
      </c>
      <c r="F5" s="90" t="s">
        <v>169</v>
      </c>
      <c r="G5" s="52">
        <v>120</v>
      </c>
      <c r="I5" s="207"/>
    </row>
    <row r="6" spans="3:16" x14ac:dyDescent="0.3">
      <c r="C6" s="90" t="s">
        <v>168</v>
      </c>
      <c r="D6" s="52">
        <v>90</v>
      </c>
      <c r="F6" s="90" t="s">
        <v>170</v>
      </c>
      <c r="G6" s="52">
        <v>10</v>
      </c>
      <c r="I6" s="207"/>
    </row>
    <row r="7" spans="3:16" x14ac:dyDescent="0.3">
      <c r="C7" s="90" t="s">
        <v>169</v>
      </c>
      <c r="D7" s="52">
        <v>100</v>
      </c>
      <c r="F7" s="90" t="s">
        <v>171</v>
      </c>
      <c r="G7" s="52">
        <v>100</v>
      </c>
      <c r="I7" s="207"/>
    </row>
    <row r="8" spans="3:16" x14ac:dyDescent="0.3">
      <c r="C8" s="90" t="s">
        <v>170</v>
      </c>
      <c r="D8" s="52">
        <v>20</v>
      </c>
      <c r="F8" s="90" t="s">
        <v>172</v>
      </c>
      <c r="G8" s="52">
        <v>50</v>
      </c>
      <c r="I8" s="208"/>
    </row>
    <row r="9" spans="3:16" ht="15" customHeight="1" x14ac:dyDescent="0.3">
      <c r="C9" s="90" t="s">
        <v>171</v>
      </c>
      <c r="D9" s="52">
        <v>100</v>
      </c>
      <c r="F9" s="90" t="s">
        <v>173</v>
      </c>
      <c r="G9" s="74">
        <v>95</v>
      </c>
      <c r="H9" s="3">
        <f>RADIANS(G9)</f>
        <v>1.6580627893946132</v>
      </c>
    </row>
    <row r="10" spans="3:16" ht="15" customHeight="1" x14ac:dyDescent="0.3">
      <c r="C10" s="90" t="s">
        <v>172</v>
      </c>
      <c r="D10" s="52">
        <v>50</v>
      </c>
      <c r="F10" s="90" t="s">
        <v>174</v>
      </c>
      <c r="G10" s="74">
        <v>-10</v>
      </c>
      <c r="H10" s="3">
        <f>RADIANS(G10)</f>
        <v>-0.17453292519943295</v>
      </c>
      <c r="I10" s="206" t="s">
        <v>177</v>
      </c>
    </row>
    <row r="11" spans="3:16" x14ac:dyDescent="0.3">
      <c r="I11" s="207"/>
    </row>
    <row r="12" spans="3:16" x14ac:dyDescent="0.3">
      <c r="C12" s="90" t="s">
        <v>173</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0" t="s">
        <v>167</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07"/>
    </row>
    <row r="13" spans="3:16" x14ac:dyDescent="0.3">
      <c r="C13" s="90" t="s">
        <v>174</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0" t="s">
        <v>168</v>
      </c>
      <c r="G13" s="44">
        <f>G5*SIN(H9)+G6*COS(H9)-SQRT(G7^2-(G12+G5*COS(H9)-G6*SIN(H9))^2)</f>
        <v>18.893769027862092</v>
      </c>
      <c r="I13" s="208"/>
    </row>
    <row r="30" spans="11:18" x14ac:dyDescent="0.3">
      <c r="K30" s="205" t="s">
        <v>225</v>
      </c>
      <c r="L30" s="205"/>
      <c r="M30" s="205"/>
      <c r="N30" s="205"/>
      <c r="O30" s="205"/>
      <c r="P30" s="205"/>
      <c r="Q30" s="205"/>
      <c r="R30" s="205"/>
    </row>
    <row r="31" spans="11:18" x14ac:dyDescent="0.3">
      <c r="K31" s="1" t="s">
        <v>226</v>
      </c>
    </row>
    <row r="32" spans="11:18" x14ac:dyDescent="0.3">
      <c r="K32" s="1" t="s">
        <v>178</v>
      </c>
    </row>
    <row r="33" spans="11:18" x14ac:dyDescent="0.3">
      <c r="K33" s="3" t="s">
        <v>167</v>
      </c>
      <c r="L33" s="3" t="s">
        <v>168</v>
      </c>
      <c r="M33" s="3" t="s">
        <v>169</v>
      </c>
      <c r="N33" s="3" t="s">
        <v>170</v>
      </c>
      <c r="O33" s="3" t="s">
        <v>175</v>
      </c>
      <c r="P33" s="3" t="s">
        <v>176</v>
      </c>
      <c r="Q33" s="3" t="s">
        <v>223</v>
      </c>
      <c r="R33" s="3" t="s">
        <v>224</v>
      </c>
    </row>
    <row r="34" spans="11:18" x14ac:dyDescent="0.3">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x14ac:dyDescent="0.3">
      <c r="K35" s="3">
        <v>0</v>
      </c>
      <c r="L35" s="3">
        <v>0</v>
      </c>
      <c r="M35" s="3">
        <f>IF($M$3, 1.5*$M$34*COS(O34), 0)</f>
        <v>-15.688033694578483</v>
      </c>
      <c r="N35" s="3">
        <f>IF($M$3, 1.5*$M$34*SIN(O34), 0)</f>
        <v>179.3150456565142</v>
      </c>
      <c r="O35" s="3"/>
      <c r="P35" s="3"/>
      <c r="Q35" s="3"/>
      <c r="R35" s="3"/>
    </row>
    <row r="36" spans="11:18"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3">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x14ac:dyDescent="0.3">
      <c r="K38" s="3">
        <v>0</v>
      </c>
      <c r="L38" s="3">
        <v>0</v>
      </c>
      <c r="M38" s="3">
        <f>IF($O$3, 1.5*$M$34*COS(P34), 0)</f>
        <v>177.26539554219744</v>
      </c>
      <c r="N38" s="3">
        <f>IF($O$3, 1.5*$M$34*SIN(P34), 0)</f>
        <v>-31.256671980047461</v>
      </c>
      <c r="O38" s="3"/>
      <c r="P38" s="3"/>
      <c r="Q38" s="3"/>
      <c r="R38" s="3"/>
    </row>
    <row r="39" spans="11:18" x14ac:dyDescent="0.3">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3">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3">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8" priority="7" operator="lessThan">
      <formula>0</formula>
    </cfRule>
  </conditionalFormatting>
  <conditionalFormatting sqref="D7 G5">
    <cfRule type="cellIs" dxfId="17" priority="6" operator="equal">
      <formula>0</formula>
    </cfRule>
  </conditionalFormatting>
  <conditionalFormatting sqref="D5:D10 G5:G10">
    <cfRule type="expression" dxfId="16" priority="4">
      <formula>ISTEXT(D5)</formula>
    </cfRule>
  </conditionalFormatting>
  <conditionalFormatting sqref="D5:D10 G5:G10 K3">
    <cfRule type="containsBlanks" dxfId="15" priority="5">
      <formula>LEN(TRIM(D3))=0</formula>
    </cfRule>
  </conditionalFormatting>
  <conditionalFormatting sqref="D5:D10">
    <cfRule type="expression" dxfId="14" priority="3">
      <formula>ISERROR($D$12:$D$13)</formula>
    </cfRule>
  </conditionalFormatting>
  <conditionalFormatting sqref="G9:G10">
    <cfRule type="cellIs" dxfId="13" priority="2" operator="notBetween">
      <formula>180</formula>
      <formula>-90</formula>
    </cfRule>
  </conditionalFormatting>
  <conditionalFormatting sqref="G5:G10">
    <cfRule type="expression" dxfId="12" priority="1">
      <formula>ISERROR($G$12:$G$13)</formula>
    </cfRule>
  </conditionalFormatting>
  <dataValidations count="1">
    <dataValidation type="list" allowBlank="1" showErrorMessage="1" sqref="K3" xr:uid="{00000000-0002-0000-0A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7620</xdr:rowOff>
                  </from>
                  <to>
                    <xdr:col>13</xdr:col>
                    <xdr:colOff>411480</xdr:colOff>
                    <xdr:row>2</xdr:row>
                    <xdr:rowOff>182880</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411480</xdr:colOff>
                    <xdr:row>2</xdr:row>
                    <xdr:rowOff>7620</xdr:rowOff>
                  </from>
                  <to>
                    <xdr:col>15</xdr:col>
                    <xdr:colOff>213360</xdr:colOff>
                    <xdr:row>2</xdr:row>
                    <xdr:rowOff>182880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T1216"/>
  <sheetViews>
    <sheetView workbookViewId="0">
      <pane ySplit="1" topLeftCell="A2" activePane="bottomLeft" state="frozen"/>
      <selection pane="bottomLeft" activeCell="D17" sqref="D17"/>
    </sheetView>
  </sheetViews>
  <sheetFormatPr defaultColWidth="14" defaultRowHeight="15" customHeight="1" x14ac:dyDescent="0.3"/>
  <cols>
    <col min="1" max="1" width="10.88671875" style="134" bestFit="1" customWidth="1"/>
    <col min="2" max="2" width="10.5546875" style="134" bestFit="1" customWidth="1"/>
    <col min="3" max="3" width="9.109375" style="134" bestFit="1" customWidth="1"/>
    <col min="4" max="4" width="24.6640625" style="134" bestFit="1" customWidth="1"/>
    <col min="5" max="26" width="8.44140625" style="134" customWidth="1"/>
    <col min="27" max="16384" width="14" style="134"/>
  </cols>
  <sheetData>
    <row r="1" spans="1:19" ht="14.25" customHeight="1" x14ac:dyDescent="0.3">
      <c r="A1" s="134" t="s">
        <v>235</v>
      </c>
      <c r="B1" s="134" t="s">
        <v>236</v>
      </c>
      <c r="C1" s="134" t="s">
        <v>340</v>
      </c>
      <c r="E1" s="134" t="s">
        <v>237</v>
      </c>
      <c r="F1" s="134" t="s">
        <v>341</v>
      </c>
      <c r="G1" s="134" t="s">
        <v>343</v>
      </c>
      <c r="H1" s="134" t="s">
        <v>342</v>
      </c>
      <c r="I1" s="134" t="s">
        <v>238</v>
      </c>
      <c r="J1" s="134" t="s">
        <v>344</v>
      </c>
      <c r="K1" s="134" t="s">
        <v>345</v>
      </c>
      <c r="L1" s="134" t="s">
        <v>346</v>
      </c>
    </row>
    <row r="2" spans="1:19" ht="14.25" customHeight="1" x14ac:dyDescent="0.3">
      <c r="A2" s="134" t="s">
        <v>117</v>
      </c>
      <c r="B2" s="134" t="s">
        <v>11</v>
      </c>
      <c r="C2" s="134">
        <v>-3</v>
      </c>
      <c r="D2" s="134" t="str">
        <f t="shared" ref="D2" si="0">A2&amp;" "&amp;B2&amp;" "&amp;C2</f>
        <v>1/2" Hex AM 9015 -3</v>
      </c>
      <c r="E2" s="134">
        <v>1</v>
      </c>
      <c r="O2" s="134" t="s">
        <v>239</v>
      </c>
    </row>
    <row r="3" spans="1:19" ht="14.25" customHeight="1" x14ac:dyDescent="0.3">
      <c r="A3" s="134" t="s">
        <v>117</v>
      </c>
      <c r="B3" s="134" t="s">
        <v>11</v>
      </c>
      <c r="C3" s="134">
        <v>-4</v>
      </c>
      <c r="D3" s="134" t="str">
        <f t="shared" ref="D3:D7" si="1">A3&amp;" "&amp;B3&amp;" "&amp;C3</f>
        <v>1/2" Hex AM 9015 -4</v>
      </c>
      <c r="E3" s="134">
        <v>1</v>
      </c>
      <c r="O3" s="134" t="s">
        <v>117</v>
      </c>
      <c r="P3" s="134">
        <v>39.99</v>
      </c>
      <c r="Q3" s="134">
        <f>Q5+13.99</f>
        <v>31.979999999999997</v>
      </c>
      <c r="R3" s="134" t="s">
        <v>240</v>
      </c>
      <c r="S3" s="134" t="s">
        <v>241</v>
      </c>
    </row>
    <row r="4" spans="1:19" ht="14.25" customHeight="1" x14ac:dyDescent="0.3">
      <c r="A4" s="134" t="s">
        <v>117</v>
      </c>
      <c r="B4" s="134" t="s">
        <v>11</v>
      </c>
      <c r="C4" s="134">
        <v>-5</v>
      </c>
      <c r="D4" s="134" t="str">
        <f t="shared" si="1"/>
        <v>1/2" Hex AM 9015 -5</v>
      </c>
      <c r="E4" s="134">
        <v>1</v>
      </c>
      <c r="O4" s="134" t="s">
        <v>242</v>
      </c>
      <c r="P4" s="134">
        <v>39.99</v>
      </c>
      <c r="Q4" s="134">
        <f>Q5+9.99</f>
        <v>27.979999999999997</v>
      </c>
      <c r="R4" s="134" t="s">
        <v>243</v>
      </c>
      <c r="S4" s="134" t="s">
        <v>244</v>
      </c>
    </row>
    <row r="5" spans="1:19" ht="14.25" customHeight="1" x14ac:dyDescent="0.3">
      <c r="A5" s="134" t="s">
        <v>117</v>
      </c>
      <c r="B5" s="134" t="s">
        <v>11</v>
      </c>
      <c r="C5" s="134">
        <v>-7</v>
      </c>
      <c r="D5" s="134" t="str">
        <f t="shared" si="1"/>
        <v>1/2" Hex AM 9015 -7</v>
      </c>
      <c r="E5" s="134">
        <v>1</v>
      </c>
      <c r="O5" s="134" t="s">
        <v>245</v>
      </c>
      <c r="P5" s="134">
        <v>39.99</v>
      </c>
      <c r="Q5" s="134">
        <v>17.989999999999998</v>
      </c>
      <c r="R5" s="134" t="s">
        <v>246</v>
      </c>
      <c r="S5" s="134" t="s">
        <v>247</v>
      </c>
    </row>
    <row r="6" spans="1:19" ht="14.25" customHeight="1" x14ac:dyDescent="0.3">
      <c r="A6" s="134" t="s">
        <v>117</v>
      </c>
      <c r="B6" s="134" t="s">
        <v>11</v>
      </c>
      <c r="C6" s="134">
        <v>-9</v>
      </c>
      <c r="D6" s="134" t="str">
        <f t="shared" si="1"/>
        <v>1/2" Hex AM 9015 -9</v>
      </c>
      <c r="E6" s="134">
        <v>1</v>
      </c>
      <c r="O6" s="134" t="s">
        <v>248</v>
      </c>
      <c r="P6" s="134">
        <v>39.99</v>
      </c>
      <c r="Q6" s="134">
        <f>Q5+9.99</f>
        <v>27.979999999999997</v>
      </c>
      <c r="R6" s="134" t="s">
        <v>249</v>
      </c>
      <c r="S6" s="134" t="s">
        <v>250</v>
      </c>
    </row>
    <row r="7" spans="1:19" ht="14.25" customHeight="1" x14ac:dyDescent="0.3">
      <c r="A7" s="134" t="s">
        <v>117</v>
      </c>
      <c r="B7" s="134" t="s">
        <v>11</v>
      </c>
      <c r="C7" s="134">
        <v>-10</v>
      </c>
      <c r="D7" s="134" t="str">
        <f t="shared" si="1"/>
        <v>1/2" Hex AM 9015 -10</v>
      </c>
      <c r="E7" s="134">
        <v>1</v>
      </c>
      <c r="O7" s="134" t="s">
        <v>251</v>
      </c>
      <c r="P7" s="134">
        <v>44.99</v>
      </c>
      <c r="Q7" s="134">
        <v>24.99</v>
      </c>
      <c r="R7" s="134" t="s">
        <v>252</v>
      </c>
      <c r="S7" s="134" t="s">
        <v>253</v>
      </c>
    </row>
    <row r="8" spans="1:19" ht="14.25" customHeight="1" x14ac:dyDescent="0.3">
      <c r="A8" s="134" t="s">
        <v>117</v>
      </c>
      <c r="B8" s="134" t="s">
        <v>11</v>
      </c>
      <c r="C8" s="134">
        <v>9</v>
      </c>
      <c r="D8" s="134" t="str">
        <f>A8&amp;" "&amp;B8&amp;" "&amp;C8</f>
        <v>1/2" Hex AM 9015 9</v>
      </c>
      <c r="E8" s="134">
        <v>10</v>
      </c>
    </row>
    <row r="9" spans="1:19" ht="14.25" customHeight="1" x14ac:dyDescent="0.3">
      <c r="A9" s="134" t="s">
        <v>117</v>
      </c>
      <c r="B9" s="134" t="s">
        <v>11</v>
      </c>
      <c r="C9" s="134">
        <v>12</v>
      </c>
      <c r="D9" s="134" t="str">
        <f t="shared" ref="D9:D34" si="2">A9&amp;" "&amp;B9&amp;" "&amp;C9</f>
        <v>1/2" Hex AM 9015 12</v>
      </c>
      <c r="E9" s="134">
        <v>10</v>
      </c>
    </row>
    <row r="10" spans="1:19" ht="14.25" customHeight="1" x14ac:dyDescent="0.3">
      <c r="A10" s="134" t="s">
        <v>117</v>
      </c>
      <c r="B10" s="134" t="s">
        <v>11</v>
      </c>
      <c r="C10" s="134">
        <v>15</v>
      </c>
      <c r="D10" s="134" t="str">
        <f t="shared" si="2"/>
        <v>1/2" Hex AM 9015 15</v>
      </c>
      <c r="E10" s="134">
        <v>10</v>
      </c>
      <c r="O10" s="134" t="s">
        <v>254</v>
      </c>
    </row>
    <row r="11" spans="1:19" ht="14.25" customHeight="1" x14ac:dyDescent="0.3">
      <c r="A11" s="134" t="s">
        <v>117</v>
      </c>
      <c r="B11" s="134" t="s">
        <v>11</v>
      </c>
      <c r="C11" s="134">
        <v>16</v>
      </c>
      <c r="D11" s="134" t="str">
        <f t="shared" si="2"/>
        <v>1/2" Hex AM 9015 16</v>
      </c>
      <c r="E11" s="134">
        <v>10</v>
      </c>
      <c r="O11" s="134" t="s">
        <v>11</v>
      </c>
      <c r="P11" s="134">
        <v>0</v>
      </c>
      <c r="Q11" s="134">
        <v>12.98</v>
      </c>
      <c r="S11" s="134" t="s">
        <v>255</v>
      </c>
    </row>
    <row r="12" spans="1:19" ht="14.25" customHeight="1" x14ac:dyDescent="0.3">
      <c r="A12" s="134" t="s">
        <v>117</v>
      </c>
      <c r="B12" s="134" t="s">
        <v>11</v>
      </c>
      <c r="C12" s="134">
        <v>20</v>
      </c>
      <c r="D12" s="134" t="str">
        <f t="shared" si="2"/>
        <v>1/2" Hex AM 9015 20</v>
      </c>
      <c r="E12" s="134">
        <v>10</v>
      </c>
      <c r="O12" s="134" t="s">
        <v>332</v>
      </c>
      <c r="P12" s="134">
        <v>0</v>
      </c>
      <c r="Q12" s="134">
        <v>0</v>
      </c>
    </row>
    <row r="13" spans="1:19" ht="14.25" customHeight="1" x14ac:dyDescent="0.3">
      <c r="A13" s="134" t="s">
        <v>117</v>
      </c>
      <c r="B13" s="134" t="s">
        <v>11</v>
      </c>
      <c r="C13" s="134">
        <v>21</v>
      </c>
      <c r="D13" s="134" t="str">
        <f t="shared" si="2"/>
        <v>1/2" Hex AM 9015 21</v>
      </c>
      <c r="E13" s="134">
        <v>10</v>
      </c>
      <c r="O13" s="134" t="s">
        <v>328</v>
      </c>
      <c r="P13" s="134">
        <v>0</v>
      </c>
      <c r="Q13" s="134">
        <v>0</v>
      </c>
    </row>
    <row r="14" spans="1:19" ht="14.25" customHeight="1" x14ac:dyDescent="0.3">
      <c r="A14" s="134" t="s">
        <v>117</v>
      </c>
      <c r="B14" s="134" t="s">
        <v>11</v>
      </c>
      <c r="C14" s="134">
        <v>25</v>
      </c>
      <c r="D14" s="134" t="str">
        <f t="shared" si="2"/>
        <v>1/2" Hex AM 9015 25</v>
      </c>
      <c r="E14" s="134">
        <v>7</v>
      </c>
      <c r="O14" s="134" t="s">
        <v>329</v>
      </c>
      <c r="P14" s="134">
        <v>0</v>
      </c>
      <c r="Q14" s="134">
        <v>12.98</v>
      </c>
      <c r="S14" s="134" t="s">
        <v>255</v>
      </c>
    </row>
    <row r="15" spans="1:19" ht="14.25" customHeight="1" x14ac:dyDescent="0.3">
      <c r="A15" s="134" t="s">
        <v>117</v>
      </c>
      <c r="B15" s="134" t="s">
        <v>11</v>
      </c>
      <c r="C15" s="134">
        <v>27</v>
      </c>
      <c r="D15" s="134" t="str">
        <f t="shared" si="2"/>
        <v>1/2" Hex AM 9015 27</v>
      </c>
      <c r="E15" s="134">
        <v>7</v>
      </c>
      <c r="O15" s="134" t="s">
        <v>8</v>
      </c>
      <c r="P15" s="134">
        <v>0</v>
      </c>
      <c r="Q15" s="134">
        <v>12.98</v>
      </c>
      <c r="S15" s="134" t="s">
        <v>255</v>
      </c>
    </row>
    <row r="16" spans="1:19" ht="14.25" customHeight="1" x14ac:dyDescent="0.3">
      <c r="A16" s="134" t="s">
        <v>117</v>
      </c>
      <c r="B16" s="134" t="s">
        <v>11</v>
      </c>
      <c r="C16" s="134">
        <v>28</v>
      </c>
      <c r="D16" s="134" t="str">
        <f t="shared" si="2"/>
        <v>1/2" Hex AM 9015 28</v>
      </c>
      <c r="E16" s="134">
        <v>7</v>
      </c>
      <c r="O16" s="134" t="s">
        <v>7</v>
      </c>
      <c r="P16" s="134">
        <v>4.99</v>
      </c>
      <c r="Q16" s="134">
        <v>11.98</v>
      </c>
      <c r="R16" s="134" t="s">
        <v>256</v>
      </c>
      <c r="S16" s="134" t="s">
        <v>256</v>
      </c>
    </row>
    <row r="17" spans="1:19" ht="14.25" customHeight="1" x14ac:dyDescent="0.3">
      <c r="A17" s="134" t="s">
        <v>117</v>
      </c>
      <c r="B17" s="134" t="s">
        <v>11</v>
      </c>
      <c r="C17" s="134">
        <v>30</v>
      </c>
      <c r="D17" s="134" t="str">
        <f t="shared" si="2"/>
        <v>1/2" Hex AM 9015 30</v>
      </c>
      <c r="E17" s="134">
        <v>7</v>
      </c>
      <c r="O17" s="134" t="s">
        <v>6</v>
      </c>
      <c r="P17" s="134">
        <v>4.99</v>
      </c>
      <c r="Q17" s="134">
        <v>11.98</v>
      </c>
      <c r="R17" s="134" t="s">
        <v>256</v>
      </c>
      <c r="S17" s="134" t="s">
        <v>256</v>
      </c>
    </row>
    <row r="18" spans="1:19" ht="14.25" customHeight="1" x14ac:dyDescent="0.3">
      <c r="A18" s="134" t="s">
        <v>117</v>
      </c>
      <c r="B18" s="134" t="s">
        <v>11</v>
      </c>
      <c r="C18" s="134">
        <v>35</v>
      </c>
      <c r="D18" s="134" t="str">
        <f t="shared" si="2"/>
        <v>1/2" Hex AM 9015 35</v>
      </c>
      <c r="E18" s="134">
        <v>5</v>
      </c>
      <c r="O18" s="134" t="s">
        <v>257</v>
      </c>
      <c r="P18" s="134">
        <v>0</v>
      </c>
      <c r="Q18" s="134">
        <v>12.98</v>
      </c>
      <c r="S18" s="134" t="s">
        <v>255</v>
      </c>
    </row>
    <row r="19" spans="1:19" ht="14.25" customHeight="1" x14ac:dyDescent="0.3">
      <c r="A19" s="134" t="s">
        <v>117</v>
      </c>
      <c r="B19" s="134" t="s">
        <v>11</v>
      </c>
      <c r="C19" s="134">
        <v>36</v>
      </c>
      <c r="D19" s="134" t="str">
        <f t="shared" si="2"/>
        <v>1/2" Hex AM 9015 36</v>
      </c>
      <c r="E19" s="134">
        <v>5</v>
      </c>
      <c r="O19" s="134" t="s">
        <v>9</v>
      </c>
      <c r="P19" s="134">
        <v>4.99</v>
      </c>
      <c r="Q19" s="134">
        <v>11.98</v>
      </c>
      <c r="R19" s="134" t="s">
        <v>256</v>
      </c>
      <c r="S19" s="134" t="s">
        <v>256</v>
      </c>
    </row>
    <row r="20" spans="1:19" ht="14.25" customHeight="1" x14ac:dyDescent="0.3">
      <c r="A20" s="134" t="s">
        <v>117</v>
      </c>
      <c r="B20" s="134" t="s">
        <v>11</v>
      </c>
      <c r="C20" s="134">
        <v>40</v>
      </c>
      <c r="D20" s="134" t="str">
        <f t="shared" si="2"/>
        <v>1/2" Hex AM 9015 40</v>
      </c>
      <c r="E20" s="134">
        <v>5</v>
      </c>
      <c r="O20" s="134" t="s">
        <v>337</v>
      </c>
      <c r="P20" s="134">
        <v>4.99</v>
      </c>
      <c r="Q20" s="134">
        <v>11.98</v>
      </c>
      <c r="R20" s="134" t="s">
        <v>256</v>
      </c>
      <c r="S20" s="134" t="s">
        <v>256</v>
      </c>
    </row>
    <row r="21" spans="1:19" ht="14.25" customHeight="1" x14ac:dyDescent="0.3">
      <c r="A21" s="134" t="s">
        <v>117</v>
      </c>
      <c r="B21" s="134" t="s">
        <v>11</v>
      </c>
      <c r="C21" s="134">
        <v>45</v>
      </c>
      <c r="D21" s="134" t="str">
        <f t="shared" si="2"/>
        <v>1/2" Hex AM 9015 45</v>
      </c>
      <c r="E21" s="134">
        <v>5</v>
      </c>
    </row>
    <row r="22" spans="1:19" ht="14.25" customHeight="1" x14ac:dyDescent="0.3">
      <c r="A22" s="134" t="s">
        <v>117</v>
      </c>
      <c r="B22" s="134" t="s">
        <v>11</v>
      </c>
      <c r="C22" s="134">
        <v>49</v>
      </c>
      <c r="D22" s="134" t="str">
        <f t="shared" si="2"/>
        <v>1/2" Hex AM 9015 49</v>
      </c>
      <c r="E22" s="134">
        <v>5</v>
      </c>
    </row>
    <row r="23" spans="1:19" ht="14.25" customHeight="1" x14ac:dyDescent="0.3">
      <c r="A23" s="134" t="s">
        <v>117</v>
      </c>
      <c r="B23" s="134" t="s">
        <v>11</v>
      </c>
      <c r="C23" s="134">
        <v>50</v>
      </c>
      <c r="D23" s="134" t="str">
        <f t="shared" si="2"/>
        <v>1/2" Hex AM 9015 50</v>
      </c>
      <c r="E23" s="134">
        <v>5</v>
      </c>
      <c r="O23" s="134" t="s">
        <v>258</v>
      </c>
    </row>
    <row r="24" spans="1:19" ht="14.25" customHeight="1" x14ac:dyDescent="0.3">
      <c r="A24" s="134" t="s">
        <v>117</v>
      </c>
      <c r="B24" s="134" t="s">
        <v>11</v>
      </c>
      <c r="C24" s="134">
        <v>63</v>
      </c>
      <c r="D24" s="134" t="str">
        <f t="shared" si="2"/>
        <v>1/2" Hex AM 9015 63</v>
      </c>
      <c r="E24" s="134">
        <v>5</v>
      </c>
      <c r="O24" s="134" t="s">
        <v>259</v>
      </c>
      <c r="P24" s="134">
        <v>0</v>
      </c>
      <c r="Q24" s="134">
        <v>0</v>
      </c>
    </row>
    <row r="25" spans="1:19" ht="14.25" customHeight="1" x14ac:dyDescent="0.3">
      <c r="A25" s="134" t="s">
        <v>117</v>
      </c>
      <c r="B25" s="134" t="s">
        <v>11</v>
      </c>
      <c r="C25" s="134">
        <v>70</v>
      </c>
      <c r="D25" s="134" t="str">
        <f t="shared" si="2"/>
        <v>1/2" Hex AM 9015 70</v>
      </c>
      <c r="E25" s="134">
        <v>4</v>
      </c>
      <c r="O25" s="134" t="s">
        <v>260</v>
      </c>
      <c r="P25" s="134">
        <v>24.98</v>
      </c>
      <c r="Q25" s="134">
        <v>16.98</v>
      </c>
      <c r="R25" s="134" t="s">
        <v>261</v>
      </c>
      <c r="S25" s="134" t="s">
        <v>262</v>
      </c>
    </row>
    <row r="26" spans="1:19" ht="14.25" customHeight="1" x14ac:dyDescent="0.3">
      <c r="A26" s="134" t="s">
        <v>117</v>
      </c>
      <c r="B26" s="134" t="s">
        <v>11</v>
      </c>
      <c r="C26" s="134">
        <v>81</v>
      </c>
      <c r="D26" s="134" t="str">
        <f t="shared" si="2"/>
        <v>1/2" Hex AM 9015 81</v>
      </c>
      <c r="E26" s="134">
        <v>4</v>
      </c>
      <c r="O26" s="134" t="s">
        <v>263</v>
      </c>
      <c r="P26" s="134">
        <v>24.98</v>
      </c>
      <c r="Q26" s="134">
        <v>16.98</v>
      </c>
      <c r="R26" s="134" t="s">
        <v>264</v>
      </c>
      <c r="S26" s="134" t="s">
        <v>265</v>
      </c>
    </row>
    <row r="27" spans="1:19" ht="14.25" customHeight="1" x14ac:dyDescent="0.3">
      <c r="A27" s="134" t="s">
        <v>117</v>
      </c>
      <c r="B27" s="134" t="s">
        <v>11</v>
      </c>
      <c r="C27" s="134">
        <v>90</v>
      </c>
      <c r="D27" s="134" t="str">
        <f t="shared" si="2"/>
        <v>1/2" Hex AM 9015 90</v>
      </c>
      <c r="E27" s="134">
        <v>3</v>
      </c>
      <c r="O27" s="134" t="s">
        <v>266</v>
      </c>
      <c r="P27" s="134">
        <v>24.98</v>
      </c>
      <c r="Q27" s="134">
        <v>16.98</v>
      </c>
      <c r="R27" s="134" t="s">
        <v>267</v>
      </c>
      <c r="S27" s="134" t="s">
        <v>268</v>
      </c>
    </row>
    <row r="28" spans="1:19" ht="14.25" customHeight="1" x14ac:dyDescent="0.3">
      <c r="A28" s="134" t="s">
        <v>117</v>
      </c>
      <c r="B28" s="134" t="s">
        <v>11</v>
      </c>
      <c r="C28" s="134">
        <v>100</v>
      </c>
      <c r="D28" s="134" t="str">
        <f t="shared" si="2"/>
        <v>1/2" Hex AM 9015 100</v>
      </c>
      <c r="E28" s="134">
        <v>3</v>
      </c>
      <c r="O28" s="134" t="s">
        <v>269</v>
      </c>
      <c r="P28" s="134">
        <v>24.98</v>
      </c>
      <c r="Q28" s="134">
        <v>16.98</v>
      </c>
      <c r="R28" s="134" t="s">
        <v>270</v>
      </c>
      <c r="S28" s="134" t="s">
        <v>271</v>
      </c>
    </row>
    <row r="29" spans="1:19" ht="14.25" customHeight="1" x14ac:dyDescent="0.3">
      <c r="A29" s="134" t="s">
        <v>117</v>
      </c>
      <c r="B29" s="134" t="s">
        <v>328</v>
      </c>
      <c r="C29" s="134">
        <v>-3</v>
      </c>
      <c r="D29" s="134" t="str">
        <f t="shared" si="2"/>
        <v>1/2" Hex BB RS-550 -3</v>
      </c>
      <c r="E29" s="134">
        <v>1</v>
      </c>
      <c r="F29" s="134">
        <v>1</v>
      </c>
      <c r="G29" s="134">
        <v>1</v>
      </c>
      <c r="H29" s="134">
        <v>1</v>
      </c>
      <c r="O29" s="134" t="s">
        <v>272</v>
      </c>
      <c r="P29" s="134">
        <v>24.98</v>
      </c>
      <c r="Q29" s="134">
        <v>16.98</v>
      </c>
      <c r="R29" s="134" t="s">
        <v>273</v>
      </c>
      <c r="S29" s="134" t="s">
        <v>274</v>
      </c>
    </row>
    <row r="30" spans="1:19" ht="14.25" customHeight="1" x14ac:dyDescent="0.3">
      <c r="A30" s="134" t="s">
        <v>117</v>
      </c>
      <c r="B30" s="134" t="s">
        <v>328</v>
      </c>
      <c r="C30" s="134">
        <v>-4</v>
      </c>
      <c r="D30" s="134" t="str">
        <f t="shared" si="2"/>
        <v>1/2" Hex BB RS-550 -4</v>
      </c>
      <c r="E30" s="134">
        <v>1</v>
      </c>
      <c r="F30" s="134">
        <v>1</v>
      </c>
      <c r="G30" s="134">
        <v>1</v>
      </c>
      <c r="H30" s="134">
        <v>1</v>
      </c>
      <c r="O30" s="134" t="s">
        <v>275</v>
      </c>
      <c r="P30" s="134">
        <v>24.98</v>
      </c>
      <c r="Q30" s="134">
        <v>16.98</v>
      </c>
      <c r="R30" s="134" t="s">
        <v>276</v>
      </c>
      <c r="S30" s="134" t="s">
        <v>277</v>
      </c>
    </row>
    <row r="31" spans="1:19" ht="14.25" customHeight="1" x14ac:dyDescent="0.3">
      <c r="A31" s="134" t="s">
        <v>117</v>
      </c>
      <c r="B31" s="134" t="s">
        <v>328</v>
      </c>
      <c r="C31" s="134">
        <v>-5</v>
      </c>
      <c r="D31" s="134" t="str">
        <f t="shared" si="2"/>
        <v>1/2" Hex BB RS-550 -5</v>
      </c>
      <c r="E31" s="134">
        <v>1</v>
      </c>
      <c r="F31" s="134">
        <v>1</v>
      </c>
      <c r="G31" s="134">
        <v>1</v>
      </c>
      <c r="H31" s="134">
        <v>1</v>
      </c>
    </row>
    <row r="32" spans="1:19" ht="14.25" customHeight="1" x14ac:dyDescent="0.3">
      <c r="A32" s="134" t="s">
        <v>117</v>
      </c>
      <c r="B32" s="134" t="s">
        <v>328</v>
      </c>
      <c r="C32" s="134">
        <v>-7</v>
      </c>
      <c r="D32" s="134" t="str">
        <f t="shared" si="2"/>
        <v>1/2" Hex BB RS-550 -7</v>
      </c>
      <c r="E32" s="134">
        <v>1</v>
      </c>
      <c r="F32" s="134">
        <v>1</v>
      </c>
      <c r="G32" s="134">
        <v>1</v>
      </c>
      <c r="H32" s="134">
        <v>0</v>
      </c>
    </row>
    <row r="33" spans="1:20" ht="14.25" customHeight="1" x14ac:dyDescent="0.3">
      <c r="A33" s="134" t="s">
        <v>117</v>
      </c>
      <c r="B33" s="134" t="s">
        <v>328</v>
      </c>
      <c r="C33" s="134">
        <v>-9</v>
      </c>
      <c r="D33" s="134" t="str">
        <f t="shared" si="2"/>
        <v>1/2" Hex BB RS-550 -9</v>
      </c>
      <c r="E33" s="134">
        <v>1</v>
      </c>
      <c r="F33" s="134">
        <v>1</v>
      </c>
      <c r="G33" s="134">
        <v>0</v>
      </c>
      <c r="H33" s="134">
        <v>0</v>
      </c>
      <c r="O33" s="134" t="s">
        <v>278</v>
      </c>
    </row>
    <row r="34" spans="1:20" ht="14.25" customHeight="1" x14ac:dyDescent="0.3">
      <c r="A34" s="134" t="s">
        <v>117</v>
      </c>
      <c r="B34" s="134" t="s">
        <v>328</v>
      </c>
      <c r="C34" s="134">
        <v>-10</v>
      </c>
      <c r="D34" s="134" t="str">
        <f t="shared" si="2"/>
        <v>1/2" Hex BB RS-550 -10</v>
      </c>
      <c r="E34" s="134">
        <v>1</v>
      </c>
      <c r="F34" s="134">
        <v>1</v>
      </c>
      <c r="G34" s="134">
        <v>0</v>
      </c>
      <c r="H34" s="134">
        <v>0</v>
      </c>
      <c r="O34" s="134" t="s">
        <v>259</v>
      </c>
      <c r="P34" s="134">
        <v>0</v>
      </c>
    </row>
    <row r="35" spans="1:20" ht="14.25" customHeight="1" x14ac:dyDescent="0.3">
      <c r="A35" s="134" t="s">
        <v>117</v>
      </c>
      <c r="B35" s="134" t="s">
        <v>328</v>
      </c>
      <c r="C35" s="134">
        <v>9</v>
      </c>
      <c r="D35" s="134" t="str">
        <f>A35&amp;" "&amp;B35&amp;" "&amp;C35</f>
        <v>1/2" Hex BB RS-550 9</v>
      </c>
      <c r="E35" s="134">
        <v>10</v>
      </c>
      <c r="F35" s="134">
        <v>10</v>
      </c>
      <c r="G35" s="134">
        <v>1</v>
      </c>
      <c r="H35" s="134">
        <v>0</v>
      </c>
      <c r="O35" s="134" t="s">
        <v>279</v>
      </c>
      <c r="P35" s="134">
        <v>41.97</v>
      </c>
      <c r="R35" s="134" t="s">
        <v>280</v>
      </c>
      <c r="S35" s="134" t="s">
        <v>280</v>
      </c>
      <c r="T35" s="134" t="s">
        <v>280</v>
      </c>
    </row>
    <row r="36" spans="1:20" ht="14.25" customHeight="1" x14ac:dyDescent="0.3">
      <c r="A36" s="134" t="s">
        <v>117</v>
      </c>
      <c r="B36" s="134" t="s">
        <v>328</v>
      </c>
      <c r="C36" s="134">
        <v>12</v>
      </c>
      <c r="D36" s="134" t="str">
        <f t="shared" ref="D36:D61" si="3">A36&amp;" "&amp;B36&amp;" "&amp;C36</f>
        <v>1/2" Hex BB RS-550 12</v>
      </c>
      <c r="E36" s="134">
        <v>10</v>
      </c>
      <c r="F36" s="134">
        <v>7</v>
      </c>
      <c r="G36" s="134">
        <v>0</v>
      </c>
      <c r="H36" s="134">
        <v>0</v>
      </c>
      <c r="O36" s="134" t="s">
        <v>281</v>
      </c>
      <c r="P36" s="134">
        <v>42.97</v>
      </c>
      <c r="R36" s="134" t="s">
        <v>282</v>
      </c>
      <c r="S36" s="134" t="s">
        <v>283</v>
      </c>
      <c r="T36" s="134" t="s">
        <v>284</v>
      </c>
    </row>
    <row r="37" spans="1:20" ht="14.25" customHeight="1" x14ac:dyDescent="0.3">
      <c r="A37" s="134" t="s">
        <v>117</v>
      </c>
      <c r="B37" s="134" t="s">
        <v>328</v>
      </c>
      <c r="C37" s="134">
        <v>15</v>
      </c>
      <c r="D37" s="134" t="str">
        <f t="shared" si="3"/>
        <v>1/2" Hex BB RS-550 15</v>
      </c>
      <c r="E37" s="134">
        <v>10</v>
      </c>
      <c r="F37" s="134">
        <v>5</v>
      </c>
      <c r="G37" s="134">
        <v>0</v>
      </c>
      <c r="H37" s="134">
        <v>0</v>
      </c>
      <c r="O37" s="134" t="s">
        <v>285</v>
      </c>
      <c r="P37" s="134">
        <v>42.97</v>
      </c>
      <c r="R37" s="134" t="s">
        <v>286</v>
      </c>
      <c r="S37" s="134" t="s">
        <v>287</v>
      </c>
      <c r="T37" s="134" t="s">
        <v>288</v>
      </c>
    </row>
    <row r="38" spans="1:20" ht="14.25" customHeight="1" x14ac:dyDescent="0.3">
      <c r="A38" s="134" t="s">
        <v>117</v>
      </c>
      <c r="B38" s="134" t="s">
        <v>328</v>
      </c>
      <c r="C38" s="134">
        <v>16</v>
      </c>
      <c r="D38" s="134" t="str">
        <f t="shared" si="3"/>
        <v>1/2" Hex BB RS-550 16</v>
      </c>
      <c r="E38" s="134">
        <v>10</v>
      </c>
      <c r="F38" s="134">
        <v>5</v>
      </c>
      <c r="G38" s="134">
        <v>0</v>
      </c>
      <c r="H38" s="134">
        <v>0</v>
      </c>
      <c r="O38" s="134" t="s">
        <v>289</v>
      </c>
      <c r="P38" s="134">
        <v>56.97</v>
      </c>
      <c r="R38" s="134" t="s">
        <v>290</v>
      </c>
      <c r="S38" s="134" t="s">
        <v>290</v>
      </c>
      <c r="T38" s="134" t="s">
        <v>290</v>
      </c>
    </row>
    <row r="39" spans="1:20" ht="14.25" customHeight="1" x14ac:dyDescent="0.3">
      <c r="A39" s="134" t="s">
        <v>117</v>
      </c>
      <c r="B39" s="134" t="s">
        <v>328</v>
      </c>
      <c r="C39" s="134">
        <v>20</v>
      </c>
      <c r="D39" s="134" t="str">
        <f t="shared" si="3"/>
        <v>1/2" Hex BB RS-550 20</v>
      </c>
      <c r="E39" s="134">
        <v>9</v>
      </c>
      <c r="F39" s="134">
        <v>5</v>
      </c>
      <c r="G39" s="134">
        <v>0</v>
      </c>
      <c r="H39" s="134">
        <v>0</v>
      </c>
      <c r="O39" s="134" t="s">
        <v>291</v>
      </c>
      <c r="P39" s="134">
        <v>57.97</v>
      </c>
      <c r="R39" s="134" t="s">
        <v>292</v>
      </c>
      <c r="S39" s="134" t="s">
        <v>293</v>
      </c>
      <c r="T39" s="134" t="s">
        <v>294</v>
      </c>
    </row>
    <row r="40" spans="1:20" ht="14.25" customHeight="1" x14ac:dyDescent="0.3">
      <c r="A40" s="134" t="s">
        <v>117</v>
      </c>
      <c r="B40" s="134" t="s">
        <v>328</v>
      </c>
      <c r="C40" s="134">
        <v>21</v>
      </c>
      <c r="D40" s="134" t="str">
        <f t="shared" si="3"/>
        <v>1/2" Hex BB RS-550 21</v>
      </c>
      <c r="E40" s="134">
        <v>9</v>
      </c>
      <c r="F40" s="134">
        <v>5</v>
      </c>
      <c r="G40" s="134">
        <v>0</v>
      </c>
      <c r="H40" s="134">
        <v>0</v>
      </c>
      <c r="O40" s="134" t="s">
        <v>295</v>
      </c>
      <c r="P40" s="134">
        <v>57.97</v>
      </c>
      <c r="R40" s="134" t="s">
        <v>296</v>
      </c>
      <c r="S40" s="134" t="s">
        <v>297</v>
      </c>
      <c r="T40" s="134" t="s">
        <v>298</v>
      </c>
    </row>
    <row r="41" spans="1:20" ht="14.25" customHeight="1" x14ac:dyDescent="0.3">
      <c r="A41" s="134" t="s">
        <v>117</v>
      </c>
      <c r="B41" s="134" t="s">
        <v>328</v>
      </c>
      <c r="C41" s="134">
        <v>25</v>
      </c>
      <c r="D41" s="134" t="str">
        <f t="shared" si="3"/>
        <v>1/2" Hex BB RS-550 25</v>
      </c>
      <c r="E41" s="134">
        <v>7</v>
      </c>
      <c r="F41" s="134">
        <v>5</v>
      </c>
      <c r="G41" s="134">
        <v>0</v>
      </c>
      <c r="H41" s="134">
        <v>0</v>
      </c>
      <c r="O41" s="134" t="s">
        <v>278</v>
      </c>
      <c r="P41" s="134">
        <v>14.98</v>
      </c>
      <c r="R41" s="134" t="s">
        <v>299</v>
      </c>
    </row>
    <row r="42" spans="1:20" ht="14.25" customHeight="1" x14ac:dyDescent="0.3">
      <c r="A42" s="134" t="s">
        <v>117</v>
      </c>
      <c r="B42" s="134" t="s">
        <v>328</v>
      </c>
      <c r="C42" s="134">
        <v>27</v>
      </c>
      <c r="D42" s="134" t="str">
        <f t="shared" si="3"/>
        <v>1/2" Hex BB RS-550 27</v>
      </c>
      <c r="E42" s="134">
        <v>7</v>
      </c>
      <c r="F42" s="134">
        <v>5</v>
      </c>
      <c r="G42" s="134">
        <v>0</v>
      </c>
      <c r="H42" s="134">
        <v>0</v>
      </c>
    </row>
    <row r="43" spans="1:20" ht="14.25" customHeight="1" x14ac:dyDescent="0.3">
      <c r="A43" s="134" t="s">
        <v>117</v>
      </c>
      <c r="B43" s="134" t="s">
        <v>328</v>
      </c>
      <c r="C43" s="134">
        <v>28</v>
      </c>
      <c r="D43" s="134" t="str">
        <f t="shared" si="3"/>
        <v>1/2" Hex BB RS-550 28</v>
      </c>
      <c r="E43" s="134">
        <v>7</v>
      </c>
      <c r="F43" s="134">
        <v>5</v>
      </c>
      <c r="G43" s="134">
        <v>0</v>
      </c>
      <c r="H43" s="134">
        <v>0</v>
      </c>
    </row>
    <row r="44" spans="1:20" ht="14.25" customHeight="1" x14ac:dyDescent="0.3">
      <c r="A44" s="134" t="s">
        <v>117</v>
      </c>
      <c r="B44" s="134" t="s">
        <v>328</v>
      </c>
      <c r="C44" s="134">
        <v>30</v>
      </c>
      <c r="D44" s="134" t="str">
        <f t="shared" si="3"/>
        <v>1/2" Hex BB RS-550 30</v>
      </c>
      <c r="E44" s="134">
        <v>5</v>
      </c>
      <c r="F44" s="134">
        <v>5</v>
      </c>
      <c r="G44" s="134">
        <v>0</v>
      </c>
      <c r="H44" s="134">
        <v>0</v>
      </c>
      <c r="O44" s="134" t="s">
        <v>300</v>
      </c>
    </row>
    <row r="45" spans="1:20" ht="14.25" customHeight="1" x14ac:dyDescent="0.3">
      <c r="A45" s="134" t="s">
        <v>117</v>
      </c>
      <c r="B45" s="134" t="s">
        <v>328</v>
      </c>
      <c r="C45" s="134">
        <v>35</v>
      </c>
      <c r="D45" s="134" t="str">
        <f t="shared" si="3"/>
        <v>1/2" Hex BB RS-550 35</v>
      </c>
      <c r="E45" s="134">
        <v>5</v>
      </c>
      <c r="F45" s="134">
        <v>4</v>
      </c>
      <c r="G45" s="134">
        <v>0</v>
      </c>
      <c r="H45" s="134">
        <v>0</v>
      </c>
      <c r="O45" s="134" t="s">
        <v>60</v>
      </c>
      <c r="P45" s="134">
        <v>67.95</v>
      </c>
      <c r="R45" s="134" t="s">
        <v>301</v>
      </c>
      <c r="S45" s="134" t="s">
        <v>302</v>
      </c>
      <c r="T45" s="134" t="s">
        <v>303</v>
      </c>
    </row>
    <row r="46" spans="1:20" ht="14.25" customHeight="1" x14ac:dyDescent="0.3">
      <c r="A46" s="134" t="s">
        <v>117</v>
      </c>
      <c r="B46" s="134" t="s">
        <v>328</v>
      </c>
      <c r="C46" s="134">
        <v>36</v>
      </c>
      <c r="D46" s="134" t="str">
        <f t="shared" si="3"/>
        <v>1/2" Hex BB RS-550 36</v>
      </c>
      <c r="E46" s="134">
        <v>5</v>
      </c>
      <c r="F46" s="134">
        <v>4</v>
      </c>
      <c r="G46" s="134">
        <v>0</v>
      </c>
      <c r="H46" s="134">
        <v>0</v>
      </c>
      <c r="O46" s="134" t="s">
        <v>304</v>
      </c>
      <c r="P46" s="134">
        <v>0</v>
      </c>
    </row>
    <row r="47" spans="1:20" ht="14.25" customHeight="1" x14ac:dyDescent="0.3">
      <c r="A47" s="134" t="s">
        <v>117</v>
      </c>
      <c r="B47" s="134" t="s">
        <v>328</v>
      </c>
      <c r="C47" s="134">
        <v>40</v>
      </c>
      <c r="D47" s="134" t="str">
        <f t="shared" si="3"/>
        <v>1/2" Hex BB RS-550 40</v>
      </c>
      <c r="E47" s="134">
        <v>5</v>
      </c>
      <c r="F47" s="134">
        <v>3</v>
      </c>
      <c r="G47" s="134">
        <v>0</v>
      </c>
      <c r="H47" s="134">
        <v>0</v>
      </c>
    </row>
    <row r="48" spans="1:20" ht="14.25" customHeight="1" x14ac:dyDescent="0.3">
      <c r="A48" s="134" t="s">
        <v>117</v>
      </c>
      <c r="B48" s="134" t="s">
        <v>328</v>
      </c>
      <c r="C48" s="134">
        <v>45</v>
      </c>
      <c r="D48" s="134" t="str">
        <f t="shared" si="3"/>
        <v>1/2" Hex BB RS-550 45</v>
      </c>
      <c r="E48" s="134">
        <v>5</v>
      </c>
      <c r="F48" s="134">
        <v>3</v>
      </c>
      <c r="G48" s="134">
        <v>0</v>
      </c>
      <c r="H48" s="134">
        <v>0</v>
      </c>
    </row>
    <row r="49" spans="1:18" ht="14.25" customHeight="1" x14ac:dyDescent="0.3">
      <c r="A49" s="134" t="s">
        <v>117</v>
      </c>
      <c r="B49" s="134" t="s">
        <v>328</v>
      </c>
      <c r="C49" s="134">
        <v>49</v>
      </c>
      <c r="D49" s="134" t="str">
        <f t="shared" si="3"/>
        <v>1/2" Hex BB RS-550 49</v>
      </c>
      <c r="E49" s="134">
        <v>5</v>
      </c>
      <c r="F49" s="134">
        <v>3</v>
      </c>
      <c r="G49" s="134">
        <v>0</v>
      </c>
      <c r="H49" s="134">
        <v>0</v>
      </c>
      <c r="O49" s="134" t="s">
        <v>305</v>
      </c>
    </row>
    <row r="50" spans="1:18" ht="14.25" customHeight="1" x14ac:dyDescent="0.3">
      <c r="A50" s="134" t="s">
        <v>117</v>
      </c>
      <c r="B50" s="134" t="s">
        <v>328</v>
      </c>
      <c r="C50" s="134">
        <v>50</v>
      </c>
      <c r="D50" s="134" t="str">
        <f t="shared" si="3"/>
        <v>1/2" Hex BB RS-550 50</v>
      </c>
      <c r="E50" s="134">
        <v>5</v>
      </c>
      <c r="F50" s="134">
        <v>3</v>
      </c>
      <c r="G50" s="134">
        <v>0</v>
      </c>
      <c r="H50" s="134">
        <v>0</v>
      </c>
      <c r="O50" s="134" t="s">
        <v>60</v>
      </c>
      <c r="P50" s="134">
        <v>84.99</v>
      </c>
      <c r="R50" s="134" t="s">
        <v>306</v>
      </c>
    </row>
    <row r="51" spans="1:18" ht="14.25" customHeight="1" x14ac:dyDescent="0.3">
      <c r="A51" s="134" t="s">
        <v>117</v>
      </c>
      <c r="B51" s="134" t="s">
        <v>328</v>
      </c>
      <c r="C51" s="134">
        <v>63</v>
      </c>
      <c r="D51" s="134" t="str">
        <f t="shared" si="3"/>
        <v>1/2" Hex BB RS-550 63</v>
      </c>
      <c r="E51" s="134">
        <v>4</v>
      </c>
      <c r="F51" s="134">
        <v>1</v>
      </c>
      <c r="G51" s="134">
        <v>0</v>
      </c>
      <c r="H51" s="134">
        <v>0</v>
      </c>
      <c r="O51" s="134" t="s">
        <v>304</v>
      </c>
      <c r="P51" s="134">
        <v>0</v>
      </c>
    </row>
    <row r="52" spans="1:18" ht="14.25" customHeight="1" x14ac:dyDescent="0.3">
      <c r="A52" s="134" t="s">
        <v>117</v>
      </c>
      <c r="B52" s="134" t="s">
        <v>328</v>
      </c>
      <c r="C52" s="134">
        <v>70</v>
      </c>
      <c r="D52" s="134" t="str">
        <f t="shared" si="3"/>
        <v>1/2" Hex BB RS-550 70</v>
      </c>
      <c r="E52" s="134">
        <v>4</v>
      </c>
      <c r="F52" s="134">
        <v>1</v>
      </c>
      <c r="G52" s="134">
        <v>0</v>
      </c>
      <c r="H52" s="134">
        <v>0</v>
      </c>
    </row>
    <row r="53" spans="1:18" ht="14.25" customHeight="1" x14ac:dyDescent="0.3">
      <c r="A53" s="134" t="s">
        <v>117</v>
      </c>
      <c r="B53" s="134" t="s">
        <v>328</v>
      </c>
      <c r="C53" s="134">
        <v>81</v>
      </c>
      <c r="D53" s="134" t="str">
        <f t="shared" si="3"/>
        <v>1/2" Hex BB RS-550 81</v>
      </c>
      <c r="E53" s="134">
        <v>3</v>
      </c>
      <c r="F53" s="134">
        <v>1</v>
      </c>
      <c r="G53" s="134">
        <v>0</v>
      </c>
      <c r="H53" s="134">
        <v>0</v>
      </c>
    </row>
    <row r="54" spans="1:18" ht="14.25" customHeight="1" x14ac:dyDescent="0.3">
      <c r="A54" s="134" t="s">
        <v>117</v>
      </c>
      <c r="B54" s="134" t="s">
        <v>328</v>
      </c>
      <c r="C54" s="134">
        <v>90</v>
      </c>
      <c r="D54" s="134" t="str">
        <f t="shared" si="3"/>
        <v>1/2" Hex BB RS-550 90</v>
      </c>
      <c r="E54" s="134">
        <v>3</v>
      </c>
      <c r="F54" s="134">
        <v>1</v>
      </c>
      <c r="G54" s="134">
        <v>0</v>
      </c>
      <c r="H54" s="134">
        <v>0</v>
      </c>
      <c r="O54" s="134" t="s">
        <v>307</v>
      </c>
    </row>
    <row r="55" spans="1:18" ht="14.25" customHeight="1" x14ac:dyDescent="0.3">
      <c r="A55" s="134" t="s">
        <v>117</v>
      </c>
      <c r="B55" s="134" t="s">
        <v>328</v>
      </c>
      <c r="C55" s="134">
        <v>100</v>
      </c>
      <c r="D55" s="134" t="str">
        <f t="shared" si="3"/>
        <v>1/2" Hex BB RS-550 100</v>
      </c>
      <c r="E55" s="134">
        <v>3</v>
      </c>
      <c r="F55" s="134">
        <v>0</v>
      </c>
      <c r="G55" s="134">
        <v>0</v>
      </c>
      <c r="H55" s="134">
        <v>0</v>
      </c>
      <c r="O55" s="134" t="s">
        <v>60</v>
      </c>
      <c r="P55" s="134">
        <v>14.99</v>
      </c>
      <c r="R55" s="134" t="s">
        <v>308</v>
      </c>
    </row>
    <row r="56" spans="1:18" ht="14.25" customHeight="1" x14ac:dyDescent="0.3">
      <c r="A56" s="134" t="s">
        <v>117</v>
      </c>
      <c r="B56" s="134" t="s">
        <v>329</v>
      </c>
      <c r="C56" s="134">
        <v>-3</v>
      </c>
      <c r="D56" s="134" t="str">
        <f t="shared" si="3"/>
        <v>1/2" Hex BB RS-775 -3</v>
      </c>
      <c r="E56" s="134">
        <v>1</v>
      </c>
      <c r="F56" s="134">
        <v>1</v>
      </c>
      <c r="G56" s="134">
        <v>1</v>
      </c>
      <c r="H56" s="134">
        <v>0</v>
      </c>
      <c r="O56" s="134" t="s">
        <v>304</v>
      </c>
      <c r="P56" s="134">
        <v>0</v>
      </c>
    </row>
    <row r="57" spans="1:18" ht="14.25" customHeight="1" x14ac:dyDescent="0.3">
      <c r="A57" s="134" t="s">
        <v>117</v>
      </c>
      <c r="B57" s="134" t="s">
        <v>329</v>
      </c>
      <c r="C57" s="134">
        <v>-4</v>
      </c>
      <c r="D57" s="134" t="str">
        <f t="shared" si="3"/>
        <v>1/2" Hex BB RS-775 -4</v>
      </c>
      <c r="E57" s="134">
        <v>1</v>
      </c>
      <c r="F57" s="134">
        <v>1</v>
      </c>
      <c r="G57" s="134">
        <v>1</v>
      </c>
      <c r="H57" s="134">
        <v>0</v>
      </c>
    </row>
    <row r="58" spans="1:18" ht="14.25" customHeight="1" x14ac:dyDescent="0.3">
      <c r="A58" s="134" t="s">
        <v>117</v>
      </c>
      <c r="B58" s="134" t="s">
        <v>329</v>
      </c>
      <c r="C58" s="134">
        <v>-5</v>
      </c>
      <c r="D58" s="134" t="str">
        <f t="shared" si="3"/>
        <v>1/2" Hex BB RS-775 -5</v>
      </c>
      <c r="E58" s="134">
        <v>1</v>
      </c>
      <c r="F58" s="134">
        <v>1</v>
      </c>
      <c r="G58" s="134">
        <v>1</v>
      </c>
      <c r="H58" s="134">
        <v>0</v>
      </c>
      <c r="O58" s="134" t="s">
        <v>309</v>
      </c>
    </row>
    <row r="59" spans="1:18" ht="14.25" customHeight="1" x14ac:dyDescent="0.3">
      <c r="A59" s="134" t="s">
        <v>117</v>
      </c>
      <c r="B59" s="134" t="s">
        <v>329</v>
      </c>
      <c r="C59" s="134">
        <v>-7</v>
      </c>
      <c r="D59" s="134" t="str">
        <f t="shared" si="3"/>
        <v>1/2" Hex BB RS-775 -7</v>
      </c>
      <c r="E59" s="134">
        <v>1</v>
      </c>
      <c r="F59" s="134">
        <v>1</v>
      </c>
      <c r="G59" s="134">
        <v>0</v>
      </c>
      <c r="H59" s="134">
        <v>0</v>
      </c>
      <c r="O59" s="134" t="s">
        <v>60</v>
      </c>
      <c r="P59" s="134">
        <v>49.99</v>
      </c>
      <c r="R59" s="134" t="s">
        <v>310</v>
      </c>
    </row>
    <row r="60" spans="1:18" ht="14.25" customHeight="1" x14ac:dyDescent="0.3">
      <c r="A60" s="134" t="s">
        <v>117</v>
      </c>
      <c r="B60" s="134" t="s">
        <v>329</v>
      </c>
      <c r="C60" s="134">
        <v>-9</v>
      </c>
      <c r="D60" s="134" t="str">
        <f t="shared" si="3"/>
        <v>1/2" Hex BB RS-775 -9</v>
      </c>
      <c r="E60" s="134">
        <v>1</v>
      </c>
      <c r="F60" s="134">
        <v>1</v>
      </c>
      <c r="G60" s="134">
        <v>0</v>
      </c>
      <c r="H60" s="134">
        <v>0</v>
      </c>
      <c r="O60" s="134" t="s">
        <v>304</v>
      </c>
      <c r="P60" s="134">
        <v>0</v>
      </c>
    </row>
    <row r="61" spans="1:18" ht="14.25" customHeight="1" x14ac:dyDescent="0.3">
      <c r="A61" s="134" t="s">
        <v>117</v>
      </c>
      <c r="B61" s="134" t="s">
        <v>329</v>
      </c>
      <c r="C61" s="134">
        <v>-10</v>
      </c>
      <c r="D61" s="134" t="str">
        <f t="shared" si="3"/>
        <v>1/2" Hex BB RS-775 -10</v>
      </c>
      <c r="E61" s="134">
        <v>1</v>
      </c>
      <c r="F61" s="134">
        <v>1</v>
      </c>
      <c r="G61" s="134">
        <v>0</v>
      </c>
      <c r="H61" s="134">
        <v>0</v>
      </c>
    </row>
    <row r="62" spans="1:18" ht="14.25" customHeight="1" x14ac:dyDescent="0.3">
      <c r="A62" s="134" t="s">
        <v>117</v>
      </c>
      <c r="B62" s="134" t="s">
        <v>329</v>
      </c>
      <c r="C62" s="134">
        <v>9</v>
      </c>
      <c r="D62" s="134" t="str">
        <f>A62&amp;" "&amp;B62&amp;" "&amp;C62</f>
        <v>1/2" Hex BB RS-775 9</v>
      </c>
      <c r="E62" s="134">
        <v>10</v>
      </c>
      <c r="F62" s="134">
        <v>5</v>
      </c>
      <c r="G62" s="134">
        <v>0</v>
      </c>
      <c r="H62" s="134">
        <v>0</v>
      </c>
    </row>
    <row r="63" spans="1:18" ht="14.25" customHeight="1" x14ac:dyDescent="0.3">
      <c r="A63" s="134" t="s">
        <v>117</v>
      </c>
      <c r="B63" s="134" t="s">
        <v>329</v>
      </c>
      <c r="C63" s="134">
        <v>12</v>
      </c>
      <c r="D63" s="134" t="str">
        <f t="shared" ref="D63:D88" si="4">A63&amp;" "&amp;B63&amp;" "&amp;C63</f>
        <v>1/2" Hex BB RS-775 12</v>
      </c>
      <c r="E63" s="134">
        <v>10</v>
      </c>
      <c r="F63" s="134">
        <v>5</v>
      </c>
      <c r="G63" s="134">
        <v>0</v>
      </c>
      <c r="H63" s="134">
        <v>0</v>
      </c>
    </row>
    <row r="64" spans="1:18" ht="14.25" customHeight="1" x14ac:dyDescent="0.3">
      <c r="A64" s="134" t="s">
        <v>117</v>
      </c>
      <c r="B64" s="134" t="s">
        <v>329</v>
      </c>
      <c r="C64" s="134">
        <v>15</v>
      </c>
      <c r="D64" s="134" t="str">
        <f t="shared" si="4"/>
        <v>1/2" Hex BB RS-775 15</v>
      </c>
      <c r="E64" s="134">
        <v>10</v>
      </c>
      <c r="F64" s="134">
        <v>5</v>
      </c>
      <c r="G64" s="134">
        <v>0</v>
      </c>
      <c r="H64" s="134">
        <v>0</v>
      </c>
    </row>
    <row r="65" spans="1:8" ht="14.25" customHeight="1" x14ac:dyDescent="0.3">
      <c r="A65" s="134" t="s">
        <v>117</v>
      </c>
      <c r="B65" s="134" t="s">
        <v>329</v>
      </c>
      <c r="C65" s="134">
        <v>16</v>
      </c>
      <c r="D65" s="134" t="str">
        <f t="shared" si="4"/>
        <v>1/2" Hex BB RS-775 16</v>
      </c>
      <c r="E65" s="134">
        <v>10</v>
      </c>
      <c r="F65" s="134">
        <v>5</v>
      </c>
      <c r="G65" s="134">
        <v>0</v>
      </c>
      <c r="H65" s="134">
        <v>0</v>
      </c>
    </row>
    <row r="66" spans="1:8" ht="14.25" customHeight="1" x14ac:dyDescent="0.3">
      <c r="A66" s="134" t="s">
        <v>117</v>
      </c>
      <c r="B66" s="134" t="s">
        <v>329</v>
      </c>
      <c r="C66" s="134">
        <v>20</v>
      </c>
      <c r="D66" s="134" t="str">
        <f t="shared" si="4"/>
        <v>1/2" Hex BB RS-775 20</v>
      </c>
      <c r="E66" s="134">
        <v>10</v>
      </c>
      <c r="F66" s="134">
        <v>4</v>
      </c>
      <c r="G66" s="134">
        <v>0</v>
      </c>
      <c r="H66" s="134">
        <v>0</v>
      </c>
    </row>
    <row r="67" spans="1:8" ht="14.25" customHeight="1" x14ac:dyDescent="0.3">
      <c r="A67" s="134" t="s">
        <v>117</v>
      </c>
      <c r="B67" s="134" t="s">
        <v>329</v>
      </c>
      <c r="C67" s="134">
        <v>21</v>
      </c>
      <c r="D67" s="134" t="str">
        <f t="shared" si="4"/>
        <v>1/2" Hex BB RS-775 21</v>
      </c>
      <c r="E67" s="134">
        <v>10</v>
      </c>
      <c r="F67" s="134">
        <v>4</v>
      </c>
      <c r="G67" s="134">
        <v>0</v>
      </c>
      <c r="H67" s="134">
        <v>0</v>
      </c>
    </row>
    <row r="68" spans="1:8" ht="14.25" customHeight="1" x14ac:dyDescent="0.3">
      <c r="A68" s="134" t="s">
        <v>117</v>
      </c>
      <c r="B68" s="134" t="s">
        <v>329</v>
      </c>
      <c r="C68" s="134">
        <v>25</v>
      </c>
      <c r="D68" s="134" t="str">
        <f t="shared" si="4"/>
        <v>1/2" Hex BB RS-775 25</v>
      </c>
      <c r="E68" s="134">
        <v>7</v>
      </c>
      <c r="F68" s="134">
        <v>3</v>
      </c>
      <c r="G68" s="134">
        <v>0</v>
      </c>
      <c r="H68" s="134">
        <v>0</v>
      </c>
    </row>
    <row r="69" spans="1:8" ht="14.25" customHeight="1" x14ac:dyDescent="0.3">
      <c r="A69" s="134" t="s">
        <v>117</v>
      </c>
      <c r="B69" s="134" t="s">
        <v>329</v>
      </c>
      <c r="C69" s="134">
        <v>27</v>
      </c>
      <c r="D69" s="134" t="str">
        <f t="shared" si="4"/>
        <v>1/2" Hex BB RS-775 27</v>
      </c>
      <c r="E69" s="134">
        <v>7</v>
      </c>
      <c r="F69" s="134">
        <v>3</v>
      </c>
      <c r="G69" s="134">
        <v>0</v>
      </c>
      <c r="H69" s="134">
        <v>0</v>
      </c>
    </row>
    <row r="70" spans="1:8" ht="14.25" customHeight="1" x14ac:dyDescent="0.3">
      <c r="A70" s="134" t="s">
        <v>117</v>
      </c>
      <c r="B70" s="134" t="s">
        <v>329</v>
      </c>
      <c r="C70" s="134">
        <v>28</v>
      </c>
      <c r="D70" s="134" t="str">
        <f t="shared" si="4"/>
        <v>1/2" Hex BB RS-775 28</v>
      </c>
      <c r="E70" s="134">
        <v>7</v>
      </c>
      <c r="F70" s="134">
        <v>3</v>
      </c>
      <c r="G70" s="134">
        <v>0</v>
      </c>
      <c r="H70" s="134">
        <v>0</v>
      </c>
    </row>
    <row r="71" spans="1:8" ht="14.25" customHeight="1" x14ac:dyDescent="0.3">
      <c r="A71" s="134" t="s">
        <v>117</v>
      </c>
      <c r="B71" s="134" t="s">
        <v>329</v>
      </c>
      <c r="C71" s="134">
        <v>30</v>
      </c>
      <c r="D71" s="134" t="str">
        <f t="shared" si="4"/>
        <v>1/2" Hex BB RS-775 30</v>
      </c>
      <c r="E71" s="134">
        <v>7</v>
      </c>
      <c r="F71" s="134">
        <v>3</v>
      </c>
      <c r="G71" s="134">
        <v>0</v>
      </c>
      <c r="H71" s="134">
        <v>0</v>
      </c>
    </row>
    <row r="72" spans="1:8" ht="14.25" customHeight="1" x14ac:dyDescent="0.3">
      <c r="A72" s="134" t="s">
        <v>117</v>
      </c>
      <c r="B72" s="134" t="s">
        <v>329</v>
      </c>
      <c r="C72" s="134">
        <v>35</v>
      </c>
      <c r="D72" s="134" t="str">
        <f t="shared" si="4"/>
        <v>1/2" Hex BB RS-775 35</v>
      </c>
      <c r="E72" s="134">
        <v>5</v>
      </c>
      <c r="F72" s="134">
        <v>1</v>
      </c>
      <c r="G72" s="134">
        <v>0</v>
      </c>
      <c r="H72" s="134">
        <v>0</v>
      </c>
    </row>
    <row r="73" spans="1:8" ht="14.25" customHeight="1" x14ac:dyDescent="0.3">
      <c r="A73" s="134" t="s">
        <v>117</v>
      </c>
      <c r="B73" s="134" t="s">
        <v>329</v>
      </c>
      <c r="C73" s="134">
        <v>36</v>
      </c>
      <c r="D73" s="134" t="str">
        <f t="shared" si="4"/>
        <v>1/2" Hex BB RS-775 36</v>
      </c>
      <c r="E73" s="134">
        <v>5</v>
      </c>
      <c r="F73" s="134">
        <v>1</v>
      </c>
      <c r="G73" s="134">
        <v>0</v>
      </c>
      <c r="H73" s="134">
        <v>0</v>
      </c>
    </row>
    <row r="74" spans="1:8" ht="14.25" customHeight="1" x14ac:dyDescent="0.3">
      <c r="A74" s="134" t="s">
        <v>117</v>
      </c>
      <c r="B74" s="134" t="s">
        <v>329</v>
      </c>
      <c r="C74" s="134">
        <v>40</v>
      </c>
      <c r="D74" s="134" t="str">
        <f t="shared" si="4"/>
        <v>1/2" Hex BB RS-775 40</v>
      </c>
      <c r="E74" s="134">
        <v>5</v>
      </c>
      <c r="F74" s="134">
        <v>1</v>
      </c>
      <c r="G74" s="134">
        <v>0</v>
      </c>
      <c r="H74" s="134">
        <v>0</v>
      </c>
    </row>
    <row r="75" spans="1:8" ht="14.25" customHeight="1" x14ac:dyDescent="0.3">
      <c r="A75" s="134" t="s">
        <v>117</v>
      </c>
      <c r="B75" s="134" t="s">
        <v>329</v>
      </c>
      <c r="C75" s="134">
        <v>45</v>
      </c>
      <c r="D75" s="134" t="str">
        <f t="shared" si="4"/>
        <v>1/2" Hex BB RS-775 45</v>
      </c>
      <c r="E75" s="134">
        <v>5</v>
      </c>
      <c r="F75" s="134">
        <v>1</v>
      </c>
      <c r="G75" s="134">
        <v>0</v>
      </c>
      <c r="H75" s="134">
        <v>0</v>
      </c>
    </row>
    <row r="76" spans="1:8" ht="14.25" customHeight="1" x14ac:dyDescent="0.3">
      <c r="A76" s="134" t="s">
        <v>117</v>
      </c>
      <c r="B76" s="134" t="s">
        <v>329</v>
      </c>
      <c r="C76" s="134">
        <v>49</v>
      </c>
      <c r="D76" s="134" t="str">
        <f t="shared" si="4"/>
        <v>1/2" Hex BB RS-775 49</v>
      </c>
      <c r="E76" s="134">
        <v>5</v>
      </c>
      <c r="F76" s="134">
        <v>1</v>
      </c>
      <c r="G76" s="134">
        <v>0</v>
      </c>
      <c r="H76" s="134">
        <v>0</v>
      </c>
    </row>
    <row r="77" spans="1:8" ht="14.25" customHeight="1" x14ac:dyDescent="0.3">
      <c r="A77" s="134" t="s">
        <v>117</v>
      </c>
      <c r="B77" s="134" t="s">
        <v>329</v>
      </c>
      <c r="C77" s="134">
        <v>50</v>
      </c>
      <c r="D77" s="134" t="str">
        <f t="shared" si="4"/>
        <v>1/2" Hex BB RS-775 50</v>
      </c>
      <c r="E77" s="134">
        <v>5</v>
      </c>
      <c r="F77" s="134">
        <v>1</v>
      </c>
      <c r="G77" s="134">
        <v>0</v>
      </c>
      <c r="H77" s="134">
        <v>0</v>
      </c>
    </row>
    <row r="78" spans="1:8" ht="14.25" customHeight="1" x14ac:dyDescent="0.3">
      <c r="A78" s="134" t="s">
        <v>117</v>
      </c>
      <c r="B78" s="134" t="s">
        <v>329</v>
      </c>
      <c r="C78" s="134">
        <v>63</v>
      </c>
      <c r="D78" s="134" t="str">
        <f t="shared" si="4"/>
        <v>1/2" Hex BB RS-775 63</v>
      </c>
      <c r="E78" s="134">
        <v>5</v>
      </c>
      <c r="F78" s="134">
        <v>0</v>
      </c>
      <c r="G78" s="134">
        <v>0</v>
      </c>
      <c r="H78" s="134">
        <v>0</v>
      </c>
    </row>
    <row r="79" spans="1:8" ht="14.25" customHeight="1" x14ac:dyDescent="0.3">
      <c r="A79" s="134" t="s">
        <v>117</v>
      </c>
      <c r="B79" s="134" t="s">
        <v>329</v>
      </c>
      <c r="C79" s="134">
        <v>70</v>
      </c>
      <c r="D79" s="134" t="str">
        <f t="shared" si="4"/>
        <v>1/2" Hex BB RS-775 70</v>
      </c>
      <c r="E79" s="134">
        <v>4</v>
      </c>
      <c r="F79" s="134">
        <v>0</v>
      </c>
      <c r="G79" s="134">
        <v>0</v>
      </c>
      <c r="H79" s="134">
        <v>0</v>
      </c>
    </row>
    <row r="80" spans="1:8" ht="14.25" customHeight="1" x14ac:dyDescent="0.3">
      <c r="A80" s="134" t="s">
        <v>117</v>
      </c>
      <c r="B80" s="134" t="s">
        <v>329</v>
      </c>
      <c r="C80" s="134">
        <v>81</v>
      </c>
      <c r="D80" s="134" t="str">
        <f t="shared" si="4"/>
        <v>1/2" Hex BB RS-775 81</v>
      </c>
      <c r="E80" s="134">
        <v>4</v>
      </c>
      <c r="F80" s="134">
        <v>0</v>
      </c>
      <c r="G80" s="134">
        <v>0</v>
      </c>
      <c r="H80" s="134">
        <v>0</v>
      </c>
    </row>
    <row r="81" spans="1:8" ht="14.25" customHeight="1" x14ac:dyDescent="0.3">
      <c r="A81" s="134" t="s">
        <v>117</v>
      </c>
      <c r="B81" s="134" t="s">
        <v>329</v>
      </c>
      <c r="C81" s="134">
        <v>90</v>
      </c>
      <c r="D81" s="134" t="str">
        <f t="shared" si="4"/>
        <v>1/2" Hex BB RS-775 90</v>
      </c>
      <c r="E81" s="134">
        <v>3</v>
      </c>
      <c r="F81" s="134">
        <v>0</v>
      </c>
      <c r="G81" s="134">
        <v>0</v>
      </c>
      <c r="H81" s="134">
        <v>0</v>
      </c>
    </row>
    <row r="82" spans="1:8" ht="14.25" customHeight="1" x14ac:dyDescent="0.3">
      <c r="A82" s="134" t="s">
        <v>117</v>
      </c>
      <c r="B82" s="134" t="s">
        <v>329</v>
      </c>
      <c r="C82" s="134">
        <v>100</v>
      </c>
      <c r="D82" s="134" t="str">
        <f t="shared" si="4"/>
        <v>1/2" Hex BB RS-775 100</v>
      </c>
      <c r="E82" s="134">
        <v>3</v>
      </c>
      <c r="F82" s="134">
        <v>0</v>
      </c>
      <c r="G82" s="134">
        <v>0</v>
      </c>
      <c r="H82" s="134">
        <v>0</v>
      </c>
    </row>
    <row r="83" spans="1:8" ht="14.25" customHeight="1" x14ac:dyDescent="0.3">
      <c r="A83" s="134" t="s">
        <v>117</v>
      </c>
      <c r="B83" s="134" t="s">
        <v>8</v>
      </c>
      <c r="C83" s="134">
        <v>-3</v>
      </c>
      <c r="D83" s="134" t="str">
        <f t="shared" si="4"/>
        <v>1/2" Hex BAG Motor -3</v>
      </c>
      <c r="E83" s="134">
        <v>1</v>
      </c>
      <c r="F83" s="134">
        <v>1</v>
      </c>
      <c r="G83" s="134">
        <v>1</v>
      </c>
      <c r="H83" s="134">
        <v>0</v>
      </c>
    </row>
    <row r="84" spans="1:8" ht="14.25" customHeight="1" x14ac:dyDescent="0.3">
      <c r="A84" s="134" t="s">
        <v>117</v>
      </c>
      <c r="B84" s="134" t="s">
        <v>8</v>
      </c>
      <c r="C84" s="134">
        <v>-4</v>
      </c>
      <c r="D84" s="134" t="str">
        <f t="shared" si="4"/>
        <v>1/2" Hex BAG Motor -4</v>
      </c>
      <c r="E84" s="134">
        <v>1</v>
      </c>
      <c r="F84" s="134">
        <v>1</v>
      </c>
      <c r="G84" s="134">
        <v>1</v>
      </c>
      <c r="H84" s="134">
        <v>0</v>
      </c>
    </row>
    <row r="85" spans="1:8" ht="14.25" customHeight="1" x14ac:dyDescent="0.3">
      <c r="A85" s="134" t="s">
        <v>117</v>
      </c>
      <c r="B85" s="134" t="s">
        <v>8</v>
      </c>
      <c r="C85" s="134">
        <v>-5</v>
      </c>
      <c r="D85" s="134" t="str">
        <f t="shared" si="4"/>
        <v>1/2" Hex BAG Motor -5</v>
      </c>
      <c r="E85" s="134">
        <v>1</v>
      </c>
      <c r="F85" s="134">
        <v>1</v>
      </c>
      <c r="G85" s="134">
        <v>1</v>
      </c>
      <c r="H85" s="134">
        <v>0</v>
      </c>
    </row>
    <row r="86" spans="1:8" ht="14.25" customHeight="1" x14ac:dyDescent="0.3">
      <c r="A86" s="134" t="s">
        <v>117</v>
      </c>
      <c r="B86" s="134" t="s">
        <v>8</v>
      </c>
      <c r="C86" s="134">
        <v>-7</v>
      </c>
      <c r="D86" s="134" t="str">
        <f t="shared" si="4"/>
        <v>1/2" Hex BAG Motor -7</v>
      </c>
      <c r="E86" s="134">
        <v>1</v>
      </c>
      <c r="F86" s="134">
        <v>1</v>
      </c>
      <c r="G86" s="134">
        <v>1</v>
      </c>
      <c r="H86" s="134">
        <v>0</v>
      </c>
    </row>
    <row r="87" spans="1:8" ht="14.25" customHeight="1" x14ac:dyDescent="0.3">
      <c r="A87" s="134" t="s">
        <v>117</v>
      </c>
      <c r="B87" s="134" t="s">
        <v>8</v>
      </c>
      <c r="C87" s="134">
        <v>-9</v>
      </c>
      <c r="D87" s="134" t="str">
        <f t="shared" si="4"/>
        <v>1/2" Hex BAG Motor -9</v>
      </c>
      <c r="E87" s="134">
        <v>1</v>
      </c>
      <c r="F87" s="134">
        <v>1</v>
      </c>
      <c r="G87" s="134">
        <v>0</v>
      </c>
      <c r="H87" s="134">
        <v>0</v>
      </c>
    </row>
    <row r="88" spans="1:8" ht="14.25" customHeight="1" x14ac:dyDescent="0.3">
      <c r="A88" s="134" t="s">
        <v>117</v>
      </c>
      <c r="B88" s="134" t="s">
        <v>8</v>
      </c>
      <c r="C88" s="134">
        <v>-10</v>
      </c>
      <c r="D88" s="134" t="str">
        <f t="shared" si="4"/>
        <v>1/2" Hex BAG Motor -10</v>
      </c>
      <c r="E88" s="134">
        <v>1</v>
      </c>
      <c r="F88" s="134">
        <v>1</v>
      </c>
      <c r="G88" s="134">
        <v>0</v>
      </c>
      <c r="H88" s="134">
        <v>0</v>
      </c>
    </row>
    <row r="89" spans="1:8" ht="14.25" customHeight="1" x14ac:dyDescent="0.3">
      <c r="A89" s="134" t="s">
        <v>117</v>
      </c>
      <c r="B89" s="134" t="s">
        <v>8</v>
      </c>
      <c r="C89" s="134">
        <v>9</v>
      </c>
      <c r="D89" s="134" t="str">
        <f t="shared" ref="D89:D109" si="5">A89&amp;" "&amp;B89&amp;" "&amp;C89</f>
        <v>1/2" Hex BAG Motor 9</v>
      </c>
      <c r="E89" s="134">
        <v>10</v>
      </c>
      <c r="F89" s="134">
        <v>10</v>
      </c>
      <c r="G89" s="134">
        <v>1</v>
      </c>
      <c r="H89" s="134">
        <v>0</v>
      </c>
    </row>
    <row r="90" spans="1:8" ht="14.25" customHeight="1" x14ac:dyDescent="0.3">
      <c r="A90" s="134" t="s">
        <v>117</v>
      </c>
      <c r="B90" s="134" t="s">
        <v>8</v>
      </c>
      <c r="C90" s="134">
        <v>12</v>
      </c>
      <c r="D90" s="134" t="str">
        <f t="shared" si="5"/>
        <v>1/2" Hex BAG Motor 12</v>
      </c>
      <c r="E90" s="134">
        <v>10</v>
      </c>
      <c r="F90" s="134">
        <v>9</v>
      </c>
      <c r="G90" s="134">
        <v>1</v>
      </c>
      <c r="H90" s="134">
        <v>0</v>
      </c>
    </row>
    <row r="91" spans="1:8" ht="14.25" customHeight="1" x14ac:dyDescent="0.3">
      <c r="A91" s="134" t="s">
        <v>117</v>
      </c>
      <c r="B91" s="134" t="s">
        <v>8</v>
      </c>
      <c r="C91" s="134">
        <v>15</v>
      </c>
      <c r="D91" s="134" t="str">
        <f t="shared" si="5"/>
        <v>1/2" Hex BAG Motor 15</v>
      </c>
      <c r="E91" s="134">
        <v>10</v>
      </c>
      <c r="F91" s="134">
        <v>7</v>
      </c>
      <c r="G91" s="134">
        <v>0</v>
      </c>
      <c r="H91" s="134">
        <v>0</v>
      </c>
    </row>
    <row r="92" spans="1:8" ht="14.25" customHeight="1" x14ac:dyDescent="0.3">
      <c r="A92" s="134" t="s">
        <v>117</v>
      </c>
      <c r="B92" s="134" t="s">
        <v>8</v>
      </c>
      <c r="C92" s="134">
        <v>16</v>
      </c>
      <c r="D92" s="134" t="str">
        <f t="shared" si="5"/>
        <v>1/2" Hex BAG Motor 16</v>
      </c>
      <c r="E92" s="134">
        <v>10</v>
      </c>
      <c r="F92" s="134">
        <v>5</v>
      </c>
      <c r="G92" s="134">
        <v>0</v>
      </c>
      <c r="H92" s="134">
        <v>0</v>
      </c>
    </row>
    <row r="93" spans="1:8" ht="14.25" customHeight="1" x14ac:dyDescent="0.3">
      <c r="A93" s="134" t="s">
        <v>117</v>
      </c>
      <c r="B93" s="134" t="s">
        <v>8</v>
      </c>
      <c r="C93" s="134">
        <v>20</v>
      </c>
      <c r="D93" s="134" t="str">
        <f t="shared" si="5"/>
        <v>1/2" Hex BAG Motor 20</v>
      </c>
      <c r="E93" s="134">
        <v>9</v>
      </c>
      <c r="F93" s="134">
        <v>5</v>
      </c>
      <c r="G93" s="134">
        <v>0</v>
      </c>
      <c r="H93" s="134">
        <v>0</v>
      </c>
    </row>
    <row r="94" spans="1:8" ht="14.25" customHeight="1" x14ac:dyDescent="0.3">
      <c r="A94" s="134" t="s">
        <v>117</v>
      </c>
      <c r="B94" s="134" t="s">
        <v>8</v>
      </c>
      <c r="C94" s="134">
        <v>21</v>
      </c>
      <c r="D94" s="134" t="str">
        <f t="shared" si="5"/>
        <v>1/2" Hex BAG Motor 21</v>
      </c>
      <c r="E94" s="134">
        <v>9</v>
      </c>
      <c r="F94" s="134">
        <v>5</v>
      </c>
      <c r="G94" s="134">
        <v>0</v>
      </c>
      <c r="H94" s="134">
        <v>0</v>
      </c>
    </row>
    <row r="95" spans="1:8" ht="14.25" customHeight="1" x14ac:dyDescent="0.3">
      <c r="A95" s="134" t="s">
        <v>117</v>
      </c>
      <c r="B95" s="134" t="s">
        <v>8</v>
      </c>
      <c r="C95" s="134">
        <v>25</v>
      </c>
      <c r="D95" s="134" t="str">
        <f t="shared" si="5"/>
        <v>1/2" Hex BAG Motor 25</v>
      </c>
      <c r="E95" s="134">
        <v>7</v>
      </c>
      <c r="F95" s="134">
        <v>5</v>
      </c>
      <c r="G95" s="134">
        <v>0</v>
      </c>
      <c r="H95" s="134">
        <v>0</v>
      </c>
    </row>
    <row r="96" spans="1:8" ht="14.25" customHeight="1" x14ac:dyDescent="0.3">
      <c r="A96" s="134" t="s">
        <v>117</v>
      </c>
      <c r="B96" s="134" t="s">
        <v>8</v>
      </c>
      <c r="C96" s="134">
        <v>27</v>
      </c>
      <c r="D96" s="134" t="str">
        <f t="shared" si="5"/>
        <v>1/2" Hex BAG Motor 27</v>
      </c>
      <c r="E96" s="134">
        <v>7</v>
      </c>
      <c r="F96" s="134">
        <v>5</v>
      </c>
      <c r="G96" s="134">
        <v>0</v>
      </c>
      <c r="H96" s="134">
        <v>0</v>
      </c>
    </row>
    <row r="97" spans="1:8" ht="14.25" customHeight="1" x14ac:dyDescent="0.3">
      <c r="A97" s="134" t="s">
        <v>117</v>
      </c>
      <c r="B97" s="134" t="s">
        <v>8</v>
      </c>
      <c r="C97" s="134">
        <v>28</v>
      </c>
      <c r="D97" s="134" t="str">
        <f t="shared" si="5"/>
        <v>1/2" Hex BAG Motor 28</v>
      </c>
      <c r="E97" s="134">
        <v>7</v>
      </c>
      <c r="F97" s="134">
        <v>5</v>
      </c>
      <c r="G97" s="134">
        <v>0</v>
      </c>
      <c r="H97" s="134">
        <v>0</v>
      </c>
    </row>
    <row r="98" spans="1:8" ht="14.25" customHeight="1" x14ac:dyDescent="0.3">
      <c r="A98" s="134" t="s">
        <v>117</v>
      </c>
      <c r="B98" s="134" t="s">
        <v>8</v>
      </c>
      <c r="C98" s="134">
        <v>30</v>
      </c>
      <c r="D98" s="134" t="str">
        <f t="shared" si="5"/>
        <v>1/2" Hex BAG Motor 30</v>
      </c>
      <c r="E98" s="134">
        <v>5</v>
      </c>
      <c r="F98" s="134">
        <v>5</v>
      </c>
      <c r="G98" s="134">
        <v>0</v>
      </c>
      <c r="H98" s="134">
        <v>0</v>
      </c>
    </row>
    <row r="99" spans="1:8" ht="14.25" customHeight="1" x14ac:dyDescent="0.3">
      <c r="A99" s="134" t="s">
        <v>117</v>
      </c>
      <c r="B99" s="134" t="s">
        <v>8</v>
      </c>
      <c r="C99" s="134">
        <v>35</v>
      </c>
      <c r="D99" s="134" t="str">
        <f t="shared" si="5"/>
        <v>1/2" Hex BAG Motor 35</v>
      </c>
      <c r="E99" s="134">
        <v>5</v>
      </c>
      <c r="F99" s="134">
        <v>4</v>
      </c>
      <c r="G99" s="134">
        <v>0</v>
      </c>
      <c r="H99" s="134">
        <v>0</v>
      </c>
    </row>
    <row r="100" spans="1:8" ht="14.25" customHeight="1" x14ac:dyDescent="0.3">
      <c r="A100" s="134" t="s">
        <v>117</v>
      </c>
      <c r="B100" s="134" t="s">
        <v>8</v>
      </c>
      <c r="C100" s="134">
        <v>36</v>
      </c>
      <c r="D100" s="134" t="str">
        <f t="shared" si="5"/>
        <v>1/2" Hex BAG Motor 36</v>
      </c>
      <c r="E100" s="134">
        <v>5</v>
      </c>
      <c r="F100" s="134">
        <v>4</v>
      </c>
      <c r="G100" s="134">
        <v>0</v>
      </c>
      <c r="H100" s="134">
        <v>0</v>
      </c>
    </row>
    <row r="101" spans="1:8" ht="14.25" customHeight="1" x14ac:dyDescent="0.3">
      <c r="A101" s="134" t="s">
        <v>117</v>
      </c>
      <c r="B101" s="134" t="s">
        <v>8</v>
      </c>
      <c r="C101" s="134">
        <v>40</v>
      </c>
      <c r="D101" s="134" t="str">
        <f t="shared" si="5"/>
        <v>1/2" Hex BAG Motor 40</v>
      </c>
      <c r="E101" s="134">
        <v>5</v>
      </c>
      <c r="F101" s="134">
        <v>4</v>
      </c>
      <c r="G101" s="134">
        <v>0</v>
      </c>
      <c r="H101" s="134">
        <v>0</v>
      </c>
    </row>
    <row r="102" spans="1:8" ht="14.25" customHeight="1" x14ac:dyDescent="0.3">
      <c r="A102" s="134" t="s">
        <v>117</v>
      </c>
      <c r="B102" s="134" t="s">
        <v>8</v>
      </c>
      <c r="C102" s="134">
        <v>45</v>
      </c>
      <c r="D102" s="134" t="str">
        <f t="shared" si="5"/>
        <v>1/2" Hex BAG Motor 45</v>
      </c>
      <c r="E102" s="134">
        <v>5</v>
      </c>
      <c r="F102" s="134">
        <v>3</v>
      </c>
      <c r="G102" s="134">
        <v>0</v>
      </c>
      <c r="H102" s="134">
        <v>0</v>
      </c>
    </row>
    <row r="103" spans="1:8" ht="14.25" customHeight="1" x14ac:dyDescent="0.3">
      <c r="A103" s="134" t="s">
        <v>117</v>
      </c>
      <c r="B103" s="134" t="s">
        <v>8</v>
      </c>
      <c r="C103" s="134">
        <v>49</v>
      </c>
      <c r="D103" s="134" t="str">
        <f t="shared" si="5"/>
        <v>1/2" Hex BAG Motor 49</v>
      </c>
      <c r="E103" s="134">
        <v>5</v>
      </c>
      <c r="F103" s="134">
        <v>3</v>
      </c>
      <c r="G103" s="134">
        <v>0</v>
      </c>
      <c r="H103" s="134">
        <v>0</v>
      </c>
    </row>
    <row r="104" spans="1:8" ht="14.25" customHeight="1" x14ac:dyDescent="0.3">
      <c r="A104" s="134" t="s">
        <v>117</v>
      </c>
      <c r="B104" s="134" t="s">
        <v>8</v>
      </c>
      <c r="C104" s="134">
        <v>50</v>
      </c>
      <c r="D104" s="134" t="str">
        <f t="shared" si="5"/>
        <v>1/2" Hex BAG Motor 50</v>
      </c>
      <c r="E104" s="134">
        <v>5</v>
      </c>
      <c r="F104" s="134">
        <v>3</v>
      </c>
      <c r="G104" s="134">
        <v>0</v>
      </c>
      <c r="H104" s="134">
        <v>0</v>
      </c>
    </row>
    <row r="105" spans="1:8" ht="14.25" customHeight="1" x14ac:dyDescent="0.3">
      <c r="A105" s="134" t="s">
        <v>117</v>
      </c>
      <c r="B105" s="134" t="s">
        <v>8</v>
      </c>
      <c r="C105" s="134">
        <v>63</v>
      </c>
      <c r="D105" s="134" t="str">
        <f t="shared" si="5"/>
        <v>1/2" Hex BAG Motor 63</v>
      </c>
      <c r="E105" s="134">
        <v>4</v>
      </c>
      <c r="F105" s="134">
        <v>1</v>
      </c>
      <c r="G105" s="134">
        <v>0</v>
      </c>
      <c r="H105" s="134">
        <v>0</v>
      </c>
    </row>
    <row r="106" spans="1:8" ht="14.25" customHeight="1" x14ac:dyDescent="0.3">
      <c r="A106" s="134" t="s">
        <v>117</v>
      </c>
      <c r="B106" s="134" t="s">
        <v>8</v>
      </c>
      <c r="C106" s="134">
        <v>70</v>
      </c>
      <c r="D106" s="134" t="str">
        <f t="shared" si="5"/>
        <v>1/2" Hex BAG Motor 70</v>
      </c>
      <c r="E106" s="134">
        <v>4</v>
      </c>
      <c r="F106" s="134">
        <v>1</v>
      </c>
      <c r="G106" s="134">
        <v>0</v>
      </c>
      <c r="H106" s="134">
        <v>0</v>
      </c>
    </row>
    <row r="107" spans="1:8" ht="14.25" customHeight="1" x14ac:dyDescent="0.3">
      <c r="A107" s="134" t="s">
        <v>117</v>
      </c>
      <c r="B107" s="134" t="s">
        <v>8</v>
      </c>
      <c r="C107" s="134">
        <v>81</v>
      </c>
      <c r="D107" s="134" t="str">
        <f t="shared" si="5"/>
        <v>1/2" Hex BAG Motor 81</v>
      </c>
      <c r="E107" s="134">
        <v>3</v>
      </c>
      <c r="F107" s="134">
        <v>1</v>
      </c>
      <c r="G107" s="134">
        <v>0</v>
      </c>
      <c r="H107" s="134">
        <v>0</v>
      </c>
    </row>
    <row r="108" spans="1:8" ht="14.25" customHeight="1" x14ac:dyDescent="0.3">
      <c r="A108" s="134" t="s">
        <v>117</v>
      </c>
      <c r="B108" s="134" t="s">
        <v>8</v>
      </c>
      <c r="C108" s="134">
        <v>90</v>
      </c>
      <c r="D108" s="134" t="str">
        <f t="shared" si="5"/>
        <v>1/2" Hex BAG Motor 90</v>
      </c>
      <c r="E108" s="134">
        <v>3</v>
      </c>
      <c r="F108" s="134">
        <v>1</v>
      </c>
      <c r="G108" s="134">
        <v>0</v>
      </c>
      <c r="H108" s="134">
        <v>0</v>
      </c>
    </row>
    <row r="109" spans="1:8" ht="14.25" customHeight="1" x14ac:dyDescent="0.3">
      <c r="A109" s="134" t="s">
        <v>117</v>
      </c>
      <c r="B109" s="134" t="s">
        <v>8</v>
      </c>
      <c r="C109" s="134">
        <v>100</v>
      </c>
      <c r="D109" s="134" t="str">
        <f t="shared" si="5"/>
        <v>1/2" Hex BAG Motor 100</v>
      </c>
      <c r="E109" s="134">
        <v>3</v>
      </c>
      <c r="F109" s="134">
        <v>1</v>
      </c>
      <c r="G109" s="134">
        <v>0</v>
      </c>
      <c r="H109" s="134">
        <v>0</v>
      </c>
    </row>
    <row r="110" spans="1:8" ht="14.25" customHeight="1" x14ac:dyDescent="0.3">
      <c r="A110" s="134" t="s">
        <v>117</v>
      </c>
      <c r="B110" s="134" t="s">
        <v>257</v>
      </c>
      <c r="C110" s="134">
        <v>-3</v>
      </c>
      <c r="D110" s="134" t="str">
        <f t="shared" ref="D110:D115" si="6">A110&amp;" "&amp;B110&amp;" "&amp;C110</f>
        <v>1/2" Hex 775pro -3</v>
      </c>
      <c r="E110" s="134">
        <v>1</v>
      </c>
      <c r="F110" s="134">
        <v>1</v>
      </c>
      <c r="G110" s="134">
        <v>1</v>
      </c>
      <c r="H110" s="134">
        <v>0</v>
      </c>
    </row>
    <row r="111" spans="1:8" ht="14.25" customHeight="1" x14ac:dyDescent="0.3">
      <c r="A111" s="134" t="s">
        <v>117</v>
      </c>
      <c r="B111" s="134" t="s">
        <v>257</v>
      </c>
      <c r="C111" s="134">
        <v>-4</v>
      </c>
      <c r="D111" s="134" t="str">
        <f t="shared" si="6"/>
        <v>1/2" Hex 775pro -4</v>
      </c>
      <c r="E111" s="134">
        <v>1</v>
      </c>
      <c r="F111" s="134">
        <v>1</v>
      </c>
      <c r="G111" s="134">
        <v>1</v>
      </c>
      <c r="H111" s="134">
        <v>0</v>
      </c>
    </row>
    <row r="112" spans="1:8" ht="14.25" customHeight="1" x14ac:dyDescent="0.3">
      <c r="A112" s="134" t="s">
        <v>117</v>
      </c>
      <c r="B112" s="134" t="s">
        <v>257</v>
      </c>
      <c r="C112" s="134">
        <v>-5</v>
      </c>
      <c r="D112" s="134" t="str">
        <f t="shared" si="6"/>
        <v>1/2" Hex 775pro -5</v>
      </c>
      <c r="E112" s="134">
        <v>1</v>
      </c>
      <c r="F112" s="134">
        <v>1</v>
      </c>
      <c r="G112" s="134">
        <v>1</v>
      </c>
      <c r="H112" s="134">
        <v>0</v>
      </c>
    </row>
    <row r="113" spans="1:8" ht="14.25" customHeight="1" x14ac:dyDescent="0.3">
      <c r="A113" s="134" t="s">
        <v>117</v>
      </c>
      <c r="B113" s="134" t="s">
        <v>257</v>
      </c>
      <c r="C113" s="134">
        <v>-7</v>
      </c>
      <c r="D113" s="134" t="str">
        <f t="shared" si="6"/>
        <v>1/2" Hex 775pro -7</v>
      </c>
      <c r="E113" s="134">
        <v>1</v>
      </c>
      <c r="F113" s="134">
        <v>1</v>
      </c>
      <c r="G113" s="134">
        <v>0</v>
      </c>
      <c r="H113" s="134">
        <v>0</v>
      </c>
    </row>
    <row r="114" spans="1:8" ht="14.25" customHeight="1" x14ac:dyDescent="0.3">
      <c r="A114" s="134" t="s">
        <v>117</v>
      </c>
      <c r="B114" s="134" t="s">
        <v>257</v>
      </c>
      <c r="C114" s="134">
        <v>-9</v>
      </c>
      <c r="D114" s="134" t="str">
        <f t="shared" si="6"/>
        <v>1/2" Hex 775pro -9</v>
      </c>
      <c r="E114" s="134">
        <v>1</v>
      </c>
      <c r="F114" s="134">
        <v>1</v>
      </c>
      <c r="G114" s="134">
        <v>0</v>
      </c>
      <c r="H114" s="134">
        <v>0</v>
      </c>
    </row>
    <row r="115" spans="1:8" ht="14.25" customHeight="1" x14ac:dyDescent="0.3">
      <c r="A115" s="134" t="s">
        <v>117</v>
      </c>
      <c r="B115" s="134" t="s">
        <v>257</v>
      </c>
      <c r="C115" s="134">
        <v>-10</v>
      </c>
      <c r="D115" s="134" t="str">
        <f t="shared" si="6"/>
        <v>1/2" Hex 775pro -10</v>
      </c>
      <c r="E115" s="134">
        <v>1</v>
      </c>
      <c r="F115" s="134">
        <v>1</v>
      </c>
      <c r="G115" s="134">
        <v>0</v>
      </c>
      <c r="H115" s="134">
        <v>0</v>
      </c>
    </row>
    <row r="116" spans="1:8" ht="14.25" customHeight="1" x14ac:dyDescent="0.3">
      <c r="A116" s="134" t="s">
        <v>117</v>
      </c>
      <c r="B116" s="134" t="s">
        <v>257</v>
      </c>
      <c r="C116" s="134">
        <v>9</v>
      </c>
      <c r="D116" s="134" t="str">
        <f t="shared" ref="D116:D136" si="7">A116&amp;" "&amp;B116&amp;" "&amp;C116</f>
        <v>1/2" Hex 775pro 9</v>
      </c>
      <c r="E116" s="134">
        <v>10</v>
      </c>
      <c r="F116" s="134">
        <v>7</v>
      </c>
      <c r="G116" s="134">
        <v>0</v>
      </c>
      <c r="H116" s="134">
        <v>0</v>
      </c>
    </row>
    <row r="117" spans="1:8" ht="14.25" customHeight="1" x14ac:dyDescent="0.3">
      <c r="A117" s="134" t="s">
        <v>117</v>
      </c>
      <c r="B117" s="134" t="s">
        <v>257</v>
      </c>
      <c r="C117" s="134">
        <v>12</v>
      </c>
      <c r="D117" s="134" t="str">
        <f t="shared" si="7"/>
        <v>1/2" Hex 775pro 12</v>
      </c>
      <c r="E117" s="134">
        <v>10</v>
      </c>
      <c r="F117" s="134">
        <v>5</v>
      </c>
      <c r="G117" s="134">
        <v>0</v>
      </c>
      <c r="H117" s="134">
        <v>0</v>
      </c>
    </row>
    <row r="118" spans="1:8" ht="14.25" customHeight="1" x14ac:dyDescent="0.3">
      <c r="A118" s="134" t="s">
        <v>117</v>
      </c>
      <c r="B118" s="134" t="s">
        <v>257</v>
      </c>
      <c r="C118" s="134">
        <v>15</v>
      </c>
      <c r="D118" s="134" t="str">
        <f t="shared" si="7"/>
        <v>1/2" Hex 775pro 15</v>
      </c>
      <c r="E118" s="134">
        <v>9</v>
      </c>
      <c r="F118" s="134">
        <v>5</v>
      </c>
      <c r="G118" s="134">
        <v>0</v>
      </c>
      <c r="H118" s="134">
        <v>0</v>
      </c>
    </row>
    <row r="119" spans="1:8" ht="14.25" customHeight="1" x14ac:dyDescent="0.3">
      <c r="A119" s="134" t="s">
        <v>117</v>
      </c>
      <c r="B119" s="134" t="s">
        <v>257</v>
      </c>
      <c r="C119" s="134">
        <v>16</v>
      </c>
      <c r="D119" s="134" t="str">
        <f t="shared" si="7"/>
        <v>1/2" Hex 775pro 16</v>
      </c>
      <c r="E119" s="134">
        <v>7</v>
      </c>
      <c r="F119" s="134">
        <v>5</v>
      </c>
      <c r="G119" s="134">
        <v>0</v>
      </c>
      <c r="H119" s="134">
        <v>0</v>
      </c>
    </row>
    <row r="120" spans="1:8" ht="14.25" customHeight="1" x14ac:dyDescent="0.3">
      <c r="A120" s="134" t="s">
        <v>117</v>
      </c>
      <c r="B120" s="134" t="s">
        <v>257</v>
      </c>
      <c r="C120" s="134">
        <v>20</v>
      </c>
      <c r="D120" s="134" t="str">
        <f t="shared" si="7"/>
        <v>1/2" Hex 775pro 20</v>
      </c>
      <c r="E120" s="134">
        <v>5</v>
      </c>
      <c r="F120" s="134">
        <v>5</v>
      </c>
      <c r="G120" s="134">
        <v>0</v>
      </c>
      <c r="H120" s="134">
        <v>0</v>
      </c>
    </row>
    <row r="121" spans="1:8" ht="14.25" customHeight="1" x14ac:dyDescent="0.3">
      <c r="A121" s="134" t="s">
        <v>117</v>
      </c>
      <c r="B121" s="134" t="s">
        <v>257</v>
      </c>
      <c r="C121" s="134">
        <v>21</v>
      </c>
      <c r="D121" s="134" t="str">
        <f t="shared" si="7"/>
        <v>1/2" Hex 775pro 21</v>
      </c>
      <c r="E121" s="134">
        <v>5</v>
      </c>
      <c r="F121" s="134">
        <v>5</v>
      </c>
      <c r="G121" s="134">
        <v>0</v>
      </c>
      <c r="H121" s="134">
        <v>0</v>
      </c>
    </row>
    <row r="122" spans="1:8" ht="14.25" customHeight="1" x14ac:dyDescent="0.3">
      <c r="A122" s="134" t="s">
        <v>117</v>
      </c>
      <c r="B122" s="134" t="s">
        <v>257</v>
      </c>
      <c r="C122" s="134">
        <v>25</v>
      </c>
      <c r="D122" s="134" t="str">
        <f t="shared" si="7"/>
        <v>1/2" Hex 775pro 25</v>
      </c>
      <c r="E122" s="134">
        <v>5</v>
      </c>
      <c r="F122" s="134">
        <v>4</v>
      </c>
      <c r="G122" s="134">
        <v>0</v>
      </c>
      <c r="H122" s="134">
        <v>0</v>
      </c>
    </row>
    <row r="123" spans="1:8" ht="14.25" customHeight="1" x14ac:dyDescent="0.3">
      <c r="A123" s="134" t="s">
        <v>117</v>
      </c>
      <c r="B123" s="134" t="s">
        <v>257</v>
      </c>
      <c r="C123" s="134">
        <v>27</v>
      </c>
      <c r="D123" s="134" t="str">
        <f t="shared" si="7"/>
        <v>1/2" Hex 775pro 27</v>
      </c>
      <c r="E123" s="134">
        <v>5</v>
      </c>
      <c r="F123" s="134">
        <v>4</v>
      </c>
      <c r="G123" s="134">
        <v>0</v>
      </c>
      <c r="H123" s="134">
        <v>0</v>
      </c>
    </row>
    <row r="124" spans="1:8" ht="14.25" customHeight="1" x14ac:dyDescent="0.3">
      <c r="A124" s="134" t="s">
        <v>117</v>
      </c>
      <c r="B124" s="134" t="s">
        <v>257</v>
      </c>
      <c r="C124" s="134">
        <v>28</v>
      </c>
      <c r="D124" s="134" t="str">
        <f t="shared" si="7"/>
        <v>1/2" Hex 775pro 28</v>
      </c>
      <c r="E124" s="134">
        <v>5</v>
      </c>
      <c r="F124" s="134">
        <v>3</v>
      </c>
      <c r="G124" s="134">
        <v>0</v>
      </c>
      <c r="H124" s="134">
        <v>0</v>
      </c>
    </row>
    <row r="125" spans="1:8" ht="14.25" customHeight="1" x14ac:dyDescent="0.3">
      <c r="A125" s="134" t="s">
        <v>117</v>
      </c>
      <c r="B125" s="134" t="s">
        <v>257</v>
      </c>
      <c r="C125" s="134">
        <v>30</v>
      </c>
      <c r="D125" s="134" t="str">
        <f t="shared" si="7"/>
        <v>1/2" Hex 775pro 30</v>
      </c>
      <c r="E125" s="134">
        <v>5</v>
      </c>
      <c r="F125" s="134">
        <v>3</v>
      </c>
      <c r="G125" s="134">
        <v>0</v>
      </c>
      <c r="H125" s="134">
        <v>0</v>
      </c>
    </row>
    <row r="126" spans="1:8" ht="14.25" customHeight="1" x14ac:dyDescent="0.3">
      <c r="A126" s="134" t="s">
        <v>117</v>
      </c>
      <c r="B126" s="134" t="s">
        <v>257</v>
      </c>
      <c r="C126" s="134">
        <v>35</v>
      </c>
      <c r="D126" s="134" t="str">
        <f t="shared" si="7"/>
        <v>1/2" Hex 775pro 35</v>
      </c>
      <c r="E126" s="134">
        <v>5</v>
      </c>
      <c r="F126" s="134">
        <v>3</v>
      </c>
      <c r="G126" s="134">
        <v>0</v>
      </c>
      <c r="H126" s="134">
        <v>0</v>
      </c>
    </row>
    <row r="127" spans="1:8" ht="14.25" customHeight="1" x14ac:dyDescent="0.3">
      <c r="A127" s="134" t="s">
        <v>117</v>
      </c>
      <c r="B127" s="134" t="s">
        <v>257</v>
      </c>
      <c r="C127" s="134">
        <v>36</v>
      </c>
      <c r="D127" s="134" t="str">
        <f t="shared" si="7"/>
        <v>1/2" Hex 775pro 36</v>
      </c>
      <c r="E127" s="134">
        <v>5</v>
      </c>
      <c r="F127" s="134">
        <v>3</v>
      </c>
      <c r="G127" s="134">
        <v>0</v>
      </c>
      <c r="H127" s="134">
        <v>0</v>
      </c>
    </row>
    <row r="128" spans="1:8" ht="14.25" customHeight="1" x14ac:dyDescent="0.3">
      <c r="A128" s="134" t="s">
        <v>117</v>
      </c>
      <c r="B128" s="134" t="s">
        <v>257</v>
      </c>
      <c r="C128" s="134">
        <v>40</v>
      </c>
      <c r="D128" s="134" t="str">
        <f t="shared" si="7"/>
        <v>1/2" Hex 775pro 40</v>
      </c>
      <c r="E128" s="134">
        <v>5</v>
      </c>
      <c r="F128" s="134">
        <v>1</v>
      </c>
      <c r="G128" s="134">
        <v>0</v>
      </c>
      <c r="H128" s="134">
        <v>0</v>
      </c>
    </row>
    <row r="129" spans="1:9" ht="14.25" customHeight="1" x14ac:dyDescent="0.3">
      <c r="A129" s="134" t="s">
        <v>117</v>
      </c>
      <c r="B129" s="134" t="s">
        <v>257</v>
      </c>
      <c r="C129" s="134">
        <v>45</v>
      </c>
      <c r="D129" s="134" t="str">
        <f t="shared" si="7"/>
        <v>1/2" Hex 775pro 45</v>
      </c>
      <c r="E129" s="134">
        <v>4</v>
      </c>
      <c r="F129" s="134">
        <v>1</v>
      </c>
      <c r="G129" s="134">
        <v>0</v>
      </c>
      <c r="H129" s="134">
        <v>0</v>
      </c>
    </row>
    <row r="130" spans="1:9" ht="14.25" customHeight="1" x14ac:dyDescent="0.3">
      <c r="A130" s="134" t="s">
        <v>117</v>
      </c>
      <c r="B130" s="134" t="s">
        <v>257</v>
      </c>
      <c r="C130" s="134">
        <v>49</v>
      </c>
      <c r="D130" s="134" t="str">
        <f t="shared" si="7"/>
        <v>1/2" Hex 775pro 49</v>
      </c>
      <c r="E130" s="134">
        <v>4</v>
      </c>
      <c r="F130" s="134">
        <v>1</v>
      </c>
      <c r="G130" s="134">
        <v>0</v>
      </c>
      <c r="H130" s="134">
        <v>0</v>
      </c>
    </row>
    <row r="131" spans="1:9" ht="14.25" customHeight="1" x14ac:dyDescent="0.3">
      <c r="A131" s="134" t="s">
        <v>117</v>
      </c>
      <c r="B131" s="134" t="s">
        <v>257</v>
      </c>
      <c r="C131" s="134">
        <v>50</v>
      </c>
      <c r="D131" s="134" t="str">
        <f t="shared" si="7"/>
        <v>1/2" Hex 775pro 50</v>
      </c>
      <c r="E131" s="134">
        <v>4</v>
      </c>
      <c r="F131" s="134">
        <v>1</v>
      </c>
      <c r="G131" s="134">
        <v>0</v>
      </c>
      <c r="H131" s="134">
        <v>0</v>
      </c>
    </row>
    <row r="132" spans="1:9" ht="14.25" customHeight="1" x14ac:dyDescent="0.3">
      <c r="A132" s="134" t="s">
        <v>117</v>
      </c>
      <c r="B132" s="134" t="s">
        <v>257</v>
      </c>
      <c r="C132" s="134">
        <v>63</v>
      </c>
      <c r="D132" s="134" t="str">
        <f t="shared" si="7"/>
        <v>1/2" Hex 775pro 63</v>
      </c>
      <c r="E132" s="134">
        <v>3</v>
      </c>
      <c r="F132" s="134">
        <v>1</v>
      </c>
      <c r="G132" s="134">
        <v>0</v>
      </c>
      <c r="H132" s="134">
        <v>0</v>
      </c>
    </row>
    <row r="133" spans="1:9" ht="14.25" customHeight="1" x14ac:dyDescent="0.3">
      <c r="A133" s="134" t="s">
        <v>117</v>
      </c>
      <c r="B133" s="134" t="s">
        <v>257</v>
      </c>
      <c r="C133" s="134">
        <v>70</v>
      </c>
      <c r="D133" s="134" t="str">
        <f t="shared" si="7"/>
        <v>1/2" Hex 775pro 70</v>
      </c>
      <c r="E133" s="134">
        <v>3</v>
      </c>
      <c r="F133" s="134">
        <v>0</v>
      </c>
      <c r="G133" s="134">
        <v>0</v>
      </c>
      <c r="H133" s="134">
        <v>0</v>
      </c>
    </row>
    <row r="134" spans="1:9" ht="14.25" customHeight="1" x14ac:dyDescent="0.3">
      <c r="A134" s="134" t="s">
        <v>117</v>
      </c>
      <c r="B134" s="134" t="s">
        <v>257</v>
      </c>
      <c r="C134" s="134">
        <v>81</v>
      </c>
      <c r="D134" s="134" t="str">
        <f t="shared" si="7"/>
        <v>1/2" Hex 775pro 81</v>
      </c>
      <c r="E134" s="134">
        <v>1</v>
      </c>
      <c r="F134" s="134">
        <v>0</v>
      </c>
      <c r="G134" s="134">
        <v>0</v>
      </c>
      <c r="H134" s="134">
        <v>0</v>
      </c>
    </row>
    <row r="135" spans="1:9" ht="14.25" customHeight="1" x14ac:dyDescent="0.3">
      <c r="A135" s="134" t="s">
        <v>117</v>
      </c>
      <c r="B135" s="134" t="s">
        <v>257</v>
      </c>
      <c r="C135" s="134">
        <v>90</v>
      </c>
      <c r="D135" s="134" t="str">
        <f t="shared" si="7"/>
        <v>1/2" Hex 775pro 90</v>
      </c>
      <c r="E135" s="134">
        <v>1</v>
      </c>
      <c r="F135" s="134">
        <v>0</v>
      </c>
      <c r="G135" s="134">
        <v>0</v>
      </c>
      <c r="H135" s="134">
        <v>0</v>
      </c>
    </row>
    <row r="136" spans="1:9" ht="14.25" customHeight="1" x14ac:dyDescent="0.3">
      <c r="A136" s="134" t="s">
        <v>117</v>
      </c>
      <c r="B136" s="134" t="s">
        <v>257</v>
      </c>
      <c r="C136" s="134">
        <v>100</v>
      </c>
      <c r="D136" s="134" t="str">
        <f t="shared" si="7"/>
        <v>1/2" Hex 775pro 100</v>
      </c>
      <c r="E136" s="134">
        <v>1</v>
      </c>
      <c r="F136" s="134">
        <v>0</v>
      </c>
      <c r="G136" s="134">
        <v>0</v>
      </c>
      <c r="H136" s="134">
        <v>0</v>
      </c>
    </row>
    <row r="137" spans="1:9" ht="14.25" customHeight="1" x14ac:dyDescent="0.3">
      <c r="A137" s="134" t="s">
        <v>117</v>
      </c>
      <c r="B137" s="134" t="s">
        <v>7</v>
      </c>
      <c r="C137" s="134">
        <v>-3</v>
      </c>
      <c r="D137" s="134" t="str">
        <f t="shared" ref="D137:D142" si="8">A137&amp;" "&amp;B137&amp;" "&amp;C137</f>
        <v>1/2" Hex Mini CIM -3</v>
      </c>
      <c r="E137" s="134">
        <v>1</v>
      </c>
      <c r="I137" s="134">
        <v>0</v>
      </c>
    </row>
    <row r="138" spans="1:9" ht="14.25" customHeight="1" x14ac:dyDescent="0.3">
      <c r="A138" s="134" t="s">
        <v>117</v>
      </c>
      <c r="B138" s="134" t="s">
        <v>7</v>
      </c>
      <c r="C138" s="134">
        <v>-4</v>
      </c>
      <c r="D138" s="134" t="str">
        <f t="shared" si="8"/>
        <v>1/2" Hex Mini CIM -4</v>
      </c>
      <c r="E138" s="134">
        <v>1</v>
      </c>
      <c r="I138" s="134">
        <v>0</v>
      </c>
    </row>
    <row r="139" spans="1:9" ht="14.25" customHeight="1" x14ac:dyDescent="0.3">
      <c r="A139" s="134" t="s">
        <v>117</v>
      </c>
      <c r="B139" s="134" t="s">
        <v>7</v>
      </c>
      <c r="C139" s="134">
        <v>-5</v>
      </c>
      <c r="D139" s="134" t="str">
        <f t="shared" si="8"/>
        <v>1/2" Hex Mini CIM -5</v>
      </c>
      <c r="E139" s="134">
        <v>1</v>
      </c>
      <c r="I139" s="134">
        <v>0</v>
      </c>
    </row>
    <row r="140" spans="1:9" ht="14.25" customHeight="1" x14ac:dyDescent="0.3">
      <c r="A140" s="134" t="s">
        <v>117</v>
      </c>
      <c r="B140" s="134" t="s">
        <v>7</v>
      </c>
      <c r="C140" s="134">
        <v>-7</v>
      </c>
      <c r="D140" s="134" t="str">
        <f t="shared" si="8"/>
        <v>1/2" Hex Mini CIM -7</v>
      </c>
      <c r="E140" s="134">
        <v>1</v>
      </c>
      <c r="I140" s="134">
        <v>0</v>
      </c>
    </row>
    <row r="141" spans="1:9" ht="14.25" customHeight="1" x14ac:dyDescent="0.3">
      <c r="A141" s="134" t="s">
        <v>117</v>
      </c>
      <c r="B141" s="134" t="s">
        <v>7</v>
      </c>
      <c r="C141" s="134">
        <v>-9</v>
      </c>
      <c r="D141" s="134" t="str">
        <f t="shared" si="8"/>
        <v>1/2" Hex Mini CIM -9</v>
      </c>
      <c r="E141" s="134">
        <v>1</v>
      </c>
      <c r="I141" s="134">
        <v>0</v>
      </c>
    </row>
    <row r="142" spans="1:9" ht="14.25" customHeight="1" x14ac:dyDescent="0.3">
      <c r="A142" s="134" t="s">
        <v>117</v>
      </c>
      <c r="B142" s="134" t="s">
        <v>7</v>
      </c>
      <c r="C142" s="134">
        <v>-10</v>
      </c>
      <c r="D142" s="134" t="str">
        <f t="shared" si="8"/>
        <v>1/2" Hex Mini CIM -10</v>
      </c>
      <c r="E142" s="134">
        <v>1</v>
      </c>
      <c r="I142" s="134">
        <v>0</v>
      </c>
    </row>
    <row r="143" spans="1:9" ht="14.25" customHeight="1" x14ac:dyDescent="0.3">
      <c r="A143" s="134" t="s">
        <v>117</v>
      </c>
      <c r="B143" s="134" t="s">
        <v>7</v>
      </c>
      <c r="C143" s="134">
        <v>9</v>
      </c>
      <c r="D143" s="134" t="str">
        <f t="shared" ref="D143:D163" si="9">A143&amp;" "&amp;B143&amp;" "&amp;C143</f>
        <v>1/2" Hex Mini CIM 9</v>
      </c>
      <c r="E143" s="134">
        <v>7</v>
      </c>
      <c r="I143" s="134">
        <v>0</v>
      </c>
    </row>
    <row r="144" spans="1:9" ht="14.25" customHeight="1" x14ac:dyDescent="0.3">
      <c r="A144" s="134" t="s">
        <v>117</v>
      </c>
      <c r="B144" s="134" t="s">
        <v>7</v>
      </c>
      <c r="C144" s="134">
        <v>12</v>
      </c>
      <c r="D144" s="134" t="str">
        <f t="shared" si="9"/>
        <v>1/2" Hex Mini CIM 12</v>
      </c>
      <c r="E144" s="134">
        <v>5</v>
      </c>
      <c r="I144" s="134">
        <v>0</v>
      </c>
    </row>
    <row r="145" spans="1:9" ht="14.25" customHeight="1" x14ac:dyDescent="0.3">
      <c r="A145" s="134" t="s">
        <v>117</v>
      </c>
      <c r="B145" s="134" t="s">
        <v>7</v>
      </c>
      <c r="C145" s="134">
        <v>15</v>
      </c>
      <c r="D145" s="134" t="str">
        <f t="shared" si="9"/>
        <v>1/2" Hex Mini CIM 15</v>
      </c>
      <c r="E145" s="134">
        <v>5</v>
      </c>
      <c r="I145" s="134">
        <v>0</v>
      </c>
    </row>
    <row r="146" spans="1:9" ht="14.25" customHeight="1" x14ac:dyDescent="0.3">
      <c r="A146" s="134" t="s">
        <v>117</v>
      </c>
      <c r="B146" s="134" t="s">
        <v>7</v>
      </c>
      <c r="C146" s="134">
        <v>16</v>
      </c>
      <c r="D146" s="134" t="str">
        <f t="shared" si="9"/>
        <v>1/2" Hex Mini CIM 16</v>
      </c>
      <c r="E146" s="134">
        <v>5</v>
      </c>
      <c r="I146" s="134">
        <v>0</v>
      </c>
    </row>
    <row r="147" spans="1:9" ht="14.25" customHeight="1" x14ac:dyDescent="0.3">
      <c r="A147" s="134" t="s">
        <v>117</v>
      </c>
      <c r="B147" s="134" t="s">
        <v>7</v>
      </c>
      <c r="C147" s="134">
        <v>20</v>
      </c>
      <c r="D147" s="134" t="str">
        <f t="shared" si="9"/>
        <v>1/2" Hex Mini CIM 20</v>
      </c>
      <c r="E147" s="134">
        <v>5</v>
      </c>
      <c r="I147" s="134">
        <v>0</v>
      </c>
    </row>
    <row r="148" spans="1:9" ht="14.25" customHeight="1" x14ac:dyDescent="0.3">
      <c r="A148" s="134" t="s">
        <v>117</v>
      </c>
      <c r="B148" s="134" t="s">
        <v>7</v>
      </c>
      <c r="C148" s="134">
        <v>21</v>
      </c>
      <c r="D148" s="134" t="str">
        <f t="shared" si="9"/>
        <v>1/2" Hex Mini CIM 21</v>
      </c>
      <c r="E148" s="134">
        <v>5</v>
      </c>
      <c r="I148" s="134">
        <v>0</v>
      </c>
    </row>
    <row r="149" spans="1:9" ht="14.25" customHeight="1" x14ac:dyDescent="0.3">
      <c r="A149" s="134" t="s">
        <v>117</v>
      </c>
      <c r="B149" s="134" t="s">
        <v>7</v>
      </c>
      <c r="C149" s="134">
        <v>25</v>
      </c>
      <c r="D149" s="134" t="str">
        <f t="shared" si="9"/>
        <v>1/2" Hex Mini CIM 25</v>
      </c>
      <c r="E149" s="134">
        <v>4</v>
      </c>
      <c r="I149" s="134">
        <v>0</v>
      </c>
    </row>
    <row r="150" spans="1:9" ht="14.25" customHeight="1" x14ac:dyDescent="0.3">
      <c r="A150" s="134" t="s">
        <v>117</v>
      </c>
      <c r="B150" s="134" t="s">
        <v>7</v>
      </c>
      <c r="C150" s="134">
        <v>27</v>
      </c>
      <c r="D150" s="134" t="str">
        <f t="shared" si="9"/>
        <v>1/2" Hex Mini CIM 27</v>
      </c>
      <c r="E150" s="134">
        <v>4</v>
      </c>
      <c r="I150" s="134">
        <v>0</v>
      </c>
    </row>
    <row r="151" spans="1:9" ht="14.25" customHeight="1" x14ac:dyDescent="0.3">
      <c r="A151" s="134" t="s">
        <v>117</v>
      </c>
      <c r="B151" s="134" t="s">
        <v>7</v>
      </c>
      <c r="C151" s="134">
        <v>28</v>
      </c>
      <c r="D151" s="134" t="str">
        <f t="shared" si="9"/>
        <v>1/2" Hex Mini CIM 28</v>
      </c>
      <c r="E151" s="134">
        <v>3</v>
      </c>
      <c r="I151" s="134">
        <v>0</v>
      </c>
    </row>
    <row r="152" spans="1:9" ht="14.25" customHeight="1" x14ac:dyDescent="0.3">
      <c r="A152" s="134" t="s">
        <v>117</v>
      </c>
      <c r="B152" s="134" t="s">
        <v>7</v>
      </c>
      <c r="C152" s="134">
        <v>30</v>
      </c>
      <c r="D152" s="134" t="str">
        <f t="shared" si="9"/>
        <v>1/2" Hex Mini CIM 30</v>
      </c>
      <c r="E152" s="134">
        <v>3</v>
      </c>
      <c r="I152" s="134">
        <v>0</v>
      </c>
    </row>
    <row r="153" spans="1:9" ht="14.25" customHeight="1" x14ac:dyDescent="0.3">
      <c r="A153" s="134" t="s">
        <v>117</v>
      </c>
      <c r="B153" s="134" t="s">
        <v>7</v>
      </c>
      <c r="C153" s="134">
        <v>35</v>
      </c>
      <c r="D153" s="134" t="str">
        <f t="shared" si="9"/>
        <v>1/2" Hex Mini CIM 35</v>
      </c>
      <c r="E153" s="134">
        <v>3</v>
      </c>
      <c r="I153" s="134">
        <v>0</v>
      </c>
    </row>
    <row r="154" spans="1:9" ht="14.25" customHeight="1" x14ac:dyDescent="0.3">
      <c r="A154" s="134" t="s">
        <v>117</v>
      </c>
      <c r="B154" s="134" t="s">
        <v>7</v>
      </c>
      <c r="C154" s="134">
        <v>36</v>
      </c>
      <c r="D154" s="134" t="str">
        <f t="shared" si="9"/>
        <v>1/2" Hex Mini CIM 36</v>
      </c>
      <c r="E154" s="134">
        <v>3</v>
      </c>
      <c r="I154" s="134">
        <v>0</v>
      </c>
    </row>
    <row r="155" spans="1:9" ht="14.25" customHeight="1" x14ac:dyDescent="0.3">
      <c r="A155" s="134" t="s">
        <v>117</v>
      </c>
      <c r="B155" s="134" t="s">
        <v>7</v>
      </c>
      <c r="C155" s="134">
        <v>40</v>
      </c>
      <c r="D155" s="134" t="str">
        <f t="shared" si="9"/>
        <v>1/2" Hex Mini CIM 40</v>
      </c>
      <c r="E155" s="134">
        <v>1</v>
      </c>
      <c r="I155" s="134">
        <v>0</v>
      </c>
    </row>
    <row r="156" spans="1:9" ht="14.25" customHeight="1" x14ac:dyDescent="0.3">
      <c r="A156" s="134" t="s">
        <v>117</v>
      </c>
      <c r="B156" s="134" t="s">
        <v>7</v>
      </c>
      <c r="C156" s="134">
        <v>45</v>
      </c>
      <c r="D156" s="134" t="str">
        <f t="shared" si="9"/>
        <v>1/2" Hex Mini CIM 45</v>
      </c>
      <c r="E156" s="134">
        <v>1</v>
      </c>
      <c r="I156" s="134">
        <v>0</v>
      </c>
    </row>
    <row r="157" spans="1:9" ht="14.25" customHeight="1" x14ac:dyDescent="0.3">
      <c r="A157" s="134" t="s">
        <v>117</v>
      </c>
      <c r="B157" s="134" t="s">
        <v>7</v>
      </c>
      <c r="C157" s="134">
        <v>49</v>
      </c>
      <c r="D157" s="134" t="str">
        <f t="shared" si="9"/>
        <v>1/2" Hex Mini CIM 49</v>
      </c>
      <c r="E157" s="134">
        <v>1</v>
      </c>
      <c r="I157" s="134">
        <v>0</v>
      </c>
    </row>
    <row r="158" spans="1:9" ht="14.25" customHeight="1" x14ac:dyDescent="0.3">
      <c r="A158" s="134" t="s">
        <v>117</v>
      </c>
      <c r="B158" s="134" t="s">
        <v>7</v>
      </c>
      <c r="C158" s="134">
        <v>50</v>
      </c>
      <c r="D158" s="134" t="str">
        <f t="shared" si="9"/>
        <v>1/2" Hex Mini CIM 50</v>
      </c>
      <c r="E158" s="134">
        <v>1</v>
      </c>
      <c r="I158" s="134">
        <v>0</v>
      </c>
    </row>
    <row r="159" spans="1:9" ht="14.25" customHeight="1" x14ac:dyDescent="0.3">
      <c r="A159" s="134" t="s">
        <v>117</v>
      </c>
      <c r="B159" s="134" t="s">
        <v>7</v>
      </c>
      <c r="C159" s="134">
        <v>63</v>
      </c>
      <c r="D159" s="134" t="str">
        <f t="shared" si="9"/>
        <v>1/2" Hex Mini CIM 63</v>
      </c>
      <c r="E159" s="134">
        <v>1</v>
      </c>
      <c r="I159" s="134">
        <v>0</v>
      </c>
    </row>
    <row r="160" spans="1:9" ht="14.25" customHeight="1" x14ac:dyDescent="0.3">
      <c r="A160" s="134" t="s">
        <v>117</v>
      </c>
      <c r="B160" s="134" t="s">
        <v>7</v>
      </c>
      <c r="C160" s="134">
        <v>70</v>
      </c>
      <c r="D160" s="134" t="str">
        <f t="shared" si="9"/>
        <v>1/2" Hex Mini CIM 70</v>
      </c>
      <c r="E160" s="134">
        <v>0</v>
      </c>
      <c r="I160" s="134">
        <v>0</v>
      </c>
    </row>
    <row r="161" spans="1:9" ht="14.25" customHeight="1" x14ac:dyDescent="0.3">
      <c r="A161" s="134" t="s">
        <v>117</v>
      </c>
      <c r="B161" s="134" t="s">
        <v>7</v>
      </c>
      <c r="C161" s="134">
        <v>81</v>
      </c>
      <c r="D161" s="134" t="str">
        <f t="shared" si="9"/>
        <v>1/2" Hex Mini CIM 81</v>
      </c>
      <c r="E161" s="134">
        <v>0</v>
      </c>
      <c r="I161" s="134">
        <v>0</v>
      </c>
    </row>
    <row r="162" spans="1:9" ht="14.25" customHeight="1" x14ac:dyDescent="0.3">
      <c r="A162" s="134" t="s">
        <v>117</v>
      </c>
      <c r="B162" s="134" t="s">
        <v>7</v>
      </c>
      <c r="C162" s="134">
        <v>90</v>
      </c>
      <c r="D162" s="134" t="str">
        <f t="shared" si="9"/>
        <v>1/2" Hex Mini CIM 90</v>
      </c>
      <c r="E162" s="134">
        <v>0</v>
      </c>
      <c r="I162" s="134">
        <v>0</v>
      </c>
    </row>
    <row r="163" spans="1:9" ht="14.25" customHeight="1" x14ac:dyDescent="0.3">
      <c r="A163" s="134" t="s">
        <v>117</v>
      </c>
      <c r="B163" s="134" t="s">
        <v>7</v>
      </c>
      <c r="C163" s="134">
        <v>100</v>
      </c>
      <c r="D163" s="134" t="str">
        <f t="shared" si="9"/>
        <v>1/2" Hex Mini CIM 100</v>
      </c>
      <c r="E163" s="134">
        <v>0</v>
      </c>
      <c r="I163" s="134">
        <v>0</v>
      </c>
    </row>
    <row r="164" spans="1:9" ht="14.25" customHeight="1" x14ac:dyDescent="0.3">
      <c r="A164" s="134" t="s">
        <v>117</v>
      </c>
      <c r="B164" s="134" t="s">
        <v>6</v>
      </c>
      <c r="C164" s="134">
        <v>-3</v>
      </c>
      <c r="D164" s="134" t="str">
        <f t="shared" ref="D164:D169" si="10">A164&amp;" "&amp;B164&amp;" "&amp;C164</f>
        <v>1/2" Hex CIM -3</v>
      </c>
      <c r="E164" s="134">
        <v>1</v>
      </c>
      <c r="I164" s="134">
        <v>0</v>
      </c>
    </row>
    <row r="165" spans="1:9" ht="14.25" customHeight="1" x14ac:dyDescent="0.3">
      <c r="A165" s="134" t="s">
        <v>117</v>
      </c>
      <c r="B165" s="134" t="s">
        <v>6</v>
      </c>
      <c r="C165" s="134">
        <v>-4</v>
      </c>
      <c r="D165" s="134" t="str">
        <f t="shared" si="10"/>
        <v>1/2" Hex CIM -4</v>
      </c>
      <c r="E165" s="134">
        <v>1</v>
      </c>
      <c r="I165" s="134">
        <v>0</v>
      </c>
    </row>
    <row r="166" spans="1:9" ht="14.25" customHeight="1" x14ac:dyDescent="0.3">
      <c r="A166" s="134" t="s">
        <v>117</v>
      </c>
      <c r="B166" s="134" t="s">
        <v>6</v>
      </c>
      <c r="C166" s="134">
        <v>-5</v>
      </c>
      <c r="D166" s="134" t="str">
        <f t="shared" si="10"/>
        <v>1/2" Hex CIM -5</v>
      </c>
      <c r="E166" s="134">
        <v>1</v>
      </c>
      <c r="I166" s="134">
        <v>0</v>
      </c>
    </row>
    <row r="167" spans="1:9" ht="14.25" customHeight="1" x14ac:dyDescent="0.3">
      <c r="A167" s="134" t="s">
        <v>117</v>
      </c>
      <c r="B167" s="134" t="s">
        <v>6</v>
      </c>
      <c r="C167" s="134">
        <v>-7</v>
      </c>
      <c r="D167" s="134" t="str">
        <f t="shared" si="10"/>
        <v>1/2" Hex CIM -7</v>
      </c>
      <c r="E167" s="134">
        <v>1</v>
      </c>
      <c r="I167" s="134">
        <v>0</v>
      </c>
    </row>
    <row r="168" spans="1:9" ht="14.25" customHeight="1" x14ac:dyDescent="0.3">
      <c r="A168" s="134" t="s">
        <v>117</v>
      </c>
      <c r="B168" s="134" t="s">
        <v>6</v>
      </c>
      <c r="C168" s="134">
        <v>-9</v>
      </c>
      <c r="D168" s="134" t="str">
        <f t="shared" si="10"/>
        <v>1/2" Hex CIM -9</v>
      </c>
      <c r="E168" s="134">
        <v>1</v>
      </c>
      <c r="I168" s="134">
        <v>0</v>
      </c>
    </row>
    <row r="169" spans="1:9" ht="14.25" customHeight="1" x14ac:dyDescent="0.3">
      <c r="A169" s="134" t="s">
        <v>117</v>
      </c>
      <c r="B169" s="134" t="s">
        <v>6</v>
      </c>
      <c r="C169" s="134">
        <v>-10</v>
      </c>
      <c r="D169" s="134" t="str">
        <f t="shared" si="10"/>
        <v>1/2" Hex CIM -10</v>
      </c>
      <c r="E169" s="134">
        <v>1</v>
      </c>
      <c r="I169" s="134">
        <v>0</v>
      </c>
    </row>
    <row r="170" spans="1:9" ht="14.25" customHeight="1" x14ac:dyDescent="0.3">
      <c r="A170" s="134" t="s">
        <v>117</v>
      </c>
      <c r="B170" s="134" t="s">
        <v>6</v>
      </c>
      <c r="C170" s="134">
        <v>9</v>
      </c>
      <c r="D170" s="134" t="str">
        <f t="shared" ref="D170:D190" si="11">A170&amp;" "&amp;B170&amp;" "&amp;C170</f>
        <v>1/2" Hex CIM 9</v>
      </c>
      <c r="E170" s="134">
        <v>5</v>
      </c>
      <c r="I170" s="134">
        <v>0</v>
      </c>
    </row>
    <row r="171" spans="1:9" ht="14.25" customHeight="1" x14ac:dyDescent="0.3">
      <c r="A171" s="134" t="s">
        <v>117</v>
      </c>
      <c r="B171" s="134" t="s">
        <v>6</v>
      </c>
      <c r="C171" s="134">
        <v>12</v>
      </c>
      <c r="D171" s="134" t="str">
        <f t="shared" si="11"/>
        <v>1/2" Hex CIM 12</v>
      </c>
      <c r="E171" s="134">
        <v>5</v>
      </c>
      <c r="I171" s="134">
        <v>0</v>
      </c>
    </row>
    <row r="172" spans="1:9" ht="14.25" customHeight="1" x14ac:dyDescent="0.3">
      <c r="A172" s="134" t="s">
        <v>117</v>
      </c>
      <c r="B172" s="134" t="s">
        <v>6</v>
      </c>
      <c r="C172" s="134">
        <v>15</v>
      </c>
      <c r="D172" s="134" t="str">
        <f t="shared" si="11"/>
        <v>1/2" Hex CIM 15</v>
      </c>
      <c r="E172" s="134">
        <v>4</v>
      </c>
      <c r="I172" s="134">
        <v>0</v>
      </c>
    </row>
    <row r="173" spans="1:9" ht="14.25" customHeight="1" x14ac:dyDescent="0.3">
      <c r="A173" s="134" t="s">
        <v>117</v>
      </c>
      <c r="B173" s="134" t="s">
        <v>6</v>
      </c>
      <c r="C173" s="134">
        <v>16</v>
      </c>
      <c r="D173" s="134" t="str">
        <f t="shared" si="11"/>
        <v>1/2" Hex CIM 16</v>
      </c>
      <c r="E173" s="134">
        <v>4</v>
      </c>
      <c r="I173" s="134">
        <v>0</v>
      </c>
    </row>
    <row r="174" spans="1:9" ht="14.25" customHeight="1" x14ac:dyDescent="0.3">
      <c r="A174" s="134" t="s">
        <v>117</v>
      </c>
      <c r="B174" s="134" t="s">
        <v>6</v>
      </c>
      <c r="C174" s="134">
        <v>20</v>
      </c>
      <c r="D174" s="134" t="str">
        <f t="shared" si="11"/>
        <v>1/2" Hex CIM 20</v>
      </c>
      <c r="E174" s="134">
        <v>3</v>
      </c>
      <c r="I174" s="134">
        <v>0</v>
      </c>
    </row>
    <row r="175" spans="1:9" ht="14.25" customHeight="1" x14ac:dyDescent="0.3">
      <c r="A175" s="134" t="s">
        <v>117</v>
      </c>
      <c r="B175" s="134" t="s">
        <v>6</v>
      </c>
      <c r="C175" s="134">
        <v>21</v>
      </c>
      <c r="D175" s="134" t="str">
        <f t="shared" si="11"/>
        <v>1/2" Hex CIM 21</v>
      </c>
      <c r="E175" s="134">
        <v>3</v>
      </c>
      <c r="I175" s="134">
        <v>0</v>
      </c>
    </row>
    <row r="176" spans="1:9" ht="14.25" customHeight="1" x14ac:dyDescent="0.3">
      <c r="A176" s="134" t="s">
        <v>117</v>
      </c>
      <c r="B176" s="134" t="s">
        <v>6</v>
      </c>
      <c r="C176" s="134">
        <v>25</v>
      </c>
      <c r="D176" s="134" t="str">
        <f t="shared" si="11"/>
        <v>1/2" Hex CIM 25</v>
      </c>
      <c r="E176" s="134">
        <v>1</v>
      </c>
      <c r="I176" s="134">
        <v>0</v>
      </c>
    </row>
    <row r="177" spans="1:9" ht="14.25" customHeight="1" x14ac:dyDescent="0.3">
      <c r="A177" s="134" t="s">
        <v>117</v>
      </c>
      <c r="B177" s="134" t="s">
        <v>6</v>
      </c>
      <c r="C177" s="134">
        <v>27</v>
      </c>
      <c r="D177" s="134" t="str">
        <f t="shared" si="11"/>
        <v>1/2" Hex CIM 27</v>
      </c>
      <c r="E177" s="134">
        <v>1</v>
      </c>
      <c r="I177" s="134">
        <v>0</v>
      </c>
    </row>
    <row r="178" spans="1:9" ht="14.25" customHeight="1" x14ac:dyDescent="0.3">
      <c r="A178" s="134" t="s">
        <v>117</v>
      </c>
      <c r="B178" s="134" t="s">
        <v>6</v>
      </c>
      <c r="C178" s="134">
        <v>28</v>
      </c>
      <c r="D178" s="134" t="str">
        <f t="shared" si="11"/>
        <v>1/2" Hex CIM 28</v>
      </c>
      <c r="E178" s="134">
        <v>1</v>
      </c>
      <c r="I178" s="134">
        <v>0</v>
      </c>
    </row>
    <row r="179" spans="1:9" ht="14.25" customHeight="1" x14ac:dyDescent="0.3">
      <c r="A179" s="134" t="s">
        <v>117</v>
      </c>
      <c r="B179" s="134" t="s">
        <v>6</v>
      </c>
      <c r="C179" s="134">
        <v>30</v>
      </c>
      <c r="D179" s="134" t="str">
        <f t="shared" si="11"/>
        <v>1/2" Hex CIM 30</v>
      </c>
      <c r="E179" s="134">
        <v>1</v>
      </c>
      <c r="I179" s="134">
        <v>0</v>
      </c>
    </row>
    <row r="180" spans="1:9" ht="14.25" customHeight="1" x14ac:dyDescent="0.3">
      <c r="A180" s="134" t="s">
        <v>117</v>
      </c>
      <c r="B180" s="134" t="s">
        <v>6</v>
      </c>
      <c r="C180" s="134">
        <v>35</v>
      </c>
      <c r="D180" s="134" t="str">
        <f t="shared" si="11"/>
        <v>1/2" Hex CIM 35</v>
      </c>
      <c r="E180" s="134">
        <v>1</v>
      </c>
      <c r="I180" s="134">
        <v>0</v>
      </c>
    </row>
    <row r="181" spans="1:9" ht="14.25" customHeight="1" x14ac:dyDescent="0.3">
      <c r="A181" s="134" t="s">
        <v>117</v>
      </c>
      <c r="B181" s="134" t="s">
        <v>6</v>
      </c>
      <c r="C181" s="134">
        <v>36</v>
      </c>
      <c r="D181" s="134" t="str">
        <f t="shared" si="11"/>
        <v>1/2" Hex CIM 36</v>
      </c>
      <c r="E181" s="134">
        <v>1</v>
      </c>
      <c r="I181" s="134">
        <v>0</v>
      </c>
    </row>
    <row r="182" spans="1:9" ht="14.25" customHeight="1" x14ac:dyDescent="0.3">
      <c r="A182" s="134" t="s">
        <v>117</v>
      </c>
      <c r="B182" s="134" t="s">
        <v>6</v>
      </c>
      <c r="C182" s="134">
        <v>40</v>
      </c>
      <c r="D182" s="134" t="str">
        <f t="shared" si="11"/>
        <v>1/2" Hex CIM 40</v>
      </c>
      <c r="E182" s="134">
        <v>1</v>
      </c>
      <c r="I182" s="134">
        <v>0</v>
      </c>
    </row>
    <row r="183" spans="1:9" ht="14.25" customHeight="1" x14ac:dyDescent="0.3">
      <c r="A183" s="134" t="s">
        <v>117</v>
      </c>
      <c r="B183" s="134" t="s">
        <v>6</v>
      </c>
      <c r="C183" s="134">
        <v>45</v>
      </c>
      <c r="D183" s="134" t="str">
        <f t="shared" si="11"/>
        <v>1/2" Hex CIM 45</v>
      </c>
      <c r="E183" s="134">
        <v>1</v>
      </c>
      <c r="I183" s="134">
        <v>0</v>
      </c>
    </row>
    <row r="184" spans="1:9" ht="14.25" customHeight="1" x14ac:dyDescent="0.3">
      <c r="A184" s="134" t="s">
        <v>117</v>
      </c>
      <c r="B184" s="134" t="s">
        <v>6</v>
      </c>
      <c r="C184" s="134">
        <v>49</v>
      </c>
      <c r="D184" s="134" t="str">
        <f t="shared" si="11"/>
        <v>1/2" Hex CIM 49</v>
      </c>
      <c r="E184" s="134">
        <v>0</v>
      </c>
      <c r="I184" s="134">
        <v>0</v>
      </c>
    </row>
    <row r="185" spans="1:9" ht="14.25" customHeight="1" x14ac:dyDescent="0.3">
      <c r="A185" s="134" t="s">
        <v>117</v>
      </c>
      <c r="B185" s="134" t="s">
        <v>6</v>
      </c>
      <c r="C185" s="134">
        <v>50</v>
      </c>
      <c r="D185" s="134" t="str">
        <f t="shared" si="11"/>
        <v>1/2" Hex CIM 50</v>
      </c>
      <c r="E185" s="134">
        <v>1</v>
      </c>
      <c r="I185" s="134">
        <v>0</v>
      </c>
    </row>
    <row r="186" spans="1:9" ht="14.25" customHeight="1" x14ac:dyDescent="0.3">
      <c r="A186" s="134" t="s">
        <v>117</v>
      </c>
      <c r="B186" s="134" t="s">
        <v>6</v>
      </c>
      <c r="C186" s="134">
        <v>63</v>
      </c>
      <c r="D186" s="134" t="str">
        <f t="shared" si="11"/>
        <v>1/2" Hex CIM 63</v>
      </c>
      <c r="E186" s="134">
        <v>0</v>
      </c>
      <c r="I186" s="134">
        <v>0</v>
      </c>
    </row>
    <row r="187" spans="1:9" ht="14.25" customHeight="1" x14ac:dyDescent="0.3">
      <c r="A187" s="134" t="s">
        <v>117</v>
      </c>
      <c r="B187" s="134" t="s">
        <v>6</v>
      </c>
      <c r="C187" s="134">
        <v>70</v>
      </c>
      <c r="D187" s="134" t="str">
        <f t="shared" si="11"/>
        <v>1/2" Hex CIM 70</v>
      </c>
      <c r="E187" s="134">
        <v>0</v>
      </c>
      <c r="I187" s="134">
        <v>0</v>
      </c>
    </row>
    <row r="188" spans="1:9" ht="14.25" customHeight="1" x14ac:dyDescent="0.3">
      <c r="A188" s="134" t="s">
        <v>117</v>
      </c>
      <c r="B188" s="134" t="s">
        <v>6</v>
      </c>
      <c r="C188" s="134">
        <v>81</v>
      </c>
      <c r="D188" s="134" t="str">
        <f t="shared" si="11"/>
        <v>1/2" Hex CIM 81</v>
      </c>
      <c r="E188" s="134">
        <v>0</v>
      </c>
      <c r="I188" s="134">
        <v>0</v>
      </c>
    </row>
    <row r="189" spans="1:9" ht="14.25" customHeight="1" x14ac:dyDescent="0.3">
      <c r="A189" s="134" t="s">
        <v>117</v>
      </c>
      <c r="B189" s="134" t="s">
        <v>6</v>
      </c>
      <c r="C189" s="134">
        <v>90</v>
      </c>
      <c r="D189" s="134" t="str">
        <f t="shared" si="11"/>
        <v>1/2" Hex CIM 90</v>
      </c>
      <c r="E189" s="134">
        <v>0</v>
      </c>
      <c r="I189" s="134">
        <v>0</v>
      </c>
    </row>
    <row r="190" spans="1:9" ht="14.25" customHeight="1" x14ac:dyDescent="0.3">
      <c r="A190" s="134" t="s">
        <v>117</v>
      </c>
      <c r="B190" s="134" t="s">
        <v>6</v>
      </c>
      <c r="C190" s="134">
        <v>100</v>
      </c>
      <c r="D190" s="134" t="str">
        <f t="shared" si="11"/>
        <v>1/2" Hex CIM 100</v>
      </c>
      <c r="E190" s="134">
        <v>0</v>
      </c>
      <c r="I190" s="134">
        <v>0</v>
      </c>
    </row>
    <row r="191" spans="1:9" ht="14.25" customHeight="1" x14ac:dyDescent="0.3">
      <c r="A191" s="134" t="s">
        <v>117</v>
      </c>
      <c r="B191" s="134" t="s">
        <v>9</v>
      </c>
      <c r="C191" s="134">
        <v>-3</v>
      </c>
      <c r="D191" s="134" t="str">
        <f t="shared" ref="D191:D196" si="12">A191&amp;" "&amp;B191&amp;" "&amp;C191</f>
        <v>1/2" Hex NEO -3</v>
      </c>
      <c r="E191" s="134">
        <v>1</v>
      </c>
      <c r="I191" s="134">
        <v>0</v>
      </c>
    </row>
    <row r="192" spans="1:9" ht="14.25" customHeight="1" x14ac:dyDescent="0.3">
      <c r="A192" s="134" t="s">
        <v>117</v>
      </c>
      <c r="B192" s="134" t="s">
        <v>9</v>
      </c>
      <c r="C192" s="134">
        <v>-4</v>
      </c>
      <c r="D192" s="134" t="str">
        <f t="shared" si="12"/>
        <v>1/2" Hex NEO -4</v>
      </c>
      <c r="E192" s="134">
        <v>1</v>
      </c>
      <c r="I192" s="134">
        <v>0</v>
      </c>
    </row>
    <row r="193" spans="1:9" ht="14.25" customHeight="1" x14ac:dyDescent="0.3">
      <c r="A193" s="134" t="s">
        <v>117</v>
      </c>
      <c r="B193" s="134" t="s">
        <v>9</v>
      </c>
      <c r="C193" s="134">
        <v>-5</v>
      </c>
      <c r="D193" s="134" t="str">
        <f t="shared" si="12"/>
        <v>1/2" Hex NEO -5</v>
      </c>
      <c r="E193" s="134">
        <v>1</v>
      </c>
      <c r="I193" s="134">
        <v>0</v>
      </c>
    </row>
    <row r="194" spans="1:9" ht="14.25" customHeight="1" x14ac:dyDescent="0.3">
      <c r="A194" s="134" t="s">
        <v>117</v>
      </c>
      <c r="B194" s="134" t="s">
        <v>9</v>
      </c>
      <c r="C194" s="134">
        <v>-7</v>
      </c>
      <c r="D194" s="134" t="str">
        <f t="shared" si="12"/>
        <v>1/2" Hex NEO -7</v>
      </c>
      <c r="E194" s="134">
        <v>1</v>
      </c>
      <c r="I194" s="134">
        <v>0</v>
      </c>
    </row>
    <row r="195" spans="1:9" ht="14.25" customHeight="1" x14ac:dyDescent="0.3">
      <c r="A195" s="134" t="s">
        <v>117</v>
      </c>
      <c r="B195" s="134" t="s">
        <v>9</v>
      </c>
      <c r="C195" s="134">
        <v>-9</v>
      </c>
      <c r="D195" s="134" t="str">
        <f t="shared" si="12"/>
        <v>1/2" Hex NEO -9</v>
      </c>
      <c r="E195" s="134">
        <v>1</v>
      </c>
      <c r="I195" s="134">
        <v>0</v>
      </c>
    </row>
    <row r="196" spans="1:9" ht="14.25" customHeight="1" x14ac:dyDescent="0.3">
      <c r="A196" s="134" t="s">
        <v>117</v>
      </c>
      <c r="B196" s="134" t="s">
        <v>9</v>
      </c>
      <c r="C196" s="134">
        <v>-10</v>
      </c>
      <c r="D196" s="134" t="str">
        <f t="shared" si="12"/>
        <v>1/2" Hex NEO -10</v>
      </c>
      <c r="E196" s="134">
        <v>1</v>
      </c>
      <c r="I196" s="134">
        <v>0</v>
      </c>
    </row>
    <row r="197" spans="1:9" ht="14.25" customHeight="1" x14ac:dyDescent="0.3">
      <c r="A197" s="134" t="s">
        <v>117</v>
      </c>
      <c r="B197" s="134" t="s">
        <v>9</v>
      </c>
      <c r="C197" s="134">
        <v>9</v>
      </c>
      <c r="D197" s="134" t="str">
        <f t="shared" ref="D197:D217" si="13">A197&amp;" "&amp;B197&amp;" "&amp;C197</f>
        <v>1/2" Hex NEO 9</v>
      </c>
      <c r="E197" s="134">
        <v>5</v>
      </c>
      <c r="I197" s="134">
        <v>0</v>
      </c>
    </row>
    <row r="198" spans="1:9" ht="14.25" customHeight="1" x14ac:dyDescent="0.3">
      <c r="A198" s="134" t="s">
        <v>117</v>
      </c>
      <c r="B198" s="134" t="s">
        <v>9</v>
      </c>
      <c r="C198" s="134">
        <v>12</v>
      </c>
      <c r="D198" s="134" t="str">
        <f t="shared" si="13"/>
        <v>1/2" Hex NEO 12</v>
      </c>
      <c r="E198" s="134">
        <v>3</v>
      </c>
      <c r="I198" s="134">
        <v>0</v>
      </c>
    </row>
    <row r="199" spans="1:9" ht="14.25" customHeight="1" x14ac:dyDescent="0.3">
      <c r="A199" s="134" t="s">
        <v>117</v>
      </c>
      <c r="B199" s="134" t="s">
        <v>9</v>
      </c>
      <c r="C199" s="134">
        <v>15</v>
      </c>
      <c r="D199" s="134" t="str">
        <f t="shared" si="13"/>
        <v>1/2" Hex NEO 15</v>
      </c>
      <c r="E199" s="134">
        <v>3</v>
      </c>
      <c r="I199" s="134">
        <v>0</v>
      </c>
    </row>
    <row r="200" spans="1:9" ht="14.25" customHeight="1" x14ac:dyDescent="0.3">
      <c r="A200" s="134" t="s">
        <v>117</v>
      </c>
      <c r="B200" s="134" t="s">
        <v>9</v>
      </c>
      <c r="C200" s="134">
        <v>16</v>
      </c>
      <c r="D200" s="134" t="str">
        <f t="shared" si="13"/>
        <v>1/2" Hex NEO 16</v>
      </c>
      <c r="E200" s="134">
        <v>1</v>
      </c>
      <c r="I200" s="134">
        <v>0</v>
      </c>
    </row>
    <row r="201" spans="1:9" ht="14.25" customHeight="1" x14ac:dyDescent="0.3">
      <c r="A201" s="134" t="s">
        <v>117</v>
      </c>
      <c r="B201" s="134" t="s">
        <v>9</v>
      </c>
      <c r="C201" s="134">
        <v>20</v>
      </c>
      <c r="D201" s="134" t="str">
        <f t="shared" si="13"/>
        <v>1/2" Hex NEO 20</v>
      </c>
      <c r="E201" s="134">
        <v>1</v>
      </c>
      <c r="I201" s="134">
        <v>0</v>
      </c>
    </row>
    <row r="202" spans="1:9" ht="14.25" customHeight="1" x14ac:dyDescent="0.3">
      <c r="A202" s="134" t="s">
        <v>117</v>
      </c>
      <c r="B202" s="134" t="s">
        <v>9</v>
      </c>
      <c r="C202" s="134">
        <v>21</v>
      </c>
      <c r="D202" s="134" t="str">
        <f t="shared" si="13"/>
        <v>1/2" Hex NEO 21</v>
      </c>
      <c r="E202" s="134">
        <v>1</v>
      </c>
      <c r="I202" s="134">
        <v>0</v>
      </c>
    </row>
    <row r="203" spans="1:9" ht="14.25" customHeight="1" x14ac:dyDescent="0.3">
      <c r="A203" s="134" t="s">
        <v>117</v>
      </c>
      <c r="B203" s="134" t="s">
        <v>9</v>
      </c>
      <c r="C203" s="134">
        <v>25</v>
      </c>
      <c r="D203" s="134" t="str">
        <f t="shared" si="13"/>
        <v>1/2" Hex NEO 25</v>
      </c>
      <c r="E203" s="134">
        <v>1</v>
      </c>
      <c r="I203" s="134">
        <v>0</v>
      </c>
    </row>
    <row r="204" spans="1:9" ht="14.25" customHeight="1" x14ac:dyDescent="0.3">
      <c r="A204" s="134" t="s">
        <v>117</v>
      </c>
      <c r="B204" s="134" t="s">
        <v>9</v>
      </c>
      <c r="C204" s="134">
        <v>27</v>
      </c>
      <c r="D204" s="134" t="str">
        <f t="shared" si="13"/>
        <v>1/2" Hex NEO 27</v>
      </c>
      <c r="E204" s="134">
        <v>1</v>
      </c>
      <c r="I204" s="134">
        <v>0</v>
      </c>
    </row>
    <row r="205" spans="1:9" ht="14.25" customHeight="1" x14ac:dyDescent="0.3">
      <c r="A205" s="134" t="s">
        <v>117</v>
      </c>
      <c r="B205" s="134" t="s">
        <v>9</v>
      </c>
      <c r="C205" s="134">
        <v>28</v>
      </c>
      <c r="D205" s="134" t="str">
        <f t="shared" si="13"/>
        <v>1/2" Hex NEO 28</v>
      </c>
      <c r="E205" s="134">
        <v>1</v>
      </c>
      <c r="I205" s="134">
        <v>0</v>
      </c>
    </row>
    <row r="206" spans="1:9" ht="14.25" customHeight="1" x14ac:dyDescent="0.3">
      <c r="A206" s="134" t="s">
        <v>117</v>
      </c>
      <c r="B206" s="134" t="s">
        <v>9</v>
      </c>
      <c r="C206" s="134">
        <v>30</v>
      </c>
      <c r="D206" s="134" t="str">
        <f t="shared" si="13"/>
        <v>1/2" Hex NEO 30</v>
      </c>
      <c r="E206" s="134">
        <v>1</v>
      </c>
      <c r="I206" s="134">
        <v>0</v>
      </c>
    </row>
    <row r="207" spans="1:9" ht="14.25" customHeight="1" x14ac:dyDescent="0.3">
      <c r="A207" s="134" t="s">
        <v>117</v>
      </c>
      <c r="B207" s="134" t="s">
        <v>9</v>
      </c>
      <c r="C207" s="134">
        <v>35</v>
      </c>
      <c r="D207" s="134" t="str">
        <f t="shared" si="13"/>
        <v>1/2" Hex NEO 35</v>
      </c>
      <c r="E207" s="134">
        <v>1</v>
      </c>
      <c r="I207" s="134">
        <v>0</v>
      </c>
    </row>
    <row r="208" spans="1:9" ht="14.25" customHeight="1" x14ac:dyDescent="0.3">
      <c r="A208" s="134" t="s">
        <v>117</v>
      </c>
      <c r="B208" s="134" t="s">
        <v>9</v>
      </c>
      <c r="C208" s="134">
        <v>36</v>
      </c>
      <c r="D208" s="134" t="str">
        <f t="shared" si="13"/>
        <v>1/2" Hex NEO 36</v>
      </c>
      <c r="E208" s="134">
        <v>1</v>
      </c>
      <c r="I208" s="134">
        <v>0</v>
      </c>
    </row>
    <row r="209" spans="1:9" ht="14.25" customHeight="1" x14ac:dyDescent="0.3">
      <c r="A209" s="134" t="s">
        <v>117</v>
      </c>
      <c r="B209" s="134" t="s">
        <v>9</v>
      </c>
      <c r="C209" s="134">
        <v>40</v>
      </c>
      <c r="D209" s="134" t="str">
        <f t="shared" si="13"/>
        <v>1/2" Hex NEO 40</v>
      </c>
      <c r="E209" s="134">
        <v>1</v>
      </c>
      <c r="I209" s="134">
        <v>0</v>
      </c>
    </row>
    <row r="210" spans="1:9" ht="14.25" customHeight="1" x14ac:dyDescent="0.3">
      <c r="A210" s="134" t="s">
        <v>117</v>
      </c>
      <c r="B210" s="134" t="s">
        <v>9</v>
      </c>
      <c r="C210" s="134">
        <v>45</v>
      </c>
      <c r="D210" s="134" t="str">
        <f t="shared" si="13"/>
        <v>1/2" Hex NEO 45</v>
      </c>
      <c r="E210" s="134">
        <v>1</v>
      </c>
      <c r="I210" s="134">
        <v>0</v>
      </c>
    </row>
    <row r="211" spans="1:9" ht="14.25" customHeight="1" x14ac:dyDescent="0.3">
      <c r="A211" s="134" t="s">
        <v>117</v>
      </c>
      <c r="B211" s="134" t="s">
        <v>9</v>
      </c>
      <c r="C211" s="134">
        <v>49</v>
      </c>
      <c r="D211" s="134" t="str">
        <f t="shared" si="13"/>
        <v>1/2" Hex NEO 49</v>
      </c>
      <c r="E211" s="134">
        <v>0</v>
      </c>
      <c r="I211" s="134">
        <v>0</v>
      </c>
    </row>
    <row r="212" spans="1:9" ht="14.25" customHeight="1" x14ac:dyDescent="0.3">
      <c r="A212" s="134" t="s">
        <v>117</v>
      </c>
      <c r="B212" s="134" t="s">
        <v>9</v>
      </c>
      <c r="C212" s="134">
        <v>50</v>
      </c>
      <c r="D212" s="134" t="str">
        <f t="shared" si="13"/>
        <v>1/2" Hex NEO 50</v>
      </c>
      <c r="E212" s="134">
        <v>0</v>
      </c>
      <c r="I212" s="134">
        <v>0</v>
      </c>
    </row>
    <row r="213" spans="1:9" ht="14.25" customHeight="1" x14ac:dyDescent="0.3">
      <c r="A213" s="134" t="s">
        <v>117</v>
      </c>
      <c r="B213" s="134" t="s">
        <v>9</v>
      </c>
      <c r="C213" s="134">
        <v>63</v>
      </c>
      <c r="D213" s="134" t="str">
        <f t="shared" si="13"/>
        <v>1/2" Hex NEO 63</v>
      </c>
      <c r="E213" s="134">
        <v>0</v>
      </c>
      <c r="I213" s="134">
        <v>0</v>
      </c>
    </row>
    <row r="214" spans="1:9" ht="14.25" customHeight="1" x14ac:dyDescent="0.3">
      <c r="A214" s="134" t="s">
        <v>117</v>
      </c>
      <c r="B214" s="134" t="s">
        <v>9</v>
      </c>
      <c r="C214" s="134">
        <v>70</v>
      </c>
      <c r="D214" s="134" t="str">
        <f t="shared" si="13"/>
        <v>1/2" Hex NEO 70</v>
      </c>
      <c r="E214" s="134">
        <v>0</v>
      </c>
      <c r="I214" s="134">
        <v>0</v>
      </c>
    </row>
    <row r="215" spans="1:9" ht="14.25" customHeight="1" x14ac:dyDescent="0.3">
      <c r="A215" s="134" t="s">
        <v>117</v>
      </c>
      <c r="B215" s="134" t="s">
        <v>9</v>
      </c>
      <c r="C215" s="134">
        <v>81</v>
      </c>
      <c r="D215" s="134" t="str">
        <f t="shared" si="13"/>
        <v>1/2" Hex NEO 81</v>
      </c>
      <c r="E215" s="134">
        <v>0</v>
      </c>
      <c r="I215" s="134">
        <v>0</v>
      </c>
    </row>
    <row r="216" spans="1:9" ht="14.25" customHeight="1" x14ac:dyDescent="0.3">
      <c r="A216" s="134" t="s">
        <v>117</v>
      </c>
      <c r="B216" s="134" t="s">
        <v>9</v>
      </c>
      <c r="C216" s="134">
        <v>90</v>
      </c>
      <c r="D216" s="134" t="str">
        <f t="shared" si="13"/>
        <v>1/2" Hex NEO 90</v>
      </c>
      <c r="E216" s="134">
        <v>0</v>
      </c>
      <c r="I216" s="134">
        <v>0</v>
      </c>
    </row>
    <row r="217" spans="1:9" ht="14.25" customHeight="1" x14ac:dyDescent="0.3">
      <c r="A217" s="134" t="s">
        <v>117</v>
      </c>
      <c r="B217" s="134" t="s">
        <v>9</v>
      </c>
      <c r="C217" s="134">
        <v>100</v>
      </c>
      <c r="D217" s="134" t="str">
        <f t="shared" si="13"/>
        <v>1/2" Hex NEO 100</v>
      </c>
      <c r="E217" s="134">
        <v>0</v>
      </c>
      <c r="I217" s="134">
        <v>0</v>
      </c>
    </row>
    <row r="218" spans="1:9" ht="14.25" customHeight="1" x14ac:dyDescent="0.3">
      <c r="A218" s="134" t="s">
        <v>117</v>
      </c>
      <c r="B218" s="134" t="s">
        <v>337</v>
      </c>
      <c r="C218" s="134">
        <v>-3</v>
      </c>
      <c r="D218" s="134" t="str">
        <f t="shared" ref="D218:D223" si="14">A218&amp;" "&amp;B218&amp;" "&amp;C218</f>
        <v>1/2" Hex Falcon 500 -3</v>
      </c>
      <c r="E218" s="134">
        <v>1</v>
      </c>
      <c r="I218" s="134">
        <v>0</v>
      </c>
    </row>
    <row r="219" spans="1:9" ht="14.25" customHeight="1" x14ac:dyDescent="0.3">
      <c r="A219" s="134" t="s">
        <v>117</v>
      </c>
      <c r="B219" s="134" t="s">
        <v>337</v>
      </c>
      <c r="C219" s="134">
        <v>-4</v>
      </c>
      <c r="D219" s="134" t="str">
        <f t="shared" si="14"/>
        <v>1/2" Hex Falcon 500 -4</v>
      </c>
      <c r="E219" s="134">
        <v>1</v>
      </c>
      <c r="I219" s="134">
        <v>0</v>
      </c>
    </row>
    <row r="220" spans="1:9" ht="14.25" customHeight="1" x14ac:dyDescent="0.3">
      <c r="A220" s="134" t="s">
        <v>117</v>
      </c>
      <c r="B220" s="134" t="s">
        <v>337</v>
      </c>
      <c r="C220" s="134">
        <v>-5</v>
      </c>
      <c r="D220" s="134" t="str">
        <f t="shared" si="14"/>
        <v>1/2" Hex Falcon 500 -5</v>
      </c>
      <c r="E220" s="134">
        <v>1</v>
      </c>
      <c r="I220" s="134">
        <v>0</v>
      </c>
    </row>
    <row r="221" spans="1:9" ht="14.25" customHeight="1" x14ac:dyDescent="0.3">
      <c r="A221" s="134" t="s">
        <v>117</v>
      </c>
      <c r="B221" s="134" t="s">
        <v>337</v>
      </c>
      <c r="C221" s="134">
        <v>-7</v>
      </c>
      <c r="D221" s="134" t="str">
        <f t="shared" si="14"/>
        <v>1/2" Hex Falcon 500 -7</v>
      </c>
      <c r="E221" s="134">
        <v>1</v>
      </c>
      <c r="I221" s="134">
        <v>0</v>
      </c>
    </row>
    <row r="222" spans="1:9" ht="14.25" customHeight="1" x14ac:dyDescent="0.3">
      <c r="A222" s="134" t="s">
        <v>117</v>
      </c>
      <c r="B222" s="134" t="s">
        <v>337</v>
      </c>
      <c r="C222" s="134">
        <v>-9</v>
      </c>
      <c r="D222" s="134" t="str">
        <f t="shared" si="14"/>
        <v>1/2" Hex Falcon 500 -9</v>
      </c>
      <c r="E222" s="134">
        <v>1</v>
      </c>
      <c r="I222" s="134">
        <v>0</v>
      </c>
    </row>
    <row r="223" spans="1:9" ht="14.25" customHeight="1" x14ac:dyDescent="0.3">
      <c r="A223" s="134" t="s">
        <v>117</v>
      </c>
      <c r="B223" s="134" t="s">
        <v>337</v>
      </c>
      <c r="C223" s="134">
        <v>-10</v>
      </c>
      <c r="D223" s="134" t="str">
        <f t="shared" si="14"/>
        <v>1/2" Hex Falcon 500 -10</v>
      </c>
      <c r="E223" s="134">
        <v>1</v>
      </c>
      <c r="I223" s="134">
        <v>0</v>
      </c>
    </row>
    <row r="224" spans="1:9" ht="14.25" customHeight="1" x14ac:dyDescent="0.3">
      <c r="A224" s="134" t="s">
        <v>117</v>
      </c>
      <c r="B224" s="134" t="s">
        <v>337</v>
      </c>
      <c r="C224" s="134">
        <v>9</v>
      </c>
      <c r="D224" s="134" t="str">
        <f t="shared" ref="D224:D244" si="15">A224&amp;" "&amp;B224&amp;" "&amp;C224</f>
        <v>1/2" Hex Falcon 500 9</v>
      </c>
      <c r="E224" s="134">
        <v>3</v>
      </c>
      <c r="I224" s="134">
        <v>0</v>
      </c>
    </row>
    <row r="225" spans="1:9" ht="14.25" customHeight="1" x14ac:dyDescent="0.3">
      <c r="A225" s="134" t="s">
        <v>117</v>
      </c>
      <c r="B225" s="134" t="s">
        <v>337</v>
      </c>
      <c r="C225" s="134">
        <v>12</v>
      </c>
      <c r="D225" s="134" t="str">
        <f t="shared" si="15"/>
        <v>1/2" Hex Falcon 500 12</v>
      </c>
      <c r="E225" s="134">
        <v>1</v>
      </c>
      <c r="I225" s="134">
        <v>0</v>
      </c>
    </row>
    <row r="226" spans="1:9" ht="14.25" customHeight="1" x14ac:dyDescent="0.3">
      <c r="A226" s="134" t="s">
        <v>117</v>
      </c>
      <c r="B226" s="134" t="s">
        <v>337</v>
      </c>
      <c r="C226" s="134">
        <v>15</v>
      </c>
      <c r="D226" s="134" t="str">
        <f t="shared" si="15"/>
        <v>1/2" Hex Falcon 500 15</v>
      </c>
      <c r="E226" s="134">
        <v>1</v>
      </c>
      <c r="I226" s="134">
        <v>0</v>
      </c>
    </row>
    <row r="227" spans="1:9" ht="14.25" customHeight="1" x14ac:dyDescent="0.3">
      <c r="A227" s="134" t="s">
        <v>117</v>
      </c>
      <c r="B227" s="134" t="s">
        <v>337</v>
      </c>
      <c r="C227" s="134">
        <v>16</v>
      </c>
      <c r="D227" s="134" t="str">
        <f t="shared" si="15"/>
        <v>1/2" Hex Falcon 500 16</v>
      </c>
      <c r="E227" s="134">
        <v>1</v>
      </c>
      <c r="I227" s="134">
        <v>0</v>
      </c>
    </row>
    <row r="228" spans="1:9" ht="14.25" customHeight="1" x14ac:dyDescent="0.3">
      <c r="A228" s="134" t="s">
        <v>117</v>
      </c>
      <c r="B228" s="134" t="s">
        <v>337</v>
      </c>
      <c r="C228" s="134">
        <v>20</v>
      </c>
      <c r="D228" s="134" t="str">
        <f t="shared" si="15"/>
        <v>1/2" Hex Falcon 500 20</v>
      </c>
      <c r="E228" s="134">
        <v>1</v>
      </c>
      <c r="I228" s="134">
        <v>0</v>
      </c>
    </row>
    <row r="229" spans="1:9" ht="14.25" customHeight="1" x14ac:dyDescent="0.3">
      <c r="A229" s="134" t="s">
        <v>117</v>
      </c>
      <c r="B229" s="134" t="s">
        <v>337</v>
      </c>
      <c r="C229" s="134">
        <v>21</v>
      </c>
      <c r="D229" s="134" t="str">
        <f t="shared" si="15"/>
        <v>1/2" Hex Falcon 500 21</v>
      </c>
      <c r="E229" s="134">
        <v>1</v>
      </c>
      <c r="I229" s="134">
        <v>0</v>
      </c>
    </row>
    <row r="230" spans="1:9" ht="14.25" customHeight="1" x14ac:dyDescent="0.3">
      <c r="A230" s="134" t="s">
        <v>117</v>
      </c>
      <c r="B230" s="134" t="s">
        <v>337</v>
      </c>
      <c r="C230" s="134">
        <v>25</v>
      </c>
      <c r="D230" s="134" t="str">
        <f t="shared" si="15"/>
        <v>1/2" Hex Falcon 500 25</v>
      </c>
      <c r="E230" s="134">
        <v>1</v>
      </c>
      <c r="I230" s="134">
        <v>0</v>
      </c>
    </row>
    <row r="231" spans="1:9" ht="14.25" customHeight="1" x14ac:dyDescent="0.3">
      <c r="A231" s="134" t="s">
        <v>117</v>
      </c>
      <c r="B231" s="134" t="s">
        <v>337</v>
      </c>
      <c r="C231" s="134">
        <v>27</v>
      </c>
      <c r="D231" s="134" t="str">
        <f t="shared" si="15"/>
        <v>1/2" Hex Falcon 500 27</v>
      </c>
      <c r="E231" s="134">
        <v>1</v>
      </c>
      <c r="I231" s="134">
        <v>0</v>
      </c>
    </row>
    <row r="232" spans="1:9" ht="14.25" customHeight="1" x14ac:dyDescent="0.3">
      <c r="A232" s="134" t="s">
        <v>117</v>
      </c>
      <c r="B232" s="134" t="s">
        <v>337</v>
      </c>
      <c r="C232" s="134">
        <v>28</v>
      </c>
      <c r="D232" s="134" t="str">
        <f t="shared" si="15"/>
        <v>1/2" Hex Falcon 500 28</v>
      </c>
      <c r="E232" s="134">
        <v>1</v>
      </c>
      <c r="I232" s="134">
        <v>0</v>
      </c>
    </row>
    <row r="233" spans="1:9" ht="14.25" customHeight="1" x14ac:dyDescent="0.3">
      <c r="A233" s="134" t="s">
        <v>117</v>
      </c>
      <c r="B233" s="134" t="s">
        <v>337</v>
      </c>
      <c r="C233" s="134">
        <v>30</v>
      </c>
      <c r="D233" s="134" t="str">
        <f t="shared" si="15"/>
        <v>1/2" Hex Falcon 500 30</v>
      </c>
      <c r="E233" s="134">
        <v>1</v>
      </c>
      <c r="I233" s="134">
        <v>0</v>
      </c>
    </row>
    <row r="234" spans="1:9" ht="14.25" customHeight="1" x14ac:dyDescent="0.3">
      <c r="A234" s="134" t="s">
        <v>117</v>
      </c>
      <c r="B234" s="134" t="s">
        <v>337</v>
      </c>
      <c r="C234" s="134">
        <v>35</v>
      </c>
      <c r="D234" s="134" t="str">
        <f t="shared" si="15"/>
        <v>1/2" Hex Falcon 500 35</v>
      </c>
      <c r="E234" s="134">
        <v>0</v>
      </c>
      <c r="I234" s="134">
        <v>0</v>
      </c>
    </row>
    <row r="235" spans="1:9" ht="14.25" customHeight="1" x14ac:dyDescent="0.3">
      <c r="A235" s="134" t="s">
        <v>117</v>
      </c>
      <c r="B235" s="134" t="s">
        <v>337</v>
      </c>
      <c r="C235" s="134">
        <v>36</v>
      </c>
      <c r="D235" s="134" t="str">
        <f t="shared" si="15"/>
        <v>1/2" Hex Falcon 500 36</v>
      </c>
      <c r="E235" s="134">
        <v>0</v>
      </c>
      <c r="I235" s="134">
        <v>0</v>
      </c>
    </row>
    <row r="236" spans="1:9" ht="14.25" customHeight="1" x14ac:dyDescent="0.3">
      <c r="A236" s="134" t="s">
        <v>117</v>
      </c>
      <c r="B236" s="134" t="s">
        <v>337</v>
      </c>
      <c r="C236" s="134">
        <v>40</v>
      </c>
      <c r="D236" s="134" t="str">
        <f t="shared" si="15"/>
        <v>1/2" Hex Falcon 500 40</v>
      </c>
      <c r="E236" s="134">
        <v>0</v>
      </c>
      <c r="I236" s="134">
        <v>0</v>
      </c>
    </row>
    <row r="237" spans="1:9" ht="14.25" customHeight="1" x14ac:dyDescent="0.3">
      <c r="A237" s="134" t="s">
        <v>117</v>
      </c>
      <c r="B237" s="134" t="s">
        <v>337</v>
      </c>
      <c r="C237" s="134">
        <v>45</v>
      </c>
      <c r="D237" s="134" t="str">
        <f t="shared" si="15"/>
        <v>1/2" Hex Falcon 500 45</v>
      </c>
      <c r="E237" s="134">
        <v>0</v>
      </c>
      <c r="I237" s="134">
        <v>0</v>
      </c>
    </row>
    <row r="238" spans="1:9" ht="14.25" customHeight="1" x14ac:dyDescent="0.3">
      <c r="A238" s="134" t="s">
        <v>117</v>
      </c>
      <c r="B238" s="134" t="s">
        <v>337</v>
      </c>
      <c r="C238" s="134">
        <v>49</v>
      </c>
      <c r="D238" s="134" t="str">
        <f t="shared" si="15"/>
        <v>1/2" Hex Falcon 500 49</v>
      </c>
      <c r="E238" s="134">
        <v>0</v>
      </c>
      <c r="I238" s="134">
        <v>0</v>
      </c>
    </row>
    <row r="239" spans="1:9" ht="14.25" customHeight="1" x14ac:dyDescent="0.3">
      <c r="A239" s="134" t="s">
        <v>117</v>
      </c>
      <c r="B239" s="134" t="s">
        <v>337</v>
      </c>
      <c r="C239" s="134">
        <v>50</v>
      </c>
      <c r="D239" s="134" t="str">
        <f t="shared" si="15"/>
        <v>1/2" Hex Falcon 500 50</v>
      </c>
      <c r="E239" s="134">
        <v>0</v>
      </c>
      <c r="I239" s="134">
        <v>0</v>
      </c>
    </row>
    <row r="240" spans="1:9" ht="14.25" customHeight="1" x14ac:dyDescent="0.3">
      <c r="A240" s="134" t="s">
        <v>117</v>
      </c>
      <c r="B240" s="134" t="s">
        <v>337</v>
      </c>
      <c r="C240" s="134">
        <v>63</v>
      </c>
      <c r="D240" s="134" t="str">
        <f t="shared" si="15"/>
        <v>1/2" Hex Falcon 500 63</v>
      </c>
      <c r="E240" s="134">
        <v>0</v>
      </c>
      <c r="I240" s="134">
        <v>0</v>
      </c>
    </row>
    <row r="241" spans="1:9" ht="14.25" customHeight="1" x14ac:dyDescent="0.3">
      <c r="A241" s="134" t="s">
        <v>117</v>
      </c>
      <c r="B241" s="134" t="s">
        <v>337</v>
      </c>
      <c r="C241" s="134">
        <v>70</v>
      </c>
      <c r="D241" s="134" t="str">
        <f t="shared" si="15"/>
        <v>1/2" Hex Falcon 500 70</v>
      </c>
      <c r="E241" s="134">
        <v>0</v>
      </c>
      <c r="I241" s="134">
        <v>0</v>
      </c>
    </row>
    <row r="242" spans="1:9" ht="14.25" customHeight="1" x14ac:dyDescent="0.3">
      <c r="A242" s="134" t="s">
        <v>117</v>
      </c>
      <c r="B242" s="134" t="s">
        <v>337</v>
      </c>
      <c r="C242" s="134">
        <v>81</v>
      </c>
      <c r="D242" s="134" t="str">
        <f t="shared" si="15"/>
        <v>1/2" Hex Falcon 500 81</v>
      </c>
      <c r="E242" s="134">
        <v>0</v>
      </c>
      <c r="I242" s="134">
        <v>0</v>
      </c>
    </row>
    <row r="243" spans="1:9" ht="14.25" customHeight="1" x14ac:dyDescent="0.3">
      <c r="A243" s="134" t="s">
        <v>117</v>
      </c>
      <c r="B243" s="134" t="s">
        <v>337</v>
      </c>
      <c r="C243" s="134">
        <v>90</v>
      </c>
      <c r="D243" s="134" t="str">
        <f t="shared" si="15"/>
        <v>1/2" Hex Falcon 500 90</v>
      </c>
      <c r="E243" s="134">
        <v>0</v>
      </c>
      <c r="I243" s="134">
        <v>0</v>
      </c>
    </row>
    <row r="244" spans="1:9" ht="14.25" customHeight="1" x14ac:dyDescent="0.3">
      <c r="A244" s="134" t="s">
        <v>117</v>
      </c>
      <c r="B244" s="134" t="s">
        <v>337</v>
      </c>
      <c r="C244" s="134">
        <v>100</v>
      </c>
      <c r="D244" s="134" t="str">
        <f t="shared" si="15"/>
        <v>1/2" Hex Falcon 500 100</v>
      </c>
      <c r="E244" s="134">
        <v>0</v>
      </c>
      <c r="I244" s="134">
        <v>0</v>
      </c>
    </row>
    <row r="245" spans="1:9" ht="14.25" customHeight="1" x14ac:dyDescent="0.3">
      <c r="A245" s="134" t="s">
        <v>242</v>
      </c>
      <c r="B245" s="134" t="s">
        <v>11</v>
      </c>
      <c r="C245" s="134">
        <v>-3</v>
      </c>
      <c r="D245" s="134" t="str">
        <f t="shared" ref="D245:D250" si="16">A245&amp;" "&amp;B245&amp;" "&amp;C245</f>
        <v>1/2" Round AM 9015 -3</v>
      </c>
      <c r="E245" s="134">
        <v>1</v>
      </c>
    </row>
    <row r="246" spans="1:9" ht="14.25" customHeight="1" x14ac:dyDescent="0.3">
      <c r="A246" s="134" t="s">
        <v>242</v>
      </c>
      <c r="B246" s="134" t="s">
        <v>11</v>
      </c>
      <c r="C246" s="134">
        <v>-4</v>
      </c>
      <c r="D246" s="134" t="str">
        <f t="shared" si="16"/>
        <v>1/2" Round AM 9015 -4</v>
      </c>
      <c r="E246" s="134">
        <v>1</v>
      </c>
    </row>
    <row r="247" spans="1:9" ht="14.25" customHeight="1" x14ac:dyDescent="0.3">
      <c r="A247" s="134" t="s">
        <v>242</v>
      </c>
      <c r="B247" s="134" t="s">
        <v>11</v>
      </c>
      <c r="C247" s="134">
        <v>-5</v>
      </c>
      <c r="D247" s="134" t="str">
        <f t="shared" si="16"/>
        <v>1/2" Round AM 9015 -5</v>
      </c>
      <c r="E247" s="134">
        <v>1</v>
      </c>
    </row>
    <row r="248" spans="1:9" ht="14.25" customHeight="1" x14ac:dyDescent="0.3">
      <c r="A248" s="134" t="s">
        <v>242</v>
      </c>
      <c r="B248" s="134" t="s">
        <v>11</v>
      </c>
      <c r="C248" s="134">
        <v>-7</v>
      </c>
      <c r="D248" s="134" t="str">
        <f t="shared" si="16"/>
        <v>1/2" Round AM 9015 -7</v>
      </c>
      <c r="E248" s="134">
        <v>1</v>
      </c>
    </row>
    <row r="249" spans="1:9" ht="14.25" customHeight="1" x14ac:dyDescent="0.3">
      <c r="A249" s="134" t="s">
        <v>242</v>
      </c>
      <c r="B249" s="134" t="s">
        <v>11</v>
      </c>
      <c r="C249" s="134">
        <v>-9</v>
      </c>
      <c r="D249" s="134" t="str">
        <f t="shared" si="16"/>
        <v>1/2" Round AM 9015 -9</v>
      </c>
      <c r="E249" s="134">
        <v>1</v>
      </c>
    </row>
    <row r="250" spans="1:9" ht="14.25" customHeight="1" x14ac:dyDescent="0.3">
      <c r="A250" s="134" t="s">
        <v>242</v>
      </c>
      <c r="B250" s="134" t="s">
        <v>11</v>
      </c>
      <c r="C250" s="134">
        <v>-10</v>
      </c>
      <c r="D250" s="134" t="str">
        <f t="shared" si="16"/>
        <v>1/2" Round AM 9015 -10</v>
      </c>
      <c r="E250" s="134">
        <v>1</v>
      </c>
    </row>
    <row r="251" spans="1:9" ht="14.25" customHeight="1" x14ac:dyDescent="0.3">
      <c r="A251" s="134" t="s">
        <v>242</v>
      </c>
      <c r="B251" s="134" t="s">
        <v>11</v>
      </c>
      <c r="C251" s="134">
        <v>9</v>
      </c>
      <c r="D251" s="134" t="str">
        <f t="shared" ref="D251:D271" si="17">A251&amp;" "&amp;B251&amp;" "&amp;C251</f>
        <v>1/2" Round AM 9015 9</v>
      </c>
      <c r="E251" s="134">
        <v>10</v>
      </c>
    </row>
    <row r="252" spans="1:9" ht="14.25" customHeight="1" x14ac:dyDescent="0.3">
      <c r="A252" s="134" t="s">
        <v>242</v>
      </c>
      <c r="B252" s="134" t="s">
        <v>11</v>
      </c>
      <c r="C252" s="134">
        <v>12</v>
      </c>
      <c r="D252" s="134" t="str">
        <f t="shared" si="17"/>
        <v>1/2" Round AM 9015 12</v>
      </c>
      <c r="E252" s="134">
        <v>10</v>
      </c>
    </row>
    <row r="253" spans="1:9" ht="14.25" customHeight="1" x14ac:dyDescent="0.3">
      <c r="A253" s="134" t="s">
        <v>242</v>
      </c>
      <c r="B253" s="134" t="s">
        <v>11</v>
      </c>
      <c r="C253" s="134">
        <v>15</v>
      </c>
      <c r="D253" s="134" t="str">
        <f t="shared" si="17"/>
        <v>1/2" Round AM 9015 15</v>
      </c>
      <c r="E253" s="134">
        <v>10</v>
      </c>
    </row>
    <row r="254" spans="1:9" ht="14.25" customHeight="1" x14ac:dyDescent="0.3">
      <c r="A254" s="134" t="s">
        <v>242</v>
      </c>
      <c r="B254" s="134" t="s">
        <v>11</v>
      </c>
      <c r="C254" s="134">
        <v>16</v>
      </c>
      <c r="D254" s="134" t="str">
        <f t="shared" si="17"/>
        <v>1/2" Round AM 9015 16</v>
      </c>
      <c r="E254" s="134">
        <v>10</v>
      </c>
    </row>
    <row r="255" spans="1:9" ht="14.25" customHeight="1" x14ac:dyDescent="0.3">
      <c r="A255" s="134" t="s">
        <v>242</v>
      </c>
      <c r="B255" s="134" t="s">
        <v>11</v>
      </c>
      <c r="C255" s="134">
        <v>20</v>
      </c>
      <c r="D255" s="134" t="str">
        <f t="shared" si="17"/>
        <v>1/2" Round AM 9015 20</v>
      </c>
      <c r="E255" s="134">
        <v>10</v>
      </c>
    </row>
    <row r="256" spans="1:9" ht="14.25" customHeight="1" x14ac:dyDescent="0.3">
      <c r="A256" s="134" t="s">
        <v>242</v>
      </c>
      <c r="B256" s="134" t="s">
        <v>11</v>
      </c>
      <c r="C256" s="134">
        <v>21</v>
      </c>
      <c r="D256" s="134" t="str">
        <f t="shared" si="17"/>
        <v>1/2" Round AM 9015 21</v>
      </c>
      <c r="E256" s="134">
        <v>10</v>
      </c>
    </row>
    <row r="257" spans="1:8" ht="14.25" customHeight="1" x14ac:dyDescent="0.3">
      <c r="A257" s="134" t="s">
        <v>242</v>
      </c>
      <c r="B257" s="134" t="s">
        <v>11</v>
      </c>
      <c r="C257" s="134">
        <v>25</v>
      </c>
      <c r="D257" s="134" t="str">
        <f t="shared" si="17"/>
        <v>1/2" Round AM 9015 25</v>
      </c>
      <c r="E257" s="134">
        <v>7</v>
      </c>
    </row>
    <row r="258" spans="1:8" ht="14.25" customHeight="1" x14ac:dyDescent="0.3">
      <c r="A258" s="134" t="s">
        <v>242</v>
      </c>
      <c r="B258" s="134" t="s">
        <v>11</v>
      </c>
      <c r="C258" s="134">
        <v>27</v>
      </c>
      <c r="D258" s="134" t="str">
        <f t="shared" si="17"/>
        <v>1/2" Round AM 9015 27</v>
      </c>
      <c r="E258" s="134">
        <v>7</v>
      </c>
    </row>
    <row r="259" spans="1:8" ht="14.25" customHeight="1" x14ac:dyDescent="0.3">
      <c r="A259" s="134" t="s">
        <v>242</v>
      </c>
      <c r="B259" s="134" t="s">
        <v>11</v>
      </c>
      <c r="C259" s="134">
        <v>28</v>
      </c>
      <c r="D259" s="134" t="str">
        <f t="shared" si="17"/>
        <v>1/2" Round AM 9015 28</v>
      </c>
      <c r="E259" s="134">
        <v>7</v>
      </c>
    </row>
    <row r="260" spans="1:8" ht="14.25" customHeight="1" x14ac:dyDescent="0.3">
      <c r="A260" s="134" t="s">
        <v>242</v>
      </c>
      <c r="B260" s="134" t="s">
        <v>11</v>
      </c>
      <c r="C260" s="134">
        <v>30</v>
      </c>
      <c r="D260" s="134" t="str">
        <f t="shared" si="17"/>
        <v>1/2" Round AM 9015 30</v>
      </c>
      <c r="E260" s="134">
        <v>7</v>
      </c>
    </row>
    <row r="261" spans="1:8" ht="14.25" customHeight="1" x14ac:dyDescent="0.3">
      <c r="A261" s="134" t="s">
        <v>242</v>
      </c>
      <c r="B261" s="134" t="s">
        <v>11</v>
      </c>
      <c r="C261" s="134">
        <v>35</v>
      </c>
      <c r="D261" s="134" t="str">
        <f t="shared" si="17"/>
        <v>1/2" Round AM 9015 35</v>
      </c>
      <c r="E261" s="134">
        <v>5</v>
      </c>
    </row>
    <row r="262" spans="1:8" ht="14.25" customHeight="1" x14ac:dyDescent="0.3">
      <c r="A262" s="134" t="s">
        <v>242</v>
      </c>
      <c r="B262" s="134" t="s">
        <v>11</v>
      </c>
      <c r="C262" s="134">
        <v>36</v>
      </c>
      <c r="D262" s="134" t="str">
        <f t="shared" si="17"/>
        <v>1/2" Round AM 9015 36</v>
      </c>
      <c r="E262" s="134">
        <v>5</v>
      </c>
    </row>
    <row r="263" spans="1:8" ht="14.25" customHeight="1" x14ac:dyDescent="0.3">
      <c r="A263" s="134" t="s">
        <v>242</v>
      </c>
      <c r="B263" s="134" t="s">
        <v>11</v>
      </c>
      <c r="C263" s="134">
        <v>40</v>
      </c>
      <c r="D263" s="134" t="str">
        <f t="shared" si="17"/>
        <v>1/2" Round AM 9015 40</v>
      </c>
      <c r="E263" s="134">
        <v>5</v>
      </c>
    </row>
    <row r="264" spans="1:8" ht="14.25" customHeight="1" x14ac:dyDescent="0.3">
      <c r="A264" s="134" t="s">
        <v>242</v>
      </c>
      <c r="B264" s="134" t="s">
        <v>11</v>
      </c>
      <c r="C264" s="134">
        <v>45</v>
      </c>
      <c r="D264" s="134" t="str">
        <f t="shared" si="17"/>
        <v>1/2" Round AM 9015 45</v>
      </c>
      <c r="E264" s="134">
        <v>5</v>
      </c>
    </row>
    <row r="265" spans="1:8" ht="14.25" customHeight="1" x14ac:dyDescent="0.3">
      <c r="A265" s="134" t="s">
        <v>242</v>
      </c>
      <c r="B265" s="134" t="s">
        <v>11</v>
      </c>
      <c r="C265" s="134">
        <v>49</v>
      </c>
      <c r="D265" s="134" t="str">
        <f t="shared" si="17"/>
        <v>1/2" Round AM 9015 49</v>
      </c>
      <c r="E265" s="134">
        <v>5</v>
      </c>
    </row>
    <row r="266" spans="1:8" ht="14.25" customHeight="1" x14ac:dyDescent="0.3">
      <c r="A266" s="134" t="s">
        <v>242</v>
      </c>
      <c r="B266" s="134" t="s">
        <v>11</v>
      </c>
      <c r="C266" s="134">
        <v>50</v>
      </c>
      <c r="D266" s="134" t="str">
        <f t="shared" si="17"/>
        <v>1/2" Round AM 9015 50</v>
      </c>
      <c r="E266" s="134">
        <v>5</v>
      </c>
    </row>
    <row r="267" spans="1:8" ht="14.25" customHeight="1" x14ac:dyDescent="0.3">
      <c r="A267" s="134" t="s">
        <v>242</v>
      </c>
      <c r="B267" s="134" t="s">
        <v>11</v>
      </c>
      <c r="C267" s="134">
        <v>63</v>
      </c>
      <c r="D267" s="134" t="str">
        <f t="shared" si="17"/>
        <v>1/2" Round AM 9015 63</v>
      </c>
      <c r="E267" s="134">
        <v>4</v>
      </c>
    </row>
    <row r="268" spans="1:8" ht="14.25" customHeight="1" x14ac:dyDescent="0.3">
      <c r="A268" s="134" t="s">
        <v>242</v>
      </c>
      <c r="B268" s="134" t="s">
        <v>11</v>
      </c>
      <c r="C268" s="134">
        <v>70</v>
      </c>
      <c r="D268" s="134" t="str">
        <f t="shared" si="17"/>
        <v>1/2" Round AM 9015 70</v>
      </c>
      <c r="E268" s="134">
        <v>4</v>
      </c>
    </row>
    <row r="269" spans="1:8" ht="14.25" customHeight="1" x14ac:dyDescent="0.3">
      <c r="A269" s="134" t="s">
        <v>242</v>
      </c>
      <c r="B269" s="134" t="s">
        <v>11</v>
      </c>
      <c r="C269" s="134">
        <v>81</v>
      </c>
      <c r="D269" s="134" t="str">
        <f t="shared" si="17"/>
        <v>1/2" Round AM 9015 81</v>
      </c>
      <c r="E269" s="134">
        <v>3</v>
      </c>
    </row>
    <row r="270" spans="1:8" ht="14.25" customHeight="1" x14ac:dyDescent="0.3">
      <c r="A270" s="134" t="s">
        <v>242</v>
      </c>
      <c r="B270" s="134" t="s">
        <v>11</v>
      </c>
      <c r="C270" s="134">
        <v>90</v>
      </c>
      <c r="D270" s="134" t="str">
        <f t="shared" si="17"/>
        <v>1/2" Round AM 9015 90</v>
      </c>
      <c r="E270" s="134">
        <v>3</v>
      </c>
    </row>
    <row r="271" spans="1:8" ht="14.25" customHeight="1" x14ac:dyDescent="0.3">
      <c r="A271" s="134" t="s">
        <v>242</v>
      </c>
      <c r="B271" s="134" t="s">
        <v>11</v>
      </c>
      <c r="C271" s="134">
        <v>100</v>
      </c>
      <c r="D271" s="134" t="str">
        <f t="shared" si="17"/>
        <v>1/2" Round AM 9015 100</v>
      </c>
      <c r="E271" s="134">
        <v>1</v>
      </c>
    </row>
    <row r="272" spans="1:8" ht="14.25" customHeight="1" x14ac:dyDescent="0.3">
      <c r="A272" s="134" t="s">
        <v>242</v>
      </c>
      <c r="B272" s="134" t="s">
        <v>328</v>
      </c>
      <c r="C272" s="134">
        <v>-3</v>
      </c>
      <c r="D272" s="134" t="str">
        <f t="shared" ref="D272:D277" si="18">A272&amp;" "&amp;B272&amp;" "&amp;C272</f>
        <v>1/2" Round BB RS-550 -3</v>
      </c>
      <c r="E272" s="134">
        <v>1</v>
      </c>
      <c r="F272" s="134">
        <v>1</v>
      </c>
      <c r="G272" s="134">
        <v>1</v>
      </c>
      <c r="H272" s="134">
        <v>1</v>
      </c>
    </row>
    <row r="273" spans="1:8" ht="14.25" customHeight="1" x14ac:dyDescent="0.3">
      <c r="A273" s="134" t="s">
        <v>242</v>
      </c>
      <c r="B273" s="134" t="s">
        <v>328</v>
      </c>
      <c r="C273" s="134">
        <v>-4</v>
      </c>
      <c r="D273" s="134" t="str">
        <f t="shared" si="18"/>
        <v>1/2" Round BB RS-550 -4</v>
      </c>
      <c r="E273" s="134">
        <v>1</v>
      </c>
      <c r="F273" s="134">
        <v>1</v>
      </c>
      <c r="G273" s="134">
        <v>1</v>
      </c>
      <c r="H273" s="134">
        <v>0</v>
      </c>
    </row>
    <row r="274" spans="1:8" ht="14.25" customHeight="1" x14ac:dyDescent="0.3">
      <c r="A274" s="134" t="s">
        <v>242</v>
      </c>
      <c r="B274" s="134" t="s">
        <v>328</v>
      </c>
      <c r="C274" s="134">
        <v>-5</v>
      </c>
      <c r="D274" s="134" t="str">
        <f t="shared" si="18"/>
        <v>1/2" Round BB RS-550 -5</v>
      </c>
      <c r="E274" s="134">
        <v>1</v>
      </c>
      <c r="F274" s="134">
        <v>1</v>
      </c>
      <c r="G274" s="134">
        <v>1</v>
      </c>
      <c r="H274" s="134">
        <v>0</v>
      </c>
    </row>
    <row r="275" spans="1:8" ht="14.25" customHeight="1" x14ac:dyDescent="0.3">
      <c r="A275" s="134" t="s">
        <v>242</v>
      </c>
      <c r="B275" s="134" t="s">
        <v>328</v>
      </c>
      <c r="C275" s="134">
        <v>-7</v>
      </c>
      <c r="D275" s="134" t="str">
        <f t="shared" si="18"/>
        <v>1/2" Round BB RS-550 -7</v>
      </c>
      <c r="E275" s="134">
        <v>1</v>
      </c>
      <c r="F275" s="134">
        <v>1</v>
      </c>
      <c r="G275" s="134">
        <v>1</v>
      </c>
      <c r="H275" s="134">
        <v>0</v>
      </c>
    </row>
    <row r="276" spans="1:8" ht="14.25" customHeight="1" x14ac:dyDescent="0.3">
      <c r="A276" s="134" t="s">
        <v>242</v>
      </c>
      <c r="B276" s="134" t="s">
        <v>328</v>
      </c>
      <c r="C276" s="134">
        <v>-9</v>
      </c>
      <c r="D276" s="134" t="str">
        <f t="shared" si="18"/>
        <v>1/2" Round BB RS-550 -9</v>
      </c>
      <c r="E276" s="134">
        <v>1</v>
      </c>
      <c r="F276" s="134">
        <v>1</v>
      </c>
      <c r="G276" s="134">
        <v>0</v>
      </c>
      <c r="H276" s="134">
        <v>0</v>
      </c>
    </row>
    <row r="277" spans="1:8" ht="14.25" customHeight="1" x14ac:dyDescent="0.3">
      <c r="A277" s="134" t="s">
        <v>242</v>
      </c>
      <c r="B277" s="134" t="s">
        <v>328</v>
      </c>
      <c r="C277" s="134">
        <v>-10</v>
      </c>
      <c r="D277" s="134" t="str">
        <f t="shared" si="18"/>
        <v>1/2" Round BB RS-550 -10</v>
      </c>
      <c r="E277" s="134">
        <v>1</v>
      </c>
      <c r="F277" s="134">
        <v>1</v>
      </c>
      <c r="G277" s="134">
        <v>0</v>
      </c>
      <c r="H277" s="134">
        <v>0</v>
      </c>
    </row>
    <row r="278" spans="1:8" ht="14.25" customHeight="1" x14ac:dyDescent="0.3">
      <c r="A278" s="134" t="s">
        <v>242</v>
      </c>
      <c r="B278" s="134" t="s">
        <v>328</v>
      </c>
      <c r="C278" s="134">
        <v>9</v>
      </c>
      <c r="D278" s="134" t="str">
        <f t="shared" ref="D278:D298" si="19">A278&amp;" "&amp;B278&amp;" "&amp;C278</f>
        <v>1/2" Round BB RS-550 9</v>
      </c>
      <c r="E278" s="134">
        <v>10</v>
      </c>
      <c r="F278" s="134">
        <v>10</v>
      </c>
      <c r="G278" s="134">
        <v>1</v>
      </c>
      <c r="H278" s="134">
        <v>0</v>
      </c>
    </row>
    <row r="279" spans="1:8" ht="14.25" customHeight="1" x14ac:dyDescent="0.3">
      <c r="A279" s="134" t="s">
        <v>242</v>
      </c>
      <c r="B279" s="134" t="s">
        <v>328</v>
      </c>
      <c r="C279" s="134">
        <v>12</v>
      </c>
      <c r="D279" s="134" t="str">
        <f t="shared" si="19"/>
        <v>1/2" Round BB RS-550 12</v>
      </c>
      <c r="E279" s="134">
        <v>10</v>
      </c>
      <c r="F279" s="134">
        <v>7</v>
      </c>
      <c r="G279" s="134">
        <v>0</v>
      </c>
      <c r="H279" s="134">
        <v>0</v>
      </c>
    </row>
    <row r="280" spans="1:8" ht="14.25" customHeight="1" x14ac:dyDescent="0.3">
      <c r="A280" s="134" t="s">
        <v>242</v>
      </c>
      <c r="B280" s="134" t="s">
        <v>328</v>
      </c>
      <c r="C280" s="134">
        <v>15</v>
      </c>
      <c r="D280" s="134" t="str">
        <f t="shared" si="19"/>
        <v>1/2" Round BB RS-550 15</v>
      </c>
      <c r="E280" s="134">
        <v>10</v>
      </c>
      <c r="F280" s="134">
        <v>5</v>
      </c>
      <c r="G280" s="134">
        <v>0</v>
      </c>
      <c r="H280" s="134">
        <v>0</v>
      </c>
    </row>
    <row r="281" spans="1:8" ht="14.25" customHeight="1" x14ac:dyDescent="0.3">
      <c r="A281" s="134" t="s">
        <v>242</v>
      </c>
      <c r="B281" s="134" t="s">
        <v>328</v>
      </c>
      <c r="C281" s="134">
        <v>16</v>
      </c>
      <c r="D281" s="134" t="str">
        <f t="shared" si="19"/>
        <v>1/2" Round BB RS-550 16</v>
      </c>
      <c r="E281" s="134">
        <v>10</v>
      </c>
      <c r="F281" s="134">
        <v>5</v>
      </c>
      <c r="G281" s="134">
        <v>0</v>
      </c>
      <c r="H281" s="134">
        <v>0</v>
      </c>
    </row>
    <row r="282" spans="1:8" ht="14.25" customHeight="1" x14ac:dyDescent="0.3">
      <c r="A282" s="134" t="s">
        <v>242</v>
      </c>
      <c r="B282" s="134" t="s">
        <v>328</v>
      </c>
      <c r="C282" s="134">
        <v>20</v>
      </c>
      <c r="D282" s="134" t="str">
        <f t="shared" si="19"/>
        <v>1/2" Round BB RS-550 20</v>
      </c>
      <c r="E282" s="134">
        <v>9</v>
      </c>
      <c r="F282" s="134">
        <v>5</v>
      </c>
      <c r="G282" s="134">
        <v>0</v>
      </c>
      <c r="H282" s="134">
        <v>0</v>
      </c>
    </row>
    <row r="283" spans="1:8" ht="14.25" customHeight="1" x14ac:dyDescent="0.3">
      <c r="A283" s="134" t="s">
        <v>242</v>
      </c>
      <c r="B283" s="134" t="s">
        <v>328</v>
      </c>
      <c r="C283" s="134">
        <v>21</v>
      </c>
      <c r="D283" s="134" t="str">
        <f t="shared" si="19"/>
        <v>1/2" Round BB RS-550 21</v>
      </c>
      <c r="E283" s="134">
        <v>9</v>
      </c>
      <c r="F283" s="134">
        <v>5</v>
      </c>
      <c r="G283" s="134">
        <v>0</v>
      </c>
      <c r="H283" s="134">
        <v>0</v>
      </c>
    </row>
    <row r="284" spans="1:8" ht="14.25" customHeight="1" x14ac:dyDescent="0.3">
      <c r="A284" s="134" t="s">
        <v>242</v>
      </c>
      <c r="B284" s="134" t="s">
        <v>328</v>
      </c>
      <c r="C284" s="134">
        <v>25</v>
      </c>
      <c r="D284" s="134" t="str">
        <f t="shared" si="19"/>
        <v>1/2" Round BB RS-550 25</v>
      </c>
      <c r="E284" s="134">
        <v>7</v>
      </c>
      <c r="F284" s="134">
        <v>5</v>
      </c>
      <c r="G284" s="134">
        <v>0</v>
      </c>
      <c r="H284" s="134">
        <v>0</v>
      </c>
    </row>
    <row r="285" spans="1:8" ht="14.25" customHeight="1" x14ac:dyDescent="0.3">
      <c r="A285" s="134" t="s">
        <v>242</v>
      </c>
      <c r="B285" s="134" t="s">
        <v>328</v>
      </c>
      <c r="C285" s="134">
        <v>27</v>
      </c>
      <c r="D285" s="134" t="str">
        <f t="shared" si="19"/>
        <v>1/2" Round BB RS-550 27</v>
      </c>
      <c r="E285" s="134">
        <v>7</v>
      </c>
      <c r="F285" s="134">
        <v>4</v>
      </c>
      <c r="G285" s="134">
        <v>0</v>
      </c>
      <c r="H285" s="134">
        <v>0</v>
      </c>
    </row>
    <row r="286" spans="1:8" ht="14.25" customHeight="1" x14ac:dyDescent="0.3">
      <c r="A286" s="134" t="s">
        <v>242</v>
      </c>
      <c r="B286" s="134" t="s">
        <v>328</v>
      </c>
      <c r="C286" s="134">
        <v>28</v>
      </c>
      <c r="D286" s="134" t="str">
        <f t="shared" si="19"/>
        <v>1/2" Round BB RS-550 28</v>
      </c>
      <c r="E286" s="134">
        <v>7</v>
      </c>
      <c r="F286" s="134">
        <v>4</v>
      </c>
      <c r="G286" s="134">
        <v>0</v>
      </c>
      <c r="H286" s="134">
        <v>0</v>
      </c>
    </row>
    <row r="287" spans="1:8" ht="14.25" customHeight="1" x14ac:dyDescent="0.3">
      <c r="A287" s="134" t="s">
        <v>242</v>
      </c>
      <c r="B287" s="134" t="s">
        <v>328</v>
      </c>
      <c r="C287" s="134">
        <v>30</v>
      </c>
      <c r="D287" s="134" t="str">
        <f t="shared" si="19"/>
        <v>1/2" Round BB RS-550 30</v>
      </c>
      <c r="E287" s="134">
        <v>5</v>
      </c>
      <c r="F287" s="134">
        <v>4</v>
      </c>
      <c r="G287" s="134">
        <v>0</v>
      </c>
      <c r="H287" s="134">
        <v>0</v>
      </c>
    </row>
    <row r="288" spans="1:8" ht="14.25" customHeight="1" x14ac:dyDescent="0.3">
      <c r="A288" s="134" t="s">
        <v>242</v>
      </c>
      <c r="B288" s="134" t="s">
        <v>328</v>
      </c>
      <c r="C288" s="134">
        <v>35</v>
      </c>
      <c r="D288" s="134" t="str">
        <f t="shared" si="19"/>
        <v>1/2" Round BB RS-550 35</v>
      </c>
      <c r="E288" s="134">
        <v>5</v>
      </c>
      <c r="F288" s="134">
        <v>3</v>
      </c>
      <c r="G288" s="134">
        <v>0</v>
      </c>
      <c r="H288" s="134">
        <v>0</v>
      </c>
    </row>
    <row r="289" spans="1:8" ht="14.25" customHeight="1" x14ac:dyDescent="0.3">
      <c r="A289" s="134" t="s">
        <v>242</v>
      </c>
      <c r="B289" s="134" t="s">
        <v>328</v>
      </c>
      <c r="C289" s="134">
        <v>36</v>
      </c>
      <c r="D289" s="134" t="str">
        <f t="shared" si="19"/>
        <v>1/2" Round BB RS-550 36</v>
      </c>
      <c r="E289" s="134">
        <v>5</v>
      </c>
      <c r="F289" s="134">
        <v>3</v>
      </c>
      <c r="G289" s="134">
        <v>0</v>
      </c>
      <c r="H289" s="134">
        <v>0</v>
      </c>
    </row>
    <row r="290" spans="1:8" ht="14.25" customHeight="1" x14ac:dyDescent="0.3">
      <c r="A290" s="134" t="s">
        <v>242</v>
      </c>
      <c r="B290" s="134" t="s">
        <v>328</v>
      </c>
      <c r="C290" s="134">
        <v>40</v>
      </c>
      <c r="D290" s="134" t="str">
        <f t="shared" si="19"/>
        <v>1/2" Round BB RS-550 40</v>
      </c>
      <c r="E290" s="134">
        <v>5</v>
      </c>
      <c r="F290" s="134">
        <v>3</v>
      </c>
      <c r="G290" s="134">
        <v>0</v>
      </c>
      <c r="H290" s="134">
        <v>0</v>
      </c>
    </row>
    <row r="291" spans="1:8" ht="14.25" customHeight="1" x14ac:dyDescent="0.3">
      <c r="A291" s="134" t="s">
        <v>242</v>
      </c>
      <c r="B291" s="134" t="s">
        <v>328</v>
      </c>
      <c r="C291" s="134">
        <v>45</v>
      </c>
      <c r="D291" s="134" t="str">
        <f t="shared" si="19"/>
        <v>1/2" Round BB RS-550 45</v>
      </c>
      <c r="E291" s="134">
        <v>5</v>
      </c>
      <c r="F291" s="134">
        <v>1</v>
      </c>
      <c r="G291" s="134">
        <v>0</v>
      </c>
      <c r="H291" s="134">
        <v>0</v>
      </c>
    </row>
    <row r="292" spans="1:8" ht="14.25" customHeight="1" x14ac:dyDescent="0.3">
      <c r="A292" s="134" t="s">
        <v>242</v>
      </c>
      <c r="B292" s="134" t="s">
        <v>328</v>
      </c>
      <c r="C292" s="134">
        <v>49</v>
      </c>
      <c r="D292" s="134" t="str">
        <f t="shared" si="19"/>
        <v>1/2" Round BB RS-550 49</v>
      </c>
      <c r="E292" s="134">
        <v>5</v>
      </c>
      <c r="F292" s="134">
        <v>1</v>
      </c>
      <c r="G292" s="134">
        <v>0</v>
      </c>
      <c r="H292" s="134">
        <v>0</v>
      </c>
    </row>
    <row r="293" spans="1:8" ht="14.25" customHeight="1" x14ac:dyDescent="0.3">
      <c r="A293" s="134" t="s">
        <v>242</v>
      </c>
      <c r="B293" s="134" t="s">
        <v>328</v>
      </c>
      <c r="C293" s="134">
        <v>50</v>
      </c>
      <c r="D293" s="134" t="str">
        <f t="shared" si="19"/>
        <v>1/2" Round BB RS-550 50</v>
      </c>
      <c r="E293" s="134">
        <v>5</v>
      </c>
      <c r="F293" s="134">
        <v>1</v>
      </c>
      <c r="G293" s="134">
        <v>0</v>
      </c>
      <c r="H293" s="134">
        <v>0</v>
      </c>
    </row>
    <row r="294" spans="1:8" ht="14.25" customHeight="1" x14ac:dyDescent="0.3">
      <c r="A294" s="134" t="s">
        <v>242</v>
      </c>
      <c r="B294" s="134" t="s">
        <v>328</v>
      </c>
      <c r="C294" s="134">
        <v>63</v>
      </c>
      <c r="D294" s="134" t="str">
        <f t="shared" si="19"/>
        <v>1/2" Round BB RS-550 63</v>
      </c>
      <c r="E294" s="134">
        <v>4</v>
      </c>
      <c r="F294" s="134">
        <v>1</v>
      </c>
      <c r="G294" s="134">
        <v>0</v>
      </c>
      <c r="H294" s="134">
        <v>0</v>
      </c>
    </row>
    <row r="295" spans="1:8" ht="14.25" customHeight="1" x14ac:dyDescent="0.3">
      <c r="A295" s="134" t="s">
        <v>242</v>
      </c>
      <c r="B295" s="134" t="s">
        <v>328</v>
      </c>
      <c r="C295" s="134">
        <v>70</v>
      </c>
      <c r="D295" s="134" t="str">
        <f t="shared" si="19"/>
        <v>1/2" Round BB RS-550 70</v>
      </c>
      <c r="E295" s="134">
        <v>3</v>
      </c>
      <c r="F295" s="134">
        <v>1</v>
      </c>
      <c r="G295" s="134">
        <v>0</v>
      </c>
      <c r="H295" s="134">
        <v>0</v>
      </c>
    </row>
    <row r="296" spans="1:8" ht="14.25" customHeight="1" x14ac:dyDescent="0.3">
      <c r="A296" s="134" t="s">
        <v>242</v>
      </c>
      <c r="B296" s="134" t="s">
        <v>328</v>
      </c>
      <c r="C296" s="134">
        <v>81</v>
      </c>
      <c r="D296" s="134" t="str">
        <f t="shared" si="19"/>
        <v>1/2" Round BB RS-550 81</v>
      </c>
      <c r="E296" s="134">
        <v>3</v>
      </c>
      <c r="F296" s="134">
        <v>1</v>
      </c>
      <c r="G296" s="134">
        <v>0</v>
      </c>
      <c r="H296" s="134">
        <v>0</v>
      </c>
    </row>
    <row r="297" spans="1:8" ht="14.25" customHeight="1" x14ac:dyDescent="0.3">
      <c r="A297" s="134" t="s">
        <v>242</v>
      </c>
      <c r="B297" s="134" t="s">
        <v>328</v>
      </c>
      <c r="C297" s="134">
        <v>90</v>
      </c>
      <c r="D297" s="134" t="str">
        <f t="shared" si="19"/>
        <v>1/2" Round BB RS-550 90</v>
      </c>
      <c r="E297" s="134">
        <v>1</v>
      </c>
      <c r="F297" s="134">
        <v>1</v>
      </c>
      <c r="G297" s="134">
        <v>0</v>
      </c>
      <c r="H297" s="134">
        <v>0</v>
      </c>
    </row>
    <row r="298" spans="1:8" ht="14.25" customHeight="1" x14ac:dyDescent="0.3">
      <c r="A298" s="134" t="s">
        <v>242</v>
      </c>
      <c r="B298" s="134" t="s">
        <v>328</v>
      </c>
      <c r="C298" s="134">
        <v>100</v>
      </c>
      <c r="D298" s="134" t="str">
        <f t="shared" si="19"/>
        <v>1/2" Round BB RS-550 100</v>
      </c>
      <c r="E298" s="134">
        <v>1</v>
      </c>
      <c r="F298" s="134">
        <v>0</v>
      </c>
      <c r="G298" s="134">
        <v>0</v>
      </c>
      <c r="H298" s="134">
        <v>0</v>
      </c>
    </row>
    <row r="299" spans="1:8" ht="14.25" customHeight="1" x14ac:dyDescent="0.3">
      <c r="A299" s="134" t="s">
        <v>242</v>
      </c>
      <c r="B299" s="134" t="s">
        <v>329</v>
      </c>
      <c r="C299" s="134">
        <v>-3</v>
      </c>
      <c r="D299" s="134" t="str">
        <f t="shared" ref="D299:D304" si="20">A299&amp;" "&amp;B299&amp;" "&amp;C299</f>
        <v>1/2" Round BB RS-775 -3</v>
      </c>
      <c r="E299" s="134">
        <v>1</v>
      </c>
      <c r="F299" s="134">
        <v>1</v>
      </c>
      <c r="G299" s="134">
        <v>1</v>
      </c>
      <c r="H299" s="134">
        <v>0</v>
      </c>
    </row>
    <row r="300" spans="1:8" ht="14.25" customHeight="1" x14ac:dyDescent="0.3">
      <c r="A300" s="134" t="s">
        <v>242</v>
      </c>
      <c r="B300" s="134" t="s">
        <v>329</v>
      </c>
      <c r="C300" s="134">
        <v>-4</v>
      </c>
      <c r="D300" s="134" t="str">
        <f t="shared" si="20"/>
        <v>1/2" Round BB RS-775 -4</v>
      </c>
      <c r="E300" s="134">
        <v>1</v>
      </c>
      <c r="F300" s="134">
        <v>1</v>
      </c>
      <c r="G300" s="134">
        <v>1</v>
      </c>
      <c r="H300" s="134">
        <v>0</v>
      </c>
    </row>
    <row r="301" spans="1:8" ht="14.25" customHeight="1" x14ac:dyDescent="0.3">
      <c r="A301" s="134" t="s">
        <v>242</v>
      </c>
      <c r="B301" s="134" t="s">
        <v>329</v>
      </c>
      <c r="C301" s="134">
        <v>-5</v>
      </c>
      <c r="D301" s="134" t="str">
        <f t="shared" si="20"/>
        <v>1/2" Round BB RS-775 -5</v>
      </c>
      <c r="E301" s="134">
        <v>1</v>
      </c>
      <c r="F301" s="134">
        <v>1</v>
      </c>
      <c r="G301" s="134">
        <v>1</v>
      </c>
      <c r="H301" s="134">
        <v>0</v>
      </c>
    </row>
    <row r="302" spans="1:8" ht="14.25" customHeight="1" x14ac:dyDescent="0.3">
      <c r="A302" s="134" t="s">
        <v>242</v>
      </c>
      <c r="B302" s="134" t="s">
        <v>329</v>
      </c>
      <c r="C302" s="134">
        <v>-7</v>
      </c>
      <c r="D302" s="134" t="str">
        <f t="shared" si="20"/>
        <v>1/2" Round BB RS-775 -7</v>
      </c>
      <c r="E302" s="134">
        <v>1</v>
      </c>
      <c r="F302" s="134">
        <v>1</v>
      </c>
      <c r="G302" s="134">
        <v>0</v>
      </c>
      <c r="H302" s="134">
        <v>0</v>
      </c>
    </row>
    <row r="303" spans="1:8" ht="14.25" customHeight="1" x14ac:dyDescent="0.3">
      <c r="A303" s="134" t="s">
        <v>242</v>
      </c>
      <c r="B303" s="134" t="s">
        <v>329</v>
      </c>
      <c r="C303" s="134">
        <v>-9</v>
      </c>
      <c r="D303" s="134" t="str">
        <f t="shared" si="20"/>
        <v>1/2" Round BB RS-775 -9</v>
      </c>
      <c r="E303" s="134">
        <v>1</v>
      </c>
      <c r="F303" s="134">
        <v>1</v>
      </c>
      <c r="G303" s="134">
        <v>0</v>
      </c>
      <c r="H303" s="134">
        <v>0</v>
      </c>
    </row>
    <row r="304" spans="1:8" ht="14.25" customHeight="1" x14ac:dyDescent="0.3">
      <c r="A304" s="134" t="s">
        <v>242</v>
      </c>
      <c r="B304" s="134" t="s">
        <v>329</v>
      </c>
      <c r="C304" s="134">
        <v>-10</v>
      </c>
      <c r="D304" s="134" t="str">
        <f t="shared" si="20"/>
        <v>1/2" Round BB RS-775 -10</v>
      </c>
      <c r="E304" s="134">
        <v>1</v>
      </c>
      <c r="F304" s="134">
        <v>1</v>
      </c>
      <c r="G304" s="134">
        <v>0</v>
      </c>
      <c r="H304" s="134">
        <v>0</v>
      </c>
    </row>
    <row r="305" spans="1:8" ht="14.25" customHeight="1" x14ac:dyDescent="0.3">
      <c r="A305" s="134" t="s">
        <v>242</v>
      </c>
      <c r="B305" s="134" t="s">
        <v>329</v>
      </c>
      <c r="C305" s="134">
        <v>9</v>
      </c>
      <c r="D305" s="134" t="str">
        <f t="shared" ref="D305:D325" si="21">A305&amp;" "&amp;B305&amp;" "&amp;C305</f>
        <v>1/2" Round BB RS-775 9</v>
      </c>
      <c r="E305" s="134">
        <v>10</v>
      </c>
      <c r="F305" s="134">
        <v>5</v>
      </c>
      <c r="G305" s="134">
        <v>0</v>
      </c>
      <c r="H305" s="134">
        <v>0</v>
      </c>
    </row>
    <row r="306" spans="1:8" ht="14.25" customHeight="1" x14ac:dyDescent="0.3">
      <c r="A306" s="134" t="s">
        <v>242</v>
      </c>
      <c r="B306" s="134" t="s">
        <v>329</v>
      </c>
      <c r="C306" s="134">
        <v>12</v>
      </c>
      <c r="D306" s="134" t="str">
        <f t="shared" si="21"/>
        <v>1/2" Round BB RS-775 12</v>
      </c>
      <c r="E306" s="134">
        <v>10</v>
      </c>
      <c r="F306" s="134">
        <v>5</v>
      </c>
      <c r="G306" s="134">
        <v>0</v>
      </c>
      <c r="H306" s="134">
        <v>0</v>
      </c>
    </row>
    <row r="307" spans="1:8" ht="14.25" customHeight="1" x14ac:dyDescent="0.3">
      <c r="A307" s="134" t="s">
        <v>242</v>
      </c>
      <c r="B307" s="134" t="s">
        <v>329</v>
      </c>
      <c r="C307" s="134">
        <v>15</v>
      </c>
      <c r="D307" s="134" t="str">
        <f t="shared" si="21"/>
        <v>1/2" Round BB RS-775 15</v>
      </c>
      <c r="E307" s="134">
        <v>7</v>
      </c>
      <c r="F307" s="134">
        <v>5</v>
      </c>
      <c r="G307" s="134">
        <v>0</v>
      </c>
      <c r="H307" s="134">
        <v>0</v>
      </c>
    </row>
    <row r="308" spans="1:8" ht="14.25" customHeight="1" x14ac:dyDescent="0.3">
      <c r="A308" s="134" t="s">
        <v>242</v>
      </c>
      <c r="B308" s="134" t="s">
        <v>329</v>
      </c>
      <c r="C308" s="134">
        <v>16</v>
      </c>
      <c r="D308" s="134" t="str">
        <f t="shared" si="21"/>
        <v>1/2" Round BB RS-775 16</v>
      </c>
      <c r="E308" s="134">
        <v>7</v>
      </c>
      <c r="F308" s="134">
        <v>5</v>
      </c>
      <c r="G308" s="134">
        <v>0</v>
      </c>
      <c r="H308" s="134">
        <v>0</v>
      </c>
    </row>
    <row r="309" spans="1:8" ht="14.25" customHeight="1" x14ac:dyDescent="0.3">
      <c r="A309" s="134" t="s">
        <v>242</v>
      </c>
      <c r="B309" s="134" t="s">
        <v>329</v>
      </c>
      <c r="C309" s="134">
        <v>20</v>
      </c>
      <c r="D309" s="134" t="str">
        <f t="shared" si="21"/>
        <v>1/2" Round BB RS-775 20</v>
      </c>
      <c r="E309" s="134">
        <v>5</v>
      </c>
      <c r="F309" s="134">
        <v>4</v>
      </c>
      <c r="G309" s="134">
        <v>0</v>
      </c>
      <c r="H309" s="134">
        <v>0</v>
      </c>
    </row>
    <row r="310" spans="1:8" ht="14.25" customHeight="1" x14ac:dyDescent="0.3">
      <c r="A310" s="134" t="s">
        <v>242</v>
      </c>
      <c r="B310" s="134" t="s">
        <v>329</v>
      </c>
      <c r="C310" s="134">
        <v>21</v>
      </c>
      <c r="D310" s="134" t="str">
        <f t="shared" si="21"/>
        <v>1/2" Round BB RS-775 21</v>
      </c>
      <c r="E310" s="134">
        <v>5</v>
      </c>
      <c r="F310" s="134">
        <v>3</v>
      </c>
      <c r="G310" s="134">
        <v>0</v>
      </c>
      <c r="H310" s="134">
        <v>0</v>
      </c>
    </row>
    <row r="311" spans="1:8" ht="14.25" customHeight="1" x14ac:dyDescent="0.3">
      <c r="A311" s="134" t="s">
        <v>242</v>
      </c>
      <c r="B311" s="134" t="s">
        <v>329</v>
      </c>
      <c r="C311" s="134">
        <v>25</v>
      </c>
      <c r="D311" s="134" t="str">
        <f t="shared" si="21"/>
        <v>1/2" Round BB RS-775 25</v>
      </c>
      <c r="E311" s="134">
        <v>5</v>
      </c>
      <c r="F311" s="134">
        <v>3</v>
      </c>
      <c r="G311" s="134">
        <v>0</v>
      </c>
      <c r="H311" s="134">
        <v>0</v>
      </c>
    </row>
    <row r="312" spans="1:8" ht="14.25" customHeight="1" x14ac:dyDescent="0.3">
      <c r="A312" s="134" t="s">
        <v>242</v>
      </c>
      <c r="B312" s="134" t="s">
        <v>329</v>
      </c>
      <c r="C312" s="134">
        <v>27</v>
      </c>
      <c r="D312" s="134" t="str">
        <f t="shared" si="21"/>
        <v>1/2" Round BB RS-775 27</v>
      </c>
      <c r="E312" s="134">
        <v>5</v>
      </c>
      <c r="F312" s="134">
        <v>3</v>
      </c>
      <c r="G312" s="134">
        <v>0</v>
      </c>
      <c r="H312" s="134">
        <v>0</v>
      </c>
    </row>
    <row r="313" spans="1:8" ht="14.25" customHeight="1" x14ac:dyDescent="0.3">
      <c r="A313" s="134" t="s">
        <v>242</v>
      </c>
      <c r="B313" s="134" t="s">
        <v>329</v>
      </c>
      <c r="C313" s="134">
        <v>28</v>
      </c>
      <c r="D313" s="134" t="str">
        <f t="shared" si="21"/>
        <v>1/2" Round BB RS-775 28</v>
      </c>
      <c r="E313" s="134">
        <v>5</v>
      </c>
      <c r="F313" s="134">
        <v>1</v>
      </c>
      <c r="G313" s="134">
        <v>0</v>
      </c>
      <c r="H313" s="134">
        <v>0</v>
      </c>
    </row>
    <row r="314" spans="1:8" ht="14.25" customHeight="1" x14ac:dyDescent="0.3">
      <c r="A314" s="134" t="s">
        <v>242</v>
      </c>
      <c r="B314" s="134" t="s">
        <v>329</v>
      </c>
      <c r="C314" s="134">
        <v>30</v>
      </c>
      <c r="D314" s="134" t="str">
        <f t="shared" si="21"/>
        <v>1/2" Round BB RS-775 30</v>
      </c>
      <c r="E314" s="134">
        <v>5</v>
      </c>
      <c r="F314" s="134">
        <v>1</v>
      </c>
      <c r="G314" s="134">
        <v>0</v>
      </c>
      <c r="H314" s="134">
        <v>0</v>
      </c>
    </row>
    <row r="315" spans="1:8" ht="14.25" customHeight="1" x14ac:dyDescent="0.3">
      <c r="A315" s="134" t="s">
        <v>242</v>
      </c>
      <c r="B315" s="134" t="s">
        <v>329</v>
      </c>
      <c r="C315" s="134">
        <v>35</v>
      </c>
      <c r="D315" s="134" t="str">
        <f t="shared" si="21"/>
        <v>1/2" Round BB RS-775 35</v>
      </c>
      <c r="E315" s="134">
        <v>4</v>
      </c>
      <c r="F315" s="134">
        <v>1</v>
      </c>
      <c r="G315" s="134">
        <v>0</v>
      </c>
      <c r="H315" s="134">
        <v>0</v>
      </c>
    </row>
    <row r="316" spans="1:8" ht="14.25" customHeight="1" x14ac:dyDescent="0.3">
      <c r="A316" s="134" t="s">
        <v>242</v>
      </c>
      <c r="B316" s="134" t="s">
        <v>329</v>
      </c>
      <c r="C316" s="134">
        <v>36</v>
      </c>
      <c r="D316" s="134" t="str">
        <f t="shared" si="21"/>
        <v>1/2" Round BB RS-775 36</v>
      </c>
      <c r="E316" s="134">
        <v>4</v>
      </c>
      <c r="F316" s="134">
        <v>1</v>
      </c>
      <c r="G316" s="134">
        <v>0</v>
      </c>
      <c r="H316" s="134">
        <v>0</v>
      </c>
    </row>
    <row r="317" spans="1:8" ht="14.25" customHeight="1" x14ac:dyDescent="0.3">
      <c r="A317" s="134" t="s">
        <v>242</v>
      </c>
      <c r="B317" s="134" t="s">
        <v>329</v>
      </c>
      <c r="C317" s="134">
        <v>40</v>
      </c>
      <c r="D317" s="134" t="str">
        <f t="shared" si="21"/>
        <v>1/2" Round BB RS-775 40</v>
      </c>
      <c r="E317" s="134">
        <v>4</v>
      </c>
      <c r="F317" s="134">
        <v>1</v>
      </c>
      <c r="G317" s="134">
        <v>0</v>
      </c>
      <c r="H317" s="134">
        <v>0</v>
      </c>
    </row>
    <row r="318" spans="1:8" ht="14.25" customHeight="1" x14ac:dyDescent="0.3">
      <c r="A318" s="134" t="s">
        <v>242</v>
      </c>
      <c r="B318" s="134" t="s">
        <v>329</v>
      </c>
      <c r="C318" s="134">
        <v>45</v>
      </c>
      <c r="D318" s="134" t="str">
        <f t="shared" si="21"/>
        <v>1/2" Round BB RS-775 45</v>
      </c>
      <c r="E318" s="134">
        <v>3</v>
      </c>
      <c r="F318" s="134">
        <v>1</v>
      </c>
      <c r="G318" s="134">
        <v>0</v>
      </c>
      <c r="H318" s="134">
        <v>0</v>
      </c>
    </row>
    <row r="319" spans="1:8" ht="14.25" customHeight="1" x14ac:dyDescent="0.3">
      <c r="A319" s="134" t="s">
        <v>242</v>
      </c>
      <c r="B319" s="134" t="s">
        <v>329</v>
      </c>
      <c r="C319" s="134">
        <v>49</v>
      </c>
      <c r="D319" s="134" t="str">
        <f t="shared" si="21"/>
        <v>1/2" Round BB RS-775 49</v>
      </c>
      <c r="E319" s="134">
        <v>3</v>
      </c>
      <c r="F319" s="134">
        <v>1</v>
      </c>
      <c r="G319" s="134">
        <v>0</v>
      </c>
      <c r="H319" s="134">
        <v>0</v>
      </c>
    </row>
    <row r="320" spans="1:8" ht="14.25" customHeight="1" x14ac:dyDescent="0.3">
      <c r="A320" s="134" t="s">
        <v>242</v>
      </c>
      <c r="B320" s="134" t="s">
        <v>329</v>
      </c>
      <c r="C320" s="134">
        <v>50</v>
      </c>
      <c r="D320" s="134" t="str">
        <f t="shared" si="21"/>
        <v>1/2" Round BB RS-775 50</v>
      </c>
      <c r="E320" s="134">
        <v>3</v>
      </c>
      <c r="F320" s="134">
        <v>1</v>
      </c>
      <c r="G320" s="134">
        <v>0</v>
      </c>
      <c r="H320" s="134">
        <v>0</v>
      </c>
    </row>
    <row r="321" spans="1:8" ht="14.25" customHeight="1" x14ac:dyDescent="0.3">
      <c r="A321" s="134" t="s">
        <v>242</v>
      </c>
      <c r="B321" s="134" t="s">
        <v>329</v>
      </c>
      <c r="C321" s="134">
        <v>63</v>
      </c>
      <c r="D321" s="134" t="str">
        <f t="shared" si="21"/>
        <v>1/2" Round BB RS-775 63</v>
      </c>
      <c r="E321" s="134">
        <v>1</v>
      </c>
      <c r="F321" s="134">
        <v>0</v>
      </c>
      <c r="G321" s="134">
        <v>0</v>
      </c>
      <c r="H321" s="134">
        <v>0</v>
      </c>
    </row>
    <row r="322" spans="1:8" ht="14.25" customHeight="1" x14ac:dyDescent="0.3">
      <c r="A322" s="134" t="s">
        <v>242</v>
      </c>
      <c r="B322" s="134" t="s">
        <v>329</v>
      </c>
      <c r="C322" s="134">
        <v>70</v>
      </c>
      <c r="D322" s="134" t="str">
        <f t="shared" si="21"/>
        <v>1/2" Round BB RS-775 70</v>
      </c>
      <c r="E322" s="134">
        <v>1</v>
      </c>
      <c r="F322" s="134">
        <v>0</v>
      </c>
      <c r="G322" s="134">
        <v>0</v>
      </c>
      <c r="H322" s="134">
        <v>0</v>
      </c>
    </row>
    <row r="323" spans="1:8" ht="14.25" customHeight="1" x14ac:dyDescent="0.3">
      <c r="A323" s="134" t="s">
        <v>242</v>
      </c>
      <c r="B323" s="134" t="s">
        <v>329</v>
      </c>
      <c r="C323" s="134">
        <v>81</v>
      </c>
      <c r="D323" s="134" t="str">
        <f t="shared" si="21"/>
        <v>1/2" Round BB RS-775 81</v>
      </c>
      <c r="E323" s="134">
        <v>1</v>
      </c>
      <c r="F323" s="134">
        <v>0</v>
      </c>
      <c r="G323" s="134">
        <v>0</v>
      </c>
      <c r="H323" s="134">
        <v>0</v>
      </c>
    </row>
    <row r="324" spans="1:8" ht="14.25" customHeight="1" x14ac:dyDescent="0.3">
      <c r="A324" s="134" t="s">
        <v>242</v>
      </c>
      <c r="B324" s="134" t="s">
        <v>329</v>
      </c>
      <c r="C324" s="134">
        <v>90</v>
      </c>
      <c r="D324" s="134" t="str">
        <f t="shared" si="21"/>
        <v>1/2" Round BB RS-775 90</v>
      </c>
      <c r="E324" s="134">
        <v>1</v>
      </c>
      <c r="F324" s="134">
        <v>0</v>
      </c>
      <c r="G324" s="134">
        <v>0</v>
      </c>
      <c r="H324" s="134">
        <v>0</v>
      </c>
    </row>
    <row r="325" spans="1:8" ht="14.25" customHeight="1" x14ac:dyDescent="0.3">
      <c r="A325" s="134" t="s">
        <v>242</v>
      </c>
      <c r="B325" s="134" t="s">
        <v>329</v>
      </c>
      <c r="C325" s="134">
        <v>100</v>
      </c>
      <c r="D325" s="134" t="str">
        <f t="shared" si="21"/>
        <v>1/2" Round BB RS-775 100</v>
      </c>
      <c r="E325" s="134">
        <v>1</v>
      </c>
      <c r="F325" s="134">
        <v>0</v>
      </c>
      <c r="G325" s="134">
        <v>0</v>
      </c>
      <c r="H325" s="134">
        <v>0</v>
      </c>
    </row>
    <row r="326" spans="1:8" ht="14.25" customHeight="1" x14ac:dyDescent="0.3">
      <c r="A326" s="134" t="s">
        <v>242</v>
      </c>
      <c r="B326" s="134" t="s">
        <v>8</v>
      </c>
      <c r="C326" s="134">
        <v>-3</v>
      </c>
      <c r="D326" s="134" t="str">
        <f t="shared" ref="D326:D331" si="22">A326&amp;" "&amp;B326&amp;" "&amp;C326</f>
        <v>1/2" Round BAG Motor -3</v>
      </c>
      <c r="E326" s="134">
        <v>1</v>
      </c>
      <c r="F326" s="134">
        <v>1</v>
      </c>
      <c r="G326" s="134">
        <v>1</v>
      </c>
      <c r="H326" s="134">
        <v>0</v>
      </c>
    </row>
    <row r="327" spans="1:8" ht="14.25" customHeight="1" x14ac:dyDescent="0.3">
      <c r="A327" s="134" t="s">
        <v>242</v>
      </c>
      <c r="B327" s="134" t="s">
        <v>8</v>
      </c>
      <c r="C327" s="134">
        <v>-4</v>
      </c>
      <c r="D327" s="134" t="str">
        <f t="shared" si="22"/>
        <v>1/2" Round BAG Motor -4</v>
      </c>
      <c r="E327" s="134">
        <v>1</v>
      </c>
      <c r="F327" s="134">
        <v>1</v>
      </c>
      <c r="G327" s="134">
        <v>1</v>
      </c>
      <c r="H327" s="134">
        <v>0</v>
      </c>
    </row>
    <row r="328" spans="1:8" ht="14.25" customHeight="1" x14ac:dyDescent="0.3">
      <c r="A328" s="134" t="s">
        <v>242</v>
      </c>
      <c r="B328" s="134" t="s">
        <v>8</v>
      </c>
      <c r="C328" s="134">
        <v>-5</v>
      </c>
      <c r="D328" s="134" t="str">
        <f t="shared" si="22"/>
        <v>1/2" Round BAG Motor -5</v>
      </c>
      <c r="E328" s="134">
        <v>1</v>
      </c>
      <c r="F328" s="134">
        <v>1</v>
      </c>
      <c r="G328" s="134">
        <v>1</v>
      </c>
      <c r="H328" s="134">
        <v>0</v>
      </c>
    </row>
    <row r="329" spans="1:8" ht="14.25" customHeight="1" x14ac:dyDescent="0.3">
      <c r="A329" s="134" t="s">
        <v>242</v>
      </c>
      <c r="B329" s="134" t="s">
        <v>8</v>
      </c>
      <c r="C329" s="134">
        <v>-7</v>
      </c>
      <c r="D329" s="134" t="str">
        <f t="shared" si="22"/>
        <v>1/2" Round BAG Motor -7</v>
      </c>
      <c r="E329" s="134">
        <v>1</v>
      </c>
      <c r="F329" s="134">
        <v>1</v>
      </c>
      <c r="G329" s="134">
        <v>1</v>
      </c>
      <c r="H329" s="134">
        <v>0</v>
      </c>
    </row>
    <row r="330" spans="1:8" ht="14.25" customHeight="1" x14ac:dyDescent="0.3">
      <c r="A330" s="134" t="s">
        <v>242</v>
      </c>
      <c r="B330" s="134" t="s">
        <v>8</v>
      </c>
      <c r="C330" s="134">
        <v>-9</v>
      </c>
      <c r="D330" s="134" t="str">
        <f t="shared" si="22"/>
        <v>1/2" Round BAG Motor -9</v>
      </c>
      <c r="E330" s="134">
        <v>1</v>
      </c>
      <c r="F330" s="134">
        <v>1</v>
      </c>
      <c r="G330" s="134">
        <v>0</v>
      </c>
      <c r="H330" s="134">
        <v>0</v>
      </c>
    </row>
    <row r="331" spans="1:8" ht="14.25" customHeight="1" x14ac:dyDescent="0.3">
      <c r="A331" s="134" t="s">
        <v>242</v>
      </c>
      <c r="B331" s="134" t="s">
        <v>8</v>
      </c>
      <c r="C331" s="134">
        <v>-10</v>
      </c>
      <c r="D331" s="134" t="str">
        <f t="shared" si="22"/>
        <v>1/2" Round BAG Motor -10</v>
      </c>
      <c r="E331" s="134">
        <v>1</v>
      </c>
      <c r="F331" s="134">
        <v>1</v>
      </c>
      <c r="G331" s="134">
        <v>0</v>
      </c>
      <c r="H331" s="134">
        <v>0</v>
      </c>
    </row>
    <row r="332" spans="1:8" ht="14.25" customHeight="1" x14ac:dyDescent="0.3">
      <c r="A332" s="134" t="s">
        <v>242</v>
      </c>
      <c r="B332" s="134" t="s">
        <v>8</v>
      </c>
      <c r="C332" s="134">
        <v>9</v>
      </c>
      <c r="D332" s="134" t="str">
        <f t="shared" ref="D332:D352" si="23">A332&amp;" "&amp;B332&amp;" "&amp;C332</f>
        <v>1/2" Round BAG Motor 9</v>
      </c>
      <c r="E332" s="134">
        <v>10</v>
      </c>
      <c r="F332" s="134">
        <v>10</v>
      </c>
      <c r="G332" s="134">
        <v>1</v>
      </c>
      <c r="H332" s="134">
        <v>0</v>
      </c>
    </row>
    <row r="333" spans="1:8" ht="14.25" customHeight="1" x14ac:dyDescent="0.3">
      <c r="A333" s="134" t="s">
        <v>242</v>
      </c>
      <c r="B333" s="134" t="s">
        <v>8</v>
      </c>
      <c r="C333" s="134">
        <v>12</v>
      </c>
      <c r="D333" s="134" t="str">
        <f t="shared" si="23"/>
        <v>1/2" Round BAG Motor 12</v>
      </c>
      <c r="E333" s="134">
        <v>10</v>
      </c>
      <c r="F333" s="134">
        <v>9</v>
      </c>
      <c r="G333" s="134">
        <v>1</v>
      </c>
      <c r="H333" s="134">
        <v>0</v>
      </c>
    </row>
    <row r="334" spans="1:8" ht="14.25" customHeight="1" x14ac:dyDescent="0.3">
      <c r="A334" s="134" t="s">
        <v>242</v>
      </c>
      <c r="B334" s="134" t="s">
        <v>8</v>
      </c>
      <c r="C334" s="134">
        <v>15</v>
      </c>
      <c r="D334" s="134" t="str">
        <f t="shared" si="23"/>
        <v>1/2" Round BAG Motor 15</v>
      </c>
      <c r="E334" s="134">
        <v>10</v>
      </c>
      <c r="F334" s="134">
        <v>7</v>
      </c>
      <c r="G334" s="134">
        <v>0</v>
      </c>
      <c r="H334" s="134">
        <v>0</v>
      </c>
    </row>
    <row r="335" spans="1:8" ht="14.25" customHeight="1" x14ac:dyDescent="0.3">
      <c r="A335" s="134" t="s">
        <v>242</v>
      </c>
      <c r="B335" s="134" t="s">
        <v>8</v>
      </c>
      <c r="C335" s="134">
        <v>16</v>
      </c>
      <c r="D335" s="134" t="str">
        <f t="shared" si="23"/>
        <v>1/2" Round BAG Motor 16</v>
      </c>
      <c r="E335" s="134">
        <v>10</v>
      </c>
      <c r="F335" s="134">
        <v>5</v>
      </c>
      <c r="G335" s="134">
        <v>0</v>
      </c>
      <c r="H335" s="134">
        <v>0</v>
      </c>
    </row>
    <row r="336" spans="1:8" ht="14.25" customHeight="1" x14ac:dyDescent="0.3">
      <c r="A336" s="134" t="s">
        <v>242</v>
      </c>
      <c r="B336" s="134" t="s">
        <v>8</v>
      </c>
      <c r="C336" s="134">
        <v>20</v>
      </c>
      <c r="D336" s="134" t="str">
        <f t="shared" si="23"/>
        <v>1/2" Round BAG Motor 20</v>
      </c>
      <c r="E336" s="134">
        <v>10</v>
      </c>
      <c r="F336" s="134">
        <v>5</v>
      </c>
      <c r="G336" s="134">
        <v>0</v>
      </c>
      <c r="H336" s="134">
        <v>0</v>
      </c>
    </row>
    <row r="337" spans="1:8" ht="14.25" customHeight="1" x14ac:dyDescent="0.3">
      <c r="A337" s="134" t="s">
        <v>242</v>
      </c>
      <c r="B337" s="134" t="s">
        <v>8</v>
      </c>
      <c r="C337" s="134">
        <v>21</v>
      </c>
      <c r="D337" s="134" t="str">
        <f t="shared" si="23"/>
        <v>1/2" Round BAG Motor 21</v>
      </c>
      <c r="E337" s="134">
        <v>10</v>
      </c>
      <c r="F337" s="134">
        <v>5</v>
      </c>
      <c r="G337" s="134">
        <v>0</v>
      </c>
      <c r="H337" s="134">
        <v>0</v>
      </c>
    </row>
    <row r="338" spans="1:8" ht="14.25" customHeight="1" x14ac:dyDescent="0.3">
      <c r="A338" s="134" t="s">
        <v>242</v>
      </c>
      <c r="B338" s="134" t="s">
        <v>8</v>
      </c>
      <c r="C338" s="134">
        <v>25</v>
      </c>
      <c r="D338" s="134" t="str">
        <f t="shared" si="23"/>
        <v>1/2" Round BAG Motor 25</v>
      </c>
      <c r="E338" s="134">
        <v>7</v>
      </c>
      <c r="F338" s="134">
        <v>5</v>
      </c>
      <c r="G338" s="134">
        <v>0</v>
      </c>
      <c r="H338" s="134">
        <v>0</v>
      </c>
    </row>
    <row r="339" spans="1:8" ht="14.25" customHeight="1" x14ac:dyDescent="0.3">
      <c r="A339" s="134" t="s">
        <v>242</v>
      </c>
      <c r="B339" s="134" t="s">
        <v>8</v>
      </c>
      <c r="C339" s="134">
        <v>27</v>
      </c>
      <c r="D339" s="134" t="str">
        <f t="shared" si="23"/>
        <v>1/2" Round BAG Motor 27</v>
      </c>
      <c r="E339" s="134">
        <v>7</v>
      </c>
      <c r="F339" s="134">
        <v>5</v>
      </c>
      <c r="G339" s="134">
        <v>0</v>
      </c>
      <c r="H339" s="134">
        <v>0</v>
      </c>
    </row>
    <row r="340" spans="1:8" ht="14.25" customHeight="1" x14ac:dyDescent="0.3">
      <c r="A340" s="134" t="s">
        <v>242</v>
      </c>
      <c r="B340" s="134" t="s">
        <v>8</v>
      </c>
      <c r="C340" s="134">
        <v>28</v>
      </c>
      <c r="D340" s="134" t="str">
        <f t="shared" si="23"/>
        <v>1/2" Round BAG Motor 28</v>
      </c>
      <c r="E340" s="134">
        <v>7</v>
      </c>
      <c r="F340" s="134">
        <v>5</v>
      </c>
      <c r="G340" s="134">
        <v>0</v>
      </c>
      <c r="H340" s="134">
        <v>0</v>
      </c>
    </row>
    <row r="341" spans="1:8" ht="14.25" customHeight="1" x14ac:dyDescent="0.3">
      <c r="A341" s="134" t="s">
        <v>242</v>
      </c>
      <c r="B341" s="134" t="s">
        <v>8</v>
      </c>
      <c r="C341" s="134">
        <v>30</v>
      </c>
      <c r="D341" s="134" t="str">
        <f t="shared" si="23"/>
        <v>1/2" Round BAG Motor 30</v>
      </c>
      <c r="E341" s="134">
        <v>7</v>
      </c>
      <c r="F341" s="134">
        <v>4</v>
      </c>
      <c r="G341" s="134">
        <v>0</v>
      </c>
      <c r="H341" s="134">
        <v>0</v>
      </c>
    </row>
    <row r="342" spans="1:8" ht="14.25" customHeight="1" x14ac:dyDescent="0.3">
      <c r="A342" s="134" t="s">
        <v>242</v>
      </c>
      <c r="B342" s="134" t="s">
        <v>8</v>
      </c>
      <c r="C342" s="134">
        <v>35</v>
      </c>
      <c r="D342" s="134" t="str">
        <f t="shared" si="23"/>
        <v>1/2" Round BAG Motor 35</v>
      </c>
      <c r="E342" s="134">
        <v>5</v>
      </c>
      <c r="F342" s="134">
        <v>4</v>
      </c>
      <c r="G342" s="134">
        <v>0</v>
      </c>
      <c r="H342" s="134">
        <v>0</v>
      </c>
    </row>
    <row r="343" spans="1:8" ht="14.25" customHeight="1" x14ac:dyDescent="0.3">
      <c r="A343" s="134" t="s">
        <v>242</v>
      </c>
      <c r="B343" s="134" t="s">
        <v>8</v>
      </c>
      <c r="C343" s="134">
        <v>36</v>
      </c>
      <c r="D343" s="134" t="str">
        <f t="shared" si="23"/>
        <v>1/2" Round BAG Motor 36</v>
      </c>
      <c r="E343" s="134">
        <v>5</v>
      </c>
      <c r="F343" s="134">
        <v>4</v>
      </c>
      <c r="G343" s="134">
        <v>0</v>
      </c>
      <c r="H343" s="134">
        <v>0</v>
      </c>
    </row>
    <row r="344" spans="1:8" ht="14.25" customHeight="1" x14ac:dyDescent="0.3">
      <c r="A344" s="134" t="s">
        <v>242</v>
      </c>
      <c r="B344" s="134" t="s">
        <v>8</v>
      </c>
      <c r="C344" s="134">
        <v>40</v>
      </c>
      <c r="D344" s="134" t="str">
        <f t="shared" si="23"/>
        <v>1/2" Round BAG Motor 40</v>
      </c>
      <c r="E344" s="134">
        <v>5</v>
      </c>
      <c r="F344" s="134">
        <v>3</v>
      </c>
      <c r="G344" s="134">
        <v>0</v>
      </c>
      <c r="H344" s="134">
        <v>0</v>
      </c>
    </row>
    <row r="345" spans="1:8" ht="14.25" customHeight="1" x14ac:dyDescent="0.3">
      <c r="A345" s="134" t="s">
        <v>242</v>
      </c>
      <c r="B345" s="134" t="s">
        <v>8</v>
      </c>
      <c r="C345" s="134">
        <v>45</v>
      </c>
      <c r="D345" s="134" t="str">
        <f t="shared" si="23"/>
        <v>1/2" Round BAG Motor 45</v>
      </c>
      <c r="E345" s="134">
        <v>5</v>
      </c>
      <c r="F345" s="134">
        <v>3</v>
      </c>
      <c r="G345" s="134">
        <v>0</v>
      </c>
      <c r="H345" s="134">
        <v>0</v>
      </c>
    </row>
    <row r="346" spans="1:8" ht="14.25" customHeight="1" x14ac:dyDescent="0.3">
      <c r="A346" s="134" t="s">
        <v>242</v>
      </c>
      <c r="B346" s="134" t="s">
        <v>8</v>
      </c>
      <c r="C346" s="134">
        <v>49</v>
      </c>
      <c r="D346" s="134" t="str">
        <f t="shared" si="23"/>
        <v>1/2" Round BAG Motor 49</v>
      </c>
      <c r="E346" s="134">
        <v>5</v>
      </c>
      <c r="F346" s="134">
        <v>1</v>
      </c>
      <c r="G346" s="134">
        <v>0</v>
      </c>
      <c r="H346" s="134">
        <v>0</v>
      </c>
    </row>
    <row r="347" spans="1:8" ht="14.25" customHeight="1" x14ac:dyDescent="0.3">
      <c r="A347" s="134" t="s">
        <v>242</v>
      </c>
      <c r="B347" s="134" t="s">
        <v>8</v>
      </c>
      <c r="C347" s="134">
        <v>50</v>
      </c>
      <c r="D347" s="134" t="str">
        <f t="shared" si="23"/>
        <v>1/2" Round BAG Motor 50</v>
      </c>
      <c r="E347" s="134">
        <v>5</v>
      </c>
      <c r="F347" s="134">
        <v>1</v>
      </c>
      <c r="G347" s="134">
        <v>0</v>
      </c>
      <c r="H347" s="134">
        <v>0</v>
      </c>
    </row>
    <row r="348" spans="1:8" ht="14.25" customHeight="1" x14ac:dyDescent="0.3">
      <c r="A348" s="134" t="s">
        <v>242</v>
      </c>
      <c r="B348" s="134" t="s">
        <v>8</v>
      </c>
      <c r="C348" s="134">
        <v>63</v>
      </c>
      <c r="D348" s="134" t="str">
        <f t="shared" si="23"/>
        <v>1/2" Round BAG Motor 63</v>
      </c>
      <c r="E348" s="134">
        <v>4</v>
      </c>
      <c r="F348" s="134">
        <v>1</v>
      </c>
      <c r="G348" s="134">
        <v>0</v>
      </c>
      <c r="H348" s="134">
        <v>0</v>
      </c>
    </row>
    <row r="349" spans="1:8" ht="14.25" customHeight="1" x14ac:dyDescent="0.3">
      <c r="A349" s="134" t="s">
        <v>242</v>
      </c>
      <c r="B349" s="134" t="s">
        <v>8</v>
      </c>
      <c r="C349" s="134">
        <v>70</v>
      </c>
      <c r="D349" s="134" t="str">
        <f t="shared" si="23"/>
        <v>1/2" Round BAG Motor 70</v>
      </c>
      <c r="E349" s="134">
        <v>4</v>
      </c>
      <c r="F349" s="134">
        <v>1</v>
      </c>
      <c r="G349" s="134">
        <v>0</v>
      </c>
      <c r="H349" s="134">
        <v>0</v>
      </c>
    </row>
    <row r="350" spans="1:8" ht="14.25" customHeight="1" x14ac:dyDescent="0.3">
      <c r="A350" s="134" t="s">
        <v>242</v>
      </c>
      <c r="B350" s="134" t="s">
        <v>8</v>
      </c>
      <c r="C350" s="134">
        <v>81</v>
      </c>
      <c r="D350" s="134" t="str">
        <f t="shared" si="23"/>
        <v>1/2" Round BAG Motor 81</v>
      </c>
      <c r="E350" s="134">
        <v>3</v>
      </c>
      <c r="F350" s="134">
        <v>1</v>
      </c>
      <c r="G350" s="134">
        <v>0</v>
      </c>
      <c r="H350" s="134">
        <v>0</v>
      </c>
    </row>
    <row r="351" spans="1:8" ht="14.25" customHeight="1" x14ac:dyDescent="0.3">
      <c r="A351" s="134" t="s">
        <v>242</v>
      </c>
      <c r="B351" s="134" t="s">
        <v>8</v>
      </c>
      <c r="C351" s="134">
        <v>90</v>
      </c>
      <c r="D351" s="134" t="str">
        <f t="shared" si="23"/>
        <v>1/2" Round BAG Motor 90</v>
      </c>
      <c r="E351" s="134">
        <v>3</v>
      </c>
      <c r="F351" s="134">
        <v>1</v>
      </c>
      <c r="G351" s="134">
        <v>0</v>
      </c>
      <c r="H351" s="134">
        <v>0</v>
      </c>
    </row>
    <row r="352" spans="1:8" ht="14.25" customHeight="1" x14ac:dyDescent="0.3">
      <c r="A352" s="134" t="s">
        <v>242</v>
      </c>
      <c r="B352" s="134" t="s">
        <v>8</v>
      </c>
      <c r="C352" s="134">
        <v>100</v>
      </c>
      <c r="D352" s="134" t="str">
        <f t="shared" si="23"/>
        <v>1/2" Round BAG Motor 100</v>
      </c>
      <c r="E352" s="134">
        <v>1</v>
      </c>
      <c r="F352" s="134">
        <v>1</v>
      </c>
      <c r="G352" s="134">
        <v>0</v>
      </c>
      <c r="H352" s="134">
        <v>0</v>
      </c>
    </row>
    <row r="353" spans="1:8" ht="14.25" customHeight="1" x14ac:dyDescent="0.3">
      <c r="A353" s="134" t="s">
        <v>242</v>
      </c>
      <c r="B353" s="134" t="s">
        <v>257</v>
      </c>
      <c r="C353" s="134">
        <v>-3</v>
      </c>
      <c r="D353" s="134" t="str">
        <f t="shared" ref="D353:D358" si="24">A353&amp;" "&amp;B353&amp;" "&amp;C353</f>
        <v>1/2" Round 775pro -3</v>
      </c>
      <c r="E353" s="134">
        <v>1</v>
      </c>
      <c r="F353" s="134">
        <v>1</v>
      </c>
      <c r="G353" s="134">
        <v>1</v>
      </c>
      <c r="H353" s="134">
        <v>0</v>
      </c>
    </row>
    <row r="354" spans="1:8" ht="14.25" customHeight="1" x14ac:dyDescent="0.3">
      <c r="A354" s="134" t="s">
        <v>242</v>
      </c>
      <c r="B354" s="134" t="s">
        <v>257</v>
      </c>
      <c r="C354" s="134">
        <v>-4</v>
      </c>
      <c r="D354" s="134" t="str">
        <f t="shared" si="24"/>
        <v>1/2" Round 775pro -4</v>
      </c>
      <c r="E354" s="134">
        <v>1</v>
      </c>
      <c r="F354" s="134">
        <v>1</v>
      </c>
      <c r="G354" s="134">
        <v>1</v>
      </c>
      <c r="H354" s="134">
        <v>0</v>
      </c>
    </row>
    <row r="355" spans="1:8" ht="14.25" customHeight="1" x14ac:dyDescent="0.3">
      <c r="A355" s="134" t="s">
        <v>242</v>
      </c>
      <c r="B355" s="134" t="s">
        <v>257</v>
      </c>
      <c r="C355" s="134">
        <v>-5</v>
      </c>
      <c r="D355" s="134" t="str">
        <f t="shared" si="24"/>
        <v>1/2" Round 775pro -5</v>
      </c>
      <c r="E355" s="134">
        <v>1</v>
      </c>
      <c r="F355" s="134">
        <v>1</v>
      </c>
      <c r="G355" s="134">
        <v>1</v>
      </c>
      <c r="H355" s="134">
        <v>0</v>
      </c>
    </row>
    <row r="356" spans="1:8" ht="14.25" customHeight="1" x14ac:dyDescent="0.3">
      <c r="A356" s="134" t="s">
        <v>242</v>
      </c>
      <c r="B356" s="134" t="s">
        <v>257</v>
      </c>
      <c r="C356" s="134">
        <v>-7</v>
      </c>
      <c r="D356" s="134" t="str">
        <f t="shared" si="24"/>
        <v>1/2" Round 775pro -7</v>
      </c>
      <c r="E356" s="134">
        <v>1</v>
      </c>
      <c r="F356" s="134">
        <v>1</v>
      </c>
      <c r="G356" s="134">
        <v>0</v>
      </c>
      <c r="H356" s="134">
        <v>0</v>
      </c>
    </row>
    <row r="357" spans="1:8" ht="14.25" customHeight="1" x14ac:dyDescent="0.3">
      <c r="A357" s="134" t="s">
        <v>242</v>
      </c>
      <c r="B357" s="134" t="s">
        <v>257</v>
      </c>
      <c r="C357" s="134">
        <v>-9</v>
      </c>
      <c r="D357" s="134" t="str">
        <f t="shared" si="24"/>
        <v>1/2" Round 775pro -9</v>
      </c>
      <c r="E357" s="134">
        <v>1</v>
      </c>
      <c r="F357" s="134">
        <v>1</v>
      </c>
      <c r="G357" s="134">
        <v>0</v>
      </c>
      <c r="H357" s="134">
        <v>0</v>
      </c>
    </row>
    <row r="358" spans="1:8" ht="14.25" customHeight="1" x14ac:dyDescent="0.3">
      <c r="A358" s="134" t="s">
        <v>242</v>
      </c>
      <c r="B358" s="134" t="s">
        <v>257</v>
      </c>
      <c r="C358" s="134">
        <v>-10</v>
      </c>
      <c r="D358" s="134" t="str">
        <f t="shared" si="24"/>
        <v>1/2" Round 775pro -10</v>
      </c>
      <c r="E358" s="134">
        <v>1</v>
      </c>
      <c r="F358" s="134">
        <v>1</v>
      </c>
      <c r="G358" s="134">
        <v>0</v>
      </c>
      <c r="H358" s="134">
        <v>0</v>
      </c>
    </row>
    <row r="359" spans="1:8" ht="14.25" customHeight="1" x14ac:dyDescent="0.3">
      <c r="A359" s="134" t="s">
        <v>242</v>
      </c>
      <c r="B359" s="134" t="s">
        <v>257</v>
      </c>
      <c r="C359" s="134">
        <v>9</v>
      </c>
      <c r="D359" s="134" t="str">
        <f t="shared" ref="D359:D379" si="25">A359&amp;" "&amp;B359&amp;" "&amp;C359</f>
        <v>1/2" Round 775pro 9</v>
      </c>
      <c r="E359" s="134">
        <v>10</v>
      </c>
      <c r="F359" s="134">
        <v>7</v>
      </c>
      <c r="G359" s="134">
        <v>0</v>
      </c>
      <c r="H359" s="134">
        <v>0</v>
      </c>
    </row>
    <row r="360" spans="1:8" ht="14.25" customHeight="1" x14ac:dyDescent="0.3">
      <c r="A360" s="134" t="s">
        <v>242</v>
      </c>
      <c r="B360" s="134" t="s">
        <v>257</v>
      </c>
      <c r="C360" s="134">
        <v>12</v>
      </c>
      <c r="D360" s="134" t="str">
        <f t="shared" si="25"/>
        <v>1/2" Round 775pro 12</v>
      </c>
      <c r="E360" s="134">
        <v>10</v>
      </c>
      <c r="F360" s="134">
        <v>5</v>
      </c>
      <c r="G360" s="134">
        <v>0</v>
      </c>
      <c r="H360" s="134">
        <v>0</v>
      </c>
    </row>
    <row r="361" spans="1:8" ht="14.25" customHeight="1" x14ac:dyDescent="0.3">
      <c r="A361" s="134" t="s">
        <v>242</v>
      </c>
      <c r="B361" s="134" t="s">
        <v>257</v>
      </c>
      <c r="C361" s="134">
        <v>15</v>
      </c>
      <c r="D361" s="134" t="str">
        <f t="shared" si="25"/>
        <v>1/2" Round 775pro 15</v>
      </c>
      <c r="E361" s="134">
        <v>9</v>
      </c>
      <c r="F361" s="134">
        <v>5</v>
      </c>
      <c r="G361" s="134">
        <v>0</v>
      </c>
      <c r="H361" s="134">
        <v>0</v>
      </c>
    </row>
    <row r="362" spans="1:8" ht="14.25" customHeight="1" x14ac:dyDescent="0.3">
      <c r="A362" s="134" t="s">
        <v>242</v>
      </c>
      <c r="B362" s="134" t="s">
        <v>257</v>
      </c>
      <c r="C362" s="134">
        <v>16</v>
      </c>
      <c r="D362" s="134" t="str">
        <f t="shared" si="25"/>
        <v>1/2" Round 775pro 16</v>
      </c>
      <c r="E362" s="134">
        <v>7</v>
      </c>
      <c r="F362" s="134">
        <v>5</v>
      </c>
      <c r="G362" s="134">
        <v>0</v>
      </c>
      <c r="H362" s="134">
        <v>0</v>
      </c>
    </row>
    <row r="363" spans="1:8" ht="14.25" customHeight="1" x14ac:dyDescent="0.3">
      <c r="A363" s="134" t="s">
        <v>242</v>
      </c>
      <c r="B363" s="134" t="s">
        <v>257</v>
      </c>
      <c r="C363" s="134">
        <v>20</v>
      </c>
      <c r="D363" s="134" t="str">
        <f t="shared" si="25"/>
        <v>1/2" Round 775pro 20</v>
      </c>
      <c r="E363" s="134">
        <v>5</v>
      </c>
      <c r="F363" s="134">
        <v>4</v>
      </c>
      <c r="G363" s="134">
        <v>0</v>
      </c>
      <c r="H363" s="134">
        <v>0</v>
      </c>
    </row>
    <row r="364" spans="1:8" ht="14.25" customHeight="1" x14ac:dyDescent="0.3">
      <c r="A364" s="134" t="s">
        <v>242</v>
      </c>
      <c r="B364" s="134" t="s">
        <v>257</v>
      </c>
      <c r="C364" s="134">
        <v>21</v>
      </c>
      <c r="D364" s="134" t="str">
        <f t="shared" si="25"/>
        <v>1/2" Round 775pro 21</v>
      </c>
      <c r="E364" s="134">
        <v>5</v>
      </c>
      <c r="F364" s="134">
        <v>4</v>
      </c>
      <c r="G364" s="134">
        <v>0</v>
      </c>
      <c r="H364" s="134">
        <v>0</v>
      </c>
    </row>
    <row r="365" spans="1:8" ht="14.25" customHeight="1" x14ac:dyDescent="0.3">
      <c r="A365" s="134" t="s">
        <v>242</v>
      </c>
      <c r="B365" s="134" t="s">
        <v>257</v>
      </c>
      <c r="C365" s="134">
        <v>25</v>
      </c>
      <c r="D365" s="134" t="str">
        <f t="shared" si="25"/>
        <v>1/2" Round 775pro 25</v>
      </c>
      <c r="E365" s="134">
        <v>5</v>
      </c>
      <c r="F365" s="134">
        <v>3</v>
      </c>
      <c r="G365" s="134">
        <v>0</v>
      </c>
      <c r="H365" s="134">
        <v>0</v>
      </c>
    </row>
    <row r="366" spans="1:8" ht="14.25" customHeight="1" x14ac:dyDescent="0.3">
      <c r="A366" s="134" t="s">
        <v>242</v>
      </c>
      <c r="B366" s="134" t="s">
        <v>257</v>
      </c>
      <c r="C366" s="134">
        <v>27</v>
      </c>
      <c r="D366" s="134" t="str">
        <f t="shared" si="25"/>
        <v>1/2" Round 775pro 27</v>
      </c>
      <c r="E366" s="134">
        <v>5</v>
      </c>
      <c r="F366" s="134">
        <v>3</v>
      </c>
      <c r="G366" s="134">
        <v>0</v>
      </c>
      <c r="H366" s="134">
        <v>0</v>
      </c>
    </row>
    <row r="367" spans="1:8" ht="14.25" customHeight="1" x14ac:dyDescent="0.3">
      <c r="A367" s="134" t="s">
        <v>242</v>
      </c>
      <c r="B367" s="134" t="s">
        <v>257</v>
      </c>
      <c r="C367" s="134">
        <v>28</v>
      </c>
      <c r="D367" s="134" t="str">
        <f t="shared" si="25"/>
        <v>1/2" Round 775pro 28</v>
      </c>
      <c r="E367" s="134">
        <v>5</v>
      </c>
      <c r="F367" s="134">
        <v>3</v>
      </c>
      <c r="G367" s="134">
        <v>0</v>
      </c>
      <c r="H367" s="134">
        <v>0</v>
      </c>
    </row>
    <row r="368" spans="1:8" ht="14.25" customHeight="1" x14ac:dyDescent="0.3">
      <c r="A368" s="134" t="s">
        <v>242</v>
      </c>
      <c r="B368" s="134" t="s">
        <v>257</v>
      </c>
      <c r="C368" s="134">
        <v>30</v>
      </c>
      <c r="D368" s="134" t="str">
        <f t="shared" si="25"/>
        <v>1/2" Round 775pro 30</v>
      </c>
      <c r="E368" s="134">
        <v>5</v>
      </c>
      <c r="F368" s="134">
        <v>3</v>
      </c>
      <c r="G368" s="134">
        <v>0</v>
      </c>
      <c r="H368" s="134">
        <v>0</v>
      </c>
    </row>
    <row r="369" spans="1:9" ht="14.25" customHeight="1" x14ac:dyDescent="0.3">
      <c r="A369" s="134" t="s">
        <v>242</v>
      </c>
      <c r="B369" s="134" t="s">
        <v>257</v>
      </c>
      <c r="C369" s="134">
        <v>35</v>
      </c>
      <c r="D369" s="134" t="str">
        <f t="shared" si="25"/>
        <v>1/2" Round 775pro 35</v>
      </c>
      <c r="E369" s="134">
        <v>5</v>
      </c>
      <c r="F369" s="134">
        <v>1</v>
      </c>
      <c r="G369" s="134">
        <v>0</v>
      </c>
      <c r="H369" s="134">
        <v>0</v>
      </c>
    </row>
    <row r="370" spans="1:9" ht="14.25" customHeight="1" x14ac:dyDescent="0.3">
      <c r="A370" s="134" t="s">
        <v>242</v>
      </c>
      <c r="B370" s="134" t="s">
        <v>257</v>
      </c>
      <c r="C370" s="134">
        <v>36</v>
      </c>
      <c r="D370" s="134" t="str">
        <f t="shared" si="25"/>
        <v>1/2" Round 775pro 36</v>
      </c>
      <c r="E370" s="134">
        <v>5</v>
      </c>
      <c r="F370" s="134">
        <v>1</v>
      </c>
      <c r="G370" s="134">
        <v>0</v>
      </c>
      <c r="H370" s="134">
        <v>0</v>
      </c>
    </row>
    <row r="371" spans="1:9" ht="14.25" customHeight="1" x14ac:dyDescent="0.3">
      <c r="A371" s="134" t="s">
        <v>242</v>
      </c>
      <c r="B371" s="134" t="s">
        <v>257</v>
      </c>
      <c r="C371" s="134">
        <v>40</v>
      </c>
      <c r="D371" s="134" t="str">
        <f t="shared" si="25"/>
        <v>1/2" Round 775pro 40</v>
      </c>
      <c r="E371" s="134">
        <v>4</v>
      </c>
      <c r="F371" s="134">
        <v>1</v>
      </c>
      <c r="G371" s="134">
        <v>0</v>
      </c>
      <c r="H371" s="134">
        <v>0</v>
      </c>
    </row>
    <row r="372" spans="1:9" ht="14.25" customHeight="1" x14ac:dyDescent="0.3">
      <c r="A372" s="134" t="s">
        <v>242</v>
      </c>
      <c r="B372" s="134" t="s">
        <v>257</v>
      </c>
      <c r="C372" s="134">
        <v>45</v>
      </c>
      <c r="D372" s="134" t="str">
        <f t="shared" si="25"/>
        <v>1/2" Round 775pro 45</v>
      </c>
      <c r="E372" s="134">
        <v>4</v>
      </c>
      <c r="F372" s="134">
        <v>1</v>
      </c>
      <c r="G372" s="134">
        <v>0</v>
      </c>
      <c r="H372" s="134">
        <v>0</v>
      </c>
    </row>
    <row r="373" spans="1:9" ht="14.25" customHeight="1" x14ac:dyDescent="0.3">
      <c r="A373" s="134" t="s">
        <v>242</v>
      </c>
      <c r="B373" s="134" t="s">
        <v>257</v>
      </c>
      <c r="C373" s="134">
        <v>49</v>
      </c>
      <c r="D373" s="134" t="str">
        <f t="shared" si="25"/>
        <v>1/2" Round 775pro 49</v>
      </c>
      <c r="E373" s="134">
        <v>3</v>
      </c>
      <c r="F373" s="134">
        <v>1</v>
      </c>
      <c r="G373" s="134">
        <v>0</v>
      </c>
      <c r="H373" s="134">
        <v>0</v>
      </c>
    </row>
    <row r="374" spans="1:9" ht="14.25" customHeight="1" x14ac:dyDescent="0.3">
      <c r="A374" s="134" t="s">
        <v>242</v>
      </c>
      <c r="B374" s="134" t="s">
        <v>257</v>
      </c>
      <c r="C374" s="134">
        <v>50</v>
      </c>
      <c r="D374" s="134" t="str">
        <f t="shared" si="25"/>
        <v>1/2" Round 775pro 50</v>
      </c>
      <c r="E374" s="134">
        <v>3</v>
      </c>
      <c r="F374" s="134">
        <v>1</v>
      </c>
      <c r="G374" s="134">
        <v>0</v>
      </c>
      <c r="H374" s="134">
        <v>0</v>
      </c>
    </row>
    <row r="375" spans="1:9" ht="14.25" customHeight="1" x14ac:dyDescent="0.3">
      <c r="A375" s="134" t="s">
        <v>242</v>
      </c>
      <c r="B375" s="134" t="s">
        <v>257</v>
      </c>
      <c r="C375" s="134">
        <v>63</v>
      </c>
      <c r="D375" s="134" t="str">
        <f t="shared" si="25"/>
        <v>1/2" Round 775pro 63</v>
      </c>
      <c r="E375" s="134">
        <v>1</v>
      </c>
      <c r="F375" s="134">
        <v>1</v>
      </c>
      <c r="G375" s="134">
        <v>0</v>
      </c>
      <c r="H375" s="134">
        <v>0</v>
      </c>
    </row>
    <row r="376" spans="1:9" ht="14.25" customHeight="1" x14ac:dyDescent="0.3">
      <c r="A376" s="134" t="s">
        <v>242</v>
      </c>
      <c r="B376" s="134" t="s">
        <v>257</v>
      </c>
      <c r="C376" s="134">
        <v>70</v>
      </c>
      <c r="D376" s="134" t="str">
        <f t="shared" si="25"/>
        <v>1/2" Round 775pro 70</v>
      </c>
      <c r="E376" s="134">
        <v>1</v>
      </c>
      <c r="F376" s="134">
        <v>0</v>
      </c>
      <c r="G376" s="134">
        <v>0</v>
      </c>
      <c r="H376" s="134">
        <v>0</v>
      </c>
    </row>
    <row r="377" spans="1:9" ht="14.25" customHeight="1" x14ac:dyDescent="0.3">
      <c r="A377" s="134" t="s">
        <v>242</v>
      </c>
      <c r="B377" s="134" t="s">
        <v>257</v>
      </c>
      <c r="C377" s="134">
        <v>81</v>
      </c>
      <c r="D377" s="134" t="str">
        <f t="shared" si="25"/>
        <v>1/2" Round 775pro 81</v>
      </c>
      <c r="E377" s="134">
        <v>1</v>
      </c>
      <c r="F377" s="134">
        <v>0</v>
      </c>
      <c r="G377" s="134">
        <v>0</v>
      </c>
      <c r="H377" s="134">
        <v>0</v>
      </c>
    </row>
    <row r="378" spans="1:9" ht="14.25" customHeight="1" x14ac:dyDescent="0.3">
      <c r="A378" s="134" t="s">
        <v>242</v>
      </c>
      <c r="B378" s="134" t="s">
        <v>257</v>
      </c>
      <c r="C378" s="134">
        <v>90</v>
      </c>
      <c r="D378" s="134" t="str">
        <f t="shared" si="25"/>
        <v>1/2" Round 775pro 90</v>
      </c>
      <c r="E378" s="134">
        <v>1</v>
      </c>
      <c r="F378" s="134">
        <v>0</v>
      </c>
      <c r="G378" s="134">
        <v>0</v>
      </c>
      <c r="H378" s="134">
        <v>0</v>
      </c>
    </row>
    <row r="379" spans="1:9" ht="14.25" customHeight="1" x14ac:dyDescent="0.3">
      <c r="A379" s="134" t="s">
        <v>242</v>
      </c>
      <c r="B379" s="134" t="s">
        <v>257</v>
      </c>
      <c r="C379" s="134">
        <v>100</v>
      </c>
      <c r="D379" s="134" t="str">
        <f t="shared" si="25"/>
        <v>1/2" Round 775pro 100</v>
      </c>
      <c r="E379" s="134">
        <v>1</v>
      </c>
      <c r="F379" s="134">
        <v>0</v>
      </c>
      <c r="G379" s="134">
        <v>0</v>
      </c>
      <c r="H379" s="134">
        <v>0</v>
      </c>
    </row>
    <row r="380" spans="1:9" ht="14.25" customHeight="1" x14ac:dyDescent="0.3">
      <c r="A380" s="134" t="s">
        <v>242</v>
      </c>
      <c r="B380" s="134" t="s">
        <v>7</v>
      </c>
      <c r="C380" s="134">
        <v>-3</v>
      </c>
      <c r="D380" s="134" t="str">
        <f t="shared" ref="D380:D385" si="26">A380&amp;" "&amp;B380&amp;" "&amp;C380</f>
        <v>1/2" Round Mini CIM -3</v>
      </c>
      <c r="E380" s="134">
        <v>1</v>
      </c>
      <c r="I380" s="134">
        <v>0</v>
      </c>
    </row>
    <row r="381" spans="1:9" ht="14.25" customHeight="1" x14ac:dyDescent="0.3">
      <c r="A381" s="134" t="s">
        <v>242</v>
      </c>
      <c r="B381" s="134" t="s">
        <v>7</v>
      </c>
      <c r="C381" s="134">
        <v>-4</v>
      </c>
      <c r="D381" s="134" t="str">
        <f t="shared" si="26"/>
        <v>1/2" Round Mini CIM -4</v>
      </c>
      <c r="E381" s="134">
        <v>1</v>
      </c>
      <c r="I381" s="134">
        <v>0</v>
      </c>
    </row>
    <row r="382" spans="1:9" ht="14.25" customHeight="1" x14ac:dyDescent="0.3">
      <c r="A382" s="134" t="s">
        <v>242</v>
      </c>
      <c r="B382" s="134" t="s">
        <v>7</v>
      </c>
      <c r="C382" s="134">
        <v>-5</v>
      </c>
      <c r="D382" s="134" t="str">
        <f t="shared" si="26"/>
        <v>1/2" Round Mini CIM -5</v>
      </c>
      <c r="E382" s="134">
        <v>1</v>
      </c>
      <c r="I382" s="134">
        <v>0</v>
      </c>
    </row>
    <row r="383" spans="1:9" ht="14.25" customHeight="1" x14ac:dyDescent="0.3">
      <c r="A383" s="134" t="s">
        <v>242</v>
      </c>
      <c r="B383" s="134" t="s">
        <v>7</v>
      </c>
      <c r="C383" s="134">
        <v>-7</v>
      </c>
      <c r="D383" s="134" t="str">
        <f t="shared" si="26"/>
        <v>1/2" Round Mini CIM -7</v>
      </c>
      <c r="E383" s="134">
        <v>1</v>
      </c>
      <c r="I383" s="134">
        <v>0</v>
      </c>
    </row>
    <row r="384" spans="1:9" ht="14.25" customHeight="1" x14ac:dyDescent="0.3">
      <c r="A384" s="134" t="s">
        <v>242</v>
      </c>
      <c r="B384" s="134" t="s">
        <v>7</v>
      </c>
      <c r="C384" s="134">
        <v>-9</v>
      </c>
      <c r="D384" s="134" t="str">
        <f t="shared" si="26"/>
        <v>1/2" Round Mini CIM -9</v>
      </c>
      <c r="E384" s="134">
        <v>1</v>
      </c>
      <c r="I384" s="134">
        <v>0</v>
      </c>
    </row>
    <row r="385" spans="1:9" ht="14.25" customHeight="1" x14ac:dyDescent="0.3">
      <c r="A385" s="134" t="s">
        <v>242</v>
      </c>
      <c r="B385" s="134" t="s">
        <v>7</v>
      </c>
      <c r="C385" s="134">
        <v>-10</v>
      </c>
      <c r="D385" s="134" t="str">
        <f t="shared" si="26"/>
        <v>1/2" Round Mini CIM -10</v>
      </c>
      <c r="E385" s="134">
        <v>1</v>
      </c>
      <c r="I385" s="134">
        <v>0</v>
      </c>
    </row>
    <row r="386" spans="1:9" ht="14.25" customHeight="1" x14ac:dyDescent="0.3">
      <c r="A386" s="134" t="s">
        <v>242</v>
      </c>
      <c r="B386" s="134" t="s">
        <v>7</v>
      </c>
      <c r="C386" s="134">
        <v>9</v>
      </c>
      <c r="D386" s="134" t="str">
        <f t="shared" ref="D386:D406" si="27">A386&amp;" "&amp;B386&amp;" "&amp;C386</f>
        <v>1/2" Round Mini CIM 9</v>
      </c>
      <c r="E386" s="134">
        <v>7</v>
      </c>
      <c r="I386" s="134">
        <v>0</v>
      </c>
    </row>
    <row r="387" spans="1:9" ht="14.25" customHeight="1" x14ac:dyDescent="0.3">
      <c r="A387" s="134" t="s">
        <v>242</v>
      </c>
      <c r="B387" s="134" t="s">
        <v>7</v>
      </c>
      <c r="C387" s="134">
        <v>12</v>
      </c>
      <c r="D387" s="134" t="str">
        <f t="shared" si="27"/>
        <v>1/2" Round Mini CIM 12</v>
      </c>
      <c r="E387" s="134">
        <v>5</v>
      </c>
      <c r="I387" s="134">
        <v>0</v>
      </c>
    </row>
    <row r="388" spans="1:9" ht="14.25" customHeight="1" x14ac:dyDescent="0.3">
      <c r="A388" s="134" t="s">
        <v>242</v>
      </c>
      <c r="B388" s="134" t="s">
        <v>7</v>
      </c>
      <c r="C388" s="134">
        <v>15</v>
      </c>
      <c r="D388" s="134" t="str">
        <f t="shared" si="27"/>
        <v>1/2" Round Mini CIM 15</v>
      </c>
      <c r="E388" s="134">
        <v>5</v>
      </c>
      <c r="I388" s="134">
        <v>0</v>
      </c>
    </row>
    <row r="389" spans="1:9" ht="14.25" customHeight="1" x14ac:dyDescent="0.3">
      <c r="A389" s="134" t="s">
        <v>242</v>
      </c>
      <c r="B389" s="134" t="s">
        <v>7</v>
      </c>
      <c r="C389" s="134">
        <v>16</v>
      </c>
      <c r="D389" s="134" t="str">
        <f t="shared" si="27"/>
        <v>1/2" Round Mini CIM 16</v>
      </c>
      <c r="E389" s="134">
        <v>5</v>
      </c>
      <c r="I389" s="134">
        <v>0</v>
      </c>
    </row>
    <row r="390" spans="1:9" ht="14.25" customHeight="1" x14ac:dyDescent="0.3">
      <c r="A390" s="134" t="s">
        <v>242</v>
      </c>
      <c r="B390" s="134" t="s">
        <v>7</v>
      </c>
      <c r="C390" s="134">
        <v>20</v>
      </c>
      <c r="D390" s="134" t="str">
        <f t="shared" si="27"/>
        <v>1/2" Round Mini CIM 20</v>
      </c>
      <c r="E390" s="134">
        <v>4</v>
      </c>
      <c r="I390" s="134">
        <v>0</v>
      </c>
    </row>
    <row r="391" spans="1:9" ht="14.25" customHeight="1" x14ac:dyDescent="0.3">
      <c r="A391" s="134" t="s">
        <v>242</v>
      </c>
      <c r="B391" s="134" t="s">
        <v>7</v>
      </c>
      <c r="C391" s="134">
        <v>21</v>
      </c>
      <c r="D391" s="134" t="str">
        <f t="shared" si="27"/>
        <v>1/2" Round Mini CIM 21</v>
      </c>
      <c r="E391" s="134">
        <v>4</v>
      </c>
      <c r="I391" s="134">
        <v>0</v>
      </c>
    </row>
    <row r="392" spans="1:9" ht="14.25" customHeight="1" x14ac:dyDescent="0.3">
      <c r="A392" s="134" t="s">
        <v>242</v>
      </c>
      <c r="B392" s="134" t="s">
        <v>7</v>
      </c>
      <c r="C392" s="134">
        <v>25</v>
      </c>
      <c r="D392" s="134" t="str">
        <f t="shared" si="27"/>
        <v>1/2" Round Mini CIM 25</v>
      </c>
      <c r="E392" s="134">
        <v>3</v>
      </c>
      <c r="I392" s="134">
        <v>0</v>
      </c>
    </row>
    <row r="393" spans="1:9" ht="14.25" customHeight="1" x14ac:dyDescent="0.3">
      <c r="A393" s="134" t="s">
        <v>242</v>
      </c>
      <c r="B393" s="134" t="s">
        <v>7</v>
      </c>
      <c r="C393" s="134">
        <v>27</v>
      </c>
      <c r="D393" s="134" t="str">
        <f t="shared" si="27"/>
        <v>1/2" Round Mini CIM 27</v>
      </c>
      <c r="E393" s="134">
        <v>3</v>
      </c>
      <c r="I393" s="134">
        <v>0</v>
      </c>
    </row>
    <row r="394" spans="1:9" ht="14.25" customHeight="1" x14ac:dyDescent="0.3">
      <c r="A394" s="134" t="s">
        <v>242</v>
      </c>
      <c r="B394" s="134" t="s">
        <v>7</v>
      </c>
      <c r="C394" s="134">
        <v>28</v>
      </c>
      <c r="D394" s="134" t="str">
        <f t="shared" si="27"/>
        <v>1/2" Round Mini CIM 28</v>
      </c>
      <c r="E394" s="134">
        <v>3</v>
      </c>
      <c r="I394" s="134">
        <v>0</v>
      </c>
    </row>
    <row r="395" spans="1:9" ht="14.25" customHeight="1" x14ac:dyDescent="0.3">
      <c r="A395" s="134" t="s">
        <v>242</v>
      </c>
      <c r="B395" s="134" t="s">
        <v>7</v>
      </c>
      <c r="C395" s="134">
        <v>30</v>
      </c>
      <c r="D395" s="134" t="str">
        <f t="shared" si="27"/>
        <v>1/2" Round Mini CIM 30</v>
      </c>
      <c r="E395" s="134">
        <v>1</v>
      </c>
      <c r="I395" s="134">
        <v>0</v>
      </c>
    </row>
    <row r="396" spans="1:9" ht="14.25" customHeight="1" x14ac:dyDescent="0.3">
      <c r="A396" s="134" t="s">
        <v>242</v>
      </c>
      <c r="B396" s="134" t="s">
        <v>7</v>
      </c>
      <c r="C396" s="134">
        <v>35</v>
      </c>
      <c r="D396" s="134" t="str">
        <f t="shared" si="27"/>
        <v>1/2" Round Mini CIM 35</v>
      </c>
      <c r="E396" s="134">
        <v>1</v>
      </c>
      <c r="I396" s="134">
        <v>0</v>
      </c>
    </row>
    <row r="397" spans="1:9" ht="14.25" customHeight="1" x14ac:dyDescent="0.3">
      <c r="A397" s="134" t="s">
        <v>242</v>
      </c>
      <c r="B397" s="134" t="s">
        <v>7</v>
      </c>
      <c r="C397" s="134">
        <v>36</v>
      </c>
      <c r="D397" s="134" t="str">
        <f t="shared" si="27"/>
        <v>1/2" Round Mini CIM 36</v>
      </c>
      <c r="E397" s="134">
        <v>1</v>
      </c>
      <c r="I397" s="134">
        <v>0</v>
      </c>
    </row>
    <row r="398" spans="1:9" ht="14.25" customHeight="1" x14ac:dyDescent="0.3">
      <c r="A398" s="134" t="s">
        <v>242</v>
      </c>
      <c r="B398" s="134" t="s">
        <v>7</v>
      </c>
      <c r="C398" s="134">
        <v>40</v>
      </c>
      <c r="D398" s="134" t="str">
        <f t="shared" si="27"/>
        <v>1/2" Round Mini CIM 40</v>
      </c>
      <c r="E398" s="134">
        <v>1</v>
      </c>
      <c r="I398" s="134">
        <v>0</v>
      </c>
    </row>
    <row r="399" spans="1:9" ht="14.25" customHeight="1" x14ac:dyDescent="0.3">
      <c r="A399" s="134" t="s">
        <v>242</v>
      </c>
      <c r="B399" s="134" t="s">
        <v>7</v>
      </c>
      <c r="C399" s="134">
        <v>45</v>
      </c>
      <c r="D399" s="134" t="str">
        <f t="shared" si="27"/>
        <v>1/2" Round Mini CIM 45</v>
      </c>
      <c r="E399" s="134">
        <v>1</v>
      </c>
      <c r="I399" s="134">
        <v>0</v>
      </c>
    </row>
    <row r="400" spans="1:9" ht="14.25" customHeight="1" x14ac:dyDescent="0.3">
      <c r="A400" s="134" t="s">
        <v>242</v>
      </c>
      <c r="B400" s="134" t="s">
        <v>7</v>
      </c>
      <c r="C400" s="134">
        <v>49</v>
      </c>
      <c r="D400" s="134" t="str">
        <f t="shared" si="27"/>
        <v>1/2" Round Mini CIM 49</v>
      </c>
      <c r="E400" s="134">
        <v>1</v>
      </c>
      <c r="I400" s="134">
        <v>0</v>
      </c>
    </row>
    <row r="401" spans="1:9" ht="14.25" customHeight="1" x14ac:dyDescent="0.3">
      <c r="A401" s="134" t="s">
        <v>242</v>
      </c>
      <c r="B401" s="134" t="s">
        <v>7</v>
      </c>
      <c r="C401" s="134">
        <v>50</v>
      </c>
      <c r="D401" s="134" t="str">
        <f t="shared" si="27"/>
        <v>1/2" Round Mini CIM 50</v>
      </c>
      <c r="E401" s="134">
        <v>1</v>
      </c>
      <c r="I401" s="134">
        <v>0</v>
      </c>
    </row>
    <row r="402" spans="1:9" ht="14.25" customHeight="1" x14ac:dyDescent="0.3">
      <c r="A402" s="134" t="s">
        <v>242</v>
      </c>
      <c r="B402" s="134" t="s">
        <v>7</v>
      </c>
      <c r="C402" s="134">
        <v>63</v>
      </c>
      <c r="D402" s="134" t="str">
        <f t="shared" si="27"/>
        <v>1/2" Round Mini CIM 63</v>
      </c>
      <c r="E402" s="134">
        <v>1</v>
      </c>
      <c r="I402" s="134">
        <v>0</v>
      </c>
    </row>
    <row r="403" spans="1:9" ht="14.25" customHeight="1" x14ac:dyDescent="0.3">
      <c r="A403" s="134" t="s">
        <v>242</v>
      </c>
      <c r="B403" s="134" t="s">
        <v>7</v>
      </c>
      <c r="C403" s="134">
        <v>70</v>
      </c>
      <c r="D403" s="134" t="str">
        <f t="shared" si="27"/>
        <v>1/2" Round Mini CIM 70</v>
      </c>
      <c r="E403" s="134">
        <v>0</v>
      </c>
      <c r="I403" s="134">
        <v>0</v>
      </c>
    </row>
    <row r="404" spans="1:9" ht="14.25" customHeight="1" x14ac:dyDescent="0.3">
      <c r="A404" s="134" t="s">
        <v>242</v>
      </c>
      <c r="B404" s="134" t="s">
        <v>7</v>
      </c>
      <c r="C404" s="134">
        <v>81</v>
      </c>
      <c r="D404" s="134" t="str">
        <f t="shared" si="27"/>
        <v>1/2" Round Mini CIM 81</v>
      </c>
      <c r="E404" s="134">
        <v>0</v>
      </c>
      <c r="I404" s="134">
        <v>0</v>
      </c>
    </row>
    <row r="405" spans="1:9" ht="14.25" customHeight="1" x14ac:dyDescent="0.3">
      <c r="A405" s="134" t="s">
        <v>242</v>
      </c>
      <c r="B405" s="134" t="s">
        <v>7</v>
      </c>
      <c r="C405" s="134">
        <v>90</v>
      </c>
      <c r="D405" s="134" t="str">
        <f t="shared" si="27"/>
        <v>1/2" Round Mini CIM 90</v>
      </c>
      <c r="E405" s="134">
        <v>0</v>
      </c>
      <c r="I405" s="134">
        <v>0</v>
      </c>
    </row>
    <row r="406" spans="1:9" ht="14.25" customHeight="1" x14ac:dyDescent="0.3">
      <c r="A406" s="134" t="s">
        <v>242</v>
      </c>
      <c r="B406" s="134" t="s">
        <v>7</v>
      </c>
      <c r="C406" s="134">
        <v>100</v>
      </c>
      <c r="D406" s="134" t="str">
        <f t="shared" si="27"/>
        <v>1/2" Round Mini CIM 100</v>
      </c>
      <c r="E406" s="134">
        <v>0</v>
      </c>
      <c r="I406" s="134">
        <v>0</v>
      </c>
    </row>
    <row r="407" spans="1:9" ht="14.25" customHeight="1" x14ac:dyDescent="0.3">
      <c r="A407" s="134" t="s">
        <v>242</v>
      </c>
      <c r="B407" s="134" t="s">
        <v>6</v>
      </c>
      <c r="C407" s="134">
        <v>-3</v>
      </c>
      <c r="D407" s="134" t="str">
        <f t="shared" ref="D407:D412" si="28">A407&amp;" "&amp;B407&amp;" "&amp;C407</f>
        <v>1/2" Round CIM -3</v>
      </c>
      <c r="E407" s="134">
        <v>1</v>
      </c>
      <c r="I407" s="134">
        <v>0</v>
      </c>
    </row>
    <row r="408" spans="1:9" ht="14.25" customHeight="1" x14ac:dyDescent="0.3">
      <c r="A408" s="134" t="s">
        <v>242</v>
      </c>
      <c r="B408" s="134" t="s">
        <v>6</v>
      </c>
      <c r="C408" s="134">
        <v>-4</v>
      </c>
      <c r="D408" s="134" t="str">
        <f t="shared" si="28"/>
        <v>1/2" Round CIM -4</v>
      </c>
      <c r="E408" s="134">
        <v>1</v>
      </c>
      <c r="I408" s="134">
        <v>0</v>
      </c>
    </row>
    <row r="409" spans="1:9" ht="14.25" customHeight="1" x14ac:dyDescent="0.3">
      <c r="A409" s="134" t="s">
        <v>242</v>
      </c>
      <c r="B409" s="134" t="s">
        <v>6</v>
      </c>
      <c r="C409" s="134">
        <v>-5</v>
      </c>
      <c r="D409" s="134" t="str">
        <f t="shared" si="28"/>
        <v>1/2" Round CIM -5</v>
      </c>
      <c r="E409" s="134">
        <v>1</v>
      </c>
      <c r="I409" s="134">
        <v>0</v>
      </c>
    </row>
    <row r="410" spans="1:9" ht="14.25" customHeight="1" x14ac:dyDescent="0.3">
      <c r="A410" s="134" t="s">
        <v>242</v>
      </c>
      <c r="B410" s="134" t="s">
        <v>6</v>
      </c>
      <c r="C410" s="134">
        <v>-7</v>
      </c>
      <c r="D410" s="134" t="str">
        <f t="shared" si="28"/>
        <v>1/2" Round CIM -7</v>
      </c>
      <c r="E410" s="134">
        <v>1</v>
      </c>
      <c r="I410" s="134">
        <v>0</v>
      </c>
    </row>
    <row r="411" spans="1:9" ht="14.25" customHeight="1" x14ac:dyDescent="0.3">
      <c r="A411" s="134" t="s">
        <v>242</v>
      </c>
      <c r="B411" s="134" t="s">
        <v>6</v>
      </c>
      <c r="C411" s="134">
        <v>-9</v>
      </c>
      <c r="D411" s="134" t="str">
        <f t="shared" si="28"/>
        <v>1/2" Round CIM -9</v>
      </c>
      <c r="E411" s="134">
        <v>1</v>
      </c>
      <c r="I411" s="134">
        <v>0</v>
      </c>
    </row>
    <row r="412" spans="1:9" ht="14.25" customHeight="1" x14ac:dyDescent="0.3">
      <c r="A412" s="134" t="s">
        <v>242</v>
      </c>
      <c r="B412" s="134" t="s">
        <v>6</v>
      </c>
      <c r="C412" s="134">
        <v>-10</v>
      </c>
      <c r="D412" s="134" t="str">
        <f t="shared" si="28"/>
        <v>1/2" Round CIM -10</v>
      </c>
      <c r="E412" s="134">
        <v>1</v>
      </c>
      <c r="I412" s="134">
        <v>0</v>
      </c>
    </row>
    <row r="413" spans="1:9" ht="14.25" customHeight="1" x14ac:dyDescent="0.3">
      <c r="A413" s="134" t="s">
        <v>242</v>
      </c>
      <c r="B413" s="134" t="s">
        <v>6</v>
      </c>
      <c r="C413" s="134">
        <v>9</v>
      </c>
      <c r="D413" s="134" t="str">
        <f t="shared" ref="D413:D433" si="29">A413&amp;" "&amp;B413&amp;" "&amp;C413</f>
        <v>1/2" Round CIM 9</v>
      </c>
      <c r="E413" s="134">
        <v>5</v>
      </c>
      <c r="I413" s="134">
        <v>0</v>
      </c>
    </row>
    <row r="414" spans="1:9" ht="14.25" customHeight="1" x14ac:dyDescent="0.3">
      <c r="A414" s="134" t="s">
        <v>242</v>
      </c>
      <c r="B414" s="134" t="s">
        <v>6</v>
      </c>
      <c r="C414" s="134">
        <v>12</v>
      </c>
      <c r="D414" s="134" t="str">
        <f t="shared" si="29"/>
        <v>1/2" Round CIM 12</v>
      </c>
      <c r="E414" s="134">
        <v>4</v>
      </c>
      <c r="I414" s="134">
        <v>0</v>
      </c>
    </row>
    <row r="415" spans="1:9" ht="14.25" customHeight="1" x14ac:dyDescent="0.3">
      <c r="A415" s="134" t="s">
        <v>242</v>
      </c>
      <c r="B415" s="134" t="s">
        <v>6</v>
      </c>
      <c r="C415" s="134">
        <v>15</v>
      </c>
      <c r="D415" s="134" t="str">
        <f t="shared" si="29"/>
        <v>1/2" Round CIM 15</v>
      </c>
      <c r="E415" s="134">
        <v>3</v>
      </c>
      <c r="I415" s="134">
        <v>0</v>
      </c>
    </row>
    <row r="416" spans="1:9" ht="14.25" customHeight="1" x14ac:dyDescent="0.3">
      <c r="A416" s="134" t="s">
        <v>242</v>
      </c>
      <c r="B416" s="134" t="s">
        <v>6</v>
      </c>
      <c r="C416" s="134">
        <v>16</v>
      </c>
      <c r="D416" s="134" t="str">
        <f t="shared" si="29"/>
        <v>1/2" Round CIM 16</v>
      </c>
      <c r="E416" s="134">
        <v>3</v>
      </c>
      <c r="I416" s="134">
        <v>0</v>
      </c>
    </row>
    <row r="417" spans="1:9" ht="14.25" customHeight="1" x14ac:dyDescent="0.3">
      <c r="A417" s="134" t="s">
        <v>242</v>
      </c>
      <c r="B417" s="134" t="s">
        <v>6</v>
      </c>
      <c r="C417" s="134">
        <v>20</v>
      </c>
      <c r="D417" s="134" t="str">
        <f t="shared" si="29"/>
        <v>1/2" Round CIM 20</v>
      </c>
      <c r="E417" s="134">
        <v>1</v>
      </c>
      <c r="I417" s="134">
        <v>0</v>
      </c>
    </row>
    <row r="418" spans="1:9" ht="14.25" customHeight="1" x14ac:dyDescent="0.3">
      <c r="A418" s="134" t="s">
        <v>242</v>
      </c>
      <c r="B418" s="134" t="s">
        <v>6</v>
      </c>
      <c r="C418" s="134">
        <v>21</v>
      </c>
      <c r="D418" s="134" t="str">
        <f t="shared" si="29"/>
        <v>1/2" Round CIM 21</v>
      </c>
      <c r="E418" s="134">
        <v>1</v>
      </c>
      <c r="I418" s="134">
        <v>0</v>
      </c>
    </row>
    <row r="419" spans="1:9" ht="14.25" customHeight="1" x14ac:dyDescent="0.3">
      <c r="A419" s="134" t="s">
        <v>242</v>
      </c>
      <c r="B419" s="134" t="s">
        <v>6</v>
      </c>
      <c r="C419" s="134">
        <v>25</v>
      </c>
      <c r="D419" s="134" t="str">
        <f t="shared" si="29"/>
        <v>1/2" Round CIM 25</v>
      </c>
      <c r="E419" s="134">
        <v>1</v>
      </c>
      <c r="I419" s="134">
        <v>0</v>
      </c>
    </row>
    <row r="420" spans="1:9" ht="14.25" customHeight="1" x14ac:dyDescent="0.3">
      <c r="A420" s="134" t="s">
        <v>242</v>
      </c>
      <c r="B420" s="134" t="s">
        <v>6</v>
      </c>
      <c r="C420" s="134">
        <v>27</v>
      </c>
      <c r="D420" s="134" t="str">
        <f t="shared" si="29"/>
        <v>1/2" Round CIM 27</v>
      </c>
      <c r="E420" s="134">
        <v>1</v>
      </c>
      <c r="I420" s="134">
        <v>0</v>
      </c>
    </row>
    <row r="421" spans="1:9" ht="14.25" customHeight="1" x14ac:dyDescent="0.3">
      <c r="A421" s="134" t="s">
        <v>242</v>
      </c>
      <c r="B421" s="134" t="s">
        <v>6</v>
      </c>
      <c r="C421" s="134">
        <v>28</v>
      </c>
      <c r="D421" s="134" t="str">
        <f t="shared" si="29"/>
        <v>1/2" Round CIM 28</v>
      </c>
      <c r="E421" s="134">
        <v>1</v>
      </c>
      <c r="I421" s="134">
        <v>0</v>
      </c>
    </row>
    <row r="422" spans="1:9" ht="14.25" customHeight="1" x14ac:dyDescent="0.3">
      <c r="A422" s="134" t="s">
        <v>242</v>
      </c>
      <c r="B422" s="134" t="s">
        <v>6</v>
      </c>
      <c r="C422" s="134">
        <v>30</v>
      </c>
      <c r="D422" s="134" t="str">
        <f t="shared" si="29"/>
        <v>1/2" Round CIM 30</v>
      </c>
      <c r="E422" s="134">
        <v>1</v>
      </c>
      <c r="I422" s="134">
        <v>0</v>
      </c>
    </row>
    <row r="423" spans="1:9" ht="14.25" customHeight="1" x14ac:dyDescent="0.3">
      <c r="A423" s="134" t="s">
        <v>242</v>
      </c>
      <c r="B423" s="134" t="s">
        <v>6</v>
      </c>
      <c r="C423" s="134">
        <v>35</v>
      </c>
      <c r="D423" s="134" t="str">
        <f t="shared" si="29"/>
        <v>1/2" Round CIM 35</v>
      </c>
      <c r="E423" s="134">
        <v>1</v>
      </c>
      <c r="I423" s="134">
        <v>0</v>
      </c>
    </row>
    <row r="424" spans="1:9" ht="14.25" customHeight="1" x14ac:dyDescent="0.3">
      <c r="A424" s="134" t="s">
        <v>242</v>
      </c>
      <c r="B424" s="134" t="s">
        <v>6</v>
      </c>
      <c r="C424" s="134">
        <v>36</v>
      </c>
      <c r="D424" s="134" t="str">
        <f t="shared" si="29"/>
        <v>1/2" Round CIM 36</v>
      </c>
      <c r="E424" s="134">
        <v>1</v>
      </c>
      <c r="I424" s="134">
        <v>0</v>
      </c>
    </row>
    <row r="425" spans="1:9" ht="14.25" customHeight="1" x14ac:dyDescent="0.3">
      <c r="A425" s="134" t="s">
        <v>242</v>
      </c>
      <c r="B425" s="134" t="s">
        <v>6</v>
      </c>
      <c r="C425" s="134">
        <v>40</v>
      </c>
      <c r="D425" s="134" t="str">
        <f t="shared" si="29"/>
        <v>1/2" Round CIM 40</v>
      </c>
      <c r="E425" s="134">
        <v>1</v>
      </c>
      <c r="I425" s="134">
        <v>0</v>
      </c>
    </row>
    <row r="426" spans="1:9" ht="14.25" customHeight="1" x14ac:dyDescent="0.3">
      <c r="A426" s="134" t="s">
        <v>242</v>
      </c>
      <c r="B426" s="134" t="s">
        <v>6</v>
      </c>
      <c r="C426" s="134">
        <v>45</v>
      </c>
      <c r="D426" s="134" t="str">
        <f t="shared" si="29"/>
        <v>1/2" Round CIM 45</v>
      </c>
      <c r="E426" s="134">
        <v>1</v>
      </c>
      <c r="I426" s="134">
        <v>0</v>
      </c>
    </row>
    <row r="427" spans="1:9" ht="14.25" customHeight="1" x14ac:dyDescent="0.3">
      <c r="A427" s="134" t="s">
        <v>242</v>
      </c>
      <c r="B427" s="134" t="s">
        <v>6</v>
      </c>
      <c r="C427" s="134">
        <v>49</v>
      </c>
      <c r="D427" s="134" t="str">
        <f t="shared" si="29"/>
        <v>1/2" Round CIM 49</v>
      </c>
      <c r="E427" s="134">
        <v>0</v>
      </c>
      <c r="I427" s="134">
        <v>0</v>
      </c>
    </row>
    <row r="428" spans="1:9" ht="14.25" customHeight="1" x14ac:dyDescent="0.3">
      <c r="A428" s="134" t="s">
        <v>242</v>
      </c>
      <c r="B428" s="134" t="s">
        <v>6</v>
      </c>
      <c r="C428" s="134">
        <v>50</v>
      </c>
      <c r="D428" s="134" t="str">
        <f t="shared" si="29"/>
        <v>1/2" Round CIM 50</v>
      </c>
      <c r="E428" s="134">
        <v>1</v>
      </c>
      <c r="I428" s="134">
        <v>0</v>
      </c>
    </row>
    <row r="429" spans="1:9" ht="14.25" customHeight="1" x14ac:dyDescent="0.3">
      <c r="A429" s="134" t="s">
        <v>242</v>
      </c>
      <c r="B429" s="134" t="s">
        <v>6</v>
      </c>
      <c r="C429" s="134">
        <v>63</v>
      </c>
      <c r="D429" s="134" t="str">
        <f t="shared" si="29"/>
        <v>1/2" Round CIM 63</v>
      </c>
      <c r="E429" s="134">
        <v>0</v>
      </c>
      <c r="I429" s="134">
        <v>0</v>
      </c>
    </row>
    <row r="430" spans="1:9" ht="14.25" customHeight="1" x14ac:dyDescent="0.3">
      <c r="A430" s="134" t="s">
        <v>242</v>
      </c>
      <c r="B430" s="134" t="s">
        <v>6</v>
      </c>
      <c r="C430" s="134">
        <v>70</v>
      </c>
      <c r="D430" s="134" t="str">
        <f t="shared" si="29"/>
        <v>1/2" Round CIM 70</v>
      </c>
      <c r="E430" s="134">
        <v>0</v>
      </c>
      <c r="I430" s="134">
        <v>0</v>
      </c>
    </row>
    <row r="431" spans="1:9" ht="14.25" customHeight="1" x14ac:dyDescent="0.3">
      <c r="A431" s="134" t="s">
        <v>242</v>
      </c>
      <c r="B431" s="134" t="s">
        <v>6</v>
      </c>
      <c r="C431" s="134">
        <v>81</v>
      </c>
      <c r="D431" s="134" t="str">
        <f t="shared" si="29"/>
        <v>1/2" Round CIM 81</v>
      </c>
      <c r="E431" s="134">
        <v>0</v>
      </c>
      <c r="I431" s="134">
        <v>0</v>
      </c>
    </row>
    <row r="432" spans="1:9" ht="14.25" customHeight="1" x14ac:dyDescent="0.3">
      <c r="A432" s="134" t="s">
        <v>242</v>
      </c>
      <c r="B432" s="134" t="s">
        <v>6</v>
      </c>
      <c r="C432" s="134">
        <v>90</v>
      </c>
      <c r="D432" s="134" t="str">
        <f t="shared" si="29"/>
        <v>1/2" Round CIM 90</v>
      </c>
      <c r="E432" s="134">
        <v>0</v>
      </c>
      <c r="I432" s="134">
        <v>0</v>
      </c>
    </row>
    <row r="433" spans="1:9" ht="14.25" customHeight="1" x14ac:dyDescent="0.3">
      <c r="A433" s="134" t="s">
        <v>242</v>
      </c>
      <c r="B433" s="134" t="s">
        <v>6</v>
      </c>
      <c r="C433" s="134">
        <v>100</v>
      </c>
      <c r="D433" s="134" t="str">
        <f t="shared" si="29"/>
        <v>1/2" Round CIM 100</v>
      </c>
      <c r="E433" s="134">
        <v>0</v>
      </c>
      <c r="I433" s="134">
        <v>0</v>
      </c>
    </row>
    <row r="434" spans="1:9" ht="14.25" customHeight="1" x14ac:dyDescent="0.3">
      <c r="A434" s="134" t="s">
        <v>242</v>
      </c>
      <c r="B434" s="134" t="s">
        <v>9</v>
      </c>
      <c r="C434" s="134">
        <v>-3</v>
      </c>
      <c r="D434" s="134" t="str">
        <f t="shared" ref="D434:D439" si="30">A434&amp;" "&amp;B434&amp;" "&amp;C434</f>
        <v>1/2" Round NEO -3</v>
      </c>
      <c r="E434" s="134">
        <v>1</v>
      </c>
      <c r="I434" s="134">
        <v>0</v>
      </c>
    </row>
    <row r="435" spans="1:9" ht="14.25" customHeight="1" x14ac:dyDescent="0.3">
      <c r="A435" s="134" t="s">
        <v>242</v>
      </c>
      <c r="B435" s="134" t="s">
        <v>9</v>
      </c>
      <c r="C435" s="134">
        <v>-4</v>
      </c>
      <c r="D435" s="134" t="str">
        <f t="shared" si="30"/>
        <v>1/2" Round NEO -4</v>
      </c>
      <c r="E435" s="134">
        <v>1</v>
      </c>
      <c r="I435" s="134">
        <v>0</v>
      </c>
    </row>
    <row r="436" spans="1:9" ht="14.25" customHeight="1" x14ac:dyDescent="0.3">
      <c r="A436" s="134" t="s">
        <v>242</v>
      </c>
      <c r="B436" s="134" t="s">
        <v>9</v>
      </c>
      <c r="C436" s="134">
        <v>-5</v>
      </c>
      <c r="D436" s="134" t="str">
        <f t="shared" si="30"/>
        <v>1/2" Round NEO -5</v>
      </c>
      <c r="E436" s="134">
        <v>1</v>
      </c>
      <c r="I436" s="134">
        <v>0</v>
      </c>
    </row>
    <row r="437" spans="1:9" ht="14.25" customHeight="1" x14ac:dyDescent="0.3">
      <c r="A437" s="134" t="s">
        <v>242</v>
      </c>
      <c r="B437" s="134" t="s">
        <v>9</v>
      </c>
      <c r="C437" s="134">
        <v>-7</v>
      </c>
      <c r="D437" s="134" t="str">
        <f t="shared" si="30"/>
        <v>1/2" Round NEO -7</v>
      </c>
      <c r="E437" s="134">
        <v>1</v>
      </c>
      <c r="I437" s="134">
        <v>0</v>
      </c>
    </row>
    <row r="438" spans="1:9" ht="14.25" customHeight="1" x14ac:dyDescent="0.3">
      <c r="A438" s="134" t="s">
        <v>242</v>
      </c>
      <c r="B438" s="134" t="s">
        <v>9</v>
      </c>
      <c r="C438" s="134">
        <v>-9</v>
      </c>
      <c r="D438" s="134" t="str">
        <f t="shared" si="30"/>
        <v>1/2" Round NEO -9</v>
      </c>
      <c r="E438" s="134">
        <v>1</v>
      </c>
      <c r="I438" s="134">
        <v>0</v>
      </c>
    </row>
    <row r="439" spans="1:9" ht="14.25" customHeight="1" x14ac:dyDescent="0.3">
      <c r="A439" s="134" t="s">
        <v>242</v>
      </c>
      <c r="B439" s="134" t="s">
        <v>9</v>
      </c>
      <c r="C439" s="134">
        <v>-10</v>
      </c>
      <c r="D439" s="134" t="str">
        <f t="shared" si="30"/>
        <v>1/2" Round NEO -10</v>
      </c>
      <c r="E439" s="134">
        <v>1</v>
      </c>
      <c r="I439" s="134">
        <v>0</v>
      </c>
    </row>
    <row r="440" spans="1:9" ht="14.25" customHeight="1" x14ac:dyDescent="0.3">
      <c r="A440" s="134" t="s">
        <v>242</v>
      </c>
      <c r="B440" s="134" t="s">
        <v>9</v>
      </c>
      <c r="C440" s="134">
        <v>9</v>
      </c>
      <c r="D440" s="134" t="str">
        <f t="shared" ref="D440:D460" si="31">A440&amp;" "&amp;B440&amp;" "&amp;C440</f>
        <v>1/2" Round NEO 9</v>
      </c>
      <c r="E440" s="134">
        <v>4</v>
      </c>
      <c r="I440" s="134">
        <v>0</v>
      </c>
    </row>
    <row r="441" spans="1:9" ht="14.25" customHeight="1" x14ac:dyDescent="0.3">
      <c r="A441" s="134" t="s">
        <v>242</v>
      </c>
      <c r="B441" s="134" t="s">
        <v>9</v>
      </c>
      <c r="C441" s="134">
        <v>12</v>
      </c>
      <c r="D441" s="134" t="str">
        <f t="shared" si="31"/>
        <v>1/2" Round NEO 12</v>
      </c>
      <c r="E441" s="134">
        <v>3</v>
      </c>
      <c r="I441" s="134">
        <v>0</v>
      </c>
    </row>
    <row r="442" spans="1:9" ht="14.25" customHeight="1" x14ac:dyDescent="0.3">
      <c r="A442" s="134" t="s">
        <v>242</v>
      </c>
      <c r="B442" s="134" t="s">
        <v>9</v>
      </c>
      <c r="C442" s="134">
        <v>15</v>
      </c>
      <c r="D442" s="134" t="str">
        <f t="shared" si="31"/>
        <v>1/2" Round NEO 15</v>
      </c>
      <c r="E442" s="134">
        <v>1</v>
      </c>
      <c r="I442" s="134">
        <v>0</v>
      </c>
    </row>
    <row r="443" spans="1:9" ht="14.25" customHeight="1" x14ac:dyDescent="0.3">
      <c r="A443" s="134" t="s">
        <v>242</v>
      </c>
      <c r="B443" s="134" t="s">
        <v>9</v>
      </c>
      <c r="C443" s="134">
        <v>16</v>
      </c>
      <c r="D443" s="134" t="str">
        <f t="shared" si="31"/>
        <v>1/2" Round NEO 16</v>
      </c>
      <c r="E443" s="134">
        <v>1</v>
      </c>
      <c r="I443" s="134">
        <v>0</v>
      </c>
    </row>
    <row r="444" spans="1:9" ht="14.25" customHeight="1" x14ac:dyDescent="0.3">
      <c r="A444" s="134" t="s">
        <v>242</v>
      </c>
      <c r="B444" s="134" t="s">
        <v>9</v>
      </c>
      <c r="C444" s="134">
        <v>20</v>
      </c>
      <c r="D444" s="134" t="str">
        <f t="shared" si="31"/>
        <v>1/2" Round NEO 20</v>
      </c>
      <c r="E444" s="134">
        <v>1</v>
      </c>
      <c r="I444" s="134">
        <v>0</v>
      </c>
    </row>
    <row r="445" spans="1:9" ht="14.25" customHeight="1" x14ac:dyDescent="0.3">
      <c r="A445" s="134" t="s">
        <v>242</v>
      </c>
      <c r="B445" s="134" t="s">
        <v>9</v>
      </c>
      <c r="C445" s="134">
        <v>21</v>
      </c>
      <c r="D445" s="134" t="str">
        <f t="shared" si="31"/>
        <v>1/2" Round NEO 21</v>
      </c>
      <c r="E445" s="134">
        <v>1</v>
      </c>
      <c r="I445" s="134">
        <v>0</v>
      </c>
    </row>
    <row r="446" spans="1:9" ht="14.25" customHeight="1" x14ac:dyDescent="0.3">
      <c r="A446" s="134" t="s">
        <v>242</v>
      </c>
      <c r="B446" s="134" t="s">
        <v>9</v>
      </c>
      <c r="C446" s="134">
        <v>25</v>
      </c>
      <c r="D446" s="134" t="str">
        <f t="shared" si="31"/>
        <v>1/2" Round NEO 25</v>
      </c>
      <c r="E446" s="134">
        <v>1</v>
      </c>
      <c r="I446" s="134">
        <v>0</v>
      </c>
    </row>
    <row r="447" spans="1:9" ht="14.25" customHeight="1" x14ac:dyDescent="0.3">
      <c r="A447" s="134" t="s">
        <v>242</v>
      </c>
      <c r="B447" s="134" t="s">
        <v>9</v>
      </c>
      <c r="C447" s="134">
        <v>27</v>
      </c>
      <c r="D447" s="134" t="str">
        <f t="shared" si="31"/>
        <v>1/2" Round NEO 27</v>
      </c>
      <c r="E447" s="134">
        <v>1</v>
      </c>
      <c r="I447" s="134">
        <v>0</v>
      </c>
    </row>
    <row r="448" spans="1:9" ht="14.25" customHeight="1" x14ac:dyDescent="0.3">
      <c r="A448" s="134" t="s">
        <v>242</v>
      </c>
      <c r="B448" s="134" t="s">
        <v>9</v>
      </c>
      <c r="C448" s="134">
        <v>28</v>
      </c>
      <c r="D448" s="134" t="str">
        <f t="shared" si="31"/>
        <v>1/2" Round NEO 28</v>
      </c>
      <c r="E448" s="134">
        <v>1</v>
      </c>
      <c r="I448" s="134">
        <v>0</v>
      </c>
    </row>
    <row r="449" spans="1:9" ht="14.25" customHeight="1" x14ac:dyDescent="0.3">
      <c r="A449" s="134" t="s">
        <v>242</v>
      </c>
      <c r="B449" s="134" t="s">
        <v>9</v>
      </c>
      <c r="C449" s="134">
        <v>30</v>
      </c>
      <c r="D449" s="134" t="str">
        <f t="shared" si="31"/>
        <v>1/2" Round NEO 30</v>
      </c>
      <c r="E449" s="134">
        <v>1</v>
      </c>
      <c r="I449" s="134">
        <v>0</v>
      </c>
    </row>
    <row r="450" spans="1:9" ht="14.25" customHeight="1" x14ac:dyDescent="0.3">
      <c r="A450" s="134" t="s">
        <v>242</v>
      </c>
      <c r="B450" s="134" t="s">
        <v>9</v>
      </c>
      <c r="C450" s="134">
        <v>35</v>
      </c>
      <c r="D450" s="134" t="str">
        <f t="shared" si="31"/>
        <v>1/2" Round NEO 35</v>
      </c>
      <c r="E450" s="134">
        <v>1</v>
      </c>
      <c r="I450" s="134">
        <v>0</v>
      </c>
    </row>
    <row r="451" spans="1:9" ht="14.25" customHeight="1" x14ac:dyDescent="0.3">
      <c r="A451" s="134" t="s">
        <v>242</v>
      </c>
      <c r="B451" s="134" t="s">
        <v>9</v>
      </c>
      <c r="C451" s="134">
        <v>36</v>
      </c>
      <c r="D451" s="134" t="str">
        <f t="shared" si="31"/>
        <v>1/2" Round NEO 36</v>
      </c>
      <c r="E451" s="134">
        <v>1</v>
      </c>
      <c r="I451" s="134">
        <v>0</v>
      </c>
    </row>
    <row r="452" spans="1:9" ht="14.25" customHeight="1" x14ac:dyDescent="0.3">
      <c r="A452" s="134" t="s">
        <v>242</v>
      </c>
      <c r="B452" s="134" t="s">
        <v>9</v>
      </c>
      <c r="C452" s="134">
        <v>40</v>
      </c>
      <c r="D452" s="134" t="str">
        <f t="shared" si="31"/>
        <v>1/2" Round NEO 40</v>
      </c>
      <c r="E452" s="134">
        <v>0</v>
      </c>
      <c r="I452" s="134">
        <v>0</v>
      </c>
    </row>
    <row r="453" spans="1:9" ht="14.25" customHeight="1" x14ac:dyDescent="0.3">
      <c r="A453" s="134" t="s">
        <v>242</v>
      </c>
      <c r="B453" s="134" t="s">
        <v>9</v>
      </c>
      <c r="C453" s="134">
        <v>45</v>
      </c>
      <c r="D453" s="134" t="str">
        <f t="shared" si="31"/>
        <v>1/2" Round NEO 45</v>
      </c>
      <c r="E453" s="134">
        <v>0</v>
      </c>
      <c r="I453" s="134">
        <v>0</v>
      </c>
    </row>
    <row r="454" spans="1:9" ht="14.25" customHeight="1" x14ac:dyDescent="0.3">
      <c r="A454" s="134" t="s">
        <v>242</v>
      </c>
      <c r="B454" s="134" t="s">
        <v>9</v>
      </c>
      <c r="C454" s="134">
        <v>49</v>
      </c>
      <c r="D454" s="134" t="str">
        <f t="shared" si="31"/>
        <v>1/2" Round NEO 49</v>
      </c>
      <c r="E454" s="134">
        <v>0</v>
      </c>
      <c r="I454" s="134">
        <v>0</v>
      </c>
    </row>
    <row r="455" spans="1:9" ht="14.25" customHeight="1" x14ac:dyDescent="0.3">
      <c r="A455" s="134" t="s">
        <v>242</v>
      </c>
      <c r="B455" s="134" t="s">
        <v>9</v>
      </c>
      <c r="C455" s="134">
        <v>50</v>
      </c>
      <c r="D455" s="134" t="str">
        <f t="shared" si="31"/>
        <v>1/2" Round NEO 50</v>
      </c>
      <c r="E455" s="134">
        <v>0</v>
      </c>
      <c r="I455" s="134">
        <v>0</v>
      </c>
    </row>
    <row r="456" spans="1:9" ht="14.25" customHeight="1" x14ac:dyDescent="0.3">
      <c r="A456" s="134" t="s">
        <v>242</v>
      </c>
      <c r="B456" s="134" t="s">
        <v>9</v>
      </c>
      <c r="C456" s="134">
        <v>63</v>
      </c>
      <c r="D456" s="134" t="str">
        <f t="shared" si="31"/>
        <v>1/2" Round NEO 63</v>
      </c>
      <c r="E456" s="134">
        <v>0</v>
      </c>
      <c r="I456" s="134">
        <v>0</v>
      </c>
    </row>
    <row r="457" spans="1:9" ht="14.25" customHeight="1" x14ac:dyDescent="0.3">
      <c r="A457" s="134" t="s">
        <v>242</v>
      </c>
      <c r="B457" s="134" t="s">
        <v>9</v>
      </c>
      <c r="C457" s="134">
        <v>70</v>
      </c>
      <c r="D457" s="134" t="str">
        <f t="shared" si="31"/>
        <v>1/2" Round NEO 70</v>
      </c>
      <c r="E457" s="134">
        <v>0</v>
      </c>
      <c r="I457" s="134">
        <v>0</v>
      </c>
    </row>
    <row r="458" spans="1:9" ht="14.25" customHeight="1" x14ac:dyDescent="0.3">
      <c r="A458" s="134" t="s">
        <v>242</v>
      </c>
      <c r="B458" s="134" t="s">
        <v>9</v>
      </c>
      <c r="C458" s="134">
        <v>81</v>
      </c>
      <c r="D458" s="134" t="str">
        <f t="shared" si="31"/>
        <v>1/2" Round NEO 81</v>
      </c>
      <c r="E458" s="134">
        <v>0</v>
      </c>
      <c r="I458" s="134">
        <v>0</v>
      </c>
    </row>
    <row r="459" spans="1:9" ht="14.25" customHeight="1" x14ac:dyDescent="0.3">
      <c r="A459" s="134" t="s">
        <v>242</v>
      </c>
      <c r="B459" s="134" t="s">
        <v>9</v>
      </c>
      <c r="C459" s="134">
        <v>90</v>
      </c>
      <c r="D459" s="134" t="str">
        <f t="shared" si="31"/>
        <v>1/2" Round NEO 90</v>
      </c>
      <c r="E459" s="134">
        <v>0</v>
      </c>
      <c r="I459" s="134">
        <v>0</v>
      </c>
    </row>
    <row r="460" spans="1:9" ht="14.25" customHeight="1" x14ac:dyDescent="0.3">
      <c r="A460" s="134" t="s">
        <v>242</v>
      </c>
      <c r="B460" s="134" t="s">
        <v>9</v>
      </c>
      <c r="C460" s="134">
        <v>100</v>
      </c>
      <c r="D460" s="134" t="str">
        <f t="shared" si="31"/>
        <v>1/2" Round NEO 100</v>
      </c>
      <c r="E460" s="134">
        <v>0</v>
      </c>
      <c r="I460" s="134">
        <v>0</v>
      </c>
    </row>
    <row r="461" spans="1:9" ht="14.25" customHeight="1" x14ac:dyDescent="0.3">
      <c r="A461" s="134" t="s">
        <v>242</v>
      </c>
      <c r="B461" s="134" t="s">
        <v>337</v>
      </c>
      <c r="C461" s="134">
        <v>-3</v>
      </c>
      <c r="D461" s="134" t="str">
        <f t="shared" ref="D461:D466" si="32">A461&amp;" "&amp;B461&amp;" "&amp;C461</f>
        <v>1/2" Round Falcon 500 -3</v>
      </c>
      <c r="E461" s="134">
        <v>1</v>
      </c>
      <c r="I461" s="134">
        <v>0</v>
      </c>
    </row>
    <row r="462" spans="1:9" ht="14.25" customHeight="1" x14ac:dyDescent="0.3">
      <c r="A462" s="134" t="s">
        <v>242</v>
      </c>
      <c r="B462" s="134" t="s">
        <v>337</v>
      </c>
      <c r="C462" s="134">
        <v>-4</v>
      </c>
      <c r="D462" s="134" t="str">
        <f t="shared" si="32"/>
        <v>1/2" Round Falcon 500 -4</v>
      </c>
      <c r="E462" s="134">
        <v>1</v>
      </c>
      <c r="I462" s="134">
        <v>0</v>
      </c>
    </row>
    <row r="463" spans="1:9" ht="14.25" customHeight="1" x14ac:dyDescent="0.3">
      <c r="A463" s="134" t="s">
        <v>242</v>
      </c>
      <c r="B463" s="134" t="s">
        <v>337</v>
      </c>
      <c r="C463" s="134">
        <v>-5</v>
      </c>
      <c r="D463" s="134" t="str">
        <f t="shared" si="32"/>
        <v>1/2" Round Falcon 500 -5</v>
      </c>
      <c r="E463" s="134">
        <v>1</v>
      </c>
      <c r="I463" s="134">
        <v>0</v>
      </c>
    </row>
    <row r="464" spans="1:9" ht="14.25" customHeight="1" x14ac:dyDescent="0.3">
      <c r="A464" s="134" t="s">
        <v>242</v>
      </c>
      <c r="B464" s="134" t="s">
        <v>337</v>
      </c>
      <c r="C464" s="134">
        <v>-7</v>
      </c>
      <c r="D464" s="134" t="str">
        <f t="shared" si="32"/>
        <v>1/2" Round Falcon 500 -7</v>
      </c>
      <c r="E464" s="134">
        <v>1</v>
      </c>
      <c r="I464" s="134">
        <v>0</v>
      </c>
    </row>
    <row r="465" spans="1:9" ht="14.25" customHeight="1" x14ac:dyDescent="0.3">
      <c r="A465" s="134" t="s">
        <v>242</v>
      </c>
      <c r="B465" s="134" t="s">
        <v>337</v>
      </c>
      <c r="C465" s="134">
        <v>-9</v>
      </c>
      <c r="D465" s="134" t="str">
        <f t="shared" si="32"/>
        <v>1/2" Round Falcon 500 -9</v>
      </c>
      <c r="E465" s="134">
        <v>1</v>
      </c>
      <c r="I465" s="134">
        <v>0</v>
      </c>
    </row>
    <row r="466" spans="1:9" ht="14.25" customHeight="1" x14ac:dyDescent="0.3">
      <c r="A466" s="134" t="s">
        <v>242</v>
      </c>
      <c r="B466" s="134" t="s">
        <v>337</v>
      </c>
      <c r="C466" s="134">
        <v>-10</v>
      </c>
      <c r="D466" s="134" t="str">
        <f t="shared" si="32"/>
        <v>1/2" Round Falcon 500 -10</v>
      </c>
      <c r="E466" s="134">
        <v>1</v>
      </c>
      <c r="I466" s="134">
        <v>0</v>
      </c>
    </row>
    <row r="467" spans="1:9" ht="14.25" customHeight="1" x14ac:dyDescent="0.3">
      <c r="A467" s="134" t="s">
        <v>242</v>
      </c>
      <c r="B467" s="134" t="s">
        <v>337</v>
      </c>
      <c r="C467" s="134">
        <v>9</v>
      </c>
      <c r="D467" s="134" t="str">
        <f t="shared" ref="D467:D487" si="33">A467&amp;" "&amp;B467&amp;" "&amp;C467</f>
        <v>1/2" Round Falcon 500 9</v>
      </c>
      <c r="E467" s="134">
        <v>3</v>
      </c>
      <c r="I467" s="134">
        <v>0</v>
      </c>
    </row>
    <row r="468" spans="1:9" ht="14.25" customHeight="1" x14ac:dyDescent="0.3">
      <c r="A468" s="134" t="s">
        <v>242</v>
      </c>
      <c r="B468" s="134" t="s">
        <v>337</v>
      </c>
      <c r="C468" s="134">
        <v>12</v>
      </c>
      <c r="D468" s="134" t="str">
        <f t="shared" si="33"/>
        <v>1/2" Round Falcon 500 12</v>
      </c>
      <c r="E468" s="134">
        <v>1</v>
      </c>
      <c r="I468" s="134">
        <v>0</v>
      </c>
    </row>
    <row r="469" spans="1:9" ht="14.25" customHeight="1" x14ac:dyDescent="0.3">
      <c r="A469" s="134" t="s">
        <v>242</v>
      </c>
      <c r="B469" s="134" t="s">
        <v>337</v>
      </c>
      <c r="C469" s="134">
        <v>15</v>
      </c>
      <c r="D469" s="134" t="str">
        <f t="shared" si="33"/>
        <v>1/2" Round Falcon 500 15</v>
      </c>
      <c r="E469" s="134">
        <v>1</v>
      </c>
      <c r="I469" s="134">
        <v>0</v>
      </c>
    </row>
    <row r="470" spans="1:9" ht="14.25" customHeight="1" x14ac:dyDescent="0.3">
      <c r="A470" s="134" t="s">
        <v>242</v>
      </c>
      <c r="B470" s="134" t="s">
        <v>337</v>
      </c>
      <c r="C470" s="134">
        <v>16</v>
      </c>
      <c r="D470" s="134" t="str">
        <f t="shared" si="33"/>
        <v>1/2" Round Falcon 500 16</v>
      </c>
      <c r="E470" s="134">
        <v>1</v>
      </c>
      <c r="I470" s="134">
        <v>0</v>
      </c>
    </row>
    <row r="471" spans="1:9" ht="14.25" customHeight="1" x14ac:dyDescent="0.3">
      <c r="A471" s="134" t="s">
        <v>242</v>
      </c>
      <c r="B471" s="134" t="s">
        <v>337</v>
      </c>
      <c r="C471" s="134">
        <v>20</v>
      </c>
      <c r="D471" s="134" t="str">
        <f t="shared" si="33"/>
        <v>1/2" Round Falcon 500 20</v>
      </c>
      <c r="E471" s="134">
        <v>1</v>
      </c>
      <c r="I471" s="134">
        <v>0</v>
      </c>
    </row>
    <row r="472" spans="1:9" ht="14.25" customHeight="1" x14ac:dyDescent="0.3">
      <c r="A472" s="134" t="s">
        <v>242</v>
      </c>
      <c r="B472" s="134" t="s">
        <v>337</v>
      </c>
      <c r="C472" s="134">
        <v>21</v>
      </c>
      <c r="D472" s="134" t="str">
        <f t="shared" si="33"/>
        <v>1/2" Round Falcon 500 21</v>
      </c>
      <c r="E472" s="134">
        <v>1</v>
      </c>
      <c r="I472" s="134">
        <v>0</v>
      </c>
    </row>
    <row r="473" spans="1:9" ht="14.25" customHeight="1" x14ac:dyDescent="0.3">
      <c r="A473" s="134" t="s">
        <v>242</v>
      </c>
      <c r="B473" s="134" t="s">
        <v>337</v>
      </c>
      <c r="C473" s="134">
        <v>25</v>
      </c>
      <c r="D473" s="134" t="str">
        <f t="shared" si="33"/>
        <v>1/2" Round Falcon 500 25</v>
      </c>
      <c r="E473" s="134">
        <v>1</v>
      </c>
      <c r="I473" s="134">
        <v>0</v>
      </c>
    </row>
    <row r="474" spans="1:9" ht="14.25" customHeight="1" x14ac:dyDescent="0.3">
      <c r="A474" s="134" t="s">
        <v>242</v>
      </c>
      <c r="B474" s="134" t="s">
        <v>337</v>
      </c>
      <c r="C474" s="134">
        <v>27</v>
      </c>
      <c r="D474" s="134" t="str">
        <f t="shared" si="33"/>
        <v>1/2" Round Falcon 500 27</v>
      </c>
      <c r="E474" s="134">
        <v>1</v>
      </c>
      <c r="I474" s="134">
        <v>0</v>
      </c>
    </row>
    <row r="475" spans="1:9" ht="14.25" customHeight="1" x14ac:dyDescent="0.3">
      <c r="A475" s="134" t="s">
        <v>242</v>
      </c>
      <c r="B475" s="134" t="s">
        <v>337</v>
      </c>
      <c r="C475" s="134">
        <v>28</v>
      </c>
      <c r="D475" s="134" t="str">
        <f t="shared" si="33"/>
        <v>1/2" Round Falcon 500 28</v>
      </c>
      <c r="E475" s="134">
        <v>0</v>
      </c>
      <c r="I475" s="134">
        <v>0</v>
      </c>
    </row>
    <row r="476" spans="1:9" ht="14.25" customHeight="1" x14ac:dyDescent="0.3">
      <c r="A476" s="134" t="s">
        <v>242</v>
      </c>
      <c r="B476" s="134" t="s">
        <v>337</v>
      </c>
      <c r="C476" s="134">
        <v>30</v>
      </c>
      <c r="D476" s="134" t="str">
        <f t="shared" si="33"/>
        <v>1/2" Round Falcon 500 30</v>
      </c>
      <c r="E476" s="134">
        <v>0</v>
      </c>
      <c r="I476" s="134">
        <v>0</v>
      </c>
    </row>
    <row r="477" spans="1:9" ht="14.25" customHeight="1" x14ac:dyDescent="0.3">
      <c r="A477" s="134" t="s">
        <v>242</v>
      </c>
      <c r="B477" s="134" t="s">
        <v>337</v>
      </c>
      <c r="C477" s="134">
        <v>35</v>
      </c>
      <c r="D477" s="134" t="str">
        <f t="shared" si="33"/>
        <v>1/2" Round Falcon 500 35</v>
      </c>
      <c r="E477" s="134">
        <v>0</v>
      </c>
      <c r="I477" s="134">
        <v>0</v>
      </c>
    </row>
    <row r="478" spans="1:9" ht="14.25" customHeight="1" x14ac:dyDescent="0.3">
      <c r="A478" s="134" t="s">
        <v>242</v>
      </c>
      <c r="B478" s="134" t="s">
        <v>337</v>
      </c>
      <c r="C478" s="134">
        <v>36</v>
      </c>
      <c r="D478" s="134" t="str">
        <f t="shared" si="33"/>
        <v>1/2" Round Falcon 500 36</v>
      </c>
      <c r="E478" s="134">
        <v>0</v>
      </c>
      <c r="I478" s="134">
        <v>0</v>
      </c>
    </row>
    <row r="479" spans="1:9" ht="14.25" customHeight="1" x14ac:dyDescent="0.3">
      <c r="A479" s="134" t="s">
        <v>242</v>
      </c>
      <c r="B479" s="134" t="s">
        <v>337</v>
      </c>
      <c r="C479" s="134">
        <v>40</v>
      </c>
      <c r="D479" s="134" t="str">
        <f t="shared" si="33"/>
        <v>1/2" Round Falcon 500 40</v>
      </c>
      <c r="E479" s="134">
        <v>0</v>
      </c>
      <c r="I479" s="134">
        <v>0</v>
      </c>
    </row>
    <row r="480" spans="1:9" ht="14.25" customHeight="1" x14ac:dyDescent="0.3">
      <c r="A480" s="134" t="s">
        <v>242</v>
      </c>
      <c r="B480" s="134" t="s">
        <v>337</v>
      </c>
      <c r="C480" s="134">
        <v>45</v>
      </c>
      <c r="D480" s="134" t="str">
        <f t="shared" si="33"/>
        <v>1/2" Round Falcon 500 45</v>
      </c>
      <c r="E480" s="134">
        <v>0</v>
      </c>
      <c r="I480" s="134">
        <v>0</v>
      </c>
    </row>
    <row r="481" spans="1:9" ht="14.25" customHeight="1" x14ac:dyDescent="0.3">
      <c r="A481" s="134" t="s">
        <v>242</v>
      </c>
      <c r="B481" s="134" t="s">
        <v>337</v>
      </c>
      <c r="C481" s="134">
        <v>49</v>
      </c>
      <c r="D481" s="134" t="str">
        <f t="shared" si="33"/>
        <v>1/2" Round Falcon 500 49</v>
      </c>
      <c r="E481" s="134">
        <v>0</v>
      </c>
      <c r="I481" s="134">
        <v>0</v>
      </c>
    </row>
    <row r="482" spans="1:9" ht="14.25" customHeight="1" x14ac:dyDescent="0.3">
      <c r="A482" s="134" t="s">
        <v>242</v>
      </c>
      <c r="B482" s="134" t="s">
        <v>337</v>
      </c>
      <c r="C482" s="134">
        <v>50</v>
      </c>
      <c r="D482" s="134" t="str">
        <f t="shared" si="33"/>
        <v>1/2" Round Falcon 500 50</v>
      </c>
      <c r="E482" s="134">
        <v>0</v>
      </c>
      <c r="I482" s="134">
        <v>0</v>
      </c>
    </row>
    <row r="483" spans="1:9" ht="14.25" customHeight="1" x14ac:dyDescent="0.3">
      <c r="A483" s="134" t="s">
        <v>242</v>
      </c>
      <c r="B483" s="134" t="s">
        <v>337</v>
      </c>
      <c r="C483" s="134">
        <v>63</v>
      </c>
      <c r="D483" s="134" t="str">
        <f t="shared" si="33"/>
        <v>1/2" Round Falcon 500 63</v>
      </c>
      <c r="E483" s="134">
        <v>0</v>
      </c>
      <c r="I483" s="134">
        <v>0</v>
      </c>
    </row>
    <row r="484" spans="1:9" ht="14.25" customHeight="1" x14ac:dyDescent="0.3">
      <c r="A484" s="134" t="s">
        <v>242</v>
      </c>
      <c r="B484" s="134" t="s">
        <v>337</v>
      </c>
      <c r="C484" s="134">
        <v>70</v>
      </c>
      <c r="D484" s="134" t="str">
        <f t="shared" si="33"/>
        <v>1/2" Round Falcon 500 70</v>
      </c>
      <c r="E484" s="134">
        <v>0</v>
      </c>
      <c r="I484" s="134">
        <v>0</v>
      </c>
    </row>
    <row r="485" spans="1:9" ht="14.25" customHeight="1" x14ac:dyDescent="0.3">
      <c r="A485" s="134" t="s">
        <v>242</v>
      </c>
      <c r="B485" s="134" t="s">
        <v>337</v>
      </c>
      <c r="C485" s="134">
        <v>81</v>
      </c>
      <c r="D485" s="134" t="str">
        <f t="shared" si="33"/>
        <v>1/2" Round Falcon 500 81</v>
      </c>
      <c r="E485" s="134">
        <v>0</v>
      </c>
      <c r="I485" s="134">
        <v>0</v>
      </c>
    </row>
    <row r="486" spans="1:9" ht="14.25" customHeight="1" x14ac:dyDescent="0.3">
      <c r="A486" s="134" t="s">
        <v>242</v>
      </c>
      <c r="B486" s="134" t="s">
        <v>337</v>
      </c>
      <c r="C486" s="134">
        <v>90</v>
      </c>
      <c r="D486" s="134" t="str">
        <f t="shared" si="33"/>
        <v>1/2" Round Falcon 500 90</v>
      </c>
      <c r="E486" s="134">
        <v>0</v>
      </c>
      <c r="I486" s="134">
        <v>0</v>
      </c>
    </row>
    <row r="487" spans="1:9" ht="14.25" customHeight="1" x14ac:dyDescent="0.3">
      <c r="A487" s="134" t="s">
        <v>242</v>
      </c>
      <c r="B487" s="134" t="s">
        <v>337</v>
      </c>
      <c r="C487" s="134">
        <v>100</v>
      </c>
      <c r="D487" s="134" t="str">
        <f t="shared" si="33"/>
        <v>1/2" Round Falcon 500 100</v>
      </c>
      <c r="E487" s="134">
        <v>0</v>
      </c>
      <c r="I487" s="134">
        <v>0</v>
      </c>
    </row>
    <row r="488" spans="1:9" ht="14.25" customHeight="1" x14ac:dyDescent="0.3">
      <c r="A488" s="134" t="s">
        <v>245</v>
      </c>
      <c r="B488" s="134" t="s">
        <v>11</v>
      </c>
      <c r="C488" s="134">
        <v>-3</v>
      </c>
      <c r="D488" s="134" t="str">
        <f t="shared" ref="D488:D493" si="34">A488&amp;" "&amp;B488&amp;" "&amp;C488</f>
        <v>3/8" Hex AM 9015 -3</v>
      </c>
      <c r="E488" s="134">
        <v>1</v>
      </c>
    </row>
    <row r="489" spans="1:9" ht="14.25" customHeight="1" x14ac:dyDescent="0.3">
      <c r="A489" s="134" t="s">
        <v>245</v>
      </c>
      <c r="B489" s="134" t="s">
        <v>11</v>
      </c>
      <c r="C489" s="134">
        <v>-4</v>
      </c>
      <c r="D489" s="134" t="str">
        <f t="shared" si="34"/>
        <v>3/8" Hex AM 9015 -4</v>
      </c>
      <c r="E489" s="134">
        <v>1</v>
      </c>
    </row>
    <row r="490" spans="1:9" ht="14.25" customHeight="1" x14ac:dyDescent="0.3">
      <c r="A490" s="134" t="s">
        <v>245</v>
      </c>
      <c r="B490" s="134" t="s">
        <v>11</v>
      </c>
      <c r="C490" s="134">
        <v>-5</v>
      </c>
      <c r="D490" s="134" t="str">
        <f t="shared" si="34"/>
        <v>3/8" Hex AM 9015 -5</v>
      </c>
      <c r="E490" s="134">
        <v>1</v>
      </c>
    </row>
    <row r="491" spans="1:9" ht="14.25" customHeight="1" x14ac:dyDescent="0.3">
      <c r="A491" s="134" t="s">
        <v>245</v>
      </c>
      <c r="B491" s="134" t="s">
        <v>11</v>
      </c>
      <c r="C491" s="134">
        <v>-7</v>
      </c>
      <c r="D491" s="134" t="str">
        <f t="shared" si="34"/>
        <v>3/8" Hex AM 9015 -7</v>
      </c>
      <c r="E491" s="134">
        <v>1</v>
      </c>
    </row>
    <row r="492" spans="1:9" ht="14.25" customHeight="1" x14ac:dyDescent="0.3">
      <c r="A492" s="134" t="s">
        <v>245</v>
      </c>
      <c r="B492" s="134" t="s">
        <v>11</v>
      </c>
      <c r="C492" s="134">
        <v>-9</v>
      </c>
      <c r="D492" s="134" t="str">
        <f t="shared" si="34"/>
        <v>3/8" Hex AM 9015 -9</v>
      </c>
      <c r="E492" s="134">
        <v>1</v>
      </c>
    </row>
    <row r="493" spans="1:9" ht="14.25" customHeight="1" x14ac:dyDescent="0.3">
      <c r="A493" s="134" t="s">
        <v>245</v>
      </c>
      <c r="B493" s="134" t="s">
        <v>11</v>
      </c>
      <c r="C493" s="134">
        <v>-10</v>
      </c>
      <c r="D493" s="134" t="str">
        <f t="shared" si="34"/>
        <v>3/8" Hex AM 9015 -10</v>
      </c>
      <c r="E493" s="134">
        <v>1</v>
      </c>
    </row>
    <row r="494" spans="1:9" ht="14.25" customHeight="1" x14ac:dyDescent="0.3">
      <c r="A494" s="134" t="s">
        <v>245</v>
      </c>
      <c r="B494" s="134" t="s">
        <v>11</v>
      </c>
      <c r="C494" s="134">
        <v>9</v>
      </c>
      <c r="D494" s="134" t="str">
        <f t="shared" ref="D494:D514" si="35">A494&amp;" "&amp;B494&amp;" "&amp;C494</f>
        <v>3/8" Hex AM 9015 9</v>
      </c>
      <c r="E494" s="134">
        <v>10</v>
      </c>
    </row>
    <row r="495" spans="1:9" ht="14.25" customHeight="1" x14ac:dyDescent="0.3">
      <c r="A495" s="134" t="s">
        <v>245</v>
      </c>
      <c r="B495" s="134" t="s">
        <v>11</v>
      </c>
      <c r="C495" s="134">
        <v>12</v>
      </c>
      <c r="D495" s="134" t="str">
        <f t="shared" si="35"/>
        <v>3/8" Hex AM 9015 12</v>
      </c>
      <c r="E495" s="134">
        <v>10</v>
      </c>
    </row>
    <row r="496" spans="1:9" ht="14.25" customHeight="1" x14ac:dyDescent="0.3">
      <c r="A496" s="134" t="s">
        <v>245</v>
      </c>
      <c r="B496" s="134" t="s">
        <v>11</v>
      </c>
      <c r="C496" s="134">
        <v>15</v>
      </c>
      <c r="D496" s="134" t="str">
        <f t="shared" si="35"/>
        <v>3/8" Hex AM 9015 15</v>
      </c>
      <c r="E496" s="134">
        <v>7</v>
      </c>
    </row>
    <row r="497" spans="1:5" ht="14.25" customHeight="1" x14ac:dyDescent="0.3">
      <c r="A497" s="134" t="s">
        <v>245</v>
      </c>
      <c r="B497" s="134" t="s">
        <v>11</v>
      </c>
      <c r="C497" s="134">
        <v>16</v>
      </c>
      <c r="D497" s="134" t="str">
        <f t="shared" si="35"/>
        <v>3/8" Hex AM 9015 16</v>
      </c>
      <c r="E497" s="134">
        <v>7</v>
      </c>
    </row>
    <row r="498" spans="1:5" ht="14.25" customHeight="1" x14ac:dyDescent="0.3">
      <c r="A498" s="134" t="s">
        <v>245</v>
      </c>
      <c r="B498" s="134" t="s">
        <v>11</v>
      </c>
      <c r="C498" s="134">
        <v>20</v>
      </c>
      <c r="D498" s="134" t="str">
        <f t="shared" si="35"/>
        <v>3/8" Hex AM 9015 20</v>
      </c>
      <c r="E498" s="134">
        <v>5</v>
      </c>
    </row>
    <row r="499" spans="1:5" ht="14.25" customHeight="1" x14ac:dyDescent="0.3">
      <c r="A499" s="134" t="s">
        <v>245</v>
      </c>
      <c r="B499" s="134" t="s">
        <v>11</v>
      </c>
      <c r="C499" s="134">
        <v>21</v>
      </c>
      <c r="D499" s="134" t="str">
        <f t="shared" si="35"/>
        <v>3/8" Hex AM 9015 21</v>
      </c>
      <c r="E499" s="134">
        <v>5</v>
      </c>
    </row>
    <row r="500" spans="1:5" ht="14.25" customHeight="1" x14ac:dyDescent="0.3">
      <c r="A500" s="134" t="s">
        <v>245</v>
      </c>
      <c r="B500" s="134" t="s">
        <v>11</v>
      </c>
      <c r="C500" s="134">
        <v>25</v>
      </c>
      <c r="D500" s="134" t="str">
        <f t="shared" si="35"/>
        <v>3/8" Hex AM 9015 25</v>
      </c>
      <c r="E500" s="134">
        <v>5</v>
      </c>
    </row>
    <row r="501" spans="1:5" ht="14.25" customHeight="1" x14ac:dyDescent="0.3">
      <c r="A501" s="134" t="s">
        <v>245</v>
      </c>
      <c r="B501" s="134" t="s">
        <v>11</v>
      </c>
      <c r="C501" s="134">
        <v>27</v>
      </c>
      <c r="D501" s="134" t="str">
        <f t="shared" si="35"/>
        <v>3/8" Hex AM 9015 27</v>
      </c>
      <c r="E501" s="134">
        <v>4</v>
      </c>
    </row>
    <row r="502" spans="1:5" ht="14.25" customHeight="1" x14ac:dyDescent="0.3">
      <c r="A502" s="134" t="s">
        <v>245</v>
      </c>
      <c r="B502" s="134" t="s">
        <v>11</v>
      </c>
      <c r="C502" s="134">
        <v>28</v>
      </c>
      <c r="D502" s="134" t="str">
        <f t="shared" si="35"/>
        <v>3/8" Hex AM 9015 28</v>
      </c>
      <c r="E502" s="134">
        <v>4</v>
      </c>
    </row>
    <row r="503" spans="1:5" ht="14.25" customHeight="1" x14ac:dyDescent="0.3">
      <c r="A503" s="134" t="s">
        <v>245</v>
      </c>
      <c r="B503" s="134" t="s">
        <v>11</v>
      </c>
      <c r="C503" s="134">
        <v>30</v>
      </c>
      <c r="D503" s="134" t="str">
        <f t="shared" si="35"/>
        <v>3/8" Hex AM 9015 30</v>
      </c>
      <c r="E503" s="134">
        <v>4</v>
      </c>
    </row>
    <row r="504" spans="1:5" ht="14.25" customHeight="1" x14ac:dyDescent="0.3">
      <c r="A504" s="134" t="s">
        <v>245</v>
      </c>
      <c r="B504" s="134" t="s">
        <v>11</v>
      </c>
      <c r="C504" s="134">
        <v>35</v>
      </c>
      <c r="D504" s="134" t="str">
        <f t="shared" si="35"/>
        <v>3/8" Hex AM 9015 35</v>
      </c>
      <c r="E504" s="134">
        <v>3</v>
      </c>
    </row>
    <row r="505" spans="1:5" ht="14.25" customHeight="1" x14ac:dyDescent="0.3">
      <c r="A505" s="134" t="s">
        <v>245</v>
      </c>
      <c r="B505" s="134" t="s">
        <v>11</v>
      </c>
      <c r="C505" s="134">
        <v>36</v>
      </c>
      <c r="D505" s="134" t="str">
        <f t="shared" si="35"/>
        <v>3/8" Hex AM 9015 36</v>
      </c>
      <c r="E505" s="134">
        <v>3</v>
      </c>
    </row>
    <row r="506" spans="1:5" ht="14.25" customHeight="1" x14ac:dyDescent="0.3">
      <c r="A506" s="134" t="s">
        <v>245</v>
      </c>
      <c r="B506" s="134" t="s">
        <v>11</v>
      </c>
      <c r="C506" s="134">
        <v>40</v>
      </c>
      <c r="D506" s="134" t="str">
        <f t="shared" si="35"/>
        <v>3/8" Hex AM 9015 40</v>
      </c>
      <c r="E506" s="134">
        <v>3</v>
      </c>
    </row>
    <row r="507" spans="1:5" ht="14.25" customHeight="1" x14ac:dyDescent="0.3">
      <c r="A507" s="134" t="s">
        <v>245</v>
      </c>
      <c r="B507" s="134" t="s">
        <v>11</v>
      </c>
      <c r="C507" s="134">
        <v>45</v>
      </c>
      <c r="D507" s="134" t="str">
        <f t="shared" si="35"/>
        <v>3/8" Hex AM 9015 45</v>
      </c>
      <c r="E507" s="134">
        <v>1</v>
      </c>
    </row>
    <row r="508" spans="1:5" ht="14.25" customHeight="1" x14ac:dyDescent="0.3">
      <c r="A508" s="134" t="s">
        <v>245</v>
      </c>
      <c r="B508" s="134" t="s">
        <v>11</v>
      </c>
      <c r="C508" s="134">
        <v>49</v>
      </c>
      <c r="D508" s="134" t="str">
        <f t="shared" si="35"/>
        <v>3/8" Hex AM 9015 49</v>
      </c>
      <c r="E508" s="134">
        <v>1</v>
      </c>
    </row>
    <row r="509" spans="1:5" ht="14.25" customHeight="1" x14ac:dyDescent="0.3">
      <c r="A509" s="134" t="s">
        <v>245</v>
      </c>
      <c r="B509" s="134" t="s">
        <v>11</v>
      </c>
      <c r="C509" s="134">
        <v>50</v>
      </c>
      <c r="D509" s="134" t="str">
        <f t="shared" si="35"/>
        <v>3/8" Hex AM 9015 50</v>
      </c>
      <c r="E509" s="134">
        <v>1</v>
      </c>
    </row>
    <row r="510" spans="1:5" ht="14.25" customHeight="1" x14ac:dyDescent="0.3">
      <c r="A510" s="134" t="s">
        <v>245</v>
      </c>
      <c r="B510" s="134" t="s">
        <v>11</v>
      </c>
      <c r="C510" s="134">
        <v>63</v>
      </c>
      <c r="D510" s="134" t="str">
        <f t="shared" si="35"/>
        <v>3/8" Hex AM 9015 63</v>
      </c>
      <c r="E510" s="134">
        <v>1</v>
      </c>
    </row>
    <row r="511" spans="1:5" ht="14.25" customHeight="1" x14ac:dyDescent="0.3">
      <c r="A511" s="134" t="s">
        <v>245</v>
      </c>
      <c r="B511" s="134" t="s">
        <v>11</v>
      </c>
      <c r="C511" s="134">
        <v>70</v>
      </c>
      <c r="D511" s="134" t="str">
        <f t="shared" si="35"/>
        <v>3/8" Hex AM 9015 70</v>
      </c>
      <c r="E511" s="134">
        <v>1</v>
      </c>
    </row>
    <row r="512" spans="1:5" ht="14.25" customHeight="1" x14ac:dyDescent="0.3">
      <c r="A512" s="134" t="s">
        <v>245</v>
      </c>
      <c r="B512" s="134" t="s">
        <v>11</v>
      </c>
      <c r="C512" s="134">
        <v>81</v>
      </c>
      <c r="D512" s="134" t="str">
        <f t="shared" si="35"/>
        <v>3/8" Hex AM 9015 81</v>
      </c>
      <c r="E512" s="134">
        <v>1</v>
      </c>
    </row>
    <row r="513" spans="1:8" ht="14.25" customHeight="1" x14ac:dyDescent="0.3">
      <c r="A513" s="134" t="s">
        <v>245</v>
      </c>
      <c r="B513" s="134" t="s">
        <v>11</v>
      </c>
      <c r="C513" s="134">
        <v>90</v>
      </c>
      <c r="D513" s="134" t="str">
        <f t="shared" si="35"/>
        <v>3/8" Hex AM 9015 90</v>
      </c>
      <c r="E513" s="134">
        <v>1</v>
      </c>
    </row>
    <row r="514" spans="1:8" ht="14.25" customHeight="1" x14ac:dyDescent="0.3">
      <c r="A514" s="134" t="s">
        <v>245</v>
      </c>
      <c r="B514" s="134" t="s">
        <v>11</v>
      </c>
      <c r="C514" s="134">
        <v>100</v>
      </c>
      <c r="D514" s="134" t="str">
        <f t="shared" si="35"/>
        <v>3/8" Hex AM 9015 100</v>
      </c>
      <c r="E514" s="134">
        <v>1</v>
      </c>
    </row>
    <row r="515" spans="1:8" ht="14.25" customHeight="1" x14ac:dyDescent="0.3">
      <c r="A515" s="134" t="s">
        <v>245</v>
      </c>
      <c r="B515" s="134" t="s">
        <v>328</v>
      </c>
      <c r="C515" s="134">
        <v>-3</v>
      </c>
      <c r="D515" s="134" t="str">
        <f t="shared" ref="D515:D520" si="36">A515&amp;" "&amp;B515&amp;" "&amp;C515</f>
        <v>3/8" Hex BB RS-550 -3</v>
      </c>
      <c r="E515" s="134">
        <v>1</v>
      </c>
      <c r="F515" s="134">
        <v>1</v>
      </c>
      <c r="G515" s="134">
        <v>1</v>
      </c>
      <c r="H515" s="134">
        <v>1</v>
      </c>
    </row>
    <row r="516" spans="1:8" ht="14.25" customHeight="1" x14ac:dyDescent="0.3">
      <c r="A516" s="134" t="s">
        <v>245</v>
      </c>
      <c r="B516" s="134" t="s">
        <v>328</v>
      </c>
      <c r="C516" s="134">
        <v>-4</v>
      </c>
      <c r="D516" s="134" t="str">
        <f t="shared" si="36"/>
        <v>3/8" Hex BB RS-550 -4</v>
      </c>
      <c r="E516" s="134">
        <v>1</v>
      </c>
      <c r="F516" s="134">
        <v>1</v>
      </c>
      <c r="G516" s="134">
        <v>1</v>
      </c>
      <c r="H516" s="134">
        <v>1</v>
      </c>
    </row>
    <row r="517" spans="1:8" ht="14.25" customHeight="1" x14ac:dyDescent="0.3">
      <c r="A517" s="134" t="s">
        <v>245</v>
      </c>
      <c r="B517" s="134" t="s">
        <v>328</v>
      </c>
      <c r="C517" s="134">
        <v>-5</v>
      </c>
      <c r="D517" s="134" t="str">
        <f t="shared" si="36"/>
        <v>3/8" Hex BB RS-550 -5</v>
      </c>
      <c r="E517" s="134">
        <v>1</v>
      </c>
      <c r="F517" s="134">
        <v>1</v>
      </c>
      <c r="G517" s="134">
        <v>0</v>
      </c>
      <c r="H517" s="134">
        <v>1</v>
      </c>
    </row>
    <row r="518" spans="1:8" ht="14.25" customHeight="1" x14ac:dyDescent="0.3">
      <c r="A518" s="134" t="s">
        <v>245</v>
      </c>
      <c r="B518" s="134" t="s">
        <v>328</v>
      </c>
      <c r="C518" s="134">
        <v>-7</v>
      </c>
      <c r="D518" s="134" t="str">
        <f t="shared" si="36"/>
        <v>3/8" Hex BB RS-550 -7</v>
      </c>
      <c r="E518" s="134">
        <v>1</v>
      </c>
      <c r="F518" s="134">
        <v>1</v>
      </c>
      <c r="G518" s="134">
        <v>0</v>
      </c>
      <c r="H518" s="134">
        <v>0</v>
      </c>
    </row>
    <row r="519" spans="1:8" ht="14.25" customHeight="1" x14ac:dyDescent="0.3">
      <c r="A519" s="134" t="s">
        <v>245</v>
      </c>
      <c r="B519" s="134" t="s">
        <v>328</v>
      </c>
      <c r="C519" s="134">
        <v>-9</v>
      </c>
      <c r="D519" s="134" t="str">
        <f t="shared" si="36"/>
        <v>3/8" Hex BB RS-550 -9</v>
      </c>
      <c r="E519" s="134">
        <v>1</v>
      </c>
      <c r="F519" s="134">
        <v>1</v>
      </c>
      <c r="G519" s="134">
        <v>0</v>
      </c>
      <c r="H519" s="134">
        <v>0</v>
      </c>
    </row>
    <row r="520" spans="1:8" ht="14.25" customHeight="1" x14ac:dyDescent="0.3">
      <c r="A520" s="134" t="s">
        <v>245</v>
      </c>
      <c r="B520" s="134" t="s">
        <v>328</v>
      </c>
      <c r="C520" s="134">
        <v>-10</v>
      </c>
      <c r="D520" s="134" t="str">
        <f t="shared" si="36"/>
        <v>3/8" Hex BB RS-550 -10</v>
      </c>
      <c r="E520" s="134">
        <v>1</v>
      </c>
      <c r="F520" s="134">
        <v>1</v>
      </c>
      <c r="G520" s="134">
        <v>0</v>
      </c>
      <c r="H520" s="134">
        <v>0</v>
      </c>
    </row>
    <row r="521" spans="1:8" ht="14.25" customHeight="1" x14ac:dyDescent="0.3">
      <c r="A521" s="134" t="s">
        <v>245</v>
      </c>
      <c r="B521" s="134" t="s">
        <v>328</v>
      </c>
      <c r="C521" s="134">
        <v>9</v>
      </c>
      <c r="D521" s="134" t="str">
        <f t="shared" ref="D521:D541" si="37">A521&amp;" "&amp;B521&amp;" "&amp;C521</f>
        <v>3/8" Hex BB RS-550 9</v>
      </c>
      <c r="E521" s="134">
        <v>10</v>
      </c>
      <c r="F521" s="134">
        <v>5</v>
      </c>
      <c r="G521" s="134">
        <v>0</v>
      </c>
      <c r="H521" s="134">
        <v>0</v>
      </c>
    </row>
    <row r="522" spans="1:8" ht="14.25" customHeight="1" x14ac:dyDescent="0.3">
      <c r="A522" s="134" t="s">
        <v>245</v>
      </c>
      <c r="B522" s="134" t="s">
        <v>328</v>
      </c>
      <c r="C522" s="134">
        <v>12</v>
      </c>
      <c r="D522" s="134" t="str">
        <f t="shared" si="37"/>
        <v>3/8" Hex BB RS-550 12</v>
      </c>
      <c r="E522" s="134">
        <v>9</v>
      </c>
      <c r="F522" s="134">
        <v>4</v>
      </c>
      <c r="G522" s="134">
        <v>0</v>
      </c>
      <c r="H522" s="134">
        <v>0</v>
      </c>
    </row>
    <row r="523" spans="1:8" ht="14.25" customHeight="1" x14ac:dyDescent="0.3">
      <c r="A523" s="134" t="s">
        <v>245</v>
      </c>
      <c r="B523" s="134" t="s">
        <v>328</v>
      </c>
      <c r="C523" s="134">
        <v>15</v>
      </c>
      <c r="D523" s="134" t="str">
        <f t="shared" si="37"/>
        <v>3/8" Hex BB RS-550 15</v>
      </c>
      <c r="E523" s="134">
        <v>7</v>
      </c>
      <c r="F523" s="134">
        <v>3</v>
      </c>
      <c r="G523" s="134">
        <v>0</v>
      </c>
      <c r="H523" s="134">
        <v>0</v>
      </c>
    </row>
    <row r="524" spans="1:8" ht="14.25" customHeight="1" x14ac:dyDescent="0.3">
      <c r="A524" s="134" t="s">
        <v>245</v>
      </c>
      <c r="B524" s="134" t="s">
        <v>328</v>
      </c>
      <c r="C524" s="134">
        <v>16</v>
      </c>
      <c r="D524" s="134" t="str">
        <f t="shared" si="37"/>
        <v>3/8" Hex BB RS-550 16</v>
      </c>
      <c r="E524" s="134">
        <v>7</v>
      </c>
      <c r="F524" s="134">
        <v>3</v>
      </c>
      <c r="G524" s="134">
        <v>0</v>
      </c>
      <c r="H524" s="134">
        <v>0</v>
      </c>
    </row>
    <row r="525" spans="1:8" ht="14.25" customHeight="1" x14ac:dyDescent="0.3">
      <c r="A525" s="134" t="s">
        <v>245</v>
      </c>
      <c r="B525" s="134" t="s">
        <v>328</v>
      </c>
      <c r="C525" s="134">
        <v>20</v>
      </c>
      <c r="D525" s="134" t="str">
        <f t="shared" si="37"/>
        <v>3/8" Hex BB RS-550 20</v>
      </c>
      <c r="E525" s="134">
        <v>5</v>
      </c>
      <c r="F525" s="134">
        <v>1</v>
      </c>
      <c r="G525" s="134">
        <v>0</v>
      </c>
      <c r="H525" s="134">
        <v>0</v>
      </c>
    </row>
    <row r="526" spans="1:8" ht="14.25" customHeight="1" x14ac:dyDescent="0.3">
      <c r="A526" s="134" t="s">
        <v>245</v>
      </c>
      <c r="B526" s="134" t="s">
        <v>328</v>
      </c>
      <c r="C526" s="134">
        <v>21</v>
      </c>
      <c r="D526" s="134" t="str">
        <f t="shared" si="37"/>
        <v>3/8" Hex BB RS-550 21</v>
      </c>
      <c r="E526" s="134">
        <v>5</v>
      </c>
      <c r="F526" s="134">
        <v>1</v>
      </c>
      <c r="G526" s="134">
        <v>0</v>
      </c>
      <c r="H526" s="134">
        <v>0</v>
      </c>
    </row>
    <row r="527" spans="1:8" ht="14.25" customHeight="1" x14ac:dyDescent="0.3">
      <c r="A527" s="134" t="s">
        <v>245</v>
      </c>
      <c r="B527" s="134" t="s">
        <v>328</v>
      </c>
      <c r="C527" s="134">
        <v>25</v>
      </c>
      <c r="D527" s="134" t="str">
        <f t="shared" si="37"/>
        <v>3/8" Hex BB RS-550 25</v>
      </c>
      <c r="E527" s="134">
        <v>4</v>
      </c>
      <c r="F527" s="134">
        <v>1</v>
      </c>
      <c r="G527" s="134">
        <v>0</v>
      </c>
      <c r="H527" s="134">
        <v>0</v>
      </c>
    </row>
    <row r="528" spans="1:8" ht="14.25" customHeight="1" x14ac:dyDescent="0.3">
      <c r="A528" s="134" t="s">
        <v>245</v>
      </c>
      <c r="B528" s="134" t="s">
        <v>328</v>
      </c>
      <c r="C528" s="134">
        <v>27</v>
      </c>
      <c r="D528" s="134" t="str">
        <f t="shared" si="37"/>
        <v>3/8" Hex BB RS-550 27</v>
      </c>
      <c r="E528" s="134">
        <v>4</v>
      </c>
      <c r="F528" s="134">
        <v>1</v>
      </c>
      <c r="G528" s="134">
        <v>0</v>
      </c>
      <c r="H528" s="134">
        <v>0</v>
      </c>
    </row>
    <row r="529" spans="1:8" ht="14.25" customHeight="1" x14ac:dyDescent="0.3">
      <c r="A529" s="134" t="s">
        <v>245</v>
      </c>
      <c r="B529" s="134" t="s">
        <v>328</v>
      </c>
      <c r="C529" s="134">
        <v>28</v>
      </c>
      <c r="D529" s="134" t="str">
        <f t="shared" si="37"/>
        <v>3/8" Hex BB RS-550 28</v>
      </c>
      <c r="E529" s="134">
        <v>4</v>
      </c>
      <c r="F529" s="134">
        <v>1</v>
      </c>
      <c r="G529" s="134">
        <v>0</v>
      </c>
      <c r="H529" s="134">
        <v>0</v>
      </c>
    </row>
    <row r="530" spans="1:8" ht="14.25" customHeight="1" x14ac:dyDescent="0.3">
      <c r="A530" s="134" t="s">
        <v>245</v>
      </c>
      <c r="B530" s="134" t="s">
        <v>328</v>
      </c>
      <c r="C530" s="134">
        <v>30</v>
      </c>
      <c r="D530" s="134" t="str">
        <f t="shared" si="37"/>
        <v>3/8" Hex BB RS-550 30</v>
      </c>
      <c r="E530" s="134">
        <v>3</v>
      </c>
      <c r="F530" s="134">
        <v>1</v>
      </c>
      <c r="G530" s="134">
        <v>0</v>
      </c>
      <c r="H530" s="134">
        <v>0</v>
      </c>
    </row>
    <row r="531" spans="1:8" ht="14.25" customHeight="1" x14ac:dyDescent="0.3">
      <c r="A531" s="134" t="s">
        <v>245</v>
      </c>
      <c r="B531" s="134" t="s">
        <v>328</v>
      </c>
      <c r="C531" s="134">
        <v>35</v>
      </c>
      <c r="D531" s="134" t="str">
        <f t="shared" si="37"/>
        <v>3/8" Hex BB RS-550 35</v>
      </c>
      <c r="E531" s="134">
        <v>3</v>
      </c>
      <c r="F531" s="134">
        <v>1</v>
      </c>
      <c r="G531" s="134">
        <v>0</v>
      </c>
      <c r="H531" s="134">
        <v>0</v>
      </c>
    </row>
    <row r="532" spans="1:8" ht="14.25" customHeight="1" x14ac:dyDescent="0.3">
      <c r="A532" s="134" t="s">
        <v>245</v>
      </c>
      <c r="B532" s="134" t="s">
        <v>328</v>
      </c>
      <c r="C532" s="134">
        <v>36</v>
      </c>
      <c r="D532" s="134" t="str">
        <f t="shared" si="37"/>
        <v>3/8" Hex BB RS-550 36</v>
      </c>
      <c r="E532" s="134">
        <v>3</v>
      </c>
      <c r="F532" s="134">
        <v>1</v>
      </c>
      <c r="G532" s="134">
        <v>0</v>
      </c>
      <c r="H532" s="134">
        <v>0</v>
      </c>
    </row>
    <row r="533" spans="1:8" ht="14.25" customHeight="1" x14ac:dyDescent="0.3">
      <c r="A533" s="134" t="s">
        <v>245</v>
      </c>
      <c r="B533" s="134" t="s">
        <v>328</v>
      </c>
      <c r="C533" s="134">
        <v>40</v>
      </c>
      <c r="D533" s="134" t="str">
        <f t="shared" si="37"/>
        <v>3/8" Hex BB RS-550 40</v>
      </c>
      <c r="E533" s="134">
        <v>1</v>
      </c>
      <c r="F533" s="134">
        <v>1</v>
      </c>
      <c r="G533" s="134">
        <v>0</v>
      </c>
      <c r="H533" s="134">
        <v>0</v>
      </c>
    </row>
    <row r="534" spans="1:8" ht="14.25" customHeight="1" x14ac:dyDescent="0.3">
      <c r="A534" s="134" t="s">
        <v>245</v>
      </c>
      <c r="B534" s="134" t="s">
        <v>328</v>
      </c>
      <c r="C534" s="134">
        <v>45</v>
      </c>
      <c r="D534" s="134" t="str">
        <f t="shared" si="37"/>
        <v>3/8" Hex BB RS-550 45</v>
      </c>
      <c r="E534" s="134">
        <v>1</v>
      </c>
      <c r="F534" s="134">
        <v>1</v>
      </c>
      <c r="G534" s="134">
        <v>0</v>
      </c>
      <c r="H534" s="134">
        <v>0</v>
      </c>
    </row>
    <row r="535" spans="1:8" ht="14.25" customHeight="1" x14ac:dyDescent="0.3">
      <c r="A535" s="134" t="s">
        <v>245</v>
      </c>
      <c r="B535" s="134" t="s">
        <v>328</v>
      </c>
      <c r="C535" s="134">
        <v>49</v>
      </c>
      <c r="D535" s="134" t="str">
        <f t="shared" si="37"/>
        <v>3/8" Hex BB RS-550 49</v>
      </c>
      <c r="E535" s="134">
        <v>1</v>
      </c>
      <c r="F535" s="134">
        <v>1</v>
      </c>
      <c r="G535" s="134">
        <v>0</v>
      </c>
      <c r="H535" s="134">
        <v>0</v>
      </c>
    </row>
    <row r="536" spans="1:8" ht="14.25" customHeight="1" x14ac:dyDescent="0.3">
      <c r="A536" s="134" t="s">
        <v>245</v>
      </c>
      <c r="B536" s="134" t="s">
        <v>328</v>
      </c>
      <c r="C536" s="134">
        <v>50</v>
      </c>
      <c r="D536" s="134" t="str">
        <f t="shared" si="37"/>
        <v>3/8" Hex BB RS-550 50</v>
      </c>
      <c r="E536" s="134">
        <v>1</v>
      </c>
      <c r="F536" s="134">
        <v>1</v>
      </c>
      <c r="G536" s="134">
        <v>0</v>
      </c>
      <c r="H536" s="134">
        <v>0</v>
      </c>
    </row>
    <row r="537" spans="1:8" ht="14.25" customHeight="1" x14ac:dyDescent="0.3">
      <c r="A537" s="134" t="s">
        <v>245</v>
      </c>
      <c r="B537" s="134" t="s">
        <v>328</v>
      </c>
      <c r="C537" s="134">
        <v>63</v>
      </c>
      <c r="D537" s="134" t="str">
        <f t="shared" si="37"/>
        <v>3/8" Hex BB RS-550 63</v>
      </c>
      <c r="E537" s="134">
        <v>1</v>
      </c>
      <c r="F537" s="134">
        <v>0</v>
      </c>
      <c r="G537" s="134">
        <v>0</v>
      </c>
      <c r="H537" s="134">
        <v>0</v>
      </c>
    </row>
    <row r="538" spans="1:8" ht="14.25" customHeight="1" x14ac:dyDescent="0.3">
      <c r="A538" s="134" t="s">
        <v>245</v>
      </c>
      <c r="B538" s="134" t="s">
        <v>328</v>
      </c>
      <c r="C538" s="134">
        <v>70</v>
      </c>
      <c r="D538" s="134" t="str">
        <f t="shared" si="37"/>
        <v>3/8" Hex BB RS-550 70</v>
      </c>
      <c r="E538" s="134">
        <v>1</v>
      </c>
      <c r="F538" s="134">
        <v>0</v>
      </c>
      <c r="G538" s="134">
        <v>0</v>
      </c>
      <c r="H538" s="134">
        <v>0</v>
      </c>
    </row>
    <row r="539" spans="1:8" ht="14.25" customHeight="1" x14ac:dyDescent="0.3">
      <c r="A539" s="134" t="s">
        <v>245</v>
      </c>
      <c r="B539" s="134" t="s">
        <v>328</v>
      </c>
      <c r="C539" s="134">
        <v>81</v>
      </c>
      <c r="D539" s="134" t="str">
        <f t="shared" si="37"/>
        <v>3/8" Hex BB RS-550 81</v>
      </c>
      <c r="E539" s="134">
        <v>1</v>
      </c>
      <c r="F539" s="134">
        <v>0</v>
      </c>
      <c r="G539" s="134">
        <v>0</v>
      </c>
      <c r="H539" s="134">
        <v>0</v>
      </c>
    </row>
    <row r="540" spans="1:8" ht="14.25" customHeight="1" x14ac:dyDescent="0.3">
      <c r="A540" s="134" t="s">
        <v>245</v>
      </c>
      <c r="B540" s="134" t="s">
        <v>328</v>
      </c>
      <c r="C540" s="134">
        <v>90</v>
      </c>
      <c r="D540" s="134" t="str">
        <f t="shared" si="37"/>
        <v>3/8" Hex BB RS-550 90</v>
      </c>
      <c r="E540" s="134">
        <v>1</v>
      </c>
      <c r="F540" s="134">
        <v>0</v>
      </c>
      <c r="G540" s="134">
        <v>0</v>
      </c>
      <c r="H540" s="134">
        <v>0</v>
      </c>
    </row>
    <row r="541" spans="1:8" ht="14.25" customHeight="1" x14ac:dyDescent="0.3">
      <c r="A541" s="134" t="s">
        <v>245</v>
      </c>
      <c r="B541" s="134" t="s">
        <v>328</v>
      </c>
      <c r="C541" s="134">
        <v>100</v>
      </c>
      <c r="D541" s="134" t="str">
        <f t="shared" si="37"/>
        <v>3/8" Hex BB RS-550 100</v>
      </c>
      <c r="E541" s="134">
        <v>1</v>
      </c>
      <c r="F541" s="134">
        <v>0</v>
      </c>
      <c r="G541" s="134">
        <v>0</v>
      </c>
      <c r="H541" s="134">
        <v>0</v>
      </c>
    </row>
    <row r="542" spans="1:8" ht="14.25" customHeight="1" x14ac:dyDescent="0.3">
      <c r="A542" s="134" t="s">
        <v>245</v>
      </c>
      <c r="B542" s="134" t="s">
        <v>329</v>
      </c>
      <c r="C542" s="134">
        <v>-3</v>
      </c>
      <c r="D542" s="134" t="str">
        <f t="shared" ref="D542:D547" si="38">A542&amp;" "&amp;B542&amp;" "&amp;C542</f>
        <v>3/8" Hex BB RS-775 -3</v>
      </c>
      <c r="E542" s="134">
        <v>1</v>
      </c>
      <c r="F542" s="134">
        <v>1</v>
      </c>
      <c r="G542" s="134">
        <v>0</v>
      </c>
      <c r="H542" s="134">
        <v>0</v>
      </c>
    </row>
    <row r="543" spans="1:8" ht="14.25" customHeight="1" x14ac:dyDescent="0.3">
      <c r="A543" s="134" t="s">
        <v>245</v>
      </c>
      <c r="B543" s="134" t="s">
        <v>329</v>
      </c>
      <c r="C543" s="134">
        <v>-4</v>
      </c>
      <c r="D543" s="134" t="str">
        <f t="shared" si="38"/>
        <v>3/8" Hex BB RS-775 -4</v>
      </c>
      <c r="E543" s="134">
        <v>1</v>
      </c>
      <c r="F543" s="134">
        <v>1</v>
      </c>
      <c r="G543" s="134">
        <v>0</v>
      </c>
      <c r="H543" s="134">
        <v>0</v>
      </c>
    </row>
    <row r="544" spans="1:8" ht="14.25" customHeight="1" x14ac:dyDescent="0.3">
      <c r="A544" s="134" t="s">
        <v>245</v>
      </c>
      <c r="B544" s="134" t="s">
        <v>329</v>
      </c>
      <c r="C544" s="134">
        <v>-5</v>
      </c>
      <c r="D544" s="134" t="str">
        <f t="shared" si="38"/>
        <v>3/8" Hex BB RS-775 -5</v>
      </c>
      <c r="E544" s="134">
        <v>1</v>
      </c>
      <c r="F544" s="134">
        <v>1</v>
      </c>
      <c r="G544" s="134">
        <v>0</v>
      </c>
      <c r="H544" s="134">
        <v>0</v>
      </c>
    </row>
    <row r="545" spans="1:8" ht="14.25" customHeight="1" x14ac:dyDescent="0.3">
      <c r="A545" s="134" t="s">
        <v>245</v>
      </c>
      <c r="B545" s="134" t="s">
        <v>329</v>
      </c>
      <c r="C545" s="134">
        <v>-7</v>
      </c>
      <c r="D545" s="134" t="str">
        <f t="shared" si="38"/>
        <v>3/8" Hex BB RS-775 -7</v>
      </c>
      <c r="E545" s="134">
        <v>1</v>
      </c>
      <c r="F545" s="134">
        <v>1</v>
      </c>
      <c r="G545" s="134">
        <v>0</v>
      </c>
      <c r="H545" s="134">
        <v>0</v>
      </c>
    </row>
    <row r="546" spans="1:8" ht="14.25" customHeight="1" x14ac:dyDescent="0.3">
      <c r="A546" s="134" t="s">
        <v>245</v>
      </c>
      <c r="B546" s="134" t="s">
        <v>329</v>
      </c>
      <c r="C546" s="134">
        <v>-9</v>
      </c>
      <c r="D546" s="134" t="str">
        <f t="shared" si="38"/>
        <v>3/8" Hex BB RS-775 -9</v>
      </c>
      <c r="E546" s="134">
        <v>1</v>
      </c>
      <c r="F546" s="134">
        <v>1</v>
      </c>
      <c r="G546" s="134">
        <v>0</v>
      </c>
      <c r="H546" s="134">
        <v>0</v>
      </c>
    </row>
    <row r="547" spans="1:8" ht="14.25" customHeight="1" x14ac:dyDescent="0.3">
      <c r="A547" s="134" t="s">
        <v>245</v>
      </c>
      <c r="B547" s="134" t="s">
        <v>329</v>
      </c>
      <c r="C547" s="134">
        <v>-10</v>
      </c>
      <c r="D547" s="134" t="str">
        <f t="shared" si="38"/>
        <v>3/8" Hex BB RS-775 -10</v>
      </c>
      <c r="E547" s="134">
        <v>1</v>
      </c>
      <c r="F547" s="134">
        <v>1</v>
      </c>
      <c r="G547" s="134">
        <v>0</v>
      </c>
      <c r="H547" s="134">
        <v>0</v>
      </c>
    </row>
    <row r="548" spans="1:8" ht="14.25" customHeight="1" x14ac:dyDescent="0.3">
      <c r="A548" s="134" t="s">
        <v>245</v>
      </c>
      <c r="B548" s="134" t="s">
        <v>329</v>
      </c>
      <c r="C548" s="134">
        <v>9</v>
      </c>
      <c r="D548" s="134" t="str">
        <f t="shared" ref="D548:D568" si="39">A548&amp;" "&amp;B548&amp;" "&amp;C548</f>
        <v>3/8" Hex BB RS-775 9</v>
      </c>
      <c r="E548" s="134">
        <v>7</v>
      </c>
      <c r="F548" s="134">
        <v>3</v>
      </c>
      <c r="G548" s="134">
        <v>0</v>
      </c>
      <c r="H548" s="134">
        <v>0</v>
      </c>
    </row>
    <row r="549" spans="1:8" ht="14.25" customHeight="1" x14ac:dyDescent="0.3">
      <c r="A549" s="134" t="s">
        <v>245</v>
      </c>
      <c r="B549" s="134" t="s">
        <v>329</v>
      </c>
      <c r="C549" s="134">
        <v>12</v>
      </c>
      <c r="D549" s="134" t="str">
        <f t="shared" si="39"/>
        <v>3/8" Hex BB RS-775 12</v>
      </c>
      <c r="E549" s="134">
        <v>5</v>
      </c>
      <c r="F549" s="134">
        <v>1</v>
      </c>
      <c r="G549" s="134">
        <v>0</v>
      </c>
      <c r="H549" s="134">
        <v>0</v>
      </c>
    </row>
    <row r="550" spans="1:8" ht="14.25" customHeight="1" x14ac:dyDescent="0.3">
      <c r="A550" s="134" t="s">
        <v>245</v>
      </c>
      <c r="B550" s="134" t="s">
        <v>329</v>
      </c>
      <c r="C550" s="134">
        <v>15</v>
      </c>
      <c r="D550" s="134" t="str">
        <f t="shared" si="39"/>
        <v>3/8" Hex BB RS-775 15</v>
      </c>
      <c r="E550" s="134">
        <v>4</v>
      </c>
      <c r="F550" s="134">
        <v>1</v>
      </c>
      <c r="G550" s="134">
        <v>0</v>
      </c>
      <c r="H550" s="134">
        <v>0</v>
      </c>
    </row>
    <row r="551" spans="1:8" ht="14.25" customHeight="1" x14ac:dyDescent="0.3">
      <c r="A551" s="134" t="s">
        <v>245</v>
      </c>
      <c r="B551" s="134" t="s">
        <v>329</v>
      </c>
      <c r="C551" s="134">
        <v>16</v>
      </c>
      <c r="D551" s="134" t="str">
        <f t="shared" si="39"/>
        <v>3/8" Hex BB RS-775 16</v>
      </c>
      <c r="E551" s="134">
        <v>4</v>
      </c>
      <c r="F551" s="134">
        <v>1</v>
      </c>
      <c r="G551" s="134">
        <v>0</v>
      </c>
      <c r="H551" s="134">
        <v>0</v>
      </c>
    </row>
    <row r="552" spans="1:8" ht="14.25" customHeight="1" x14ac:dyDescent="0.3">
      <c r="A552" s="134" t="s">
        <v>245</v>
      </c>
      <c r="B552" s="134" t="s">
        <v>329</v>
      </c>
      <c r="C552" s="134">
        <v>20</v>
      </c>
      <c r="D552" s="134" t="str">
        <f t="shared" si="39"/>
        <v>3/8" Hex BB RS-775 20</v>
      </c>
      <c r="E552" s="134">
        <v>3</v>
      </c>
      <c r="F552" s="134">
        <v>1</v>
      </c>
      <c r="G552" s="134">
        <v>0</v>
      </c>
      <c r="H552" s="134">
        <v>0</v>
      </c>
    </row>
    <row r="553" spans="1:8" ht="14.25" customHeight="1" x14ac:dyDescent="0.3">
      <c r="A553" s="134" t="s">
        <v>245</v>
      </c>
      <c r="B553" s="134" t="s">
        <v>329</v>
      </c>
      <c r="C553" s="134">
        <v>21</v>
      </c>
      <c r="D553" s="134" t="str">
        <f t="shared" si="39"/>
        <v>3/8" Hex BB RS-775 21</v>
      </c>
      <c r="E553" s="134">
        <v>3</v>
      </c>
      <c r="F553" s="134">
        <v>1</v>
      </c>
      <c r="G553" s="134">
        <v>0</v>
      </c>
      <c r="H553" s="134">
        <v>0</v>
      </c>
    </row>
    <row r="554" spans="1:8" ht="14.25" customHeight="1" x14ac:dyDescent="0.3">
      <c r="A554" s="134" t="s">
        <v>245</v>
      </c>
      <c r="B554" s="134" t="s">
        <v>329</v>
      </c>
      <c r="C554" s="134">
        <v>25</v>
      </c>
      <c r="D554" s="134" t="str">
        <f t="shared" si="39"/>
        <v>3/8" Hex BB RS-775 25</v>
      </c>
      <c r="E554" s="134">
        <v>1</v>
      </c>
      <c r="F554" s="134">
        <v>1</v>
      </c>
      <c r="G554" s="134">
        <v>0</v>
      </c>
      <c r="H554" s="134">
        <v>0</v>
      </c>
    </row>
    <row r="555" spans="1:8" ht="14.25" customHeight="1" x14ac:dyDescent="0.3">
      <c r="A555" s="134" t="s">
        <v>245</v>
      </c>
      <c r="B555" s="134" t="s">
        <v>329</v>
      </c>
      <c r="C555" s="134">
        <v>27</v>
      </c>
      <c r="D555" s="134" t="str">
        <f t="shared" si="39"/>
        <v>3/8" Hex BB RS-775 27</v>
      </c>
      <c r="E555" s="134">
        <v>1</v>
      </c>
      <c r="F555" s="134">
        <v>1</v>
      </c>
      <c r="G555" s="134">
        <v>0</v>
      </c>
      <c r="H555" s="134">
        <v>0</v>
      </c>
    </row>
    <row r="556" spans="1:8" ht="14.25" customHeight="1" x14ac:dyDescent="0.3">
      <c r="A556" s="134" t="s">
        <v>245</v>
      </c>
      <c r="B556" s="134" t="s">
        <v>329</v>
      </c>
      <c r="C556" s="134">
        <v>28</v>
      </c>
      <c r="D556" s="134" t="str">
        <f t="shared" si="39"/>
        <v>3/8" Hex BB RS-775 28</v>
      </c>
      <c r="E556" s="134">
        <v>1</v>
      </c>
      <c r="F556" s="134">
        <v>1</v>
      </c>
      <c r="G556" s="134">
        <v>0</v>
      </c>
      <c r="H556" s="134">
        <v>0</v>
      </c>
    </row>
    <row r="557" spans="1:8" ht="14.25" customHeight="1" x14ac:dyDescent="0.3">
      <c r="A557" s="134" t="s">
        <v>245</v>
      </c>
      <c r="B557" s="134" t="s">
        <v>329</v>
      </c>
      <c r="C557" s="134">
        <v>30</v>
      </c>
      <c r="D557" s="134" t="str">
        <f t="shared" si="39"/>
        <v>3/8" Hex BB RS-775 30</v>
      </c>
      <c r="E557" s="134">
        <v>1</v>
      </c>
      <c r="F557" s="134">
        <v>1</v>
      </c>
      <c r="G557" s="134">
        <v>0</v>
      </c>
      <c r="H557" s="134">
        <v>0</v>
      </c>
    </row>
    <row r="558" spans="1:8" ht="14.25" customHeight="1" x14ac:dyDescent="0.3">
      <c r="A558" s="134" t="s">
        <v>245</v>
      </c>
      <c r="B558" s="134" t="s">
        <v>329</v>
      </c>
      <c r="C558" s="134">
        <v>35</v>
      </c>
      <c r="D558" s="134" t="str">
        <f t="shared" si="39"/>
        <v>3/8" Hex BB RS-775 35</v>
      </c>
      <c r="E558" s="134">
        <v>1</v>
      </c>
      <c r="F558" s="134">
        <v>1</v>
      </c>
      <c r="G558" s="134">
        <v>0</v>
      </c>
      <c r="H558" s="134">
        <v>0</v>
      </c>
    </row>
    <row r="559" spans="1:8" ht="14.25" customHeight="1" x14ac:dyDescent="0.3">
      <c r="A559" s="134" t="s">
        <v>245</v>
      </c>
      <c r="B559" s="134" t="s">
        <v>329</v>
      </c>
      <c r="C559" s="134">
        <v>36</v>
      </c>
      <c r="D559" s="134" t="str">
        <f t="shared" si="39"/>
        <v>3/8" Hex BB RS-775 36</v>
      </c>
      <c r="E559" s="134">
        <v>1</v>
      </c>
      <c r="F559" s="134">
        <v>0</v>
      </c>
      <c r="G559" s="134">
        <v>0</v>
      </c>
      <c r="H559" s="134">
        <v>0</v>
      </c>
    </row>
    <row r="560" spans="1:8" ht="14.25" customHeight="1" x14ac:dyDescent="0.3">
      <c r="A560" s="134" t="s">
        <v>245</v>
      </c>
      <c r="B560" s="134" t="s">
        <v>329</v>
      </c>
      <c r="C560" s="134">
        <v>40</v>
      </c>
      <c r="D560" s="134" t="str">
        <f t="shared" si="39"/>
        <v>3/8" Hex BB RS-775 40</v>
      </c>
      <c r="E560" s="134">
        <v>1</v>
      </c>
      <c r="F560" s="134">
        <v>0</v>
      </c>
      <c r="G560" s="134">
        <v>0</v>
      </c>
      <c r="H560" s="134">
        <v>0</v>
      </c>
    </row>
    <row r="561" spans="1:8" ht="14.25" customHeight="1" x14ac:dyDescent="0.3">
      <c r="A561" s="134" t="s">
        <v>245</v>
      </c>
      <c r="B561" s="134" t="s">
        <v>329</v>
      </c>
      <c r="C561" s="134">
        <v>45</v>
      </c>
      <c r="D561" s="134" t="str">
        <f t="shared" si="39"/>
        <v>3/8" Hex BB RS-775 45</v>
      </c>
      <c r="E561" s="134">
        <v>1</v>
      </c>
      <c r="F561" s="134">
        <v>0</v>
      </c>
      <c r="G561" s="134">
        <v>0</v>
      </c>
      <c r="H561" s="134">
        <v>0</v>
      </c>
    </row>
    <row r="562" spans="1:8" ht="14.25" customHeight="1" x14ac:dyDescent="0.3">
      <c r="A562" s="134" t="s">
        <v>245</v>
      </c>
      <c r="B562" s="134" t="s">
        <v>329</v>
      </c>
      <c r="C562" s="134">
        <v>49</v>
      </c>
      <c r="D562" s="134" t="str">
        <f t="shared" si="39"/>
        <v>3/8" Hex BB RS-775 49</v>
      </c>
      <c r="E562" s="134">
        <v>1</v>
      </c>
      <c r="F562" s="134">
        <v>0</v>
      </c>
      <c r="G562" s="134">
        <v>0</v>
      </c>
      <c r="H562" s="134">
        <v>0</v>
      </c>
    </row>
    <row r="563" spans="1:8" ht="14.25" customHeight="1" x14ac:dyDescent="0.3">
      <c r="A563" s="134" t="s">
        <v>245</v>
      </c>
      <c r="B563" s="134" t="s">
        <v>329</v>
      </c>
      <c r="C563" s="134">
        <v>50</v>
      </c>
      <c r="D563" s="134" t="str">
        <f t="shared" si="39"/>
        <v>3/8" Hex BB RS-775 50</v>
      </c>
      <c r="E563" s="134">
        <v>1</v>
      </c>
      <c r="F563" s="134">
        <v>0</v>
      </c>
      <c r="G563" s="134">
        <v>0</v>
      </c>
      <c r="H563" s="134">
        <v>0</v>
      </c>
    </row>
    <row r="564" spans="1:8" ht="14.25" customHeight="1" x14ac:dyDescent="0.3">
      <c r="A564" s="134" t="s">
        <v>245</v>
      </c>
      <c r="B564" s="134" t="s">
        <v>329</v>
      </c>
      <c r="C564" s="134">
        <v>63</v>
      </c>
      <c r="D564" s="134" t="str">
        <f t="shared" si="39"/>
        <v>3/8" Hex BB RS-775 63</v>
      </c>
      <c r="E564" s="134">
        <v>1</v>
      </c>
      <c r="F564" s="134">
        <v>0</v>
      </c>
      <c r="G564" s="134">
        <v>0</v>
      </c>
      <c r="H564" s="134">
        <v>0</v>
      </c>
    </row>
    <row r="565" spans="1:8" ht="14.25" customHeight="1" x14ac:dyDescent="0.3">
      <c r="A565" s="134" t="s">
        <v>245</v>
      </c>
      <c r="B565" s="134" t="s">
        <v>329</v>
      </c>
      <c r="C565" s="134">
        <v>70</v>
      </c>
      <c r="D565" s="134" t="str">
        <f t="shared" si="39"/>
        <v>3/8" Hex BB RS-775 70</v>
      </c>
      <c r="E565" s="134">
        <v>1</v>
      </c>
      <c r="F565" s="134">
        <v>0</v>
      </c>
      <c r="G565" s="134">
        <v>0</v>
      </c>
      <c r="H565" s="134">
        <v>0</v>
      </c>
    </row>
    <row r="566" spans="1:8" ht="14.25" customHeight="1" x14ac:dyDescent="0.3">
      <c r="A566" s="134" t="s">
        <v>245</v>
      </c>
      <c r="B566" s="134" t="s">
        <v>329</v>
      </c>
      <c r="C566" s="134">
        <v>81</v>
      </c>
      <c r="D566" s="134" t="str">
        <f t="shared" si="39"/>
        <v>3/8" Hex BB RS-775 81</v>
      </c>
      <c r="E566" s="134">
        <v>0</v>
      </c>
      <c r="F566" s="134">
        <v>0</v>
      </c>
      <c r="G566" s="134">
        <v>0</v>
      </c>
      <c r="H566" s="134">
        <v>0</v>
      </c>
    </row>
    <row r="567" spans="1:8" ht="14.25" customHeight="1" x14ac:dyDescent="0.3">
      <c r="A567" s="134" t="s">
        <v>245</v>
      </c>
      <c r="B567" s="134" t="s">
        <v>329</v>
      </c>
      <c r="C567" s="134">
        <v>90</v>
      </c>
      <c r="D567" s="134" t="str">
        <f t="shared" si="39"/>
        <v>3/8" Hex BB RS-775 90</v>
      </c>
      <c r="E567" s="134">
        <v>0</v>
      </c>
      <c r="F567" s="134">
        <v>0</v>
      </c>
      <c r="G567" s="134">
        <v>0</v>
      </c>
      <c r="H567" s="134">
        <v>0</v>
      </c>
    </row>
    <row r="568" spans="1:8" ht="14.25" customHeight="1" x14ac:dyDescent="0.3">
      <c r="A568" s="134" t="s">
        <v>245</v>
      </c>
      <c r="B568" s="134" t="s">
        <v>329</v>
      </c>
      <c r="C568" s="134">
        <v>100</v>
      </c>
      <c r="D568" s="134" t="str">
        <f t="shared" si="39"/>
        <v>3/8" Hex BB RS-775 100</v>
      </c>
      <c r="E568" s="134">
        <v>0</v>
      </c>
      <c r="F568" s="134">
        <v>0</v>
      </c>
      <c r="G568" s="134">
        <v>0</v>
      </c>
      <c r="H568" s="134">
        <v>0</v>
      </c>
    </row>
    <row r="569" spans="1:8" ht="14.25" customHeight="1" x14ac:dyDescent="0.3">
      <c r="A569" s="134" t="s">
        <v>245</v>
      </c>
      <c r="B569" s="134" t="s">
        <v>8</v>
      </c>
      <c r="C569" s="134">
        <v>-3</v>
      </c>
      <c r="D569" s="134" t="str">
        <f t="shared" ref="D569:D574" si="40">A569&amp;" "&amp;B569&amp;" "&amp;C569</f>
        <v>3/8" Hex BAG Motor -3</v>
      </c>
      <c r="E569" s="134">
        <v>1</v>
      </c>
      <c r="F569" s="134">
        <v>1</v>
      </c>
      <c r="G569" s="134">
        <v>1</v>
      </c>
      <c r="H569" s="134">
        <v>0</v>
      </c>
    </row>
    <row r="570" spans="1:8" ht="14.25" customHeight="1" x14ac:dyDescent="0.3">
      <c r="A570" s="134" t="s">
        <v>245</v>
      </c>
      <c r="B570" s="134" t="s">
        <v>8</v>
      </c>
      <c r="C570" s="134">
        <v>-4</v>
      </c>
      <c r="D570" s="134" t="str">
        <f t="shared" si="40"/>
        <v>3/8" Hex BAG Motor -4</v>
      </c>
      <c r="E570" s="134">
        <v>1</v>
      </c>
      <c r="F570" s="134">
        <v>1</v>
      </c>
      <c r="G570" s="134">
        <v>1</v>
      </c>
      <c r="H570" s="134">
        <v>0</v>
      </c>
    </row>
    <row r="571" spans="1:8" ht="14.25" customHeight="1" x14ac:dyDescent="0.3">
      <c r="A571" s="134" t="s">
        <v>245</v>
      </c>
      <c r="B571" s="134" t="s">
        <v>8</v>
      </c>
      <c r="C571" s="134">
        <v>-5</v>
      </c>
      <c r="D571" s="134" t="str">
        <f t="shared" si="40"/>
        <v>3/8" Hex BAG Motor -5</v>
      </c>
      <c r="E571" s="134">
        <v>1</v>
      </c>
      <c r="F571" s="134">
        <v>1</v>
      </c>
      <c r="G571" s="134">
        <v>0</v>
      </c>
      <c r="H571" s="134">
        <v>0</v>
      </c>
    </row>
    <row r="572" spans="1:8" ht="14.25" customHeight="1" x14ac:dyDescent="0.3">
      <c r="A572" s="134" t="s">
        <v>245</v>
      </c>
      <c r="B572" s="134" t="s">
        <v>8</v>
      </c>
      <c r="C572" s="134">
        <v>-7</v>
      </c>
      <c r="D572" s="134" t="str">
        <f t="shared" si="40"/>
        <v>3/8" Hex BAG Motor -7</v>
      </c>
      <c r="E572" s="134">
        <v>1</v>
      </c>
      <c r="F572" s="134">
        <v>1</v>
      </c>
      <c r="G572" s="134">
        <v>0</v>
      </c>
      <c r="H572" s="134">
        <v>0</v>
      </c>
    </row>
    <row r="573" spans="1:8" ht="14.25" customHeight="1" x14ac:dyDescent="0.3">
      <c r="A573" s="134" t="s">
        <v>245</v>
      </c>
      <c r="B573" s="134" t="s">
        <v>8</v>
      </c>
      <c r="C573" s="134">
        <v>-9</v>
      </c>
      <c r="D573" s="134" t="str">
        <f t="shared" si="40"/>
        <v>3/8" Hex BAG Motor -9</v>
      </c>
      <c r="E573" s="134">
        <v>1</v>
      </c>
      <c r="F573" s="134">
        <v>1</v>
      </c>
      <c r="G573" s="134">
        <v>0</v>
      </c>
      <c r="H573" s="134">
        <v>0</v>
      </c>
    </row>
    <row r="574" spans="1:8" ht="14.25" customHeight="1" x14ac:dyDescent="0.3">
      <c r="A574" s="134" t="s">
        <v>245</v>
      </c>
      <c r="B574" s="134" t="s">
        <v>8</v>
      </c>
      <c r="C574" s="134">
        <v>-10</v>
      </c>
      <c r="D574" s="134" t="str">
        <f t="shared" si="40"/>
        <v>3/8" Hex BAG Motor -10</v>
      </c>
      <c r="E574" s="134">
        <v>1</v>
      </c>
      <c r="F574" s="134">
        <v>1</v>
      </c>
      <c r="G574" s="134">
        <v>0</v>
      </c>
      <c r="H574" s="134">
        <v>0</v>
      </c>
    </row>
    <row r="575" spans="1:8" ht="14.25" customHeight="1" x14ac:dyDescent="0.3">
      <c r="A575" s="134" t="s">
        <v>245</v>
      </c>
      <c r="B575" s="134" t="s">
        <v>8</v>
      </c>
      <c r="C575" s="134">
        <v>9</v>
      </c>
      <c r="D575" s="134" t="str">
        <f t="shared" ref="D575:D595" si="41">A575&amp;" "&amp;B575&amp;" "&amp;C575</f>
        <v>3/8" Hex BAG Motor 9</v>
      </c>
      <c r="E575" s="134">
        <v>10</v>
      </c>
      <c r="F575" s="134">
        <v>5</v>
      </c>
      <c r="G575" s="134">
        <v>0</v>
      </c>
      <c r="H575" s="134">
        <v>0</v>
      </c>
    </row>
    <row r="576" spans="1:8" ht="14.25" customHeight="1" x14ac:dyDescent="0.3">
      <c r="A576" s="134" t="s">
        <v>245</v>
      </c>
      <c r="B576" s="134" t="s">
        <v>8</v>
      </c>
      <c r="C576" s="134">
        <v>12</v>
      </c>
      <c r="D576" s="134" t="str">
        <f t="shared" si="41"/>
        <v>3/8" Hex BAG Motor 12</v>
      </c>
      <c r="E576" s="134">
        <v>10</v>
      </c>
      <c r="F576" s="134">
        <v>5</v>
      </c>
      <c r="G576" s="134">
        <v>0</v>
      </c>
      <c r="H576" s="134">
        <v>0</v>
      </c>
    </row>
    <row r="577" spans="1:8" ht="14.25" customHeight="1" x14ac:dyDescent="0.3">
      <c r="A577" s="134" t="s">
        <v>245</v>
      </c>
      <c r="B577" s="134" t="s">
        <v>8</v>
      </c>
      <c r="C577" s="134">
        <v>15</v>
      </c>
      <c r="D577" s="134" t="str">
        <f t="shared" si="41"/>
        <v>3/8" Hex BAG Motor 15</v>
      </c>
      <c r="E577" s="134">
        <v>7</v>
      </c>
      <c r="F577" s="134">
        <v>4</v>
      </c>
      <c r="G577" s="134">
        <v>0</v>
      </c>
      <c r="H577" s="134">
        <v>0</v>
      </c>
    </row>
    <row r="578" spans="1:8" ht="14.25" customHeight="1" x14ac:dyDescent="0.3">
      <c r="A578" s="134" t="s">
        <v>245</v>
      </c>
      <c r="B578" s="134" t="s">
        <v>8</v>
      </c>
      <c r="C578" s="134">
        <v>16</v>
      </c>
      <c r="D578" s="134" t="str">
        <f t="shared" si="41"/>
        <v>3/8" Hex BAG Motor 16</v>
      </c>
      <c r="E578" s="134">
        <v>7</v>
      </c>
      <c r="F578" s="134">
        <v>3</v>
      </c>
      <c r="G578" s="134">
        <v>0</v>
      </c>
      <c r="H578" s="134">
        <v>0</v>
      </c>
    </row>
    <row r="579" spans="1:8" ht="14.25" customHeight="1" x14ac:dyDescent="0.3">
      <c r="A579" s="134" t="s">
        <v>245</v>
      </c>
      <c r="B579" s="134" t="s">
        <v>8</v>
      </c>
      <c r="C579" s="134">
        <v>20</v>
      </c>
      <c r="D579" s="134" t="str">
        <f t="shared" si="41"/>
        <v>3/8" Hex BAG Motor 20</v>
      </c>
      <c r="E579" s="134">
        <v>5</v>
      </c>
      <c r="F579" s="134">
        <v>3</v>
      </c>
      <c r="G579" s="134">
        <v>0</v>
      </c>
      <c r="H579" s="134">
        <v>0</v>
      </c>
    </row>
    <row r="580" spans="1:8" ht="14.25" customHeight="1" x14ac:dyDescent="0.3">
      <c r="A580" s="134" t="s">
        <v>245</v>
      </c>
      <c r="B580" s="134" t="s">
        <v>8</v>
      </c>
      <c r="C580" s="134">
        <v>21</v>
      </c>
      <c r="D580" s="134" t="str">
        <f t="shared" si="41"/>
        <v>3/8" Hex BAG Motor 21</v>
      </c>
      <c r="E580" s="134">
        <v>5</v>
      </c>
      <c r="F580" s="134">
        <v>1</v>
      </c>
      <c r="G580" s="134">
        <v>0</v>
      </c>
      <c r="H580" s="134">
        <v>0</v>
      </c>
    </row>
    <row r="581" spans="1:8" ht="14.25" customHeight="1" x14ac:dyDescent="0.3">
      <c r="A581" s="134" t="s">
        <v>245</v>
      </c>
      <c r="B581" s="134" t="s">
        <v>8</v>
      </c>
      <c r="C581" s="134">
        <v>25</v>
      </c>
      <c r="D581" s="134" t="str">
        <f t="shared" si="41"/>
        <v>3/8" Hex BAG Motor 25</v>
      </c>
      <c r="E581" s="134">
        <v>5</v>
      </c>
      <c r="F581" s="134">
        <v>1</v>
      </c>
      <c r="G581" s="134">
        <v>0</v>
      </c>
      <c r="H581" s="134">
        <v>0</v>
      </c>
    </row>
    <row r="582" spans="1:8" ht="14.25" customHeight="1" x14ac:dyDescent="0.3">
      <c r="A582" s="134" t="s">
        <v>245</v>
      </c>
      <c r="B582" s="134" t="s">
        <v>8</v>
      </c>
      <c r="C582" s="134">
        <v>27</v>
      </c>
      <c r="D582" s="134" t="str">
        <f t="shared" si="41"/>
        <v>3/8" Hex BAG Motor 27</v>
      </c>
      <c r="E582" s="134">
        <v>4</v>
      </c>
      <c r="F582" s="134">
        <v>1</v>
      </c>
      <c r="G582" s="134">
        <v>0</v>
      </c>
      <c r="H582" s="134">
        <v>0</v>
      </c>
    </row>
    <row r="583" spans="1:8" ht="14.25" customHeight="1" x14ac:dyDescent="0.3">
      <c r="A583" s="134" t="s">
        <v>245</v>
      </c>
      <c r="B583" s="134" t="s">
        <v>8</v>
      </c>
      <c r="C583" s="134">
        <v>28</v>
      </c>
      <c r="D583" s="134" t="str">
        <f t="shared" si="41"/>
        <v>3/8" Hex BAG Motor 28</v>
      </c>
      <c r="E583" s="134">
        <v>4</v>
      </c>
      <c r="F583" s="134">
        <v>1</v>
      </c>
      <c r="G583" s="134">
        <v>0</v>
      </c>
      <c r="H583" s="134">
        <v>0</v>
      </c>
    </row>
    <row r="584" spans="1:8" ht="14.25" customHeight="1" x14ac:dyDescent="0.3">
      <c r="A584" s="134" t="s">
        <v>245</v>
      </c>
      <c r="B584" s="134" t="s">
        <v>8</v>
      </c>
      <c r="C584" s="134">
        <v>30</v>
      </c>
      <c r="D584" s="134" t="str">
        <f t="shared" si="41"/>
        <v>3/8" Hex BAG Motor 30</v>
      </c>
      <c r="E584" s="134">
        <v>4</v>
      </c>
      <c r="F584" s="134">
        <v>1</v>
      </c>
      <c r="G584" s="134">
        <v>0</v>
      </c>
      <c r="H584" s="134">
        <v>0</v>
      </c>
    </row>
    <row r="585" spans="1:8" ht="14.25" customHeight="1" x14ac:dyDescent="0.3">
      <c r="A585" s="134" t="s">
        <v>245</v>
      </c>
      <c r="B585" s="134" t="s">
        <v>8</v>
      </c>
      <c r="C585" s="134">
        <v>35</v>
      </c>
      <c r="D585" s="134" t="str">
        <f t="shared" si="41"/>
        <v>3/8" Hex BAG Motor 35</v>
      </c>
      <c r="E585" s="134">
        <v>3</v>
      </c>
      <c r="F585" s="134">
        <v>1</v>
      </c>
      <c r="G585" s="134">
        <v>0</v>
      </c>
      <c r="H585" s="134">
        <v>0</v>
      </c>
    </row>
    <row r="586" spans="1:8" ht="14.25" customHeight="1" x14ac:dyDescent="0.3">
      <c r="A586" s="134" t="s">
        <v>245</v>
      </c>
      <c r="B586" s="134" t="s">
        <v>8</v>
      </c>
      <c r="C586" s="134">
        <v>36</v>
      </c>
      <c r="D586" s="134" t="str">
        <f t="shared" si="41"/>
        <v>3/8" Hex BAG Motor 36</v>
      </c>
      <c r="E586" s="134">
        <v>3</v>
      </c>
      <c r="F586" s="134">
        <v>1</v>
      </c>
      <c r="G586" s="134">
        <v>0</v>
      </c>
      <c r="H586" s="134">
        <v>0</v>
      </c>
    </row>
    <row r="587" spans="1:8" ht="14.25" customHeight="1" x14ac:dyDescent="0.3">
      <c r="A587" s="134" t="s">
        <v>245</v>
      </c>
      <c r="B587" s="134" t="s">
        <v>8</v>
      </c>
      <c r="C587" s="134">
        <v>40</v>
      </c>
      <c r="D587" s="134" t="str">
        <f t="shared" si="41"/>
        <v>3/8" Hex BAG Motor 40</v>
      </c>
      <c r="E587" s="134">
        <v>3</v>
      </c>
      <c r="F587" s="134">
        <v>1</v>
      </c>
      <c r="G587" s="134">
        <v>0</v>
      </c>
      <c r="H587" s="134">
        <v>0</v>
      </c>
    </row>
    <row r="588" spans="1:8" ht="14.25" customHeight="1" x14ac:dyDescent="0.3">
      <c r="A588" s="134" t="s">
        <v>245</v>
      </c>
      <c r="B588" s="134" t="s">
        <v>8</v>
      </c>
      <c r="C588" s="134">
        <v>45</v>
      </c>
      <c r="D588" s="134" t="str">
        <f t="shared" si="41"/>
        <v>3/8" Hex BAG Motor 45</v>
      </c>
      <c r="E588" s="134">
        <v>1</v>
      </c>
      <c r="F588" s="134">
        <v>1</v>
      </c>
      <c r="G588" s="134">
        <v>0</v>
      </c>
      <c r="H588" s="134">
        <v>0</v>
      </c>
    </row>
    <row r="589" spans="1:8" ht="14.25" customHeight="1" x14ac:dyDescent="0.3">
      <c r="A589" s="134" t="s">
        <v>245</v>
      </c>
      <c r="B589" s="134" t="s">
        <v>8</v>
      </c>
      <c r="C589" s="134">
        <v>49</v>
      </c>
      <c r="D589" s="134" t="str">
        <f t="shared" si="41"/>
        <v>3/8" Hex BAG Motor 49</v>
      </c>
      <c r="E589" s="134">
        <v>1</v>
      </c>
      <c r="F589" s="134">
        <v>1</v>
      </c>
      <c r="G589" s="134">
        <v>0</v>
      </c>
      <c r="H589" s="134">
        <v>0</v>
      </c>
    </row>
    <row r="590" spans="1:8" ht="14.25" customHeight="1" x14ac:dyDescent="0.3">
      <c r="A590" s="134" t="s">
        <v>245</v>
      </c>
      <c r="B590" s="134" t="s">
        <v>8</v>
      </c>
      <c r="C590" s="134">
        <v>50</v>
      </c>
      <c r="D590" s="134" t="str">
        <f t="shared" si="41"/>
        <v>3/8" Hex BAG Motor 50</v>
      </c>
      <c r="E590" s="134">
        <v>1</v>
      </c>
      <c r="F590" s="134">
        <v>1</v>
      </c>
      <c r="G590" s="134">
        <v>0</v>
      </c>
      <c r="H590" s="134">
        <v>0</v>
      </c>
    </row>
    <row r="591" spans="1:8" ht="14.25" customHeight="1" x14ac:dyDescent="0.3">
      <c r="A591" s="134" t="s">
        <v>245</v>
      </c>
      <c r="B591" s="134" t="s">
        <v>8</v>
      </c>
      <c r="C591" s="134">
        <v>63</v>
      </c>
      <c r="D591" s="134" t="str">
        <f t="shared" si="41"/>
        <v>3/8" Hex BAG Motor 63</v>
      </c>
      <c r="E591" s="134">
        <v>1</v>
      </c>
      <c r="F591" s="134">
        <v>0</v>
      </c>
      <c r="G591" s="134">
        <v>0</v>
      </c>
      <c r="H591" s="134">
        <v>0</v>
      </c>
    </row>
    <row r="592" spans="1:8" ht="14.25" customHeight="1" x14ac:dyDescent="0.3">
      <c r="A592" s="134" t="s">
        <v>245</v>
      </c>
      <c r="B592" s="134" t="s">
        <v>8</v>
      </c>
      <c r="C592" s="134">
        <v>70</v>
      </c>
      <c r="D592" s="134" t="str">
        <f t="shared" si="41"/>
        <v>3/8" Hex BAG Motor 70</v>
      </c>
      <c r="E592" s="134">
        <v>1</v>
      </c>
      <c r="F592" s="134">
        <v>0</v>
      </c>
      <c r="G592" s="134">
        <v>0</v>
      </c>
      <c r="H592" s="134">
        <v>0</v>
      </c>
    </row>
    <row r="593" spans="1:8" ht="14.25" customHeight="1" x14ac:dyDescent="0.3">
      <c r="A593" s="134" t="s">
        <v>245</v>
      </c>
      <c r="B593" s="134" t="s">
        <v>8</v>
      </c>
      <c r="C593" s="134">
        <v>81</v>
      </c>
      <c r="D593" s="134" t="str">
        <f t="shared" si="41"/>
        <v>3/8" Hex BAG Motor 81</v>
      </c>
      <c r="E593" s="134">
        <v>1</v>
      </c>
      <c r="F593" s="134">
        <v>0</v>
      </c>
      <c r="G593" s="134">
        <v>0</v>
      </c>
      <c r="H593" s="134">
        <v>0</v>
      </c>
    </row>
    <row r="594" spans="1:8" ht="14.25" customHeight="1" x14ac:dyDescent="0.3">
      <c r="A594" s="134" t="s">
        <v>245</v>
      </c>
      <c r="B594" s="134" t="s">
        <v>8</v>
      </c>
      <c r="C594" s="134">
        <v>90</v>
      </c>
      <c r="D594" s="134" t="str">
        <f t="shared" si="41"/>
        <v>3/8" Hex BAG Motor 90</v>
      </c>
      <c r="E594" s="134">
        <v>1</v>
      </c>
      <c r="F594" s="134">
        <v>0</v>
      </c>
      <c r="G594" s="134">
        <v>0</v>
      </c>
      <c r="H594" s="134">
        <v>0</v>
      </c>
    </row>
    <row r="595" spans="1:8" ht="14.25" customHeight="1" x14ac:dyDescent="0.3">
      <c r="A595" s="134" t="s">
        <v>245</v>
      </c>
      <c r="B595" s="134" t="s">
        <v>8</v>
      </c>
      <c r="C595" s="134">
        <v>100</v>
      </c>
      <c r="D595" s="134" t="str">
        <f t="shared" si="41"/>
        <v>3/8" Hex BAG Motor 100</v>
      </c>
      <c r="E595" s="134">
        <v>1</v>
      </c>
      <c r="F595" s="134">
        <v>0</v>
      </c>
      <c r="G595" s="134">
        <v>0</v>
      </c>
      <c r="H595" s="134">
        <v>0</v>
      </c>
    </row>
    <row r="596" spans="1:8" ht="14.25" customHeight="1" x14ac:dyDescent="0.3">
      <c r="A596" s="134" t="s">
        <v>245</v>
      </c>
      <c r="B596" s="134" t="s">
        <v>257</v>
      </c>
      <c r="C596" s="134">
        <v>-3</v>
      </c>
      <c r="D596" s="134" t="str">
        <f t="shared" ref="D596:D601" si="42">A596&amp;" "&amp;B596&amp;" "&amp;C596</f>
        <v>3/8" Hex 775pro -3</v>
      </c>
      <c r="E596" s="134">
        <v>1</v>
      </c>
      <c r="F596" s="134">
        <v>1</v>
      </c>
      <c r="G596" s="134">
        <v>0</v>
      </c>
      <c r="H596" s="134">
        <v>0</v>
      </c>
    </row>
    <row r="597" spans="1:8" ht="14.25" customHeight="1" x14ac:dyDescent="0.3">
      <c r="A597" s="134" t="s">
        <v>245</v>
      </c>
      <c r="B597" s="134" t="s">
        <v>257</v>
      </c>
      <c r="C597" s="134">
        <v>-4</v>
      </c>
      <c r="D597" s="134" t="str">
        <f t="shared" si="42"/>
        <v>3/8" Hex 775pro -4</v>
      </c>
      <c r="E597" s="134">
        <v>1</v>
      </c>
      <c r="F597" s="134">
        <v>1</v>
      </c>
      <c r="G597" s="134">
        <v>0</v>
      </c>
      <c r="H597" s="134">
        <v>0</v>
      </c>
    </row>
    <row r="598" spans="1:8" ht="14.25" customHeight="1" x14ac:dyDescent="0.3">
      <c r="A598" s="134" t="s">
        <v>245</v>
      </c>
      <c r="B598" s="134" t="s">
        <v>257</v>
      </c>
      <c r="C598" s="134">
        <v>-5</v>
      </c>
      <c r="D598" s="134" t="str">
        <f t="shared" si="42"/>
        <v>3/8" Hex 775pro -5</v>
      </c>
      <c r="E598" s="134">
        <v>1</v>
      </c>
      <c r="F598" s="134">
        <v>1</v>
      </c>
      <c r="G598" s="134">
        <v>0</v>
      </c>
      <c r="H598" s="134">
        <v>0</v>
      </c>
    </row>
    <row r="599" spans="1:8" ht="14.25" customHeight="1" x14ac:dyDescent="0.3">
      <c r="A599" s="134" t="s">
        <v>245</v>
      </c>
      <c r="B599" s="134" t="s">
        <v>257</v>
      </c>
      <c r="C599" s="134">
        <v>-7</v>
      </c>
      <c r="D599" s="134" t="str">
        <f t="shared" si="42"/>
        <v>3/8" Hex 775pro -7</v>
      </c>
      <c r="E599" s="134">
        <v>1</v>
      </c>
      <c r="F599" s="134">
        <v>1</v>
      </c>
      <c r="G599" s="134">
        <v>0</v>
      </c>
      <c r="H599" s="134">
        <v>0</v>
      </c>
    </row>
    <row r="600" spans="1:8" ht="14.25" customHeight="1" x14ac:dyDescent="0.3">
      <c r="A600" s="134" t="s">
        <v>245</v>
      </c>
      <c r="B600" s="134" t="s">
        <v>257</v>
      </c>
      <c r="C600" s="134">
        <v>-9</v>
      </c>
      <c r="D600" s="134" t="str">
        <f t="shared" si="42"/>
        <v>3/8" Hex 775pro -9</v>
      </c>
      <c r="E600" s="134">
        <v>1</v>
      </c>
      <c r="F600" s="134">
        <v>1</v>
      </c>
      <c r="G600" s="134">
        <v>0</v>
      </c>
      <c r="H600" s="134">
        <v>0</v>
      </c>
    </row>
    <row r="601" spans="1:8" ht="14.25" customHeight="1" x14ac:dyDescent="0.3">
      <c r="A601" s="134" t="s">
        <v>245</v>
      </c>
      <c r="B601" s="134" t="s">
        <v>257</v>
      </c>
      <c r="C601" s="134">
        <v>-10</v>
      </c>
      <c r="D601" s="134" t="str">
        <f t="shared" si="42"/>
        <v>3/8" Hex 775pro -10</v>
      </c>
      <c r="E601" s="134">
        <v>1</v>
      </c>
      <c r="F601" s="134">
        <v>1</v>
      </c>
      <c r="G601" s="134">
        <v>0</v>
      </c>
      <c r="H601" s="134">
        <v>0</v>
      </c>
    </row>
    <row r="602" spans="1:8" ht="14.25" customHeight="1" x14ac:dyDescent="0.3">
      <c r="A602" s="134" t="s">
        <v>245</v>
      </c>
      <c r="B602" s="134" t="s">
        <v>257</v>
      </c>
      <c r="C602" s="134">
        <v>9</v>
      </c>
      <c r="D602" s="134" t="str">
        <f t="shared" ref="D602:D622" si="43">A602&amp;" "&amp;B602&amp;" "&amp;C602</f>
        <v>3/8" Hex 775pro 9</v>
      </c>
      <c r="E602" s="134">
        <v>7</v>
      </c>
      <c r="F602" s="134">
        <v>4</v>
      </c>
      <c r="G602" s="134">
        <v>0</v>
      </c>
      <c r="H602" s="134">
        <v>0</v>
      </c>
    </row>
    <row r="603" spans="1:8" ht="14.25" customHeight="1" x14ac:dyDescent="0.3">
      <c r="A603" s="134" t="s">
        <v>245</v>
      </c>
      <c r="B603" s="134" t="s">
        <v>257</v>
      </c>
      <c r="C603" s="134">
        <v>12</v>
      </c>
      <c r="D603" s="134" t="str">
        <f t="shared" si="43"/>
        <v>3/8" Hex 775pro 12</v>
      </c>
      <c r="E603" s="134">
        <v>5</v>
      </c>
      <c r="F603" s="134">
        <v>3</v>
      </c>
      <c r="G603" s="134">
        <v>0</v>
      </c>
      <c r="H603" s="134">
        <v>0</v>
      </c>
    </row>
    <row r="604" spans="1:8" ht="14.25" customHeight="1" x14ac:dyDescent="0.3">
      <c r="A604" s="134" t="s">
        <v>245</v>
      </c>
      <c r="B604" s="134" t="s">
        <v>257</v>
      </c>
      <c r="C604" s="134">
        <v>15</v>
      </c>
      <c r="D604" s="134" t="str">
        <f t="shared" si="43"/>
        <v>3/8" Hex 775pro 15</v>
      </c>
      <c r="E604" s="134">
        <v>5</v>
      </c>
      <c r="F604" s="134">
        <v>1</v>
      </c>
      <c r="G604" s="134">
        <v>0</v>
      </c>
      <c r="H604" s="134">
        <v>0</v>
      </c>
    </row>
    <row r="605" spans="1:8" ht="14.25" customHeight="1" x14ac:dyDescent="0.3">
      <c r="A605" s="134" t="s">
        <v>245</v>
      </c>
      <c r="B605" s="134" t="s">
        <v>257</v>
      </c>
      <c r="C605" s="134">
        <v>16</v>
      </c>
      <c r="D605" s="134" t="str">
        <f t="shared" si="43"/>
        <v>3/8" Hex 775pro 16</v>
      </c>
      <c r="E605" s="134">
        <v>4</v>
      </c>
      <c r="F605" s="134">
        <v>1</v>
      </c>
      <c r="G605" s="134">
        <v>0</v>
      </c>
      <c r="H605" s="134">
        <v>0</v>
      </c>
    </row>
    <row r="606" spans="1:8" ht="14.25" customHeight="1" x14ac:dyDescent="0.3">
      <c r="A606" s="134" t="s">
        <v>245</v>
      </c>
      <c r="B606" s="134" t="s">
        <v>257</v>
      </c>
      <c r="C606" s="134">
        <v>20</v>
      </c>
      <c r="D606" s="134" t="str">
        <f t="shared" si="43"/>
        <v>3/8" Hex 775pro 20</v>
      </c>
      <c r="E606" s="134">
        <v>3</v>
      </c>
      <c r="F606" s="134">
        <v>1</v>
      </c>
      <c r="G606" s="134">
        <v>0</v>
      </c>
      <c r="H606" s="134">
        <v>0</v>
      </c>
    </row>
    <row r="607" spans="1:8" ht="14.25" customHeight="1" x14ac:dyDescent="0.3">
      <c r="A607" s="134" t="s">
        <v>245</v>
      </c>
      <c r="B607" s="134" t="s">
        <v>257</v>
      </c>
      <c r="C607" s="134">
        <v>21</v>
      </c>
      <c r="D607" s="134" t="str">
        <f t="shared" si="43"/>
        <v>3/8" Hex 775pro 21</v>
      </c>
      <c r="E607" s="134">
        <v>3</v>
      </c>
      <c r="F607" s="134">
        <v>1</v>
      </c>
      <c r="G607" s="134">
        <v>0</v>
      </c>
      <c r="H607" s="134">
        <v>0</v>
      </c>
    </row>
    <row r="608" spans="1:8" ht="14.25" customHeight="1" x14ac:dyDescent="0.3">
      <c r="A608" s="134" t="s">
        <v>245</v>
      </c>
      <c r="B608" s="134" t="s">
        <v>257</v>
      </c>
      <c r="C608" s="134">
        <v>25</v>
      </c>
      <c r="D608" s="134" t="str">
        <f t="shared" si="43"/>
        <v>3/8" Hex 775pro 25</v>
      </c>
      <c r="E608" s="134">
        <v>3</v>
      </c>
      <c r="F608" s="134">
        <v>1</v>
      </c>
      <c r="G608" s="134">
        <v>0</v>
      </c>
      <c r="H608" s="134">
        <v>0</v>
      </c>
    </row>
    <row r="609" spans="1:9" ht="14.25" customHeight="1" x14ac:dyDescent="0.3">
      <c r="A609" s="134" t="s">
        <v>245</v>
      </c>
      <c r="B609" s="134" t="s">
        <v>257</v>
      </c>
      <c r="C609" s="134">
        <v>27</v>
      </c>
      <c r="D609" s="134" t="str">
        <f t="shared" si="43"/>
        <v>3/8" Hex 775pro 27</v>
      </c>
      <c r="E609" s="134">
        <v>1</v>
      </c>
      <c r="F609" s="134">
        <v>1</v>
      </c>
      <c r="G609" s="134">
        <v>0</v>
      </c>
      <c r="H609" s="134">
        <v>0</v>
      </c>
    </row>
    <row r="610" spans="1:9" ht="14.25" customHeight="1" x14ac:dyDescent="0.3">
      <c r="A610" s="134" t="s">
        <v>245</v>
      </c>
      <c r="B610" s="134" t="s">
        <v>257</v>
      </c>
      <c r="C610" s="134">
        <v>28</v>
      </c>
      <c r="D610" s="134" t="str">
        <f t="shared" si="43"/>
        <v>3/8" Hex 775pro 28</v>
      </c>
      <c r="E610" s="134">
        <v>1</v>
      </c>
      <c r="F610" s="134">
        <v>1</v>
      </c>
      <c r="G610" s="134">
        <v>0</v>
      </c>
      <c r="H610" s="134">
        <v>0</v>
      </c>
    </row>
    <row r="611" spans="1:9" ht="14.25" customHeight="1" x14ac:dyDescent="0.3">
      <c r="A611" s="134" t="s">
        <v>245</v>
      </c>
      <c r="B611" s="134" t="s">
        <v>257</v>
      </c>
      <c r="C611" s="134">
        <v>30</v>
      </c>
      <c r="D611" s="134" t="str">
        <f t="shared" si="43"/>
        <v>3/8" Hex 775pro 30</v>
      </c>
      <c r="E611" s="134">
        <v>1</v>
      </c>
      <c r="F611" s="134">
        <v>1</v>
      </c>
      <c r="G611" s="134">
        <v>0</v>
      </c>
      <c r="H611" s="134">
        <v>0</v>
      </c>
    </row>
    <row r="612" spans="1:9" ht="14.25" customHeight="1" x14ac:dyDescent="0.3">
      <c r="A612" s="134" t="s">
        <v>245</v>
      </c>
      <c r="B612" s="134" t="s">
        <v>257</v>
      </c>
      <c r="C612" s="134">
        <v>35</v>
      </c>
      <c r="D612" s="134" t="str">
        <f t="shared" si="43"/>
        <v>3/8" Hex 775pro 35</v>
      </c>
      <c r="E612" s="134">
        <v>1</v>
      </c>
      <c r="F612" s="134">
        <v>1</v>
      </c>
      <c r="G612" s="134">
        <v>0</v>
      </c>
      <c r="H612" s="134">
        <v>0</v>
      </c>
    </row>
    <row r="613" spans="1:9" ht="14.25" customHeight="1" x14ac:dyDescent="0.3">
      <c r="A613" s="134" t="s">
        <v>245</v>
      </c>
      <c r="B613" s="134" t="s">
        <v>257</v>
      </c>
      <c r="C613" s="134">
        <v>36</v>
      </c>
      <c r="D613" s="134" t="str">
        <f t="shared" si="43"/>
        <v>3/8" Hex 775pro 36</v>
      </c>
      <c r="E613" s="134">
        <v>1</v>
      </c>
      <c r="F613" s="134">
        <v>1</v>
      </c>
      <c r="G613" s="134">
        <v>0</v>
      </c>
      <c r="H613" s="134">
        <v>0</v>
      </c>
    </row>
    <row r="614" spans="1:9" ht="14.25" customHeight="1" x14ac:dyDescent="0.3">
      <c r="A614" s="134" t="s">
        <v>245</v>
      </c>
      <c r="B614" s="134" t="s">
        <v>257</v>
      </c>
      <c r="C614" s="134">
        <v>40</v>
      </c>
      <c r="D614" s="134" t="str">
        <f t="shared" si="43"/>
        <v>3/8" Hex 775pro 40</v>
      </c>
      <c r="E614" s="134">
        <v>1</v>
      </c>
      <c r="F614" s="134">
        <v>0</v>
      </c>
      <c r="G614" s="134">
        <v>0</v>
      </c>
      <c r="H614" s="134">
        <v>0</v>
      </c>
    </row>
    <row r="615" spans="1:9" ht="14.25" customHeight="1" x14ac:dyDescent="0.3">
      <c r="A615" s="134" t="s">
        <v>245</v>
      </c>
      <c r="B615" s="134" t="s">
        <v>257</v>
      </c>
      <c r="C615" s="134">
        <v>45</v>
      </c>
      <c r="D615" s="134" t="str">
        <f t="shared" si="43"/>
        <v>3/8" Hex 775pro 45</v>
      </c>
      <c r="E615" s="134">
        <v>1</v>
      </c>
      <c r="F615" s="134">
        <v>0</v>
      </c>
      <c r="G615" s="134">
        <v>0</v>
      </c>
      <c r="H615" s="134">
        <v>0</v>
      </c>
    </row>
    <row r="616" spans="1:9" ht="14.25" customHeight="1" x14ac:dyDescent="0.3">
      <c r="A616" s="134" t="s">
        <v>245</v>
      </c>
      <c r="B616" s="134" t="s">
        <v>257</v>
      </c>
      <c r="C616" s="134">
        <v>49</v>
      </c>
      <c r="D616" s="134" t="str">
        <f t="shared" si="43"/>
        <v>3/8" Hex 775pro 49</v>
      </c>
      <c r="E616" s="134">
        <v>1</v>
      </c>
      <c r="F616" s="134">
        <v>0</v>
      </c>
      <c r="G616" s="134">
        <v>0</v>
      </c>
      <c r="H616" s="134">
        <v>0</v>
      </c>
    </row>
    <row r="617" spans="1:9" ht="14.25" customHeight="1" x14ac:dyDescent="0.3">
      <c r="A617" s="134" t="s">
        <v>245</v>
      </c>
      <c r="B617" s="134" t="s">
        <v>257</v>
      </c>
      <c r="C617" s="134">
        <v>50</v>
      </c>
      <c r="D617" s="134" t="str">
        <f t="shared" si="43"/>
        <v>3/8" Hex 775pro 50</v>
      </c>
      <c r="E617" s="134">
        <v>1</v>
      </c>
      <c r="F617" s="134">
        <v>0</v>
      </c>
      <c r="G617" s="134">
        <v>0</v>
      </c>
      <c r="H617" s="134">
        <v>0</v>
      </c>
    </row>
    <row r="618" spans="1:9" ht="14.25" customHeight="1" x14ac:dyDescent="0.3">
      <c r="A618" s="134" t="s">
        <v>245</v>
      </c>
      <c r="B618" s="134" t="s">
        <v>257</v>
      </c>
      <c r="C618" s="134">
        <v>63</v>
      </c>
      <c r="D618" s="134" t="str">
        <f t="shared" si="43"/>
        <v>3/8" Hex 775pro 63</v>
      </c>
      <c r="E618" s="134">
        <v>1</v>
      </c>
      <c r="F618" s="134">
        <v>0</v>
      </c>
      <c r="G618" s="134">
        <v>0</v>
      </c>
      <c r="H618" s="134">
        <v>0</v>
      </c>
    </row>
    <row r="619" spans="1:9" ht="14.25" customHeight="1" x14ac:dyDescent="0.3">
      <c r="A619" s="134" t="s">
        <v>245</v>
      </c>
      <c r="B619" s="134" t="s">
        <v>257</v>
      </c>
      <c r="C619" s="134">
        <v>70</v>
      </c>
      <c r="D619" s="134" t="str">
        <f t="shared" si="43"/>
        <v>3/8" Hex 775pro 70</v>
      </c>
      <c r="E619" s="134">
        <v>1</v>
      </c>
      <c r="F619" s="134">
        <v>0</v>
      </c>
      <c r="G619" s="134">
        <v>0</v>
      </c>
      <c r="H619" s="134">
        <v>0</v>
      </c>
    </row>
    <row r="620" spans="1:9" ht="14.25" customHeight="1" x14ac:dyDescent="0.3">
      <c r="A620" s="134" t="s">
        <v>245</v>
      </c>
      <c r="B620" s="134" t="s">
        <v>257</v>
      </c>
      <c r="C620" s="134">
        <v>81</v>
      </c>
      <c r="D620" s="134" t="str">
        <f t="shared" si="43"/>
        <v>3/8" Hex 775pro 81</v>
      </c>
      <c r="E620" s="134">
        <v>0</v>
      </c>
      <c r="F620" s="134">
        <v>0</v>
      </c>
      <c r="G620" s="134">
        <v>0</v>
      </c>
      <c r="H620" s="134">
        <v>0</v>
      </c>
    </row>
    <row r="621" spans="1:9" ht="14.25" customHeight="1" x14ac:dyDescent="0.3">
      <c r="A621" s="134" t="s">
        <v>245</v>
      </c>
      <c r="B621" s="134" t="s">
        <v>257</v>
      </c>
      <c r="C621" s="134">
        <v>90</v>
      </c>
      <c r="D621" s="134" t="str">
        <f t="shared" si="43"/>
        <v>3/8" Hex 775pro 90</v>
      </c>
      <c r="E621" s="134">
        <v>0</v>
      </c>
      <c r="F621" s="134">
        <v>0</v>
      </c>
      <c r="G621" s="134">
        <v>0</v>
      </c>
      <c r="H621" s="134">
        <v>0</v>
      </c>
    </row>
    <row r="622" spans="1:9" ht="14.25" customHeight="1" x14ac:dyDescent="0.3">
      <c r="A622" s="134" t="s">
        <v>245</v>
      </c>
      <c r="B622" s="134" t="s">
        <v>257</v>
      </c>
      <c r="C622" s="134">
        <v>100</v>
      </c>
      <c r="D622" s="134" t="str">
        <f t="shared" si="43"/>
        <v>3/8" Hex 775pro 100</v>
      </c>
      <c r="E622" s="134">
        <v>0</v>
      </c>
      <c r="F622" s="134">
        <v>0</v>
      </c>
      <c r="G622" s="134">
        <v>0</v>
      </c>
      <c r="H622" s="134">
        <v>0</v>
      </c>
    </row>
    <row r="623" spans="1:9" ht="14.25" customHeight="1" x14ac:dyDescent="0.3">
      <c r="A623" s="134" t="s">
        <v>245</v>
      </c>
      <c r="B623" s="134" t="s">
        <v>7</v>
      </c>
      <c r="C623" s="134">
        <v>-3</v>
      </c>
      <c r="D623" s="134" t="str">
        <f t="shared" ref="D623:D628" si="44">A623&amp;" "&amp;B623&amp;" "&amp;C623</f>
        <v>3/8" Hex Mini CIM -3</v>
      </c>
      <c r="E623" s="134">
        <v>1</v>
      </c>
      <c r="I623" s="134">
        <v>0</v>
      </c>
    </row>
    <row r="624" spans="1:9" ht="14.25" customHeight="1" x14ac:dyDescent="0.3">
      <c r="A624" s="134" t="s">
        <v>245</v>
      </c>
      <c r="B624" s="134" t="s">
        <v>7</v>
      </c>
      <c r="C624" s="134">
        <v>-4</v>
      </c>
      <c r="D624" s="134" t="str">
        <f t="shared" si="44"/>
        <v>3/8" Hex Mini CIM -4</v>
      </c>
      <c r="E624" s="134">
        <v>1</v>
      </c>
      <c r="I624" s="134">
        <v>0</v>
      </c>
    </row>
    <row r="625" spans="1:9" ht="14.25" customHeight="1" x14ac:dyDescent="0.3">
      <c r="A625" s="134" t="s">
        <v>245</v>
      </c>
      <c r="B625" s="134" t="s">
        <v>7</v>
      </c>
      <c r="C625" s="134">
        <v>-5</v>
      </c>
      <c r="D625" s="134" t="str">
        <f t="shared" si="44"/>
        <v>3/8" Hex Mini CIM -5</v>
      </c>
      <c r="E625" s="134">
        <v>1</v>
      </c>
      <c r="I625" s="134">
        <v>0</v>
      </c>
    </row>
    <row r="626" spans="1:9" ht="14.25" customHeight="1" x14ac:dyDescent="0.3">
      <c r="A626" s="134" t="s">
        <v>245</v>
      </c>
      <c r="B626" s="134" t="s">
        <v>7</v>
      </c>
      <c r="C626" s="134">
        <v>-7</v>
      </c>
      <c r="D626" s="134" t="str">
        <f t="shared" si="44"/>
        <v>3/8" Hex Mini CIM -7</v>
      </c>
      <c r="E626" s="134">
        <v>1</v>
      </c>
      <c r="I626" s="134">
        <v>0</v>
      </c>
    </row>
    <row r="627" spans="1:9" ht="14.25" customHeight="1" x14ac:dyDescent="0.3">
      <c r="A627" s="134" t="s">
        <v>245</v>
      </c>
      <c r="B627" s="134" t="s">
        <v>7</v>
      </c>
      <c r="C627" s="134">
        <v>-9</v>
      </c>
      <c r="D627" s="134" t="str">
        <f t="shared" si="44"/>
        <v>3/8" Hex Mini CIM -9</v>
      </c>
      <c r="E627" s="134">
        <v>1</v>
      </c>
      <c r="I627" s="134">
        <v>0</v>
      </c>
    </row>
    <row r="628" spans="1:9" ht="14.25" customHeight="1" x14ac:dyDescent="0.3">
      <c r="A628" s="134" t="s">
        <v>245</v>
      </c>
      <c r="B628" s="134" t="s">
        <v>7</v>
      </c>
      <c r="C628" s="134">
        <v>-10</v>
      </c>
      <c r="D628" s="134" t="str">
        <f t="shared" si="44"/>
        <v>3/8" Hex Mini CIM -10</v>
      </c>
      <c r="E628" s="134">
        <v>1</v>
      </c>
      <c r="I628" s="134">
        <v>0</v>
      </c>
    </row>
    <row r="629" spans="1:9" ht="14.25" customHeight="1" x14ac:dyDescent="0.3">
      <c r="A629" s="134" t="s">
        <v>245</v>
      </c>
      <c r="B629" s="134" t="s">
        <v>7</v>
      </c>
      <c r="C629" s="134">
        <v>9</v>
      </c>
      <c r="D629" s="134" t="str">
        <f t="shared" ref="D629:D649" si="45">A629&amp;" "&amp;B629&amp;" "&amp;C629</f>
        <v>3/8" Hex Mini CIM 9</v>
      </c>
      <c r="E629" s="134">
        <v>4</v>
      </c>
      <c r="I629" s="134">
        <v>0</v>
      </c>
    </row>
    <row r="630" spans="1:9" ht="14.25" customHeight="1" x14ac:dyDescent="0.3">
      <c r="A630" s="134" t="s">
        <v>245</v>
      </c>
      <c r="B630" s="134" t="s">
        <v>7</v>
      </c>
      <c r="C630" s="134">
        <v>12</v>
      </c>
      <c r="D630" s="134" t="str">
        <f t="shared" si="45"/>
        <v>3/8" Hex Mini CIM 12</v>
      </c>
      <c r="E630" s="134">
        <v>3</v>
      </c>
      <c r="I630" s="134">
        <v>0</v>
      </c>
    </row>
    <row r="631" spans="1:9" ht="14.25" customHeight="1" x14ac:dyDescent="0.3">
      <c r="A631" s="134" t="s">
        <v>245</v>
      </c>
      <c r="B631" s="134" t="s">
        <v>7</v>
      </c>
      <c r="C631" s="134">
        <v>15</v>
      </c>
      <c r="D631" s="134" t="str">
        <f t="shared" si="45"/>
        <v>3/8" Hex Mini CIM 15</v>
      </c>
      <c r="E631" s="134">
        <v>1</v>
      </c>
      <c r="I631" s="134">
        <v>0</v>
      </c>
    </row>
    <row r="632" spans="1:9" ht="14.25" customHeight="1" x14ac:dyDescent="0.3">
      <c r="A632" s="134" t="s">
        <v>245</v>
      </c>
      <c r="B632" s="134" t="s">
        <v>7</v>
      </c>
      <c r="C632" s="134">
        <v>16</v>
      </c>
      <c r="D632" s="134" t="str">
        <f t="shared" si="45"/>
        <v>3/8" Hex Mini CIM 16</v>
      </c>
      <c r="E632" s="134">
        <v>1</v>
      </c>
      <c r="I632" s="134">
        <v>0</v>
      </c>
    </row>
    <row r="633" spans="1:9" ht="14.25" customHeight="1" x14ac:dyDescent="0.3">
      <c r="A633" s="134" t="s">
        <v>245</v>
      </c>
      <c r="B633" s="134" t="s">
        <v>7</v>
      </c>
      <c r="C633" s="134">
        <v>20</v>
      </c>
      <c r="D633" s="134" t="str">
        <f t="shared" si="45"/>
        <v>3/8" Hex Mini CIM 20</v>
      </c>
      <c r="E633" s="134">
        <v>1</v>
      </c>
      <c r="I633" s="134">
        <v>0</v>
      </c>
    </row>
    <row r="634" spans="1:9" ht="14.25" customHeight="1" x14ac:dyDescent="0.3">
      <c r="A634" s="134" t="s">
        <v>245</v>
      </c>
      <c r="B634" s="134" t="s">
        <v>7</v>
      </c>
      <c r="C634" s="134">
        <v>21</v>
      </c>
      <c r="D634" s="134" t="str">
        <f t="shared" si="45"/>
        <v>3/8" Hex Mini CIM 21</v>
      </c>
      <c r="E634" s="134">
        <v>1</v>
      </c>
      <c r="I634" s="134">
        <v>0</v>
      </c>
    </row>
    <row r="635" spans="1:9" ht="14.25" customHeight="1" x14ac:dyDescent="0.3">
      <c r="A635" s="134" t="s">
        <v>245</v>
      </c>
      <c r="B635" s="134" t="s">
        <v>7</v>
      </c>
      <c r="C635" s="134">
        <v>25</v>
      </c>
      <c r="D635" s="134" t="str">
        <f t="shared" si="45"/>
        <v>3/8" Hex Mini CIM 25</v>
      </c>
      <c r="E635" s="134">
        <v>1</v>
      </c>
      <c r="I635" s="134">
        <v>0</v>
      </c>
    </row>
    <row r="636" spans="1:9" ht="14.25" customHeight="1" x14ac:dyDescent="0.3">
      <c r="A636" s="134" t="s">
        <v>245</v>
      </c>
      <c r="B636" s="134" t="s">
        <v>7</v>
      </c>
      <c r="C636" s="134">
        <v>27</v>
      </c>
      <c r="D636" s="134" t="str">
        <f t="shared" si="45"/>
        <v>3/8" Hex Mini CIM 27</v>
      </c>
      <c r="E636" s="134">
        <v>1</v>
      </c>
      <c r="I636" s="134">
        <v>0</v>
      </c>
    </row>
    <row r="637" spans="1:9" ht="14.25" customHeight="1" x14ac:dyDescent="0.3">
      <c r="A637" s="134" t="s">
        <v>245</v>
      </c>
      <c r="B637" s="134" t="s">
        <v>7</v>
      </c>
      <c r="C637" s="134">
        <v>28</v>
      </c>
      <c r="D637" s="134" t="str">
        <f t="shared" si="45"/>
        <v>3/8" Hex Mini CIM 28</v>
      </c>
      <c r="E637" s="134">
        <v>1</v>
      </c>
      <c r="I637" s="134">
        <v>0</v>
      </c>
    </row>
    <row r="638" spans="1:9" ht="14.25" customHeight="1" x14ac:dyDescent="0.3">
      <c r="A638" s="134" t="s">
        <v>245</v>
      </c>
      <c r="B638" s="134" t="s">
        <v>7</v>
      </c>
      <c r="C638" s="134">
        <v>30</v>
      </c>
      <c r="D638" s="134" t="str">
        <f t="shared" si="45"/>
        <v>3/8" Hex Mini CIM 30</v>
      </c>
      <c r="E638" s="134">
        <v>1</v>
      </c>
      <c r="I638" s="134">
        <v>0</v>
      </c>
    </row>
    <row r="639" spans="1:9" ht="14.25" customHeight="1" x14ac:dyDescent="0.3">
      <c r="A639" s="134" t="s">
        <v>245</v>
      </c>
      <c r="B639" s="134" t="s">
        <v>7</v>
      </c>
      <c r="C639" s="134">
        <v>35</v>
      </c>
      <c r="D639" s="134" t="str">
        <f t="shared" si="45"/>
        <v>3/8" Hex Mini CIM 35</v>
      </c>
      <c r="E639" s="134">
        <v>1</v>
      </c>
      <c r="I639" s="134">
        <v>0</v>
      </c>
    </row>
    <row r="640" spans="1:9" ht="14.25" customHeight="1" x14ac:dyDescent="0.3">
      <c r="A640" s="134" t="s">
        <v>245</v>
      </c>
      <c r="B640" s="134" t="s">
        <v>7</v>
      </c>
      <c r="C640" s="134">
        <v>36</v>
      </c>
      <c r="D640" s="134" t="str">
        <f t="shared" si="45"/>
        <v>3/8" Hex Mini CIM 36</v>
      </c>
      <c r="E640" s="134">
        <v>1</v>
      </c>
      <c r="I640" s="134">
        <v>0</v>
      </c>
    </row>
    <row r="641" spans="1:9" ht="14.25" customHeight="1" x14ac:dyDescent="0.3">
      <c r="A641" s="134" t="s">
        <v>245</v>
      </c>
      <c r="B641" s="134" t="s">
        <v>7</v>
      </c>
      <c r="C641" s="134">
        <v>40</v>
      </c>
      <c r="D641" s="134" t="str">
        <f t="shared" si="45"/>
        <v>3/8" Hex Mini CIM 40</v>
      </c>
      <c r="E641" s="134">
        <v>0</v>
      </c>
      <c r="I641" s="134">
        <v>0</v>
      </c>
    </row>
    <row r="642" spans="1:9" ht="14.25" customHeight="1" x14ac:dyDescent="0.3">
      <c r="A642" s="134" t="s">
        <v>245</v>
      </c>
      <c r="B642" s="134" t="s">
        <v>7</v>
      </c>
      <c r="C642" s="134">
        <v>45</v>
      </c>
      <c r="D642" s="134" t="str">
        <f t="shared" si="45"/>
        <v>3/8" Hex Mini CIM 45</v>
      </c>
      <c r="E642" s="134">
        <v>0</v>
      </c>
      <c r="I642" s="134">
        <v>0</v>
      </c>
    </row>
    <row r="643" spans="1:9" ht="14.25" customHeight="1" x14ac:dyDescent="0.3">
      <c r="A643" s="134" t="s">
        <v>245</v>
      </c>
      <c r="B643" s="134" t="s">
        <v>7</v>
      </c>
      <c r="C643" s="134">
        <v>49</v>
      </c>
      <c r="D643" s="134" t="str">
        <f t="shared" si="45"/>
        <v>3/8" Hex Mini CIM 49</v>
      </c>
      <c r="E643" s="134">
        <v>0</v>
      </c>
      <c r="I643" s="134">
        <v>0</v>
      </c>
    </row>
    <row r="644" spans="1:9" ht="14.25" customHeight="1" x14ac:dyDescent="0.3">
      <c r="A644" s="134" t="s">
        <v>245</v>
      </c>
      <c r="B644" s="134" t="s">
        <v>7</v>
      </c>
      <c r="C644" s="134">
        <v>50</v>
      </c>
      <c r="D644" s="134" t="str">
        <f t="shared" si="45"/>
        <v>3/8" Hex Mini CIM 50</v>
      </c>
      <c r="E644" s="134">
        <v>0</v>
      </c>
      <c r="I644" s="134">
        <v>0</v>
      </c>
    </row>
    <row r="645" spans="1:9" ht="14.25" customHeight="1" x14ac:dyDescent="0.3">
      <c r="A645" s="134" t="s">
        <v>245</v>
      </c>
      <c r="B645" s="134" t="s">
        <v>7</v>
      </c>
      <c r="C645" s="134">
        <v>63</v>
      </c>
      <c r="D645" s="134" t="str">
        <f t="shared" si="45"/>
        <v>3/8" Hex Mini CIM 63</v>
      </c>
      <c r="E645" s="134">
        <v>0</v>
      </c>
      <c r="I645" s="134">
        <v>0</v>
      </c>
    </row>
    <row r="646" spans="1:9" ht="14.25" customHeight="1" x14ac:dyDescent="0.3">
      <c r="A646" s="134" t="s">
        <v>245</v>
      </c>
      <c r="B646" s="134" t="s">
        <v>7</v>
      </c>
      <c r="C646" s="134">
        <v>70</v>
      </c>
      <c r="D646" s="134" t="str">
        <f t="shared" si="45"/>
        <v>3/8" Hex Mini CIM 70</v>
      </c>
      <c r="E646" s="134">
        <v>0</v>
      </c>
      <c r="I646" s="134">
        <v>0</v>
      </c>
    </row>
    <row r="647" spans="1:9" ht="14.25" customHeight="1" x14ac:dyDescent="0.3">
      <c r="A647" s="134" t="s">
        <v>245</v>
      </c>
      <c r="B647" s="134" t="s">
        <v>7</v>
      </c>
      <c r="C647" s="134">
        <v>81</v>
      </c>
      <c r="D647" s="134" t="str">
        <f t="shared" si="45"/>
        <v>3/8" Hex Mini CIM 81</v>
      </c>
      <c r="E647" s="134">
        <v>0</v>
      </c>
      <c r="I647" s="134">
        <v>0</v>
      </c>
    </row>
    <row r="648" spans="1:9" ht="14.25" customHeight="1" x14ac:dyDescent="0.3">
      <c r="A648" s="134" t="s">
        <v>245</v>
      </c>
      <c r="B648" s="134" t="s">
        <v>7</v>
      </c>
      <c r="C648" s="134">
        <v>90</v>
      </c>
      <c r="D648" s="134" t="str">
        <f t="shared" si="45"/>
        <v>3/8" Hex Mini CIM 90</v>
      </c>
      <c r="E648" s="134">
        <v>0</v>
      </c>
      <c r="I648" s="134">
        <v>0</v>
      </c>
    </row>
    <row r="649" spans="1:9" ht="14.25" customHeight="1" x14ac:dyDescent="0.3">
      <c r="A649" s="134" t="s">
        <v>245</v>
      </c>
      <c r="B649" s="134" t="s">
        <v>7</v>
      </c>
      <c r="C649" s="134">
        <v>100</v>
      </c>
      <c r="D649" s="134" t="str">
        <f t="shared" si="45"/>
        <v>3/8" Hex Mini CIM 100</v>
      </c>
      <c r="E649" s="134">
        <v>0</v>
      </c>
      <c r="I649" s="134">
        <v>0</v>
      </c>
    </row>
    <row r="650" spans="1:9" ht="14.25" customHeight="1" x14ac:dyDescent="0.3">
      <c r="A650" s="134" t="s">
        <v>245</v>
      </c>
      <c r="B650" s="134" t="s">
        <v>6</v>
      </c>
      <c r="C650" s="134">
        <v>-3</v>
      </c>
      <c r="D650" s="134" t="str">
        <f t="shared" ref="D650:D655" si="46">A650&amp;" "&amp;B650&amp;" "&amp;C650</f>
        <v>3/8" Hex CIM -3</v>
      </c>
      <c r="E650" s="134">
        <v>1</v>
      </c>
      <c r="I650" s="134">
        <v>0</v>
      </c>
    </row>
    <row r="651" spans="1:9" ht="14.25" customHeight="1" x14ac:dyDescent="0.3">
      <c r="A651" s="134" t="s">
        <v>245</v>
      </c>
      <c r="B651" s="134" t="s">
        <v>6</v>
      </c>
      <c r="C651" s="134">
        <v>-4</v>
      </c>
      <c r="D651" s="134" t="str">
        <f t="shared" si="46"/>
        <v>3/8" Hex CIM -4</v>
      </c>
      <c r="E651" s="134">
        <v>1</v>
      </c>
      <c r="I651" s="134">
        <v>0</v>
      </c>
    </row>
    <row r="652" spans="1:9" ht="14.25" customHeight="1" x14ac:dyDescent="0.3">
      <c r="A652" s="134" t="s">
        <v>245</v>
      </c>
      <c r="B652" s="134" t="s">
        <v>6</v>
      </c>
      <c r="C652" s="134">
        <v>-5</v>
      </c>
      <c r="D652" s="134" t="str">
        <f t="shared" si="46"/>
        <v>3/8" Hex CIM -5</v>
      </c>
      <c r="E652" s="134">
        <v>1</v>
      </c>
      <c r="I652" s="134">
        <v>0</v>
      </c>
    </row>
    <row r="653" spans="1:9" ht="14.25" customHeight="1" x14ac:dyDescent="0.3">
      <c r="A653" s="134" t="s">
        <v>245</v>
      </c>
      <c r="B653" s="134" t="s">
        <v>6</v>
      </c>
      <c r="C653" s="134">
        <v>-7</v>
      </c>
      <c r="D653" s="134" t="str">
        <f t="shared" si="46"/>
        <v>3/8" Hex CIM -7</v>
      </c>
      <c r="E653" s="134">
        <v>1</v>
      </c>
      <c r="I653" s="134">
        <v>0</v>
      </c>
    </row>
    <row r="654" spans="1:9" ht="14.25" customHeight="1" x14ac:dyDescent="0.3">
      <c r="A654" s="134" t="s">
        <v>245</v>
      </c>
      <c r="B654" s="134" t="s">
        <v>6</v>
      </c>
      <c r="C654" s="134">
        <v>-9</v>
      </c>
      <c r="D654" s="134" t="str">
        <f t="shared" si="46"/>
        <v>3/8" Hex CIM -9</v>
      </c>
      <c r="E654" s="134">
        <v>1</v>
      </c>
      <c r="I654" s="134">
        <v>0</v>
      </c>
    </row>
    <row r="655" spans="1:9" ht="14.25" customHeight="1" x14ac:dyDescent="0.3">
      <c r="A655" s="134" t="s">
        <v>245</v>
      </c>
      <c r="B655" s="134" t="s">
        <v>6</v>
      </c>
      <c r="C655" s="134">
        <v>-10</v>
      </c>
      <c r="D655" s="134" t="str">
        <f t="shared" si="46"/>
        <v>3/8" Hex CIM -10</v>
      </c>
      <c r="E655" s="134">
        <v>1</v>
      </c>
      <c r="I655" s="134">
        <v>0</v>
      </c>
    </row>
    <row r="656" spans="1:9" ht="14.25" customHeight="1" x14ac:dyDescent="0.3">
      <c r="A656" s="134" t="s">
        <v>245</v>
      </c>
      <c r="B656" s="134" t="s">
        <v>6</v>
      </c>
      <c r="C656" s="134">
        <v>9</v>
      </c>
      <c r="D656" s="134" t="str">
        <f t="shared" ref="D656:D676" si="47">A656&amp;" "&amp;B656&amp;" "&amp;C656</f>
        <v>3/8" Hex CIM 9</v>
      </c>
      <c r="E656" s="134">
        <v>1</v>
      </c>
      <c r="I656" s="134">
        <v>0</v>
      </c>
    </row>
    <row r="657" spans="1:9" ht="14.25" customHeight="1" x14ac:dyDescent="0.3">
      <c r="A657" s="134" t="s">
        <v>245</v>
      </c>
      <c r="B657" s="134" t="s">
        <v>6</v>
      </c>
      <c r="C657" s="134">
        <v>12</v>
      </c>
      <c r="D657" s="134" t="str">
        <f t="shared" si="47"/>
        <v>3/8" Hex CIM 12</v>
      </c>
      <c r="E657" s="134">
        <v>1</v>
      </c>
      <c r="I657" s="134">
        <v>0</v>
      </c>
    </row>
    <row r="658" spans="1:9" ht="14.25" customHeight="1" x14ac:dyDescent="0.3">
      <c r="A658" s="134" t="s">
        <v>245</v>
      </c>
      <c r="B658" s="134" t="s">
        <v>6</v>
      </c>
      <c r="C658" s="134">
        <v>15</v>
      </c>
      <c r="D658" s="134" t="str">
        <f t="shared" si="47"/>
        <v>3/8" Hex CIM 15</v>
      </c>
      <c r="E658" s="134">
        <v>1</v>
      </c>
      <c r="I658" s="134">
        <v>0</v>
      </c>
    </row>
    <row r="659" spans="1:9" ht="14.25" customHeight="1" x14ac:dyDescent="0.3">
      <c r="A659" s="134" t="s">
        <v>245</v>
      </c>
      <c r="B659" s="134" t="s">
        <v>6</v>
      </c>
      <c r="C659" s="134">
        <v>16</v>
      </c>
      <c r="D659" s="134" t="str">
        <f t="shared" si="47"/>
        <v>3/8" Hex CIM 16</v>
      </c>
      <c r="E659" s="134">
        <v>1</v>
      </c>
      <c r="I659" s="134">
        <v>0</v>
      </c>
    </row>
    <row r="660" spans="1:9" ht="14.25" customHeight="1" x14ac:dyDescent="0.3">
      <c r="A660" s="134" t="s">
        <v>245</v>
      </c>
      <c r="B660" s="134" t="s">
        <v>6</v>
      </c>
      <c r="C660" s="134">
        <v>20</v>
      </c>
      <c r="D660" s="134" t="str">
        <f t="shared" si="47"/>
        <v>3/8" Hex CIM 20</v>
      </c>
      <c r="E660" s="134">
        <v>1</v>
      </c>
      <c r="I660" s="134">
        <v>0</v>
      </c>
    </row>
    <row r="661" spans="1:9" ht="14.25" customHeight="1" x14ac:dyDescent="0.3">
      <c r="A661" s="134" t="s">
        <v>245</v>
      </c>
      <c r="B661" s="134" t="s">
        <v>6</v>
      </c>
      <c r="C661" s="134">
        <v>21</v>
      </c>
      <c r="D661" s="134" t="str">
        <f t="shared" si="47"/>
        <v>3/8" Hex CIM 21</v>
      </c>
      <c r="E661" s="134">
        <v>1</v>
      </c>
      <c r="I661" s="134">
        <v>0</v>
      </c>
    </row>
    <row r="662" spans="1:9" ht="14.25" customHeight="1" x14ac:dyDescent="0.3">
      <c r="A662" s="134" t="s">
        <v>245</v>
      </c>
      <c r="B662" s="134" t="s">
        <v>6</v>
      </c>
      <c r="C662" s="134">
        <v>25</v>
      </c>
      <c r="D662" s="134" t="str">
        <f t="shared" si="47"/>
        <v>3/8" Hex CIM 25</v>
      </c>
      <c r="E662" s="134">
        <v>0</v>
      </c>
      <c r="I662" s="134">
        <v>0</v>
      </c>
    </row>
    <row r="663" spans="1:9" ht="14.25" customHeight="1" x14ac:dyDescent="0.3">
      <c r="A663" s="134" t="s">
        <v>245</v>
      </c>
      <c r="B663" s="134" t="s">
        <v>6</v>
      </c>
      <c r="C663" s="134">
        <v>27</v>
      </c>
      <c r="D663" s="134" t="str">
        <f t="shared" si="47"/>
        <v>3/8" Hex CIM 27</v>
      </c>
      <c r="E663" s="134">
        <v>0</v>
      </c>
      <c r="I663" s="134">
        <v>0</v>
      </c>
    </row>
    <row r="664" spans="1:9" ht="14.25" customHeight="1" x14ac:dyDescent="0.3">
      <c r="A664" s="134" t="s">
        <v>245</v>
      </c>
      <c r="B664" s="134" t="s">
        <v>6</v>
      </c>
      <c r="C664" s="134">
        <v>28</v>
      </c>
      <c r="D664" s="134" t="str">
        <f t="shared" si="47"/>
        <v>3/8" Hex CIM 28</v>
      </c>
      <c r="E664" s="134">
        <v>0</v>
      </c>
      <c r="I664" s="134">
        <v>0</v>
      </c>
    </row>
    <row r="665" spans="1:9" ht="14.25" customHeight="1" x14ac:dyDescent="0.3">
      <c r="A665" s="134" t="s">
        <v>245</v>
      </c>
      <c r="B665" s="134" t="s">
        <v>6</v>
      </c>
      <c r="C665" s="134">
        <v>30</v>
      </c>
      <c r="D665" s="134" t="str">
        <f t="shared" si="47"/>
        <v>3/8" Hex CIM 30</v>
      </c>
      <c r="E665" s="134">
        <v>0</v>
      </c>
      <c r="I665" s="134">
        <v>0</v>
      </c>
    </row>
    <row r="666" spans="1:9" ht="14.25" customHeight="1" x14ac:dyDescent="0.3">
      <c r="A666" s="134" t="s">
        <v>245</v>
      </c>
      <c r="B666" s="134" t="s">
        <v>6</v>
      </c>
      <c r="C666" s="134">
        <v>35</v>
      </c>
      <c r="D666" s="134" t="str">
        <f t="shared" si="47"/>
        <v>3/8" Hex CIM 35</v>
      </c>
      <c r="E666" s="134">
        <v>0</v>
      </c>
      <c r="I666" s="134">
        <v>0</v>
      </c>
    </row>
    <row r="667" spans="1:9" ht="14.25" customHeight="1" x14ac:dyDescent="0.3">
      <c r="A667" s="134" t="s">
        <v>245</v>
      </c>
      <c r="B667" s="134" t="s">
        <v>6</v>
      </c>
      <c r="C667" s="134">
        <v>36</v>
      </c>
      <c r="D667" s="134" t="str">
        <f t="shared" si="47"/>
        <v>3/8" Hex CIM 36</v>
      </c>
      <c r="E667" s="134">
        <v>0</v>
      </c>
      <c r="I667" s="134">
        <v>0</v>
      </c>
    </row>
    <row r="668" spans="1:9" ht="14.25" customHeight="1" x14ac:dyDescent="0.3">
      <c r="A668" s="134" t="s">
        <v>245</v>
      </c>
      <c r="B668" s="134" t="s">
        <v>6</v>
      </c>
      <c r="C668" s="134">
        <v>40</v>
      </c>
      <c r="D668" s="134" t="str">
        <f t="shared" si="47"/>
        <v>3/8" Hex CIM 40</v>
      </c>
      <c r="E668" s="134">
        <v>0</v>
      </c>
      <c r="I668" s="134">
        <v>0</v>
      </c>
    </row>
    <row r="669" spans="1:9" ht="14.25" customHeight="1" x14ac:dyDescent="0.3">
      <c r="A669" s="134" t="s">
        <v>245</v>
      </c>
      <c r="B669" s="134" t="s">
        <v>6</v>
      </c>
      <c r="C669" s="134">
        <v>45</v>
      </c>
      <c r="D669" s="134" t="str">
        <f t="shared" si="47"/>
        <v>3/8" Hex CIM 45</v>
      </c>
      <c r="E669" s="134">
        <v>0</v>
      </c>
      <c r="I669" s="134">
        <v>0</v>
      </c>
    </row>
    <row r="670" spans="1:9" ht="14.25" customHeight="1" x14ac:dyDescent="0.3">
      <c r="A670" s="134" t="s">
        <v>245</v>
      </c>
      <c r="B670" s="134" t="s">
        <v>6</v>
      </c>
      <c r="C670" s="134">
        <v>49</v>
      </c>
      <c r="D670" s="134" t="str">
        <f t="shared" si="47"/>
        <v>3/8" Hex CIM 49</v>
      </c>
      <c r="E670" s="134">
        <v>0</v>
      </c>
      <c r="I670" s="134">
        <v>0</v>
      </c>
    </row>
    <row r="671" spans="1:9" ht="14.25" customHeight="1" x14ac:dyDescent="0.3">
      <c r="A671" s="134" t="s">
        <v>245</v>
      </c>
      <c r="B671" s="134" t="s">
        <v>6</v>
      </c>
      <c r="C671" s="134">
        <v>50</v>
      </c>
      <c r="D671" s="134" t="str">
        <f t="shared" si="47"/>
        <v>3/8" Hex CIM 50</v>
      </c>
      <c r="E671" s="134">
        <v>0</v>
      </c>
      <c r="I671" s="134">
        <v>0</v>
      </c>
    </row>
    <row r="672" spans="1:9" ht="14.25" customHeight="1" x14ac:dyDescent="0.3">
      <c r="A672" s="134" t="s">
        <v>245</v>
      </c>
      <c r="B672" s="134" t="s">
        <v>6</v>
      </c>
      <c r="C672" s="134">
        <v>63</v>
      </c>
      <c r="D672" s="134" t="str">
        <f t="shared" si="47"/>
        <v>3/8" Hex CIM 63</v>
      </c>
      <c r="E672" s="134">
        <v>0</v>
      </c>
      <c r="I672" s="134">
        <v>0</v>
      </c>
    </row>
    <row r="673" spans="1:9" ht="14.25" customHeight="1" x14ac:dyDescent="0.3">
      <c r="A673" s="134" t="s">
        <v>245</v>
      </c>
      <c r="B673" s="134" t="s">
        <v>6</v>
      </c>
      <c r="C673" s="134">
        <v>70</v>
      </c>
      <c r="D673" s="134" t="str">
        <f t="shared" si="47"/>
        <v>3/8" Hex CIM 70</v>
      </c>
      <c r="E673" s="134">
        <v>0</v>
      </c>
      <c r="I673" s="134">
        <v>0</v>
      </c>
    </row>
    <row r="674" spans="1:9" ht="14.25" customHeight="1" x14ac:dyDescent="0.3">
      <c r="A674" s="134" t="s">
        <v>245</v>
      </c>
      <c r="B674" s="134" t="s">
        <v>6</v>
      </c>
      <c r="C674" s="134">
        <v>81</v>
      </c>
      <c r="D674" s="134" t="str">
        <f t="shared" si="47"/>
        <v>3/8" Hex CIM 81</v>
      </c>
      <c r="E674" s="134">
        <v>0</v>
      </c>
      <c r="I674" s="134">
        <v>0</v>
      </c>
    </row>
    <row r="675" spans="1:9" ht="14.25" customHeight="1" x14ac:dyDescent="0.3">
      <c r="A675" s="134" t="s">
        <v>245</v>
      </c>
      <c r="B675" s="134" t="s">
        <v>6</v>
      </c>
      <c r="C675" s="134">
        <v>90</v>
      </c>
      <c r="D675" s="134" t="str">
        <f t="shared" si="47"/>
        <v>3/8" Hex CIM 90</v>
      </c>
      <c r="E675" s="134">
        <v>0</v>
      </c>
      <c r="I675" s="134">
        <v>0</v>
      </c>
    </row>
    <row r="676" spans="1:9" ht="14.25" customHeight="1" x14ac:dyDescent="0.3">
      <c r="A676" s="134" t="s">
        <v>245</v>
      </c>
      <c r="B676" s="134" t="s">
        <v>6</v>
      </c>
      <c r="C676" s="134">
        <v>100</v>
      </c>
      <c r="D676" s="134" t="str">
        <f t="shared" si="47"/>
        <v>3/8" Hex CIM 100</v>
      </c>
      <c r="E676" s="134">
        <v>0</v>
      </c>
      <c r="I676" s="134">
        <v>0</v>
      </c>
    </row>
    <row r="677" spans="1:9" ht="14.25" customHeight="1" x14ac:dyDescent="0.3">
      <c r="A677" s="134" t="s">
        <v>245</v>
      </c>
      <c r="B677" s="134" t="s">
        <v>9</v>
      </c>
      <c r="C677" s="134">
        <v>-3</v>
      </c>
      <c r="D677" s="134" t="str">
        <f t="shared" ref="D677:D682" si="48">A677&amp;" "&amp;B677&amp;" "&amp;C677</f>
        <v>3/8" Hex NEO -3</v>
      </c>
      <c r="E677" s="134">
        <v>1</v>
      </c>
      <c r="I677" s="134">
        <v>0</v>
      </c>
    </row>
    <row r="678" spans="1:9" ht="14.25" customHeight="1" x14ac:dyDescent="0.3">
      <c r="A678" s="134" t="s">
        <v>245</v>
      </c>
      <c r="B678" s="134" t="s">
        <v>9</v>
      </c>
      <c r="C678" s="134">
        <v>-4</v>
      </c>
      <c r="D678" s="134" t="str">
        <f t="shared" si="48"/>
        <v>3/8" Hex NEO -4</v>
      </c>
      <c r="E678" s="134">
        <v>1</v>
      </c>
      <c r="I678" s="134">
        <v>0</v>
      </c>
    </row>
    <row r="679" spans="1:9" ht="14.25" customHeight="1" x14ac:dyDescent="0.3">
      <c r="A679" s="134" t="s">
        <v>245</v>
      </c>
      <c r="B679" s="134" t="s">
        <v>9</v>
      </c>
      <c r="C679" s="134">
        <v>-5</v>
      </c>
      <c r="D679" s="134" t="str">
        <f t="shared" si="48"/>
        <v>3/8" Hex NEO -5</v>
      </c>
      <c r="E679" s="134">
        <v>1</v>
      </c>
      <c r="I679" s="134">
        <v>0</v>
      </c>
    </row>
    <row r="680" spans="1:9" ht="14.25" customHeight="1" x14ac:dyDescent="0.3">
      <c r="A680" s="134" t="s">
        <v>245</v>
      </c>
      <c r="B680" s="134" t="s">
        <v>9</v>
      </c>
      <c r="C680" s="134">
        <v>-7</v>
      </c>
      <c r="D680" s="134" t="str">
        <f t="shared" si="48"/>
        <v>3/8" Hex NEO -7</v>
      </c>
      <c r="E680" s="134">
        <v>1</v>
      </c>
      <c r="I680" s="134">
        <v>0</v>
      </c>
    </row>
    <row r="681" spans="1:9" ht="14.25" customHeight="1" x14ac:dyDescent="0.3">
      <c r="A681" s="134" t="s">
        <v>245</v>
      </c>
      <c r="B681" s="134" t="s">
        <v>9</v>
      </c>
      <c r="C681" s="134">
        <v>-9</v>
      </c>
      <c r="D681" s="134" t="str">
        <f t="shared" si="48"/>
        <v>3/8" Hex NEO -9</v>
      </c>
      <c r="E681" s="134">
        <v>1</v>
      </c>
      <c r="I681" s="134">
        <v>0</v>
      </c>
    </row>
    <row r="682" spans="1:9" ht="14.25" customHeight="1" x14ac:dyDescent="0.3">
      <c r="A682" s="134" t="s">
        <v>245</v>
      </c>
      <c r="B682" s="134" t="s">
        <v>9</v>
      </c>
      <c r="C682" s="134">
        <v>-10</v>
      </c>
      <c r="D682" s="134" t="str">
        <f t="shared" si="48"/>
        <v>3/8" Hex NEO -10</v>
      </c>
      <c r="E682" s="134">
        <v>1</v>
      </c>
      <c r="I682" s="134">
        <v>0</v>
      </c>
    </row>
    <row r="683" spans="1:9" ht="14.25" customHeight="1" x14ac:dyDescent="0.3">
      <c r="A683" s="134" t="s">
        <v>245</v>
      </c>
      <c r="B683" s="134" t="s">
        <v>9</v>
      </c>
      <c r="C683" s="134">
        <v>9</v>
      </c>
      <c r="D683" s="134" t="str">
        <f t="shared" ref="D683:D703" si="49">A683&amp;" "&amp;B683&amp;" "&amp;C683</f>
        <v>3/8" Hex NEO 9</v>
      </c>
      <c r="E683" s="134">
        <v>1</v>
      </c>
      <c r="I683" s="134">
        <v>0</v>
      </c>
    </row>
    <row r="684" spans="1:9" ht="14.25" customHeight="1" x14ac:dyDescent="0.3">
      <c r="A684" s="134" t="s">
        <v>245</v>
      </c>
      <c r="B684" s="134" t="s">
        <v>9</v>
      </c>
      <c r="C684" s="134">
        <v>12</v>
      </c>
      <c r="D684" s="134" t="str">
        <f t="shared" si="49"/>
        <v>3/8" Hex NEO 12</v>
      </c>
      <c r="E684" s="134">
        <v>1</v>
      </c>
      <c r="I684" s="134">
        <v>0</v>
      </c>
    </row>
    <row r="685" spans="1:9" ht="14.25" customHeight="1" x14ac:dyDescent="0.3">
      <c r="A685" s="134" t="s">
        <v>245</v>
      </c>
      <c r="B685" s="134" t="s">
        <v>9</v>
      </c>
      <c r="C685" s="134">
        <v>15</v>
      </c>
      <c r="D685" s="134" t="str">
        <f t="shared" si="49"/>
        <v>3/8" Hex NEO 15</v>
      </c>
      <c r="E685" s="134">
        <v>1</v>
      </c>
      <c r="I685" s="134">
        <v>0</v>
      </c>
    </row>
    <row r="686" spans="1:9" ht="14.25" customHeight="1" x14ac:dyDescent="0.3">
      <c r="A686" s="134" t="s">
        <v>245</v>
      </c>
      <c r="B686" s="134" t="s">
        <v>9</v>
      </c>
      <c r="C686" s="134">
        <v>16</v>
      </c>
      <c r="D686" s="134" t="str">
        <f t="shared" si="49"/>
        <v>3/8" Hex NEO 16</v>
      </c>
      <c r="E686" s="134">
        <v>1</v>
      </c>
      <c r="I686" s="134">
        <v>0</v>
      </c>
    </row>
    <row r="687" spans="1:9" ht="14.25" customHeight="1" x14ac:dyDescent="0.3">
      <c r="A687" s="134" t="s">
        <v>245</v>
      </c>
      <c r="B687" s="134" t="s">
        <v>9</v>
      </c>
      <c r="C687" s="134">
        <v>20</v>
      </c>
      <c r="D687" s="134" t="str">
        <f t="shared" si="49"/>
        <v>3/8" Hex NEO 20</v>
      </c>
      <c r="E687" s="134">
        <v>0</v>
      </c>
      <c r="I687" s="134">
        <v>0</v>
      </c>
    </row>
    <row r="688" spans="1:9" ht="14.25" customHeight="1" x14ac:dyDescent="0.3">
      <c r="A688" s="134" t="s">
        <v>245</v>
      </c>
      <c r="B688" s="134" t="s">
        <v>9</v>
      </c>
      <c r="C688" s="134">
        <v>21</v>
      </c>
      <c r="D688" s="134" t="str">
        <f t="shared" si="49"/>
        <v>3/8" Hex NEO 21</v>
      </c>
      <c r="E688" s="134">
        <v>0</v>
      </c>
      <c r="I688" s="134">
        <v>0</v>
      </c>
    </row>
    <row r="689" spans="1:9" ht="14.25" customHeight="1" x14ac:dyDescent="0.3">
      <c r="A689" s="134" t="s">
        <v>245</v>
      </c>
      <c r="B689" s="134" t="s">
        <v>9</v>
      </c>
      <c r="C689" s="134">
        <v>25</v>
      </c>
      <c r="D689" s="134" t="str">
        <f t="shared" si="49"/>
        <v>3/8" Hex NEO 25</v>
      </c>
      <c r="E689" s="134">
        <v>0</v>
      </c>
      <c r="I689" s="134">
        <v>0</v>
      </c>
    </row>
    <row r="690" spans="1:9" ht="14.25" customHeight="1" x14ac:dyDescent="0.3">
      <c r="A690" s="134" t="s">
        <v>245</v>
      </c>
      <c r="B690" s="134" t="s">
        <v>9</v>
      </c>
      <c r="C690" s="134">
        <v>27</v>
      </c>
      <c r="D690" s="134" t="str">
        <f t="shared" si="49"/>
        <v>3/8" Hex NEO 27</v>
      </c>
      <c r="E690" s="134">
        <v>0</v>
      </c>
      <c r="I690" s="134">
        <v>0</v>
      </c>
    </row>
    <row r="691" spans="1:9" ht="14.25" customHeight="1" x14ac:dyDescent="0.3">
      <c r="A691" s="134" t="s">
        <v>245</v>
      </c>
      <c r="B691" s="134" t="s">
        <v>9</v>
      </c>
      <c r="C691" s="134">
        <v>28</v>
      </c>
      <c r="D691" s="134" t="str">
        <f t="shared" si="49"/>
        <v>3/8" Hex NEO 28</v>
      </c>
      <c r="E691" s="134">
        <v>0</v>
      </c>
      <c r="I691" s="134">
        <v>0</v>
      </c>
    </row>
    <row r="692" spans="1:9" ht="14.25" customHeight="1" x14ac:dyDescent="0.3">
      <c r="A692" s="134" t="s">
        <v>245</v>
      </c>
      <c r="B692" s="134" t="s">
        <v>9</v>
      </c>
      <c r="C692" s="134">
        <v>30</v>
      </c>
      <c r="D692" s="134" t="str">
        <f t="shared" si="49"/>
        <v>3/8" Hex NEO 30</v>
      </c>
      <c r="E692" s="134">
        <v>0</v>
      </c>
      <c r="I692" s="134">
        <v>0</v>
      </c>
    </row>
    <row r="693" spans="1:9" ht="14.25" customHeight="1" x14ac:dyDescent="0.3">
      <c r="A693" s="134" t="s">
        <v>245</v>
      </c>
      <c r="B693" s="134" t="s">
        <v>9</v>
      </c>
      <c r="C693" s="134">
        <v>35</v>
      </c>
      <c r="D693" s="134" t="str">
        <f t="shared" si="49"/>
        <v>3/8" Hex NEO 35</v>
      </c>
      <c r="E693" s="134">
        <v>0</v>
      </c>
      <c r="I693" s="134">
        <v>0</v>
      </c>
    </row>
    <row r="694" spans="1:9" ht="14.25" customHeight="1" x14ac:dyDescent="0.3">
      <c r="A694" s="134" t="s">
        <v>245</v>
      </c>
      <c r="B694" s="134" t="s">
        <v>9</v>
      </c>
      <c r="C694" s="134">
        <v>36</v>
      </c>
      <c r="D694" s="134" t="str">
        <f t="shared" si="49"/>
        <v>3/8" Hex NEO 36</v>
      </c>
      <c r="E694" s="134">
        <v>0</v>
      </c>
      <c r="I694" s="134">
        <v>0</v>
      </c>
    </row>
    <row r="695" spans="1:9" ht="14.25" customHeight="1" x14ac:dyDescent="0.3">
      <c r="A695" s="134" t="s">
        <v>245</v>
      </c>
      <c r="B695" s="134" t="s">
        <v>9</v>
      </c>
      <c r="C695" s="134">
        <v>40</v>
      </c>
      <c r="D695" s="134" t="str">
        <f t="shared" si="49"/>
        <v>3/8" Hex NEO 40</v>
      </c>
      <c r="E695" s="134">
        <v>0</v>
      </c>
      <c r="I695" s="134">
        <v>0</v>
      </c>
    </row>
    <row r="696" spans="1:9" ht="14.25" customHeight="1" x14ac:dyDescent="0.3">
      <c r="A696" s="134" t="s">
        <v>245</v>
      </c>
      <c r="B696" s="134" t="s">
        <v>9</v>
      </c>
      <c r="C696" s="134">
        <v>45</v>
      </c>
      <c r="D696" s="134" t="str">
        <f t="shared" si="49"/>
        <v>3/8" Hex NEO 45</v>
      </c>
      <c r="E696" s="134">
        <v>0</v>
      </c>
      <c r="I696" s="134">
        <v>0</v>
      </c>
    </row>
    <row r="697" spans="1:9" ht="14.25" customHeight="1" x14ac:dyDescent="0.3">
      <c r="A697" s="134" t="s">
        <v>245</v>
      </c>
      <c r="B697" s="134" t="s">
        <v>9</v>
      </c>
      <c r="C697" s="134">
        <v>49</v>
      </c>
      <c r="D697" s="134" t="str">
        <f t="shared" si="49"/>
        <v>3/8" Hex NEO 49</v>
      </c>
      <c r="E697" s="134">
        <v>0</v>
      </c>
      <c r="I697" s="134">
        <v>0</v>
      </c>
    </row>
    <row r="698" spans="1:9" ht="14.25" customHeight="1" x14ac:dyDescent="0.3">
      <c r="A698" s="134" t="s">
        <v>245</v>
      </c>
      <c r="B698" s="134" t="s">
        <v>9</v>
      </c>
      <c r="C698" s="134">
        <v>50</v>
      </c>
      <c r="D698" s="134" t="str">
        <f t="shared" si="49"/>
        <v>3/8" Hex NEO 50</v>
      </c>
      <c r="E698" s="134">
        <v>0</v>
      </c>
      <c r="I698" s="134">
        <v>0</v>
      </c>
    </row>
    <row r="699" spans="1:9" ht="14.25" customHeight="1" x14ac:dyDescent="0.3">
      <c r="A699" s="134" t="s">
        <v>245</v>
      </c>
      <c r="B699" s="134" t="s">
        <v>9</v>
      </c>
      <c r="C699" s="134">
        <v>63</v>
      </c>
      <c r="D699" s="134" t="str">
        <f t="shared" si="49"/>
        <v>3/8" Hex NEO 63</v>
      </c>
      <c r="E699" s="134">
        <v>0</v>
      </c>
      <c r="I699" s="134">
        <v>0</v>
      </c>
    </row>
    <row r="700" spans="1:9" ht="14.25" customHeight="1" x14ac:dyDescent="0.3">
      <c r="A700" s="134" t="s">
        <v>245</v>
      </c>
      <c r="B700" s="134" t="s">
        <v>9</v>
      </c>
      <c r="C700" s="134">
        <v>70</v>
      </c>
      <c r="D700" s="134" t="str">
        <f t="shared" si="49"/>
        <v>3/8" Hex NEO 70</v>
      </c>
      <c r="E700" s="134">
        <v>0</v>
      </c>
      <c r="I700" s="134">
        <v>0</v>
      </c>
    </row>
    <row r="701" spans="1:9" ht="14.25" customHeight="1" x14ac:dyDescent="0.3">
      <c r="A701" s="134" t="s">
        <v>245</v>
      </c>
      <c r="B701" s="134" t="s">
        <v>9</v>
      </c>
      <c r="C701" s="134">
        <v>81</v>
      </c>
      <c r="D701" s="134" t="str">
        <f t="shared" si="49"/>
        <v>3/8" Hex NEO 81</v>
      </c>
      <c r="E701" s="134">
        <v>0</v>
      </c>
      <c r="I701" s="134">
        <v>0</v>
      </c>
    </row>
    <row r="702" spans="1:9" ht="14.25" customHeight="1" x14ac:dyDescent="0.3">
      <c r="A702" s="134" t="s">
        <v>245</v>
      </c>
      <c r="B702" s="134" t="s">
        <v>9</v>
      </c>
      <c r="C702" s="134">
        <v>90</v>
      </c>
      <c r="D702" s="134" t="str">
        <f t="shared" si="49"/>
        <v>3/8" Hex NEO 90</v>
      </c>
      <c r="E702" s="134">
        <v>0</v>
      </c>
      <c r="I702" s="134">
        <v>0</v>
      </c>
    </row>
    <row r="703" spans="1:9" ht="14.25" customHeight="1" x14ac:dyDescent="0.3">
      <c r="A703" s="134" t="s">
        <v>245</v>
      </c>
      <c r="B703" s="134" t="s">
        <v>9</v>
      </c>
      <c r="C703" s="134">
        <v>100</v>
      </c>
      <c r="D703" s="134" t="str">
        <f t="shared" si="49"/>
        <v>3/8" Hex NEO 100</v>
      </c>
      <c r="E703" s="134">
        <v>0</v>
      </c>
      <c r="I703" s="134">
        <v>0</v>
      </c>
    </row>
    <row r="704" spans="1:9" ht="14.25" customHeight="1" x14ac:dyDescent="0.3">
      <c r="A704" s="134" t="s">
        <v>245</v>
      </c>
      <c r="B704" s="134" t="s">
        <v>337</v>
      </c>
      <c r="C704" s="134">
        <v>-3</v>
      </c>
      <c r="D704" s="134" t="str">
        <f t="shared" ref="D704:D709" si="50">A704&amp;" "&amp;B704&amp;" "&amp;C704</f>
        <v>3/8" Hex Falcon 500 -3</v>
      </c>
      <c r="E704" s="134">
        <v>1</v>
      </c>
      <c r="I704" s="134">
        <v>0</v>
      </c>
    </row>
    <row r="705" spans="1:9" ht="14.25" customHeight="1" x14ac:dyDescent="0.3">
      <c r="A705" s="134" t="s">
        <v>245</v>
      </c>
      <c r="B705" s="134" t="s">
        <v>337</v>
      </c>
      <c r="C705" s="134">
        <v>-4</v>
      </c>
      <c r="D705" s="134" t="str">
        <f t="shared" si="50"/>
        <v>3/8" Hex Falcon 500 -4</v>
      </c>
      <c r="E705" s="134">
        <v>1</v>
      </c>
      <c r="I705" s="134">
        <v>0</v>
      </c>
    </row>
    <row r="706" spans="1:9" ht="14.25" customHeight="1" x14ac:dyDescent="0.3">
      <c r="A706" s="134" t="s">
        <v>245</v>
      </c>
      <c r="B706" s="134" t="s">
        <v>337</v>
      </c>
      <c r="C706" s="134">
        <v>-5</v>
      </c>
      <c r="D706" s="134" t="str">
        <f t="shared" si="50"/>
        <v>3/8" Hex Falcon 500 -5</v>
      </c>
      <c r="E706" s="134">
        <v>1</v>
      </c>
      <c r="I706" s="134">
        <v>0</v>
      </c>
    </row>
    <row r="707" spans="1:9" ht="14.25" customHeight="1" x14ac:dyDescent="0.3">
      <c r="A707" s="134" t="s">
        <v>245</v>
      </c>
      <c r="B707" s="134" t="s">
        <v>337</v>
      </c>
      <c r="C707" s="134">
        <v>-7</v>
      </c>
      <c r="D707" s="134" t="str">
        <f t="shared" si="50"/>
        <v>3/8" Hex Falcon 500 -7</v>
      </c>
      <c r="E707" s="134">
        <v>1</v>
      </c>
      <c r="I707" s="134">
        <v>0</v>
      </c>
    </row>
    <row r="708" spans="1:9" ht="14.25" customHeight="1" x14ac:dyDescent="0.3">
      <c r="A708" s="134" t="s">
        <v>245</v>
      </c>
      <c r="B708" s="134" t="s">
        <v>337</v>
      </c>
      <c r="C708" s="134">
        <v>-9</v>
      </c>
      <c r="D708" s="134" t="str">
        <f t="shared" si="50"/>
        <v>3/8" Hex Falcon 500 -9</v>
      </c>
      <c r="E708" s="134">
        <v>1</v>
      </c>
      <c r="I708" s="134">
        <v>0</v>
      </c>
    </row>
    <row r="709" spans="1:9" ht="14.25" customHeight="1" x14ac:dyDescent="0.3">
      <c r="A709" s="134" t="s">
        <v>245</v>
      </c>
      <c r="B709" s="134" t="s">
        <v>337</v>
      </c>
      <c r="C709" s="134">
        <v>-10</v>
      </c>
      <c r="D709" s="134" t="str">
        <f t="shared" si="50"/>
        <v>3/8" Hex Falcon 500 -10</v>
      </c>
      <c r="E709" s="134">
        <v>1</v>
      </c>
      <c r="I709" s="134">
        <v>0</v>
      </c>
    </row>
    <row r="710" spans="1:9" ht="14.25" customHeight="1" x14ac:dyDescent="0.3">
      <c r="A710" s="134" t="s">
        <v>245</v>
      </c>
      <c r="B710" s="134" t="s">
        <v>337</v>
      </c>
      <c r="C710" s="134">
        <v>9</v>
      </c>
      <c r="D710" s="134" t="str">
        <f t="shared" ref="D710:D730" si="51">A710&amp;" "&amp;B710&amp;" "&amp;C710</f>
        <v>3/8" Hex Falcon 500 9</v>
      </c>
      <c r="E710" s="134">
        <v>1</v>
      </c>
      <c r="I710" s="134">
        <v>0</v>
      </c>
    </row>
    <row r="711" spans="1:9" ht="14.25" customHeight="1" x14ac:dyDescent="0.3">
      <c r="A711" s="134" t="s">
        <v>245</v>
      </c>
      <c r="B711" s="134" t="s">
        <v>337</v>
      </c>
      <c r="C711" s="134">
        <v>12</v>
      </c>
      <c r="D711" s="134" t="str">
        <f t="shared" si="51"/>
        <v>3/8" Hex Falcon 500 12</v>
      </c>
      <c r="E711" s="134">
        <v>1</v>
      </c>
      <c r="I711" s="134">
        <v>0</v>
      </c>
    </row>
    <row r="712" spans="1:9" ht="14.25" customHeight="1" x14ac:dyDescent="0.3">
      <c r="A712" s="134" t="s">
        <v>245</v>
      </c>
      <c r="B712" s="134" t="s">
        <v>337</v>
      </c>
      <c r="C712" s="134">
        <v>15</v>
      </c>
      <c r="D712" s="134" t="str">
        <f t="shared" si="51"/>
        <v>3/8" Hex Falcon 500 15</v>
      </c>
      <c r="E712" s="134">
        <v>0</v>
      </c>
      <c r="I712" s="134">
        <v>0</v>
      </c>
    </row>
    <row r="713" spans="1:9" ht="14.25" customHeight="1" x14ac:dyDescent="0.3">
      <c r="A713" s="134" t="s">
        <v>245</v>
      </c>
      <c r="B713" s="134" t="s">
        <v>337</v>
      </c>
      <c r="C713" s="134">
        <v>16</v>
      </c>
      <c r="D713" s="134" t="str">
        <f t="shared" si="51"/>
        <v>3/8" Hex Falcon 500 16</v>
      </c>
      <c r="E713" s="134">
        <v>0</v>
      </c>
      <c r="I713" s="134">
        <v>0</v>
      </c>
    </row>
    <row r="714" spans="1:9" ht="14.25" customHeight="1" x14ac:dyDescent="0.3">
      <c r="A714" s="134" t="s">
        <v>245</v>
      </c>
      <c r="B714" s="134" t="s">
        <v>337</v>
      </c>
      <c r="C714" s="134">
        <v>20</v>
      </c>
      <c r="D714" s="134" t="str">
        <f t="shared" si="51"/>
        <v>3/8" Hex Falcon 500 20</v>
      </c>
      <c r="E714" s="134">
        <v>0</v>
      </c>
      <c r="I714" s="134">
        <v>0</v>
      </c>
    </row>
    <row r="715" spans="1:9" ht="14.25" customHeight="1" x14ac:dyDescent="0.3">
      <c r="A715" s="134" t="s">
        <v>245</v>
      </c>
      <c r="B715" s="134" t="s">
        <v>337</v>
      </c>
      <c r="C715" s="134">
        <v>21</v>
      </c>
      <c r="D715" s="134" t="str">
        <f t="shared" si="51"/>
        <v>3/8" Hex Falcon 500 21</v>
      </c>
      <c r="E715" s="134">
        <v>0</v>
      </c>
      <c r="I715" s="134">
        <v>0</v>
      </c>
    </row>
    <row r="716" spans="1:9" ht="14.25" customHeight="1" x14ac:dyDescent="0.3">
      <c r="A716" s="134" t="s">
        <v>245</v>
      </c>
      <c r="B716" s="134" t="s">
        <v>337</v>
      </c>
      <c r="C716" s="134">
        <v>25</v>
      </c>
      <c r="D716" s="134" t="str">
        <f t="shared" si="51"/>
        <v>3/8" Hex Falcon 500 25</v>
      </c>
      <c r="E716" s="134">
        <v>0</v>
      </c>
      <c r="I716" s="134">
        <v>0</v>
      </c>
    </row>
    <row r="717" spans="1:9" ht="14.25" customHeight="1" x14ac:dyDescent="0.3">
      <c r="A717" s="134" t="s">
        <v>245</v>
      </c>
      <c r="B717" s="134" t="s">
        <v>337</v>
      </c>
      <c r="C717" s="134">
        <v>27</v>
      </c>
      <c r="D717" s="134" t="str">
        <f t="shared" si="51"/>
        <v>3/8" Hex Falcon 500 27</v>
      </c>
      <c r="E717" s="134">
        <v>0</v>
      </c>
      <c r="I717" s="134">
        <v>0</v>
      </c>
    </row>
    <row r="718" spans="1:9" ht="14.25" customHeight="1" x14ac:dyDescent="0.3">
      <c r="A718" s="134" t="s">
        <v>245</v>
      </c>
      <c r="B718" s="134" t="s">
        <v>337</v>
      </c>
      <c r="C718" s="134">
        <v>28</v>
      </c>
      <c r="D718" s="134" t="str">
        <f t="shared" si="51"/>
        <v>3/8" Hex Falcon 500 28</v>
      </c>
      <c r="E718" s="134">
        <v>0</v>
      </c>
      <c r="I718" s="134">
        <v>0</v>
      </c>
    </row>
    <row r="719" spans="1:9" ht="14.25" customHeight="1" x14ac:dyDescent="0.3">
      <c r="A719" s="134" t="s">
        <v>245</v>
      </c>
      <c r="B719" s="134" t="s">
        <v>337</v>
      </c>
      <c r="C719" s="134">
        <v>30</v>
      </c>
      <c r="D719" s="134" t="str">
        <f t="shared" si="51"/>
        <v>3/8" Hex Falcon 500 30</v>
      </c>
      <c r="E719" s="134">
        <v>0</v>
      </c>
      <c r="I719" s="134">
        <v>0</v>
      </c>
    </row>
    <row r="720" spans="1:9" ht="14.25" customHeight="1" x14ac:dyDescent="0.3">
      <c r="A720" s="134" t="s">
        <v>245</v>
      </c>
      <c r="B720" s="134" t="s">
        <v>337</v>
      </c>
      <c r="C720" s="134">
        <v>35</v>
      </c>
      <c r="D720" s="134" t="str">
        <f t="shared" si="51"/>
        <v>3/8" Hex Falcon 500 35</v>
      </c>
      <c r="E720" s="134">
        <v>0</v>
      </c>
      <c r="I720" s="134">
        <v>0</v>
      </c>
    </row>
    <row r="721" spans="1:9" ht="14.25" customHeight="1" x14ac:dyDescent="0.3">
      <c r="A721" s="134" t="s">
        <v>245</v>
      </c>
      <c r="B721" s="134" t="s">
        <v>337</v>
      </c>
      <c r="C721" s="134">
        <v>36</v>
      </c>
      <c r="D721" s="134" t="str">
        <f t="shared" si="51"/>
        <v>3/8" Hex Falcon 500 36</v>
      </c>
      <c r="E721" s="134">
        <v>0</v>
      </c>
      <c r="I721" s="134">
        <v>0</v>
      </c>
    </row>
    <row r="722" spans="1:9" ht="14.25" customHeight="1" x14ac:dyDescent="0.3">
      <c r="A722" s="134" t="s">
        <v>245</v>
      </c>
      <c r="B722" s="134" t="s">
        <v>337</v>
      </c>
      <c r="C722" s="134">
        <v>40</v>
      </c>
      <c r="D722" s="134" t="str">
        <f t="shared" si="51"/>
        <v>3/8" Hex Falcon 500 40</v>
      </c>
      <c r="E722" s="134">
        <v>0</v>
      </c>
      <c r="I722" s="134">
        <v>0</v>
      </c>
    </row>
    <row r="723" spans="1:9" ht="14.25" customHeight="1" x14ac:dyDescent="0.3">
      <c r="A723" s="134" t="s">
        <v>245</v>
      </c>
      <c r="B723" s="134" t="s">
        <v>337</v>
      </c>
      <c r="C723" s="134">
        <v>45</v>
      </c>
      <c r="D723" s="134" t="str">
        <f t="shared" si="51"/>
        <v>3/8" Hex Falcon 500 45</v>
      </c>
      <c r="E723" s="134">
        <v>0</v>
      </c>
      <c r="I723" s="134">
        <v>0</v>
      </c>
    </row>
    <row r="724" spans="1:9" ht="14.25" customHeight="1" x14ac:dyDescent="0.3">
      <c r="A724" s="134" t="s">
        <v>245</v>
      </c>
      <c r="B724" s="134" t="s">
        <v>337</v>
      </c>
      <c r="C724" s="134">
        <v>49</v>
      </c>
      <c r="D724" s="134" t="str">
        <f t="shared" si="51"/>
        <v>3/8" Hex Falcon 500 49</v>
      </c>
      <c r="E724" s="134">
        <v>0</v>
      </c>
      <c r="I724" s="134">
        <v>0</v>
      </c>
    </row>
    <row r="725" spans="1:9" ht="14.25" customHeight="1" x14ac:dyDescent="0.3">
      <c r="A725" s="134" t="s">
        <v>245</v>
      </c>
      <c r="B725" s="134" t="s">
        <v>337</v>
      </c>
      <c r="C725" s="134">
        <v>50</v>
      </c>
      <c r="D725" s="134" t="str">
        <f t="shared" si="51"/>
        <v>3/8" Hex Falcon 500 50</v>
      </c>
      <c r="E725" s="134">
        <v>0</v>
      </c>
      <c r="I725" s="134">
        <v>0</v>
      </c>
    </row>
    <row r="726" spans="1:9" ht="14.25" customHeight="1" x14ac:dyDescent="0.3">
      <c r="A726" s="134" t="s">
        <v>245</v>
      </c>
      <c r="B726" s="134" t="s">
        <v>337</v>
      </c>
      <c r="C726" s="134">
        <v>63</v>
      </c>
      <c r="D726" s="134" t="str">
        <f t="shared" si="51"/>
        <v>3/8" Hex Falcon 500 63</v>
      </c>
      <c r="E726" s="134">
        <v>0</v>
      </c>
      <c r="I726" s="134">
        <v>0</v>
      </c>
    </row>
    <row r="727" spans="1:9" ht="14.25" customHeight="1" x14ac:dyDescent="0.3">
      <c r="A727" s="134" t="s">
        <v>245</v>
      </c>
      <c r="B727" s="134" t="s">
        <v>337</v>
      </c>
      <c r="C727" s="134">
        <v>70</v>
      </c>
      <c r="D727" s="134" t="str">
        <f t="shared" si="51"/>
        <v>3/8" Hex Falcon 500 70</v>
      </c>
      <c r="E727" s="134">
        <v>0</v>
      </c>
      <c r="I727" s="134">
        <v>0</v>
      </c>
    </row>
    <row r="728" spans="1:9" ht="14.25" customHeight="1" x14ac:dyDescent="0.3">
      <c r="A728" s="134" t="s">
        <v>245</v>
      </c>
      <c r="B728" s="134" t="s">
        <v>337</v>
      </c>
      <c r="C728" s="134">
        <v>81</v>
      </c>
      <c r="D728" s="134" t="str">
        <f t="shared" si="51"/>
        <v>3/8" Hex Falcon 500 81</v>
      </c>
      <c r="E728" s="134">
        <v>0</v>
      </c>
      <c r="I728" s="134">
        <v>0</v>
      </c>
    </row>
    <row r="729" spans="1:9" ht="14.25" customHeight="1" x14ac:dyDescent="0.3">
      <c r="A729" s="134" t="s">
        <v>245</v>
      </c>
      <c r="B729" s="134" t="s">
        <v>337</v>
      </c>
      <c r="C729" s="134">
        <v>90</v>
      </c>
      <c r="D729" s="134" t="str">
        <f t="shared" si="51"/>
        <v>3/8" Hex Falcon 500 90</v>
      </c>
      <c r="E729" s="134">
        <v>0</v>
      </c>
      <c r="I729" s="134">
        <v>0</v>
      </c>
    </row>
    <row r="730" spans="1:9" ht="14.25" customHeight="1" x14ac:dyDescent="0.3">
      <c r="A730" s="134" t="s">
        <v>245</v>
      </c>
      <c r="B730" s="134" t="s">
        <v>337</v>
      </c>
      <c r="C730" s="134">
        <v>100</v>
      </c>
      <c r="D730" s="134" t="str">
        <f t="shared" si="51"/>
        <v>3/8" Hex Falcon 500 100</v>
      </c>
      <c r="E730" s="134">
        <v>0</v>
      </c>
      <c r="I730" s="134">
        <v>0</v>
      </c>
    </row>
    <row r="731" spans="1:9" ht="14.25" customHeight="1" x14ac:dyDescent="0.3">
      <c r="A731" s="134" t="s">
        <v>248</v>
      </c>
      <c r="B731" s="134" t="s">
        <v>11</v>
      </c>
      <c r="C731" s="134">
        <v>-3</v>
      </c>
      <c r="D731" s="134" t="str">
        <f t="shared" ref="D731:D736" si="52">A731&amp;" "&amp;B731&amp;" "&amp;C731</f>
        <v>CIM Motor AM 9015 -3</v>
      </c>
      <c r="E731" s="134">
        <v>1</v>
      </c>
    </row>
    <row r="732" spans="1:9" ht="14.25" customHeight="1" x14ac:dyDescent="0.3">
      <c r="A732" s="134" t="s">
        <v>248</v>
      </c>
      <c r="B732" s="134" t="s">
        <v>11</v>
      </c>
      <c r="C732" s="134">
        <v>-4</v>
      </c>
      <c r="D732" s="134" t="str">
        <f t="shared" si="52"/>
        <v>CIM Motor AM 9015 -4</v>
      </c>
      <c r="E732" s="134">
        <v>1</v>
      </c>
    </row>
    <row r="733" spans="1:9" ht="14.25" customHeight="1" x14ac:dyDescent="0.3">
      <c r="A733" s="134" t="s">
        <v>248</v>
      </c>
      <c r="B733" s="134" t="s">
        <v>11</v>
      </c>
      <c r="C733" s="134">
        <v>-5</v>
      </c>
      <c r="D733" s="134" t="str">
        <f t="shared" si="52"/>
        <v>CIM Motor AM 9015 -5</v>
      </c>
      <c r="E733" s="134">
        <v>1</v>
      </c>
    </row>
    <row r="734" spans="1:9" ht="14.25" customHeight="1" x14ac:dyDescent="0.3">
      <c r="A734" s="134" t="s">
        <v>248</v>
      </c>
      <c r="B734" s="134" t="s">
        <v>11</v>
      </c>
      <c r="C734" s="134">
        <v>-7</v>
      </c>
      <c r="D734" s="134" t="str">
        <f t="shared" si="52"/>
        <v>CIM Motor AM 9015 -7</v>
      </c>
      <c r="E734" s="134">
        <v>1</v>
      </c>
    </row>
    <row r="735" spans="1:9" ht="14.25" customHeight="1" x14ac:dyDescent="0.3">
      <c r="A735" s="134" t="s">
        <v>248</v>
      </c>
      <c r="B735" s="134" t="s">
        <v>11</v>
      </c>
      <c r="C735" s="134">
        <v>-9</v>
      </c>
      <c r="D735" s="134" t="str">
        <f t="shared" si="52"/>
        <v>CIM Motor AM 9015 -9</v>
      </c>
      <c r="E735" s="134">
        <v>1</v>
      </c>
    </row>
    <row r="736" spans="1:9" ht="14.25" customHeight="1" x14ac:dyDescent="0.3">
      <c r="A736" s="134" t="s">
        <v>248</v>
      </c>
      <c r="B736" s="134" t="s">
        <v>11</v>
      </c>
      <c r="C736" s="134">
        <v>-10</v>
      </c>
      <c r="D736" s="134" t="str">
        <f t="shared" si="52"/>
        <v>CIM Motor AM 9015 -10</v>
      </c>
      <c r="E736" s="134">
        <v>1</v>
      </c>
    </row>
    <row r="737" spans="1:5" ht="14.25" customHeight="1" x14ac:dyDescent="0.3">
      <c r="A737" s="134" t="s">
        <v>248</v>
      </c>
      <c r="B737" s="134" t="s">
        <v>11</v>
      </c>
      <c r="C737" s="134">
        <v>9</v>
      </c>
      <c r="D737" s="134" t="str">
        <f t="shared" ref="D737:D757" si="53">A737&amp;" "&amp;B737&amp;" "&amp;C737</f>
        <v>CIM Motor AM 9015 9</v>
      </c>
      <c r="E737" s="134">
        <v>7</v>
      </c>
    </row>
    <row r="738" spans="1:5" ht="14.25" customHeight="1" x14ac:dyDescent="0.3">
      <c r="A738" s="134" t="s">
        <v>248</v>
      </c>
      <c r="B738" s="134" t="s">
        <v>11</v>
      </c>
      <c r="C738" s="134">
        <v>12</v>
      </c>
      <c r="D738" s="134" t="str">
        <f t="shared" si="53"/>
        <v>CIM Motor AM 9015 12</v>
      </c>
      <c r="E738" s="134">
        <v>5</v>
      </c>
    </row>
    <row r="739" spans="1:5" ht="14.25" customHeight="1" x14ac:dyDescent="0.3">
      <c r="A739" s="134" t="s">
        <v>248</v>
      </c>
      <c r="B739" s="134" t="s">
        <v>11</v>
      </c>
      <c r="C739" s="134">
        <v>15</v>
      </c>
      <c r="D739" s="134" t="str">
        <f t="shared" si="53"/>
        <v>CIM Motor AM 9015 15</v>
      </c>
      <c r="E739" s="134">
        <v>4</v>
      </c>
    </row>
    <row r="740" spans="1:5" ht="14.25" customHeight="1" x14ac:dyDescent="0.3">
      <c r="A740" s="134" t="s">
        <v>248</v>
      </c>
      <c r="B740" s="134" t="s">
        <v>11</v>
      </c>
      <c r="C740" s="134">
        <v>16</v>
      </c>
      <c r="D740" s="134" t="str">
        <f t="shared" si="53"/>
        <v>CIM Motor AM 9015 16</v>
      </c>
      <c r="E740" s="134">
        <v>4</v>
      </c>
    </row>
    <row r="741" spans="1:5" ht="14.25" customHeight="1" x14ac:dyDescent="0.3">
      <c r="A741" s="134" t="s">
        <v>248</v>
      </c>
      <c r="B741" s="134" t="s">
        <v>11</v>
      </c>
      <c r="C741" s="134">
        <v>20</v>
      </c>
      <c r="D741" s="134" t="str">
        <f t="shared" si="53"/>
        <v>CIM Motor AM 9015 20</v>
      </c>
      <c r="E741" s="134">
        <v>3</v>
      </c>
    </row>
    <row r="742" spans="1:5" ht="14.25" customHeight="1" x14ac:dyDescent="0.3">
      <c r="A742" s="134" t="s">
        <v>248</v>
      </c>
      <c r="B742" s="134" t="s">
        <v>11</v>
      </c>
      <c r="C742" s="134">
        <v>21</v>
      </c>
      <c r="D742" s="134" t="str">
        <f t="shared" si="53"/>
        <v>CIM Motor AM 9015 21</v>
      </c>
      <c r="E742" s="134">
        <v>3</v>
      </c>
    </row>
    <row r="743" spans="1:5" ht="14.25" customHeight="1" x14ac:dyDescent="0.3">
      <c r="A743" s="134" t="s">
        <v>248</v>
      </c>
      <c r="B743" s="134" t="s">
        <v>11</v>
      </c>
      <c r="C743" s="134">
        <v>25</v>
      </c>
      <c r="D743" s="134" t="str">
        <f t="shared" si="53"/>
        <v>CIM Motor AM 9015 25</v>
      </c>
      <c r="E743" s="134">
        <v>1</v>
      </c>
    </row>
    <row r="744" spans="1:5" ht="14.25" customHeight="1" x14ac:dyDescent="0.3">
      <c r="A744" s="134" t="s">
        <v>248</v>
      </c>
      <c r="B744" s="134" t="s">
        <v>11</v>
      </c>
      <c r="C744" s="134">
        <v>27</v>
      </c>
      <c r="D744" s="134" t="str">
        <f t="shared" si="53"/>
        <v>CIM Motor AM 9015 27</v>
      </c>
      <c r="E744" s="134">
        <v>1</v>
      </c>
    </row>
    <row r="745" spans="1:5" ht="14.25" customHeight="1" x14ac:dyDescent="0.3">
      <c r="A745" s="134" t="s">
        <v>248</v>
      </c>
      <c r="B745" s="134" t="s">
        <v>11</v>
      </c>
      <c r="C745" s="134">
        <v>28</v>
      </c>
      <c r="D745" s="134" t="str">
        <f t="shared" si="53"/>
        <v>CIM Motor AM 9015 28</v>
      </c>
      <c r="E745" s="134">
        <v>1</v>
      </c>
    </row>
    <row r="746" spans="1:5" ht="14.25" customHeight="1" x14ac:dyDescent="0.3">
      <c r="A746" s="134" t="s">
        <v>248</v>
      </c>
      <c r="B746" s="134" t="s">
        <v>11</v>
      </c>
      <c r="C746" s="134">
        <v>30</v>
      </c>
      <c r="D746" s="134" t="str">
        <f t="shared" si="53"/>
        <v>CIM Motor AM 9015 30</v>
      </c>
      <c r="E746" s="134">
        <v>1</v>
      </c>
    </row>
    <row r="747" spans="1:5" ht="14.25" customHeight="1" x14ac:dyDescent="0.3">
      <c r="A747" s="134" t="s">
        <v>248</v>
      </c>
      <c r="B747" s="134" t="s">
        <v>11</v>
      </c>
      <c r="C747" s="134">
        <v>35</v>
      </c>
      <c r="D747" s="134" t="str">
        <f t="shared" si="53"/>
        <v>CIM Motor AM 9015 35</v>
      </c>
      <c r="E747" s="134">
        <v>1</v>
      </c>
    </row>
    <row r="748" spans="1:5" ht="14.25" customHeight="1" x14ac:dyDescent="0.3">
      <c r="A748" s="134" t="s">
        <v>248</v>
      </c>
      <c r="B748" s="134" t="s">
        <v>11</v>
      </c>
      <c r="C748" s="134">
        <v>36</v>
      </c>
      <c r="D748" s="134" t="str">
        <f t="shared" si="53"/>
        <v>CIM Motor AM 9015 36</v>
      </c>
      <c r="E748" s="134">
        <v>1</v>
      </c>
    </row>
    <row r="749" spans="1:5" ht="14.25" customHeight="1" x14ac:dyDescent="0.3">
      <c r="A749" s="134" t="s">
        <v>248</v>
      </c>
      <c r="B749" s="134" t="s">
        <v>11</v>
      </c>
      <c r="C749" s="134">
        <v>40</v>
      </c>
      <c r="D749" s="134" t="str">
        <f t="shared" si="53"/>
        <v>CIM Motor AM 9015 40</v>
      </c>
      <c r="E749" s="134">
        <v>1</v>
      </c>
    </row>
    <row r="750" spans="1:5" ht="14.25" customHeight="1" x14ac:dyDescent="0.3">
      <c r="A750" s="134" t="s">
        <v>248</v>
      </c>
      <c r="B750" s="134" t="s">
        <v>11</v>
      </c>
      <c r="C750" s="134">
        <v>45</v>
      </c>
      <c r="D750" s="134" t="str">
        <f t="shared" si="53"/>
        <v>CIM Motor AM 9015 45</v>
      </c>
      <c r="E750" s="134">
        <v>1</v>
      </c>
    </row>
    <row r="751" spans="1:5" ht="14.25" customHeight="1" x14ac:dyDescent="0.3">
      <c r="A751" s="134" t="s">
        <v>248</v>
      </c>
      <c r="B751" s="134" t="s">
        <v>11</v>
      </c>
      <c r="C751" s="134">
        <v>49</v>
      </c>
      <c r="D751" s="134" t="str">
        <f t="shared" si="53"/>
        <v>CIM Motor AM 9015 49</v>
      </c>
      <c r="E751" s="134">
        <v>1</v>
      </c>
    </row>
    <row r="752" spans="1:5" ht="14.25" customHeight="1" x14ac:dyDescent="0.3">
      <c r="A752" s="134" t="s">
        <v>248</v>
      </c>
      <c r="B752" s="134" t="s">
        <v>11</v>
      </c>
      <c r="C752" s="134">
        <v>50</v>
      </c>
      <c r="D752" s="134" t="str">
        <f t="shared" si="53"/>
        <v>CIM Motor AM 9015 50</v>
      </c>
      <c r="E752" s="134">
        <v>1</v>
      </c>
    </row>
    <row r="753" spans="1:8" ht="14.25" customHeight="1" x14ac:dyDescent="0.3">
      <c r="A753" s="134" t="s">
        <v>248</v>
      </c>
      <c r="B753" s="134" t="s">
        <v>11</v>
      </c>
      <c r="C753" s="134">
        <v>63</v>
      </c>
      <c r="D753" s="134" t="str">
        <f t="shared" si="53"/>
        <v>CIM Motor AM 9015 63</v>
      </c>
      <c r="E753" s="134">
        <v>1</v>
      </c>
    </row>
    <row r="754" spans="1:8" ht="14.25" customHeight="1" x14ac:dyDescent="0.3">
      <c r="A754" s="134" t="s">
        <v>248</v>
      </c>
      <c r="B754" s="134" t="s">
        <v>11</v>
      </c>
      <c r="C754" s="134">
        <v>70</v>
      </c>
      <c r="D754" s="134" t="str">
        <f t="shared" si="53"/>
        <v>CIM Motor AM 9015 70</v>
      </c>
      <c r="E754" s="134">
        <v>0</v>
      </c>
    </row>
    <row r="755" spans="1:8" ht="14.25" customHeight="1" x14ac:dyDescent="0.3">
      <c r="A755" s="134" t="s">
        <v>248</v>
      </c>
      <c r="B755" s="134" t="s">
        <v>11</v>
      </c>
      <c r="C755" s="134">
        <v>81</v>
      </c>
      <c r="D755" s="134" t="str">
        <f t="shared" si="53"/>
        <v>CIM Motor AM 9015 81</v>
      </c>
      <c r="E755" s="134">
        <v>0</v>
      </c>
    </row>
    <row r="756" spans="1:8" ht="14.25" customHeight="1" x14ac:dyDescent="0.3">
      <c r="A756" s="134" t="s">
        <v>248</v>
      </c>
      <c r="B756" s="134" t="s">
        <v>11</v>
      </c>
      <c r="C756" s="134">
        <v>90</v>
      </c>
      <c r="D756" s="134" t="str">
        <f t="shared" si="53"/>
        <v>CIM Motor AM 9015 90</v>
      </c>
      <c r="E756" s="134">
        <v>0</v>
      </c>
    </row>
    <row r="757" spans="1:8" ht="14.25" customHeight="1" x14ac:dyDescent="0.3">
      <c r="A757" s="134" t="s">
        <v>248</v>
      </c>
      <c r="B757" s="134" t="s">
        <v>11</v>
      </c>
      <c r="C757" s="134">
        <v>100</v>
      </c>
      <c r="D757" s="134" t="str">
        <f t="shared" si="53"/>
        <v>CIM Motor AM 9015 100</v>
      </c>
      <c r="E757" s="134">
        <v>0</v>
      </c>
    </row>
    <row r="758" spans="1:8" ht="14.25" customHeight="1" x14ac:dyDescent="0.3">
      <c r="A758" s="134" t="s">
        <v>248</v>
      </c>
      <c r="B758" s="134" t="s">
        <v>328</v>
      </c>
      <c r="C758" s="134">
        <v>-3</v>
      </c>
      <c r="D758" s="134" t="str">
        <f t="shared" ref="D758:D763" si="54">A758&amp;" "&amp;B758&amp;" "&amp;C758</f>
        <v>CIM Motor BB RS-550 -3</v>
      </c>
      <c r="E758" s="134">
        <v>1</v>
      </c>
      <c r="F758" s="134">
        <v>1</v>
      </c>
      <c r="G758" s="134">
        <v>0</v>
      </c>
      <c r="H758" s="134">
        <v>1</v>
      </c>
    </row>
    <row r="759" spans="1:8" ht="14.25" customHeight="1" x14ac:dyDescent="0.3">
      <c r="A759" s="134" t="s">
        <v>248</v>
      </c>
      <c r="B759" s="134" t="s">
        <v>328</v>
      </c>
      <c r="C759" s="134">
        <v>-4</v>
      </c>
      <c r="D759" s="134" t="str">
        <f t="shared" si="54"/>
        <v>CIM Motor BB RS-550 -4</v>
      </c>
      <c r="E759" s="134">
        <v>1</v>
      </c>
      <c r="F759" s="134">
        <v>1</v>
      </c>
      <c r="G759" s="134">
        <v>0</v>
      </c>
      <c r="H759" s="134">
        <v>0</v>
      </c>
    </row>
    <row r="760" spans="1:8" ht="14.25" customHeight="1" x14ac:dyDescent="0.3">
      <c r="A760" s="134" t="s">
        <v>248</v>
      </c>
      <c r="B760" s="134" t="s">
        <v>328</v>
      </c>
      <c r="C760" s="134">
        <v>-5</v>
      </c>
      <c r="D760" s="134" t="str">
        <f t="shared" si="54"/>
        <v>CIM Motor BB RS-550 -5</v>
      </c>
      <c r="E760" s="134">
        <v>1</v>
      </c>
      <c r="F760" s="134">
        <v>1</v>
      </c>
      <c r="G760" s="134">
        <v>0</v>
      </c>
      <c r="H760" s="134">
        <v>0</v>
      </c>
    </row>
    <row r="761" spans="1:8" ht="14.25" customHeight="1" x14ac:dyDescent="0.3">
      <c r="A761" s="134" t="s">
        <v>248</v>
      </c>
      <c r="B761" s="134" t="s">
        <v>328</v>
      </c>
      <c r="C761" s="134">
        <v>-7</v>
      </c>
      <c r="D761" s="134" t="str">
        <f t="shared" si="54"/>
        <v>CIM Motor BB RS-550 -7</v>
      </c>
      <c r="E761" s="134">
        <v>1</v>
      </c>
      <c r="F761" s="134">
        <v>1</v>
      </c>
      <c r="G761" s="134">
        <v>0</v>
      </c>
      <c r="H761" s="134">
        <v>0</v>
      </c>
    </row>
    <row r="762" spans="1:8" ht="14.25" customHeight="1" x14ac:dyDescent="0.3">
      <c r="A762" s="134" t="s">
        <v>248</v>
      </c>
      <c r="B762" s="134" t="s">
        <v>328</v>
      </c>
      <c r="C762" s="134">
        <v>-9</v>
      </c>
      <c r="D762" s="134" t="str">
        <f t="shared" si="54"/>
        <v>CIM Motor BB RS-550 -9</v>
      </c>
      <c r="E762" s="134">
        <v>1</v>
      </c>
      <c r="F762" s="134">
        <v>1</v>
      </c>
      <c r="G762" s="134">
        <v>0</v>
      </c>
      <c r="H762" s="134">
        <v>0</v>
      </c>
    </row>
    <row r="763" spans="1:8" ht="14.25" customHeight="1" x14ac:dyDescent="0.3">
      <c r="A763" s="134" t="s">
        <v>248</v>
      </c>
      <c r="B763" s="134" t="s">
        <v>328</v>
      </c>
      <c r="C763" s="134">
        <v>-10</v>
      </c>
      <c r="D763" s="134" t="str">
        <f t="shared" si="54"/>
        <v>CIM Motor BB RS-550 -10</v>
      </c>
      <c r="E763" s="134">
        <v>1</v>
      </c>
      <c r="F763" s="134">
        <v>1</v>
      </c>
      <c r="G763" s="134">
        <v>0</v>
      </c>
      <c r="H763" s="134">
        <v>0</v>
      </c>
    </row>
    <row r="764" spans="1:8" ht="14.25" customHeight="1" x14ac:dyDescent="0.3">
      <c r="A764" s="134" t="s">
        <v>248</v>
      </c>
      <c r="B764" s="134" t="s">
        <v>328</v>
      </c>
      <c r="C764" s="134">
        <v>9</v>
      </c>
      <c r="D764" s="134" t="str">
        <f t="shared" ref="D764:D784" si="55">A764&amp;" "&amp;B764&amp;" "&amp;C764</f>
        <v>CIM Motor BB RS-550 9</v>
      </c>
      <c r="E764" s="134">
        <v>5</v>
      </c>
      <c r="F764" s="134">
        <v>3</v>
      </c>
      <c r="G764" s="134">
        <v>0</v>
      </c>
      <c r="H764" s="134">
        <v>0</v>
      </c>
    </row>
    <row r="765" spans="1:8" ht="14.25" customHeight="1" x14ac:dyDescent="0.3">
      <c r="A765" s="134" t="s">
        <v>248</v>
      </c>
      <c r="B765" s="134" t="s">
        <v>328</v>
      </c>
      <c r="C765" s="134">
        <v>12</v>
      </c>
      <c r="D765" s="134" t="str">
        <f t="shared" si="55"/>
        <v>CIM Motor BB RS-550 12</v>
      </c>
      <c r="E765" s="134">
        <v>4</v>
      </c>
      <c r="F765" s="134">
        <v>1</v>
      </c>
      <c r="G765" s="134">
        <v>0</v>
      </c>
      <c r="H765" s="134">
        <v>0</v>
      </c>
    </row>
    <row r="766" spans="1:8" ht="14.25" customHeight="1" x14ac:dyDescent="0.3">
      <c r="A766" s="134" t="s">
        <v>248</v>
      </c>
      <c r="B766" s="134" t="s">
        <v>328</v>
      </c>
      <c r="C766" s="134">
        <v>15</v>
      </c>
      <c r="D766" s="134" t="str">
        <f t="shared" si="55"/>
        <v>CIM Motor BB RS-550 15</v>
      </c>
      <c r="E766" s="134">
        <v>3</v>
      </c>
      <c r="F766" s="134">
        <v>1</v>
      </c>
      <c r="G766" s="134">
        <v>0</v>
      </c>
      <c r="H766" s="134">
        <v>0</v>
      </c>
    </row>
    <row r="767" spans="1:8" ht="14.25" customHeight="1" x14ac:dyDescent="0.3">
      <c r="A767" s="134" t="s">
        <v>248</v>
      </c>
      <c r="B767" s="134" t="s">
        <v>328</v>
      </c>
      <c r="C767" s="134">
        <v>16</v>
      </c>
      <c r="D767" s="134" t="str">
        <f t="shared" si="55"/>
        <v>CIM Motor BB RS-550 16</v>
      </c>
      <c r="E767" s="134">
        <v>3</v>
      </c>
      <c r="F767" s="134">
        <v>1</v>
      </c>
      <c r="G767" s="134">
        <v>0</v>
      </c>
      <c r="H767" s="134">
        <v>0</v>
      </c>
    </row>
    <row r="768" spans="1:8" ht="14.25" customHeight="1" x14ac:dyDescent="0.3">
      <c r="A768" s="134" t="s">
        <v>248</v>
      </c>
      <c r="B768" s="134" t="s">
        <v>328</v>
      </c>
      <c r="C768" s="134">
        <v>20</v>
      </c>
      <c r="D768" s="134" t="str">
        <f t="shared" si="55"/>
        <v>CIM Motor BB RS-550 20</v>
      </c>
      <c r="E768" s="134">
        <v>1</v>
      </c>
      <c r="F768" s="134">
        <v>1</v>
      </c>
      <c r="G768" s="134">
        <v>0</v>
      </c>
      <c r="H768" s="134">
        <v>0</v>
      </c>
    </row>
    <row r="769" spans="1:8" ht="14.25" customHeight="1" x14ac:dyDescent="0.3">
      <c r="A769" s="134" t="s">
        <v>248</v>
      </c>
      <c r="B769" s="134" t="s">
        <v>328</v>
      </c>
      <c r="C769" s="134">
        <v>21</v>
      </c>
      <c r="D769" s="134" t="str">
        <f t="shared" si="55"/>
        <v>CIM Motor BB RS-550 21</v>
      </c>
      <c r="E769" s="134">
        <v>1</v>
      </c>
      <c r="F769" s="134">
        <v>1</v>
      </c>
      <c r="G769" s="134">
        <v>0</v>
      </c>
      <c r="H769" s="134">
        <v>0</v>
      </c>
    </row>
    <row r="770" spans="1:8" ht="14.25" customHeight="1" x14ac:dyDescent="0.3">
      <c r="A770" s="134" t="s">
        <v>248</v>
      </c>
      <c r="B770" s="134" t="s">
        <v>328</v>
      </c>
      <c r="C770" s="134">
        <v>25</v>
      </c>
      <c r="D770" s="134" t="str">
        <f t="shared" si="55"/>
        <v>CIM Motor BB RS-550 25</v>
      </c>
      <c r="E770" s="134">
        <v>1</v>
      </c>
      <c r="F770" s="134">
        <v>1</v>
      </c>
      <c r="G770" s="134">
        <v>0</v>
      </c>
      <c r="H770" s="134">
        <v>0</v>
      </c>
    </row>
    <row r="771" spans="1:8" ht="14.25" customHeight="1" x14ac:dyDescent="0.3">
      <c r="A771" s="134" t="s">
        <v>248</v>
      </c>
      <c r="B771" s="134" t="s">
        <v>328</v>
      </c>
      <c r="C771" s="134">
        <v>27</v>
      </c>
      <c r="D771" s="134" t="str">
        <f t="shared" si="55"/>
        <v>CIM Motor BB RS-550 27</v>
      </c>
      <c r="E771" s="134">
        <v>1</v>
      </c>
      <c r="F771" s="134">
        <v>1</v>
      </c>
      <c r="G771" s="134">
        <v>0</v>
      </c>
      <c r="H771" s="134">
        <v>0</v>
      </c>
    </row>
    <row r="772" spans="1:8" ht="14.25" customHeight="1" x14ac:dyDescent="0.3">
      <c r="A772" s="134" t="s">
        <v>248</v>
      </c>
      <c r="B772" s="134" t="s">
        <v>328</v>
      </c>
      <c r="C772" s="134">
        <v>28</v>
      </c>
      <c r="D772" s="134" t="str">
        <f t="shared" si="55"/>
        <v>CIM Motor BB RS-550 28</v>
      </c>
      <c r="E772" s="134">
        <v>1</v>
      </c>
      <c r="F772" s="134">
        <v>1</v>
      </c>
      <c r="G772" s="134">
        <v>0</v>
      </c>
      <c r="H772" s="134">
        <v>0</v>
      </c>
    </row>
    <row r="773" spans="1:8" ht="14.25" customHeight="1" x14ac:dyDescent="0.3">
      <c r="A773" s="134" t="s">
        <v>248</v>
      </c>
      <c r="B773" s="134" t="s">
        <v>328</v>
      </c>
      <c r="C773" s="134">
        <v>30</v>
      </c>
      <c r="D773" s="134" t="str">
        <f t="shared" si="55"/>
        <v>CIM Motor BB RS-550 30</v>
      </c>
      <c r="E773" s="134">
        <v>1</v>
      </c>
      <c r="F773" s="134">
        <v>0</v>
      </c>
      <c r="G773" s="134">
        <v>0</v>
      </c>
      <c r="H773" s="134">
        <v>0</v>
      </c>
    </row>
    <row r="774" spans="1:8" ht="14.25" customHeight="1" x14ac:dyDescent="0.3">
      <c r="A774" s="134" t="s">
        <v>248</v>
      </c>
      <c r="B774" s="134" t="s">
        <v>328</v>
      </c>
      <c r="C774" s="134">
        <v>35</v>
      </c>
      <c r="D774" s="134" t="str">
        <f t="shared" si="55"/>
        <v>CIM Motor BB RS-550 35</v>
      </c>
      <c r="E774" s="134">
        <v>1</v>
      </c>
      <c r="F774" s="134">
        <v>0</v>
      </c>
      <c r="G774" s="134">
        <v>0</v>
      </c>
      <c r="H774" s="134">
        <v>0</v>
      </c>
    </row>
    <row r="775" spans="1:8" ht="14.25" customHeight="1" x14ac:dyDescent="0.3">
      <c r="A775" s="134" t="s">
        <v>248</v>
      </c>
      <c r="B775" s="134" t="s">
        <v>328</v>
      </c>
      <c r="C775" s="134">
        <v>36</v>
      </c>
      <c r="D775" s="134" t="str">
        <f t="shared" si="55"/>
        <v>CIM Motor BB RS-550 36</v>
      </c>
      <c r="E775" s="134">
        <v>1</v>
      </c>
      <c r="F775" s="134">
        <v>0</v>
      </c>
      <c r="G775" s="134">
        <v>0</v>
      </c>
      <c r="H775" s="134">
        <v>0</v>
      </c>
    </row>
    <row r="776" spans="1:8" ht="14.25" customHeight="1" x14ac:dyDescent="0.3">
      <c r="A776" s="134" t="s">
        <v>248</v>
      </c>
      <c r="B776" s="134" t="s">
        <v>328</v>
      </c>
      <c r="C776" s="134">
        <v>40</v>
      </c>
      <c r="D776" s="134" t="str">
        <f t="shared" si="55"/>
        <v>CIM Motor BB RS-550 40</v>
      </c>
      <c r="E776" s="134">
        <v>1</v>
      </c>
      <c r="F776" s="134">
        <v>0</v>
      </c>
      <c r="G776" s="134">
        <v>0</v>
      </c>
      <c r="H776" s="134">
        <v>0</v>
      </c>
    </row>
    <row r="777" spans="1:8" ht="14.25" customHeight="1" x14ac:dyDescent="0.3">
      <c r="A777" s="134" t="s">
        <v>248</v>
      </c>
      <c r="B777" s="134" t="s">
        <v>328</v>
      </c>
      <c r="C777" s="134">
        <v>45</v>
      </c>
      <c r="D777" s="134" t="str">
        <f t="shared" si="55"/>
        <v>CIM Motor BB RS-550 45</v>
      </c>
      <c r="E777" s="134">
        <v>1</v>
      </c>
      <c r="F777" s="134">
        <v>0</v>
      </c>
      <c r="G777" s="134">
        <v>0</v>
      </c>
      <c r="H777" s="134">
        <v>0</v>
      </c>
    </row>
    <row r="778" spans="1:8" ht="14.25" customHeight="1" x14ac:dyDescent="0.3">
      <c r="A778" s="134" t="s">
        <v>248</v>
      </c>
      <c r="B778" s="134" t="s">
        <v>328</v>
      </c>
      <c r="C778" s="134">
        <v>49</v>
      </c>
      <c r="D778" s="134" t="str">
        <f t="shared" si="55"/>
        <v>CIM Motor BB RS-550 49</v>
      </c>
      <c r="E778" s="134">
        <v>1</v>
      </c>
      <c r="F778" s="134">
        <v>0</v>
      </c>
      <c r="G778" s="134">
        <v>0</v>
      </c>
      <c r="H778" s="134">
        <v>0</v>
      </c>
    </row>
    <row r="779" spans="1:8" ht="14.25" customHeight="1" x14ac:dyDescent="0.3">
      <c r="A779" s="134" t="s">
        <v>248</v>
      </c>
      <c r="B779" s="134" t="s">
        <v>328</v>
      </c>
      <c r="C779" s="134">
        <v>50</v>
      </c>
      <c r="D779" s="134" t="str">
        <f t="shared" si="55"/>
        <v>CIM Motor BB RS-550 50</v>
      </c>
      <c r="E779" s="134">
        <v>1</v>
      </c>
      <c r="F779" s="134">
        <v>0</v>
      </c>
      <c r="G779" s="134">
        <v>0</v>
      </c>
      <c r="H779" s="134">
        <v>0</v>
      </c>
    </row>
    <row r="780" spans="1:8" ht="14.25" customHeight="1" x14ac:dyDescent="0.3">
      <c r="A780" s="134" t="s">
        <v>248</v>
      </c>
      <c r="B780" s="134" t="s">
        <v>328</v>
      </c>
      <c r="C780" s="134">
        <v>63</v>
      </c>
      <c r="D780" s="134" t="str">
        <f t="shared" si="55"/>
        <v>CIM Motor BB RS-550 63</v>
      </c>
      <c r="E780" s="134">
        <v>0</v>
      </c>
      <c r="F780" s="134">
        <v>0</v>
      </c>
      <c r="G780" s="134">
        <v>0</v>
      </c>
      <c r="H780" s="134">
        <v>0</v>
      </c>
    </row>
    <row r="781" spans="1:8" ht="14.25" customHeight="1" x14ac:dyDescent="0.3">
      <c r="A781" s="134" t="s">
        <v>248</v>
      </c>
      <c r="B781" s="134" t="s">
        <v>328</v>
      </c>
      <c r="C781" s="134">
        <v>70</v>
      </c>
      <c r="D781" s="134" t="str">
        <f t="shared" si="55"/>
        <v>CIM Motor BB RS-550 70</v>
      </c>
      <c r="E781" s="134">
        <v>0</v>
      </c>
      <c r="F781" s="134">
        <v>0</v>
      </c>
      <c r="G781" s="134">
        <v>0</v>
      </c>
      <c r="H781" s="134">
        <v>0</v>
      </c>
    </row>
    <row r="782" spans="1:8" ht="14.25" customHeight="1" x14ac:dyDescent="0.3">
      <c r="A782" s="134" t="s">
        <v>248</v>
      </c>
      <c r="B782" s="134" t="s">
        <v>328</v>
      </c>
      <c r="C782" s="134">
        <v>81</v>
      </c>
      <c r="D782" s="134" t="str">
        <f t="shared" si="55"/>
        <v>CIM Motor BB RS-550 81</v>
      </c>
      <c r="E782" s="134">
        <v>0</v>
      </c>
      <c r="F782" s="134">
        <v>0</v>
      </c>
      <c r="G782" s="134">
        <v>0</v>
      </c>
      <c r="H782" s="134">
        <v>0</v>
      </c>
    </row>
    <row r="783" spans="1:8" ht="14.25" customHeight="1" x14ac:dyDescent="0.3">
      <c r="A783" s="134" t="s">
        <v>248</v>
      </c>
      <c r="B783" s="134" t="s">
        <v>328</v>
      </c>
      <c r="C783" s="134">
        <v>90</v>
      </c>
      <c r="D783" s="134" t="str">
        <f t="shared" si="55"/>
        <v>CIM Motor BB RS-550 90</v>
      </c>
      <c r="E783" s="134">
        <v>0</v>
      </c>
      <c r="F783" s="134">
        <v>0</v>
      </c>
      <c r="G783" s="134">
        <v>0</v>
      </c>
      <c r="H783" s="134">
        <v>0</v>
      </c>
    </row>
    <row r="784" spans="1:8" ht="14.25" customHeight="1" x14ac:dyDescent="0.3">
      <c r="A784" s="134" t="s">
        <v>248</v>
      </c>
      <c r="B784" s="134" t="s">
        <v>328</v>
      </c>
      <c r="C784" s="134">
        <v>100</v>
      </c>
      <c r="D784" s="134" t="str">
        <f t="shared" si="55"/>
        <v>CIM Motor BB RS-550 100</v>
      </c>
      <c r="E784" s="134">
        <v>0</v>
      </c>
      <c r="F784" s="134">
        <v>0</v>
      </c>
      <c r="G784" s="134">
        <v>0</v>
      </c>
      <c r="H784" s="134">
        <v>0</v>
      </c>
    </row>
    <row r="785" spans="1:8" ht="14.25" customHeight="1" x14ac:dyDescent="0.3">
      <c r="A785" s="134" t="s">
        <v>248</v>
      </c>
      <c r="B785" s="134" t="s">
        <v>329</v>
      </c>
      <c r="C785" s="134">
        <v>-3</v>
      </c>
      <c r="D785" s="134" t="str">
        <f t="shared" ref="D785:D790" si="56">A785&amp;" "&amp;B785&amp;" "&amp;C785</f>
        <v>CIM Motor BB RS-775 -3</v>
      </c>
      <c r="E785" s="134">
        <v>1</v>
      </c>
      <c r="F785" s="134">
        <v>1</v>
      </c>
      <c r="G785" s="134">
        <v>0</v>
      </c>
      <c r="H785" s="134">
        <v>0</v>
      </c>
    </row>
    <row r="786" spans="1:8" ht="14.25" customHeight="1" x14ac:dyDescent="0.3">
      <c r="A786" s="134" t="s">
        <v>248</v>
      </c>
      <c r="B786" s="134" t="s">
        <v>329</v>
      </c>
      <c r="C786" s="134">
        <v>-4</v>
      </c>
      <c r="D786" s="134" t="str">
        <f t="shared" si="56"/>
        <v>CIM Motor BB RS-775 -4</v>
      </c>
      <c r="E786" s="134">
        <v>1</v>
      </c>
      <c r="F786" s="134">
        <v>1</v>
      </c>
      <c r="G786" s="134">
        <v>0</v>
      </c>
      <c r="H786" s="134">
        <v>0</v>
      </c>
    </row>
    <row r="787" spans="1:8" ht="14.25" customHeight="1" x14ac:dyDescent="0.3">
      <c r="A787" s="134" t="s">
        <v>248</v>
      </c>
      <c r="B787" s="134" t="s">
        <v>329</v>
      </c>
      <c r="C787" s="134">
        <v>-5</v>
      </c>
      <c r="D787" s="134" t="str">
        <f t="shared" si="56"/>
        <v>CIM Motor BB RS-775 -5</v>
      </c>
      <c r="E787" s="134">
        <v>1</v>
      </c>
      <c r="F787" s="134">
        <v>1</v>
      </c>
      <c r="G787" s="134">
        <v>0</v>
      </c>
      <c r="H787" s="134">
        <v>0</v>
      </c>
    </row>
    <row r="788" spans="1:8" ht="14.25" customHeight="1" x14ac:dyDescent="0.3">
      <c r="A788" s="134" t="s">
        <v>248</v>
      </c>
      <c r="B788" s="134" t="s">
        <v>329</v>
      </c>
      <c r="C788" s="134">
        <v>-7</v>
      </c>
      <c r="D788" s="134" t="str">
        <f t="shared" si="56"/>
        <v>CIM Motor BB RS-775 -7</v>
      </c>
      <c r="E788" s="134">
        <v>1</v>
      </c>
      <c r="F788" s="134">
        <v>1</v>
      </c>
      <c r="G788" s="134">
        <v>0</v>
      </c>
      <c r="H788" s="134">
        <v>0</v>
      </c>
    </row>
    <row r="789" spans="1:8" ht="14.25" customHeight="1" x14ac:dyDescent="0.3">
      <c r="A789" s="134" t="s">
        <v>248</v>
      </c>
      <c r="B789" s="134" t="s">
        <v>329</v>
      </c>
      <c r="C789" s="134">
        <v>-9</v>
      </c>
      <c r="D789" s="134" t="str">
        <f t="shared" si="56"/>
        <v>CIM Motor BB RS-775 -9</v>
      </c>
      <c r="E789" s="134">
        <v>1</v>
      </c>
      <c r="F789" s="134">
        <v>1</v>
      </c>
      <c r="G789" s="134">
        <v>0</v>
      </c>
      <c r="H789" s="134">
        <v>0</v>
      </c>
    </row>
    <row r="790" spans="1:8" ht="14.25" customHeight="1" x14ac:dyDescent="0.3">
      <c r="A790" s="134" t="s">
        <v>248</v>
      </c>
      <c r="B790" s="134" t="s">
        <v>329</v>
      </c>
      <c r="C790" s="134">
        <v>-10</v>
      </c>
      <c r="D790" s="134" t="str">
        <f t="shared" si="56"/>
        <v>CIM Motor BB RS-775 -10</v>
      </c>
      <c r="E790" s="134">
        <v>1</v>
      </c>
      <c r="F790" s="134">
        <v>1</v>
      </c>
      <c r="G790" s="134">
        <v>0</v>
      </c>
      <c r="H790" s="134">
        <v>0</v>
      </c>
    </row>
    <row r="791" spans="1:8" ht="14.25" customHeight="1" x14ac:dyDescent="0.3">
      <c r="A791" s="134" t="s">
        <v>248</v>
      </c>
      <c r="B791" s="134" t="s">
        <v>329</v>
      </c>
      <c r="C791" s="134">
        <v>9</v>
      </c>
      <c r="D791" s="134" t="str">
        <f t="shared" ref="D791:D811" si="57">A791&amp;" "&amp;B791&amp;" "&amp;C791</f>
        <v>CIM Motor BB RS-775 9</v>
      </c>
      <c r="E791" s="134">
        <v>4</v>
      </c>
      <c r="F791" s="134">
        <v>1</v>
      </c>
      <c r="G791" s="134">
        <v>0</v>
      </c>
      <c r="H791" s="134">
        <v>0</v>
      </c>
    </row>
    <row r="792" spans="1:8" ht="14.25" customHeight="1" x14ac:dyDescent="0.3">
      <c r="A792" s="134" t="s">
        <v>248</v>
      </c>
      <c r="B792" s="134" t="s">
        <v>329</v>
      </c>
      <c r="C792" s="134">
        <v>12</v>
      </c>
      <c r="D792" s="134" t="str">
        <f t="shared" si="57"/>
        <v>CIM Motor BB RS-775 12</v>
      </c>
      <c r="E792" s="134">
        <v>3</v>
      </c>
      <c r="F792" s="134">
        <v>1</v>
      </c>
      <c r="G792" s="134">
        <v>0</v>
      </c>
      <c r="H792" s="134">
        <v>0</v>
      </c>
    </row>
    <row r="793" spans="1:8" ht="14.25" customHeight="1" x14ac:dyDescent="0.3">
      <c r="A793" s="134" t="s">
        <v>248</v>
      </c>
      <c r="B793" s="134" t="s">
        <v>329</v>
      </c>
      <c r="C793" s="134">
        <v>15</v>
      </c>
      <c r="D793" s="134" t="str">
        <f t="shared" si="57"/>
        <v>CIM Motor BB RS-775 15</v>
      </c>
      <c r="E793" s="134">
        <v>1</v>
      </c>
      <c r="F793" s="134">
        <v>1</v>
      </c>
      <c r="G793" s="134">
        <v>0</v>
      </c>
      <c r="H793" s="134">
        <v>0</v>
      </c>
    </row>
    <row r="794" spans="1:8" ht="14.25" customHeight="1" x14ac:dyDescent="0.3">
      <c r="A794" s="134" t="s">
        <v>248</v>
      </c>
      <c r="B794" s="134" t="s">
        <v>329</v>
      </c>
      <c r="C794" s="134">
        <v>16</v>
      </c>
      <c r="D794" s="134" t="str">
        <f t="shared" si="57"/>
        <v>CIM Motor BB RS-775 16</v>
      </c>
      <c r="E794" s="134">
        <v>1</v>
      </c>
      <c r="F794" s="134">
        <v>1</v>
      </c>
      <c r="G794" s="134">
        <v>0</v>
      </c>
      <c r="H794" s="134">
        <v>0</v>
      </c>
    </row>
    <row r="795" spans="1:8" ht="14.25" customHeight="1" x14ac:dyDescent="0.3">
      <c r="A795" s="134" t="s">
        <v>248</v>
      </c>
      <c r="B795" s="134" t="s">
        <v>329</v>
      </c>
      <c r="C795" s="134">
        <v>20</v>
      </c>
      <c r="D795" s="134" t="str">
        <f t="shared" si="57"/>
        <v>CIM Motor BB RS-775 20</v>
      </c>
      <c r="E795" s="134">
        <v>1</v>
      </c>
      <c r="F795" s="134">
        <v>0</v>
      </c>
      <c r="G795" s="134">
        <v>0</v>
      </c>
      <c r="H795" s="134">
        <v>0</v>
      </c>
    </row>
    <row r="796" spans="1:8" ht="14.25" customHeight="1" x14ac:dyDescent="0.3">
      <c r="A796" s="134" t="s">
        <v>248</v>
      </c>
      <c r="B796" s="134" t="s">
        <v>329</v>
      </c>
      <c r="C796" s="134">
        <v>21</v>
      </c>
      <c r="D796" s="134" t="str">
        <f t="shared" si="57"/>
        <v>CIM Motor BB RS-775 21</v>
      </c>
      <c r="E796" s="134">
        <v>1</v>
      </c>
      <c r="F796" s="134">
        <v>0</v>
      </c>
      <c r="G796" s="134">
        <v>0</v>
      </c>
      <c r="H796" s="134">
        <v>0</v>
      </c>
    </row>
    <row r="797" spans="1:8" ht="14.25" customHeight="1" x14ac:dyDescent="0.3">
      <c r="A797" s="134" t="s">
        <v>248</v>
      </c>
      <c r="B797" s="134" t="s">
        <v>329</v>
      </c>
      <c r="C797" s="134">
        <v>25</v>
      </c>
      <c r="D797" s="134" t="str">
        <f t="shared" si="57"/>
        <v>CIM Motor BB RS-775 25</v>
      </c>
      <c r="E797" s="134">
        <v>1</v>
      </c>
      <c r="F797" s="134">
        <v>0</v>
      </c>
      <c r="G797" s="134">
        <v>0</v>
      </c>
      <c r="H797" s="134">
        <v>0</v>
      </c>
    </row>
    <row r="798" spans="1:8" ht="14.25" customHeight="1" x14ac:dyDescent="0.3">
      <c r="A798" s="134" t="s">
        <v>248</v>
      </c>
      <c r="B798" s="134" t="s">
        <v>329</v>
      </c>
      <c r="C798" s="134">
        <v>27</v>
      </c>
      <c r="D798" s="134" t="str">
        <f t="shared" si="57"/>
        <v>CIM Motor BB RS-775 27</v>
      </c>
      <c r="E798" s="134">
        <v>1</v>
      </c>
      <c r="F798" s="134">
        <v>0</v>
      </c>
      <c r="G798" s="134">
        <v>0</v>
      </c>
      <c r="H798" s="134">
        <v>0</v>
      </c>
    </row>
    <row r="799" spans="1:8" ht="14.25" customHeight="1" x14ac:dyDescent="0.3">
      <c r="A799" s="134" t="s">
        <v>248</v>
      </c>
      <c r="B799" s="134" t="s">
        <v>329</v>
      </c>
      <c r="C799" s="134">
        <v>28</v>
      </c>
      <c r="D799" s="134" t="str">
        <f t="shared" si="57"/>
        <v>CIM Motor BB RS-775 28</v>
      </c>
      <c r="E799" s="134">
        <v>1</v>
      </c>
      <c r="F799" s="134">
        <v>0</v>
      </c>
      <c r="G799" s="134">
        <v>0</v>
      </c>
      <c r="H799" s="134">
        <v>0</v>
      </c>
    </row>
    <row r="800" spans="1:8" ht="14.25" customHeight="1" x14ac:dyDescent="0.3">
      <c r="A800" s="134" t="s">
        <v>248</v>
      </c>
      <c r="B800" s="134" t="s">
        <v>329</v>
      </c>
      <c r="C800" s="134">
        <v>30</v>
      </c>
      <c r="D800" s="134" t="str">
        <f t="shared" si="57"/>
        <v>CIM Motor BB RS-775 30</v>
      </c>
      <c r="E800" s="134">
        <v>1</v>
      </c>
      <c r="F800" s="134">
        <v>0</v>
      </c>
      <c r="G800" s="134">
        <v>0</v>
      </c>
      <c r="H800" s="134">
        <v>0</v>
      </c>
    </row>
    <row r="801" spans="1:8" ht="14.25" customHeight="1" x14ac:dyDescent="0.3">
      <c r="A801" s="134" t="s">
        <v>248</v>
      </c>
      <c r="B801" s="134" t="s">
        <v>329</v>
      </c>
      <c r="C801" s="134">
        <v>35</v>
      </c>
      <c r="D801" s="134" t="str">
        <f t="shared" si="57"/>
        <v>CIM Motor BB RS-775 35</v>
      </c>
      <c r="E801" s="134">
        <v>1</v>
      </c>
      <c r="F801" s="134">
        <v>0</v>
      </c>
      <c r="G801" s="134">
        <v>0</v>
      </c>
      <c r="H801" s="134">
        <v>0</v>
      </c>
    </row>
    <row r="802" spans="1:8" ht="14.25" customHeight="1" x14ac:dyDescent="0.3">
      <c r="A802" s="134" t="s">
        <v>248</v>
      </c>
      <c r="B802" s="134" t="s">
        <v>329</v>
      </c>
      <c r="C802" s="134">
        <v>36</v>
      </c>
      <c r="D802" s="134" t="str">
        <f t="shared" si="57"/>
        <v>CIM Motor BB RS-775 36</v>
      </c>
      <c r="E802" s="134">
        <v>1</v>
      </c>
      <c r="F802" s="134">
        <v>0</v>
      </c>
      <c r="G802" s="134">
        <v>0</v>
      </c>
      <c r="H802" s="134">
        <v>0</v>
      </c>
    </row>
    <row r="803" spans="1:8" ht="14.25" customHeight="1" x14ac:dyDescent="0.3">
      <c r="A803" s="134" t="s">
        <v>248</v>
      </c>
      <c r="B803" s="134" t="s">
        <v>329</v>
      </c>
      <c r="C803" s="134">
        <v>40</v>
      </c>
      <c r="D803" s="134" t="str">
        <f t="shared" si="57"/>
        <v>CIM Motor BB RS-775 40</v>
      </c>
      <c r="E803" s="134">
        <v>0</v>
      </c>
      <c r="F803" s="134">
        <v>0</v>
      </c>
      <c r="G803" s="134">
        <v>0</v>
      </c>
      <c r="H803" s="134">
        <v>0</v>
      </c>
    </row>
    <row r="804" spans="1:8" ht="14.25" customHeight="1" x14ac:dyDescent="0.3">
      <c r="A804" s="134" t="s">
        <v>248</v>
      </c>
      <c r="B804" s="134" t="s">
        <v>329</v>
      </c>
      <c r="C804" s="134">
        <v>45</v>
      </c>
      <c r="D804" s="134" t="str">
        <f t="shared" si="57"/>
        <v>CIM Motor BB RS-775 45</v>
      </c>
      <c r="E804" s="134">
        <v>0</v>
      </c>
      <c r="F804" s="134">
        <v>0</v>
      </c>
      <c r="G804" s="134">
        <v>0</v>
      </c>
      <c r="H804" s="134">
        <v>0</v>
      </c>
    </row>
    <row r="805" spans="1:8" ht="14.25" customHeight="1" x14ac:dyDescent="0.3">
      <c r="A805" s="134" t="s">
        <v>248</v>
      </c>
      <c r="B805" s="134" t="s">
        <v>329</v>
      </c>
      <c r="C805" s="134">
        <v>49</v>
      </c>
      <c r="D805" s="134" t="str">
        <f t="shared" si="57"/>
        <v>CIM Motor BB RS-775 49</v>
      </c>
      <c r="E805" s="134">
        <v>0</v>
      </c>
      <c r="F805" s="134">
        <v>0</v>
      </c>
      <c r="G805" s="134">
        <v>0</v>
      </c>
      <c r="H805" s="134">
        <v>0</v>
      </c>
    </row>
    <row r="806" spans="1:8" ht="14.25" customHeight="1" x14ac:dyDescent="0.3">
      <c r="A806" s="134" t="s">
        <v>248</v>
      </c>
      <c r="B806" s="134" t="s">
        <v>329</v>
      </c>
      <c r="C806" s="134">
        <v>50</v>
      </c>
      <c r="D806" s="134" t="str">
        <f t="shared" si="57"/>
        <v>CIM Motor BB RS-775 50</v>
      </c>
      <c r="E806" s="134">
        <v>0</v>
      </c>
      <c r="F806" s="134">
        <v>0</v>
      </c>
      <c r="G806" s="134">
        <v>0</v>
      </c>
      <c r="H806" s="134">
        <v>0</v>
      </c>
    </row>
    <row r="807" spans="1:8" ht="14.25" customHeight="1" x14ac:dyDescent="0.3">
      <c r="A807" s="134" t="s">
        <v>248</v>
      </c>
      <c r="B807" s="134" t="s">
        <v>329</v>
      </c>
      <c r="C807" s="134">
        <v>63</v>
      </c>
      <c r="D807" s="134" t="str">
        <f t="shared" si="57"/>
        <v>CIM Motor BB RS-775 63</v>
      </c>
      <c r="E807" s="134">
        <v>0</v>
      </c>
      <c r="F807" s="134">
        <v>0</v>
      </c>
      <c r="G807" s="134">
        <v>0</v>
      </c>
      <c r="H807" s="134">
        <v>0</v>
      </c>
    </row>
    <row r="808" spans="1:8" ht="14.25" customHeight="1" x14ac:dyDescent="0.3">
      <c r="A808" s="134" t="s">
        <v>248</v>
      </c>
      <c r="B808" s="134" t="s">
        <v>329</v>
      </c>
      <c r="C808" s="134">
        <v>70</v>
      </c>
      <c r="D808" s="134" t="str">
        <f t="shared" si="57"/>
        <v>CIM Motor BB RS-775 70</v>
      </c>
      <c r="E808" s="134">
        <v>0</v>
      </c>
      <c r="F808" s="134">
        <v>0</v>
      </c>
      <c r="G808" s="134">
        <v>0</v>
      </c>
      <c r="H808" s="134">
        <v>0</v>
      </c>
    </row>
    <row r="809" spans="1:8" ht="14.25" customHeight="1" x14ac:dyDescent="0.3">
      <c r="A809" s="134" t="s">
        <v>248</v>
      </c>
      <c r="B809" s="134" t="s">
        <v>329</v>
      </c>
      <c r="C809" s="134">
        <v>81</v>
      </c>
      <c r="D809" s="134" t="str">
        <f t="shared" si="57"/>
        <v>CIM Motor BB RS-775 81</v>
      </c>
      <c r="E809" s="134">
        <v>0</v>
      </c>
      <c r="F809" s="134">
        <v>0</v>
      </c>
      <c r="G809" s="134">
        <v>0</v>
      </c>
      <c r="H809" s="134">
        <v>0</v>
      </c>
    </row>
    <row r="810" spans="1:8" ht="14.25" customHeight="1" x14ac:dyDescent="0.3">
      <c r="A810" s="134" t="s">
        <v>248</v>
      </c>
      <c r="B810" s="134" t="s">
        <v>329</v>
      </c>
      <c r="C810" s="134">
        <v>90</v>
      </c>
      <c r="D810" s="134" t="str">
        <f t="shared" si="57"/>
        <v>CIM Motor BB RS-775 90</v>
      </c>
      <c r="E810" s="134">
        <v>0</v>
      </c>
      <c r="F810" s="134">
        <v>0</v>
      </c>
      <c r="G810" s="134">
        <v>0</v>
      </c>
      <c r="H810" s="134">
        <v>0</v>
      </c>
    </row>
    <row r="811" spans="1:8" ht="14.25" customHeight="1" x14ac:dyDescent="0.3">
      <c r="A811" s="134" t="s">
        <v>248</v>
      </c>
      <c r="B811" s="134" t="s">
        <v>329</v>
      </c>
      <c r="C811" s="134">
        <v>100</v>
      </c>
      <c r="D811" s="134" t="str">
        <f t="shared" si="57"/>
        <v>CIM Motor BB RS-775 100</v>
      </c>
      <c r="E811" s="134">
        <v>0</v>
      </c>
      <c r="F811" s="134">
        <v>0</v>
      </c>
      <c r="G811" s="134">
        <v>0</v>
      </c>
      <c r="H811" s="134">
        <v>0</v>
      </c>
    </row>
    <row r="812" spans="1:8" ht="14.25" customHeight="1" x14ac:dyDescent="0.3">
      <c r="A812" s="134" t="s">
        <v>248</v>
      </c>
      <c r="B812" s="134" t="s">
        <v>8</v>
      </c>
      <c r="C812" s="134">
        <v>-3</v>
      </c>
      <c r="D812" s="134" t="str">
        <f t="shared" ref="D812:D817" si="58">A812&amp;" "&amp;B812&amp;" "&amp;C812</f>
        <v>CIM Motor BAG Motor -3</v>
      </c>
      <c r="E812" s="134">
        <v>1</v>
      </c>
      <c r="F812" s="134">
        <v>1</v>
      </c>
      <c r="G812" s="134">
        <v>0</v>
      </c>
      <c r="H812" s="134">
        <v>0</v>
      </c>
    </row>
    <row r="813" spans="1:8" ht="14.25" customHeight="1" x14ac:dyDescent="0.3">
      <c r="A813" s="134" t="s">
        <v>248</v>
      </c>
      <c r="B813" s="134" t="s">
        <v>8</v>
      </c>
      <c r="C813" s="134">
        <v>-4</v>
      </c>
      <c r="D813" s="134" t="str">
        <f t="shared" si="58"/>
        <v>CIM Motor BAG Motor -4</v>
      </c>
      <c r="E813" s="134">
        <v>1</v>
      </c>
      <c r="F813" s="134">
        <v>1</v>
      </c>
      <c r="G813" s="134">
        <v>0</v>
      </c>
      <c r="H813" s="134">
        <v>0</v>
      </c>
    </row>
    <row r="814" spans="1:8" ht="14.25" customHeight="1" x14ac:dyDescent="0.3">
      <c r="A814" s="134" t="s">
        <v>248</v>
      </c>
      <c r="B814" s="134" t="s">
        <v>8</v>
      </c>
      <c r="C814" s="134">
        <v>-5</v>
      </c>
      <c r="D814" s="134" t="str">
        <f t="shared" si="58"/>
        <v>CIM Motor BAG Motor -5</v>
      </c>
      <c r="E814" s="134">
        <v>1</v>
      </c>
      <c r="F814" s="134">
        <v>1</v>
      </c>
      <c r="G814" s="134">
        <v>0</v>
      </c>
      <c r="H814" s="134">
        <v>0</v>
      </c>
    </row>
    <row r="815" spans="1:8" ht="14.25" customHeight="1" x14ac:dyDescent="0.3">
      <c r="A815" s="134" t="s">
        <v>248</v>
      </c>
      <c r="B815" s="134" t="s">
        <v>8</v>
      </c>
      <c r="C815" s="134">
        <v>-7</v>
      </c>
      <c r="D815" s="134" t="str">
        <f t="shared" si="58"/>
        <v>CIM Motor BAG Motor -7</v>
      </c>
      <c r="E815" s="134">
        <v>1</v>
      </c>
      <c r="F815" s="134">
        <v>1</v>
      </c>
      <c r="G815" s="134">
        <v>0</v>
      </c>
      <c r="H815" s="134">
        <v>0</v>
      </c>
    </row>
    <row r="816" spans="1:8" ht="14.25" customHeight="1" x14ac:dyDescent="0.3">
      <c r="A816" s="134" t="s">
        <v>248</v>
      </c>
      <c r="B816" s="134" t="s">
        <v>8</v>
      </c>
      <c r="C816" s="134">
        <v>-9</v>
      </c>
      <c r="D816" s="134" t="str">
        <f t="shared" si="58"/>
        <v>CIM Motor BAG Motor -9</v>
      </c>
      <c r="E816" s="134">
        <v>1</v>
      </c>
      <c r="F816" s="134">
        <v>1</v>
      </c>
      <c r="G816" s="134">
        <v>0</v>
      </c>
      <c r="H816" s="134">
        <v>0</v>
      </c>
    </row>
    <row r="817" spans="1:8" ht="14.25" customHeight="1" x14ac:dyDescent="0.3">
      <c r="A817" s="134" t="s">
        <v>248</v>
      </c>
      <c r="B817" s="134" t="s">
        <v>8</v>
      </c>
      <c r="C817" s="134">
        <v>-10</v>
      </c>
      <c r="D817" s="134" t="str">
        <f t="shared" si="58"/>
        <v>CIM Motor BAG Motor -10</v>
      </c>
      <c r="E817" s="134">
        <v>1</v>
      </c>
      <c r="F817" s="134">
        <v>1</v>
      </c>
      <c r="G817" s="134">
        <v>0</v>
      </c>
      <c r="H817" s="134">
        <v>0</v>
      </c>
    </row>
    <row r="818" spans="1:8" ht="14.25" customHeight="1" x14ac:dyDescent="0.3">
      <c r="A818" s="134" t="s">
        <v>248</v>
      </c>
      <c r="B818" s="134" t="s">
        <v>8</v>
      </c>
      <c r="C818" s="134">
        <v>9</v>
      </c>
      <c r="D818" s="134" t="str">
        <f t="shared" ref="D818:D838" si="59">A818&amp;" "&amp;B818&amp;" "&amp;C818</f>
        <v>CIM Motor BAG Motor 9</v>
      </c>
      <c r="E818" s="134">
        <v>7</v>
      </c>
      <c r="F818" s="134">
        <v>3</v>
      </c>
      <c r="G818" s="134">
        <v>0</v>
      </c>
      <c r="H818" s="134">
        <v>0</v>
      </c>
    </row>
    <row r="819" spans="1:8" ht="14.25" customHeight="1" x14ac:dyDescent="0.3">
      <c r="A819" s="134" t="s">
        <v>248</v>
      </c>
      <c r="B819" s="134" t="s">
        <v>8</v>
      </c>
      <c r="C819" s="134">
        <v>12</v>
      </c>
      <c r="D819" s="134" t="str">
        <f t="shared" si="59"/>
        <v>CIM Motor BAG Motor 12</v>
      </c>
      <c r="E819" s="134">
        <v>5</v>
      </c>
      <c r="F819" s="134">
        <v>1</v>
      </c>
      <c r="G819" s="134">
        <v>0</v>
      </c>
      <c r="H819" s="134">
        <v>0</v>
      </c>
    </row>
    <row r="820" spans="1:8" ht="14.25" customHeight="1" x14ac:dyDescent="0.3">
      <c r="A820" s="134" t="s">
        <v>248</v>
      </c>
      <c r="B820" s="134" t="s">
        <v>8</v>
      </c>
      <c r="C820" s="134">
        <v>15</v>
      </c>
      <c r="D820" s="134" t="str">
        <f t="shared" si="59"/>
        <v>CIM Motor BAG Motor 15</v>
      </c>
      <c r="E820" s="134">
        <v>4</v>
      </c>
      <c r="F820" s="134">
        <v>1</v>
      </c>
      <c r="G820" s="134">
        <v>0</v>
      </c>
      <c r="H820" s="134">
        <v>0</v>
      </c>
    </row>
    <row r="821" spans="1:8" ht="14.25" customHeight="1" x14ac:dyDescent="0.3">
      <c r="A821" s="134" t="s">
        <v>248</v>
      </c>
      <c r="B821" s="134" t="s">
        <v>8</v>
      </c>
      <c r="C821" s="134">
        <v>16</v>
      </c>
      <c r="D821" s="134" t="str">
        <f t="shared" si="59"/>
        <v>CIM Motor BAG Motor 16</v>
      </c>
      <c r="E821" s="134">
        <v>4</v>
      </c>
      <c r="F821" s="134">
        <v>1</v>
      </c>
      <c r="G821" s="134">
        <v>0</v>
      </c>
      <c r="H821" s="134">
        <v>0</v>
      </c>
    </row>
    <row r="822" spans="1:8" ht="14.25" customHeight="1" x14ac:dyDescent="0.3">
      <c r="A822" s="134" t="s">
        <v>248</v>
      </c>
      <c r="B822" s="134" t="s">
        <v>8</v>
      </c>
      <c r="C822" s="134">
        <v>20</v>
      </c>
      <c r="D822" s="134" t="str">
        <f t="shared" si="59"/>
        <v>CIM Motor BAG Motor 20</v>
      </c>
      <c r="E822" s="134">
        <v>3</v>
      </c>
      <c r="F822" s="134">
        <v>1</v>
      </c>
      <c r="G822" s="134">
        <v>0</v>
      </c>
      <c r="H822" s="134">
        <v>0</v>
      </c>
    </row>
    <row r="823" spans="1:8" ht="14.25" customHeight="1" x14ac:dyDescent="0.3">
      <c r="A823" s="134" t="s">
        <v>248</v>
      </c>
      <c r="B823" s="134" t="s">
        <v>8</v>
      </c>
      <c r="C823" s="134">
        <v>21</v>
      </c>
      <c r="D823" s="134" t="str">
        <f t="shared" si="59"/>
        <v>CIM Motor BAG Motor 21</v>
      </c>
      <c r="E823" s="134">
        <v>3</v>
      </c>
      <c r="F823" s="134">
        <v>1</v>
      </c>
      <c r="G823" s="134">
        <v>0</v>
      </c>
      <c r="H823" s="134">
        <v>0</v>
      </c>
    </row>
    <row r="824" spans="1:8" ht="14.25" customHeight="1" x14ac:dyDescent="0.3">
      <c r="A824" s="134" t="s">
        <v>248</v>
      </c>
      <c r="B824" s="134" t="s">
        <v>8</v>
      </c>
      <c r="C824" s="134">
        <v>25</v>
      </c>
      <c r="D824" s="134" t="str">
        <f t="shared" si="59"/>
        <v>CIM Motor BAG Motor 25</v>
      </c>
      <c r="E824" s="134">
        <v>1</v>
      </c>
      <c r="F824" s="134">
        <v>1</v>
      </c>
      <c r="G824" s="134">
        <v>0</v>
      </c>
      <c r="H824" s="134">
        <v>0</v>
      </c>
    </row>
    <row r="825" spans="1:8" ht="14.25" customHeight="1" x14ac:dyDescent="0.3">
      <c r="A825" s="134" t="s">
        <v>248</v>
      </c>
      <c r="B825" s="134" t="s">
        <v>8</v>
      </c>
      <c r="C825" s="134">
        <v>27</v>
      </c>
      <c r="D825" s="134" t="str">
        <f t="shared" si="59"/>
        <v>CIM Motor BAG Motor 27</v>
      </c>
      <c r="E825" s="134">
        <v>1</v>
      </c>
      <c r="F825" s="134">
        <v>1</v>
      </c>
      <c r="G825" s="134">
        <v>0</v>
      </c>
      <c r="H825" s="134">
        <v>0</v>
      </c>
    </row>
    <row r="826" spans="1:8" ht="14.25" customHeight="1" x14ac:dyDescent="0.3">
      <c r="A826" s="134" t="s">
        <v>248</v>
      </c>
      <c r="B826" s="134" t="s">
        <v>8</v>
      </c>
      <c r="C826" s="134">
        <v>28</v>
      </c>
      <c r="D826" s="134" t="str">
        <f t="shared" si="59"/>
        <v>CIM Motor BAG Motor 28</v>
      </c>
      <c r="E826" s="134">
        <v>1</v>
      </c>
      <c r="F826" s="134">
        <v>1</v>
      </c>
      <c r="G826" s="134">
        <v>0</v>
      </c>
      <c r="H826" s="134">
        <v>0</v>
      </c>
    </row>
    <row r="827" spans="1:8" ht="14.25" customHeight="1" x14ac:dyDescent="0.3">
      <c r="A827" s="134" t="s">
        <v>248</v>
      </c>
      <c r="B827" s="134" t="s">
        <v>8</v>
      </c>
      <c r="C827" s="134">
        <v>30</v>
      </c>
      <c r="D827" s="134" t="str">
        <f t="shared" si="59"/>
        <v>CIM Motor BAG Motor 30</v>
      </c>
      <c r="E827" s="134">
        <v>1</v>
      </c>
      <c r="F827" s="134">
        <v>1</v>
      </c>
      <c r="G827" s="134">
        <v>0</v>
      </c>
      <c r="H827" s="134">
        <v>0</v>
      </c>
    </row>
    <row r="828" spans="1:8" ht="14.25" customHeight="1" x14ac:dyDescent="0.3">
      <c r="A828" s="134" t="s">
        <v>248</v>
      </c>
      <c r="B828" s="134" t="s">
        <v>8</v>
      </c>
      <c r="C828" s="134">
        <v>35</v>
      </c>
      <c r="D828" s="134" t="str">
        <f t="shared" si="59"/>
        <v>CIM Motor BAG Motor 35</v>
      </c>
      <c r="E828" s="134">
        <v>1</v>
      </c>
      <c r="F828" s="134">
        <v>0</v>
      </c>
      <c r="G828" s="134">
        <v>0</v>
      </c>
      <c r="H828" s="134">
        <v>0</v>
      </c>
    </row>
    <row r="829" spans="1:8" ht="14.25" customHeight="1" x14ac:dyDescent="0.3">
      <c r="A829" s="134" t="s">
        <v>248</v>
      </c>
      <c r="B829" s="134" t="s">
        <v>8</v>
      </c>
      <c r="C829" s="134">
        <v>36</v>
      </c>
      <c r="D829" s="134" t="str">
        <f t="shared" si="59"/>
        <v>CIM Motor BAG Motor 36</v>
      </c>
      <c r="E829" s="134">
        <v>1</v>
      </c>
      <c r="F829" s="134">
        <v>0</v>
      </c>
      <c r="G829" s="134">
        <v>0</v>
      </c>
      <c r="H829" s="134">
        <v>0</v>
      </c>
    </row>
    <row r="830" spans="1:8" ht="14.25" customHeight="1" x14ac:dyDescent="0.3">
      <c r="A830" s="134" t="s">
        <v>248</v>
      </c>
      <c r="B830" s="134" t="s">
        <v>8</v>
      </c>
      <c r="C830" s="134">
        <v>40</v>
      </c>
      <c r="D830" s="134" t="str">
        <f t="shared" si="59"/>
        <v>CIM Motor BAG Motor 40</v>
      </c>
      <c r="E830" s="134">
        <v>1</v>
      </c>
      <c r="F830" s="134">
        <v>0</v>
      </c>
      <c r="G830" s="134">
        <v>0</v>
      </c>
      <c r="H830" s="134">
        <v>0</v>
      </c>
    </row>
    <row r="831" spans="1:8" ht="14.25" customHeight="1" x14ac:dyDescent="0.3">
      <c r="A831" s="134" t="s">
        <v>248</v>
      </c>
      <c r="B831" s="134" t="s">
        <v>8</v>
      </c>
      <c r="C831" s="134">
        <v>45</v>
      </c>
      <c r="D831" s="134" t="str">
        <f t="shared" si="59"/>
        <v>CIM Motor BAG Motor 45</v>
      </c>
      <c r="E831" s="134">
        <v>1</v>
      </c>
      <c r="F831" s="134">
        <v>0</v>
      </c>
      <c r="G831" s="134">
        <v>0</v>
      </c>
      <c r="H831" s="134">
        <v>0</v>
      </c>
    </row>
    <row r="832" spans="1:8" ht="14.25" customHeight="1" x14ac:dyDescent="0.3">
      <c r="A832" s="134" t="s">
        <v>248</v>
      </c>
      <c r="B832" s="134" t="s">
        <v>8</v>
      </c>
      <c r="C832" s="134">
        <v>49</v>
      </c>
      <c r="D832" s="134" t="str">
        <f t="shared" si="59"/>
        <v>CIM Motor BAG Motor 49</v>
      </c>
      <c r="E832" s="134">
        <v>1</v>
      </c>
      <c r="F832" s="134">
        <v>0</v>
      </c>
      <c r="G832" s="134">
        <v>0</v>
      </c>
      <c r="H832" s="134">
        <v>0</v>
      </c>
    </row>
    <row r="833" spans="1:8" ht="14.25" customHeight="1" x14ac:dyDescent="0.3">
      <c r="A833" s="134" t="s">
        <v>248</v>
      </c>
      <c r="B833" s="134" t="s">
        <v>8</v>
      </c>
      <c r="C833" s="134">
        <v>50</v>
      </c>
      <c r="D833" s="134" t="str">
        <f t="shared" si="59"/>
        <v>CIM Motor BAG Motor 50</v>
      </c>
      <c r="E833" s="134">
        <v>1</v>
      </c>
      <c r="F833" s="134">
        <v>0</v>
      </c>
      <c r="G833" s="134">
        <v>0</v>
      </c>
      <c r="H833" s="134">
        <v>0</v>
      </c>
    </row>
    <row r="834" spans="1:8" ht="14.25" customHeight="1" x14ac:dyDescent="0.3">
      <c r="A834" s="134" t="s">
        <v>248</v>
      </c>
      <c r="B834" s="134" t="s">
        <v>8</v>
      </c>
      <c r="C834" s="134">
        <v>63</v>
      </c>
      <c r="D834" s="134" t="str">
        <f t="shared" si="59"/>
        <v>CIM Motor BAG Motor 63</v>
      </c>
      <c r="E834" s="134">
        <v>1</v>
      </c>
      <c r="F834" s="134">
        <v>0</v>
      </c>
      <c r="G834" s="134">
        <v>0</v>
      </c>
      <c r="H834" s="134">
        <v>0</v>
      </c>
    </row>
    <row r="835" spans="1:8" ht="14.25" customHeight="1" x14ac:dyDescent="0.3">
      <c r="A835" s="134" t="s">
        <v>248</v>
      </c>
      <c r="B835" s="134" t="s">
        <v>8</v>
      </c>
      <c r="C835" s="134">
        <v>70</v>
      </c>
      <c r="D835" s="134" t="str">
        <f t="shared" si="59"/>
        <v>CIM Motor BAG Motor 70</v>
      </c>
      <c r="E835" s="134">
        <v>0</v>
      </c>
      <c r="F835" s="134">
        <v>0</v>
      </c>
      <c r="G835" s="134">
        <v>0</v>
      </c>
      <c r="H835" s="134">
        <v>0</v>
      </c>
    </row>
    <row r="836" spans="1:8" ht="14.25" customHeight="1" x14ac:dyDescent="0.3">
      <c r="A836" s="134" t="s">
        <v>248</v>
      </c>
      <c r="B836" s="134" t="s">
        <v>8</v>
      </c>
      <c r="C836" s="134">
        <v>81</v>
      </c>
      <c r="D836" s="134" t="str">
        <f t="shared" si="59"/>
        <v>CIM Motor BAG Motor 81</v>
      </c>
      <c r="E836" s="134">
        <v>0</v>
      </c>
      <c r="F836" s="134">
        <v>0</v>
      </c>
      <c r="G836" s="134">
        <v>0</v>
      </c>
      <c r="H836" s="134">
        <v>0</v>
      </c>
    </row>
    <row r="837" spans="1:8" ht="14.25" customHeight="1" x14ac:dyDescent="0.3">
      <c r="A837" s="134" t="s">
        <v>248</v>
      </c>
      <c r="B837" s="134" t="s">
        <v>8</v>
      </c>
      <c r="C837" s="134">
        <v>90</v>
      </c>
      <c r="D837" s="134" t="str">
        <f t="shared" si="59"/>
        <v>CIM Motor BAG Motor 90</v>
      </c>
      <c r="E837" s="134">
        <v>0</v>
      </c>
      <c r="F837" s="134">
        <v>0</v>
      </c>
      <c r="G837" s="134">
        <v>0</v>
      </c>
      <c r="H837" s="134">
        <v>0</v>
      </c>
    </row>
    <row r="838" spans="1:8" ht="14.25" customHeight="1" x14ac:dyDescent="0.3">
      <c r="A838" s="134" t="s">
        <v>248</v>
      </c>
      <c r="B838" s="134" t="s">
        <v>8</v>
      </c>
      <c r="C838" s="134">
        <v>100</v>
      </c>
      <c r="D838" s="134" t="str">
        <f t="shared" si="59"/>
        <v>CIM Motor BAG Motor 100</v>
      </c>
      <c r="E838" s="134">
        <v>0</v>
      </c>
      <c r="F838" s="134">
        <v>0</v>
      </c>
      <c r="G838" s="134">
        <v>0</v>
      </c>
      <c r="H838" s="134">
        <v>0</v>
      </c>
    </row>
    <row r="839" spans="1:8" ht="14.25" customHeight="1" x14ac:dyDescent="0.3">
      <c r="A839" s="134" t="s">
        <v>248</v>
      </c>
      <c r="B839" s="134" t="s">
        <v>257</v>
      </c>
      <c r="C839" s="134">
        <v>-3</v>
      </c>
      <c r="D839" s="134" t="str">
        <f t="shared" ref="D839:D844" si="60">A839&amp;" "&amp;B839&amp;" "&amp;C839</f>
        <v>CIM Motor 775pro -3</v>
      </c>
      <c r="E839" s="134">
        <v>1</v>
      </c>
      <c r="F839" s="134">
        <v>1</v>
      </c>
      <c r="G839" s="134">
        <v>0</v>
      </c>
      <c r="H839" s="134">
        <v>0</v>
      </c>
    </row>
    <row r="840" spans="1:8" ht="14.25" customHeight="1" x14ac:dyDescent="0.3">
      <c r="A840" s="134" t="s">
        <v>248</v>
      </c>
      <c r="B840" s="134" t="s">
        <v>257</v>
      </c>
      <c r="C840" s="134">
        <v>-4</v>
      </c>
      <c r="D840" s="134" t="str">
        <f t="shared" si="60"/>
        <v>CIM Motor 775pro -4</v>
      </c>
      <c r="E840" s="134">
        <v>1</v>
      </c>
      <c r="F840" s="134">
        <v>1</v>
      </c>
      <c r="G840" s="134">
        <v>0</v>
      </c>
      <c r="H840" s="134">
        <v>0</v>
      </c>
    </row>
    <row r="841" spans="1:8" ht="14.25" customHeight="1" x14ac:dyDescent="0.3">
      <c r="A841" s="134" t="s">
        <v>248</v>
      </c>
      <c r="B841" s="134" t="s">
        <v>257</v>
      </c>
      <c r="C841" s="134">
        <v>-5</v>
      </c>
      <c r="D841" s="134" t="str">
        <f t="shared" si="60"/>
        <v>CIM Motor 775pro -5</v>
      </c>
      <c r="E841" s="134">
        <v>1</v>
      </c>
      <c r="F841" s="134">
        <v>1</v>
      </c>
      <c r="G841" s="134">
        <v>0</v>
      </c>
      <c r="H841" s="134">
        <v>0</v>
      </c>
    </row>
    <row r="842" spans="1:8" ht="14.25" customHeight="1" x14ac:dyDescent="0.3">
      <c r="A842" s="134" t="s">
        <v>248</v>
      </c>
      <c r="B842" s="134" t="s">
        <v>257</v>
      </c>
      <c r="C842" s="134">
        <v>-7</v>
      </c>
      <c r="D842" s="134" t="str">
        <f t="shared" si="60"/>
        <v>CIM Motor 775pro -7</v>
      </c>
      <c r="E842" s="134">
        <v>1</v>
      </c>
      <c r="F842" s="134">
        <v>1</v>
      </c>
      <c r="G842" s="134">
        <v>0</v>
      </c>
      <c r="H842" s="134">
        <v>0</v>
      </c>
    </row>
    <row r="843" spans="1:8" ht="14.25" customHeight="1" x14ac:dyDescent="0.3">
      <c r="A843" s="134" t="s">
        <v>248</v>
      </c>
      <c r="B843" s="134" t="s">
        <v>257</v>
      </c>
      <c r="C843" s="134">
        <v>-9</v>
      </c>
      <c r="D843" s="134" t="str">
        <f t="shared" si="60"/>
        <v>CIM Motor 775pro -9</v>
      </c>
      <c r="E843" s="134">
        <v>1</v>
      </c>
      <c r="F843" s="134">
        <v>1</v>
      </c>
      <c r="G843" s="134">
        <v>0</v>
      </c>
      <c r="H843" s="134">
        <v>0</v>
      </c>
    </row>
    <row r="844" spans="1:8" ht="14.25" customHeight="1" x14ac:dyDescent="0.3">
      <c r="A844" s="134" t="s">
        <v>248</v>
      </c>
      <c r="B844" s="134" t="s">
        <v>257</v>
      </c>
      <c r="C844" s="134">
        <v>-10</v>
      </c>
      <c r="D844" s="134" t="str">
        <f t="shared" si="60"/>
        <v>CIM Motor 775pro -10</v>
      </c>
      <c r="E844" s="134">
        <v>1</v>
      </c>
      <c r="F844" s="134">
        <v>1</v>
      </c>
      <c r="G844" s="134">
        <v>0</v>
      </c>
      <c r="H844" s="134">
        <v>0</v>
      </c>
    </row>
    <row r="845" spans="1:8" ht="14.25" customHeight="1" x14ac:dyDescent="0.3">
      <c r="A845" s="134" t="s">
        <v>248</v>
      </c>
      <c r="B845" s="134" t="s">
        <v>257</v>
      </c>
      <c r="C845" s="134">
        <v>9</v>
      </c>
      <c r="D845" s="134" t="str">
        <f t="shared" ref="D845:D865" si="61">A845&amp;" "&amp;B845&amp;" "&amp;C845</f>
        <v>CIM Motor 775pro 9</v>
      </c>
      <c r="E845" s="134">
        <v>4</v>
      </c>
      <c r="F845" s="134">
        <v>1</v>
      </c>
      <c r="G845" s="134">
        <v>0</v>
      </c>
      <c r="H845" s="134">
        <v>0</v>
      </c>
    </row>
    <row r="846" spans="1:8" ht="14.25" customHeight="1" x14ac:dyDescent="0.3">
      <c r="A846" s="134" t="s">
        <v>248</v>
      </c>
      <c r="B846" s="134" t="s">
        <v>257</v>
      </c>
      <c r="C846" s="134">
        <v>12</v>
      </c>
      <c r="D846" s="134" t="str">
        <f t="shared" si="61"/>
        <v>CIM Motor 775pro 12</v>
      </c>
      <c r="E846" s="134">
        <v>3</v>
      </c>
      <c r="F846" s="134">
        <v>1</v>
      </c>
      <c r="G846" s="134">
        <v>0</v>
      </c>
      <c r="H846" s="134">
        <v>0</v>
      </c>
    </row>
    <row r="847" spans="1:8" ht="14.25" customHeight="1" x14ac:dyDescent="0.3">
      <c r="A847" s="134" t="s">
        <v>248</v>
      </c>
      <c r="B847" s="134" t="s">
        <v>257</v>
      </c>
      <c r="C847" s="134">
        <v>15</v>
      </c>
      <c r="D847" s="134" t="str">
        <f t="shared" si="61"/>
        <v>CIM Motor 775pro 15</v>
      </c>
      <c r="E847" s="134">
        <v>1</v>
      </c>
      <c r="F847" s="134">
        <v>1</v>
      </c>
      <c r="G847" s="134">
        <v>0</v>
      </c>
      <c r="H847" s="134">
        <v>0</v>
      </c>
    </row>
    <row r="848" spans="1:8" ht="14.25" customHeight="1" x14ac:dyDescent="0.3">
      <c r="A848" s="134" t="s">
        <v>248</v>
      </c>
      <c r="B848" s="134" t="s">
        <v>257</v>
      </c>
      <c r="C848" s="134">
        <v>16</v>
      </c>
      <c r="D848" s="134" t="str">
        <f t="shared" si="61"/>
        <v>CIM Motor 775pro 16</v>
      </c>
      <c r="E848" s="134">
        <v>1</v>
      </c>
      <c r="F848" s="134">
        <v>1</v>
      </c>
      <c r="G848" s="134">
        <v>0</v>
      </c>
      <c r="H848" s="134">
        <v>0</v>
      </c>
    </row>
    <row r="849" spans="1:8" ht="14.25" customHeight="1" x14ac:dyDescent="0.3">
      <c r="A849" s="134" t="s">
        <v>248</v>
      </c>
      <c r="B849" s="134" t="s">
        <v>257</v>
      </c>
      <c r="C849" s="134">
        <v>20</v>
      </c>
      <c r="D849" s="134" t="str">
        <f t="shared" si="61"/>
        <v>CIM Motor 775pro 20</v>
      </c>
      <c r="E849" s="134">
        <v>1</v>
      </c>
      <c r="F849" s="134">
        <v>1</v>
      </c>
      <c r="G849" s="134">
        <v>0</v>
      </c>
      <c r="H849" s="134">
        <v>0</v>
      </c>
    </row>
    <row r="850" spans="1:8" ht="14.25" customHeight="1" x14ac:dyDescent="0.3">
      <c r="A850" s="134" t="s">
        <v>248</v>
      </c>
      <c r="B850" s="134" t="s">
        <v>257</v>
      </c>
      <c r="C850" s="134">
        <v>21</v>
      </c>
      <c r="D850" s="134" t="str">
        <f t="shared" si="61"/>
        <v>CIM Motor 775pro 21</v>
      </c>
      <c r="E850" s="134">
        <v>1</v>
      </c>
      <c r="F850" s="134">
        <v>0</v>
      </c>
      <c r="G850" s="134">
        <v>0</v>
      </c>
      <c r="H850" s="134">
        <v>0</v>
      </c>
    </row>
    <row r="851" spans="1:8" ht="14.25" customHeight="1" x14ac:dyDescent="0.3">
      <c r="A851" s="134" t="s">
        <v>248</v>
      </c>
      <c r="B851" s="134" t="s">
        <v>257</v>
      </c>
      <c r="C851" s="134">
        <v>25</v>
      </c>
      <c r="D851" s="134" t="str">
        <f t="shared" si="61"/>
        <v>CIM Motor 775pro 25</v>
      </c>
      <c r="E851" s="134">
        <v>1</v>
      </c>
      <c r="F851" s="134">
        <v>0</v>
      </c>
      <c r="G851" s="134">
        <v>0</v>
      </c>
      <c r="H851" s="134">
        <v>0</v>
      </c>
    </row>
    <row r="852" spans="1:8" ht="14.25" customHeight="1" x14ac:dyDescent="0.3">
      <c r="A852" s="134" t="s">
        <v>248</v>
      </c>
      <c r="B852" s="134" t="s">
        <v>257</v>
      </c>
      <c r="C852" s="134">
        <v>27</v>
      </c>
      <c r="D852" s="134" t="str">
        <f t="shared" si="61"/>
        <v>CIM Motor 775pro 27</v>
      </c>
      <c r="E852" s="134">
        <v>1</v>
      </c>
      <c r="F852" s="134">
        <v>0</v>
      </c>
      <c r="G852" s="134">
        <v>0</v>
      </c>
      <c r="H852" s="134">
        <v>0</v>
      </c>
    </row>
    <row r="853" spans="1:8" ht="14.25" customHeight="1" x14ac:dyDescent="0.3">
      <c r="A853" s="134" t="s">
        <v>248</v>
      </c>
      <c r="B853" s="134" t="s">
        <v>257</v>
      </c>
      <c r="C853" s="134">
        <v>28</v>
      </c>
      <c r="D853" s="134" t="str">
        <f t="shared" si="61"/>
        <v>CIM Motor 775pro 28</v>
      </c>
      <c r="E853" s="134">
        <v>1</v>
      </c>
      <c r="F853" s="134">
        <v>0</v>
      </c>
      <c r="G853" s="134">
        <v>0</v>
      </c>
      <c r="H853" s="134">
        <v>0</v>
      </c>
    </row>
    <row r="854" spans="1:8" ht="14.25" customHeight="1" x14ac:dyDescent="0.3">
      <c r="A854" s="134" t="s">
        <v>248</v>
      </c>
      <c r="B854" s="134" t="s">
        <v>257</v>
      </c>
      <c r="C854" s="134">
        <v>30</v>
      </c>
      <c r="D854" s="134" t="str">
        <f t="shared" si="61"/>
        <v>CIM Motor 775pro 30</v>
      </c>
      <c r="E854" s="134">
        <v>1</v>
      </c>
      <c r="F854" s="134">
        <v>0</v>
      </c>
      <c r="G854" s="134">
        <v>0</v>
      </c>
      <c r="H854" s="134">
        <v>0</v>
      </c>
    </row>
    <row r="855" spans="1:8" ht="14.25" customHeight="1" x14ac:dyDescent="0.3">
      <c r="A855" s="134" t="s">
        <v>248</v>
      </c>
      <c r="B855" s="134" t="s">
        <v>257</v>
      </c>
      <c r="C855" s="134">
        <v>35</v>
      </c>
      <c r="D855" s="134" t="str">
        <f t="shared" si="61"/>
        <v>CIM Motor 775pro 35</v>
      </c>
      <c r="E855" s="134">
        <v>1</v>
      </c>
      <c r="F855" s="134">
        <v>0</v>
      </c>
      <c r="G855" s="134">
        <v>0</v>
      </c>
      <c r="H855" s="134">
        <v>0</v>
      </c>
    </row>
    <row r="856" spans="1:8" ht="14.25" customHeight="1" x14ac:dyDescent="0.3">
      <c r="A856" s="134" t="s">
        <v>248</v>
      </c>
      <c r="B856" s="134" t="s">
        <v>257</v>
      </c>
      <c r="C856" s="134">
        <v>36</v>
      </c>
      <c r="D856" s="134" t="str">
        <f t="shared" si="61"/>
        <v>CIM Motor 775pro 36</v>
      </c>
      <c r="E856" s="134">
        <v>1</v>
      </c>
      <c r="F856" s="134">
        <v>0</v>
      </c>
      <c r="G856" s="134">
        <v>0</v>
      </c>
      <c r="H856" s="134">
        <v>0</v>
      </c>
    </row>
    <row r="857" spans="1:8" ht="14.25" customHeight="1" x14ac:dyDescent="0.3">
      <c r="A857" s="134" t="s">
        <v>248</v>
      </c>
      <c r="B857" s="134" t="s">
        <v>257</v>
      </c>
      <c r="C857" s="134">
        <v>40</v>
      </c>
      <c r="D857" s="134" t="str">
        <f t="shared" si="61"/>
        <v>CIM Motor 775pro 40</v>
      </c>
      <c r="E857" s="134">
        <v>1</v>
      </c>
      <c r="F857" s="134">
        <v>0</v>
      </c>
      <c r="G857" s="134">
        <v>0</v>
      </c>
      <c r="H857" s="134">
        <v>0</v>
      </c>
    </row>
    <row r="858" spans="1:8" ht="14.25" customHeight="1" x14ac:dyDescent="0.3">
      <c r="A858" s="134" t="s">
        <v>248</v>
      </c>
      <c r="B858" s="134" t="s">
        <v>257</v>
      </c>
      <c r="C858" s="134">
        <v>45</v>
      </c>
      <c r="D858" s="134" t="str">
        <f t="shared" si="61"/>
        <v>CIM Motor 775pro 45</v>
      </c>
      <c r="E858" s="134">
        <v>0</v>
      </c>
      <c r="F858" s="134">
        <v>0</v>
      </c>
      <c r="G858" s="134">
        <v>0</v>
      </c>
      <c r="H858" s="134">
        <v>0</v>
      </c>
    </row>
    <row r="859" spans="1:8" ht="14.25" customHeight="1" x14ac:dyDescent="0.3">
      <c r="A859" s="134" t="s">
        <v>248</v>
      </c>
      <c r="B859" s="134" t="s">
        <v>257</v>
      </c>
      <c r="C859" s="134">
        <v>49</v>
      </c>
      <c r="D859" s="134" t="str">
        <f t="shared" si="61"/>
        <v>CIM Motor 775pro 49</v>
      </c>
      <c r="E859" s="134">
        <v>0</v>
      </c>
      <c r="F859" s="134">
        <v>0</v>
      </c>
      <c r="G859" s="134">
        <v>0</v>
      </c>
      <c r="H859" s="134">
        <v>0</v>
      </c>
    </row>
    <row r="860" spans="1:8" ht="14.25" customHeight="1" x14ac:dyDescent="0.3">
      <c r="A860" s="134" t="s">
        <v>248</v>
      </c>
      <c r="B860" s="134" t="s">
        <v>257</v>
      </c>
      <c r="C860" s="134">
        <v>50</v>
      </c>
      <c r="D860" s="134" t="str">
        <f t="shared" si="61"/>
        <v>CIM Motor 775pro 50</v>
      </c>
      <c r="E860" s="134">
        <v>0</v>
      </c>
      <c r="F860" s="134">
        <v>0</v>
      </c>
      <c r="G860" s="134">
        <v>0</v>
      </c>
      <c r="H860" s="134">
        <v>0</v>
      </c>
    </row>
    <row r="861" spans="1:8" ht="14.25" customHeight="1" x14ac:dyDescent="0.3">
      <c r="A861" s="134" t="s">
        <v>248</v>
      </c>
      <c r="B861" s="134" t="s">
        <v>257</v>
      </c>
      <c r="C861" s="134">
        <v>63</v>
      </c>
      <c r="D861" s="134" t="str">
        <f t="shared" si="61"/>
        <v>CIM Motor 775pro 63</v>
      </c>
      <c r="E861" s="134">
        <v>0</v>
      </c>
      <c r="F861" s="134">
        <v>0</v>
      </c>
      <c r="G861" s="134">
        <v>0</v>
      </c>
      <c r="H861" s="134">
        <v>0</v>
      </c>
    </row>
    <row r="862" spans="1:8" ht="14.25" customHeight="1" x14ac:dyDescent="0.3">
      <c r="A862" s="134" t="s">
        <v>248</v>
      </c>
      <c r="B862" s="134" t="s">
        <v>257</v>
      </c>
      <c r="C862" s="134">
        <v>70</v>
      </c>
      <c r="D862" s="134" t="str">
        <f t="shared" si="61"/>
        <v>CIM Motor 775pro 70</v>
      </c>
      <c r="E862" s="134">
        <v>0</v>
      </c>
      <c r="F862" s="134">
        <v>0</v>
      </c>
      <c r="G862" s="134">
        <v>0</v>
      </c>
      <c r="H862" s="134">
        <v>0</v>
      </c>
    </row>
    <row r="863" spans="1:8" ht="14.25" customHeight="1" x14ac:dyDescent="0.3">
      <c r="A863" s="134" t="s">
        <v>248</v>
      </c>
      <c r="B863" s="134" t="s">
        <v>257</v>
      </c>
      <c r="C863" s="134">
        <v>81</v>
      </c>
      <c r="D863" s="134" t="str">
        <f t="shared" si="61"/>
        <v>CIM Motor 775pro 81</v>
      </c>
      <c r="E863" s="134">
        <v>0</v>
      </c>
      <c r="F863" s="134">
        <v>0</v>
      </c>
      <c r="G863" s="134">
        <v>0</v>
      </c>
      <c r="H863" s="134">
        <v>0</v>
      </c>
    </row>
    <row r="864" spans="1:8" ht="14.25" customHeight="1" x14ac:dyDescent="0.3">
      <c r="A864" s="134" t="s">
        <v>248</v>
      </c>
      <c r="B864" s="134" t="s">
        <v>257</v>
      </c>
      <c r="C864" s="134">
        <v>90</v>
      </c>
      <c r="D864" s="134" t="str">
        <f t="shared" si="61"/>
        <v>CIM Motor 775pro 90</v>
      </c>
      <c r="E864" s="134">
        <v>0</v>
      </c>
      <c r="F864" s="134">
        <v>0</v>
      </c>
      <c r="G864" s="134">
        <v>0</v>
      </c>
      <c r="H864" s="134">
        <v>0</v>
      </c>
    </row>
    <row r="865" spans="1:9" ht="14.25" customHeight="1" x14ac:dyDescent="0.3">
      <c r="A865" s="134" t="s">
        <v>248</v>
      </c>
      <c r="B865" s="134" t="s">
        <v>257</v>
      </c>
      <c r="C865" s="134">
        <v>100</v>
      </c>
      <c r="D865" s="134" t="str">
        <f t="shared" si="61"/>
        <v>CIM Motor 775pro 100</v>
      </c>
      <c r="E865" s="134">
        <v>0</v>
      </c>
      <c r="F865" s="134">
        <v>0</v>
      </c>
      <c r="G865" s="134">
        <v>0</v>
      </c>
      <c r="H865" s="134">
        <v>0</v>
      </c>
    </row>
    <row r="866" spans="1:9" ht="14.25" customHeight="1" x14ac:dyDescent="0.3">
      <c r="A866" s="134" t="s">
        <v>248</v>
      </c>
      <c r="B866" s="134" t="s">
        <v>7</v>
      </c>
      <c r="C866" s="134">
        <v>-3</v>
      </c>
      <c r="D866" s="134" t="str">
        <f t="shared" ref="D866:D871" si="62">A866&amp;" "&amp;B866&amp;" "&amp;C866</f>
        <v>CIM Motor Mini CIM -3</v>
      </c>
      <c r="E866" s="134">
        <v>1</v>
      </c>
      <c r="I866" s="134">
        <v>0</v>
      </c>
    </row>
    <row r="867" spans="1:9" ht="14.25" customHeight="1" x14ac:dyDescent="0.3">
      <c r="A867" s="134" t="s">
        <v>248</v>
      </c>
      <c r="B867" s="134" t="s">
        <v>7</v>
      </c>
      <c r="C867" s="134">
        <v>-4</v>
      </c>
      <c r="D867" s="134" t="str">
        <f t="shared" si="62"/>
        <v>CIM Motor Mini CIM -4</v>
      </c>
      <c r="E867" s="134">
        <v>1</v>
      </c>
      <c r="I867" s="134">
        <v>0</v>
      </c>
    </row>
    <row r="868" spans="1:9" ht="14.25" customHeight="1" x14ac:dyDescent="0.3">
      <c r="A868" s="134" t="s">
        <v>248</v>
      </c>
      <c r="B868" s="134" t="s">
        <v>7</v>
      </c>
      <c r="C868" s="134">
        <v>-5</v>
      </c>
      <c r="D868" s="134" t="str">
        <f t="shared" si="62"/>
        <v>CIM Motor Mini CIM -5</v>
      </c>
      <c r="E868" s="134">
        <v>1</v>
      </c>
      <c r="I868" s="134">
        <v>0</v>
      </c>
    </row>
    <row r="869" spans="1:9" ht="14.25" customHeight="1" x14ac:dyDescent="0.3">
      <c r="A869" s="134" t="s">
        <v>248</v>
      </c>
      <c r="B869" s="134" t="s">
        <v>7</v>
      </c>
      <c r="C869" s="134">
        <v>-7</v>
      </c>
      <c r="D869" s="134" t="str">
        <f t="shared" si="62"/>
        <v>CIM Motor Mini CIM -7</v>
      </c>
      <c r="E869" s="134">
        <v>1</v>
      </c>
      <c r="I869" s="134">
        <v>0</v>
      </c>
    </row>
    <row r="870" spans="1:9" ht="14.25" customHeight="1" x14ac:dyDescent="0.3">
      <c r="A870" s="134" t="s">
        <v>248</v>
      </c>
      <c r="B870" s="134" t="s">
        <v>7</v>
      </c>
      <c r="C870" s="134">
        <v>-9</v>
      </c>
      <c r="D870" s="134" t="str">
        <f t="shared" si="62"/>
        <v>CIM Motor Mini CIM -9</v>
      </c>
      <c r="E870" s="134">
        <v>1</v>
      </c>
      <c r="I870" s="134">
        <v>0</v>
      </c>
    </row>
    <row r="871" spans="1:9" ht="14.25" customHeight="1" x14ac:dyDescent="0.3">
      <c r="A871" s="134" t="s">
        <v>248</v>
      </c>
      <c r="B871" s="134" t="s">
        <v>7</v>
      </c>
      <c r="C871" s="134">
        <v>-10</v>
      </c>
      <c r="D871" s="134" t="str">
        <f t="shared" si="62"/>
        <v>CIM Motor Mini CIM -10</v>
      </c>
      <c r="E871" s="134">
        <v>1</v>
      </c>
      <c r="I871" s="134">
        <v>0</v>
      </c>
    </row>
    <row r="872" spans="1:9" ht="14.25" customHeight="1" x14ac:dyDescent="0.3">
      <c r="A872" s="134" t="s">
        <v>248</v>
      </c>
      <c r="B872" s="134" t="s">
        <v>7</v>
      </c>
      <c r="C872" s="134">
        <v>9</v>
      </c>
      <c r="D872" s="134" t="str">
        <f t="shared" ref="D872:D892" si="63">A872&amp;" "&amp;B872&amp;" "&amp;C872</f>
        <v>CIM Motor Mini CIM 9</v>
      </c>
      <c r="E872" s="134">
        <v>1</v>
      </c>
      <c r="I872" s="134">
        <v>0</v>
      </c>
    </row>
    <row r="873" spans="1:9" ht="14.25" customHeight="1" x14ac:dyDescent="0.3">
      <c r="A873" s="134" t="s">
        <v>248</v>
      </c>
      <c r="B873" s="134" t="s">
        <v>7</v>
      </c>
      <c r="C873" s="134">
        <v>12</v>
      </c>
      <c r="D873" s="134" t="str">
        <f t="shared" si="63"/>
        <v>CIM Motor Mini CIM 12</v>
      </c>
      <c r="E873" s="134">
        <v>1</v>
      </c>
      <c r="I873" s="134">
        <v>0</v>
      </c>
    </row>
    <row r="874" spans="1:9" ht="14.25" customHeight="1" x14ac:dyDescent="0.3">
      <c r="A874" s="134" t="s">
        <v>248</v>
      </c>
      <c r="B874" s="134" t="s">
        <v>7</v>
      </c>
      <c r="C874" s="134">
        <v>15</v>
      </c>
      <c r="D874" s="134" t="str">
        <f t="shared" si="63"/>
        <v>CIM Motor Mini CIM 15</v>
      </c>
      <c r="E874" s="134">
        <v>1</v>
      </c>
      <c r="I874" s="134">
        <v>0</v>
      </c>
    </row>
    <row r="875" spans="1:9" ht="14.25" customHeight="1" x14ac:dyDescent="0.3">
      <c r="A875" s="134" t="s">
        <v>248</v>
      </c>
      <c r="B875" s="134" t="s">
        <v>7</v>
      </c>
      <c r="C875" s="134">
        <v>16</v>
      </c>
      <c r="D875" s="134" t="str">
        <f t="shared" si="63"/>
        <v>CIM Motor Mini CIM 16</v>
      </c>
      <c r="E875" s="134">
        <v>1</v>
      </c>
      <c r="I875" s="134">
        <v>0</v>
      </c>
    </row>
    <row r="876" spans="1:9" ht="14.25" customHeight="1" x14ac:dyDescent="0.3">
      <c r="A876" s="134" t="s">
        <v>248</v>
      </c>
      <c r="B876" s="134" t="s">
        <v>7</v>
      </c>
      <c r="C876" s="134">
        <v>20</v>
      </c>
      <c r="D876" s="134" t="str">
        <f t="shared" si="63"/>
        <v>CIM Motor Mini CIM 20</v>
      </c>
      <c r="E876" s="134">
        <v>1</v>
      </c>
      <c r="I876" s="134">
        <v>0</v>
      </c>
    </row>
    <row r="877" spans="1:9" ht="14.25" customHeight="1" x14ac:dyDescent="0.3">
      <c r="A877" s="134" t="s">
        <v>248</v>
      </c>
      <c r="B877" s="134" t="s">
        <v>7</v>
      </c>
      <c r="C877" s="134">
        <v>21</v>
      </c>
      <c r="D877" s="134" t="str">
        <f t="shared" si="63"/>
        <v>CIM Motor Mini CIM 21</v>
      </c>
      <c r="E877" s="134">
        <v>0</v>
      </c>
      <c r="I877" s="134">
        <v>0</v>
      </c>
    </row>
    <row r="878" spans="1:9" ht="14.25" customHeight="1" x14ac:dyDescent="0.3">
      <c r="A878" s="134" t="s">
        <v>248</v>
      </c>
      <c r="B878" s="134" t="s">
        <v>7</v>
      </c>
      <c r="C878" s="134">
        <v>25</v>
      </c>
      <c r="D878" s="134" t="str">
        <f t="shared" si="63"/>
        <v>CIM Motor Mini CIM 25</v>
      </c>
      <c r="E878" s="134">
        <v>0</v>
      </c>
      <c r="I878" s="134">
        <v>0</v>
      </c>
    </row>
    <row r="879" spans="1:9" ht="14.25" customHeight="1" x14ac:dyDescent="0.3">
      <c r="A879" s="134" t="s">
        <v>248</v>
      </c>
      <c r="B879" s="134" t="s">
        <v>7</v>
      </c>
      <c r="C879" s="134">
        <v>27</v>
      </c>
      <c r="D879" s="134" t="str">
        <f t="shared" si="63"/>
        <v>CIM Motor Mini CIM 27</v>
      </c>
      <c r="E879" s="134">
        <v>0</v>
      </c>
      <c r="I879" s="134">
        <v>0</v>
      </c>
    </row>
    <row r="880" spans="1:9" ht="14.25" customHeight="1" x14ac:dyDescent="0.3">
      <c r="A880" s="134" t="s">
        <v>248</v>
      </c>
      <c r="B880" s="134" t="s">
        <v>7</v>
      </c>
      <c r="C880" s="134">
        <v>28</v>
      </c>
      <c r="D880" s="134" t="str">
        <f t="shared" si="63"/>
        <v>CIM Motor Mini CIM 28</v>
      </c>
      <c r="E880" s="134">
        <v>0</v>
      </c>
      <c r="I880" s="134">
        <v>0</v>
      </c>
    </row>
    <row r="881" spans="1:9" ht="14.25" customHeight="1" x14ac:dyDescent="0.3">
      <c r="A881" s="134" t="s">
        <v>248</v>
      </c>
      <c r="B881" s="134" t="s">
        <v>7</v>
      </c>
      <c r="C881" s="134">
        <v>30</v>
      </c>
      <c r="D881" s="134" t="str">
        <f t="shared" si="63"/>
        <v>CIM Motor Mini CIM 30</v>
      </c>
      <c r="E881" s="134">
        <v>0</v>
      </c>
      <c r="I881" s="134">
        <v>0</v>
      </c>
    </row>
    <row r="882" spans="1:9" ht="14.25" customHeight="1" x14ac:dyDescent="0.3">
      <c r="A882" s="134" t="s">
        <v>248</v>
      </c>
      <c r="B882" s="134" t="s">
        <v>7</v>
      </c>
      <c r="C882" s="134">
        <v>35</v>
      </c>
      <c r="D882" s="134" t="str">
        <f t="shared" si="63"/>
        <v>CIM Motor Mini CIM 35</v>
      </c>
      <c r="E882" s="134">
        <v>0</v>
      </c>
      <c r="I882" s="134">
        <v>0</v>
      </c>
    </row>
    <row r="883" spans="1:9" ht="14.25" customHeight="1" x14ac:dyDescent="0.3">
      <c r="A883" s="134" t="s">
        <v>248</v>
      </c>
      <c r="B883" s="134" t="s">
        <v>7</v>
      </c>
      <c r="C883" s="134">
        <v>36</v>
      </c>
      <c r="D883" s="134" t="str">
        <f t="shared" si="63"/>
        <v>CIM Motor Mini CIM 36</v>
      </c>
      <c r="E883" s="134">
        <v>0</v>
      </c>
      <c r="I883" s="134">
        <v>0</v>
      </c>
    </row>
    <row r="884" spans="1:9" ht="14.25" customHeight="1" x14ac:dyDescent="0.3">
      <c r="A884" s="134" t="s">
        <v>248</v>
      </c>
      <c r="B884" s="134" t="s">
        <v>7</v>
      </c>
      <c r="C884" s="134">
        <v>40</v>
      </c>
      <c r="D884" s="134" t="str">
        <f t="shared" si="63"/>
        <v>CIM Motor Mini CIM 40</v>
      </c>
      <c r="E884" s="134">
        <v>0</v>
      </c>
      <c r="I884" s="134">
        <v>0</v>
      </c>
    </row>
    <row r="885" spans="1:9" ht="14.25" customHeight="1" x14ac:dyDescent="0.3">
      <c r="A885" s="134" t="s">
        <v>248</v>
      </c>
      <c r="B885" s="134" t="s">
        <v>7</v>
      </c>
      <c r="C885" s="134">
        <v>45</v>
      </c>
      <c r="D885" s="134" t="str">
        <f t="shared" si="63"/>
        <v>CIM Motor Mini CIM 45</v>
      </c>
      <c r="E885" s="134">
        <v>0</v>
      </c>
      <c r="I885" s="134">
        <v>0</v>
      </c>
    </row>
    <row r="886" spans="1:9" ht="14.25" customHeight="1" x14ac:dyDescent="0.3">
      <c r="A886" s="134" t="s">
        <v>248</v>
      </c>
      <c r="B886" s="134" t="s">
        <v>7</v>
      </c>
      <c r="C886" s="134">
        <v>49</v>
      </c>
      <c r="D886" s="134" t="str">
        <f t="shared" si="63"/>
        <v>CIM Motor Mini CIM 49</v>
      </c>
      <c r="E886" s="134">
        <v>0</v>
      </c>
      <c r="I886" s="134">
        <v>0</v>
      </c>
    </row>
    <row r="887" spans="1:9" ht="14.25" customHeight="1" x14ac:dyDescent="0.3">
      <c r="A887" s="134" t="s">
        <v>248</v>
      </c>
      <c r="B887" s="134" t="s">
        <v>7</v>
      </c>
      <c r="C887" s="134">
        <v>50</v>
      </c>
      <c r="D887" s="134" t="str">
        <f t="shared" si="63"/>
        <v>CIM Motor Mini CIM 50</v>
      </c>
      <c r="E887" s="134">
        <v>0</v>
      </c>
      <c r="I887" s="134">
        <v>0</v>
      </c>
    </row>
    <row r="888" spans="1:9" ht="14.25" customHeight="1" x14ac:dyDescent="0.3">
      <c r="A888" s="134" t="s">
        <v>248</v>
      </c>
      <c r="B888" s="134" t="s">
        <v>7</v>
      </c>
      <c r="C888" s="134">
        <v>63</v>
      </c>
      <c r="D888" s="134" t="str">
        <f t="shared" si="63"/>
        <v>CIM Motor Mini CIM 63</v>
      </c>
      <c r="E888" s="134">
        <v>0</v>
      </c>
      <c r="I888" s="134">
        <v>0</v>
      </c>
    </row>
    <row r="889" spans="1:9" ht="14.25" customHeight="1" x14ac:dyDescent="0.3">
      <c r="A889" s="134" t="s">
        <v>248</v>
      </c>
      <c r="B889" s="134" t="s">
        <v>7</v>
      </c>
      <c r="C889" s="134">
        <v>70</v>
      </c>
      <c r="D889" s="134" t="str">
        <f t="shared" si="63"/>
        <v>CIM Motor Mini CIM 70</v>
      </c>
      <c r="E889" s="134">
        <v>0</v>
      </c>
      <c r="I889" s="134">
        <v>0</v>
      </c>
    </row>
    <row r="890" spans="1:9" ht="14.25" customHeight="1" x14ac:dyDescent="0.3">
      <c r="A890" s="134" t="s">
        <v>248</v>
      </c>
      <c r="B890" s="134" t="s">
        <v>7</v>
      </c>
      <c r="C890" s="134">
        <v>81</v>
      </c>
      <c r="D890" s="134" t="str">
        <f t="shared" si="63"/>
        <v>CIM Motor Mini CIM 81</v>
      </c>
      <c r="E890" s="134">
        <v>0</v>
      </c>
      <c r="I890" s="134">
        <v>0</v>
      </c>
    </row>
    <row r="891" spans="1:9" ht="14.25" customHeight="1" x14ac:dyDescent="0.3">
      <c r="A891" s="134" t="s">
        <v>248</v>
      </c>
      <c r="B891" s="134" t="s">
        <v>7</v>
      </c>
      <c r="C891" s="134">
        <v>90</v>
      </c>
      <c r="D891" s="134" t="str">
        <f t="shared" si="63"/>
        <v>CIM Motor Mini CIM 90</v>
      </c>
      <c r="E891" s="134">
        <v>0</v>
      </c>
      <c r="I891" s="134">
        <v>0</v>
      </c>
    </row>
    <row r="892" spans="1:9" ht="14.25" customHeight="1" x14ac:dyDescent="0.3">
      <c r="A892" s="134" t="s">
        <v>248</v>
      </c>
      <c r="B892" s="134" t="s">
        <v>7</v>
      </c>
      <c r="C892" s="134">
        <v>100</v>
      </c>
      <c r="D892" s="134" t="str">
        <f t="shared" si="63"/>
        <v>CIM Motor Mini CIM 100</v>
      </c>
      <c r="E892" s="134">
        <v>0</v>
      </c>
      <c r="I892" s="134">
        <v>0</v>
      </c>
    </row>
    <row r="893" spans="1:9" ht="14.25" customHeight="1" x14ac:dyDescent="0.3">
      <c r="A893" s="134" t="s">
        <v>248</v>
      </c>
      <c r="B893" s="134" t="s">
        <v>6</v>
      </c>
      <c r="C893" s="134">
        <v>-3</v>
      </c>
      <c r="D893" s="134" t="str">
        <f t="shared" ref="D893:D898" si="64">A893&amp;" "&amp;B893&amp;" "&amp;C893</f>
        <v>CIM Motor CIM -3</v>
      </c>
      <c r="E893" s="134">
        <v>1</v>
      </c>
      <c r="I893" s="134">
        <v>0</v>
      </c>
    </row>
    <row r="894" spans="1:9" ht="14.25" customHeight="1" x14ac:dyDescent="0.3">
      <c r="A894" s="134" t="s">
        <v>248</v>
      </c>
      <c r="B894" s="134" t="s">
        <v>6</v>
      </c>
      <c r="C894" s="134">
        <v>-4</v>
      </c>
      <c r="D894" s="134" t="str">
        <f t="shared" si="64"/>
        <v>CIM Motor CIM -4</v>
      </c>
      <c r="E894" s="134">
        <v>1</v>
      </c>
      <c r="I894" s="134">
        <v>0</v>
      </c>
    </row>
    <row r="895" spans="1:9" ht="14.25" customHeight="1" x14ac:dyDescent="0.3">
      <c r="A895" s="134" t="s">
        <v>248</v>
      </c>
      <c r="B895" s="134" t="s">
        <v>6</v>
      </c>
      <c r="C895" s="134">
        <v>-5</v>
      </c>
      <c r="D895" s="134" t="str">
        <f t="shared" si="64"/>
        <v>CIM Motor CIM -5</v>
      </c>
      <c r="E895" s="134">
        <v>1</v>
      </c>
      <c r="I895" s="134">
        <v>0</v>
      </c>
    </row>
    <row r="896" spans="1:9" ht="14.25" customHeight="1" x14ac:dyDescent="0.3">
      <c r="A896" s="134" t="s">
        <v>248</v>
      </c>
      <c r="B896" s="134" t="s">
        <v>6</v>
      </c>
      <c r="C896" s="134">
        <v>-7</v>
      </c>
      <c r="D896" s="134" t="str">
        <f t="shared" si="64"/>
        <v>CIM Motor CIM -7</v>
      </c>
      <c r="E896" s="134">
        <v>1</v>
      </c>
      <c r="I896" s="134">
        <v>0</v>
      </c>
    </row>
    <row r="897" spans="1:9" ht="14.25" customHeight="1" x14ac:dyDescent="0.3">
      <c r="A897" s="134" t="s">
        <v>248</v>
      </c>
      <c r="B897" s="134" t="s">
        <v>6</v>
      </c>
      <c r="C897" s="134">
        <v>-9</v>
      </c>
      <c r="D897" s="134" t="str">
        <f t="shared" si="64"/>
        <v>CIM Motor CIM -9</v>
      </c>
      <c r="E897" s="134">
        <v>1</v>
      </c>
      <c r="I897" s="134">
        <v>0</v>
      </c>
    </row>
    <row r="898" spans="1:9" ht="14.25" customHeight="1" x14ac:dyDescent="0.3">
      <c r="A898" s="134" t="s">
        <v>248</v>
      </c>
      <c r="B898" s="134" t="s">
        <v>6</v>
      </c>
      <c r="C898" s="134">
        <v>-10</v>
      </c>
      <c r="D898" s="134" t="str">
        <f t="shared" si="64"/>
        <v>CIM Motor CIM -10</v>
      </c>
      <c r="E898" s="134">
        <v>1</v>
      </c>
      <c r="I898" s="134">
        <v>0</v>
      </c>
    </row>
    <row r="899" spans="1:9" ht="14.25" customHeight="1" x14ac:dyDescent="0.3">
      <c r="A899" s="134" t="s">
        <v>248</v>
      </c>
      <c r="B899" s="134" t="s">
        <v>6</v>
      </c>
      <c r="C899" s="134">
        <v>9</v>
      </c>
      <c r="D899" s="134" t="str">
        <f t="shared" ref="D899:D919" si="65">A899&amp;" "&amp;B899&amp;" "&amp;C899</f>
        <v>CIM Motor CIM 9</v>
      </c>
      <c r="E899" s="134">
        <v>1</v>
      </c>
      <c r="I899" s="134">
        <v>0</v>
      </c>
    </row>
    <row r="900" spans="1:9" ht="14.25" customHeight="1" x14ac:dyDescent="0.3">
      <c r="A900" s="134" t="s">
        <v>248</v>
      </c>
      <c r="B900" s="134" t="s">
        <v>6</v>
      </c>
      <c r="C900" s="134">
        <v>12</v>
      </c>
      <c r="D900" s="134" t="str">
        <f t="shared" si="65"/>
        <v>CIM Motor CIM 12</v>
      </c>
      <c r="E900" s="134">
        <v>0</v>
      </c>
      <c r="I900" s="134">
        <v>0</v>
      </c>
    </row>
    <row r="901" spans="1:9" ht="14.25" customHeight="1" x14ac:dyDescent="0.3">
      <c r="A901" s="134" t="s">
        <v>248</v>
      </c>
      <c r="B901" s="134" t="s">
        <v>6</v>
      </c>
      <c r="C901" s="134">
        <v>15</v>
      </c>
      <c r="D901" s="134" t="str">
        <f t="shared" si="65"/>
        <v>CIM Motor CIM 15</v>
      </c>
      <c r="E901" s="134">
        <v>0</v>
      </c>
      <c r="I901" s="134">
        <v>0</v>
      </c>
    </row>
    <row r="902" spans="1:9" ht="14.25" customHeight="1" x14ac:dyDescent="0.3">
      <c r="A902" s="134" t="s">
        <v>248</v>
      </c>
      <c r="B902" s="134" t="s">
        <v>6</v>
      </c>
      <c r="C902" s="134">
        <v>16</v>
      </c>
      <c r="D902" s="134" t="str">
        <f t="shared" si="65"/>
        <v>CIM Motor CIM 16</v>
      </c>
      <c r="E902" s="134">
        <v>0</v>
      </c>
      <c r="I902" s="134">
        <v>0</v>
      </c>
    </row>
    <row r="903" spans="1:9" ht="14.25" customHeight="1" x14ac:dyDescent="0.3">
      <c r="A903" s="134" t="s">
        <v>248</v>
      </c>
      <c r="B903" s="134" t="s">
        <v>6</v>
      </c>
      <c r="C903" s="134">
        <v>20</v>
      </c>
      <c r="D903" s="134" t="str">
        <f t="shared" si="65"/>
        <v>CIM Motor CIM 20</v>
      </c>
      <c r="E903" s="134">
        <v>0</v>
      </c>
      <c r="I903" s="134">
        <v>0</v>
      </c>
    </row>
    <row r="904" spans="1:9" ht="14.25" customHeight="1" x14ac:dyDescent="0.3">
      <c r="A904" s="134" t="s">
        <v>248</v>
      </c>
      <c r="B904" s="134" t="s">
        <v>6</v>
      </c>
      <c r="C904" s="134">
        <v>21</v>
      </c>
      <c r="D904" s="134" t="str">
        <f t="shared" si="65"/>
        <v>CIM Motor CIM 21</v>
      </c>
      <c r="E904" s="134">
        <v>0</v>
      </c>
      <c r="I904" s="134">
        <v>0</v>
      </c>
    </row>
    <row r="905" spans="1:9" ht="14.25" customHeight="1" x14ac:dyDescent="0.3">
      <c r="A905" s="134" t="s">
        <v>248</v>
      </c>
      <c r="B905" s="134" t="s">
        <v>6</v>
      </c>
      <c r="C905" s="134">
        <v>25</v>
      </c>
      <c r="D905" s="134" t="str">
        <f t="shared" si="65"/>
        <v>CIM Motor CIM 25</v>
      </c>
      <c r="E905" s="134">
        <v>0</v>
      </c>
      <c r="I905" s="134">
        <v>0</v>
      </c>
    </row>
    <row r="906" spans="1:9" ht="14.25" customHeight="1" x14ac:dyDescent="0.3">
      <c r="A906" s="134" t="s">
        <v>248</v>
      </c>
      <c r="B906" s="134" t="s">
        <v>6</v>
      </c>
      <c r="C906" s="134">
        <v>27</v>
      </c>
      <c r="D906" s="134" t="str">
        <f t="shared" si="65"/>
        <v>CIM Motor CIM 27</v>
      </c>
      <c r="E906" s="134">
        <v>0</v>
      </c>
      <c r="I906" s="134">
        <v>0</v>
      </c>
    </row>
    <row r="907" spans="1:9" ht="14.25" customHeight="1" x14ac:dyDescent="0.3">
      <c r="A907" s="134" t="s">
        <v>248</v>
      </c>
      <c r="B907" s="134" t="s">
        <v>6</v>
      </c>
      <c r="C907" s="134">
        <v>28</v>
      </c>
      <c r="D907" s="134" t="str">
        <f t="shared" si="65"/>
        <v>CIM Motor CIM 28</v>
      </c>
      <c r="E907" s="134">
        <v>0</v>
      </c>
      <c r="I907" s="134">
        <v>0</v>
      </c>
    </row>
    <row r="908" spans="1:9" ht="14.25" customHeight="1" x14ac:dyDescent="0.3">
      <c r="A908" s="134" t="s">
        <v>248</v>
      </c>
      <c r="B908" s="134" t="s">
        <v>6</v>
      </c>
      <c r="C908" s="134">
        <v>30</v>
      </c>
      <c r="D908" s="134" t="str">
        <f t="shared" si="65"/>
        <v>CIM Motor CIM 30</v>
      </c>
      <c r="E908" s="134">
        <v>0</v>
      </c>
      <c r="I908" s="134">
        <v>0</v>
      </c>
    </row>
    <row r="909" spans="1:9" ht="14.25" customHeight="1" x14ac:dyDescent="0.3">
      <c r="A909" s="134" t="s">
        <v>248</v>
      </c>
      <c r="B909" s="134" t="s">
        <v>6</v>
      </c>
      <c r="C909" s="134">
        <v>35</v>
      </c>
      <c r="D909" s="134" t="str">
        <f t="shared" si="65"/>
        <v>CIM Motor CIM 35</v>
      </c>
      <c r="E909" s="134">
        <v>0</v>
      </c>
      <c r="I909" s="134">
        <v>0</v>
      </c>
    </row>
    <row r="910" spans="1:9" ht="14.25" customHeight="1" x14ac:dyDescent="0.3">
      <c r="A910" s="134" t="s">
        <v>248</v>
      </c>
      <c r="B910" s="134" t="s">
        <v>6</v>
      </c>
      <c r="C910" s="134">
        <v>36</v>
      </c>
      <c r="D910" s="134" t="str">
        <f t="shared" si="65"/>
        <v>CIM Motor CIM 36</v>
      </c>
      <c r="E910" s="134">
        <v>0</v>
      </c>
      <c r="I910" s="134">
        <v>0</v>
      </c>
    </row>
    <row r="911" spans="1:9" ht="14.25" customHeight="1" x14ac:dyDescent="0.3">
      <c r="A911" s="134" t="s">
        <v>248</v>
      </c>
      <c r="B911" s="134" t="s">
        <v>6</v>
      </c>
      <c r="C911" s="134">
        <v>40</v>
      </c>
      <c r="D911" s="134" t="str">
        <f t="shared" si="65"/>
        <v>CIM Motor CIM 40</v>
      </c>
      <c r="E911" s="134">
        <v>0</v>
      </c>
      <c r="I911" s="134">
        <v>0</v>
      </c>
    </row>
    <row r="912" spans="1:9" ht="14.25" customHeight="1" x14ac:dyDescent="0.3">
      <c r="A912" s="134" t="s">
        <v>248</v>
      </c>
      <c r="B912" s="134" t="s">
        <v>6</v>
      </c>
      <c r="C912" s="134">
        <v>45</v>
      </c>
      <c r="D912" s="134" t="str">
        <f t="shared" si="65"/>
        <v>CIM Motor CIM 45</v>
      </c>
      <c r="E912" s="134">
        <v>0</v>
      </c>
      <c r="I912" s="134">
        <v>0</v>
      </c>
    </row>
    <row r="913" spans="1:9" ht="14.25" customHeight="1" x14ac:dyDescent="0.3">
      <c r="A913" s="134" t="s">
        <v>248</v>
      </c>
      <c r="B913" s="134" t="s">
        <v>6</v>
      </c>
      <c r="C913" s="134">
        <v>49</v>
      </c>
      <c r="D913" s="134" t="str">
        <f t="shared" si="65"/>
        <v>CIM Motor CIM 49</v>
      </c>
      <c r="E913" s="134">
        <v>0</v>
      </c>
      <c r="I913" s="134">
        <v>0</v>
      </c>
    </row>
    <row r="914" spans="1:9" ht="14.25" customHeight="1" x14ac:dyDescent="0.3">
      <c r="A914" s="134" t="s">
        <v>248</v>
      </c>
      <c r="B914" s="134" t="s">
        <v>6</v>
      </c>
      <c r="C914" s="134">
        <v>50</v>
      </c>
      <c r="D914" s="134" t="str">
        <f t="shared" si="65"/>
        <v>CIM Motor CIM 50</v>
      </c>
      <c r="E914" s="134">
        <v>0</v>
      </c>
      <c r="I914" s="134">
        <v>0</v>
      </c>
    </row>
    <row r="915" spans="1:9" ht="14.25" customHeight="1" x14ac:dyDescent="0.3">
      <c r="A915" s="134" t="s">
        <v>248</v>
      </c>
      <c r="B915" s="134" t="s">
        <v>6</v>
      </c>
      <c r="C915" s="134">
        <v>63</v>
      </c>
      <c r="D915" s="134" t="str">
        <f t="shared" si="65"/>
        <v>CIM Motor CIM 63</v>
      </c>
      <c r="E915" s="134">
        <v>0</v>
      </c>
      <c r="I915" s="134">
        <v>0</v>
      </c>
    </row>
    <row r="916" spans="1:9" ht="14.25" customHeight="1" x14ac:dyDescent="0.3">
      <c r="A916" s="134" t="s">
        <v>248</v>
      </c>
      <c r="B916" s="134" t="s">
        <v>6</v>
      </c>
      <c r="C916" s="134">
        <v>70</v>
      </c>
      <c r="D916" s="134" t="str">
        <f t="shared" si="65"/>
        <v>CIM Motor CIM 70</v>
      </c>
      <c r="E916" s="134">
        <v>0</v>
      </c>
      <c r="I916" s="134">
        <v>0</v>
      </c>
    </row>
    <row r="917" spans="1:9" ht="14.25" customHeight="1" x14ac:dyDescent="0.3">
      <c r="A917" s="134" t="s">
        <v>248</v>
      </c>
      <c r="B917" s="134" t="s">
        <v>6</v>
      </c>
      <c r="C917" s="134">
        <v>81</v>
      </c>
      <c r="D917" s="134" t="str">
        <f t="shared" si="65"/>
        <v>CIM Motor CIM 81</v>
      </c>
      <c r="E917" s="134">
        <v>0</v>
      </c>
      <c r="I917" s="134">
        <v>0</v>
      </c>
    </row>
    <row r="918" spans="1:9" ht="14.25" customHeight="1" x14ac:dyDescent="0.3">
      <c r="A918" s="134" t="s">
        <v>248</v>
      </c>
      <c r="B918" s="134" t="s">
        <v>6</v>
      </c>
      <c r="C918" s="134">
        <v>90</v>
      </c>
      <c r="D918" s="134" t="str">
        <f t="shared" si="65"/>
        <v>CIM Motor CIM 90</v>
      </c>
      <c r="E918" s="134">
        <v>0</v>
      </c>
      <c r="I918" s="134">
        <v>0</v>
      </c>
    </row>
    <row r="919" spans="1:9" ht="14.25" customHeight="1" x14ac:dyDescent="0.3">
      <c r="A919" s="134" t="s">
        <v>248</v>
      </c>
      <c r="B919" s="134" t="s">
        <v>6</v>
      </c>
      <c r="C919" s="134">
        <v>100</v>
      </c>
      <c r="D919" s="134" t="str">
        <f t="shared" si="65"/>
        <v>CIM Motor CIM 100</v>
      </c>
      <c r="E919" s="134">
        <v>0</v>
      </c>
      <c r="I919" s="134">
        <v>0</v>
      </c>
    </row>
    <row r="920" spans="1:9" ht="14.25" customHeight="1" x14ac:dyDescent="0.3">
      <c r="A920" s="134" t="s">
        <v>248</v>
      </c>
      <c r="B920" s="134" t="s">
        <v>9</v>
      </c>
      <c r="C920" s="134">
        <v>-3</v>
      </c>
      <c r="D920" s="134" t="str">
        <f t="shared" ref="D920:D925" si="66">A920&amp;" "&amp;B920&amp;" "&amp;C920</f>
        <v>CIM Motor NEO -3</v>
      </c>
      <c r="E920" s="134">
        <v>1</v>
      </c>
      <c r="I920" s="134">
        <v>0</v>
      </c>
    </row>
    <row r="921" spans="1:9" ht="14.25" customHeight="1" x14ac:dyDescent="0.3">
      <c r="A921" s="134" t="s">
        <v>248</v>
      </c>
      <c r="B921" s="134" t="s">
        <v>9</v>
      </c>
      <c r="C921" s="134">
        <v>-4</v>
      </c>
      <c r="D921" s="134" t="str">
        <f t="shared" si="66"/>
        <v>CIM Motor NEO -4</v>
      </c>
      <c r="E921" s="134">
        <v>1</v>
      </c>
      <c r="I921" s="134">
        <v>0</v>
      </c>
    </row>
    <row r="922" spans="1:9" ht="14.25" customHeight="1" x14ac:dyDescent="0.3">
      <c r="A922" s="134" t="s">
        <v>248</v>
      </c>
      <c r="B922" s="134" t="s">
        <v>9</v>
      </c>
      <c r="C922" s="134">
        <v>-5</v>
      </c>
      <c r="D922" s="134" t="str">
        <f t="shared" si="66"/>
        <v>CIM Motor NEO -5</v>
      </c>
      <c r="E922" s="134">
        <v>1</v>
      </c>
      <c r="I922" s="134">
        <v>0</v>
      </c>
    </row>
    <row r="923" spans="1:9" ht="14.25" customHeight="1" x14ac:dyDescent="0.3">
      <c r="A923" s="134" t="s">
        <v>248</v>
      </c>
      <c r="B923" s="134" t="s">
        <v>9</v>
      </c>
      <c r="C923" s="134">
        <v>-7</v>
      </c>
      <c r="D923" s="134" t="str">
        <f t="shared" si="66"/>
        <v>CIM Motor NEO -7</v>
      </c>
      <c r="E923" s="134">
        <v>1</v>
      </c>
      <c r="I923" s="134">
        <v>0</v>
      </c>
    </row>
    <row r="924" spans="1:9" ht="14.25" customHeight="1" x14ac:dyDescent="0.3">
      <c r="A924" s="134" t="s">
        <v>248</v>
      </c>
      <c r="B924" s="134" t="s">
        <v>9</v>
      </c>
      <c r="C924" s="134">
        <v>-9</v>
      </c>
      <c r="D924" s="134" t="str">
        <f t="shared" si="66"/>
        <v>CIM Motor NEO -9</v>
      </c>
      <c r="E924" s="134">
        <v>1</v>
      </c>
      <c r="I924" s="134">
        <v>0</v>
      </c>
    </row>
    <row r="925" spans="1:9" ht="14.25" customHeight="1" x14ac:dyDescent="0.3">
      <c r="A925" s="134" t="s">
        <v>248</v>
      </c>
      <c r="B925" s="134" t="s">
        <v>9</v>
      </c>
      <c r="C925" s="134">
        <v>-10</v>
      </c>
      <c r="D925" s="134" t="str">
        <f t="shared" si="66"/>
        <v>CIM Motor NEO -10</v>
      </c>
      <c r="E925" s="134">
        <v>1</v>
      </c>
      <c r="I925" s="134">
        <v>0</v>
      </c>
    </row>
    <row r="926" spans="1:9" ht="14.25" customHeight="1" x14ac:dyDescent="0.3">
      <c r="A926" s="134" t="s">
        <v>248</v>
      </c>
      <c r="B926" s="134" t="s">
        <v>9</v>
      </c>
      <c r="C926" s="134">
        <v>9</v>
      </c>
      <c r="D926" s="134" t="str">
        <f t="shared" ref="D926:D946" si="67">A926&amp;" "&amp;B926&amp;" "&amp;C926</f>
        <v>CIM Motor NEO 9</v>
      </c>
      <c r="E926" s="134">
        <v>0</v>
      </c>
      <c r="I926" s="134">
        <v>0</v>
      </c>
    </row>
    <row r="927" spans="1:9" ht="14.25" customHeight="1" x14ac:dyDescent="0.3">
      <c r="A927" s="134" t="s">
        <v>248</v>
      </c>
      <c r="B927" s="134" t="s">
        <v>9</v>
      </c>
      <c r="C927" s="134">
        <v>12</v>
      </c>
      <c r="D927" s="134" t="str">
        <f t="shared" si="67"/>
        <v>CIM Motor NEO 12</v>
      </c>
      <c r="E927" s="134">
        <v>0</v>
      </c>
      <c r="I927" s="134">
        <v>0</v>
      </c>
    </row>
    <row r="928" spans="1:9" ht="14.25" customHeight="1" x14ac:dyDescent="0.3">
      <c r="A928" s="134" t="s">
        <v>248</v>
      </c>
      <c r="B928" s="134" t="s">
        <v>9</v>
      </c>
      <c r="C928" s="134">
        <v>15</v>
      </c>
      <c r="D928" s="134" t="str">
        <f t="shared" si="67"/>
        <v>CIM Motor NEO 15</v>
      </c>
      <c r="E928" s="134">
        <v>0</v>
      </c>
      <c r="I928" s="134">
        <v>0</v>
      </c>
    </row>
    <row r="929" spans="1:9" ht="14.25" customHeight="1" x14ac:dyDescent="0.3">
      <c r="A929" s="134" t="s">
        <v>248</v>
      </c>
      <c r="B929" s="134" t="s">
        <v>9</v>
      </c>
      <c r="C929" s="134">
        <v>16</v>
      </c>
      <c r="D929" s="134" t="str">
        <f t="shared" si="67"/>
        <v>CIM Motor NEO 16</v>
      </c>
      <c r="E929" s="134">
        <v>0</v>
      </c>
      <c r="I929" s="134">
        <v>0</v>
      </c>
    </row>
    <row r="930" spans="1:9" ht="14.25" customHeight="1" x14ac:dyDescent="0.3">
      <c r="A930" s="134" t="s">
        <v>248</v>
      </c>
      <c r="B930" s="134" t="s">
        <v>9</v>
      </c>
      <c r="C930" s="134">
        <v>20</v>
      </c>
      <c r="D930" s="134" t="str">
        <f t="shared" si="67"/>
        <v>CIM Motor NEO 20</v>
      </c>
      <c r="E930" s="134">
        <v>0</v>
      </c>
      <c r="I930" s="134">
        <v>0</v>
      </c>
    </row>
    <row r="931" spans="1:9" ht="14.25" customHeight="1" x14ac:dyDescent="0.3">
      <c r="A931" s="134" t="s">
        <v>248</v>
      </c>
      <c r="B931" s="134" t="s">
        <v>9</v>
      </c>
      <c r="C931" s="134">
        <v>21</v>
      </c>
      <c r="D931" s="134" t="str">
        <f t="shared" si="67"/>
        <v>CIM Motor NEO 21</v>
      </c>
      <c r="E931" s="134">
        <v>0</v>
      </c>
      <c r="I931" s="134">
        <v>0</v>
      </c>
    </row>
    <row r="932" spans="1:9" ht="14.25" customHeight="1" x14ac:dyDescent="0.3">
      <c r="A932" s="134" t="s">
        <v>248</v>
      </c>
      <c r="B932" s="134" t="s">
        <v>9</v>
      </c>
      <c r="C932" s="134">
        <v>25</v>
      </c>
      <c r="D932" s="134" t="str">
        <f t="shared" si="67"/>
        <v>CIM Motor NEO 25</v>
      </c>
      <c r="E932" s="134">
        <v>0</v>
      </c>
      <c r="I932" s="134">
        <v>0</v>
      </c>
    </row>
    <row r="933" spans="1:9" ht="14.25" customHeight="1" x14ac:dyDescent="0.3">
      <c r="A933" s="134" t="s">
        <v>248</v>
      </c>
      <c r="B933" s="134" t="s">
        <v>9</v>
      </c>
      <c r="C933" s="134">
        <v>27</v>
      </c>
      <c r="D933" s="134" t="str">
        <f t="shared" si="67"/>
        <v>CIM Motor NEO 27</v>
      </c>
      <c r="E933" s="134">
        <v>0</v>
      </c>
      <c r="I933" s="134">
        <v>0</v>
      </c>
    </row>
    <row r="934" spans="1:9" ht="14.25" customHeight="1" x14ac:dyDescent="0.3">
      <c r="A934" s="134" t="s">
        <v>248</v>
      </c>
      <c r="B934" s="134" t="s">
        <v>9</v>
      </c>
      <c r="C934" s="134">
        <v>28</v>
      </c>
      <c r="D934" s="134" t="str">
        <f t="shared" si="67"/>
        <v>CIM Motor NEO 28</v>
      </c>
      <c r="E934" s="134">
        <v>0</v>
      </c>
      <c r="I934" s="134">
        <v>0</v>
      </c>
    </row>
    <row r="935" spans="1:9" ht="14.25" customHeight="1" x14ac:dyDescent="0.3">
      <c r="A935" s="134" t="s">
        <v>248</v>
      </c>
      <c r="B935" s="134" t="s">
        <v>9</v>
      </c>
      <c r="C935" s="134">
        <v>30</v>
      </c>
      <c r="D935" s="134" t="str">
        <f t="shared" si="67"/>
        <v>CIM Motor NEO 30</v>
      </c>
      <c r="E935" s="134">
        <v>0</v>
      </c>
      <c r="I935" s="134">
        <v>0</v>
      </c>
    </row>
    <row r="936" spans="1:9" ht="14.25" customHeight="1" x14ac:dyDescent="0.3">
      <c r="A936" s="134" t="s">
        <v>248</v>
      </c>
      <c r="B936" s="134" t="s">
        <v>9</v>
      </c>
      <c r="C936" s="134">
        <v>35</v>
      </c>
      <c r="D936" s="134" t="str">
        <f t="shared" si="67"/>
        <v>CIM Motor NEO 35</v>
      </c>
      <c r="E936" s="134">
        <v>0</v>
      </c>
      <c r="I936" s="134">
        <v>0</v>
      </c>
    </row>
    <row r="937" spans="1:9" ht="14.25" customHeight="1" x14ac:dyDescent="0.3">
      <c r="A937" s="134" t="s">
        <v>248</v>
      </c>
      <c r="B937" s="134" t="s">
        <v>9</v>
      </c>
      <c r="C937" s="134">
        <v>36</v>
      </c>
      <c r="D937" s="134" t="str">
        <f t="shared" si="67"/>
        <v>CIM Motor NEO 36</v>
      </c>
      <c r="E937" s="134">
        <v>0</v>
      </c>
      <c r="I937" s="134">
        <v>0</v>
      </c>
    </row>
    <row r="938" spans="1:9" ht="14.25" customHeight="1" x14ac:dyDescent="0.3">
      <c r="A938" s="134" t="s">
        <v>248</v>
      </c>
      <c r="B938" s="134" t="s">
        <v>9</v>
      </c>
      <c r="C938" s="134">
        <v>40</v>
      </c>
      <c r="D938" s="134" t="str">
        <f t="shared" si="67"/>
        <v>CIM Motor NEO 40</v>
      </c>
      <c r="E938" s="134">
        <v>0</v>
      </c>
      <c r="I938" s="134">
        <v>0</v>
      </c>
    </row>
    <row r="939" spans="1:9" ht="14.25" customHeight="1" x14ac:dyDescent="0.3">
      <c r="A939" s="134" t="s">
        <v>248</v>
      </c>
      <c r="B939" s="134" t="s">
        <v>9</v>
      </c>
      <c r="C939" s="134">
        <v>45</v>
      </c>
      <c r="D939" s="134" t="str">
        <f t="shared" si="67"/>
        <v>CIM Motor NEO 45</v>
      </c>
      <c r="E939" s="134">
        <v>0</v>
      </c>
      <c r="I939" s="134">
        <v>0</v>
      </c>
    </row>
    <row r="940" spans="1:9" ht="14.25" customHeight="1" x14ac:dyDescent="0.3">
      <c r="A940" s="134" t="s">
        <v>248</v>
      </c>
      <c r="B940" s="134" t="s">
        <v>9</v>
      </c>
      <c r="C940" s="134">
        <v>49</v>
      </c>
      <c r="D940" s="134" t="str">
        <f t="shared" si="67"/>
        <v>CIM Motor NEO 49</v>
      </c>
      <c r="E940" s="134">
        <v>0</v>
      </c>
      <c r="I940" s="134">
        <v>0</v>
      </c>
    </row>
    <row r="941" spans="1:9" ht="14.25" customHeight="1" x14ac:dyDescent="0.3">
      <c r="A941" s="134" t="s">
        <v>248</v>
      </c>
      <c r="B941" s="134" t="s">
        <v>9</v>
      </c>
      <c r="C941" s="134">
        <v>50</v>
      </c>
      <c r="D941" s="134" t="str">
        <f t="shared" si="67"/>
        <v>CIM Motor NEO 50</v>
      </c>
      <c r="E941" s="134">
        <v>0</v>
      </c>
      <c r="I941" s="134">
        <v>0</v>
      </c>
    </row>
    <row r="942" spans="1:9" ht="14.25" customHeight="1" x14ac:dyDescent="0.3">
      <c r="A942" s="134" t="s">
        <v>248</v>
      </c>
      <c r="B942" s="134" t="s">
        <v>9</v>
      </c>
      <c r="C942" s="134">
        <v>63</v>
      </c>
      <c r="D942" s="134" t="str">
        <f t="shared" si="67"/>
        <v>CIM Motor NEO 63</v>
      </c>
      <c r="E942" s="134">
        <v>0</v>
      </c>
      <c r="I942" s="134">
        <v>0</v>
      </c>
    </row>
    <row r="943" spans="1:9" ht="14.25" customHeight="1" x14ac:dyDescent="0.3">
      <c r="A943" s="134" t="s">
        <v>248</v>
      </c>
      <c r="B943" s="134" t="s">
        <v>9</v>
      </c>
      <c r="C943" s="134">
        <v>70</v>
      </c>
      <c r="D943" s="134" t="str">
        <f t="shared" si="67"/>
        <v>CIM Motor NEO 70</v>
      </c>
      <c r="E943" s="134">
        <v>0</v>
      </c>
      <c r="I943" s="134">
        <v>0</v>
      </c>
    </row>
    <row r="944" spans="1:9" ht="14.25" customHeight="1" x14ac:dyDescent="0.3">
      <c r="A944" s="134" t="s">
        <v>248</v>
      </c>
      <c r="B944" s="134" t="s">
        <v>9</v>
      </c>
      <c r="C944" s="134">
        <v>81</v>
      </c>
      <c r="D944" s="134" t="str">
        <f t="shared" si="67"/>
        <v>CIM Motor NEO 81</v>
      </c>
      <c r="E944" s="134">
        <v>0</v>
      </c>
      <c r="I944" s="134">
        <v>0</v>
      </c>
    </row>
    <row r="945" spans="1:9" ht="14.25" customHeight="1" x14ac:dyDescent="0.3">
      <c r="A945" s="134" t="s">
        <v>248</v>
      </c>
      <c r="B945" s="134" t="s">
        <v>9</v>
      </c>
      <c r="C945" s="134">
        <v>90</v>
      </c>
      <c r="D945" s="134" t="str">
        <f t="shared" si="67"/>
        <v>CIM Motor NEO 90</v>
      </c>
      <c r="E945" s="134">
        <v>0</v>
      </c>
      <c r="I945" s="134">
        <v>0</v>
      </c>
    </row>
    <row r="946" spans="1:9" ht="14.25" customHeight="1" x14ac:dyDescent="0.3">
      <c r="A946" s="134" t="s">
        <v>248</v>
      </c>
      <c r="B946" s="134" t="s">
        <v>9</v>
      </c>
      <c r="C946" s="134">
        <v>100</v>
      </c>
      <c r="D946" s="134" t="str">
        <f t="shared" si="67"/>
        <v>CIM Motor NEO 100</v>
      </c>
      <c r="E946" s="134">
        <v>0</v>
      </c>
      <c r="I946" s="134">
        <v>0</v>
      </c>
    </row>
    <row r="947" spans="1:9" ht="14.25" customHeight="1" x14ac:dyDescent="0.3">
      <c r="A947" s="134" t="s">
        <v>248</v>
      </c>
      <c r="B947" s="134" t="s">
        <v>337</v>
      </c>
      <c r="C947" s="134">
        <v>-3</v>
      </c>
      <c r="D947" s="134" t="str">
        <f t="shared" ref="D947:D952" si="68">A947&amp;" "&amp;B947&amp;" "&amp;C947</f>
        <v>CIM Motor Falcon 500 -3</v>
      </c>
      <c r="E947" s="134">
        <v>1</v>
      </c>
      <c r="I947" s="134">
        <v>0</v>
      </c>
    </row>
    <row r="948" spans="1:9" ht="14.25" customHeight="1" x14ac:dyDescent="0.3">
      <c r="A948" s="134" t="s">
        <v>248</v>
      </c>
      <c r="B948" s="134" t="s">
        <v>337</v>
      </c>
      <c r="C948" s="134">
        <v>-4</v>
      </c>
      <c r="D948" s="134" t="str">
        <f t="shared" si="68"/>
        <v>CIM Motor Falcon 500 -4</v>
      </c>
      <c r="E948" s="134">
        <v>1</v>
      </c>
      <c r="I948" s="134">
        <v>0</v>
      </c>
    </row>
    <row r="949" spans="1:9" ht="14.25" customHeight="1" x14ac:dyDescent="0.3">
      <c r="A949" s="134" t="s">
        <v>248</v>
      </c>
      <c r="B949" s="134" t="s">
        <v>337</v>
      </c>
      <c r="C949" s="134">
        <v>-5</v>
      </c>
      <c r="D949" s="134" t="str">
        <f t="shared" si="68"/>
        <v>CIM Motor Falcon 500 -5</v>
      </c>
      <c r="E949" s="134">
        <v>1</v>
      </c>
      <c r="I949" s="134">
        <v>0</v>
      </c>
    </row>
    <row r="950" spans="1:9" ht="14.25" customHeight="1" x14ac:dyDescent="0.3">
      <c r="A950" s="134" t="s">
        <v>248</v>
      </c>
      <c r="B950" s="134" t="s">
        <v>337</v>
      </c>
      <c r="C950" s="134">
        <v>-7</v>
      </c>
      <c r="D950" s="134" t="str">
        <f t="shared" si="68"/>
        <v>CIM Motor Falcon 500 -7</v>
      </c>
      <c r="E950" s="134">
        <v>1</v>
      </c>
      <c r="I950" s="134">
        <v>0</v>
      </c>
    </row>
    <row r="951" spans="1:9" ht="14.25" customHeight="1" x14ac:dyDescent="0.3">
      <c r="A951" s="134" t="s">
        <v>248</v>
      </c>
      <c r="B951" s="134" t="s">
        <v>337</v>
      </c>
      <c r="C951" s="134">
        <v>-9</v>
      </c>
      <c r="D951" s="134" t="str">
        <f t="shared" si="68"/>
        <v>CIM Motor Falcon 500 -9</v>
      </c>
      <c r="E951" s="134">
        <v>1</v>
      </c>
      <c r="I951" s="134">
        <v>0</v>
      </c>
    </row>
    <row r="952" spans="1:9" ht="14.25" customHeight="1" x14ac:dyDescent="0.3">
      <c r="A952" s="134" t="s">
        <v>248</v>
      </c>
      <c r="B952" s="134" t="s">
        <v>337</v>
      </c>
      <c r="C952" s="134">
        <v>-10</v>
      </c>
      <c r="D952" s="134" t="str">
        <f t="shared" si="68"/>
        <v>CIM Motor Falcon 500 -10</v>
      </c>
      <c r="E952" s="134">
        <v>1</v>
      </c>
      <c r="I952" s="134">
        <v>0</v>
      </c>
    </row>
    <row r="953" spans="1:9" ht="14.25" customHeight="1" x14ac:dyDescent="0.3">
      <c r="A953" s="134" t="s">
        <v>248</v>
      </c>
      <c r="B953" s="134" t="s">
        <v>337</v>
      </c>
      <c r="C953" s="134">
        <v>9</v>
      </c>
      <c r="D953" s="134" t="str">
        <f t="shared" ref="D953:D973" si="69">A953&amp;" "&amp;B953&amp;" "&amp;C953</f>
        <v>CIM Motor Falcon 500 9</v>
      </c>
      <c r="E953" s="134">
        <v>0</v>
      </c>
      <c r="I953" s="134">
        <v>0</v>
      </c>
    </row>
    <row r="954" spans="1:9" ht="14.25" customHeight="1" x14ac:dyDescent="0.3">
      <c r="A954" s="134" t="s">
        <v>248</v>
      </c>
      <c r="B954" s="134" t="s">
        <v>337</v>
      </c>
      <c r="C954" s="134">
        <v>12</v>
      </c>
      <c r="D954" s="134" t="str">
        <f t="shared" si="69"/>
        <v>CIM Motor Falcon 500 12</v>
      </c>
      <c r="E954" s="134">
        <v>0</v>
      </c>
      <c r="I954" s="134">
        <v>0</v>
      </c>
    </row>
    <row r="955" spans="1:9" ht="14.25" customHeight="1" x14ac:dyDescent="0.3">
      <c r="A955" s="134" t="s">
        <v>248</v>
      </c>
      <c r="B955" s="134" t="s">
        <v>337</v>
      </c>
      <c r="C955" s="134">
        <v>15</v>
      </c>
      <c r="D955" s="134" t="str">
        <f t="shared" si="69"/>
        <v>CIM Motor Falcon 500 15</v>
      </c>
      <c r="E955" s="134">
        <v>0</v>
      </c>
      <c r="I955" s="134">
        <v>0</v>
      </c>
    </row>
    <row r="956" spans="1:9" ht="14.25" customHeight="1" x14ac:dyDescent="0.3">
      <c r="A956" s="134" t="s">
        <v>248</v>
      </c>
      <c r="B956" s="134" t="s">
        <v>337</v>
      </c>
      <c r="C956" s="134">
        <v>16</v>
      </c>
      <c r="D956" s="134" t="str">
        <f t="shared" si="69"/>
        <v>CIM Motor Falcon 500 16</v>
      </c>
      <c r="E956" s="134">
        <v>0</v>
      </c>
      <c r="I956" s="134">
        <v>0</v>
      </c>
    </row>
    <row r="957" spans="1:9" ht="14.25" customHeight="1" x14ac:dyDescent="0.3">
      <c r="A957" s="134" t="s">
        <v>248</v>
      </c>
      <c r="B957" s="134" t="s">
        <v>337</v>
      </c>
      <c r="C957" s="134">
        <v>20</v>
      </c>
      <c r="D957" s="134" t="str">
        <f t="shared" si="69"/>
        <v>CIM Motor Falcon 500 20</v>
      </c>
      <c r="E957" s="134">
        <v>0</v>
      </c>
      <c r="I957" s="134">
        <v>0</v>
      </c>
    </row>
    <row r="958" spans="1:9" ht="14.25" customHeight="1" x14ac:dyDescent="0.3">
      <c r="A958" s="134" t="s">
        <v>248</v>
      </c>
      <c r="B958" s="134" t="s">
        <v>337</v>
      </c>
      <c r="C958" s="134">
        <v>21</v>
      </c>
      <c r="D958" s="134" t="str">
        <f t="shared" si="69"/>
        <v>CIM Motor Falcon 500 21</v>
      </c>
      <c r="E958" s="134">
        <v>0</v>
      </c>
      <c r="I958" s="134">
        <v>0</v>
      </c>
    </row>
    <row r="959" spans="1:9" ht="14.25" customHeight="1" x14ac:dyDescent="0.3">
      <c r="A959" s="134" t="s">
        <v>248</v>
      </c>
      <c r="B959" s="134" t="s">
        <v>337</v>
      </c>
      <c r="C959" s="134">
        <v>25</v>
      </c>
      <c r="D959" s="134" t="str">
        <f t="shared" si="69"/>
        <v>CIM Motor Falcon 500 25</v>
      </c>
      <c r="E959" s="134">
        <v>0</v>
      </c>
      <c r="I959" s="134">
        <v>0</v>
      </c>
    </row>
    <row r="960" spans="1:9" ht="14.25" customHeight="1" x14ac:dyDescent="0.3">
      <c r="A960" s="134" t="s">
        <v>248</v>
      </c>
      <c r="B960" s="134" t="s">
        <v>337</v>
      </c>
      <c r="C960" s="134">
        <v>27</v>
      </c>
      <c r="D960" s="134" t="str">
        <f t="shared" si="69"/>
        <v>CIM Motor Falcon 500 27</v>
      </c>
      <c r="E960" s="134">
        <v>0</v>
      </c>
      <c r="I960" s="134">
        <v>0</v>
      </c>
    </row>
    <row r="961" spans="1:9" ht="14.25" customHeight="1" x14ac:dyDescent="0.3">
      <c r="A961" s="134" t="s">
        <v>248</v>
      </c>
      <c r="B961" s="134" t="s">
        <v>337</v>
      </c>
      <c r="C961" s="134">
        <v>28</v>
      </c>
      <c r="D961" s="134" t="str">
        <f t="shared" si="69"/>
        <v>CIM Motor Falcon 500 28</v>
      </c>
      <c r="E961" s="134">
        <v>0</v>
      </c>
      <c r="I961" s="134">
        <v>0</v>
      </c>
    </row>
    <row r="962" spans="1:9" ht="14.25" customHeight="1" x14ac:dyDescent="0.3">
      <c r="A962" s="134" t="s">
        <v>248</v>
      </c>
      <c r="B962" s="134" t="s">
        <v>337</v>
      </c>
      <c r="C962" s="134">
        <v>30</v>
      </c>
      <c r="D962" s="134" t="str">
        <f t="shared" si="69"/>
        <v>CIM Motor Falcon 500 30</v>
      </c>
      <c r="E962" s="134">
        <v>0</v>
      </c>
      <c r="I962" s="134">
        <v>0</v>
      </c>
    </row>
    <row r="963" spans="1:9" ht="14.25" customHeight="1" x14ac:dyDescent="0.3">
      <c r="A963" s="134" t="s">
        <v>248</v>
      </c>
      <c r="B963" s="134" t="s">
        <v>337</v>
      </c>
      <c r="C963" s="134">
        <v>35</v>
      </c>
      <c r="D963" s="134" t="str">
        <f t="shared" si="69"/>
        <v>CIM Motor Falcon 500 35</v>
      </c>
      <c r="E963" s="134">
        <v>0</v>
      </c>
      <c r="I963" s="134">
        <v>0</v>
      </c>
    </row>
    <row r="964" spans="1:9" ht="14.25" customHeight="1" x14ac:dyDescent="0.3">
      <c r="A964" s="134" t="s">
        <v>248</v>
      </c>
      <c r="B964" s="134" t="s">
        <v>337</v>
      </c>
      <c r="C964" s="134">
        <v>36</v>
      </c>
      <c r="D964" s="134" t="str">
        <f t="shared" si="69"/>
        <v>CIM Motor Falcon 500 36</v>
      </c>
      <c r="E964" s="134">
        <v>0</v>
      </c>
      <c r="I964" s="134">
        <v>0</v>
      </c>
    </row>
    <row r="965" spans="1:9" ht="14.25" customHeight="1" x14ac:dyDescent="0.3">
      <c r="A965" s="134" t="s">
        <v>248</v>
      </c>
      <c r="B965" s="134" t="s">
        <v>337</v>
      </c>
      <c r="C965" s="134">
        <v>40</v>
      </c>
      <c r="D965" s="134" t="str">
        <f t="shared" si="69"/>
        <v>CIM Motor Falcon 500 40</v>
      </c>
      <c r="E965" s="134">
        <v>0</v>
      </c>
      <c r="I965" s="134">
        <v>0</v>
      </c>
    </row>
    <row r="966" spans="1:9" ht="14.25" customHeight="1" x14ac:dyDescent="0.3">
      <c r="A966" s="134" t="s">
        <v>248</v>
      </c>
      <c r="B966" s="134" t="s">
        <v>337</v>
      </c>
      <c r="C966" s="134">
        <v>45</v>
      </c>
      <c r="D966" s="134" t="str">
        <f t="shared" si="69"/>
        <v>CIM Motor Falcon 500 45</v>
      </c>
      <c r="E966" s="134">
        <v>0</v>
      </c>
      <c r="I966" s="134">
        <v>0</v>
      </c>
    </row>
    <row r="967" spans="1:9" ht="14.25" customHeight="1" x14ac:dyDescent="0.3">
      <c r="A967" s="134" t="s">
        <v>248</v>
      </c>
      <c r="B967" s="134" t="s">
        <v>337</v>
      </c>
      <c r="C967" s="134">
        <v>49</v>
      </c>
      <c r="D967" s="134" t="str">
        <f t="shared" si="69"/>
        <v>CIM Motor Falcon 500 49</v>
      </c>
      <c r="E967" s="134">
        <v>0</v>
      </c>
      <c r="I967" s="134">
        <v>0</v>
      </c>
    </row>
    <row r="968" spans="1:9" ht="14.25" customHeight="1" x14ac:dyDescent="0.3">
      <c r="A968" s="134" t="s">
        <v>248</v>
      </c>
      <c r="B968" s="134" t="s">
        <v>337</v>
      </c>
      <c r="C968" s="134">
        <v>50</v>
      </c>
      <c r="D968" s="134" t="str">
        <f t="shared" si="69"/>
        <v>CIM Motor Falcon 500 50</v>
      </c>
      <c r="E968" s="134">
        <v>0</v>
      </c>
      <c r="I968" s="134">
        <v>0</v>
      </c>
    </row>
    <row r="969" spans="1:9" ht="14.25" customHeight="1" x14ac:dyDescent="0.3">
      <c r="A969" s="134" t="s">
        <v>248</v>
      </c>
      <c r="B969" s="134" t="s">
        <v>337</v>
      </c>
      <c r="C969" s="134">
        <v>63</v>
      </c>
      <c r="D969" s="134" t="str">
        <f t="shared" si="69"/>
        <v>CIM Motor Falcon 500 63</v>
      </c>
      <c r="E969" s="134">
        <v>0</v>
      </c>
      <c r="I969" s="134">
        <v>0</v>
      </c>
    </row>
    <row r="970" spans="1:9" ht="14.25" customHeight="1" x14ac:dyDescent="0.3">
      <c r="A970" s="134" t="s">
        <v>248</v>
      </c>
      <c r="B970" s="134" t="s">
        <v>337</v>
      </c>
      <c r="C970" s="134">
        <v>70</v>
      </c>
      <c r="D970" s="134" t="str">
        <f t="shared" si="69"/>
        <v>CIM Motor Falcon 500 70</v>
      </c>
      <c r="E970" s="134">
        <v>0</v>
      </c>
      <c r="I970" s="134">
        <v>0</v>
      </c>
    </row>
    <row r="971" spans="1:9" ht="14.25" customHeight="1" x14ac:dyDescent="0.3">
      <c r="A971" s="134" t="s">
        <v>248</v>
      </c>
      <c r="B971" s="134" t="s">
        <v>337</v>
      </c>
      <c r="C971" s="134">
        <v>81</v>
      </c>
      <c r="D971" s="134" t="str">
        <f t="shared" si="69"/>
        <v>CIM Motor Falcon 500 81</v>
      </c>
      <c r="E971" s="134">
        <v>0</v>
      </c>
      <c r="I971" s="134">
        <v>0</v>
      </c>
    </row>
    <row r="972" spans="1:9" ht="14.25" customHeight="1" x14ac:dyDescent="0.3">
      <c r="A972" s="134" t="s">
        <v>248</v>
      </c>
      <c r="B972" s="134" t="s">
        <v>337</v>
      </c>
      <c r="C972" s="134">
        <v>90</v>
      </c>
      <c r="D972" s="134" t="str">
        <f t="shared" si="69"/>
        <v>CIM Motor Falcon 500 90</v>
      </c>
      <c r="E972" s="134">
        <v>0</v>
      </c>
      <c r="I972" s="134">
        <v>0</v>
      </c>
    </row>
    <row r="973" spans="1:9" ht="14.25" customHeight="1" x14ac:dyDescent="0.3">
      <c r="A973" s="134" t="s">
        <v>248</v>
      </c>
      <c r="B973" s="134" t="s">
        <v>337</v>
      </c>
      <c r="C973" s="134">
        <v>100</v>
      </c>
      <c r="D973" s="134" t="str">
        <f t="shared" si="69"/>
        <v>CIM Motor Falcon 500 100</v>
      </c>
      <c r="E973" s="134">
        <v>0</v>
      </c>
      <c r="I973" s="134">
        <v>0</v>
      </c>
    </row>
    <row r="974" spans="1:9" ht="14.25" customHeight="1" x14ac:dyDescent="0.3">
      <c r="A974" s="134" t="s">
        <v>251</v>
      </c>
      <c r="B974" s="134" t="s">
        <v>11</v>
      </c>
      <c r="C974" s="134">
        <v>-3</v>
      </c>
      <c r="D974" s="134" t="str">
        <f t="shared" ref="D974:D979" si="70">A974&amp;" "&amp;B974&amp;" "&amp;C974</f>
        <v>Female AM 9015 -3</v>
      </c>
      <c r="E974" s="134">
        <v>1</v>
      </c>
    </row>
    <row r="975" spans="1:9" ht="14.25" customHeight="1" x14ac:dyDescent="0.3">
      <c r="A975" s="134" t="s">
        <v>251</v>
      </c>
      <c r="B975" s="134" t="s">
        <v>11</v>
      </c>
      <c r="C975" s="134">
        <v>-4</v>
      </c>
      <c r="D975" s="134" t="str">
        <f t="shared" si="70"/>
        <v>Female AM 9015 -4</v>
      </c>
      <c r="E975" s="134">
        <v>1</v>
      </c>
    </row>
    <row r="976" spans="1:9" ht="14.25" customHeight="1" x14ac:dyDescent="0.3">
      <c r="A976" s="134" t="s">
        <v>251</v>
      </c>
      <c r="B976" s="134" t="s">
        <v>11</v>
      </c>
      <c r="C976" s="134">
        <v>-5</v>
      </c>
      <c r="D976" s="134" t="str">
        <f t="shared" si="70"/>
        <v>Female AM 9015 -5</v>
      </c>
      <c r="E976" s="134">
        <v>1</v>
      </c>
    </row>
    <row r="977" spans="1:5" ht="14.25" customHeight="1" x14ac:dyDescent="0.3">
      <c r="A977" s="134" t="s">
        <v>251</v>
      </c>
      <c r="B977" s="134" t="s">
        <v>11</v>
      </c>
      <c r="C977" s="134">
        <v>-7</v>
      </c>
      <c r="D977" s="134" t="str">
        <f t="shared" si="70"/>
        <v>Female AM 9015 -7</v>
      </c>
      <c r="E977" s="134">
        <v>1</v>
      </c>
    </row>
    <row r="978" spans="1:5" ht="14.25" customHeight="1" x14ac:dyDescent="0.3">
      <c r="A978" s="134" t="s">
        <v>251</v>
      </c>
      <c r="B978" s="134" t="s">
        <v>11</v>
      </c>
      <c r="C978" s="134">
        <v>-9</v>
      </c>
      <c r="D978" s="134" t="str">
        <f t="shared" si="70"/>
        <v>Female AM 9015 -9</v>
      </c>
      <c r="E978" s="134">
        <v>1</v>
      </c>
    </row>
    <row r="979" spans="1:5" ht="14.25" customHeight="1" x14ac:dyDescent="0.3">
      <c r="A979" s="134" t="s">
        <v>251</v>
      </c>
      <c r="B979" s="134" t="s">
        <v>11</v>
      </c>
      <c r="C979" s="134">
        <v>-10</v>
      </c>
      <c r="D979" s="134" t="str">
        <f t="shared" si="70"/>
        <v>Female AM 9015 -10</v>
      </c>
      <c r="E979" s="134">
        <v>1</v>
      </c>
    </row>
    <row r="980" spans="1:5" ht="14.25" customHeight="1" x14ac:dyDescent="0.3">
      <c r="A980" s="134" t="s">
        <v>251</v>
      </c>
      <c r="B980" s="134" t="s">
        <v>11</v>
      </c>
      <c r="C980" s="134">
        <v>9</v>
      </c>
      <c r="D980" s="134" t="str">
        <f t="shared" ref="D980:D1000" si="71">A980&amp;" "&amp;B980&amp;" "&amp;C980</f>
        <v>Female AM 9015 9</v>
      </c>
      <c r="E980" s="134">
        <v>10</v>
      </c>
    </row>
    <row r="981" spans="1:5" ht="14.25" customHeight="1" x14ac:dyDescent="0.3">
      <c r="A981" s="134" t="s">
        <v>251</v>
      </c>
      <c r="B981" s="134" t="s">
        <v>11</v>
      </c>
      <c r="C981" s="134">
        <v>12</v>
      </c>
      <c r="D981" s="134" t="str">
        <f t="shared" si="71"/>
        <v>Female AM 9015 12</v>
      </c>
      <c r="E981" s="134">
        <v>10</v>
      </c>
    </row>
    <row r="982" spans="1:5" ht="14.25" customHeight="1" x14ac:dyDescent="0.3">
      <c r="A982" s="134" t="s">
        <v>251</v>
      </c>
      <c r="B982" s="134" t="s">
        <v>11</v>
      </c>
      <c r="C982" s="134">
        <v>15</v>
      </c>
      <c r="D982" s="134" t="str">
        <f t="shared" si="71"/>
        <v>Female AM 9015 15</v>
      </c>
      <c r="E982" s="134">
        <v>10</v>
      </c>
    </row>
    <row r="983" spans="1:5" ht="14.25" customHeight="1" x14ac:dyDescent="0.3">
      <c r="A983" s="134" t="s">
        <v>251</v>
      </c>
      <c r="B983" s="134" t="s">
        <v>11</v>
      </c>
      <c r="C983" s="134">
        <v>16</v>
      </c>
      <c r="D983" s="134" t="str">
        <f t="shared" si="71"/>
        <v>Female AM 9015 16</v>
      </c>
      <c r="E983" s="134">
        <v>10</v>
      </c>
    </row>
    <row r="984" spans="1:5" ht="14.25" customHeight="1" x14ac:dyDescent="0.3">
      <c r="A984" s="134" t="s">
        <v>251</v>
      </c>
      <c r="B984" s="134" t="s">
        <v>11</v>
      </c>
      <c r="C984" s="134">
        <v>20</v>
      </c>
      <c r="D984" s="134" t="str">
        <f t="shared" si="71"/>
        <v>Female AM 9015 20</v>
      </c>
      <c r="E984" s="134">
        <v>10</v>
      </c>
    </row>
    <row r="985" spans="1:5" ht="14.25" customHeight="1" x14ac:dyDescent="0.3">
      <c r="A985" s="134" t="s">
        <v>251</v>
      </c>
      <c r="B985" s="134" t="s">
        <v>11</v>
      </c>
      <c r="C985" s="134">
        <v>21</v>
      </c>
      <c r="D985" s="134" t="str">
        <f t="shared" si="71"/>
        <v>Female AM 9015 21</v>
      </c>
      <c r="E985" s="134">
        <v>10</v>
      </c>
    </row>
    <row r="986" spans="1:5" ht="14.25" customHeight="1" x14ac:dyDescent="0.3">
      <c r="A986" s="134" t="s">
        <v>251</v>
      </c>
      <c r="B986" s="134" t="s">
        <v>11</v>
      </c>
      <c r="C986" s="134">
        <v>25</v>
      </c>
      <c r="D986" s="134" t="str">
        <f t="shared" si="71"/>
        <v>Female AM 9015 25</v>
      </c>
      <c r="E986" s="134">
        <v>7</v>
      </c>
    </row>
    <row r="987" spans="1:5" ht="14.25" customHeight="1" x14ac:dyDescent="0.3">
      <c r="A987" s="134" t="s">
        <v>251</v>
      </c>
      <c r="B987" s="134" t="s">
        <v>11</v>
      </c>
      <c r="C987" s="134">
        <v>27</v>
      </c>
      <c r="D987" s="134" t="str">
        <f t="shared" si="71"/>
        <v>Female AM 9015 27</v>
      </c>
      <c r="E987" s="134">
        <v>7</v>
      </c>
    </row>
    <row r="988" spans="1:5" ht="14.25" customHeight="1" x14ac:dyDescent="0.3">
      <c r="A988" s="134" t="s">
        <v>251</v>
      </c>
      <c r="B988" s="134" t="s">
        <v>11</v>
      </c>
      <c r="C988" s="134">
        <v>28</v>
      </c>
      <c r="D988" s="134" t="str">
        <f t="shared" si="71"/>
        <v>Female AM 9015 28</v>
      </c>
      <c r="E988" s="134">
        <v>7</v>
      </c>
    </row>
    <row r="989" spans="1:5" ht="14.25" customHeight="1" x14ac:dyDescent="0.3">
      <c r="A989" s="134" t="s">
        <v>251</v>
      </c>
      <c r="B989" s="134" t="s">
        <v>11</v>
      </c>
      <c r="C989" s="134">
        <v>30</v>
      </c>
      <c r="D989" s="134" t="str">
        <f t="shared" si="71"/>
        <v>Female AM 9015 30</v>
      </c>
      <c r="E989" s="134">
        <v>7</v>
      </c>
    </row>
    <row r="990" spans="1:5" ht="14.25" customHeight="1" x14ac:dyDescent="0.3">
      <c r="A990" s="134" t="s">
        <v>251</v>
      </c>
      <c r="B990" s="134" t="s">
        <v>11</v>
      </c>
      <c r="C990" s="134">
        <v>35</v>
      </c>
      <c r="D990" s="134" t="str">
        <f t="shared" si="71"/>
        <v>Female AM 9015 35</v>
      </c>
      <c r="E990" s="134">
        <v>5</v>
      </c>
    </row>
    <row r="991" spans="1:5" ht="14.25" customHeight="1" x14ac:dyDescent="0.3">
      <c r="A991" s="134" t="s">
        <v>251</v>
      </c>
      <c r="B991" s="134" t="s">
        <v>11</v>
      </c>
      <c r="C991" s="134">
        <v>36</v>
      </c>
      <c r="D991" s="134" t="str">
        <f t="shared" si="71"/>
        <v>Female AM 9015 36</v>
      </c>
      <c r="E991" s="134">
        <v>5</v>
      </c>
    </row>
    <row r="992" spans="1:5" ht="14.25" customHeight="1" x14ac:dyDescent="0.3">
      <c r="A992" s="134" t="s">
        <v>251</v>
      </c>
      <c r="B992" s="134" t="s">
        <v>11</v>
      </c>
      <c r="C992" s="134">
        <v>40</v>
      </c>
      <c r="D992" s="134" t="str">
        <f t="shared" si="71"/>
        <v>Female AM 9015 40</v>
      </c>
      <c r="E992" s="134">
        <v>5</v>
      </c>
    </row>
    <row r="993" spans="1:8" ht="14.25" customHeight="1" x14ac:dyDescent="0.3">
      <c r="A993" s="134" t="s">
        <v>251</v>
      </c>
      <c r="B993" s="134" t="s">
        <v>11</v>
      </c>
      <c r="C993" s="134">
        <v>45</v>
      </c>
      <c r="D993" s="134" t="str">
        <f t="shared" si="71"/>
        <v>Female AM 9015 45</v>
      </c>
      <c r="E993" s="134">
        <v>5</v>
      </c>
    </row>
    <row r="994" spans="1:8" ht="14.25" customHeight="1" x14ac:dyDescent="0.3">
      <c r="A994" s="134" t="s">
        <v>251</v>
      </c>
      <c r="B994" s="134" t="s">
        <v>11</v>
      </c>
      <c r="C994" s="134">
        <v>49</v>
      </c>
      <c r="D994" s="134" t="str">
        <f t="shared" si="71"/>
        <v>Female AM 9015 49</v>
      </c>
      <c r="E994" s="134">
        <v>5</v>
      </c>
    </row>
    <row r="995" spans="1:8" ht="14.25" customHeight="1" x14ac:dyDescent="0.3">
      <c r="A995" s="134" t="s">
        <v>251</v>
      </c>
      <c r="B995" s="134" t="s">
        <v>11</v>
      </c>
      <c r="C995" s="134">
        <v>50</v>
      </c>
      <c r="D995" s="134" t="str">
        <f t="shared" si="71"/>
        <v>Female AM 9015 50</v>
      </c>
      <c r="E995" s="134">
        <v>5</v>
      </c>
    </row>
    <row r="996" spans="1:8" ht="14.25" customHeight="1" x14ac:dyDescent="0.3">
      <c r="A996" s="134" t="s">
        <v>251</v>
      </c>
      <c r="B996" s="134" t="s">
        <v>11</v>
      </c>
      <c r="C996" s="134">
        <v>63</v>
      </c>
      <c r="D996" s="134" t="str">
        <f t="shared" si="71"/>
        <v>Female AM 9015 63</v>
      </c>
      <c r="E996" s="134">
        <v>5</v>
      </c>
    </row>
    <row r="997" spans="1:8" ht="14.25" customHeight="1" x14ac:dyDescent="0.3">
      <c r="A997" s="134" t="s">
        <v>251</v>
      </c>
      <c r="B997" s="134" t="s">
        <v>11</v>
      </c>
      <c r="C997" s="134">
        <v>70</v>
      </c>
      <c r="D997" s="134" t="str">
        <f t="shared" si="71"/>
        <v>Female AM 9015 70</v>
      </c>
      <c r="E997" s="134">
        <v>4</v>
      </c>
    </row>
    <row r="998" spans="1:8" ht="14.25" customHeight="1" x14ac:dyDescent="0.3">
      <c r="A998" s="134" t="s">
        <v>251</v>
      </c>
      <c r="B998" s="134" t="s">
        <v>11</v>
      </c>
      <c r="C998" s="134">
        <v>81</v>
      </c>
      <c r="D998" s="134" t="str">
        <f t="shared" si="71"/>
        <v>Female AM 9015 81</v>
      </c>
      <c r="E998" s="134">
        <v>4</v>
      </c>
    </row>
    <row r="999" spans="1:8" ht="14.25" customHeight="1" x14ac:dyDescent="0.3">
      <c r="A999" s="134" t="s">
        <v>251</v>
      </c>
      <c r="B999" s="134" t="s">
        <v>11</v>
      </c>
      <c r="C999" s="134">
        <v>90</v>
      </c>
      <c r="D999" s="134" t="str">
        <f t="shared" si="71"/>
        <v>Female AM 9015 90</v>
      </c>
      <c r="E999" s="134">
        <v>3</v>
      </c>
    </row>
    <row r="1000" spans="1:8" ht="14.25" customHeight="1" x14ac:dyDescent="0.3">
      <c r="A1000" s="134" t="s">
        <v>251</v>
      </c>
      <c r="B1000" s="134" t="s">
        <v>11</v>
      </c>
      <c r="C1000" s="134">
        <v>100</v>
      </c>
      <c r="D1000" s="134" t="str">
        <f t="shared" si="71"/>
        <v>Female AM 9015 100</v>
      </c>
      <c r="E1000" s="134">
        <v>3</v>
      </c>
    </row>
    <row r="1001" spans="1:8" ht="15" customHeight="1" x14ac:dyDescent="0.3">
      <c r="A1001" s="134" t="s">
        <v>251</v>
      </c>
      <c r="B1001" s="134" t="s">
        <v>328</v>
      </c>
      <c r="C1001" s="134">
        <v>-3</v>
      </c>
      <c r="D1001" s="134" t="str">
        <f t="shared" ref="D1001:D1006" si="72">A1001&amp;" "&amp;B1001&amp;" "&amp;C1001</f>
        <v>Female BB RS-550 -3</v>
      </c>
      <c r="E1001" s="134">
        <v>1</v>
      </c>
      <c r="F1001" s="134">
        <v>1</v>
      </c>
      <c r="G1001" s="134">
        <v>1</v>
      </c>
      <c r="H1001" s="134">
        <v>1</v>
      </c>
    </row>
    <row r="1002" spans="1:8" ht="15" customHeight="1" x14ac:dyDescent="0.3">
      <c r="A1002" s="134" t="s">
        <v>251</v>
      </c>
      <c r="B1002" s="134" t="s">
        <v>328</v>
      </c>
      <c r="C1002" s="134">
        <v>-4</v>
      </c>
      <c r="D1002" s="134" t="str">
        <f t="shared" si="72"/>
        <v>Female BB RS-550 -4</v>
      </c>
      <c r="E1002" s="134">
        <v>1</v>
      </c>
      <c r="F1002" s="134">
        <v>1</v>
      </c>
      <c r="G1002" s="134">
        <v>1</v>
      </c>
      <c r="H1002" s="134">
        <v>1</v>
      </c>
    </row>
    <row r="1003" spans="1:8" ht="15" customHeight="1" x14ac:dyDescent="0.3">
      <c r="A1003" s="134" t="s">
        <v>251</v>
      </c>
      <c r="B1003" s="134" t="s">
        <v>328</v>
      </c>
      <c r="C1003" s="134">
        <v>-5</v>
      </c>
      <c r="D1003" s="134" t="str">
        <f t="shared" si="72"/>
        <v>Female BB RS-550 -5</v>
      </c>
      <c r="E1003" s="134">
        <v>1</v>
      </c>
      <c r="F1003" s="134">
        <v>1</v>
      </c>
      <c r="G1003" s="134">
        <v>1</v>
      </c>
      <c r="H1003" s="134">
        <v>1</v>
      </c>
    </row>
    <row r="1004" spans="1:8" ht="15" customHeight="1" x14ac:dyDescent="0.3">
      <c r="A1004" s="134" t="s">
        <v>251</v>
      </c>
      <c r="B1004" s="134" t="s">
        <v>328</v>
      </c>
      <c r="C1004" s="134">
        <v>-7</v>
      </c>
      <c r="D1004" s="134" t="str">
        <f t="shared" si="72"/>
        <v>Female BB RS-550 -7</v>
      </c>
      <c r="E1004" s="134">
        <v>1</v>
      </c>
      <c r="F1004" s="134">
        <v>1</v>
      </c>
      <c r="G1004" s="134">
        <v>1</v>
      </c>
      <c r="H1004" s="134">
        <v>0</v>
      </c>
    </row>
    <row r="1005" spans="1:8" ht="15" customHeight="1" x14ac:dyDescent="0.3">
      <c r="A1005" s="134" t="s">
        <v>251</v>
      </c>
      <c r="B1005" s="134" t="s">
        <v>328</v>
      </c>
      <c r="C1005" s="134">
        <v>-9</v>
      </c>
      <c r="D1005" s="134" t="str">
        <f t="shared" si="72"/>
        <v>Female BB RS-550 -9</v>
      </c>
      <c r="E1005" s="134">
        <v>1</v>
      </c>
      <c r="F1005" s="134">
        <v>1</v>
      </c>
      <c r="G1005" s="134">
        <v>0</v>
      </c>
      <c r="H1005" s="134">
        <v>0</v>
      </c>
    </row>
    <row r="1006" spans="1:8" ht="15" customHeight="1" x14ac:dyDescent="0.3">
      <c r="A1006" s="134" t="s">
        <v>251</v>
      </c>
      <c r="B1006" s="134" t="s">
        <v>328</v>
      </c>
      <c r="C1006" s="134">
        <v>-10</v>
      </c>
      <c r="D1006" s="134" t="str">
        <f t="shared" si="72"/>
        <v>Female BB RS-550 -10</v>
      </c>
      <c r="E1006" s="134">
        <v>1</v>
      </c>
      <c r="F1006" s="134">
        <v>1</v>
      </c>
      <c r="G1006" s="134">
        <v>0</v>
      </c>
      <c r="H1006" s="134">
        <v>0</v>
      </c>
    </row>
    <row r="1007" spans="1:8" ht="15" customHeight="1" x14ac:dyDescent="0.3">
      <c r="A1007" s="134" t="s">
        <v>251</v>
      </c>
      <c r="B1007" s="134" t="s">
        <v>328</v>
      </c>
      <c r="C1007" s="134">
        <v>9</v>
      </c>
      <c r="D1007" s="134" t="str">
        <f t="shared" ref="D1007:D1027" si="73">A1007&amp;" "&amp;B1007&amp;" "&amp;C1007</f>
        <v>Female BB RS-550 9</v>
      </c>
      <c r="E1007" s="134">
        <v>10</v>
      </c>
      <c r="F1007" s="134">
        <v>10</v>
      </c>
      <c r="G1007" s="134">
        <v>1</v>
      </c>
      <c r="H1007" s="134">
        <v>0</v>
      </c>
    </row>
    <row r="1008" spans="1:8" ht="15" customHeight="1" x14ac:dyDescent="0.3">
      <c r="A1008" s="134" t="s">
        <v>251</v>
      </c>
      <c r="B1008" s="134" t="s">
        <v>328</v>
      </c>
      <c r="C1008" s="134">
        <v>12</v>
      </c>
      <c r="D1008" s="134" t="str">
        <f t="shared" si="73"/>
        <v>Female BB RS-550 12</v>
      </c>
      <c r="E1008" s="134">
        <v>10</v>
      </c>
      <c r="F1008" s="134">
        <v>7</v>
      </c>
      <c r="G1008" s="134">
        <v>0</v>
      </c>
      <c r="H1008" s="134">
        <v>0</v>
      </c>
    </row>
    <row r="1009" spans="1:8" ht="15" customHeight="1" x14ac:dyDescent="0.3">
      <c r="A1009" s="134" t="s">
        <v>251</v>
      </c>
      <c r="B1009" s="134" t="s">
        <v>328</v>
      </c>
      <c r="C1009" s="134">
        <v>15</v>
      </c>
      <c r="D1009" s="134" t="str">
        <f t="shared" si="73"/>
        <v>Female BB RS-550 15</v>
      </c>
      <c r="E1009" s="134">
        <v>10</v>
      </c>
      <c r="F1009" s="134">
        <v>5</v>
      </c>
      <c r="G1009" s="134">
        <v>0</v>
      </c>
      <c r="H1009" s="134">
        <v>0</v>
      </c>
    </row>
    <row r="1010" spans="1:8" ht="15" customHeight="1" x14ac:dyDescent="0.3">
      <c r="A1010" s="134" t="s">
        <v>251</v>
      </c>
      <c r="B1010" s="134" t="s">
        <v>328</v>
      </c>
      <c r="C1010" s="134">
        <v>16</v>
      </c>
      <c r="D1010" s="134" t="str">
        <f t="shared" si="73"/>
        <v>Female BB RS-550 16</v>
      </c>
      <c r="E1010" s="134">
        <v>10</v>
      </c>
      <c r="F1010" s="134">
        <v>5</v>
      </c>
      <c r="G1010" s="134">
        <v>0</v>
      </c>
      <c r="H1010" s="134">
        <v>0</v>
      </c>
    </row>
    <row r="1011" spans="1:8" ht="15" customHeight="1" x14ac:dyDescent="0.3">
      <c r="A1011" s="134" t="s">
        <v>251</v>
      </c>
      <c r="B1011" s="134" t="s">
        <v>328</v>
      </c>
      <c r="C1011" s="134">
        <v>20</v>
      </c>
      <c r="D1011" s="134" t="str">
        <f t="shared" si="73"/>
        <v>Female BB RS-550 20</v>
      </c>
      <c r="E1011" s="134">
        <v>9</v>
      </c>
      <c r="F1011" s="134">
        <v>5</v>
      </c>
      <c r="G1011" s="134">
        <v>0</v>
      </c>
      <c r="H1011" s="134">
        <v>0</v>
      </c>
    </row>
    <row r="1012" spans="1:8" ht="15" customHeight="1" x14ac:dyDescent="0.3">
      <c r="A1012" s="134" t="s">
        <v>251</v>
      </c>
      <c r="B1012" s="134" t="s">
        <v>328</v>
      </c>
      <c r="C1012" s="134">
        <v>21</v>
      </c>
      <c r="D1012" s="134" t="str">
        <f t="shared" si="73"/>
        <v>Female BB RS-550 21</v>
      </c>
      <c r="E1012" s="134">
        <v>9</v>
      </c>
      <c r="F1012" s="134">
        <v>5</v>
      </c>
      <c r="G1012" s="134">
        <v>0</v>
      </c>
      <c r="H1012" s="134">
        <v>0</v>
      </c>
    </row>
    <row r="1013" spans="1:8" ht="15" customHeight="1" x14ac:dyDescent="0.3">
      <c r="A1013" s="134" t="s">
        <v>251</v>
      </c>
      <c r="B1013" s="134" t="s">
        <v>328</v>
      </c>
      <c r="C1013" s="134">
        <v>25</v>
      </c>
      <c r="D1013" s="134" t="str">
        <f t="shared" si="73"/>
        <v>Female BB RS-550 25</v>
      </c>
      <c r="E1013" s="134">
        <v>7</v>
      </c>
      <c r="F1013" s="134">
        <v>5</v>
      </c>
      <c r="G1013" s="134">
        <v>0</v>
      </c>
      <c r="H1013" s="134">
        <v>0</v>
      </c>
    </row>
    <row r="1014" spans="1:8" ht="15" customHeight="1" x14ac:dyDescent="0.3">
      <c r="A1014" s="134" t="s">
        <v>251</v>
      </c>
      <c r="B1014" s="134" t="s">
        <v>328</v>
      </c>
      <c r="C1014" s="134">
        <v>27</v>
      </c>
      <c r="D1014" s="134" t="str">
        <f t="shared" si="73"/>
        <v>Female BB RS-550 27</v>
      </c>
      <c r="E1014" s="134">
        <v>7</v>
      </c>
      <c r="F1014" s="134">
        <v>5</v>
      </c>
      <c r="G1014" s="134">
        <v>0</v>
      </c>
      <c r="H1014" s="134">
        <v>0</v>
      </c>
    </row>
    <row r="1015" spans="1:8" ht="15" customHeight="1" x14ac:dyDescent="0.3">
      <c r="A1015" s="134" t="s">
        <v>251</v>
      </c>
      <c r="B1015" s="134" t="s">
        <v>328</v>
      </c>
      <c r="C1015" s="134">
        <v>28</v>
      </c>
      <c r="D1015" s="134" t="str">
        <f t="shared" si="73"/>
        <v>Female BB RS-550 28</v>
      </c>
      <c r="E1015" s="134">
        <v>7</v>
      </c>
      <c r="F1015" s="134">
        <v>5</v>
      </c>
      <c r="G1015" s="134">
        <v>0</v>
      </c>
      <c r="H1015" s="134">
        <v>0</v>
      </c>
    </row>
    <row r="1016" spans="1:8" ht="15" customHeight="1" x14ac:dyDescent="0.3">
      <c r="A1016" s="134" t="s">
        <v>251</v>
      </c>
      <c r="B1016" s="134" t="s">
        <v>328</v>
      </c>
      <c r="C1016" s="134">
        <v>30</v>
      </c>
      <c r="D1016" s="134" t="str">
        <f t="shared" si="73"/>
        <v>Female BB RS-550 30</v>
      </c>
      <c r="E1016" s="134">
        <v>5</v>
      </c>
      <c r="F1016" s="134">
        <v>5</v>
      </c>
      <c r="G1016" s="134">
        <v>0</v>
      </c>
      <c r="H1016" s="134">
        <v>0</v>
      </c>
    </row>
    <row r="1017" spans="1:8" ht="15" customHeight="1" x14ac:dyDescent="0.3">
      <c r="A1017" s="134" t="s">
        <v>251</v>
      </c>
      <c r="B1017" s="134" t="s">
        <v>328</v>
      </c>
      <c r="C1017" s="134">
        <v>35</v>
      </c>
      <c r="D1017" s="134" t="str">
        <f t="shared" si="73"/>
        <v>Female BB RS-550 35</v>
      </c>
      <c r="E1017" s="134">
        <v>5</v>
      </c>
      <c r="F1017" s="134">
        <v>4</v>
      </c>
      <c r="G1017" s="134">
        <v>0</v>
      </c>
      <c r="H1017" s="134">
        <v>0</v>
      </c>
    </row>
    <row r="1018" spans="1:8" ht="15" customHeight="1" x14ac:dyDescent="0.3">
      <c r="A1018" s="134" t="s">
        <v>251</v>
      </c>
      <c r="B1018" s="134" t="s">
        <v>328</v>
      </c>
      <c r="C1018" s="134">
        <v>36</v>
      </c>
      <c r="D1018" s="134" t="str">
        <f t="shared" si="73"/>
        <v>Female BB RS-550 36</v>
      </c>
      <c r="E1018" s="134">
        <v>5</v>
      </c>
      <c r="F1018" s="134">
        <v>4</v>
      </c>
      <c r="G1018" s="134">
        <v>0</v>
      </c>
      <c r="H1018" s="134">
        <v>0</v>
      </c>
    </row>
    <row r="1019" spans="1:8" ht="15" customHeight="1" x14ac:dyDescent="0.3">
      <c r="A1019" s="134" t="s">
        <v>251</v>
      </c>
      <c r="B1019" s="134" t="s">
        <v>328</v>
      </c>
      <c r="C1019" s="134">
        <v>40</v>
      </c>
      <c r="D1019" s="134" t="str">
        <f t="shared" si="73"/>
        <v>Female BB RS-550 40</v>
      </c>
      <c r="E1019" s="134">
        <v>5</v>
      </c>
      <c r="F1019" s="134">
        <v>3</v>
      </c>
      <c r="G1019" s="134">
        <v>0</v>
      </c>
      <c r="H1019" s="134">
        <v>0</v>
      </c>
    </row>
    <row r="1020" spans="1:8" ht="15" customHeight="1" x14ac:dyDescent="0.3">
      <c r="A1020" s="134" t="s">
        <v>251</v>
      </c>
      <c r="B1020" s="134" t="s">
        <v>328</v>
      </c>
      <c r="C1020" s="134">
        <v>45</v>
      </c>
      <c r="D1020" s="134" t="str">
        <f t="shared" si="73"/>
        <v>Female BB RS-550 45</v>
      </c>
      <c r="E1020" s="134">
        <v>5</v>
      </c>
      <c r="F1020" s="134">
        <v>3</v>
      </c>
      <c r="G1020" s="134">
        <v>0</v>
      </c>
      <c r="H1020" s="134">
        <v>0</v>
      </c>
    </row>
    <row r="1021" spans="1:8" ht="15" customHeight="1" x14ac:dyDescent="0.3">
      <c r="A1021" s="134" t="s">
        <v>251</v>
      </c>
      <c r="B1021" s="134" t="s">
        <v>328</v>
      </c>
      <c r="C1021" s="134">
        <v>49</v>
      </c>
      <c r="D1021" s="134" t="str">
        <f t="shared" si="73"/>
        <v>Female BB RS-550 49</v>
      </c>
      <c r="E1021" s="134">
        <v>5</v>
      </c>
      <c r="F1021" s="134">
        <v>3</v>
      </c>
      <c r="G1021" s="134">
        <v>0</v>
      </c>
      <c r="H1021" s="134">
        <v>0</v>
      </c>
    </row>
    <row r="1022" spans="1:8" ht="15" customHeight="1" x14ac:dyDescent="0.3">
      <c r="A1022" s="134" t="s">
        <v>251</v>
      </c>
      <c r="B1022" s="134" t="s">
        <v>328</v>
      </c>
      <c r="C1022" s="134">
        <v>50</v>
      </c>
      <c r="D1022" s="134" t="str">
        <f t="shared" si="73"/>
        <v>Female BB RS-550 50</v>
      </c>
      <c r="E1022" s="134">
        <v>5</v>
      </c>
      <c r="F1022" s="134">
        <v>3</v>
      </c>
      <c r="G1022" s="134">
        <v>0</v>
      </c>
      <c r="H1022" s="134">
        <v>0</v>
      </c>
    </row>
    <row r="1023" spans="1:8" ht="15" customHeight="1" x14ac:dyDescent="0.3">
      <c r="A1023" s="134" t="s">
        <v>251</v>
      </c>
      <c r="B1023" s="134" t="s">
        <v>328</v>
      </c>
      <c r="C1023" s="134">
        <v>63</v>
      </c>
      <c r="D1023" s="134" t="str">
        <f t="shared" si="73"/>
        <v>Female BB RS-550 63</v>
      </c>
      <c r="E1023" s="134">
        <v>4</v>
      </c>
      <c r="F1023" s="134">
        <v>1</v>
      </c>
      <c r="G1023" s="134">
        <v>0</v>
      </c>
      <c r="H1023" s="134">
        <v>0</v>
      </c>
    </row>
    <row r="1024" spans="1:8" ht="15" customHeight="1" x14ac:dyDescent="0.3">
      <c r="A1024" s="134" t="s">
        <v>251</v>
      </c>
      <c r="B1024" s="134" t="s">
        <v>328</v>
      </c>
      <c r="C1024" s="134">
        <v>70</v>
      </c>
      <c r="D1024" s="134" t="str">
        <f t="shared" si="73"/>
        <v>Female BB RS-550 70</v>
      </c>
      <c r="E1024" s="134">
        <v>4</v>
      </c>
      <c r="F1024" s="134">
        <v>1</v>
      </c>
      <c r="G1024" s="134">
        <v>0</v>
      </c>
      <c r="H1024" s="134">
        <v>0</v>
      </c>
    </row>
    <row r="1025" spans="1:8" ht="15" customHeight="1" x14ac:dyDescent="0.3">
      <c r="A1025" s="134" t="s">
        <v>251</v>
      </c>
      <c r="B1025" s="134" t="s">
        <v>328</v>
      </c>
      <c r="C1025" s="134">
        <v>81</v>
      </c>
      <c r="D1025" s="134" t="str">
        <f t="shared" si="73"/>
        <v>Female BB RS-550 81</v>
      </c>
      <c r="E1025" s="134">
        <v>3</v>
      </c>
      <c r="F1025" s="134">
        <v>1</v>
      </c>
      <c r="G1025" s="134">
        <v>0</v>
      </c>
      <c r="H1025" s="134">
        <v>0</v>
      </c>
    </row>
    <row r="1026" spans="1:8" ht="15" customHeight="1" x14ac:dyDescent="0.3">
      <c r="A1026" s="134" t="s">
        <v>251</v>
      </c>
      <c r="B1026" s="134" t="s">
        <v>328</v>
      </c>
      <c r="C1026" s="134">
        <v>90</v>
      </c>
      <c r="D1026" s="134" t="str">
        <f t="shared" si="73"/>
        <v>Female BB RS-550 90</v>
      </c>
      <c r="E1026" s="134">
        <v>3</v>
      </c>
      <c r="F1026" s="134">
        <v>1</v>
      </c>
      <c r="G1026" s="134">
        <v>0</v>
      </c>
      <c r="H1026" s="134">
        <v>0</v>
      </c>
    </row>
    <row r="1027" spans="1:8" ht="15" customHeight="1" x14ac:dyDescent="0.3">
      <c r="A1027" s="134" t="s">
        <v>251</v>
      </c>
      <c r="B1027" s="134" t="s">
        <v>328</v>
      </c>
      <c r="C1027" s="134">
        <v>100</v>
      </c>
      <c r="D1027" s="134" t="str">
        <f t="shared" si="73"/>
        <v>Female BB RS-550 100</v>
      </c>
      <c r="E1027" s="134">
        <v>3</v>
      </c>
      <c r="F1027" s="134">
        <v>0</v>
      </c>
      <c r="G1027" s="134">
        <v>0</v>
      </c>
      <c r="H1027" s="134">
        <v>0</v>
      </c>
    </row>
    <row r="1028" spans="1:8" ht="15" customHeight="1" x14ac:dyDescent="0.3">
      <c r="A1028" s="134" t="s">
        <v>251</v>
      </c>
      <c r="B1028" s="134" t="s">
        <v>329</v>
      </c>
      <c r="C1028" s="134">
        <v>-3</v>
      </c>
      <c r="D1028" s="134" t="str">
        <f t="shared" ref="D1028:D1033" si="74">A1028&amp;" "&amp;B1028&amp;" "&amp;C1028</f>
        <v>Female BB RS-775 -3</v>
      </c>
      <c r="E1028" s="134">
        <v>1</v>
      </c>
      <c r="F1028" s="134">
        <v>1</v>
      </c>
      <c r="G1028" s="134">
        <v>1</v>
      </c>
      <c r="H1028" s="134">
        <v>0</v>
      </c>
    </row>
    <row r="1029" spans="1:8" ht="15" customHeight="1" x14ac:dyDescent="0.3">
      <c r="A1029" s="134" t="s">
        <v>251</v>
      </c>
      <c r="B1029" s="134" t="s">
        <v>329</v>
      </c>
      <c r="C1029" s="134">
        <v>-4</v>
      </c>
      <c r="D1029" s="134" t="str">
        <f t="shared" si="74"/>
        <v>Female BB RS-775 -4</v>
      </c>
      <c r="E1029" s="134">
        <v>1</v>
      </c>
      <c r="F1029" s="134">
        <v>1</v>
      </c>
      <c r="G1029" s="134">
        <v>1</v>
      </c>
      <c r="H1029" s="134">
        <v>0</v>
      </c>
    </row>
    <row r="1030" spans="1:8" ht="15" customHeight="1" x14ac:dyDescent="0.3">
      <c r="A1030" s="134" t="s">
        <v>251</v>
      </c>
      <c r="B1030" s="134" t="s">
        <v>329</v>
      </c>
      <c r="C1030" s="134">
        <v>-5</v>
      </c>
      <c r="D1030" s="134" t="str">
        <f t="shared" si="74"/>
        <v>Female BB RS-775 -5</v>
      </c>
      <c r="E1030" s="134">
        <v>1</v>
      </c>
      <c r="F1030" s="134">
        <v>1</v>
      </c>
      <c r="G1030" s="134">
        <v>1</v>
      </c>
      <c r="H1030" s="134">
        <v>0</v>
      </c>
    </row>
    <row r="1031" spans="1:8" ht="15" customHeight="1" x14ac:dyDescent="0.3">
      <c r="A1031" s="134" t="s">
        <v>251</v>
      </c>
      <c r="B1031" s="134" t="s">
        <v>329</v>
      </c>
      <c r="C1031" s="134">
        <v>-7</v>
      </c>
      <c r="D1031" s="134" t="str">
        <f t="shared" si="74"/>
        <v>Female BB RS-775 -7</v>
      </c>
      <c r="E1031" s="134">
        <v>1</v>
      </c>
      <c r="F1031" s="134">
        <v>1</v>
      </c>
      <c r="G1031" s="134">
        <v>0</v>
      </c>
      <c r="H1031" s="134">
        <v>0</v>
      </c>
    </row>
    <row r="1032" spans="1:8" ht="15" customHeight="1" x14ac:dyDescent="0.3">
      <c r="A1032" s="134" t="s">
        <v>251</v>
      </c>
      <c r="B1032" s="134" t="s">
        <v>329</v>
      </c>
      <c r="C1032" s="134">
        <v>-9</v>
      </c>
      <c r="D1032" s="134" t="str">
        <f t="shared" si="74"/>
        <v>Female BB RS-775 -9</v>
      </c>
      <c r="E1032" s="134">
        <v>1</v>
      </c>
      <c r="F1032" s="134">
        <v>1</v>
      </c>
      <c r="G1032" s="134">
        <v>0</v>
      </c>
      <c r="H1032" s="134">
        <v>0</v>
      </c>
    </row>
    <row r="1033" spans="1:8" ht="15" customHeight="1" x14ac:dyDescent="0.3">
      <c r="A1033" s="134" t="s">
        <v>251</v>
      </c>
      <c r="B1033" s="134" t="s">
        <v>329</v>
      </c>
      <c r="C1033" s="134">
        <v>-10</v>
      </c>
      <c r="D1033" s="134" t="str">
        <f t="shared" si="74"/>
        <v>Female BB RS-775 -10</v>
      </c>
      <c r="E1033" s="134">
        <v>1</v>
      </c>
      <c r="F1033" s="134">
        <v>1</v>
      </c>
      <c r="G1033" s="134">
        <v>0</v>
      </c>
      <c r="H1033" s="134">
        <v>0</v>
      </c>
    </row>
    <row r="1034" spans="1:8" ht="15" customHeight="1" x14ac:dyDescent="0.3">
      <c r="A1034" s="134" t="s">
        <v>251</v>
      </c>
      <c r="B1034" s="134" t="s">
        <v>329</v>
      </c>
      <c r="C1034" s="134">
        <v>9</v>
      </c>
      <c r="D1034" s="134" t="str">
        <f t="shared" ref="D1034:D1054" si="75">A1034&amp;" "&amp;B1034&amp;" "&amp;C1034</f>
        <v>Female BB RS-775 9</v>
      </c>
      <c r="E1034" s="134">
        <v>10</v>
      </c>
      <c r="F1034" s="134">
        <v>5</v>
      </c>
      <c r="G1034" s="134">
        <v>0</v>
      </c>
      <c r="H1034" s="134">
        <v>0</v>
      </c>
    </row>
    <row r="1035" spans="1:8" ht="15" customHeight="1" x14ac:dyDescent="0.3">
      <c r="A1035" s="134" t="s">
        <v>251</v>
      </c>
      <c r="B1035" s="134" t="s">
        <v>329</v>
      </c>
      <c r="C1035" s="134">
        <v>12</v>
      </c>
      <c r="D1035" s="134" t="str">
        <f t="shared" si="75"/>
        <v>Female BB RS-775 12</v>
      </c>
      <c r="E1035" s="134">
        <v>10</v>
      </c>
      <c r="F1035" s="134">
        <v>5</v>
      </c>
      <c r="G1035" s="134">
        <v>0</v>
      </c>
      <c r="H1035" s="134">
        <v>0</v>
      </c>
    </row>
    <row r="1036" spans="1:8" ht="15" customHeight="1" x14ac:dyDescent="0.3">
      <c r="A1036" s="134" t="s">
        <v>251</v>
      </c>
      <c r="B1036" s="134" t="s">
        <v>329</v>
      </c>
      <c r="C1036" s="134">
        <v>15</v>
      </c>
      <c r="D1036" s="134" t="str">
        <f t="shared" si="75"/>
        <v>Female BB RS-775 15</v>
      </c>
      <c r="E1036" s="134">
        <v>10</v>
      </c>
      <c r="F1036" s="134">
        <v>5</v>
      </c>
      <c r="G1036" s="134">
        <v>0</v>
      </c>
      <c r="H1036" s="134">
        <v>0</v>
      </c>
    </row>
    <row r="1037" spans="1:8" ht="15" customHeight="1" x14ac:dyDescent="0.3">
      <c r="A1037" s="134" t="s">
        <v>251</v>
      </c>
      <c r="B1037" s="134" t="s">
        <v>329</v>
      </c>
      <c r="C1037" s="134">
        <v>16</v>
      </c>
      <c r="D1037" s="134" t="str">
        <f t="shared" si="75"/>
        <v>Female BB RS-775 16</v>
      </c>
      <c r="E1037" s="134">
        <v>10</v>
      </c>
      <c r="F1037" s="134">
        <v>5</v>
      </c>
      <c r="G1037" s="134">
        <v>0</v>
      </c>
      <c r="H1037" s="134">
        <v>0</v>
      </c>
    </row>
    <row r="1038" spans="1:8" ht="15" customHeight="1" x14ac:dyDescent="0.3">
      <c r="A1038" s="134" t="s">
        <v>251</v>
      </c>
      <c r="B1038" s="134" t="s">
        <v>329</v>
      </c>
      <c r="C1038" s="134">
        <v>20</v>
      </c>
      <c r="D1038" s="134" t="str">
        <f t="shared" si="75"/>
        <v>Female BB RS-775 20</v>
      </c>
      <c r="E1038" s="134">
        <v>10</v>
      </c>
      <c r="F1038" s="134">
        <v>4</v>
      </c>
      <c r="G1038" s="134">
        <v>0</v>
      </c>
      <c r="H1038" s="134">
        <v>0</v>
      </c>
    </row>
    <row r="1039" spans="1:8" ht="15" customHeight="1" x14ac:dyDescent="0.3">
      <c r="A1039" s="134" t="s">
        <v>251</v>
      </c>
      <c r="B1039" s="134" t="s">
        <v>329</v>
      </c>
      <c r="C1039" s="134">
        <v>21</v>
      </c>
      <c r="D1039" s="134" t="str">
        <f t="shared" si="75"/>
        <v>Female BB RS-775 21</v>
      </c>
      <c r="E1039" s="134">
        <v>10</v>
      </c>
      <c r="F1039" s="134">
        <v>4</v>
      </c>
      <c r="G1039" s="134">
        <v>0</v>
      </c>
      <c r="H1039" s="134">
        <v>0</v>
      </c>
    </row>
    <row r="1040" spans="1:8" ht="15" customHeight="1" x14ac:dyDescent="0.3">
      <c r="A1040" s="134" t="s">
        <v>251</v>
      </c>
      <c r="B1040" s="134" t="s">
        <v>329</v>
      </c>
      <c r="C1040" s="134">
        <v>25</v>
      </c>
      <c r="D1040" s="134" t="str">
        <f t="shared" si="75"/>
        <v>Female BB RS-775 25</v>
      </c>
      <c r="E1040" s="134">
        <v>7</v>
      </c>
      <c r="F1040" s="134">
        <v>3</v>
      </c>
      <c r="G1040" s="134">
        <v>0</v>
      </c>
      <c r="H1040" s="134">
        <v>0</v>
      </c>
    </row>
    <row r="1041" spans="1:8" ht="15" customHeight="1" x14ac:dyDescent="0.3">
      <c r="A1041" s="134" t="s">
        <v>251</v>
      </c>
      <c r="B1041" s="134" t="s">
        <v>329</v>
      </c>
      <c r="C1041" s="134">
        <v>27</v>
      </c>
      <c r="D1041" s="134" t="str">
        <f t="shared" si="75"/>
        <v>Female BB RS-775 27</v>
      </c>
      <c r="E1041" s="134">
        <v>7</v>
      </c>
      <c r="F1041" s="134">
        <v>3</v>
      </c>
      <c r="G1041" s="134">
        <v>0</v>
      </c>
      <c r="H1041" s="134">
        <v>0</v>
      </c>
    </row>
    <row r="1042" spans="1:8" ht="15" customHeight="1" x14ac:dyDescent="0.3">
      <c r="A1042" s="134" t="s">
        <v>251</v>
      </c>
      <c r="B1042" s="134" t="s">
        <v>329</v>
      </c>
      <c r="C1042" s="134">
        <v>28</v>
      </c>
      <c r="D1042" s="134" t="str">
        <f t="shared" si="75"/>
        <v>Female BB RS-775 28</v>
      </c>
      <c r="E1042" s="134">
        <v>7</v>
      </c>
      <c r="F1042" s="134">
        <v>3</v>
      </c>
      <c r="G1042" s="134">
        <v>0</v>
      </c>
      <c r="H1042" s="134">
        <v>0</v>
      </c>
    </row>
    <row r="1043" spans="1:8" ht="15" customHeight="1" x14ac:dyDescent="0.3">
      <c r="A1043" s="134" t="s">
        <v>251</v>
      </c>
      <c r="B1043" s="134" t="s">
        <v>329</v>
      </c>
      <c r="C1043" s="134">
        <v>30</v>
      </c>
      <c r="D1043" s="134" t="str">
        <f t="shared" si="75"/>
        <v>Female BB RS-775 30</v>
      </c>
      <c r="E1043" s="134">
        <v>7</v>
      </c>
      <c r="F1043" s="134">
        <v>3</v>
      </c>
      <c r="G1043" s="134">
        <v>0</v>
      </c>
      <c r="H1043" s="134">
        <v>0</v>
      </c>
    </row>
    <row r="1044" spans="1:8" ht="15" customHeight="1" x14ac:dyDescent="0.3">
      <c r="A1044" s="134" t="s">
        <v>251</v>
      </c>
      <c r="B1044" s="134" t="s">
        <v>329</v>
      </c>
      <c r="C1044" s="134">
        <v>35</v>
      </c>
      <c r="D1044" s="134" t="str">
        <f t="shared" si="75"/>
        <v>Female BB RS-775 35</v>
      </c>
      <c r="E1044" s="134">
        <v>5</v>
      </c>
      <c r="F1044" s="134">
        <v>1</v>
      </c>
      <c r="G1044" s="134">
        <v>0</v>
      </c>
      <c r="H1044" s="134">
        <v>0</v>
      </c>
    </row>
    <row r="1045" spans="1:8" ht="15" customHeight="1" x14ac:dyDescent="0.3">
      <c r="A1045" s="134" t="s">
        <v>251</v>
      </c>
      <c r="B1045" s="134" t="s">
        <v>329</v>
      </c>
      <c r="C1045" s="134">
        <v>36</v>
      </c>
      <c r="D1045" s="134" t="str">
        <f t="shared" si="75"/>
        <v>Female BB RS-775 36</v>
      </c>
      <c r="E1045" s="134">
        <v>5</v>
      </c>
      <c r="F1045" s="134">
        <v>1</v>
      </c>
      <c r="G1045" s="134">
        <v>0</v>
      </c>
      <c r="H1045" s="134">
        <v>0</v>
      </c>
    </row>
    <row r="1046" spans="1:8" ht="15" customHeight="1" x14ac:dyDescent="0.3">
      <c r="A1046" s="134" t="s">
        <v>251</v>
      </c>
      <c r="B1046" s="134" t="s">
        <v>329</v>
      </c>
      <c r="C1046" s="134">
        <v>40</v>
      </c>
      <c r="D1046" s="134" t="str">
        <f t="shared" si="75"/>
        <v>Female BB RS-775 40</v>
      </c>
      <c r="E1046" s="134">
        <v>5</v>
      </c>
      <c r="F1046" s="134">
        <v>1</v>
      </c>
      <c r="G1046" s="134">
        <v>0</v>
      </c>
      <c r="H1046" s="134">
        <v>0</v>
      </c>
    </row>
    <row r="1047" spans="1:8" ht="15" customHeight="1" x14ac:dyDescent="0.3">
      <c r="A1047" s="134" t="s">
        <v>251</v>
      </c>
      <c r="B1047" s="134" t="s">
        <v>329</v>
      </c>
      <c r="C1047" s="134">
        <v>45</v>
      </c>
      <c r="D1047" s="134" t="str">
        <f t="shared" si="75"/>
        <v>Female BB RS-775 45</v>
      </c>
      <c r="E1047" s="134">
        <v>5</v>
      </c>
      <c r="F1047" s="134">
        <v>1</v>
      </c>
      <c r="G1047" s="134">
        <v>0</v>
      </c>
      <c r="H1047" s="134">
        <v>0</v>
      </c>
    </row>
    <row r="1048" spans="1:8" ht="15" customHeight="1" x14ac:dyDescent="0.3">
      <c r="A1048" s="134" t="s">
        <v>251</v>
      </c>
      <c r="B1048" s="134" t="s">
        <v>329</v>
      </c>
      <c r="C1048" s="134">
        <v>49</v>
      </c>
      <c r="D1048" s="134" t="str">
        <f t="shared" si="75"/>
        <v>Female BB RS-775 49</v>
      </c>
      <c r="E1048" s="134">
        <v>5</v>
      </c>
      <c r="F1048" s="134">
        <v>1</v>
      </c>
      <c r="G1048" s="134">
        <v>0</v>
      </c>
      <c r="H1048" s="134">
        <v>0</v>
      </c>
    </row>
    <row r="1049" spans="1:8" ht="15" customHeight="1" x14ac:dyDescent="0.3">
      <c r="A1049" s="134" t="s">
        <v>251</v>
      </c>
      <c r="B1049" s="134" t="s">
        <v>329</v>
      </c>
      <c r="C1049" s="134">
        <v>50</v>
      </c>
      <c r="D1049" s="134" t="str">
        <f t="shared" si="75"/>
        <v>Female BB RS-775 50</v>
      </c>
      <c r="E1049" s="134">
        <v>5</v>
      </c>
      <c r="F1049" s="134">
        <v>1</v>
      </c>
      <c r="G1049" s="134">
        <v>0</v>
      </c>
      <c r="H1049" s="134">
        <v>0</v>
      </c>
    </row>
    <row r="1050" spans="1:8" ht="15" customHeight="1" x14ac:dyDescent="0.3">
      <c r="A1050" s="134" t="s">
        <v>251</v>
      </c>
      <c r="B1050" s="134" t="s">
        <v>329</v>
      </c>
      <c r="C1050" s="134">
        <v>63</v>
      </c>
      <c r="D1050" s="134" t="str">
        <f t="shared" si="75"/>
        <v>Female BB RS-775 63</v>
      </c>
      <c r="E1050" s="134">
        <v>5</v>
      </c>
      <c r="F1050" s="134">
        <v>0</v>
      </c>
      <c r="G1050" s="134">
        <v>0</v>
      </c>
      <c r="H1050" s="134">
        <v>0</v>
      </c>
    </row>
    <row r="1051" spans="1:8" ht="15" customHeight="1" x14ac:dyDescent="0.3">
      <c r="A1051" s="134" t="s">
        <v>251</v>
      </c>
      <c r="B1051" s="134" t="s">
        <v>329</v>
      </c>
      <c r="C1051" s="134">
        <v>70</v>
      </c>
      <c r="D1051" s="134" t="str">
        <f t="shared" si="75"/>
        <v>Female BB RS-775 70</v>
      </c>
      <c r="E1051" s="134">
        <v>4</v>
      </c>
      <c r="F1051" s="134">
        <v>0</v>
      </c>
      <c r="G1051" s="134">
        <v>0</v>
      </c>
      <c r="H1051" s="134">
        <v>0</v>
      </c>
    </row>
    <row r="1052" spans="1:8" ht="15" customHeight="1" x14ac:dyDescent="0.3">
      <c r="A1052" s="134" t="s">
        <v>251</v>
      </c>
      <c r="B1052" s="134" t="s">
        <v>329</v>
      </c>
      <c r="C1052" s="134">
        <v>81</v>
      </c>
      <c r="D1052" s="134" t="str">
        <f t="shared" si="75"/>
        <v>Female BB RS-775 81</v>
      </c>
      <c r="E1052" s="134">
        <v>4</v>
      </c>
      <c r="F1052" s="134">
        <v>0</v>
      </c>
      <c r="G1052" s="134">
        <v>0</v>
      </c>
      <c r="H1052" s="134">
        <v>0</v>
      </c>
    </row>
    <row r="1053" spans="1:8" ht="15" customHeight="1" x14ac:dyDescent="0.3">
      <c r="A1053" s="134" t="s">
        <v>251</v>
      </c>
      <c r="B1053" s="134" t="s">
        <v>329</v>
      </c>
      <c r="C1053" s="134">
        <v>90</v>
      </c>
      <c r="D1053" s="134" t="str">
        <f t="shared" si="75"/>
        <v>Female BB RS-775 90</v>
      </c>
      <c r="E1053" s="134">
        <v>3</v>
      </c>
      <c r="F1053" s="134">
        <v>0</v>
      </c>
      <c r="G1053" s="134">
        <v>0</v>
      </c>
      <c r="H1053" s="134">
        <v>0</v>
      </c>
    </row>
    <row r="1054" spans="1:8" ht="15" customHeight="1" x14ac:dyDescent="0.3">
      <c r="A1054" s="134" t="s">
        <v>251</v>
      </c>
      <c r="B1054" s="134" t="s">
        <v>329</v>
      </c>
      <c r="C1054" s="134">
        <v>100</v>
      </c>
      <c r="D1054" s="134" t="str">
        <f t="shared" si="75"/>
        <v>Female BB RS-775 100</v>
      </c>
      <c r="E1054" s="134">
        <v>3</v>
      </c>
      <c r="F1054" s="134">
        <v>0</v>
      </c>
      <c r="G1054" s="134">
        <v>0</v>
      </c>
      <c r="H1054" s="134">
        <v>0</v>
      </c>
    </row>
    <row r="1055" spans="1:8" ht="15" customHeight="1" x14ac:dyDescent="0.3">
      <c r="A1055" s="134" t="s">
        <v>251</v>
      </c>
      <c r="B1055" s="134" t="s">
        <v>8</v>
      </c>
      <c r="C1055" s="134">
        <v>-3</v>
      </c>
      <c r="D1055" s="134" t="str">
        <f t="shared" ref="D1055:D1060" si="76">A1055&amp;" "&amp;B1055&amp;" "&amp;C1055</f>
        <v>Female BAG Motor -3</v>
      </c>
      <c r="E1055" s="134">
        <v>1</v>
      </c>
      <c r="F1055" s="134">
        <v>1</v>
      </c>
      <c r="G1055" s="134">
        <v>1</v>
      </c>
      <c r="H1055" s="134">
        <v>0</v>
      </c>
    </row>
    <row r="1056" spans="1:8" ht="15" customHeight="1" x14ac:dyDescent="0.3">
      <c r="A1056" s="134" t="s">
        <v>251</v>
      </c>
      <c r="B1056" s="134" t="s">
        <v>8</v>
      </c>
      <c r="C1056" s="134">
        <v>-4</v>
      </c>
      <c r="D1056" s="134" t="str">
        <f t="shared" si="76"/>
        <v>Female BAG Motor -4</v>
      </c>
      <c r="E1056" s="134">
        <v>1</v>
      </c>
      <c r="F1056" s="134">
        <v>1</v>
      </c>
      <c r="G1056" s="134">
        <v>1</v>
      </c>
      <c r="H1056" s="134">
        <v>0</v>
      </c>
    </row>
    <row r="1057" spans="1:8" ht="15" customHeight="1" x14ac:dyDescent="0.3">
      <c r="A1057" s="134" t="s">
        <v>251</v>
      </c>
      <c r="B1057" s="134" t="s">
        <v>8</v>
      </c>
      <c r="C1057" s="134">
        <v>-5</v>
      </c>
      <c r="D1057" s="134" t="str">
        <f t="shared" si="76"/>
        <v>Female BAG Motor -5</v>
      </c>
      <c r="E1057" s="134">
        <v>1</v>
      </c>
      <c r="F1057" s="134">
        <v>1</v>
      </c>
      <c r="G1057" s="134">
        <v>1</v>
      </c>
      <c r="H1057" s="134">
        <v>0</v>
      </c>
    </row>
    <row r="1058" spans="1:8" ht="15" customHeight="1" x14ac:dyDescent="0.3">
      <c r="A1058" s="134" t="s">
        <v>251</v>
      </c>
      <c r="B1058" s="134" t="s">
        <v>8</v>
      </c>
      <c r="C1058" s="134">
        <v>-7</v>
      </c>
      <c r="D1058" s="134" t="str">
        <f t="shared" si="76"/>
        <v>Female BAG Motor -7</v>
      </c>
      <c r="E1058" s="134">
        <v>1</v>
      </c>
      <c r="F1058" s="134">
        <v>1</v>
      </c>
      <c r="G1058" s="134">
        <v>1</v>
      </c>
      <c r="H1058" s="134">
        <v>0</v>
      </c>
    </row>
    <row r="1059" spans="1:8" ht="15" customHeight="1" x14ac:dyDescent="0.3">
      <c r="A1059" s="134" t="s">
        <v>251</v>
      </c>
      <c r="B1059" s="134" t="s">
        <v>8</v>
      </c>
      <c r="C1059" s="134">
        <v>-9</v>
      </c>
      <c r="D1059" s="134" t="str">
        <f t="shared" si="76"/>
        <v>Female BAG Motor -9</v>
      </c>
      <c r="E1059" s="134">
        <v>1</v>
      </c>
      <c r="F1059" s="134">
        <v>1</v>
      </c>
      <c r="G1059" s="134">
        <v>0</v>
      </c>
      <c r="H1059" s="134">
        <v>0</v>
      </c>
    </row>
    <row r="1060" spans="1:8" ht="15" customHeight="1" x14ac:dyDescent="0.3">
      <c r="A1060" s="134" t="s">
        <v>251</v>
      </c>
      <c r="B1060" s="134" t="s">
        <v>8</v>
      </c>
      <c r="C1060" s="134">
        <v>-10</v>
      </c>
      <c r="D1060" s="134" t="str">
        <f t="shared" si="76"/>
        <v>Female BAG Motor -10</v>
      </c>
      <c r="E1060" s="134">
        <v>1</v>
      </c>
      <c r="F1060" s="134">
        <v>1</v>
      </c>
      <c r="G1060" s="134">
        <v>0</v>
      </c>
      <c r="H1060" s="134">
        <v>0</v>
      </c>
    </row>
    <row r="1061" spans="1:8" ht="15" customHeight="1" x14ac:dyDescent="0.3">
      <c r="A1061" s="134" t="s">
        <v>251</v>
      </c>
      <c r="B1061" s="134" t="s">
        <v>8</v>
      </c>
      <c r="C1061" s="134">
        <v>9</v>
      </c>
      <c r="D1061" s="134" t="str">
        <f t="shared" ref="D1061:D1081" si="77">A1061&amp;" "&amp;B1061&amp;" "&amp;C1061</f>
        <v>Female BAG Motor 9</v>
      </c>
      <c r="E1061" s="134">
        <v>10</v>
      </c>
      <c r="F1061" s="134">
        <v>10</v>
      </c>
      <c r="G1061" s="134">
        <v>1</v>
      </c>
      <c r="H1061" s="134">
        <v>0</v>
      </c>
    </row>
    <row r="1062" spans="1:8" ht="15" customHeight="1" x14ac:dyDescent="0.3">
      <c r="A1062" s="134" t="s">
        <v>251</v>
      </c>
      <c r="B1062" s="134" t="s">
        <v>8</v>
      </c>
      <c r="C1062" s="134">
        <v>12</v>
      </c>
      <c r="D1062" s="134" t="str">
        <f t="shared" si="77"/>
        <v>Female BAG Motor 12</v>
      </c>
      <c r="E1062" s="134">
        <v>10</v>
      </c>
      <c r="F1062" s="134">
        <v>9</v>
      </c>
      <c r="G1062" s="134">
        <v>1</v>
      </c>
      <c r="H1062" s="134">
        <v>0</v>
      </c>
    </row>
    <row r="1063" spans="1:8" ht="15" customHeight="1" x14ac:dyDescent="0.3">
      <c r="A1063" s="134" t="s">
        <v>251</v>
      </c>
      <c r="B1063" s="134" t="s">
        <v>8</v>
      </c>
      <c r="C1063" s="134">
        <v>15</v>
      </c>
      <c r="D1063" s="134" t="str">
        <f t="shared" si="77"/>
        <v>Female BAG Motor 15</v>
      </c>
      <c r="E1063" s="134">
        <v>10</v>
      </c>
      <c r="F1063" s="134">
        <v>7</v>
      </c>
      <c r="G1063" s="134">
        <v>0</v>
      </c>
      <c r="H1063" s="134">
        <v>0</v>
      </c>
    </row>
    <row r="1064" spans="1:8" ht="15" customHeight="1" x14ac:dyDescent="0.3">
      <c r="A1064" s="134" t="s">
        <v>251</v>
      </c>
      <c r="B1064" s="134" t="s">
        <v>8</v>
      </c>
      <c r="C1064" s="134">
        <v>16</v>
      </c>
      <c r="D1064" s="134" t="str">
        <f t="shared" si="77"/>
        <v>Female BAG Motor 16</v>
      </c>
      <c r="E1064" s="134">
        <v>10</v>
      </c>
      <c r="F1064" s="134">
        <v>5</v>
      </c>
      <c r="G1064" s="134">
        <v>0</v>
      </c>
      <c r="H1064" s="134">
        <v>0</v>
      </c>
    </row>
    <row r="1065" spans="1:8" ht="15" customHeight="1" x14ac:dyDescent="0.3">
      <c r="A1065" s="134" t="s">
        <v>251</v>
      </c>
      <c r="B1065" s="134" t="s">
        <v>8</v>
      </c>
      <c r="C1065" s="134">
        <v>20</v>
      </c>
      <c r="D1065" s="134" t="str">
        <f t="shared" si="77"/>
        <v>Female BAG Motor 20</v>
      </c>
      <c r="E1065" s="134">
        <v>9</v>
      </c>
      <c r="F1065" s="134">
        <v>5</v>
      </c>
      <c r="G1065" s="134">
        <v>0</v>
      </c>
      <c r="H1065" s="134">
        <v>0</v>
      </c>
    </row>
    <row r="1066" spans="1:8" ht="15" customHeight="1" x14ac:dyDescent="0.3">
      <c r="A1066" s="134" t="s">
        <v>251</v>
      </c>
      <c r="B1066" s="134" t="s">
        <v>8</v>
      </c>
      <c r="C1066" s="134">
        <v>21</v>
      </c>
      <c r="D1066" s="134" t="str">
        <f t="shared" si="77"/>
        <v>Female BAG Motor 21</v>
      </c>
      <c r="E1066" s="134">
        <v>9</v>
      </c>
      <c r="F1066" s="134">
        <v>5</v>
      </c>
      <c r="G1066" s="134">
        <v>0</v>
      </c>
      <c r="H1066" s="134">
        <v>0</v>
      </c>
    </row>
    <row r="1067" spans="1:8" ht="15" customHeight="1" x14ac:dyDescent="0.3">
      <c r="A1067" s="134" t="s">
        <v>251</v>
      </c>
      <c r="B1067" s="134" t="s">
        <v>8</v>
      </c>
      <c r="C1067" s="134">
        <v>25</v>
      </c>
      <c r="D1067" s="134" t="str">
        <f t="shared" si="77"/>
        <v>Female BAG Motor 25</v>
      </c>
      <c r="E1067" s="134">
        <v>7</v>
      </c>
      <c r="F1067" s="134">
        <v>5</v>
      </c>
      <c r="G1067" s="134">
        <v>0</v>
      </c>
      <c r="H1067" s="134">
        <v>0</v>
      </c>
    </row>
    <row r="1068" spans="1:8" ht="15" customHeight="1" x14ac:dyDescent="0.3">
      <c r="A1068" s="134" t="s">
        <v>251</v>
      </c>
      <c r="B1068" s="134" t="s">
        <v>8</v>
      </c>
      <c r="C1068" s="134">
        <v>27</v>
      </c>
      <c r="D1068" s="134" t="str">
        <f t="shared" si="77"/>
        <v>Female BAG Motor 27</v>
      </c>
      <c r="E1068" s="134">
        <v>7</v>
      </c>
      <c r="F1068" s="134">
        <v>5</v>
      </c>
      <c r="G1068" s="134">
        <v>0</v>
      </c>
      <c r="H1068" s="134">
        <v>0</v>
      </c>
    </row>
    <row r="1069" spans="1:8" ht="15" customHeight="1" x14ac:dyDescent="0.3">
      <c r="A1069" s="134" t="s">
        <v>251</v>
      </c>
      <c r="B1069" s="134" t="s">
        <v>8</v>
      </c>
      <c r="C1069" s="134">
        <v>28</v>
      </c>
      <c r="D1069" s="134" t="str">
        <f t="shared" si="77"/>
        <v>Female BAG Motor 28</v>
      </c>
      <c r="E1069" s="134">
        <v>7</v>
      </c>
      <c r="F1069" s="134">
        <v>5</v>
      </c>
      <c r="G1069" s="134">
        <v>0</v>
      </c>
      <c r="H1069" s="134">
        <v>0</v>
      </c>
    </row>
    <row r="1070" spans="1:8" ht="15" customHeight="1" x14ac:dyDescent="0.3">
      <c r="A1070" s="134" t="s">
        <v>251</v>
      </c>
      <c r="B1070" s="134" t="s">
        <v>8</v>
      </c>
      <c r="C1070" s="134">
        <v>30</v>
      </c>
      <c r="D1070" s="134" t="str">
        <f t="shared" si="77"/>
        <v>Female BAG Motor 30</v>
      </c>
      <c r="E1070" s="134">
        <v>5</v>
      </c>
      <c r="F1070" s="134">
        <v>5</v>
      </c>
      <c r="G1070" s="134">
        <v>0</v>
      </c>
      <c r="H1070" s="134">
        <v>0</v>
      </c>
    </row>
    <row r="1071" spans="1:8" ht="15" customHeight="1" x14ac:dyDescent="0.3">
      <c r="A1071" s="134" t="s">
        <v>251</v>
      </c>
      <c r="B1071" s="134" t="s">
        <v>8</v>
      </c>
      <c r="C1071" s="134">
        <v>35</v>
      </c>
      <c r="D1071" s="134" t="str">
        <f t="shared" si="77"/>
        <v>Female BAG Motor 35</v>
      </c>
      <c r="E1071" s="134">
        <v>5</v>
      </c>
      <c r="F1071" s="134">
        <v>4</v>
      </c>
      <c r="G1071" s="134">
        <v>0</v>
      </c>
      <c r="H1071" s="134">
        <v>0</v>
      </c>
    </row>
    <row r="1072" spans="1:8" ht="15" customHeight="1" x14ac:dyDescent="0.3">
      <c r="A1072" s="134" t="s">
        <v>251</v>
      </c>
      <c r="B1072" s="134" t="s">
        <v>8</v>
      </c>
      <c r="C1072" s="134">
        <v>36</v>
      </c>
      <c r="D1072" s="134" t="str">
        <f t="shared" si="77"/>
        <v>Female BAG Motor 36</v>
      </c>
      <c r="E1072" s="134">
        <v>5</v>
      </c>
      <c r="F1072" s="134">
        <v>4</v>
      </c>
      <c r="G1072" s="134">
        <v>0</v>
      </c>
      <c r="H1072" s="134">
        <v>0</v>
      </c>
    </row>
    <row r="1073" spans="1:8" ht="15" customHeight="1" x14ac:dyDescent="0.3">
      <c r="A1073" s="134" t="s">
        <v>251</v>
      </c>
      <c r="B1073" s="134" t="s">
        <v>8</v>
      </c>
      <c r="C1073" s="134">
        <v>40</v>
      </c>
      <c r="D1073" s="134" t="str">
        <f t="shared" si="77"/>
        <v>Female BAG Motor 40</v>
      </c>
      <c r="E1073" s="134">
        <v>5</v>
      </c>
      <c r="F1073" s="134">
        <v>4</v>
      </c>
      <c r="G1073" s="134">
        <v>0</v>
      </c>
      <c r="H1073" s="134">
        <v>0</v>
      </c>
    </row>
    <row r="1074" spans="1:8" ht="15" customHeight="1" x14ac:dyDescent="0.3">
      <c r="A1074" s="134" t="s">
        <v>251</v>
      </c>
      <c r="B1074" s="134" t="s">
        <v>8</v>
      </c>
      <c r="C1074" s="134">
        <v>45</v>
      </c>
      <c r="D1074" s="134" t="str">
        <f t="shared" si="77"/>
        <v>Female BAG Motor 45</v>
      </c>
      <c r="E1074" s="134">
        <v>5</v>
      </c>
      <c r="F1074" s="134">
        <v>3</v>
      </c>
      <c r="G1074" s="134">
        <v>0</v>
      </c>
      <c r="H1074" s="134">
        <v>0</v>
      </c>
    </row>
    <row r="1075" spans="1:8" ht="15" customHeight="1" x14ac:dyDescent="0.3">
      <c r="A1075" s="134" t="s">
        <v>251</v>
      </c>
      <c r="B1075" s="134" t="s">
        <v>8</v>
      </c>
      <c r="C1075" s="134">
        <v>49</v>
      </c>
      <c r="D1075" s="134" t="str">
        <f t="shared" si="77"/>
        <v>Female BAG Motor 49</v>
      </c>
      <c r="E1075" s="134">
        <v>5</v>
      </c>
      <c r="F1075" s="134">
        <v>3</v>
      </c>
      <c r="G1075" s="134">
        <v>0</v>
      </c>
      <c r="H1075" s="134">
        <v>0</v>
      </c>
    </row>
    <row r="1076" spans="1:8" ht="15" customHeight="1" x14ac:dyDescent="0.3">
      <c r="A1076" s="134" t="s">
        <v>251</v>
      </c>
      <c r="B1076" s="134" t="s">
        <v>8</v>
      </c>
      <c r="C1076" s="134">
        <v>50</v>
      </c>
      <c r="D1076" s="134" t="str">
        <f t="shared" si="77"/>
        <v>Female BAG Motor 50</v>
      </c>
      <c r="E1076" s="134">
        <v>5</v>
      </c>
      <c r="F1076" s="134">
        <v>3</v>
      </c>
      <c r="G1076" s="134">
        <v>0</v>
      </c>
      <c r="H1076" s="134">
        <v>0</v>
      </c>
    </row>
    <row r="1077" spans="1:8" ht="15" customHeight="1" x14ac:dyDescent="0.3">
      <c r="A1077" s="134" t="s">
        <v>251</v>
      </c>
      <c r="B1077" s="134" t="s">
        <v>8</v>
      </c>
      <c r="C1077" s="134">
        <v>63</v>
      </c>
      <c r="D1077" s="134" t="str">
        <f t="shared" si="77"/>
        <v>Female BAG Motor 63</v>
      </c>
      <c r="E1077" s="134">
        <v>4</v>
      </c>
      <c r="F1077" s="134">
        <v>1</v>
      </c>
      <c r="G1077" s="134">
        <v>0</v>
      </c>
      <c r="H1077" s="134">
        <v>0</v>
      </c>
    </row>
    <row r="1078" spans="1:8" ht="15" customHeight="1" x14ac:dyDescent="0.3">
      <c r="A1078" s="134" t="s">
        <v>251</v>
      </c>
      <c r="B1078" s="134" t="s">
        <v>8</v>
      </c>
      <c r="C1078" s="134">
        <v>70</v>
      </c>
      <c r="D1078" s="134" t="str">
        <f t="shared" si="77"/>
        <v>Female BAG Motor 70</v>
      </c>
      <c r="E1078" s="134">
        <v>4</v>
      </c>
      <c r="F1078" s="134">
        <v>1</v>
      </c>
      <c r="G1078" s="134">
        <v>0</v>
      </c>
      <c r="H1078" s="134">
        <v>0</v>
      </c>
    </row>
    <row r="1079" spans="1:8" ht="15" customHeight="1" x14ac:dyDescent="0.3">
      <c r="A1079" s="134" t="s">
        <v>251</v>
      </c>
      <c r="B1079" s="134" t="s">
        <v>8</v>
      </c>
      <c r="C1079" s="134">
        <v>81</v>
      </c>
      <c r="D1079" s="134" t="str">
        <f t="shared" si="77"/>
        <v>Female BAG Motor 81</v>
      </c>
      <c r="E1079" s="134">
        <v>3</v>
      </c>
      <c r="F1079" s="134">
        <v>1</v>
      </c>
      <c r="G1079" s="134">
        <v>0</v>
      </c>
      <c r="H1079" s="134">
        <v>0</v>
      </c>
    </row>
    <row r="1080" spans="1:8" ht="15" customHeight="1" x14ac:dyDescent="0.3">
      <c r="A1080" s="134" t="s">
        <v>251</v>
      </c>
      <c r="B1080" s="134" t="s">
        <v>8</v>
      </c>
      <c r="C1080" s="134">
        <v>90</v>
      </c>
      <c r="D1080" s="134" t="str">
        <f t="shared" si="77"/>
        <v>Female BAG Motor 90</v>
      </c>
      <c r="E1080" s="134">
        <v>3</v>
      </c>
      <c r="F1080" s="134">
        <v>1</v>
      </c>
      <c r="G1080" s="134">
        <v>0</v>
      </c>
      <c r="H1080" s="134">
        <v>0</v>
      </c>
    </row>
    <row r="1081" spans="1:8" ht="15" customHeight="1" x14ac:dyDescent="0.3">
      <c r="A1081" s="134" t="s">
        <v>251</v>
      </c>
      <c r="B1081" s="134" t="s">
        <v>8</v>
      </c>
      <c r="C1081" s="134">
        <v>100</v>
      </c>
      <c r="D1081" s="134" t="str">
        <f t="shared" si="77"/>
        <v>Female BAG Motor 100</v>
      </c>
      <c r="E1081" s="134">
        <v>3</v>
      </c>
      <c r="F1081" s="134">
        <v>1</v>
      </c>
      <c r="G1081" s="134">
        <v>0</v>
      </c>
      <c r="H1081" s="134">
        <v>0</v>
      </c>
    </row>
    <row r="1082" spans="1:8" ht="15" customHeight="1" x14ac:dyDescent="0.3">
      <c r="A1082" s="134" t="s">
        <v>251</v>
      </c>
      <c r="B1082" s="134" t="s">
        <v>257</v>
      </c>
      <c r="C1082" s="134">
        <v>-3</v>
      </c>
      <c r="D1082" s="134" t="str">
        <f t="shared" ref="D1082:D1087" si="78">A1082&amp;" "&amp;B1082&amp;" "&amp;C1082</f>
        <v>Female 775pro -3</v>
      </c>
      <c r="E1082" s="134">
        <v>1</v>
      </c>
      <c r="F1082" s="134">
        <v>1</v>
      </c>
      <c r="G1082" s="134">
        <v>1</v>
      </c>
      <c r="H1082" s="134">
        <v>0</v>
      </c>
    </row>
    <row r="1083" spans="1:8" ht="15" customHeight="1" x14ac:dyDescent="0.3">
      <c r="A1083" s="134" t="s">
        <v>251</v>
      </c>
      <c r="B1083" s="134" t="s">
        <v>257</v>
      </c>
      <c r="C1083" s="134">
        <v>-4</v>
      </c>
      <c r="D1083" s="134" t="str">
        <f t="shared" si="78"/>
        <v>Female 775pro -4</v>
      </c>
      <c r="E1083" s="134">
        <v>1</v>
      </c>
      <c r="F1083" s="134">
        <v>1</v>
      </c>
      <c r="G1083" s="134">
        <v>1</v>
      </c>
      <c r="H1083" s="134">
        <v>0</v>
      </c>
    </row>
    <row r="1084" spans="1:8" ht="15" customHeight="1" x14ac:dyDescent="0.3">
      <c r="A1084" s="134" t="s">
        <v>251</v>
      </c>
      <c r="B1084" s="134" t="s">
        <v>257</v>
      </c>
      <c r="C1084" s="134">
        <v>-5</v>
      </c>
      <c r="D1084" s="134" t="str">
        <f t="shared" si="78"/>
        <v>Female 775pro -5</v>
      </c>
      <c r="E1084" s="134">
        <v>1</v>
      </c>
      <c r="F1084" s="134">
        <v>1</v>
      </c>
      <c r="G1084" s="134">
        <v>1</v>
      </c>
      <c r="H1084" s="134">
        <v>0</v>
      </c>
    </row>
    <row r="1085" spans="1:8" ht="15" customHeight="1" x14ac:dyDescent="0.3">
      <c r="A1085" s="134" t="s">
        <v>251</v>
      </c>
      <c r="B1085" s="134" t="s">
        <v>257</v>
      </c>
      <c r="C1085" s="134">
        <v>-7</v>
      </c>
      <c r="D1085" s="134" t="str">
        <f t="shared" si="78"/>
        <v>Female 775pro -7</v>
      </c>
      <c r="E1085" s="134">
        <v>1</v>
      </c>
      <c r="F1085" s="134">
        <v>1</v>
      </c>
      <c r="G1085" s="134">
        <v>0</v>
      </c>
      <c r="H1085" s="134">
        <v>0</v>
      </c>
    </row>
    <row r="1086" spans="1:8" ht="15" customHeight="1" x14ac:dyDescent="0.3">
      <c r="A1086" s="134" t="s">
        <v>251</v>
      </c>
      <c r="B1086" s="134" t="s">
        <v>257</v>
      </c>
      <c r="C1086" s="134">
        <v>-9</v>
      </c>
      <c r="D1086" s="134" t="str">
        <f t="shared" si="78"/>
        <v>Female 775pro -9</v>
      </c>
      <c r="E1086" s="134">
        <v>1</v>
      </c>
      <c r="F1086" s="134">
        <v>1</v>
      </c>
      <c r="G1086" s="134">
        <v>0</v>
      </c>
      <c r="H1086" s="134">
        <v>0</v>
      </c>
    </row>
    <row r="1087" spans="1:8" ht="15" customHeight="1" x14ac:dyDescent="0.3">
      <c r="A1087" s="134" t="s">
        <v>251</v>
      </c>
      <c r="B1087" s="134" t="s">
        <v>257</v>
      </c>
      <c r="C1087" s="134">
        <v>-10</v>
      </c>
      <c r="D1087" s="134" t="str">
        <f t="shared" si="78"/>
        <v>Female 775pro -10</v>
      </c>
      <c r="E1087" s="134">
        <v>1</v>
      </c>
      <c r="F1087" s="134">
        <v>1</v>
      </c>
      <c r="G1087" s="134">
        <v>0</v>
      </c>
      <c r="H1087" s="134">
        <v>0</v>
      </c>
    </row>
    <row r="1088" spans="1:8" ht="15" customHeight="1" x14ac:dyDescent="0.3">
      <c r="A1088" s="134" t="s">
        <v>251</v>
      </c>
      <c r="B1088" s="134" t="s">
        <v>257</v>
      </c>
      <c r="C1088" s="134">
        <v>9</v>
      </c>
      <c r="D1088" s="134" t="str">
        <f t="shared" ref="D1088:D1108" si="79">A1088&amp;" "&amp;B1088&amp;" "&amp;C1088</f>
        <v>Female 775pro 9</v>
      </c>
      <c r="E1088" s="134">
        <v>10</v>
      </c>
      <c r="F1088" s="134">
        <v>7</v>
      </c>
      <c r="G1088" s="134">
        <v>0</v>
      </c>
      <c r="H1088" s="134">
        <v>0</v>
      </c>
    </row>
    <row r="1089" spans="1:8" ht="15" customHeight="1" x14ac:dyDescent="0.3">
      <c r="A1089" s="134" t="s">
        <v>251</v>
      </c>
      <c r="B1089" s="134" t="s">
        <v>257</v>
      </c>
      <c r="C1089" s="134">
        <v>12</v>
      </c>
      <c r="D1089" s="134" t="str">
        <f t="shared" si="79"/>
        <v>Female 775pro 12</v>
      </c>
      <c r="E1089" s="134">
        <v>10</v>
      </c>
      <c r="F1089" s="134">
        <v>5</v>
      </c>
      <c r="G1089" s="134">
        <v>0</v>
      </c>
      <c r="H1089" s="134">
        <v>0</v>
      </c>
    </row>
    <row r="1090" spans="1:8" ht="15" customHeight="1" x14ac:dyDescent="0.3">
      <c r="A1090" s="134" t="s">
        <v>251</v>
      </c>
      <c r="B1090" s="134" t="s">
        <v>257</v>
      </c>
      <c r="C1090" s="134">
        <v>15</v>
      </c>
      <c r="D1090" s="134" t="str">
        <f t="shared" si="79"/>
        <v>Female 775pro 15</v>
      </c>
      <c r="E1090" s="134">
        <v>9</v>
      </c>
      <c r="F1090" s="134">
        <v>5</v>
      </c>
      <c r="G1090" s="134">
        <v>0</v>
      </c>
      <c r="H1090" s="134">
        <v>0</v>
      </c>
    </row>
    <row r="1091" spans="1:8" ht="15" customHeight="1" x14ac:dyDescent="0.3">
      <c r="A1091" s="134" t="s">
        <v>251</v>
      </c>
      <c r="B1091" s="134" t="s">
        <v>257</v>
      </c>
      <c r="C1091" s="134">
        <v>16</v>
      </c>
      <c r="D1091" s="134" t="str">
        <f t="shared" si="79"/>
        <v>Female 775pro 16</v>
      </c>
      <c r="E1091" s="134">
        <v>7</v>
      </c>
      <c r="F1091" s="134">
        <v>5</v>
      </c>
      <c r="G1091" s="134">
        <v>0</v>
      </c>
      <c r="H1091" s="134">
        <v>0</v>
      </c>
    </row>
    <row r="1092" spans="1:8" ht="15" customHeight="1" x14ac:dyDescent="0.3">
      <c r="A1092" s="134" t="s">
        <v>251</v>
      </c>
      <c r="B1092" s="134" t="s">
        <v>257</v>
      </c>
      <c r="C1092" s="134">
        <v>20</v>
      </c>
      <c r="D1092" s="134" t="str">
        <f t="shared" si="79"/>
        <v>Female 775pro 20</v>
      </c>
      <c r="E1092" s="134">
        <v>5</v>
      </c>
      <c r="F1092" s="134">
        <v>5</v>
      </c>
      <c r="G1092" s="134">
        <v>0</v>
      </c>
      <c r="H1092" s="134">
        <v>0</v>
      </c>
    </row>
    <row r="1093" spans="1:8" ht="15" customHeight="1" x14ac:dyDescent="0.3">
      <c r="A1093" s="134" t="s">
        <v>251</v>
      </c>
      <c r="B1093" s="134" t="s">
        <v>257</v>
      </c>
      <c r="C1093" s="134">
        <v>21</v>
      </c>
      <c r="D1093" s="134" t="str">
        <f t="shared" si="79"/>
        <v>Female 775pro 21</v>
      </c>
      <c r="E1093" s="134">
        <v>5</v>
      </c>
      <c r="F1093" s="134">
        <v>5</v>
      </c>
      <c r="G1093" s="134">
        <v>0</v>
      </c>
      <c r="H1093" s="134">
        <v>0</v>
      </c>
    </row>
    <row r="1094" spans="1:8" ht="15" customHeight="1" x14ac:dyDescent="0.3">
      <c r="A1094" s="134" t="s">
        <v>251</v>
      </c>
      <c r="B1094" s="134" t="s">
        <v>257</v>
      </c>
      <c r="C1094" s="134">
        <v>25</v>
      </c>
      <c r="D1094" s="134" t="str">
        <f t="shared" si="79"/>
        <v>Female 775pro 25</v>
      </c>
      <c r="E1094" s="134">
        <v>5</v>
      </c>
      <c r="F1094" s="134">
        <v>4</v>
      </c>
      <c r="G1094" s="134">
        <v>0</v>
      </c>
      <c r="H1094" s="134">
        <v>0</v>
      </c>
    </row>
    <row r="1095" spans="1:8" ht="15" customHeight="1" x14ac:dyDescent="0.3">
      <c r="A1095" s="134" t="s">
        <v>251</v>
      </c>
      <c r="B1095" s="134" t="s">
        <v>257</v>
      </c>
      <c r="C1095" s="134">
        <v>27</v>
      </c>
      <c r="D1095" s="134" t="str">
        <f t="shared" si="79"/>
        <v>Female 775pro 27</v>
      </c>
      <c r="E1095" s="134">
        <v>5</v>
      </c>
      <c r="F1095" s="134">
        <v>4</v>
      </c>
      <c r="G1095" s="134">
        <v>0</v>
      </c>
      <c r="H1095" s="134">
        <v>0</v>
      </c>
    </row>
    <row r="1096" spans="1:8" ht="15" customHeight="1" x14ac:dyDescent="0.3">
      <c r="A1096" s="134" t="s">
        <v>251</v>
      </c>
      <c r="B1096" s="134" t="s">
        <v>257</v>
      </c>
      <c r="C1096" s="134">
        <v>28</v>
      </c>
      <c r="D1096" s="134" t="str">
        <f t="shared" si="79"/>
        <v>Female 775pro 28</v>
      </c>
      <c r="E1096" s="134">
        <v>5</v>
      </c>
      <c r="F1096" s="134">
        <v>3</v>
      </c>
      <c r="G1096" s="134">
        <v>0</v>
      </c>
      <c r="H1096" s="134">
        <v>0</v>
      </c>
    </row>
    <row r="1097" spans="1:8" ht="15" customHeight="1" x14ac:dyDescent="0.3">
      <c r="A1097" s="134" t="s">
        <v>251</v>
      </c>
      <c r="B1097" s="134" t="s">
        <v>257</v>
      </c>
      <c r="C1097" s="134">
        <v>30</v>
      </c>
      <c r="D1097" s="134" t="str">
        <f t="shared" si="79"/>
        <v>Female 775pro 30</v>
      </c>
      <c r="E1097" s="134">
        <v>5</v>
      </c>
      <c r="F1097" s="134">
        <v>3</v>
      </c>
      <c r="G1097" s="134">
        <v>0</v>
      </c>
      <c r="H1097" s="134">
        <v>0</v>
      </c>
    </row>
    <row r="1098" spans="1:8" ht="15" customHeight="1" x14ac:dyDescent="0.3">
      <c r="A1098" s="134" t="s">
        <v>251</v>
      </c>
      <c r="B1098" s="134" t="s">
        <v>257</v>
      </c>
      <c r="C1098" s="134">
        <v>35</v>
      </c>
      <c r="D1098" s="134" t="str">
        <f t="shared" si="79"/>
        <v>Female 775pro 35</v>
      </c>
      <c r="E1098" s="134">
        <v>5</v>
      </c>
      <c r="F1098" s="134">
        <v>3</v>
      </c>
      <c r="G1098" s="134">
        <v>0</v>
      </c>
      <c r="H1098" s="134">
        <v>0</v>
      </c>
    </row>
    <row r="1099" spans="1:8" ht="15" customHeight="1" x14ac:dyDescent="0.3">
      <c r="A1099" s="134" t="s">
        <v>251</v>
      </c>
      <c r="B1099" s="134" t="s">
        <v>257</v>
      </c>
      <c r="C1099" s="134">
        <v>36</v>
      </c>
      <c r="D1099" s="134" t="str">
        <f t="shared" si="79"/>
        <v>Female 775pro 36</v>
      </c>
      <c r="E1099" s="134">
        <v>5</v>
      </c>
      <c r="F1099" s="134">
        <v>3</v>
      </c>
      <c r="G1099" s="134">
        <v>0</v>
      </c>
      <c r="H1099" s="134">
        <v>0</v>
      </c>
    </row>
    <row r="1100" spans="1:8" ht="15" customHeight="1" x14ac:dyDescent="0.3">
      <c r="A1100" s="134" t="s">
        <v>251</v>
      </c>
      <c r="B1100" s="134" t="s">
        <v>257</v>
      </c>
      <c r="C1100" s="134">
        <v>40</v>
      </c>
      <c r="D1100" s="134" t="str">
        <f t="shared" si="79"/>
        <v>Female 775pro 40</v>
      </c>
      <c r="E1100" s="134">
        <v>5</v>
      </c>
      <c r="F1100" s="134">
        <v>1</v>
      </c>
      <c r="G1100" s="134">
        <v>0</v>
      </c>
      <c r="H1100" s="134">
        <v>0</v>
      </c>
    </row>
    <row r="1101" spans="1:8" ht="15" customHeight="1" x14ac:dyDescent="0.3">
      <c r="A1101" s="134" t="s">
        <v>251</v>
      </c>
      <c r="B1101" s="134" t="s">
        <v>257</v>
      </c>
      <c r="C1101" s="134">
        <v>45</v>
      </c>
      <c r="D1101" s="134" t="str">
        <f t="shared" si="79"/>
        <v>Female 775pro 45</v>
      </c>
      <c r="E1101" s="134">
        <v>4</v>
      </c>
      <c r="F1101" s="134">
        <v>1</v>
      </c>
      <c r="G1101" s="134">
        <v>0</v>
      </c>
      <c r="H1101" s="134">
        <v>0</v>
      </c>
    </row>
    <row r="1102" spans="1:8" ht="15" customHeight="1" x14ac:dyDescent="0.3">
      <c r="A1102" s="134" t="s">
        <v>251</v>
      </c>
      <c r="B1102" s="134" t="s">
        <v>257</v>
      </c>
      <c r="C1102" s="134">
        <v>49</v>
      </c>
      <c r="D1102" s="134" t="str">
        <f t="shared" si="79"/>
        <v>Female 775pro 49</v>
      </c>
      <c r="E1102" s="134">
        <v>4</v>
      </c>
      <c r="F1102" s="134">
        <v>1</v>
      </c>
      <c r="G1102" s="134">
        <v>0</v>
      </c>
      <c r="H1102" s="134">
        <v>0</v>
      </c>
    </row>
    <row r="1103" spans="1:8" ht="15" customHeight="1" x14ac:dyDescent="0.3">
      <c r="A1103" s="134" t="s">
        <v>251</v>
      </c>
      <c r="B1103" s="134" t="s">
        <v>257</v>
      </c>
      <c r="C1103" s="134">
        <v>50</v>
      </c>
      <c r="D1103" s="134" t="str">
        <f t="shared" si="79"/>
        <v>Female 775pro 50</v>
      </c>
      <c r="E1103" s="134">
        <v>4</v>
      </c>
      <c r="F1103" s="134">
        <v>1</v>
      </c>
      <c r="G1103" s="134">
        <v>0</v>
      </c>
      <c r="H1103" s="134">
        <v>0</v>
      </c>
    </row>
    <row r="1104" spans="1:8" ht="15" customHeight="1" x14ac:dyDescent="0.3">
      <c r="A1104" s="134" t="s">
        <v>251</v>
      </c>
      <c r="B1104" s="134" t="s">
        <v>257</v>
      </c>
      <c r="C1104" s="134">
        <v>63</v>
      </c>
      <c r="D1104" s="134" t="str">
        <f t="shared" si="79"/>
        <v>Female 775pro 63</v>
      </c>
      <c r="E1104" s="134">
        <v>3</v>
      </c>
      <c r="F1104" s="134">
        <v>1</v>
      </c>
      <c r="G1104" s="134">
        <v>0</v>
      </c>
      <c r="H1104" s="134">
        <v>0</v>
      </c>
    </row>
    <row r="1105" spans="1:9" ht="15" customHeight="1" x14ac:dyDescent="0.3">
      <c r="A1105" s="134" t="s">
        <v>251</v>
      </c>
      <c r="B1105" s="134" t="s">
        <v>257</v>
      </c>
      <c r="C1105" s="134">
        <v>70</v>
      </c>
      <c r="D1105" s="134" t="str">
        <f t="shared" si="79"/>
        <v>Female 775pro 70</v>
      </c>
      <c r="E1105" s="134">
        <v>3</v>
      </c>
      <c r="F1105" s="134">
        <v>0</v>
      </c>
      <c r="G1105" s="134">
        <v>0</v>
      </c>
      <c r="H1105" s="134">
        <v>0</v>
      </c>
    </row>
    <row r="1106" spans="1:9" ht="15" customHeight="1" x14ac:dyDescent="0.3">
      <c r="A1106" s="134" t="s">
        <v>251</v>
      </c>
      <c r="B1106" s="134" t="s">
        <v>257</v>
      </c>
      <c r="C1106" s="134">
        <v>81</v>
      </c>
      <c r="D1106" s="134" t="str">
        <f t="shared" si="79"/>
        <v>Female 775pro 81</v>
      </c>
      <c r="E1106" s="134">
        <v>1</v>
      </c>
      <c r="F1106" s="134">
        <v>0</v>
      </c>
      <c r="G1106" s="134">
        <v>0</v>
      </c>
      <c r="H1106" s="134">
        <v>0</v>
      </c>
    </row>
    <row r="1107" spans="1:9" ht="15" customHeight="1" x14ac:dyDescent="0.3">
      <c r="A1107" s="134" t="s">
        <v>251</v>
      </c>
      <c r="B1107" s="134" t="s">
        <v>257</v>
      </c>
      <c r="C1107" s="134">
        <v>90</v>
      </c>
      <c r="D1107" s="134" t="str">
        <f t="shared" si="79"/>
        <v>Female 775pro 90</v>
      </c>
      <c r="E1107" s="134">
        <v>1</v>
      </c>
      <c r="F1107" s="134">
        <v>0</v>
      </c>
      <c r="G1107" s="134">
        <v>0</v>
      </c>
      <c r="H1107" s="134">
        <v>0</v>
      </c>
    </row>
    <row r="1108" spans="1:9" ht="15" customHeight="1" x14ac:dyDescent="0.3">
      <c r="A1108" s="134" t="s">
        <v>251</v>
      </c>
      <c r="B1108" s="134" t="s">
        <v>257</v>
      </c>
      <c r="C1108" s="134">
        <v>100</v>
      </c>
      <c r="D1108" s="134" t="str">
        <f t="shared" si="79"/>
        <v>Female 775pro 100</v>
      </c>
      <c r="E1108" s="134">
        <v>1</v>
      </c>
      <c r="F1108" s="134">
        <v>0</v>
      </c>
      <c r="G1108" s="134">
        <v>0</v>
      </c>
      <c r="H1108" s="134">
        <v>0</v>
      </c>
    </row>
    <row r="1109" spans="1:9" ht="15" customHeight="1" x14ac:dyDescent="0.3">
      <c r="A1109" s="134" t="s">
        <v>251</v>
      </c>
      <c r="B1109" s="134" t="s">
        <v>7</v>
      </c>
      <c r="C1109" s="134">
        <v>-3</v>
      </c>
      <c r="D1109" s="134" t="str">
        <f t="shared" ref="D1109:D1114" si="80">A1109&amp;" "&amp;B1109&amp;" "&amp;C1109</f>
        <v>Female Mini CIM -3</v>
      </c>
      <c r="E1109" s="134">
        <v>1</v>
      </c>
      <c r="I1109" s="134">
        <v>0</v>
      </c>
    </row>
    <row r="1110" spans="1:9" ht="15" customHeight="1" x14ac:dyDescent="0.3">
      <c r="A1110" s="134" t="s">
        <v>251</v>
      </c>
      <c r="B1110" s="134" t="s">
        <v>7</v>
      </c>
      <c r="C1110" s="134">
        <v>-4</v>
      </c>
      <c r="D1110" s="134" t="str">
        <f t="shared" si="80"/>
        <v>Female Mini CIM -4</v>
      </c>
      <c r="E1110" s="134">
        <v>1</v>
      </c>
      <c r="I1110" s="134">
        <v>0</v>
      </c>
    </row>
    <row r="1111" spans="1:9" ht="15" customHeight="1" x14ac:dyDescent="0.3">
      <c r="A1111" s="134" t="s">
        <v>251</v>
      </c>
      <c r="B1111" s="134" t="s">
        <v>7</v>
      </c>
      <c r="C1111" s="134">
        <v>-5</v>
      </c>
      <c r="D1111" s="134" t="str">
        <f t="shared" si="80"/>
        <v>Female Mini CIM -5</v>
      </c>
      <c r="E1111" s="134">
        <v>1</v>
      </c>
      <c r="I1111" s="134">
        <v>0</v>
      </c>
    </row>
    <row r="1112" spans="1:9" ht="15" customHeight="1" x14ac:dyDescent="0.3">
      <c r="A1112" s="134" t="s">
        <v>251</v>
      </c>
      <c r="B1112" s="134" t="s">
        <v>7</v>
      </c>
      <c r="C1112" s="134">
        <v>-7</v>
      </c>
      <c r="D1112" s="134" t="str">
        <f t="shared" si="80"/>
        <v>Female Mini CIM -7</v>
      </c>
      <c r="E1112" s="134">
        <v>1</v>
      </c>
      <c r="I1112" s="134">
        <v>0</v>
      </c>
    </row>
    <row r="1113" spans="1:9" ht="15" customHeight="1" x14ac:dyDescent="0.3">
      <c r="A1113" s="134" t="s">
        <v>251</v>
      </c>
      <c r="B1113" s="134" t="s">
        <v>7</v>
      </c>
      <c r="C1113" s="134">
        <v>-9</v>
      </c>
      <c r="D1113" s="134" t="str">
        <f t="shared" si="80"/>
        <v>Female Mini CIM -9</v>
      </c>
      <c r="E1113" s="134">
        <v>1</v>
      </c>
      <c r="I1113" s="134">
        <v>0</v>
      </c>
    </row>
    <row r="1114" spans="1:9" ht="15" customHeight="1" x14ac:dyDescent="0.3">
      <c r="A1114" s="134" t="s">
        <v>251</v>
      </c>
      <c r="B1114" s="134" t="s">
        <v>7</v>
      </c>
      <c r="C1114" s="134">
        <v>-10</v>
      </c>
      <c r="D1114" s="134" t="str">
        <f t="shared" si="80"/>
        <v>Female Mini CIM -10</v>
      </c>
      <c r="E1114" s="134">
        <v>1</v>
      </c>
      <c r="I1114" s="134">
        <v>0</v>
      </c>
    </row>
    <row r="1115" spans="1:9" ht="15" customHeight="1" x14ac:dyDescent="0.3">
      <c r="A1115" s="134" t="s">
        <v>251</v>
      </c>
      <c r="B1115" s="134" t="s">
        <v>7</v>
      </c>
      <c r="C1115" s="134">
        <v>9</v>
      </c>
      <c r="D1115" s="134" t="str">
        <f t="shared" ref="D1115:D1135" si="81">A1115&amp;" "&amp;B1115&amp;" "&amp;C1115</f>
        <v>Female Mini CIM 9</v>
      </c>
      <c r="E1115" s="134">
        <v>7</v>
      </c>
      <c r="I1115" s="134">
        <v>0</v>
      </c>
    </row>
    <row r="1116" spans="1:9" ht="15" customHeight="1" x14ac:dyDescent="0.3">
      <c r="A1116" s="134" t="s">
        <v>251</v>
      </c>
      <c r="B1116" s="134" t="s">
        <v>7</v>
      </c>
      <c r="C1116" s="134">
        <v>12</v>
      </c>
      <c r="D1116" s="134" t="str">
        <f t="shared" si="81"/>
        <v>Female Mini CIM 12</v>
      </c>
      <c r="E1116" s="134">
        <v>5</v>
      </c>
      <c r="I1116" s="134">
        <v>0</v>
      </c>
    </row>
    <row r="1117" spans="1:9" ht="15" customHeight="1" x14ac:dyDescent="0.3">
      <c r="A1117" s="134" t="s">
        <v>251</v>
      </c>
      <c r="B1117" s="134" t="s">
        <v>7</v>
      </c>
      <c r="C1117" s="134">
        <v>15</v>
      </c>
      <c r="D1117" s="134" t="str">
        <f t="shared" si="81"/>
        <v>Female Mini CIM 15</v>
      </c>
      <c r="E1117" s="134">
        <v>5</v>
      </c>
      <c r="I1117" s="134">
        <v>0</v>
      </c>
    </row>
    <row r="1118" spans="1:9" ht="15" customHeight="1" x14ac:dyDescent="0.3">
      <c r="A1118" s="134" t="s">
        <v>251</v>
      </c>
      <c r="B1118" s="134" t="s">
        <v>7</v>
      </c>
      <c r="C1118" s="134">
        <v>16</v>
      </c>
      <c r="D1118" s="134" t="str">
        <f t="shared" si="81"/>
        <v>Female Mini CIM 16</v>
      </c>
      <c r="E1118" s="134">
        <v>5</v>
      </c>
      <c r="I1118" s="134">
        <v>0</v>
      </c>
    </row>
    <row r="1119" spans="1:9" ht="15" customHeight="1" x14ac:dyDescent="0.3">
      <c r="A1119" s="134" t="s">
        <v>251</v>
      </c>
      <c r="B1119" s="134" t="s">
        <v>7</v>
      </c>
      <c r="C1119" s="134">
        <v>20</v>
      </c>
      <c r="D1119" s="134" t="str">
        <f t="shared" si="81"/>
        <v>Female Mini CIM 20</v>
      </c>
      <c r="E1119" s="134">
        <v>5</v>
      </c>
      <c r="I1119" s="134">
        <v>0</v>
      </c>
    </row>
    <row r="1120" spans="1:9" ht="15" customHeight="1" x14ac:dyDescent="0.3">
      <c r="A1120" s="134" t="s">
        <v>251</v>
      </c>
      <c r="B1120" s="134" t="s">
        <v>7</v>
      </c>
      <c r="C1120" s="134">
        <v>21</v>
      </c>
      <c r="D1120" s="134" t="str">
        <f t="shared" si="81"/>
        <v>Female Mini CIM 21</v>
      </c>
      <c r="E1120" s="134">
        <v>5</v>
      </c>
      <c r="I1120" s="134">
        <v>0</v>
      </c>
    </row>
    <row r="1121" spans="1:9" ht="15" customHeight="1" x14ac:dyDescent="0.3">
      <c r="A1121" s="134" t="s">
        <v>251</v>
      </c>
      <c r="B1121" s="134" t="s">
        <v>7</v>
      </c>
      <c r="C1121" s="134">
        <v>25</v>
      </c>
      <c r="D1121" s="134" t="str">
        <f t="shared" si="81"/>
        <v>Female Mini CIM 25</v>
      </c>
      <c r="E1121" s="134">
        <v>4</v>
      </c>
      <c r="I1121" s="134">
        <v>0</v>
      </c>
    </row>
    <row r="1122" spans="1:9" ht="15" customHeight="1" x14ac:dyDescent="0.3">
      <c r="A1122" s="134" t="s">
        <v>251</v>
      </c>
      <c r="B1122" s="134" t="s">
        <v>7</v>
      </c>
      <c r="C1122" s="134">
        <v>27</v>
      </c>
      <c r="D1122" s="134" t="str">
        <f t="shared" si="81"/>
        <v>Female Mini CIM 27</v>
      </c>
      <c r="E1122" s="134">
        <v>4</v>
      </c>
      <c r="I1122" s="134">
        <v>0</v>
      </c>
    </row>
    <row r="1123" spans="1:9" ht="15" customHeight="1" x14ac:dyDescent="0.3">
      <c r="A1123" s="134" t="s">
        <v>251</v>
      </c>
      <c r="B1123" s="134" t="s">
        <v>7</v>
      </c>
      <c r="C1123" s="134">
        <v>28</v>
      </c>
      <c r="D1123" s="134" t="str">
        <f t="shared" si="81"/>
        <v>Female Mini CIM 28</v>
      </c>
      <c r="E1123" s="134">
        <v>3</v>
      </c>
      <c r="I1123" s="134">
        <v>0</v>
      </c>
    </row>
    <row r="1124" spans="1:9" ht="15" customHeight="1" x14ac:dyDescent="0.3">
      <c r="A1124" s="134" t="s">
        <v>251</v>
      </c>
      <c r="B1124" s="134" t="s">
        <v>7</v>
      </c>
      <c r="C1124" s="134">
        <v>30</v>
      </c>
      <c r="D1124" s="134" t="str">
        <f t="shared" si="81"/>
        <v>Female Mini CIM 30</v>
      </c>
      <c r="E1124" s="134">
        <v>3</v>
      </c>
      <c r="I1124" s="134">
        <v>0</v>
      </c>
    </row>
    <row r="1125" spans="1:9" ht="15" customHeight="1" x14ac:dyDescent="0.3">
      <c r="A1125" s="134" t="s">
        <v>251</v>
      </c>
      <c r="B1125" s="134" t="s">
        <v>7</v>
      </c>
      <c r="C1125" s="134">
        <v>35</v>
      </c>
      <c r="D1125" s="134" t="str">
        <f t="shared" si="81"/>
        <v>Female Mini CIM 35</v>
      </c>
      <c r="E1125" s="134">
        <v>3</v>
      </c>
      <c r="I1125" s="134">
        <v>0</v>
      </c>
    </row>
    <row r="1126" spans="1:9" ht="15" customHeight="1" x14ac:dyDescent="0.3">
      <c r="A1126" s="134" t="s">
        <v>251</v>
      </c>
      <c r="B1126" s="134" t="s">
        <v>7</v>
      </c>
      <c r="C1126" s="134">
        <v>36</v>
      </c>
      <c r="D1126" s="134" t="str">
        <f t="shared" si="81"/>
        <v>Female Mini CIM 36</v>
      </c>
      <c r="E1126" s="134">
        <v>3</v>
      </c>
      <c r="I1126" s="134">
        <v>0</v>
      </c>
    </row>
    <row r="1127" spans="1:9" ht="15" customHeight="1" x14ac:dyDescent="0.3">
      <c r="A1127" s="134" t="s">
        <v>251</v>
      </c>
      <c r="B1127" s="134" t="s">
        <v>7</v>
      </c>
      <c r="C1127" s="134">
        <v>40</v>
      </c>
      <c r="D1127" s="134" t="str">
        <f t="shared" si="81"/>
        <v>Female Mini CIM 40</v>
      </c>
      <c r="E1127" s="134">
        <v>1</v>
      </c>
      <c r="I1127" s="134">
        <v>0</v>
      </c>
    </row>
    <row r="1128" spans="1:9" ht="15" customHeight="1" x14ac:dyDescent="0.3">
      <c r="A1128" s="134" t="s">
        <v>251</v>
      </c>
      <c r="B1128" s="134" t="s">
        <v>7</v>
      </c>
      <c r="C1128" s="134">
        <v>45</v>
      </c>
      <c r="D1128" s="134" t="str">
        <f t="shared" si="81"/>
        <v>Female Mini CIM 45</v>
      </c>
      <c r="E1128" s="134">
        <v>1</v>
      </c>
      <c r="I1128" s="134">
        <v>0</v>
      </c>
    </row>
    <row r="1129" spans="1:9" ht="15" customHeight="1" x14ac:dyDescent="0.3">
      <c r="A1129" s="134" t="s">
        <v>251</v>
      </c>
      <c r="B1129" s="134" t="s">
        <v>7</v>
      </c>
      <c r="C1129" s="134">
        <v>49</v>
      </c>
      <c r="D1129" s="134" t="str">
        <f t="shared" si="81"/>
        <v>Female Mini CIM 49</v>
      </c>
      <c r="E1129" s="134">
        <v>1</v>
      </c>
      <c r="I1129" s="134">
        <v>0</v>
      </c>
    </row>
    <row r="1130" spans="1:9" ht="15" customHeight="1" x14ac:dyDescent="0.3">
      <c r="A1130" s="134" t="s">
        <v>251</v>
      </c>
      <c r="B1130" s="134" t="s">
        <v>7</v>
      </c>
      <c r="C1130" s="134">
        <v>50</v>
      </c>
      <c r="D1130" s="134" t="str">
        <f t="shared" si="81"/>
        <v>Female Mini CIM 50</v>
      </c>
      <c r="E1130" s="134">
        <v>1</v>
      </c>
      <c r="I1130" s="134">
        <v>0</v>
      </c>
    </row>
    <row r="1131" spans="1:9" ht="15" customHeight="1" x14ac:dyDescent="0.3">
      <c r="A1131" s="134" t="s">
        <v>251</v>
      </c>
      <c r="B1131" s="134" t="s">
        <v>7</v>
      </c>
      <c r="C1131" s="134">
        <v>63</v>
      </c>
      <c r="D1131" s="134" t="str">
        <f t="shared" si="81"/>
        <v>Female Mini CIM 63</v>
      </c>
      <c r="E1131" s="134">
        <v>1</v>
      </c>
      <c r="I1131" s="134">
        <v>0</v>
      </c>
    </row>
    <row r="1132" spans="1:9" ht="15" customHeight="1" x14ac:dyDescent="0.3">
      <c r="A1132" s="134" t="s">
        <v>251</v>
      </c>
      <c r="B1132" s="134" t="s">
        <v>7</v>
      </c>
      <c r="C1132" s="134">
        <v>70</v>
      </c>
      <c r="D1132" s="134" t="str">
        <f t="shared" si="81"/>
        <v>Female Mini CIM 70</v>
      </c>
      <c r="E1132" s="134">
        <v>0</v>
      </c>
      <c r="I1132" s="134">
        <v>0</v>
      </c>
    </row>
    <row r="1133" spans="1:9" ht="15" customHeight="1" x14ac:dyDescent="0.3">
      <c r="A1133" s="134" t="s">
        <v>251</v>
      </c>
      <c r="B1133" s="134" t="s">
        <v>7</v>
      </c>
      <c r="C1133" s="134">
        <v>81</v>
      </c>
      <c r="D1133" s="134" t="str">
        <f t="shared" si="81"/>
        <v>Female Mini CIM 81</v>
      </c>
      <c r="E1133" s="134">
        <v>0</v>
      </c>
      <c r="I1133" s="134">
        <v>0</v>
      </c>
    </row>
    <row r="1134" spans="1:9" ht="15" customHeight="1" x14ac:dyDescent="0.3">
      <c r="A1134" s="134" t="s">
        <v>251</v>
      </c>
      <c r="B1134" s="134" t="s">
        <v>7</v>
      </c>
      <c r="C1134" s="134">
        <v>90</v>
      </c>
      <c r="D1134" s="134" t="str">
        <f t="shared" si="81"/>
        <v>Female Mini CIM 90</v>
      </c>
      <c r="E1134" s="134">
        <v>0</v>
      </c>
      <c r="I1134" s="134">
        <v>0</v>
      </c>
    </row>
    <row r="1135" spans="1:9" ht="15" customHeight="1" x14ac:dyDescent="0.3">
      <c r="A1135" s="134" t="s">
        <v>251</v>
      </c>
      <c r="B1135" s="134" t="s">
        <v>7</v>
      </c>
      <c r="C1135" s="134">
        <v>100</v>
      </c>
      <c r="D1135" s="134" t="str">
        <f t="shared" si="81"/>
        <v>Female Mini CIM 100</v>
      </c>
      <c r="E1135" s="134">
        <v>0</v>
      </c>
      <c r="I1135" s="134">
        <v>0</v>
      </c>
    </row>
    <row r="1136" spans="1:9" ht="15" customHeight="1" x14ac:dyDescent="0.3">
      <c r="A1136" s="134" t="s">
        <v>251</v>
      </c>
      <c r="B1136" s="134" t="s">
        <v>6</v>
      </c>
      <c r="C1136" s="134">
        <v>-3</v>
      </c>
      <c r="D1136" s="134" t="str">
        <f t="shared" ref="D1136:D1141" si="82">A1136&amp;" "&amp;B1136&amp;" "&amp;C1136</f>
        <v>Female CIM -3</v>
      </c>
      <c r="E1136" s="134">
        <v>1</v>
      </c>
      <c r="I1136" s="134">
        <v>0</v>
      </c>
    </row>
    <row r="1137" spans="1:9" ht="15" customHeight="1" x14ac:dyDescent="0.3">
      <c r="A1137" s="134" t="s">
        <v>251</v>
      </c>
      <c r="B1137" s="134" t="s">
        <v>6</v>
      </c>
      <c r="C1137" s="134">
        <v>-4</v>
      </c>
      <c r="D1137" s="134" t="str">
        <f t="shared" si="82"/>
        <v>Female CIM -4</v>
      </c>
      <c r="E1137" s="134">
        <v>1</v>
      </c>
      <c r="I1137" s="134">
        <v>0</v>
      </c>
    </row>
    <row r="1138" spans="1:9" ht="15" customHeight="1" x14ac:dyDescent="0.3">
      <c r="A1138" s="134" t="s">
        <v>251</v>
      </c>
      <c r="B1138" s="134" t="s">
        <v>6</v>
      </c>
      <c r="C1138" s="134">
        <v>-5</v>
      </c>
      <c r="D1138" s="134" t="str">
        <f t="shared" si="82"/>
        <v>Female CIM -5</v>
      </c>
      <c r="E1138" s="134">
        <v>1</v>
      </c>
      <c r="I1138" s="134">
        <v>0</v>
      </c>
    </row>
    <row r="1139" spans="1:9" ht="15" customHeight="1" x14ac:dyDescent="0.3">
      <c r="A1139" s="134" t="s">
        <v>251</v>
      </c>
      <c r="B1139" s="134" t="s">
        <v>6</v>
      </c>
      <c r="C1139" s="134">
        <v>-7</v>
      </c>
      <c r="D1139" s="134" t="str">
        <f t="shared" si="82"/>
        <v>Female CIM -7</v>
      </c>
      <c r="E1139" s="134">
        <v>1</v>
      </c>
      <c r="I1139" s="134">
        <v>0</v>
      </c>
    </row>
    <row r="1140" spans="1:9" ht="15" customHeight="1" x14ac:dyDescent="0.3">
      <c r="A1140" s="134" t="s">
        <v>251</v>
      </c>
      <c r="B1140" s="134" t="s">
        <v>6</v>
      </c>
      <c r="C1140" s="134">
        <v>-9</v>
      </c>
      <c r="D1140" s="134" t="str">
        <f t="shared" si="82"/>
        <v>Female CIM -9</v>
      </c>
      <c r="E1140" s="134">
        <v>1</v>
      </c>
      <c r="I1140" s="134">
        <v>0</v>
      </c>
    </row>
    <row r="1141" spans="1:9" ht="15" customHeight="1" x14ac:dyDescent="0.3">
      <c r="A1141" s="134" t="s">
        <v>251</v>
      </c>
      <c r="B1141" s="134" t="s">
        <v>6</v>
      </c>
      <c r="C1141" s="134">
        <v>-10</v>
      </c>
      <c r="D1141" s="134" t="str">
        <f t="shared" si="82"/>
        <v>Female CIM -10</v>
      </c>
      <c r="E1141" s="134">
        <v>1</v>
      </c>
      <c r="I1141" s="134">
        <v>0</v>
      </c>
    </row>
    <row r="1142" spans="1:9" ht="15" customHeight="1" x14ac:dyDescent="0.3">
      <c r="A1142" s="134" t="s">
        <v>251</v>
      </c>
      <c r="B1142" s="134" t="s">
        <v>6</v>
      </c>
      <c r="C1142" s="134">
        <v>9</v>
      </c>
      <c r="D1142" s="134" t="str">
        <f t="shared" ref="D1142:D1162" si="83">A1142&amp;" "&amp;B1142&amp;" "&amp;C1142</f>
        <v>Female CIM 9</v>
      </c>
      <c r="E1142" s="134">
        <v>5</v>
      </c>
      <c r="I1142" s="134">
        <v>0</v>
      </c>
    </row>
    <row r="1143" spans="1:9" ht="15" customHeight="1" x14ac:dyDescent="0.3">
      <c r="A1143" s="134" t="s">
        <v>251</v>
      </c>
      <c r="B1143" s="134" t="s">
        <v>6</v>
      </c>
      <c r="C1143" s="134">
        <v>12</v>
      </c>
      <c r="D1143" s="134" t="str">
        <f t="shared" si="83"/>
        <v>Female CIM 12</v>
      </c>
      <c r="E1143" s="134">
        <v>5</v>
      </c>
      <c r="I1143" s="134">
        <v>0</v>
      </c>
    </row>
    <row r="1144" spans="1:9" ht="15" customHeight="1" x14ac:dyDescent="0.3">
      <c r="A1144" s="134" t="s">
        <v>251</v>
      </c>
      <c r="B1144" s="134" t="s">
        <v>6</v>
      </c>
      <c r="C1144" s="134">
        <v>15</v>
      </c>
      <c r="D1144" s="134" t="str">
        <f t="shared" si="83"/>
        <v>Female CIM 15</v>
      </c>
      <c r="E1144" s="134">
        <v>4</v>
      </c>
      <c r="I1144" s="134">
        <v>0</v>
      </c>
    </row>
    <row r="1145" spans="1:9" ht="15" customHeight="1" x14ac:dyDescent="0.3">
      <c r="A1145" s="134" t="s">
        <v>251</v>
      </c>
      <c r="B1145" s="134" t="s">
        <v>6</v>
      </c>
      <c r="C1145" s="134">
        <v>16</v>
      </c>
      <c r="D1145" s="134" t="str">
        <f t="shared" si="83"/>
        <v>Female CIM 16</v>
      </c>
      <c r="E1145" s="134">
        <v>4</v>
      </c>
      <c r="I1145" s="134">
        <v>0</v>
      </c>
    </row>
    <row r="1146" spans="1:9" ht="15" customHeight="1" x14ac:dyDescent="0.3">
      <c r="A1146" s="134" t="s">
        <v>251</v>
      </c>
      <c r="B1146" s="134" t="s">
        <v>6</v>
      </c>
      <c r="C1146" s="134">
        <v>20</v>
      </c>
      <c r="D1146" s="134" t="str">
        <f t="shared" si="83"/>
        <v>Female CIM 20</v>
      </c>
      <c r="E1146" s="134">
        <v>3</v>
      </c>
      <c r="I1146" s="134">
        <v>0</v>
      </c>
    </row>
    <row r="1147" spans="1:9" ht="15" customHeight="1" x14ac:dyDescent="0.3">
      <c r="A1147" s="134" t="s">
        <v>251</v>
      </c>
      <c r="B1147" s="134" t="s">
        <v>6</v>
      </c>
      <c r="C1147" s="134">
        <v>21</v>
      </c>
      <c r="D1147" s="134" t="str">
        <f t="shared" si="83"/>
        <v>Female CIM 21</v>
      </c>
      <c r="E1147" s="134">
        <v>3</v>
      </c>
      <c r="I1147" s="134">
        <v>0</v>
      </c>
    </row>
    <row r="1148" spans="1:9" ht="15" customHeight="1" x14ac:dyDescent="0.3">
      <c r="A1148" s="134" t="s">
        <v>251</v>
      </c>
      <c r="B1148" s="134" t="s">
        <v>6</v>
      </c>
      <c r="C1148" s="134">
        <v>25</v>
      </c>
      <c r="D1148" s="134" t="str">
        <f t="shared" si="83"/>
        <v>Female CIM 25</v>
      </c>
      <c r="E1148" s="134">
        <v>1</v>
      </c>
      <c r="I1148" s="134">
        <v>0</v>
      </c>
    </row>
    <row r="1149" spans="1:9" ht="15" customHeight="1" x14ac:dyDescent="0.3">
      <c r="A1149" s="134" t="s">
        <v>251</v>
      </c>
      <c r="B1149" s="134" t="s">
        <v>6</v>
      </c>
      <c r="C1149" s="134">
        <v>27</v>
      </c>
      <c r="D1149" s="134" t="str">
        <f t="shared" si="83"/>
        <v>Female CIM 27</v>
      </c>
      <c r="E1149" s="134">
        <v>1</v>
      </c>
      <c r="I1149" s="134">
        <v>0</v>
      </c>
    </row>
    <row r="1150" spans="1:9" ht="15" customHeight="1" x14ac:dyDescent="0.3">
      <c r="A1150" s="134" t="s">
        <v>251</v>
      </c>
      <c r="B1150" s="134" t="s">
        <v>6</v>
      </c>
      <c r="C1150" s="134">
        <v>28</v>
      </c>
      <c r="D1150" s="134" t="str">
        <f t="shared" si="83"/>
        <v>Female CIM 28</v>
      </c>
      <c r="E1150" s="134">
        <v>1</v>
      </c>
      <c r="I1150" s="134">
        <v>0</v>
      </c>
    </row>
    <row r="1151" spans="1:9" ht="15" customHeight="1" x14ac:dyDescent="0.3">
      <c r="A1151" s="134" t="s">
        <v>251</v>
      </c>
      <c r="B1151" s="134" t="s">
        <v>6</v>
      </c>
      <c r="C1151" s="134">
        <v>30</v>
      </c>
      <c r="D1151" s="134" t="str">
        <f t="shared" si="83"/>
        <v>Female CIM 30</v>
      </c>
      <c r="E1151" s="134">
        <v>1</v>
      </c>
      <c r="I1151" s="134">
        <v>0</v>
      </c>
    </row>
    <row r="1152" spans="1:9" ht="15" customHeight="1" x14ac:dyDescent="0.3">
      <c r="A1152" s="134" t="s">
        <v>251</v>
      </c>
      <c r="B1152" s="134" t="s">
        <v>6</v>
      </c>
      <c r="C1152" s="134">
        <v>35</v>
      </c>
      <c r="D1152" s="134" t="str">
        <f t="shared" si="83"/>
        <v>Female CIM 35</v>
      </c>
      <c r="E1152" s="134">
        <v>1</v>
      </c>
      <c r="I1152" s="134">
        <v>0</v>
      </c>
    </row>
    <row r="1153" spans="1:9" ht="15" customHeight="1" x14ac:dyDescent="0.3">
      <c r="A1153" s="134" t="s">
        <v>251</v>
      </c>
      <c r="B1153" s="134" t="s">
        <v>6</v>
      </c>
      <c r="C1153" s="134">
        <v>36</v>
      </c>
      <c r="D1153" s="134" t="str">
        <f t="shared" si="83"/>
        <v>Female CIM 36</v>
      </c>
      <c r="E1153" s="134">
        <v>1</v>
      </c>
      <c r="I1153" s="134">
        <v>0</v>
      </c>
    </row>
    <row r="1154" spans="1:9" ht="15" customHeight="1" x14ac:dyDescent="0.3">
      <c r="A1154" s="134" t="s">
        <v>251</v>
      </c>
      <c r="B1154" s="134" t="s">
        <v>6</v>
      </c>
      <c r="C1154" s="134">
        <v>40</v>
      </c>
      <c r="D1154" s="134" t="str">
        <f t="shared" si="83"/>
        <v>Female CIM 40</v>
      </c>
      <c r="E1154" s="134">
        <v>1</v>
      </c>
      <c r="I1154" s="134">
        <v>0</v>
      </c>
    </row>
    <row r="1155" spans="1:9" ht="15" customHeight="1" x14ac:dyDescent="0.3">
      <c r="A1155" s="134" t="s">
        <v>251</v>
      </c>
      <c r="B1155" s="134" t="s">
        <v>6</v>
      </c>
      <c r="C1155" s="134">
        <v>45</v>
      </c>
      <c r="D1155" s="134" t="str">
        <f t="shared" si="83"/>
        <v>Female CIM 45</v>
      </c>
      <c r="E1155" s="134">
        <v>1</v>
      </c>
      <c r="I1155" s="134">
        <v>0</v>
      </c>
    </row>
    <row r="1156" spans="1:9" ht="15" customHeight="1" x14ac:dyDescent="0.3">
      <c r="A1156" s="134" t="s">
        <v>251</v>
      </c>
      <c r="B1156" s="134" t="s">
        <v>6</v>
      </c>
      <c r="C1156" s="134">
        <v>49</v>
      </c>
      <c r="D1156" s="134" t="str">
        <f t="shared" si="83"/>
        <v>Female CIM 49</v>
      </c>
      <c r="E1156" s="134">
        <v>0</v>
      </c>
      <c r="I1156" s="134">
        <v>0</v>
      </c>
    </row>
    <row r="1157" spans="1:9" ht="15" customHeight="1" x14ac:dyDescent="0.3">
      <c r="A1157" s="134" t="s">
        <v>251</v>
      </c>
      <c r="B1157" s="134" t="s">
        <v>6</v>
      </c>
      <c r="C1157" s="134">
        <v>50</v>
      </c>
      <c r="D1157" s="134" t="str">
        <f t="shared" si="83"/>
        <v>Female CIM 50</v>
      </c>
      <c r="E1157" s="134">
        <v>1</v>
      </c>
      <c r="I1157" s="134">
        <v>0</v>
      </c>
    </row>
    <row r="1158" spans="1:9" ht="15" customHeight="1" x14ac:dyDescent="0.3">
      <c r="A1158" s="134" t="s">
        <v>251</v>
      </c>
      <c r="B1158" s="134" t="s">
        <v>6</v>
      </c>
      <c r="C1158" s="134">
        <v>63</v>
      </c>
      <c r="D1158" s="134" t="str">
        <f t="shared" si="83"/>
        <v>Female CIM 63</v>
      </c>
      <c r="E1158" s="134">
        <v>0</v>
      </c>
      <c r="I1158" s="134">
        <v>0</v>
      </c>
    </row>
    <row r="1159" spans="1:9" ht="15" customHeight="1" x14ac:dyDescent="0.3">
      <c r="A1159" s="134" t="s">
        <v>251</v>
      </c>
      <c r="B1159" s="134" t="s">
        <v>6</v>
      </c>
      <c r="C1159" s="134">
        <v>70</v>
      </c>
      <c r="D1159" s="134" t="str">
        <f t="shared" si="83"/>
        <v>Female CIM 70</v>
      </c>
      <c r="E1159" s="134">
        <v>0</v>
      </c>
      <c r="I1159" s="134">
        <v>0</v>
      </c>
    </row>
    <row r="1160" spans="1:9" ht="15" customHeight="1" x14ac:dyDescent="0.3">
      <c r="A1160" s="134" t="s">
        <v>251</v>
      </c>
      <c r="B1160" s="134" t="s">
        <v>6</v>
      </c>
      <c r="C1160" s="134">
        <v>81</v>
      </c>
      <c r="D1160" s="134" t="str">
        <f t="shared" si="83"/>
        <v>Female CIM 81</v>
      </c>
      <c r="E1160" s="134">
        <v>0</v>
      </c>
      <c r="I1160" s="134">
        <v>0</v>
      </c>
    </row>
    <row r="1161" spans="1:9" ht="15" customHeight="1" x14ac:dyDescent="0.3">
      <c r="A1161" s="134" t="s">
        <v>251</v>
      </c>
      <c r="B1161" s="134" t="s">
        <v>6</v>
      </c>
      <c r="C1161" s="134">
        <v>90</v>
      </c>
      <c r="D1161" s="134" t="str">
        <f t="shared" si="83"/>
        <v>Female CIM 90</v>
      </c>
      <c r="E1161" s="134">
        <v>0</v>
      </c>
      <c r="I1161" s="134">
        <v>0</v>
      </c>
    </row>
    <row r="1162" spans="1:9" ht="15" customHeight="1" x14ac:dyDescent="0.3">
      <c r="A1162" s="134" t="s">
        <v>251</v>
      </c>
      <c r="B1162" s="134" t="s">
        <v>6</v>
      </c>
      <c r="C1162" s="134">
        <v>100</v>
      </c>
      <c r="D1162" s="134" t="str">
        <f t="shared" si="83"/>
        <v>Female CIM 100</v>
      </c>
      <c r="E1162" s="134">
        <v>0</v>
      </c>
      <c r="I1162" s="134">
        <v>0</v>
      </c>
    </row>
    <row r="1163" spans="1:9" ht="15" customHeight="1" x14ac:dyDescent="0.3">
      <c r="A1163" s="134" t="s">
        <v>251</v>
      </c>
      <c r="B1163" s="134" t="s">
        <v>9</v>
      </c>
      <c r="C1163" s="134">
        <v>-3</v>
      </c>
      <c r="D1163" s="134" t="str">
        <f t="shared" ref="D1163:D1168" si="84">A1163&amp;" "&amp;B1163&amp;" "&amp;C1163</f>
        <v>Female NEO -3</v>
      </c>
      <c r="E1163" s="134">
        <v>1</v>
      </c>
      <c r="I1163" s="134">
        <v>0</v>
      </c>
    </row>
    <row r="1164" spans="1:9" ht="15" customHeight="1" x14ac:dyDescent="0.3">
      <c r="A1164" s="134" t="s">
        <v>251</v>
      </c>
      <c r="B1164" s="134" t="s">
        <v>9</v>
      </c>
      <c r="C1164" s="134">
        <v>-4</v>
      </c>
      <c r="D1164" s="134" t="str">
        <f t="shared" si="84"/>
        <v>Female NEO -4</v>
      </c>
      <c r="E1164" s="134">
        <v>1</v>
      </c>
      <c r="I1164" s="134">
        <v>0</v>
      </c>
    </row>
    <row r="1165" spans="1:9" ht="15" customHeight="1" x14ac:dyDescent="0.3">
      <c r="A1165" s="134" t="s">
        <v>251</v>
      </c>
      <c r="B1165" s="134" t="s">
        <v>9</v>
      </c>
      <c r="C1165" s="134">
        <v>-5</v>
      </c>
      <c r="D1165" s="134" t="str">
        <f t="shared" si="84"/>
        <v>Female NEO -5</v>
      </c>
      <c r="E1165" s="134">
        <v>1</v>
      </c>
      <c r="I1165" s="134">
        <v>0</v>
      </c>
    </row>
    <row r="1166" spans="1:9" ht="15" customHeight="1" x14ac:dyDescent="0.3">
      <c r="A1166" s="134" t="s">
        <v>251</v>
      </c>
      <c r="B1166" s="134" t="s">
        <v>9</v>
      </c>
      <c r="C1166" s="134">
        <v>-7</v>
      </c>
      <c r="D1166" s="134" t="str">
        <f t="shared" si="84"/>
        <v>Female NEO -7</v>
      </c>
      <c r="E1166" s="134">
        <v>1</v>
      </c>
      <c r="I1166" s="134">
        <v>0</v>
      </c>
    </row>
    <row r="1167" spans="1:9" ht="15" customHeight="1" x14ac:dyDescent="0.3">
      <c r="A1167" s="134" t="s">
        <v>251</v>
      </c>
      <c r="B1167" s="134" t="s">
        <v>9</v>
      </c>
      <c r="C1167" s="134">
        <v>-9</v>
      </c>
      <c r="D1167" s="134" t="str">
        <f t="shared" si="84"/>
        <v>Female NEO -9</v>
      </c>
      <c r="E1167" s="134">
        <v>1</v>
      </c>
      <c r="I1167" s="134">
        <v>0</v>
      </c>
    </row>
    <row r="1168" spans="1:9" ht="15" customHeight="1" x14ac:dyDescent="0.3">
      <c r="A1168" s="134" t="s">
        <v>251</v>
      </c>
      <c r="B1168" s="134" t="s">
        <v>9</v>
      </c>
      <c r="C1168" s="134">
        <v>-10</v>
      </c>
      <c r="D1168" s="134" t="str">
        <f t="shared" si="84"/>
        <v>Female NEO -10</v>
      </c>
      <c r="E1168" s="134">
        <v>1</v>
      </c>
      <c r="I1168" s="134">
        <v>0</v>
      </c>
    </row>
    <row r="1169" spans="1:9" ht="15" customHeight="1" x14ac:dyDescent="0.3">
      <c r="A1169" s="134" t="s">
        <v>251</v>
      </c>
      <c r="B1169" s="134" t="s">
        <v>9</v>
      </c>
      <c r="C1169" s="134">
        <v>9</v>
      </c>
      <c r="D1169" s="134" t="str">
        <f t="shared" ref="D1169:D1189" si="85">A1169&amp;" "&amp;B1169&amp;" "&amp;C1169</f>
        <v>Female NEO 9</v>
      </c>
      <c r="E1169" s="134">
        <v>5</v>
      </c>
      <c r="I1169" s="134">
        <v>0</v>
      </c>
    </row>
    <row r="1170" spans="1:9" ht="15" customHeight="1" x14ac:dyDescent="0.3">
      <c r="A1170" s="134" t="s">
        <v>251</v>
      </c>
      <c r="B1170" s="134" t="s">
        <v>9</v>
      </c>
      <c r="C1170" s="134">
        <v>12</v>
      </c>
      <c r="D1170" s="134" t="str">
        <f t="shared" si="85"/>
        <v>Female NEO 12</v>
      </c>
      <c r="E1170" s="134">
        <v>3</v>
      </c>
      <c r="I1170" s="134">
        <v>0</v>
      </c>
    </row>
    <row r="1171" spans="1:9" ht="15" customHeight="1" x14ac:dyDescent="0.3">
      <c r="A1171" s="134" t="s">
        <v>251</v>
      </c>
      <c r="B1171" s="134" t="s">
        <v>9</v>
      </c>
      <c r="C1171" s="134">
        <v>15</v>
      </c>
      <c r="D1171" s="134" t="str">
        <f t="shared" si="85"/>
        <v>Female NEO 15</v>
      </c>
      <c r="E1171" s="134">
        <v>3</v>
      </c>
      <c r="I1171" s="134">
        <v>0</v>
      </c>
    </row>
    <row r="1172" spans="1:9" ht="15" customHeight="1" x14ac:dyDescent="0.3">
      <c r="A1172" s="134" t="s">
        <v>251</v>
      </c>
      <c r="B1172" s="134" t="s">
        <v>9</v>
      </c>
      <c r="C1172" s="134">
        <v>16</v>
      </c>
      <c r="D1172" s="134" t="str">
        <f t="shared" si="85"/>
        <v>Female NEO 16</v>
      </c>
      <c r="E1172" s="134">
        <v>1</v>
      </c>
      <c r="I1172" s="134">
        <v>0</v>
      </c>
    </row>
    <row r="1173" spans="1:9" ht="15" customHeight="1" x14ac:dyDescent="0.3">
      <c r="A1173" s="134" t="s">
        <v>251</v>
      </c>
      <c r="B1173" s="134" t="s">
        <v>9</v>
      </c>
      <c r="C1173" s="134">
        <v>20</v>
      </c>
      <c r="D1173" s="134" t="str">
        <f t="shared" si="85"/>
        <v>Female NEO 20</v>
      </c>
      <c r="E1173" s="134">
        <v>1</v>
      </c>
      <c r="I1173" s="134">
        <v>0</v>
      </c>
    </row>
    <row r="1174" spans="1:9" ht="15" customHeight="1" x14ac:dyDescent="0.3">
      <c r="A1174" s="134" t="s">
        <v>251</v>
      </c>
      <c r="B1174" s="134" t="s">
        <v>9</v>
      </c>
      <c r="C1174" s="134">
        <v>21</v>
      </c>
      <c r="D1174" s="134" t="str">
        <f t="shared" si="85"/>
        <v>Female NEO 21</v>
      </c>
      <c r="E1174" s="134">
        <v>1</v>
      </c>
      <c r="I1174" s="134">
        <v>0</v>
      </c>
    </row>
    <row r="1175" spans="1:9" ht="15" customHeight="1" x14ac:dyDescent="0.3">
      <c r="A1175" s="134" t="s">
        <v>251</v>
      </c>
      <c r="B1175" s="134" t="s">
        <v>9</v>
      </c>
      <c r="C1175" s="134">
        <v>25</v>
      </c>
      <c r="D1175" s="134" t="str">
        <f t="shared" si="85"/>
        <v>Female NEO 25</v>
      </c>
      <c r="E1175" s="134">
        <v>1</v>
      </c>
      <c r="I1175" s="134">
        <v>0</v>
      </c>
    </row>
    <row r="1176" spans="1:9" ht="15" customHeight="1" x14ac:dyDescent="0.3">
      <c r="A1176" s="134" t="s">
        <v>251</v>
      </c>
      <c r="B1176" s="134" t="s">
        <v>9</v>
      </c>
      <c r="C1176" s="134">
        <v>27</v>
      </c>
      <c r="D1176" s="134" t="str">
        <f t="shared" si="85"/>
        <v>Female NEO 27</v>
      </c>
      <c r="E1176" s="134">
        <v>1</v>
      </c>
      <c r="I1176" s="134">
        <v>0</v>
      </c>
    </row>
    <row r="1177" spans="1:9" ht="15" customHeight="1" x14ac:dyDescent="0.3">
      <c r="A1177" s="134" t="s">
        <v>251</v>
      </c>
      <c r="B1177" s="134" t="s">
        <v>9</v>
      </c>
      <c r="C1177" s="134">
        <v>28</v>
      </c>
      <c r="D1177" s="134" t="str">
        <f t="shared" si="85"/>
        <v>Female NEO 28</v>
      </c>
      <c r="E1177" s="134">
        <v>1</v>
      </c>
      <c r="I1177" s="134">
        <v>0</v>
      </c>
    </row>
    <row r="1178" spans="1:9" ht="15" customHeight="1" x14ac:dyDescent="0.3">
      <c r="A1178" s="134" t="s">
        <v>251</v>
      </c>
      <c r="B1178" s="134" t="s">
        <v>9</v>
      </c>
      <c r="C1178" s="134">
        <v>30</v>
      </c>
      <c r="D1178" s="134" t="str">
        <f t="shared" si="85"/>
        <v>Female NEO 30</v>
      </c>
      <c r="E1178" s="134">
        <v>1</v>
      </c>
      <c r="I1178" s="134">
        <v>0</v>
      </c>
    </row>
    <row r="1179" spans="1:9" ht="15" customHeight="1" x14ac:dyDescent="0.3">
      <c r="A1179" s="134" t="s">
        <v>251</v>
      </c>
      <c r="B1179" s="134" t="s">
        <v>9</v>
      </c>
      <c r="C1179" s="134">
        <v>35</v>
      </c>
      <c r="D1179" s="134" t="str">
        <f t="shared" si="85"/>
        <v>Female NEO 35</v>
      </c>
      <c r="E1179" s="134">
        <v>1</v>
      </c>
      <c r="I1179" s="134">
        <v>0</v>
      </c>
    </row>
    <row r="1180" spans="1:9" ht="15" customHeight="1" x14ac:dyDescent="0.3">
      <c r="A1180" s="134" t="s">
        <v>251</v>
      </c>
      <c r="B1180" s="134" t="s">
        <v>9</v>
      </c>
      <c r="C1180" s="134">
        <v>36</v>
      </c>
      <c r="D1180" s="134" t="str">
        <f t="shared" si="85"/>
        <v>Female NEO 36</v>
      </c>
      <c r="E1180" s="134">
        <v>1</v>
      </c>
      <c r="I1180" s="134">
        <v>0</v>
      </c>
    </row>
    <row r="1181" spans="1:9" ht="15" customHeight="1" x14ac:dyDescent="0.3">
      <c r="A1181" s="134" t="s">
        <v>251</v>
      </c>
      <c r="B1181" s="134" t="s">
        <v>9</v>
      </c>
      <c r="C1181" s="134">
        <v>40</v>
      </c>
      <c r="D1181" s="134" t="str">
        <f t="shared" si="85"/>
        <v>Female NEO 40</v>
      </c>
      <c r="E1181" s="134">
        <v>1</v>
      </c>
      <c r="I1181" s="134">
        <v>0</v>
      </c>
    </row>
    <row r="1182" spans="1:9" ht="15" customHeight="1" x14ac:dyDescent="0.3">
      <c r="A1182" s="134" t="s">
        <v>251</v>
      </c>
      <c r="B1182" s="134" t="s">
        <v>9</v>
      </c>
      <c r="C1182" s="134">
        <v>45</v>
      </c>
      <c r="D1182" s="134" t="str">
        <f t="shared" si="85"/>
        <v>Female NEO 45</v>
      </c>
      <c r="E1182" s="134">
        <v>1</v>
      </c>
      <c r="I1182" s="134">
        <v>0</v>
      </c>
    </row>
    <row r="1183" spans="1:9" ht="15" customHeight="1" x14ac:dyDescent="0.3">
      <c r="A1183" s="134" t="s">
        <v>251</v>
      </c>
      <c r="B1183" s="134" t="s">
        <v>9</v>
      </c>
      <c r="C1183" s="134">
        <v>49</v>
      </c>
      <c r="D1183" s="134" t="str">
        <f t="shared" si="85"/>
        <v>Female NEO 49</v>
      </c>
      <c r="E1183" s="134">
        <v>0</v>
      </c>
      <c r="I1183" s="134">
        <v>0</v>
      </c>
    </row>
    <row r="1184" spans="1:9" ht="15" customHeight="1" x14ac:dyDescent="0.3">
      <c r="A1184" s="134" t="s">
        <v>251</v>
      </c>
      <c r="B1184" s="134" t="s">
        <v>9</v>
      </c>
      <c r="C1184" s="134">
        <v>50</v>
      </c>
      <c r="D1184" s="134" t="str">
        <f t="shared" si="85"/>
        <v>Female NEO 50</v>
      </c>
      <c r="E1184" s="134">
        <v>0</v>
      </c>
      <c r="I1184" s="134">
        <v>0</v>
      </c>
    </row>
    <row r="1185" spans="1:9" ht="15" customHeight="1" x14ac:dyDescent="0.3">
      <c r="A1185" s="134" t="s">
        <v>251</v>
      </c>
      <c r="B1185" s="134" t="s">
        <v>9</v>
      </c>
      <c r="C1185" s="134">
        <v>63</v>
      </c>
      <c r="D1185" s="134" t="str">
        <f t="shared" si="85"/>
        <v>Female NEO 63</v>
      </c>
      <c r="E1185" s="134">
        <v>0</v>
      </c>
      <c r="I1185" s="134">
        <v>0</v>
      </c>
    </row>
    <row r="1186" spans="1:9" ht="15" customHeight="1" x14ac:dyDescent="0.3">
      <c r="A1186" s="134" t="s">
        <v>251</v>
      </c>
      <c r="B1186" s="134" t="s">
        <v>9</v>
      </c>
      <c r="C1186" s="134">
        <v>70</v>
      </c>
      <c r="D1186" s="134" t="str">
        <f t="shared" si="85"/>
        <v>Female NEO 70</v>
      </c>
      <c r="E1186" s="134">
        <v>0</v>
      </c>
      <c r="I1186" s="134">
        <v>0</v>
      </c>
    </row>
    <row r="1187" spans="1:9" ht="15" customHeight="1" x14ac:dyDescent="0.3">
      <c r="A1187" s="134" t="s">
        <v>251</v>
      </c>
      <c r="B1187" s="134" t="s">
        <v>9</v>
      </c>
      <c r="C1187" s="134">
        <v>81</v>
      </c>
      <c r="D1187" s="134" t="str">
        <f t="shared" si="85"/>
        <v>Female NEO 81</v>
      </c>
      <c r="E1187" s="134">
        <v>0</v>
      </c>
      <c r="I1187" s="134">
        <v>0</v>
      </c>
    </row>
    <row r="1188" spans="1:9" ht="15" customHeight="1" x14ac:dyDescent="0.3">
      <c r="A1188" s="134" t="s">
        <v>251</v>
      </c>
      <c r="B1188" s="134" t="s">
        <v>9</v>
      </c>
      <c r="C1188" s="134">
        <v>90</v>
      </c>
      <c r="D1188" s="134" t="str">
        <f t="shared" si="85"/>
        <v>Female NEO 90</v>
      </c>
      <c r="E1188" s="134">
        <v>0</v>
      </c>
      <c r="I1188" s="134">
        <v>0</v>
      </c>
    </row>
    <row r="1189" spans="1:9" ht="15" customHeight="1" x14ac:dyDescent="0.3">
      <c r="A1189" s="134" t="s">
        <v>251</v>
      </c>
      <c r="B1189" s="134" t="s">
        <v>9</v>
      </c>
      <c r="C1189" s="134">
        <v>100</v>
      </c>
      <c r="D1189" s="134" t="str">
        <f t="shared" si="85"/>
        <v>Female NEO 100</v>
      </c>
      <c r="E1189" s="134">
        <v>0</v>
      </c>
      <c r="I1189" s="134">
        <v>0</v>
      </c>
    </row>
    <row r="1190" spans="1:9" ht="15" customHeight="1" x14ac:dyDescent="0.3">
      <c r="A1190" s="134" t="s">
        <v>251</v>
      </c>
      <c r="B1190" s="134" t="s">
        <v>337</v>
      </c>
      <c r="C1190" s="134">
        <v>-3</v>
      </c>
      <c r="D1190" s="134" t="str">
        <f t="shared" ref="D1190:D1195" si="86">A1190&amp;" "&amp;B1190&amp;" "&amp;C1190</f>
        <v>Female Falcon 500 -3</v>
      </c>
      <c r="E1190" s="134">
        <v>1</v>
      </c>
      <c r="I1190" s="134">
        <v>0</v>
      </c>
    </row>
    <row r="1191" spans="1:9" ht="15" customHeight="1" x14ac:dyDescent="0.3">
      <c r="A1191" s="134" t="s">
        <v>251</v>
      </c>
      <c r="B1191" s="134" t="s">
        <v>337</v>
      </c>
      <c r="C1191" s="134">
        <v>-4</v>
      </c>
      <c r="D1191" s="134" t="str">
        <f t="shared" si="86"/>
        <v>Female Falcon 500 -4</v>
      </c>
      <c r="E1191" s="134">
        <v>1</v>
      </c>
      <c r="I1191" s="134">
        <v>0</v>
      </c>
    </row>
    <row r="1192" spans="1:9" ht="15" customHeight="1" x14ac:dyDescent="0.3">
      <c r="A1192" s="134" t="s">
        <v>251</v>
      </c>
      <c r="B1192" s="134" t="s">
        <v>337</v>
      </c>
      <c r="C1192" s="134">
        <v>-5</v>
      </c>
      <c r="D1192" s="134" t="str">
        <f t="shared" si="86"/>
        <v>Female Falcon 500 -5</v>
      </c>
      <c r="E1192" s="134">
        <v>1</v>
      </c>
      <c r="I1192" s="134">
        <v>0</v>
      </c>
    </row>
    <row r="1193" spans="1:9" ht="15" customHeight="1" x14ac:dyDescent="0.3">
      <c r="A1193" s="134" t="s">
        <v>251</v>
      </c>
      <c r="B1193" s="134" t="s">
        <v>337</v>
      </c>
      <c r="C1193" s="134">
        <v>-7</v>
      </c>
      <c r="D1193" s="134" t="str">
        <f t="shared" si="86"/>
        <v>Female Falcon 500 -7</v>
      </c>
      <c r="E1193" s="134">
        <v>1</v>
      </c>
      <c r="I1193" s="134">
        <v>0</v>
      </c>
    </row>
    <row r="1194" spans="1:9" ht="15" customHeight="1" x14ac:dyDescent="0.3">
      <c r="A1194" s="134" t="s">
        <v>251</v>
      </c>
      <c r="B1194" s="134" t="s">
        <v>337</v>
      </c>
      <c r="C1194" s="134">
        <v>-9</v>
      </c>
      <c r="D1194" s="134" t="str">
        <f t="shared" si="86"/>
        <v>Female Falcon 500 -9</v>
      </c>
      <c r="E1194" s="134">
        <v>1</v>
      </c>
      <c r="I1194" s="134">
        <v>0</v>
      </c>
    </row>
    <row r="1195" spans="1:9" ht="15" customHeight="1" x14ac:dyDescent="0.3">
      <c r="A1195" s="134" t="s">
        <v>251</v>
      </c>
      <c r="B1195" s="134" t="s">
        <v>337</v>
      </c>
      <c r="C1195" s="134">
        <v>-10</v>
      </c>
      <c r="D1195" s="134" t="str">
        <f t="shared" si="86"/>
        <v>Female Falcon 500 -10</v>
      </c>
      <c r="E1195" s="134">
        <v>1</v>
      </c>
      <c r="I1195" s="134">
        <v>0</v>
      </c>
    </row>
    <row r="1196" spans="1:9" ht="15" customHeight="1" x14ac:dyDescent="0.3">
      <c r="A1196" s="134" t="s">
        <v>251</v>
      </c>
      <c r="B1196" s="134" t="s">
        <v>337</v>
      </c>
      <c r="C1196" s="134">
        <v>9</v>
      </c>
      <c r="D1196" s="134" t="str">
        <f t="shared" ref="D1196:D1216" si="87">A1196&amp;" "&amp;B1196&amp;" "&amp;C1196</f>
        <v>Female Falcon 500 9</v>
      </c>
      <c r="E1196" s="134">
        <v>3</v>
      </c>
      <c r="I1196" s="134">
        <v>0</v>
      </c>
    </row>
    <row r="1197" spans="1:9" ht="15" customHeight="1" x14ac:dyDescent="0.3">
      <c r="A1197" s="134" t="s">
        <v>251</v>
      </c>
      <c r="B1197" s="134" t="s">
        <v>337</v>
      </c>
      <c r="C1197" s="134">
        <v>12</v>
      </c>
      <c r="D1197" s="134" t="str">
        <f t="shared" si="87"/>
        <v>Female Falcon 500 12</v>
      </c>
      <c r="E1197" s="134">
        <v>1</v>
      </c>
      <c r="I1197" s="134">
        <v>0</v>
      </c>
    </row>
    <row r="1198" spans="1:9" ht="15" customHeight="1" x14ac:dyDescent="0.3">
      <c r="A1198" s="134" t="s">
        <v>251</v>
      </c>
      <c r="B1198" s="134" t="s">
        <v>337</v>
      </c>
      <c r="C1198" s="134">
        <v>15</v>
      </c>
      <c r="D1198" s="134" t="str">
        <f t="shared" si="87"/>
        <v>Female Falcon 500 15</v>
      </c>
      <c r="E1198" s="134">
        <v>1</v>
      </c>
      <c r="I1198" s="134">
        <v>0</v>
      </c>
    </row>
    <row r="1199" spans="1:9" ht="15" customHeight="1" x14ac:dyDescent="0.3">
      <c r="A1199" s="134" t="s">
        <v>251</v>
      </c>
      <c r="B1199" s="134" t="s">
        <v>337</v>
      </c>
      <c r="C1199" s="134">
        <v>16</v>
      </c>
      <c r="D1199" s="134" t="str">
        <f t="shared" si="87"/>
        <v>Female Falcon 500 16</v>
      </c>
      <c r="E1199" s="134">
        <v>1</v>
      </c>
      <c r="I1199" s="134">
        <v>0</v>
      </c>
    </row>
    <row r="1200" spans="1:9" ht="15" customHeight="1" x14ac:dyDescent="0.3">
      <c r="A1200" s="134" t="s">
        <v>251</v>
      </c>
      <c r="B1200" s="134" t="s">
        <v>337</v>
      </c>
      <c r="C1200" s="134">
        <v>20</v>
      </c>
      <c r="D1200" s="134" t="str">
        <f t="shared" si="87"/>
        <v>Female Falcon 500 20</v>
      </c>
      <c r="E1200" s="134">
        <v>1</v>
      </c>
      <c r="I1200" s="134">
        <v>0</v>
      </c>
    </row>
    <row r="1201" spans="1:9" ht="15" customHeight="1" x14ac:dyDescent="0.3">
      <c r="A1201" s="134" t="s">
        <v>251</v>
      </c>
      <c r="B1201" s="134" t="s">
        <v>337</v>
      </c>
      <c r="C1201" s="134">
        <v>21</v>
      </c>
      <c r="D1201" s="134" t="str">
        <f t="shared" si="87"/>
        <v>Female Falcon 500 21</v>
      </c>
      <c r="E1201" s="134">
        <v>1</v>
      </c>
      <c r="I1201" s="134">
        <v>0</v>
      </c>
    </row>
    <row r="1202" spans="1:9" ht="15" customHeight="1" x14ac:dyDescent="0.3">
      <c r="A1202" s="134" t="s">
        <v>251</v>
      </c>
      <c r="B1202" s="134" t="s">
        <v>337</v>
      </c>
      <c r="C1202" s="134">
        <v>25</v>
      </c>
      <c r="D1202" s="134" t="str">
        <f t="shared" si="87"/>
        <v>Female Falcon 500 25</v>
      </c>
      <c r="E1202" s="134">
        <v>1</v>
      </c>
      <c r="I1202" s="134">
        <v>0</v>
      </c>
    </row>
    <row r="1203" spans="1:9" ht="15" customHeight="1" x14ac:dyDescent="0.3">
      <c r="A1203" s="134" t="s">
        <v>251</v>
      </c>
      <c r="B1203" s="134" t="s">
        <v>337</v>
      </c>
      <c r="C1203" s="134">
        <v>27</v>
      </c>
      <c r="D1203" s="134" t="str">
        <f t="shared" si="87"/>
        <v>Female Falcon 500 27</v>
      </c>
      <c r="E1203" s="134">
        <v>1</v>
      </c>
      <c r="I1203" s="134">
        <v>0</v>
      </c>
    </row>
    <row r="1204" spans="1:9" ht="15" customHeight="1" x14ac:dyDescent="0.3">
      <c r="A1204" s="134" t="s">
        <v>251</v>
      </c>
      <c r="B1204" s="134" t="s">
        <v>337</v>
      </c>
      <c r="C1204" s="134">
        <v>28</v>
      </c>
      <c r="D1204" s="134" t="str">
        <f t="shared" si="87"/>
        <v>Female Falcon 500 28</v>
      </c>
      <c r="E1204" s="134">
        <v>1</v>
      </c>
      <c r="I1204" s="134">
        <v>0</v>
      </c>
    </row>
    <row r="1205" spans="1:9" ht="15" customHeight="1" x14ac:dyDescent="0.3">
      <c r="A1205" s="134" t="s">
        <v>251</v>
      </c>
      <c r="B1205" s="134" t="s">
        <v>337</v>
      </c>
      <c r="C1205" s="134">
        <v>30</v>
      </c>
      <c r="D1205" s="134" t="str">
        <f t="shared" si="87"/>
        <v>Female Falcon 500 30</v>
      </c>
      <c r="E1205" s="134">
        <v>1</v>
      </c>
      <c r="I1205" s="134">
        <v>0</v>
      </c>
    </row>
    <row r="1206" spans="1:9" ht="15" customHeight="1" x14ac:dyDescent="0.3">
      <c r="A1206" s="134" t="s">
        <v>251</v>
      </c>
      <c r="B1206" s="134" t="s">
        <v>337</v>
      </c>
      <c r="C1206" s="134">
        <v>35</v>
      </c>
      <c r="D1206" s="134" t="str">
        <f t="shared" si="87"/>
        <v>Female Falcon 500 35</v>
      </c>
      <c r="E1206" s="134">
        <v>0</v>
      </c>
      <c r="I1206" s="134">
        <v>0</v>
      </c>
    </row>
    <row r="1207" spans="1:9" ht="15" customHeight="1" x14ac:dyDescent="0.3">
      <c r="A1207" s="134" t="s">
        <v>251</v>
      </c>
      <c r="B1207" s="134" t="s">
        <v>337</v>
      </c>
      <c r="C1207" s="134">
        <v>36</v>
      </c>
      <c r="D1207" s="134" t="str">
        <f t="shared" si="87"/>
        <v>Female Falcon 500 36</v>
      </c>
      <c r="E1207" s="134">
        <v>0</v>
      </c>
      <c r="I1207" s="134">
        <v>0</v>
      </c>
    </row>
    <row r="1208" spans="1:9" ht="15" customHeight="1" x14ac:dyDescent="0.3">
      <c r="A1208" s="134" t="s">
        <v>251</v>
      </c>
      <c r="B1208" s="134" t="s">
        <v>337</v>
      </c>
      <c r="C1208" s="134">
        <v>40</v>
      </c>
      <c r="D1208" s="134" t="str">
        <f t="shared" si="87"/>
        <v>Female Falcon 500 40</v>
      </c>
      <c r="E1208" s="134">
        <v>0</v>
      </c>
      <c r="I1208" s="134">
        <v>0</v>
      </c>
    </row>
    <row r="1209" spans="1:9" ht="15" customHeight="1" x14ac:dyDescent="0.3">
      <c r="A1209" s="134" t="s">
        <v>251</v>
      </c>
      <c r="B1209" s="134" t="s">
        <v>337</v>
      </c>
      <c r="C1209" s="134">
        <v>45</v>
      </c>
      <c r="D1209" s="134" t="str">
        <f t="shared" si="87"/>
        <v>Female Falcon 500 45</v>
      </c>
      <c r="E1209" s="134">
        <v>0</v>
      </c>
      <c r="I1209" s="134">
        <v>0</v>
      </c>
    </row>
    <row r="1210" spans="1:9" ht="15" customHeight="1" x14ac:dyDescent="0.3">
      <c r="A1210" s="134" t="s">
        <v>251</v>
      </c>
      <c r="B1210" s="134" t="s">
        <v>337</v>
      </c>
      <c r="C1210" s="134">
        <v>49</v>
      </c>
      <c r="D1210" s="134" t="str">
        <f t="shared" si="87"/>
        <v>Female Falcon 500 49</v>
      </c>
      <c r="E1210" s="134">
        <v>0</v>
      </c>
      <c r="I1210" s="134">
        <v>0</v>
      </c>
    </row>
    <row r="1211" spans="1:9" ht="15" customHeight="1" x14ac:dyDescent="0.3">
      <c r="A1211" s="134" t="s">
        <v>251</v>
      </c>
      <c r="B1211" s="134" t="s">
        <v>337</v>
      </c>
      <c r="C1211" s="134">
        <v>50</v>
      </c>
      <c r="D1211" s="134" t="str">
        <f t="shared" si="87"/>
        <v>Female Falcon 500 50</v>
      </c>
      <c r="E1211" s="134">
        <v>0</v>
      </c>
      <c r="I1211" s="134">
        <v>0</v>
      </c>
    </row>
    <row r="1212" spans="1:9" ht="15" customHeight="1" x14ac:dyDescent="0.3">
      <c r="A1212" s="134" t="s">
        <v>251</v>
      </c>
      <c r="B1212" s="134" t="s">
        <v>337</v>
      </c>
      <c r="C1212" s="134">
        <v>63</v>
      </c>
      <c r="D1212" s="134" t="str">
        <f t="shared" si="87"/>
        <v>Female Falcon 500 63</v>
      </c>
      <c r="E1212" s="134">
        <v>0</v>
      </c>
      <c r="I1212" s="134">
        <v>0</v>
      </c>
    </row>
    <row r="1213" spans="1:9" ht="15" customHeight="1" x14ac:dyDescent="0.3">
      <c r="A1213" s="134" t="s">
        <v>251</v>
      </c>
      <c r="B1213" s="134" t="s">
        <v>337</v>
      </c>
      <c r="C1213" s="134">
        <v>70</v>
      </c>
      <c r="D1213" s="134" t="str">
        <f t="shared" si="87"/>
        <v>Female Falcon 500 70</v>
      </c>
      <c r="E1213" s="134">
        <v>0</v>
      </c>
      <c r="I1213" s="134">
        <v>0</v>
      </c>
    </row>
    <row r="1214" spans="1:9" ht="15" customHeight="1" x14ac:dyDescent="0.3">
      <c r="A1214" s="134" t="s">
        <v>251</v>
      </c>
      <c r="B1214" s="134" t="s">
        <v>337</v>
      </c>
      <c r="C1214" s="134">
        <v>81</v>
      </c>
      <c r="D1214" s="134" t="str">
        <f t="shared" si="87"/>
        <v>Female Falcon 500 81</v>
      </c>
      <c r="E1214" s="134">
        <v>0</v>
      </c>
      <c r="I1214" s="134">
        <v>0</v>
      </c>
    </row>
    <row r="1215" spans="1:9" ht="15" customHeight="1" x14ac:dyDescent="0.3">
      <c r="A1215" s="134" t="s">
        <v>251</v>
      </c>
      <c r="B1215" s="134" t="s">
        <v>337</v>
      </c>
      <c r="C1215" s="134">
        <v>90</v>
      </c>
      <c r="D1215" s="134" t="str">
        <f t="shared" si="87"/>
        <v>Female Falcon 500 90</v>
      </c>
      <c r="E1215" s="134">
        <v>0</v>
      </c>
      <c r="I1215" s="134">
        <v>0</v>
      </c>
    </row>
    <row r="1216" spans="1:9" ht="15" customHeight="1" x14ac:dyDescent="0.3">
      <c r="A1216" s="134" t="s">
        <v>251</v>
      </c>
      <c r="B1216" s="134" t="s">
        <v>337</v>
      </c>
      <c r="C1216" s="134">
        <v>100</v>
      </c>
      <c r="D1216" s="134" t="str">
        <f t="shared" si="87"/>
        <v>Female Falcon 500 100</v>
      </c>
      <c r="E1216" s="134">
        <v>0</v>
      </c>
      <c r="I1216" s="134">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N25"/>
  <sheetViews>
    <sheetView tabSelected="1" workbookViewId="0">
      <selection activeCell="D18" sqref="D18"/>
    </sheetView>
  </sheetViews>
  <sheetFormatPr defaultColWidth="14" defaultRowHeight="14.25" customHeight="1" x14ac:dyDescent="0.3"/>
  <cols>
    <col min="1" max="1" width="7.109375" style="142" customWidth="1"/>
    <col min="2" max="2" width="3.33203125" style="142" customWidth="1"/>
    <col min="3" max="3" width="17.44140625" style="142" customWidth="1"/>
    <col min="4" max="4" width="12.44140625" style="142" customWidth="1"/>
    <col min="5" max="5" width="8.44140625" style="142" customWidth="1"/>
    <col min="6" max="6" width="26.109375" style="142" customWidth="1"/>
    <col min="7" max="7" width="8.44140625" style="142" customWidth="1"/>
    <col min="8" max="8" width="4.44140625" style="142" customWidth="1"/>
    <col min="9" max="9" width="16.33203125" style="142" customWidth="1"/>
    <col min="10" max="10" width="6.44140625" style="142" customWidth="1"/>
    <col min="11" max="11" width="3.6640625" style="142" customWidth="1"/>
    <col min="12" max="12" width="21.33203125" style="142" customWidth="1"/>
    <col min="13" max="27" width="8.44140625" style="142" customWidth="1"/>
    <col min="28" max="16384" width="14" style="142"/>
  </cols>
  <sheetData>
    <row r="1" spans="2:14" s="135" customFormat="1" ht="14.25" customHeight="1" x14ac:dyDescent="0.3"/>
    <row r="2" spans="2:14" s="135" customFormat="1" ht="31.2" customHeight="1" x14ac:dyDescent="0.3">
      <c r="C2" s="2" t="s">
        <v>322</v>
      </c>
    </row>
    <row r="3" spans="2:14" s="135" customFormat="1" ht="14.25" customHeight="1" x14ac:dyDescent="0.3"/>
    <row r="4" spans="2:14" s="135" customFormat="1" ht="14.25" customHeight="1" x14ac:dyDescent="0.3">
      <c r="B4" s="8" t="b">
        <v>0</v>
      </c>
      <c r="C4" s="135" t="s">
        <v>0</v>
      </c>
    </row>
    <row r="5" spans="2:14" ht="18" customHeight="1" x14ac:dyDescent="0.3">
      <c r="H5" s="209" t="s">
        <v>323</v>
      </c>
      <c r="I5" s="210"/>
      <c r="K5" s="209" t="s">
        <v>324</v>
      </c>
      <c r="L5" s="210"/>
    </row>
    <row r="6" spans="2:14" ht="14.25" customHeight="1" x14ac:dyDescent="0.3">
      <c r="C6" s="143" t="s">
        <v>311</v>
      </c>
      <c r="D6" s="152" t="s">
        <v>257</v>
      </c>
      <c r="F6" s="211" t="s">
        <v>312</v>
      </c>
      <c r="H6" s="155" t="s">
        <v>313</v>
      </c>
      <c r="I6" s="156" t="s">
        <v>314</v>
      </c>
      <c r="J6" s="144"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217-4973,217-2816,217-3102,217-2816,217-2819,</v>
      </c>
      <c r="K6" s="155" t="s">
        <v>313</v>
      </c>
      <c r="L6" s="156" t="s">
        <v>314</v>
      </c>
      <c r="M6" s="144"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217-5823,217-2897,217-3564,217-4649,217-5832,217-3102,217-5832,217-2819,</v>
      </c>
      <c r="N6" s="145" t="s">
        <v>327</v>
      </c>
    </row>
    <row r="7" spans="2:14" ht="14.25" customHeight="1" x14ac:dyDescent="0.3">
      <c r="C7" s="143" t="s">
        <v>315</v>
      </c>
      <c r="D7" s="152" t="s">
        <v>259</v>
      </c>
      <c r="E7" s="144">
        <f>IF(D7="None",1,2*IF(D7="Dual Motor",1,VALUE(LEFT(RIGHT(D7, LEN(D7)-FIND("~",SUBSTITUTE(D7," ","~",2))), LEN(D7)-FIND("~",SUBSTITUTE(D7," ","~",2))-2))))</f>
        <v>1</v>
      </c>
      <c r="F7" s="212"/>
      <c r="H7" s="157">
        <f t="shared" ref="H7:H24" si="0">IF(LEN(J6)&gt;0, (LEN(J6)-LEN(J7))/9, "")</f>
        <v>1</v>
      </c>
      <c r="I7" s="158" t="str">
        <f t="shared" ref="I7:I24" si="1">LEFT(J6, 8)</f>
        <v>217-4973</v>
      </c>
      <c r="J7" s="144" t="str">
        <f t="shared" ref="J7:J24" si="2">SUBSTITUTE(J6, I7&amp;",", "")</f>
        <v>217-2816,217-3102,217-2816,217-2819,</v>
      </c>
      <c r="K7" s="157">
        <f t="shared" ref="K7:K24" si="3">IF(LEN(M6)&gt;0, (LEN(M6)-LEN(M7))/9, "")</f>
        <v>1</v>
      </c>
      <c r="L7" s="158" t="str">
        <f t="shared" ref="L7:L24" si="4">LEFT(M6, 8)</f>
        <v>217-5823</v>
      </c>
      <c r="M7" s="144" t="str">
        <f t="shared" ref="M7:M24" si="5">SUBSTITUTE(M6, L7&amp;",", "")</f>
        <v>217-2897,217-3564,217-4649,217-5832,217-3102,217-5832,217-2819,</v>
      </c>
      <c r="N7" s="145" t="s">
        <v>327</v>
      </c>
    </row>
    <row r="8" spans="2:14" ht="14.25" customHeight="1" x14ac:dyDescent="0.3">
      <c r="C8" s="143" t="s">
        <v>325</v>
      </c>
      <c r="D8" s="152" t="s">
        <v>304</v>
      </c>
      <c r="F8" s="212"/>
      <c r="H8" s="157">
        <f t="shared" si="0"/>
        <v>2</v>
      </c>
      <c r="I8" s="158" t="str">
        <f t="shared" si="1"/>
        <v>217-2816</v>
      </c>
      <c r="J8" s="144" t="str">
        <f t="shared" si="2"/>
        <v>217-3102,217-2819,</v>
      </c>
      <c r="K8" s="157">
        <f t="shared" si="3"/>
        <v>1</v>
      </c>
      <c r="L8" s="158" t="str">
        <f t="shared" si="4"/>
        <v>217-2897</v>
      </c>
      <c r="M8" s="144" t="str">
        <f t="shared" si="5"/>
        <v>217-3564,217-4649,217-5832,217-3102,217-5832,217-2819,</v>
      </c>
      <c r="N8" s="145" t="s">
        <v>327</v>
      </c>
    </row>
    <row r="9" spans="2:14" ht="14.25" customHeight="1" x14ac:dyDescent="0.3">
      <c r="C9" s="143" t="s">
        <v>316</v>
      </c>
      <c r="D9" s="153" t="s">
        <v>269</v>
      </c>
      <c r="F9" s="212"/>
      <c r="H9" s="157">
        <f t="shared" si="0"/>
        <v>1</v>
      </c>
      <c r="I9" s="158" t="str">
        <f t="shared" si="1"/>
        <v>217-3102</v>
      </c>
      <c r="J9" s="144" t="str">
        <f t="shared" si="2"/>
        <v>217-2819,</v>
      </c>
      <c r="K9" s="157">
        <f t="shared" si="3"/>
        <v>1</v>
      </c>
      <c r="L9" s="158" t="str">
        <f t="shared" si="4"/>
        <v>217-3564</v>
      </c>
      <c r="M9" s="144" t="str">
        <f t="shared" si="5"/>
        <v>217-4649,217-5832,217-3102,217-5832,217-2819,</v>
      </c>
      <c r="N9" s="145" t="s">
        <v>327</v>
      </c>
    </row>
    <row r="10" spans="2:14" ht="14.25" customHeight="1" x14ac:dyDescent="0.3">
      <c r="C10" s="143" t="s">
        <v>317</v>
      </c>
      <c r="D10" s="153" t="s">
        <v>266</v>
      </c>
      <c r="F10" s="213"/>
      <c r="H10" s="157">
        <f t="shared" si="0"/>
        <v>1</v>
      </c>
      <c r="I10" s="158" t="str">
        <f t="shared" si="1"/>
        <v>217-2819</v>
      </c>
      <c r="J10" s="144" t="str">
        <f t="shared" si="2"/>
        <v/>
      </c>
      <c r="K10" s="157">
        <f t="shared" si="3"/>
        <v>1</v>
      </c>
      <c r="L10" s="158" t="str">
        <f t="shared" si="4"/>
        <v>217-4649</v>
      </c>
      <c r="M10" s="144" t="str">
        <f t="shared" si="5"/>
        <v>217-5832,217-3102,217-5832,217-2819,</v>
      </c>
      <c r="N10" s="145" t="s">
        <v>327</v>
      </c>
    </row>
    <row r="11" spans="2:14" ht="14.25" customHeight="1" x14ac:dyDescent="0.3">
      <c r="C11" s="143" t="s">
        <v>237</v>
      </c>
      <c r="D11" s="153" t="s">
        <v>259</v>
      </c>
      <c r="H11" s="157" t="str">
        <f t="shared" si="0"/>
        <v/>
      </c>
      <c r="I11" s="158" t="str">
        <f t="shared" si="1"/>
        <v/>
      </c>
      <c r="J11" s="144" t="str">
        <f t="shared" si="2"/>
        <v/>
      </c>
      <c r="K11" s="157">
        <f t="shared" si="3"/>
        <v>2</v>
      </c>
      <c r="L11" s="158" t="str">
        <f t="shared" si="4"/>
        <v>217-5832</v>
      </c>
      <c r="M11" s="144" t="str">
        <f t="shared" si="5"/>
        <v>217-3102,217-2819,</v>
      </c>
      <c r="N11" s="145" t="s">
        <v>327</v>
      </c>
    </row>
    <row r="12" spans="2:14" ht="14.25" customHeight="1" x14ac:dyDescent="0.3">
      <c r="C12" s="143" t="s">
        <v>305</v>
      </c>
      <c r="D12" s="152" t="s">
        <v>304</v>
      </c>
      <c r="F12" s="217" t="s">
        <v>347</v>
      </c>
      <c r="G12" s="146"/>
      <c r="H12" s="157" t="str">
        <f t="shared" si="0"/>
        <v/>
      </c>
      <c r="I12" s="158" t="str">
        <f t="shared" si="1"/>
        <v/>
      </c>
      <c r="J12" s="144" t="str">
        <f t="shared" si="2"/>
        <v/>
      </c>
      <c r="K12" s="157">
        <f t="shared" si="3"/>
        <v>1</v>
      </c>
      <c r="L12" s="158" t="str">
        <f t="shared" si="4"/>
        <v>217-3102</v>
      </c>
      <c r="M12" s="144" t="str">
        <f t="shared" si="5"/>
        <v>217-2819,</v>
      </c>
      <c r="N12" s="145" t="s">
        <v>327</v>
      </c>
    </row>
    <row r="13" spans="2:14" ht="14.25" customHeight="1" x14ac:dyDescent="0.3">
      <c r="C13" s="143" t="s">
        <v>307</v>
      </c>
      <c r="D13" s="152" t="s">
        <v>304</v>
      </c>
      <c r="F13" s="218"/>
      <c r="G13" s="146"/>
      <c r="H13" s="157" t="str">
        <f t="shared" si="0"/>
        <v/>
      </c>
      <c r="I13" s="158" t="str">
        <f t="shared" si="1"/>
        <v/>
      </c>
      <c r="J13" s="144" t="str">
        <f t="shared" si="2"/>
        <v/>
      </c>
      <c r="K13" s="157">
        <f t="shared" si="3"/>
        <v>1</v>
      </c>
      <c r="L13" s="158" t="str">
        <f t="shared" si="4"/>
        <v>217-2819</v>
      </c>
      <c r="M13" s="144" t="str">
        <f t="shared" si="5"/>
        <v/>
      </c>
      <c r="N13" s="145" t="s">
        <v>327</v>
      </c>
    </row>
    <row r="14" spans="2:14" ht="14.25" customHeight="1" x14ac:dyDescent="0.3">
      <c r="C14" s="143" t="s">
        <v>309</v>
      </c>
      <c r="D14" s="152" t="s">
        <v>304</v>
      </c>
      <c r="F14" s="218"/>
      <c r="G14" s="146"/>
      <c r="H14" s="157" t="str">
        <f t="shared" si="0"/>
        <v/>
      </c>
      <c r="I14" s="158" t="str">
        <f t="shared" si="1"/>
        <v/>
      </c>
      <c r="J14" s="144" t="str">
        <f t="shared" si="2"/>
        <v/>
      </c>
      <c r="K14" s="157" t="str">
        <f t="shared" si="3"/>
        <v/>
      </c>
      <c r="L14" s="158" t="str">
        <f t="shared" si="4"/>
        <v/>
      </c>
      <c r="M14" s="144" t="str">
        <f t="shared" si="5"/>
        <v/>
      </c>
      <c r="N14" s="145" t="s">
        <v>327</v>
      </c>
    </row>
    <row r="15" spans="2:14" ht="14.25" customHeight="1" x14ac:dyDescent="0.3">
      <c r="C15" s="143" t="s">
        <v>235</v>
      </c>
      <c r="D15" s="152" t="s">
        <v>117</v>
      </c>
      <c r="F15" s="219"/>
      <c r="G15" s="146"/>
      <c r="H15" s="157" t="str">
        <f t="shared" si="0"/>
        <v/>
      </c>
      <c r="I15" s="158" t="str">
        <f t="shared" si="1"/>
        <v/>
      </c>
      <c r="J15" s="144" t="str">
        <f t="shared" si="2"/>
        <v/>
      </c>
      <c r="K15" s="157" t="str">
        <f t="shared" si="3"/>
        <v/>
      </c>
      <c r="L15" s="158" t="str">
        <f t="shared" si="4"/>
        <v/>
      </c>
      <c r="M15" s="144" t="str">
        <f t="shared" si="5"/>
        <v/>
      </c>
      <c r="N15" s="145" t="s">
        <v>327</v>
      </c>
    </row>
    <row r="16" spans="2:14" ht="14.25" customHeight="1" thickBot="1" x14ac:dyDescent="0.35">
      <c r="H16" s="157" t="str">
        <f t="shared" si="0"/>
        <v/>
      </c>
      <c r="I16" s="158" t="str">
        <f t="shared" si="1"/>
        <v/>
      </c>
      <c r="J16" s="144" t="str">
        <f t="shared" si="2"/>
        <v/>
      </c>
      <c r="K16" s="157" t="str">
        <f t="shared" si="3"/>
        <v/>
      </c>
      <c r="L16" s="158" t="str">
        <f t="shared" si="4"/>
        <v/>
      </c>
      <c r="M16" s="144" t="str">
        <f t="shared" si="5"/>
        <v/>
      </c>
      <c r="N16" s="145" t="s">
        <v>327</v>
      </c>
    </row>
    <row r="17" spans="3:14" ht="14.25" customHeight="1" x14ac:dyDescent="0.3">
      <c r="C17" s="143" t="s">
        <v>331</v>
      </c>
      <c r="D17" s="147">
        <f>VALUE(IF($D$9="None", 1, LEFT($D$9, 2)))*VALUE(IF($D$10="None", 1, LEFT($D$10, 2)))*VALUE(IF($D$11="None", 1, LEFT($D$11, 2)))</f>
        <v>35</v>
      </c>
      <c r="F17" s="214" t="s">
        <v>318</v>
      </c>
      <c r="H17" s="157" t="str">
        <f t="shared" si="0"/>
        <v/>
      </c>
      <c r="I17" s="158" t="str">
        <f t="shared" si="1"/>
        <v/>
      </c>
      <c r="J17" s="144" t="str">
        <f t="shared" si="2"/>
        <v/>
      </c>
      <c r="K17" s="157" t="str">
        <f t="shared" si="3"/>
        <v/>
      </c>
      <c r="L17" s="158" t="str">
        <f t="shared" si="4"/>
        <v/>
      </c>
      <c r="M17" s="144" t="str">
        <f t="shared" si="5"/>
        <v/>
      </c>
      <c r="N17" s="145" t="s">
        <v>327</v>
      </c>
    </row>
    <row r="18" spans="3:14" ht="14.25" customHeight="1" x14ac:dyDescent="0.3">
      <c r="C18" s="143" t="s">
        <v>321</v>
      </c>
      <c r="D18" s="148">
        <f>VLOOKUP($D$6, MotorSpecs, 2, FALSE)/D17</f>
        <v>535.14285714285711</v>
      </c>
      <c r="F18" s="215"/>
      <c r="H18" s="157" t="str">
        <f t="shared" si="0"/>
        <v/>
      </c>
      <c r="I18" s="158" t="str">
        <f t="shared" si="1"/>
        <v/>
      </c>
      <c r="J18" s="144" t="str">
        <f t="shared" si="2"/>
        <v/>
      </c>
      <c r="K18" s="157" t="str">
        <f t="shared" si="3"/>
        <v/>
      </c>
      <c r="L18" s="158" t="str">
        <f t="shared" si="4"/>
        <v/>
      </c>
      <c r="M18" s="144" t="str">
        <f t="shared" si="5"/>
        <v/>
      </c>
      <c r="N18" s="145" t="s">
        <v>327</v>
      </c>
    </row>
    <row r="19" spans="3:14" ht="14.25" customHeight="1" thickBot="1" x14ac:dyDescent="0.35">
      <c r="C19" s="143" t="str">
        <f>"Stall Torque ("&amp;IF($B$4,"Nm","ft-lbs")&amp;")"</f>
        <v>Stall Torque (ft-lbs)</v>
      </c>
      <c r="D19" s="149">
        <f>VLOOKUP($D$6,MotorSpecs,3,FALSE)*D17*IF($B$4,1,0.73756)</f>
        <v>18.328365999999999</v>
      </c>
      <c r="F19" s="216"/>
      <c r="H19" s="157" t="str">
        <f t="shared" si="0"/>
        <v/>
      </c>
      <c r="I19" s="158" t="str">
        <f t="shared" si="1"/>
        <v/>
      </c>
      <c r="J19" s="144" t="str">
        <f t="shared" si="2"/>
        <v/>
      </c>
      <c r="K19" s="157" t="str">
        <f t="shared" si="3"/>
        <v/>
      </c>
      <c r="L19" s="158" t="str">
        <f t="shared" si="4"/>
        <v/>
      </c>
      <c r="M19" s="144" t="str">
        <f t="shared" si="5"/>
        <v/>
      </c>
      <c r="N19" s="145" t="s">
        <v>327</v>
      </c>
    </row>
    <row r="20" spans="3:14" ht="14.25" customHeight="1" thickBot="1" x14ac:dyDescent="0.35">
      <c r="F20" s="150"/>
      <c r="H20" s="157" t="str">
        <f t="shared" si="0"/>
        <v/>
      </c>
      <c r="I20" s="158" t="str">
        <f t="shared" si="1"/>
        <v/>
      </c>
      <c r="J20" s="144" t="str">
        <f t="shared" si="2"/>
        <v/>
      </c>
      <c r="K20" s="157" t="str">
        <f t="shared" si="3"/>
        <v/>
      </c>
      <c r="L20" s="158" t="str">
        <f t="shared" si="4"/>
        <v/>
      </c>
      <c r="M20" s="144" t="str">
        <f t="shared" si="5"/>
        <v/>
      </c>
      <c r="N20" s="145" t="s">
        <v>327</v>
      </c>
    </row>
    <row r="21" spans="3:14" ht="14.25" customHeight="1" x14ac:dyDescent="0.3">
      <c r="C21" s="143" t="s">
        <v>348</v>
      </c>
      <c r="D21" s="154" t="b">
        <f>IF(OR(VALUE(IF($D$10="None", 1, LEFT($D$10, 2)))&gt;VALUE(IF($D$9="None", 1, LEFT($D$9, 2))), VALUE(IF($D$11="None", 1, LEFT($D$11, 2)))&gt;VALUE(IF($D$10="None", 1, LEFT($D$10, 2))), VALUE(IF($D$11="None", 1, LEFT($D$11, 2)))&gt;VALUE(IF($D$9="None", 1, LEFT($D$9, 2)))), "N/A", IF(AND(D10="None", D11="None"), TRUE, VLOOKUP($D$15&amp;" "&amp;$D$6&amp;" "&amp;VALUE(IF($D$9="None", 1, LEFT($D$9, 2)))*VALUE(IF($D$10="None", 1, LEFT($D$10, 2))), VP_Load, 2, FALSE)/($E$7*IF($D$8="Yes",2,1))&gt;=VALUE(IF($D$11="None", 1, LEFT($D$11, 2)))))</f>
        <v>1</v>
      </c>
      <c r="F21" s="214" t="s">
        <v>326</v>
      </c>
      <c r="H21" s="157" t="str">
        <f t="shared" si="0"/>
        <v/>
      </c>
      <c r="I21" s="158" t="str">
        <f t="shared" si="1"/>
        <v/>
      </c>
      <c r="J21" s="144" t="str">
        <f t="shared" si="2"/>
        <v/>
      </c>
      <c r="K21" s="157" t="str">
        <f t="shared" si="3"/>
        <v/>
      </c>
      <c r="L21" s="158" t="str">
        <f t="shared" si="4"/>
        <v/>
      </c>
      <c r="M21" s="144" t="str">
        <f t="shared" si="5"/>
        <v/>
      </c>
      <c r="N21" s="145" t="s">
        <v>327</v>
      </c>
    </row>
    <row r="22" spans="3:14" ht="14.25" customHeight="1" x14ac:dyDescent="0.3">
      <c r="C22" s="143" t="s">
        <v>319</v>
      </c>
      <c r="D22" s="151">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15"/>
      <c r="H22" s="157" t="str">
        <f t="shared" si="0"/>
        <v/>
      </c>
      <c r="I22" s="158" t="str">
        <f t="shared" si="1"/>
        <v/>
      </c>
      <c r="J22" s="144" t="str">
        <f t="shared" si="2"/>
        <v/>
      </c>
      <c r="K22" s="157" t="str">
        <f t="shared" si="3"/>
        <v/>
      </c>
      <c r="L22" s="158" t="str">
        <f t="shared" si="4"/>
        <v/>
      </c>
      <c r="M22" s="144" t="str">
        <f t="shared" si="5"/>
        <v/>
      </c>
      <c r="N22" s="145" t="s">
        <v>327</v>
      </c>
    </row>
    <row r="23" spans="3:14" ht="14.25" customHeight="1" x14ac:dyDescent="0.3">
      <c r="F23" s="215"/>
      <c r="H23" s="157" t="str">
        <f t="shared" si="0"/>
        <v/>
      </c>
      <c r="I23" s="158" t="str">
        <f t="shared" si="1"/>
        <v/>
      </c>
      <c r="J23" s="144" t="str">
        <f t="shared" si="2"/>
        <v/>
      </c>
      <c r="K23" s="157" t="str">
        <f t="shared" si="3"/>
        <v/>
      </c>
      <c r="L23" s="158" t="str">
        <f t="shared" si="4"/>
        <v/>
      </c>
      <c r="M23" s="144" t="str">
        <f t="shared" si="5"/>
        <v/>
      </c>
      <c r="N23" s="145" t="s">
        <v>327</v>
      </c>
    </row>
    <row r="24" spans="3:14" ht="14.25" customHeight="1" thickBot="1" x14ac:dyDescent="0.35">
      <c r="C24" s="143" t="s">
        <v>349</v>
      </c>
      <c r="D24" s="154" t="b">
        <f>IF(OR(VALUE(IF($D$10="None", 1, LEFT($D$10, 2)))&gt;VALUE(IF($D$9="None", 1, LEFT($D$9, 2))), VALUE(IF($D$11="None", 1, LEFT($D$11, 2)))&gt;VALUE(IF($D$10="None", 1, LEFT($D$10, 2))), VALUE(IF($D$11="None", 1, LEFT($D$11, 2)))&gt;VALUE(IF($D$9="None", 1, LEFT($D$9, 2)))), "----&gt;", IF(OR(D6="CIM", D6="Mini CIM"), FALSE, IF(AND(D10="None", D11="None"), TRUE, VLOOKUP($D$15&amp;" "&amp;$D$6&amp;" "&amp;VALUE(IF($D$9="None", 1, LEFT($D$9, 2)))*VALUE(IF($D$10="None", 1, LEFT($D$10, 2))), VP_Load, 3, FALSE)/($E$7*IF($D$8="Yes",2,1))&gt;=VALUE(IF($D$11="None", 1, LEFT($D$11, 2))))))</f>
        <v>1</v>
      </c>
      <c r="F24" s="216"/>
      <c r="H24" s="157" t="str">
        <f t="shared" si="0"/>
        <v/>
      </c>
      <c r="I24" s="158" t="str">
        <f t="shared" si="1"/>
        <v/>
      </c>
      <c r="J24" s="144" t="str">
        <f t="shared" si="2"/>
        <v/>
      </c>
      <c r="K24" s="157" t="str">
        <f t="shared" si="3"/>
        <v/>
      </c>
      <c r="L24" s="158" t="str">
        <f t="shared" si="4"/>
        <v/>
      </c>
      <c r="M24" s="144" t="str">
        <f t="shared" si="5"/>
        <v/>
      </c>
      <c r="N24" s="145" t="s">
        <v>327</v>
      </c>
    </row>
    <row r="25" spans="3:14" ht="14.25" customHeight="1" x14ac:dyDescent="0.3">
      <c r="C25" s="143" t="s">
        <v>320</v>
      </c>
      <c r="D25" s="151">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c r="H25" s="159" t="str">
        <f t="shared" ref="H25" si="6">IF(LEN(J24)&gt;0, (LEN(J24)-LEN(J25))/9, "")</f>
        <v/>
      </c>
      <c r="I25" s="160" t="str">
        <f t="shared" ref="I25" si="7">LEFT(J24, 8)</f>
        <v/>
      </c>
      <c r="J25" s="144" t="str">
        <f t="shared" ref="J25" si="8">SUBSTITUTE(J24, I25&amp;",", "")</f>
        <v/>
      </c>
      <c r="K25" s="159" t="str">
        <f t="shared" ref="K25" si="9">IF(LEN(M24)&gt;0, (LEN(M24)-LEN(M25))/9, "")</f>
        <v/>
      </c>
      <c r="L25" s="160" t="str">
        <f t="shared" ref="L25" si="10">LEFT(M24, 8)</f>
        <v/>
      </c>
      <c r="M25" s="144" t="str">
        <f t="shared" ref="M25" si="11">SUBSTITUTE(M24, L25&amp;",", "")</f>
        <v/>
      </c>
      <c r="N25" s="145" t="s">
        <v>327</v>
      </c>
    </row>
  </sheetData>
  <mergeCells count="6">
    <mergeCell ref="K5:L5"/>
    <mergeCell ref="F6:F10"/>
    <mergeCell ref="F17:F19"/>
    <mergeCell ref="F21:F24"/>
    <mergeCell ref="H5:I5"/>
    <mergeCell ref="F12:F15"/>
  </mergeCells>
  <conditionalFormatting sqref="D21 D24">
    <cfRule type="cellIs" dxfId="11" priority="5" operator="equal">
      <formula>FALSE</formula>
    </cfRule>
    <cfRule type="cellIs" dxfId="10" priority="10" operator="equal">
      <formula>TRUE</formula>
    </cfRule>
  </conditionalFormatting>
  <conditionalFormatting sqref="F21:F24">
    <cfRule type="expression" dxfId="9" priority="11">
      <formula>NOT(OR(VALUE(IF($D$10="None", 1, LEFT($D$10, 2)))&gt;VALUE(IF($D$9="None", 1, LEFT($D$9, 2))), VALUE(IF($D$11="None", 1, LEFT($D$11, 2)))&gt;VALUE(IF($D$10="None", 1, LEFT($D$10, 2))), VALUE(IF($D$11="None", 1, LEFT($D$11, 2)))&gt;VALUE(IF($D$9="None", 1, LEFT($D$9, 2)))))</formula>
    </cfRule>
  </conditionalFormatting>
  <conditionalFormatting sqref="F17:F19">
    <cfRule type="expression" dxfId="8" priority="12">
      <formula>OR($D$7="None", OR($D$6="775pro", $D$6="BB RS-775", $D$6="BB RS-550", $D$6="BAG"))</formula>
    </cfRule>
  </conditionalFormatting>
  <conditionalFormatting sqref="D6:D7">
    <cfRule type="expression" dxfId="7" priority="9">
      <formula>NOT(OR($D$7="None", OR($D$6="775pro", $D$6="BB RS-775", $D$6="BB RS-550", $D$6="BAG")))</formula>
    </cfRule>
  </conditionalFormatting>
  <conditionalFormatting sqref="D9:D10">
    <cfRule type="expression" dxfId="6" priority="8">
      <formula>VALUE(IF($D$10="None", 1, LEFT($D$10, 2)))&gt;VALUE(IF($D$9="None", 1, LEFT($D$9, 2)))</formula>
    </cfRule>
  </conditionalFormatting>
  <conditionalFormatting sqref="D10:D11">
    <cfRule type="expression" dxfId="5" priority="7">
      <formula>VALUE(IF($D$11="None", 1, LEFT($D$11, 2)))&gt;VALUE(IF($D$10="None", 1, LEFT($D$10, 2)))</formula>
    </cfRule>
  </conditionalFormatting>
  <conditionalFormatting sqref="D9 D11">
    <cfRule type="expression" dxfId="4" priority="6">
      <formula>VALUE(IF($D$11="None", 1, LEFT($D$11, 2)))&gt;VALUE(IF($D$9="None", 1, LEFT($D$9, 2)))</formula>
    </cfRule>
  </conditionalFormatting>
  <conditionalFormatting sqref="H5:I25">
    <cfRule type="expression" dxfId="3" priority="1">
      <formula>NOT($D$21)</formula>
    </cfRule>
    <cfRule type="expression" dxfId="2" priority="4">
      <formula>$D$21</formula>
    </cfRule>
  </conditionalFormatting>
  <conditionalFormatting sqref="K5:L25">
    <cfRule type="expression" dxfId="1" priority="33">
      <formula>NOT($D$24)</formula>
    </cfRule>
    <cfRule type="expression" dxfId="0" priority="34">
      <formula>$D$24</formula>
    </cfRule>
  </conditionalFormatting>
  <dataValidations count="5">
    <dataValidation type="list" allowBlank="1" showErrorMessage="1" sqref="D15" xr:uid="{00000000-0002-0000-0D00-000000000000}">
      <formula1>"1/2"" Hex,1/2"" Round,3/8"" Hex,CIM Motor,Female"</formula1>
    </dataValidation>
    <dataValidation type="list" allowBlank="1" showErrorMessage="1" sqref="D6" xr:uid="{00000000-0002-0000-0D00-000001000000}">
      <formula1>"775pro,CIM,Mini CIM,BAG Motor,BB RS-775,BB RS-550,AM 9015,NeveRest"</formula1>
    </dataValidation>
    <dataValidation type="list" allowBlank="1" showErrorMessage="1" sqref="D9:D11" xr:uid="{00000000-0002-0000-0D00-000002000000}">
      <formula1>"None,3 : 1,4 : 1,5 : 1,7 : 1,9 : 1,10 : 1"</formula1>
    </dataValidation>
    <dataValidation type="list" allowBlank="1" showErrorMessage="1" sqref="D8 D12:D14" xr:uid="{00000000-0002-0000-0D00-000003000000}">
      <formula1>"Yes,No"</formula1>
    </dataValidation>
    <dataValidation type="list" allowBlank="1" showErrorMessage="1" sqref="D7" xr:uid="{00000000-0002-0000-0D00-000004000000}">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7620</xdr:colOff>
                    <xdr:row>4</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dimension ref="A2:S32"/>
  <sheetViews>
    <sheetView topLeftCell="A2" workbookViewId="0">
      <selection activeCell="E12" sqref="E12"/>
    </sheetView>
  </sheetViews>
  <sheetFormatPr defaultColWidth="9.109375" defaultRowHeight="14.4" x14ac:dyDescent="0.3"/>
  <cols>
    <col min="1" max="1" width="9.109375" style="1"/>
    <col min="2" max="2" width="18.6640625" style="1" customWidth="1"/>
    <col min="3" max="3" width="16.88671875" style="1" customWidth="1"/>
    <col min="4" max="4" width="17" style="1" customWidth="1"/>
    <col min="5" max="5" width="15.109375" style="1" customWidth="1"/>
    <col min="6" max="6" width="15" style="1" customWidth="1"/>
    <col min="7" max="7" width="12.33203125" style="1" customWidth="1"/>
    <col min="8" max="9" width="9.109375" style="1"/>
    <col min="10" max="10" width="9.88671875" style="1" customWidth="1"/>
    <col min="11" max="16" width="9.109375" style="1"/>
    <col min="17" max="17" width="11.33203125" style="1" customWidth="1"/>
    <col min="18" max="19" width="22.33203125" style="1" customWidth="1"/>
    <col min="20" max="16384" width="9.109375" style="1"/>
  </cols>
  <sheetData>
    <row r="2" spans="1:19" ht="31.2" x14ac:dyDescent="0.3">
      <c r="B2" s="2" t="s">
        <v>211</v>
      </c>
      <c r="J2" s="2" t="s">
        <v>20</v>
      </c>
      <c r="Q2" s="2" t="s">
        <v>216</v>
      </c>
    </row>
    <row r="3" spans="1:19" x14ac:dyDescent="0.3">
      <c r="B3" s="121"/>
    </row>
    <row r="4" spans="1:19" x14ac:dyDescent="0.3">
      <c r="A4" s="121"/>
      <c r="B4" s="121"/>
      <c r="C4" s="122" t="s">
        <v>1</v>
      </c>
      <c r="D4" s="123" t="s">
        <v>2</v>
      </c>
      <c r="E4" s="123" t="s">
        <v>3</v>
      </c>
      <c r="F4" s="123" t="s">
        <v>4</v>
      </c>
      <c r="G4" s="124" t="s">
        <v>5</v>
      </c>
      <c r="J4" s="92"/>
      <c r="K4" s="125" t="s">
        <v>21</v>
      </c>
      <c r="L4" s="126" t="s">
        <v>22</v>
      </c>
      <c r="M4" s="126" t="s">
        <v>23</v>
      </c>
      <c r="N4" s="127" t="s">
        <v>24</v>
      </c>
      <c r="R4" s="128" t="s">
        <v>218</v>
      </c>
      <c r="S4" s="127" t="s">
        <v>219</v>
      </c>
    </row>
    <row r="5" spans="1:19" x14ac:dyDescent="0.3">
      <c r="B5" s="75" t="s">
        <v>6</v>
      </c>
      <c r="C5" s="76">
        <v>5330</v>
      </c>
      <c r="D5" s="76">
        <v>2.41</v>
      </c>
      <c r="E5" s="76">
        <v>2.7</v>
      </c>
      <c r="F5" s="76">
        <v>131</v>
      </c>
      <c r="G5" s="129">
        <f>IF(ISBLANK(B5), "", (C5/60*2*PI())*D5/4)</f>
        <v>336.28916760964142</v>
      </c>
      <c r="J5" s="75" t="s">
        <v>25</v>
      </c>
      <c r="K5" s="130">
        <v>6.35</v>
      </c>
      <c r="L5" s="130">
        <v>9</v>
      </c>
      <c r="M5" s="130">
        <v>5.9</v>
      </c>
      <c r="N5" s="131">
        <v>0.31</v>
      </c>
      <c r="Q5" s="132" t="s">
        <v>221</v>
      </c>
      <c r="R5" s="76">
        <v>71700</v>
      </c>
      <c r="S5" s="133">
        <v>26900</v>
      </c>
    </row>
    <row r="6" spans="1:19" x14ac:dyDescent="0.3">
      <c r="B6" s="75" t="s">
        <v>7</v>
      </c>
      <c r="C6" s="76">
        <v>5840</v>
      </c>
      <c r="D6" s="76">
        <v>1.41</v>
      </c>
      <c r="E6" s="76">
        <v>3</v>
      </c>
      <c r="F6" s="76">
        <v>89</v>
      </c>
      <c r="G6" s="129">
        <f t="shared" ref="G6:G28" si="0">IF(ISBLANK(B6), "", (C6/60*2*PI())*D6/4)</f>
        <v>215.57608788933157</v>
      </c>
      <c r="J6" s="75" t="s">
        <v>26</v>
      </c>
      <c r="K6" s="130">
        <v>9.5299999999999994</v>
      </c>
      <c r="L6" s="130">
        <v>11.76</v>
      </c>
      <c r="M6" s="130">
        <v>8.94</v>
      </c>
      <c r="N6" s="131">
        <v>0.41</v>
      </c>
      <c r="Q6" s="132" t="s">
        <v>222</v>
      </c>
      <c r="R6" s="76">
        <v>68900</v>
      </c>
      <c r="S6" s="133">
        <v>26000</v>
      </c>
    </row>
    <row r="7" spans="1:19" x14ac:dyDescent="0.3">
      <c r="B7" s="75" t="s">
        <v>9</v>
      </c>
      <c r="C7" s="76">
        <v>5676</v>
      </c>
      <c r="D7" s="76">
        <v>2.6</v>
      </c>
      <c r="E7" s="76">
        <v>1.8</v>
      </c>
      <c r="F7" s="76">
        <v>105</v>
      </c>
      <c r="G7" s="129">
        <f t="shared" si="0"/>
        <v>386.35306453847278</v>
      </c>
      <c r="J7" s="75" t="s">
        <v>27</v>
      </c>
      <c r="K7" s="130">
        <v>5</v>
      </c>
      <c r="L7" s="130">
        <v>15</v>
      </c>
      <c r="M7" s="130">
        <v>3</v>
      </c>
      <c r="N7" s="131">
        <v>0</v>
      </c>
      <c r="Q7" s="132" t="s">
        <v>59</v>
      </c>
      <c r="R7" s="76">
        <v>206000</v>
      </c>
      <c r="S7" s="133">
        <v>70000</v>
      </c>
    </row>
    <row r="8" spans="1:19" x14ac:dyDescent="0.3">
      <c r="B8" s="75" t="s">
        <v>337</v>
      </c>
      <c r="C8" s="76">
        <v>6380</v>
      </c>
      <c r="D8" s="76">
        <v>4.6900000000000004</v>
      </c>
      <c r="E8" s="76">
        <v>1.5</v>
      </c>
      <c r="F8" s="76">
        <v>257</v>
      </c>
      <c r="G8" s="129">
        <f t="shared" ref="G8:G26" si="1">IF(ISBLANK(B8), "", (C8/60*2*PI())*D8/4)</f>
        <v>783.36136416037095</v>
      </c>
      <c r="J8" s="75" t="s">
        <v>28</v>
      </c>
      <c r="K8" s="130">
        <v>3</v>
      </c>
      <c r="L8" s="130">
        <v>9</v>
      </c>
      <c r="M8" s="130">
        <v>3</v>
      </c>
      <c r="N8" s="131">
        <v>0</v>
      </c>
      <c r="Q8" s="132" t="s">
        <v>217</v>
      </c>
      <c r="R8" s="76">
        <v>193000</v>
      </c>
      <c r="S8" s="133">
        <v>77000</v>
      </c>
    </row>
    <row r="9" spans="1:19" x14ac:dyDescent="0.3">
      <c r="B9" s="75" t="s">
        <v>257</v>
      </c>
      <c r="C9" s="76">
        <v>18730</v>
      </c>
      <c r="D9" s="76">
        <v>0.71</v>
      </c>
      <c r="E9" s="76">
        <v>0.7</v>
      </c>
      <c r="F9" s="76">
        <v>134</v>
      </c>
      <c r="G9" s="129">
        <f t="shared" si="1"/>
        <v>348.14867987694288</v>
      </c>
      <c r="J9" s="75"/>
      <c r="K9" s="130"/>
      <c r="L9" s="130"/>
      <c r="M9" s="130"/>
      <c r="N9" s="131"/>
      <c r="Q9" s="132"/>
      <c r="R9" s="76"/>
      <c r="S9" s="133"/>
    </row>
    <row r="10" spans="1:19" x14ac:dyDescent="0.3">
      <c r="B10" s="75" t="s">
        <v>330</v>
      </c>
      <c r="C10" s="76">
        <v>21020</v>
      </c>
      <c r="D10" s="76">
        <v>0.7</v>
      </c>
      <c r="E10" s="76">
        <v>3.8</v>
      </c>
      <c r="F10" s="76">
        <v>130</v>
      </c>
      <c r="G10" s="129">
        <f t="shared" si="1"/>
        <v>385.21161920766843</v>
      </c>
      <c r="J10" s="75"/>
      <c r="K10" s="130"/>
      <c r="L10" s="130"/>
      <c r="M10" s="130"/>
      <c r="N10" s="131"/>
      <c r="Q10" s="132"/>
      <c r="R10" s="76"/>
      <c r="S10" s="133"/>
    </row>
    <row r="11" spans="1:19" x14ac:dyDescent="0.3">
      <c r="B11" s="75" t="s">
        <v>339</v>
      </c>
      <c r="C11" s="76"/>
      <c r="D11" s="76"/>
      <c r="E11" s="76"/>
      <c r="F11" s="76"/>
      <c r="G11" s="129">
        <f t="shared" si="1"/>
        <v>0</v>
      </c>
      <c r="J11" s="75"/>
      <c r="K11" s="130"/>
      <c r="L11" s="130"/>
      <c r="M11" s="130"/>
      <c r="N11" s="131"/>
      <c r="Q11" s="132"/>
      <c r="R11" s="76"/>
      <c r="S11" s="133"/>
    </row>
    <row r="12" spans="1:19" x14ac:dyDescent="0.3">
      <c r="B12" s="75" t="s">
        <v>8</v>
      </c>
      <c r="C12" s="76">
        <v>13180</v>
      </c>
      <c r="D12" s="76">
        <v>0.43</v>
      </c>
      <c r="E12" s="76">
        <v>1.8</v>
      </c>
      <c r="F12" s="76">
        <v>53</v>
      </c>
      <c r="G12" s="129">
        <f t="shared" si="1"/>
        <v>148.37218504128995</v>
      </c>
    </row>
    <row r="13" spans="1:19" x14ac:dyDescent="0.3">
      <c r="B13" s="75" t="s">
        <v>10</v>
      </c>
      <c r="C13" s="76">
        <v>5800</v>
      </c>
      <c r="D13" s="76">
        <v>0.28000000000000003</v>
      </c>
      <c r="E13" s="76">
        <v>1.6</v>
      </c>
      <c r="F13" s="76">
        <v>18</v>
      </c>
      <c r="G13" s="129">
        <f t="shared" si="1"/>
        <v>42.516220578581873</v>
      </c>
      <c r="J13" s="1" t="s">
        <v>29</v>
      </c>
    </row>
    <row r="14" spans="1:19" x14ac:dyDescent="0.3">
      <c r="B14" s="75" t="s">
        <v>11</v>
      </c>
      <c r="C14" s="76">
        <v>14270</v>
      </c>
      <c r="D14" s="76">
        <v>0.36</v>
      </c>
      <c r="E14" s="76">
        <v>3.7</v>
      </c>
      <c r="F14" s="76">
        <v>71</v>
      </c>
      <c r="G14" s="129">
        <f t="shared" si="1"/>
        <v>134.49158150017905</v>
      </c>
    </row>
    <row r="15" spans="1:19" x14ac:dyDescent="0.3">
      <c r="B15" s="75" t="s">
        <v>329</v>
      </c>
      <c r="C15" s="76">
        <v>13050</v>
      </c>
      <c r="D15" s="76">
        <v>0.72</v>
      </c>
      <c r="E15" s="76">
        <v>2.7</v>
      </c>
      <c r="F15" s="76">
        <v>97</v>
      </c>
      <c r="G15" s="129">
        <f t="shared" si="1"/>
        <v>245.98670477608078</v>
      </c>
    </row>
    <row r="16" spans="1:19" x14ac:dyDescent="0.3">
      <c r="B16" s="75" t="s">
        <v>328</v>
      </c>
      <c r="C16" s="76">
        <v>19000</v>
      </c>
      <c r="D16" s="76">
        <v>0.38</v>
      </c>
      <c r="E16" s="76">
        <v>0.4</v>
      </c>
      <c r="F16" s="76">
        <v>84</v>
      </c>
      <c r="G16" s="129">
        <f t="shared" si="1"/>
        <v>189.01915799098592</v>
      </c>
    </row>
    <row r="17" spans="2:13" x14ac:dyDescent="0.3">
      <c r="B17" s="75" t="s">
        <v>338</v>
      </c>
      <c r="C17" s="76">
        <v>410</v>
      </c>
      <c r="D17" s="76">
        <v>4.4000000000000004</v>
      </c>
      <c r="E17" s="76"/>
      <c r="F17" s="76">
        <v>26</v>
      </c>
      <c r="G17" s="129">
        <f t="shared" si="1"/>
        <v>47.228609558966561</v>
      </c>
    </row>
    <row r="18" spans="2:13" x14ac:dyDescent="0.3">
      <c r="B18" s="75" t="s">
        <v>15</v>
      </c>
      <c r="C18" s="76">
        <v>100</v>
      </c>
      <c r="D18" s="76">
        <v>7.91</v>
      </c>
      <c r="E18" s="76">
        <v>5</v>
      </c>
      <c r="F18" s="76">
        <v>24</v>
      </c>
      <c r="G18" s="129">
        <f t="shared" si="1"/>
        <v>20.708331574912719</v>
      </c>
      <c r="M18" s="4"/>
    </row>
    <row r="19" spans="2:13" x14ac:dyDescent="0.3">
      <c r="B19" s="75" t="s">
        <v>332</v>
      </c>
      <c r="C19" s="76">
        <v>6600</v>
      </c>
      <c r="D19" s="76">
        <v>6.1800000000000001E-2</v>
      </c>
      <c r="E19" s="76">
        <v>2</v>
      </c>
      <c r="F19" s="76">
        <v>11.5</v>
      </c>
      <c r="G19" s="129">
        <f t="shared" si="1"/>
        <v>10.678273429551707</v>
      </c>
      <c r="M19" s="4"/>
    </row>
    <row r="20" spans="2:13" x14ac:dyDescent="0.3">
      <c r="B20" s="75" t="s">
        <v>16</v>
      </c>
      <c r="C20" s="76">
        <v>5300</v>
      </c>
      <c r="D20" s="76">
        <v>0.13</v>
      </c>
      <c r="E20" s="76">
        <v>1</v>
      </c>
      <c r="F20" s="76">
        <v>7</v>
      </c>
      <c r="G20" s="129">
        <f t="shared" si="1"/>
        <v>18.037977819361398</v>
      </c>
    </row>
    <row r="21" spans="2:13" x14ac:dyDescent="0.3">
      <c r="B21" s="75" t="s">
        <v>17</v>
      </c>
      <c r="C21" s="76">
        <v>24</v>
      </c>
      <c r="D21" s="76">
        <v>22</v>
      </c>
      <c r="E21" s="76">
        <v>3</v>
      </c>
      <c r="F21" s="76">
        <v>12</v>
      </c>
      <c r="G21" s="129">
        <f t="shared" si="1"/>
        <v>13.82300767579509</v>
      </c>
    </row>
    <row r="22" spans="2:13" x14ac:dyDescent="0.3">
      <c r="B22" s="75" t="s">
        <v>18</v>
      </c>
      <c r="C22" s="76">
        <v>3084</v>
      </c>
      <c r="D22" s="76">
        <v>0.32</v>
      </c>
      <c r="E22" s="76">
        <v>0.28000000000000003</v>
      </c>
      <c r="F22" s="76">
        <v>6.5</v>
      </c>
      <c r="G22" s="129">
        <f t="shared" si="1"/>
        <v>25.836457983122461</v>
      </c>
    </row>
    <row r="23" spans="2:13" x14ac:dyDescent="0.3">
      <c r="B23" s="75" t="s">
        <v>19</v>
      </c>
      <c r="C23" s="76">
        <v>90</v>
      </c>
      <c r="D23" s="76">
        <v>9.24</v>
      </c>
      <c r="E23" s="76">
        <v>1.5</v>
      </c>
      <c r="F23" s="76">
        <v>16.25</v>
      </c>
      <c r="G23" s="129">
        <f t="shared" si="1"/>
        <v>21.771237089377266</v>
      </c>
    </row>
    <row r="24" spans="2:13" x14ac:dyDescent="0.3">
      <c r="B24" s="75" t="s">
        <v>12</v>
      </c>
      <c r="C24" s="76">
        <v>5508</v>
      </c>
      <c r="D24" s="76">
        <v>3.82</v>
      </c>
      <c r="E24" s="76">
        <v>8.16</v>
      </c>
      <c r="F24" s="76">
        <v>220</v>
      </c>
      <c r="G24" s="129">
        <f t="shared" si="1"/>
        <v>550.84057269512709</v>
      </c>
    </row>
    <row r="25" spans="2:13" x14ac:dyDescent="0.3">
      <c r="B25" s="75" t="s">
        <v>13</v>
      </c>
      <c r="C25" s="76">
        <v>5593</v>
      </c>
      <c r="D25" s="76">
        <v>5.23</v>
      </c>
      <c r="E25" s="76">
        <v>9.6199999999999992</v>
      </c>
      <c r="F25" s="76">
        <v>309</v>
      </c>
      <c r="G25" s="129">
        <f t="shared" si="1"/>
        <v>765.79959942741618</v>
      </c>
    </row>
    <row r="26" spans="2:13" x14ac:dyDescent="0.3">
      <c r="B26" s="75" t="s">
        <v>14</v>
      </c>
      <c r="C26" s="76">
        <v>5437</v>
      </c>
      <c r="D26" s="76">
        <v>6.23</v>
      </c>
      <c r="E26" s="76">
        <v>9.15</v>
      </c>
      <c r="F26" s="76">
        <v>351</v>
      </c>
      <c r="G26" s="129">
        <f t="shared" si="1"/>
        <v>886.78023812205663</v>
      </c>
    </row>
    <row r="27" spans="2:13" x14ac:dyDescent="0.3">
      <c r="B27" s="75"/>
      <c r="C27" s="76"/>
      <c r="D27" s="76"/>
      <c r="E27" s="76"/>
      <c r="F27" s="76"/>
      <c r="G27" s="129" t="str">
        <f t="shared" ref="G27" si="2">IF(ISBLANK(B27), "", (C27/60*2*PI())*D27/4)</f>
        <v/>
      </c>
    </row>
    <row r="28" spans="2:13" x14ac:dyDescent="0.3">
      <c r="B28" s="75"/>
      <c r="C28" s="76"/>
      <c r="D28" s="76"/>
      <c r="E28" s="76"/>
      <c r="F28" s="76"/>
      <c r="G28" s="129" t="str">
        <f t="shared" si="0"/>
        <v/>
      </c>
    </row>
    <row r="29" spans="2:13" x14ac:dyDescent="0.3">
      <c r="B29" s="75"/>
      <c r="C29" s="76"/>
      <c r="D29" s="76"/>
      <c r="E29" s="76"/>
      <c r="F29" s="76"/>
      <c r="G29" s="129" t="str">
        <f t="shared" ref="G29:G30" si="3">IF(ISBLANK(B29), "", (C29/60*2*PI())*D29/4)</f>
        <v/>
      </c>
    </row>
    <row r="30" spans="2:13" x14ac:dyDescent="0.3">
      <c r="B30" s="75"/>
      <c r="C30" s="76"/>
      <c r="D30" s="76"/>
      <c r="E30" s="76"/>
      <c r="F30" s="76"/>
      <c r="G30" s="129" t="str">
        <f t="shared" si="3"/>
        <v/>
      </c>
    </row>
    <row r="32" spans="2:13" x14ac:dyDescent="0.3">
      <c r="B32" s="1" t="s">
        <v>234</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2019-11-06T23:16:45Z</dcterms:modified>
</cp:coreProperties>
</file>