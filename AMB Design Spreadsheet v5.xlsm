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drawings/drawing13.xml" ContentType="application/vnd.openxmlformats-officedocument.drawing+xml"/>
  <Override PartName="/xl/ctrlProps/ctrlProp27.xml" ContentType="application/vnd.ms-excel.controlproperties+xml"/>
  <Override PartName="/xl/drawings/drawing14.xml" ContentType="application/vnd.openxmlformats-officedocument.drawing+xml"/>
  <Override PartName="/xl/ctrlProps/ctrlProp28.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05" yWindow="-105" windowWidth="19440" windowHeight="13170" activeTab="13"/>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dbg" sheetId="21" r:id="rId14"/>
    <sheet name="sfd" sheetId="23" r:id="rId15"/>
    <sheet name="Specs" sheetId="3" r:id="rId16"/>
  </sheets>
  <externalReferences>
    <externalReference r:id="rId17"/>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21" l="1"/>
  <c r="H10" i="21" s="1"/>
  <c r="O33" i="23"/>
  <c r="L33" i="23"/>
  <c r="L134" i="23" s="1"/>
  <c r="K33" i="23"/>
  <c r="G14" i="23"/>
  <c r="G13" i="23" s="1"/>
  <c r="M33" i="23" s="1"/>
  <c r="D14" i="23"/>
  <c r="F13" i="23"/>
  <c r="C13" i="23"/>
  <c r="F9" i="23"/>
  <c r="C9" i="23"/>
  <c r="F8" i="23"/>
  <c r="C8" i="23"/>
  <c r="F7" i="23"/>
  <c r="C7" i="23"/>
  <c r="C19" i="21"/>
  <c r="C18" i="21"/>
  <c r="C16" i="21"/>
  <c r="D8" i="21"/>
  <c r="E8" i="21" s="1"/>
  <c r="D7" i="21"/>
  <c r="E7" i="21" s="1"/>
  <c r="H11" i="21" s="1"/>
  <c r="H13" i="21" l="1"/>
  <c r="H14" i="21" s="1"/>
  <c r="L65" i="23"/>
  <c r="L97" i="23"/>
  <c r="N33" i="23"/>
  <c r="M38" i="23" s="1"/>
  <c r="L41" i="23"/>
  <c r="L73" i="23"/>
  <c r="L105" i="23"/>
  <c r="L49" i="23"/>
  <c r="L81" i="23"/>
  <c r="L113" i="23"/>
  <c r="L129" i="23"/>
  <c r="L57" i="23"/>
  <c r="M57" i="23" s="1"/>
  <c r="L89" i="23"/>
  <c r="L121" i="23"/>
  <c r="L35" i="23"/>
  <c r="L43" i="23"/>
  <c r="M43" i="23" s="1"/>
  <c r="L51" i="23"/>
  <c r="L59" i="23"/>
  <c r="L67" i="23"/>
  <c r="L75" i="23"/>
  <c r="M75" i="23" s="1"/>
  <c r="L83" i="23"/>
  <c r="L91" i="23"/>
  <c r="L99" i="23"/>
  <c r="L107" i="23"/>
  <c r="L115" i="23"/>
  <c r="L123" i="23"/>
  <c r="L131" i="23"/>
  <c r="L37" i="23"/>
  <c r="M37" i="23" s="1"/>
  <c r="L45" i="23"/>
  <c r="L53" i="23"/>
  <c r="L61" i="23"/>
  <c r="L69" i="23"/>
  <c r="L77" i="23"/>
  <c r="L85" i="23"/>
  <c r="L93" i="23"/>
  <c r="L101" i="23"/>
  <c r="L109" i="23"/>
  <c r="L117" i="23"/>
  <c r="L125" i="23"/>
  <c r="L133" i="23"/>
  <c r="L39" i="23"/>
  <c r="L47" i="23"/>
  <c r="L55" i="23"/>
  <c r="L63" i="23"/>
  <c r="L71" i="23"/>
  <c r="L79" i="23"/>
  <c r="L87" i="23"/>
  <c r="L95" i="23"/>
  <c r="L103" i="23"/>
  <c r="L111" i="23"/>
  <c r="L119" i="23"/>
  <c r="L127" i="23"/>
  <c r="L135" i="23"/>
  <c r="L36" i="23"/>
  <c r="L38" i="23"/>
  <c r="L40" i="23"/>
  <c r="L42" i="23"/>
  <c r="L44" i="23"/>
  <c r="L46" i="23"/>
  <c r="L48" i="23"/>
  <c r="M48" i="23" s="1"/>
  <c r="L50" i="23"/>
  <c r="L52" i="23"/>
  <c r="L54" i="23"/>
  <c r="L56" i="23"/>
  <c r="M56" i="23" s="1"/>
  <c r="L58" i="23"/>
  <c r="L60" i="23"/>
  <c r="L62" i="23"/>
  <c r="L64" i="23"/>
  <c r="M64" i="23" s="1"/>
  <c r="L66" i="23"/>
  <c r="L68" i="23"/>
  <c r="L70" i="23"/>
  <c r="L72" i="23"/>
  <c r="M72" i="23" s="1"/>
  <c r="L74" i="23"/>
  <c r="L76" i="23"/>
  <c r="L78" i="23"/>
  <c r="L80" i="23"/>
  <c r="M80" i="23" s="1"/>
  <c r="L82" i="23"/>
  <c r="L84" i="23"/>
  <c r="L86" i="23"/>
  <c r="L88" i="23"/>
  <c r="M88" i="23" s="1"/>
  <c r="L90" i="23"/>
  <c r="L92" i="23"/>
  <c r="L94" i="23"/>
  <c r="L96" i="23"/>
  <c r="M96" i="23" s="1"/>
  <c r="L98" i="23"/>
  <c r="L100" i="23"/>
  <c r="L102" i="23"/>
  <c r="L104" i="23"/>
  <c r="M104" i="23" s="1"/>
  <c r="L106" i="23"/>
  <c r="L108" i="23"/>
  <c r="L110" i="23"/>
  <c r="L112" i="23"/>
  <c r="M112" i="23" s="1"/>
  <c r="L114" i="23"/>
  <c r="L116" i="23"/>
  <c r="L118" i="23"/>
  <c r="L120" i="23"/>
  <c r="M120" i="23" s="1"/>
  <c r="L122" i="23"/>
  <c r="L124" i="23"/>
  <c r="L126" i="23"/>
  <c r="L128" i="23"/>
  <c r="M128" i="23" s="1"/>
  <c r="L130" i="23"/>
  <c r="L132" i="23"/>
  <c r="M36" i="23"/>
  <c r="M98" i="23"/>
  <c r="M132" i="23"/>
  <c r="M59" i="23"/>
  <c r="M69" i="23"/>
  <c r="M91" i="23"/>
  <c r="M101" i="23"/>
  <c r="M127" i="23"/>
  <c r="D17" i="17"/>
  <c r="D19" i="17" s="1"/>
  <c r="G10" i="3"/>
  <c r="G24" i="3"/>
  <c r="M121" i="23" l="1"/>
  <c r="M99" i="23"/>
  <c r="M89" i="23"/>
  <c r="M67" i="23"/>
  <c r="M49" i="23"/>
  <c r="M118" i="23"/>
  <c r="M68" i="23"/>
  <c r="M126" i="23"/>
  <c r="M110" i="23"/>
  <c r="M94" i="23"/>
  <c r="M86" i="23"/>
  <c r="M78" i="23"/>
  <c r="M70" i="23"/>
  <c r="M62" i="23"/>
  <c r="M46" i="23"/>
  <c r="M119" i="23"/>
  <c r="M87" i="23"/>
  <c r="M55" i="23"/>
  <c r="M125" i="23"/>
  <c r="M93" i="23"/>
  <c r="M61" i="23"/>
  <c r="M129" i="23"/>
  <c r="M105" i="23"/>
  <c r="M133" i="23"/>
  <c r="M117" i="23"/>
  <c r="M97" i="23"/>
  <c r="M81" i="23"/>
  <c r="M65" i="23"/>
  <c r="M35" i="23"/>
  <c r="M102" i="23"/>
  <c r="M54" i="23"/>
  <c r="M124" i="23"/>
  <c r="M116" i="23"/>
  <c r="M108" i="23"/>
  <c r="M92" i="23"/>
  <c r="M84" i="23"/>
  <c r="M76" i="23"/>
  <c r="M60" i="23"/>
  <c r="M52" i="23"/>
  <c r="M44" i="23"/>
  <c r="M111" i="23"/>
  <c r="M79" i="23"/>
  <c r="M47" i="23"/>
  <c r="M85" i="23"/>
  <c r="M53" i="23"/>
  <c r="M123" i="23"/>
  <c r="M131" i="23"/>
  <c r="M107" i="23"/>
  <c r="M95" i="23"/>
  <c r="M73" i="23"/>
  <c r="M63" i="23"/>
  <c r="M134" i="23"/>
  <c r="M100" i="23"/>
  <c r="M130" i="23"/>
  <c r="M122" i="23"/>
  <c r="M114" i="23"/>
  <c r="M106" i="23"/>
  <c r="M90" i="23"/>
  <c r="M82" i="23"/>
  <c r="M74" i="23"/>
  <c r="M66" i="23"/>
  <c r="M58" i="23"/>
  <c r="M50" i="23"/>
  <c r="M42" i="23"/>
  <c r="M135" i="23"/>
  <c r="M103" i="23"/>
  <c r="M71" i="23"/>
  <c r="M39" i="23"/>
  <c r="M109" i="23"/>
  <c r="M77" i="23"/>
  <c r="M45" i="23"/>
  <c r="M115" i="23"/>
  <c r="M83" i="23"/>
  <c r="M51" i="23"/>
  <c r="M41" i="23"/>
  <c r="M113" i="23"/>
  <c r="M40" i="23"/>
  <c r="D18" i="17"/>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Q33" i="23" l="1"/>
  <c r="D22" i="17"/>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G28" i="3"/>
  <c r="G26" i="3"/>
  <c r="G27" i="3"/>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8" i="3"/>
  <c r="G9" i="3"/>
  <c r="G7" i="3"/>
  <c r="G11" i="3"/>
  <c r="G12" i="3"/>
  <c r="G13" i="3"/>
  <c r="G14" i="3"/>
  <c r="G15" i="3"/>
  <c r="G16" i="3"/>
  <c r="G17" i="3"/>
  <c r="G18" i="3"/>
  <c r="G19" i="3"/>
  <c r="G20" i="3"/>
  <c r="G21" i="3"/>
  <c r="G22" i="3"/>
  <c r="G23" i="3"/>
  <c r="G25" i="3"/>
  <c r="G5" i="3"/>
  <c r="D11" i="7" s="1"/>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<sst xmlns="http://schemas.openxmlformats.org/spreadsheetml/2006/main" count="2163" uniqueCount="352">
  <si>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</si>
  <si>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</si>
  <si>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</si>
  <si>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</si>
  <si>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</si>
  <si>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</si>
  <si>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</si>
  <si>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</si>
  <si>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</si>
  <si>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</si>
  <si>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</si>
  <si>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</si>
  <si>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</si>
  <si>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</si>
  <si>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</si>
  <si>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</si>
  <si>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</si>
  <si>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</si>
  <si>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</si>
  <si>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</si>
  <si>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</si>
  <si>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</si>
  <si>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</si>
  <si>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</si>
  <si>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</si>
  <si>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</si>
  <si>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</si>
  <si>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</si>
  <si>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</si>
  <si>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</si>
  <si>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</si>
  <si>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</si>
  <si>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</si>
  <si>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</si>
  <si>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</si>
  <si>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</si>
  <si>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</si>
  <si>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</si>
  <si>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</si>
  <si>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</si>
  <si>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</si>
  <si>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</si>
  <si>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</si>
  <si>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</si>
  <si>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</si>
  <si>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</si>
  <si>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</si>
  <si>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</si>
  <si>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</si>
  <si>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</si>
  <si>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</si>
  <si>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</si>
  <si>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</si>
  <si>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</si>
  <si>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</si>
  <si>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</si>
  <si>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</si>
  <si>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</si>
  <si>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</si>
  <si>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</si>
  <si>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</si>
  <si>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</si>
  <si>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</si>
  <si>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</si>
  <si>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</si>
  <si>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</si>
  <si>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</si>
  <si>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</si>
  <si>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</si>
  <si>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</si>
  <si>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</si>
  <si>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</si>
  <si>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</si>
  <si>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</si>
  <si>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</si>
  <si>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</si>
  <si>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</si>
  <si>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</si>
  <si>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</si>
  <si>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</si>
  <si>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</si>
  <si>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</si>
  <si>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</si>
  <si>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</si>
  <si>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</si>
  <si>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</si>
  <si>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</si>
  <si>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</si>
  <si>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</si>
  <si>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</si>
  <si>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</si>
  <si>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</si>
  <si>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</si>
  <si>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</si>
  <si>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</si>
  <si>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</si>
  <si>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</si>
  <si>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</si>
  <si>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</si>
  <si>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</si>
  <si>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</si>
  <si>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</si>
  <si>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</si>
  <si>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</si>
  <si>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</si>
  <si>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</si>
  <si>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</si>
  <si>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</si>
  <si>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</si>
  <si>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</si>
  <si>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</si>
  <si>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</si>
  <si>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</si>
  <si>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</si>
  <si>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</si>
  <si>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</si>
  <si>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</si>
  <si>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</si>
  <si>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</si>
  <si>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</si>
  <si>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</si>
  <si>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</si>
  <si>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</si>
  <si>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</si>
  <si>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</si>
  <si>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</si>
  <si>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</si>
  <si>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</si>
  <si>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</si>
  <si>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</si>
  <si>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</si>
  <si>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</si>
  <si>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</si>
  <si>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</si>
  <si>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</si>
  <si>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</si>
  <si>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</si>
  <si>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</si>
  <si>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</si>
  <si>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</si>
  <si>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</si>
  <si>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</si>
  <si>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</si>
  <si>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</si>
  <si>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</si>
  <si>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</si>
  <si>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</si>
  <si>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</si>
  <si>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</si>
  <si>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</si>
  <si>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</si>
  <si>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</si>
  <si>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</si>
  <si>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</si>
  <si>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</si>
  <si>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</si>
  <si>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</si>
  <si>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</si>
  <si>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</si>
  <si>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</si>
  <si>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</si>
  <si>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</si>
  <si>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</si>
  <si>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</si>
  <si>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</si>
  <si>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</si>
  <si>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</si>
  <si>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</si>
  <si>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</si>
  <si>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</si>
  <si>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</si>
  <si>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</si>
  <si>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</si>
  <si>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</si>
  <si>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</si>
  <si>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</si>
  <si>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</si>
  <si>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</si>
  <si>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</si>
  <si>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</si>
  <si>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</si>
  <si>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</si>
  <si>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</si>
  <si>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</si>
  <si>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</si>
  <si>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</si>
  <si>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</si>
  <si>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</si>
  <si>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</si>
  <si>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</si>
  <si>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</si>
  <si>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</si>
  <si>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</si>
  <si>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</si>
  <si>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</si>
  <si>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</si>
  <si>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</si>
  <si>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</si>
  <si>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</si>
  <si>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</si>
  <si>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</si>
  <si>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</si>
  <si>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</si>
  <si>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</si>
  <si>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</si>
  <si>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</si>
  <si>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</si>
  <si>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</si>
  <si>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</si>
  <si>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</si>
  <si>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</si>
  <si>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</si>
  <si>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</si>
  <si>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</si>
  <si>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</si>
  <si>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</si>
  <si>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</si>
  <si>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</si>
  <si>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</si>
  <si>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</si>
  <si>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</si>
  <si>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</si>
  <si>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</si>
  <si>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</si>
  <si>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</si>
  <si>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</si>
  <si>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</si>
  <si>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</si>
  <si>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</si>
  <si>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</si>
  <si>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</si>
  <si>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</si>
  <si>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</si>
  <si>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</si>
  <si>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</si>
  <si>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</si>
  <si>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</si>
  <si>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</si>
  <si>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</si>
  <si>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</si>
  <si>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</si>
  <si>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</si>
  <si>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</si>
  <si>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</si>
  <si>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</si>
  <si>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</si>
  <si>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</si>
  <si>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</si>
  <si>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</si>
  <si>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</si>
  <si>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</si>
  <si>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</si>
  <si>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</si>
  <si>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</si>
  <si>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</si>
  <si>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</si>
  <si>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</si>
  <si>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</si>
  <si>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</si>
  <si>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</si>
  <si>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</si>
  <si>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</si>
  <si>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</si>
  <si>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</si>
  <si>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</si>
  <si>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</si>
  <si>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</si>
  <si>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</si>
  <si>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</si>
  <si>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</si>
  <si>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</si>
  <si>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</si>
  <si>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</si>
  <si>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</si>
  <si>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</si>
  <si>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</si>
  <si>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</si>
  <si>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</si>
  <si>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</si>
  <si>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</si>
  <si>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</si>
  <si>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</si>
  <si>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</si>
  <si>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</si>
  <si>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</si>
  <si>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</si>
  <si>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</si>
  <si>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</si>
  <si>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</si>
  <si>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</si>
  <si>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</si>
  <si>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</si>
  <si>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</si>
  <si>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</si>
  <si>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</si>
  <si>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</si>
  <si>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</si>
  <si>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</si>
  <si>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</si>
  <si>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</si>
  <si>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</si>
  <si>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</si>
  <si>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</si>
  <si>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</si>
  <si>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</si>
  <si>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</si>
  <si>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</si>
  <si>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</si>
  <si>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</si>
  <si>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</si>
  <si>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</si>
  <si>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</si>
  <si>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</si>
  <si>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</si>
  <si>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</si>
  <si>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</si>
  <si>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</si>
  <si>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</si>
  <si>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</si>
  <si>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</si>
  <si>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</si>
  <si>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</si>
  <si>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</si>
  <si>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</si>
  <si>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</si>
  <si>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</si>
  <si>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</si>
  <si>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</si>
  <si>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</si>
  <si>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</si>
  <si>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</si>
  <si>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</si>
  <si>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</si>
  <si>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</si>
  <si>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</si>
  <si>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</si>
  <si>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</si>
  <si>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</si>
  <si>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</si>
  <si>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</si>
  <si>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</si>
  <si>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</si>
  <si>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Max Voltage (V)</t>
  </si>
  <si>
    <t>Shooting Speed (rpm)</t>
  </si>
  <si>
    <t># of Objects in Volley</t>
  </si>
  <si>
    <t>Compression Coefficient</t>
  </si>
  <si>
    <t>Spin-up Time (s)</t>
  </si>
  <si>
    <t>Ideal Gear Ratio</t>
  </si>
  <si>
    <t>Min. Speed (rpm)</t>
  </si>
  <si>
    <t>Recovery Time (s)</t>
  </si>
  <si>
    <t>Objects Per Second</t>
  </si>
  <si>
    <t>Flywheel Calculator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</si>
</sst>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31">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0" borderId="15" xfId="0" applyBorder="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2" borderId="57" xfId="6" applyNumberFormat="1" applyFont="1" applyFill="1" applyBorder="1" applyProtection="1"/>
    <xf numFmtId="1" fontId="0" fillId="12" borderId="57" xfId="6" applyNumberFormat="1" applyFont="1" applyFill="1" applyBorder="1" applyProtection="1"/>
    <xf numFmtId="164" fontId="0" fillId="12" borderId="57" xfId="6" applyNumberFormat="1" applyFont="1" applyFill="1" applyBorder="1" applyProtection="1"/>
    <xf numFmtId="0" fontId="15"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xf numFmtId="0" fontId="0" fillId="2" borderId="20" xfId="0" applyFill="1" applyBorder="1" applyAlignment="1" applyProtection="1">
      <alignment horizontal="left" vertical="center"/>
    </xf>
    <xf numFmtId="0" fontId="0" fillId="2" borderId="21" xfId="0" applyFill="1" applyBorder="1" applyAlignment="1" applyProtection="1">
      <alignment horizontal="left" vertical="center"/>
    </xf>
    <xf numFmtId="0" fontId="0" fillId="2" borderId="17" xfId="0" applyFill="1" applyBorder="1" applyAlignment="1" applyProtection="1">
      <alignment vertical="center"/>
    </xf>
    <xf numFmtId="165" fontId="0" fillId="3" borderId="17" xfId="1" applyNumberFormat="1" applyFont="1" applyFill="1" applyBorder="1" applyAlignment="1" applyProtection="1">
      <alignment vertical="center"/>
    </xf>
    <xf numFmtId="9" fontId="0" fillId="2" borderId="17" xfId="1" applyFont="1" applyFill="1" applyBorder="1" applyAlignment="1" applyProtection="1">
      <alignment vertical="center"/>
    </xf>
    <xf numFmtId="165" fontId="0" fillId="2" borderId="17" xfId="1" applyNumberFormat="1" applyFont="1" applyFill="1" applyBorder="1" applyAlignment="1" applyProtection="1">
      <alignment vertical="center"/>
    </xf>
    <xf numFmtId="2" fontId="0" fillId="2" borderId="17" xfId="0" applyNumberFormat="1" applyFill="1" applyBorder="1" applyAlignment="1" applyProtection="1">
      <alignment vertical="center"/>
    </xf>
    <xf numFmtId="164" fontId="0" fillId="2" borderId="17" xfId="0" applyNumberFormat="1" applyFill="1" applyBorder="1" applyAlignment="1" applyProtection="1">
      <alignment vertical="center"/>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9">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41305600"/>
        <c:axId val="41307136"/>
      </c:scatterChart>
      <c:valAx>
        <c:axId val="41305600"/>
        <c:scaling>
          <c:orientation val="minMax"/>
        </c:scaling>
        <c:delete val="0"/>
        <c:axPos val="b"/>
        <c:numFmt formatCode="General" sourceLinked="1"/>
        <c:majorTickMark val="out"/>
        <c:minorTickMark val="none"/>
        <c:tickLblPos val="nextTo"/>
        <c:crossAx val="41307136"/>
        <c:crosses val="autoZero"/>
        <c:crossBetween val="midCat"/>
      </c:valAx>
      <c:valAx>
        <c:axId val="41307136"/>
        <c:scaling>
          <c:orientation val="minMax"/>
        </c:scaling>
        <c:delete val="0"/>
        <c:axPos val="l"/>
        <c:majorGridlines/>
        <c:numFmt formatCode="General" sourceLinked="1"/>
        <c:majorTickMark val="out"/>
        <c:minorTickMark val="none"/>
        <c:tickLblPos val="nextTo"/>
        <c:crossAx val="4130560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056512"/>
        <c:axId val="43132416"/>
      </c:scatterChart>
      <c:valAx>
        <c:axId val="4305651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132416"/>
        <c:crosses val="autoZero"/>
        <c:crossBetween val="midCat"/>
      </c:valAx>
      <c:valAx>
        <c:axId val="431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0565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43919616"/>
        <c:axId val="43925504"/>
      </c:scatterChart>
      <c:valAx>
        <c:axId val="43919616"/>
        <c:scaling>
          <c:orientation val="minMax"/>
        </c:scaling>
        <c:delete val="1"/>
        <c:axPos val="b"/>
        <c:numFmt formatCode="General" sourceLinked="1"/>
        <c:majorTickMark val="out"/>
        <c:minorTickMark val="none"/>
        <c:tickLblPos val="nextTo"/>
        <c:crossAx val="43925504"/>
        <c:crosses val="autoZero"/>
        <c:crossBetween val="midCat"/>
      </c:valAx>
      <c:valAx>
        <c:axId val="43925504"/>
        <c:scaling>
          <c:orientation val="minMax"/>
        </c:scaling>
        <c:delete val="1"/>
        <c:axPos val="l"/>
        <c:numFmt formatCode="General" sourceLinked="1"/>
        <c:majorTickMark val="out"/>
        <c:minorTickMark val="none"/>
        <c:tickLblPos val="nextTo"/>
        <c:crossAx val="43919616"/>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sfd!$L$35:$L$135</c:f>
              <c:numCache>
                <c:formatCode>General</c:formatCode>
                <c:ptCount val="101"/>
                <c:pt idx="0">
                  <c:v>0</c:v>
                </c:pt>
                <c:pt idx="1">
                  <c:v>4.9999999999999989E-2</c:v>
                </c:pt>
                <c:pt idx="2">
                  <c:v>9.9999999999999978E-2</c:v>
                </c:pt>
                <c:pt idx="3">
                  <c:v>0.14999999999999997</c:v>
                </c:pt>
                <c:pt idx="4">
                  <c:v>0.19999999999999996</c:v>
                </c:pt>
                <c:pt idx="5">
                  <c:v>0.24999999999999994</c:v>
                </c:pt>
                <c:pt idx="6">
                  <c:v>0.29999999999999993</c:v>
                </c:pt>
                <c:pt idx="7">
                  <c:v>0.34999999999999992</c:v>
                </c:pt>
                <c:pt idx="8">
                  <c:v>0.39999999999999991</c:v>
                </c:pt>
                <c:pt idx="9">
                  <c:v>0.4499999999999999</c:v>
                </c:pt>
                <c:pt idx="10">
                  <c:v>0.49999999999999989</c:v>
                </c:pt>
                <c:pt idx="11">
                  <c:v>0.54999999999999982</c:v>
                </c:pt>
                <c:pt idx="12">
                  <c:v>0.59999999999999987</c:v>
                </c:pt>
                <c:pt idx="13">
                  <c:v>0.64999999999999991</c:v>
                </c:pt>
                <c:pt idx="14">
                  <c:v>0.69999999999999984</c:v>
                </c:pt>
                <c:pt idx="15">
                  <c:v>0.74999999999999978</c:v>
                </c:pt>
                <c:pt idx="16">
                  <c:v>0.79999999999999982</c:v>
                </c:pt>
                <c:pt idx="17">
                  <c:v>0.84999999999999987</c:v>
                </c:pt>
                <c:pt idx="18">
                  <c:v>0.8999999999999998</c:v>
                </c:pt>
                <c:pt idx="19">
                  <c:v>0.94999999999999973</c:v>
                </c:pt>
                <c:pt idx="20">
                  <c:v>0.99999999999999978</c:v>
                </c:pt>
                <c:pt idx="21">
                  <c:v>1.0499999999999998</c:v>
                </c:pt>
                <c:pt idx="22">
                  <c:v>1.0999999999999996</c:v>
                </c:pt>
                <c:pt idx="23">
                  <c:v>1.1499999999999997</c:v>
                </c:pt>
                <c:pt idx="24">
                  <c:v>1.1999999999999997</c:v>
                </c:pt>
                <c:pt idx="25">
                  <c:v>1.2499999999999998</c:v>
                </c:pt>
                <c:pt idx="26">
                  <c:v>1.2999999999999998</c:v>
                </c:pt>
                <c:pt idx="27">
                  <c:v>1.3499999999999996</c:v>
                </c:pt>
                <c:pt idx="28">
                  <c:v>1.3999999999999997</c:v>
                </c:pt>
                <c:pt idx="29">
                  <c:v>1.4499999999999997</c:v>
                </c:pt>
                <c:pt idx="30">
                  <c:v>1.4999999999999996</c:v>
                </c:pt>
                <c:pt idx="31">
                  <c:v>1.5499999999999996</c:v>
                </c:pt>
                <c:pt idx="32">
                  <c:v>1.5999999999999996</c:v>
                </c:pt>
                <c:pt idx="33">
                  <c:v>1.6499999999999997</c:v>
                </c:pt>
                <c:pt idx="34">
                  <c:v>1.6999999999999997</c:v>
                </c:pt>
                <c:pt idx="35">
                  <c:v>1.7499999999999996</c:v>
                </c:pt>
                <c:pt idx="36">
                  <c:v>1.7999999999999996</c:v>
                </c:pt>
                <c:pt idx="37">
                  <c:v>1.8499999999999996</c:v>
                </c:pt>
                <c:pt idx="38">
                  <c:v>1.8999999999999995</c:v>
                </c:pt>
                <c:pt idx="39">
                  <c:v>1.9499999999999995</c:v>
                </c:pt>
                <c:pt idx="40">
                  <c:v>1.9999999999999996</c:v>
                </c:pt>
                <c:pt idx="41">
                  <c:v>2.0499999999999994</c:v>
                </c:pt>
                <c:pt idx="42">
                  <c:v>2.0999999999999996</c:v>
                </c:pt>
                <c:pt idx="43">
                  <c:v>2.1499999999999995</c:v>
                </c:pt>
                <c:pt idx="44">
                  <c:v>2.1999999999999993</c:v>
                </c:pt>
                <c:pt idx="45">
                  <c:v>2.2499999999999996</c:v>
                </c:pt>
                <c:pt idx="46">
                  <c:v>2.2999999999999994</c:v>
                </c:pt>
                <c:pt idx="47">
                  <c:v>2.3499999999999996</c:v>
                </c:pt>
                <c:pt idx="48">
                  <c:v>2.3999999999999995</c:v>
                </c:pt>
                <c:pt idx="49">
                  <c:v>2.4499999999999993</c:v>
                </c:pt>
                <c:pt idx="50">
                  <c:v>2.4999999999999996</c:v>
                </c:pt>
                <c:pt idx="51">
                  <c:v>2.5499999999999994</c:v>
                </c:pt>
                <c:pt idx="52">
                  <c:v>2.5999999999999996</c:v>
                </c:pt>
                <c:pt idx="53">
                  <c:v>2.6499999999999995</c:v>
                </c:pt>
                <c:pt idx="54">
                  <c:v>2.6999999999999993</c:v>
                </c:pt>
                <c:pt idx="55">
                  <c:v>2.7499999999999996</c:v>
                </c:pt>
                <c:pt idx="56">
                  <c:v>2.7999999999999994</c:v>
                </c:pt>
                <c:pt idx="57">
                  <c:v>2.8499999999999992</c:v>
                </c:pt>
                <c:pt idx="58">
                  <c:v>2.8999999999999995</c:v>
                </c:pt>
                <c:pt idx="59">
                  <c:v>2.9499999999999993</c:v>
                </c:pt>
                <c:pt idx="60">
                  <c:v>2.9999999999999991</c:v>
                </c:pt>
                <c:pt idx="61">
                  <c:v>3.0499999999999994</c:v>
                </c:pt>
                <c:pt idx="62">
                  <c:v>3.0999999999999992</c:v>
                </c:pt>
                <c:pt idx="63">
                  <c:v>3.1499999999999995</c:v>
                </c:pt>
                <c:pt idx="64">
                  <c:v>3.1999999999999993</c:v>
                </c:pt>
                <c:pt idx="65">
                  <c:v>3.2499999999999991</c:v>
                </c:pt>
                <c:pt idx="66">
                  <c:v>3.2999999999999994</c:v>
                </c:pt>
                <c:pt idx="67">
                  <c:v>3.3499999999999992</c:v>
                </c:pt>
                <c:pt idx="68">
                  <c:v>3.3999999999999995</c:v>
                </c:pt>
                <c:pt idx="69">
                  <c:v>3.4499999999999993</c:v>
                </c:pt>
                <c:pt idx="70">
                  <c:v>3.4999999999999991</c:v>
                </c:pt>
                <c:pt idx="71">
                  <c:v>3.5499999999999994</c:v>
                </c:pt>
                <c:pt idx="72">
                  <c:v>3.5999999999999992</c:v>
                </c:pt>
                <c:pt idx="73">
                  <c:v>3.649999999999999</c:v>
                </c:pt>
                <c:pt idx="74">
                  <c:v>3.6999999999999993</c:v>
                </c:pt>
                <c:pt idx="75">
                  <c:v>3.7499999999999991</c:v>
                </c:pt>
                <c:pt idx="76">
                  <c:v>3.7999999999999989</c:v>
                </c:pt>
                <c:pt idx="77">
                  <c:v>3.8499999999999992</c:v>
                </c:pt>
                <c:pt idx="78">
                  <c:v>3.899999999999999</c:v>
                </c:pt>
                <c:pt idx="79">
                  <c:v>3.9499999999999993</c:v>
                </c:pt>
                <c:pt idx="80">
                  <c:v>3.9999999999999991</c:v>
                </c:pt>
                <c:pt idx="81">
                  <c:v>4.0499999999999989</c:v>
                </c:pt>
                <c:pt idx="82">
                  <c:v>4.0999999999999988</c:v>
                </c:pt>
                <c:pt idx="83">
                  <c:v>4.1499999999999995</c:v>
                </c:pt>
                <c:pt idx="84">
                  <c:v>4.1999999999999993</c:v>
                </c:pt>
                <c:pt idx="85">
                  <c:v>4.2499999999999991</c:v>
                </c:pt>
                <c:pt idx="86">
                  <c:v>4.2999999999999989</c:v>
                </c:pt>
                <c:pt idx="87">
                  <c:v>4.3499999999999988</c:v>
                </c:pt>
                <c:pt idx="88">
                  <c:v>4.3999999999999986</c:v>
                </c:pt>
                <c:pt idx="89">
                  <c:v>4.4499999999999993</c:v>
                </c:pt>
                <c:pt idx="90">
                  <c:v>4.4999999999999991</c:v>
                </c:pt>
                <c:pt idx="91">
                  <c:v>4.5499999999999989</c:v>
                </c:pt>
                <c:pt idx="92">
                  <c:v>4.5999999999999988</c:v>
                </c:pt>
                <c:pt idx="93">
                  <c:v>4.6499999999999986</c:v>
                </c:pt>
                <c:pt idx="94">
                  <c:v>4.6999999999999993</c:v>
                </c:pt>
                <c:pt idx="95">
                  <c:v>4.7499999999999991</c:v>
                </c:pt>
                <c:pt idx="96">
                  <c:v>4.7999999999999989</c:v>
                </c:pt>
                <c:pt idx="97">
                  <c:v>4.8499999999999988</c:v>
                </c:pt>
                <c:pt idx="98">
                  <c:v>4.8999999999999986</c:v>
                </c:pt>
                <c:pt idx="99">
                  <c:v>4.9499999999999993</c:v>
                </c:pt>
                <c:pt idx="100">
                  <c:v>4.9999999999999991</c:v>
                </c:pt>
              </c:numCache>
            </c:numRef>
          </c:xVal>
          <c:yVal>
            <c:numRef>
              <c:f>sfd!$M$35:$M$135</c:f>
              <c:numCache>
                <c:formatCode>General</c:formatCode>
                <c:ptCount val="101"/>
                <c:pt idx="0">
                  <c:v>0.99999999999999978</c:v>
                </c:pt>
                <c:pt idx="1">
                  <c:v>1.4200284500710763</c:v>
                </c:pt>
                <c:pt idx="2">
                  <c:v>1.8329856183225353</c:v>
                </c:pt>
                <c:pt idx="3">
                  <c:v>2.2388715047543766</c:v>
                </c:pt>
                <c:pt idx="4">
                  <c:v>2.6376861093665998</c:v>
                </c:pt>
                <c:pt idx="5">
                  <c:v>3.0294294321592057</c:v>
                </c:pt>
                <c:pt idx="6">
                  <c:v>3.4141014731321935</c:v>
                </c:pt>
                <c:pt idx="7">
                  <c:v>3.791702232285564</c:v>
                </c:pt>
                <c:pt idx="8">
                  <c:v>4.1622317096193164</c:v>
                </c:pt>
                <c:pt idx="9">
                  <c:v>4.5256899051334516</c:v>
                </c:pt>
                <c:pt idx="10">
                  <c:v>4.8820768188279686</c:v>
                </c:pt>
                <c:pt idx="11">
                  <c:v>5.2313924507028675</c:v>
                </c:pt>
                <c:pt idx="12">
                  <c:v>5.57363680075815</c:v>
                </c:pt>
                <c:pt idx="13">
                  <c:v>5.9088098689938144</c:v>
                </c:pt>
                <c:pt idx="14">
                  <c:v>6.2369116554098598</c:v>
                </c:pt>
                <c:pt idx="15">
                  <c:v>6.5579421600062888</c:v>
                </c:pt>
                <c:pt idx="16">
                  <c:v>6.8719013827831006</c:v>
                </c:pt>
                <c:pt idx="17">
                  <c:v>7.1787893237402942</c:v>
                </c:pt>
                <c:pt idx="18">
                  <c:v>7.4786059828778688</c:v>
                </c:pt>
                <c:pt idx="19">
                  <c:v>7.7713513601958262</c:v>
                </c:pt>
                <c:pt idx="20">
                  <c:v>8.0570254556941663</c:v>
                </c:pt>
                <c:pt idx="21">
                  <c:v>8.33562826937289</c:v>
                </c:pt>
                <c:pt idx="22">
                  <c:v>8.6071598012319921</c:v>
                </c:pt>
                <c:pt idx="23">
                  <c:v>8.8716200512714796</c:v>
                </c:pt>
                <c:pt idx="24">
                  <c:v>9.1290090194913507</c:v>
                </c:pt>
                <c:pt idx="25">
                  <c:v>9.3793267058916019</c:v>
                </c:pt>
                <c:pt idx="26">
                  <c:v>9.622573110472235</c:v>
                </c:pt>
                <c:pt idx="27">
                  <c:v>9.8587482332332517</c:v>
                </c:pt>
                <c:pt idx="28">
                  <c:v>10.08785207417465</c:v>
                </c:pt>
                <c:pt idx="29">
                  <c:v>10.309884633296431</c:v>
                </c:pt>
                <c:pt idx="30">
                  <c:v>10.524845910598593</c:v>
                </c:pt>
                <c:pt idx="31">
                  <c:v>10.732735906081139</c:v>
                </c:pt>
                <c:pt idx="32">
                  <c:v>10.933554619744069</c:v>
                </c:pt>
                <c:pt idx="33">
                  <c:v>11.127302051587378</c:v>
                </c:pt>
                <c:pt idx="34">
                  <c:v>11.313978201611071</c:v>
                </c:pt>
                <c:pt idx="35">
                  <c:v>11.493583069815145</c:v>
                </c:pt>
                <c:pt idx="36">
                  <c:v>11.666116656199602</c:v>
                </c:pt>
                <c:pt idx="37">
                  <c:v>11.831578960764441</c:v>
                </c:pt>
                <c:pt idx="38">
                  <c:v>11.98996998350966</c:v>
                </c:pt>
                <c:pt idx="39">
                  <c:v>12.141289724435264</c:v>
                </c:pt>
                <c:pt idx="40">
                  <c:v>12.285538183541252</c:v>
                </c:pt>
                <c:pt idx="41">
                  <c:v>12.422715360827617</c:v>
                </c:pt>
                <c:pt idx="42">
                  <c:v>12.55282125629437</c:v>
                </c:pt>
                <c:pt idx="43">
                  <c:v>12.675855869941504</c:v>
                </c:pt>
                <c:pt idx="44">
                  <c:v>12.791819201769016</c:v>
                </c:pt>
                <c:pt idx="45">
                  <c:v>12.900711251776917</c:v>
                </c:pt>
                <c:pt idx="46">
                  <c:v>13.002532019965194</c:v>
                </c:pt>
                <c:pt idx="47">
                  <c:v>13.097281506333859</c:v>
                </c:pt>
                <c:pt idx="48">
                  <c:v>13.184959710882902</c:v>
                </c:pt>
                <c:pt idx="49">
                  <c:v>13.265566633612329</c:v>
                </c:pt>
                <c:pt idx="50">
                  <c:v>13.339102274522135</c:v>
                </c:pt>
                <c:pt idx="51">
                  <c:v>13.405566633612331</c:v>
                </c:pt>
                <c:pt idx="52">
                  <c:v>13.464959710882901</c:v>
                </c:pt>
                <c:pt idx="53">
                  <c:v>13.517281506333859</c:v>
                </c:pt>
                <c:pt idx="54">
                  <c:v>13.562532019965195</c:v>
                </c:pt>
                <c:pt idx="55">
                  <c:v>13.600711251776916</c:v>
                </c:pt>
                <c:pt idx="56">
                  <c:v>13.631819201769018</c:v>
                </c:pt>
                <c:pt idx="57">
                  <c:v>13.655855869941504</c:v>
                </c:pt>
                <c:pt idx="58">
                  <c:v>13.67282125629437</c:v>
                </c:pt>
                <c:pt idx="59">
                  <c:v>13.682715360827622</c:v>
                </c:pt>
                <c:pt idx="60">
                  <c:v>13.685538183541253</c:v>
                </c:pt>
                <c:pt idx="61">
                  <c:v>13.681289724435267</c:v>
                </c:pt>
                <c:pt idx="62">
                  <c:v>13.66996998350966</c:v>
                </c:pt>
                <c:pt idx="63">
                  <c:v>13.651578960764443</c:v>
                </c:pt>
                <c:pt idx="64">
                  <c:v>13.626116656199605</c:v>
                </c:pt>
                <c:pt idx="65">
                  <c:v>13.593583069815146</c:v>
                </c:pt>
                <c:pt idx="66">
                  <c:v>13.553978201611075</c:v>
                </c:pt>
                <c:pt idx="67">
                  <c:v>13.507302051587379</c:v>
                </c:pt>
                <c:pt idx="68">
                  <c:v>13.453554619744072</c:v>
                </c:pt>
                <c:pt idx="69">
                  <c:v>13.392735906081143</c:v>
                </c:pt>
                <c:pt idx="70">
                  <c:v>13.324845910598601</c:v>
                </c:pt>
                <c:pt idx="71">
                  <c:v>13.249884633296432</c:v>
                </c:pt>
                <c:pt idx="72">
                  <c:v>13.167852074174654</c:v>
                </c:pt>
                <c:pt idx="73">
                  <c:v>13.078748233233256</c:v>
                </c:pt>
                <c:pt idx="74">
                  <c:v>12.982573110472241</c:v>
                </c:pt>
                <c:pt idx="75">
                  <c:v>12.879326705891607</c:v>
                </c:pt>
                <c:pt idx="76">
                  <c:v>12.769009019491353</c:v>
                </c:pt>
                <c:pt idx="77">
                  <c:v>12.651620051271486</c:v>
                </c:pt>
                <c:pt idx="78">
                  <c:v>12.527159801231999</c:v>
                </c:pt>
                <c:pt idx="79">
                  <c:v>12.395628269372896</c:v>
                </c:pt>
                <c:pt idx="80">
                  <c:v>12.257025455694173</c:v>
                </c:pt>
                <c:pt idx="81">
                  <c:v>12.11135136019583</c:v>
                </c:pt>
                <c:pt idx="82">
                  <c:v>11.958605982877874</c:v>
                </c:pt>
                <c:pt idx="83">
                  <c:v>11.798789323740298</c:v>
                </c:pt>
                <c:pt idx="84">
                  <c:v>11.631901382783106</c:v>
                </c:pt>
                <c:pt idx="85">
                  <c:v>11.457942160006294</c:v>
                </c:pt>
                <c:pt idx="86">
                  <c:v>11.276911655409869</c:v>
                </c:pt>
                <c:pt idx="87">
                  <c:v>11.088809868993824</c:v>
                </c:pt>
                <c:pt idx="88">
                  <c:v>10.893636800758156</c:v>
                </c:pt>
                <c:pt idx="89">
                  <c:v>10.691392450702867</c:v>
                </c:pt>
                <c:pt idx="90">
                  <c:v>10.482076818827977</c:v>
                </c:pt>
                <c:pt idx="91">
                  <c:v>10.265689905133463</c:v>
                </c:pt>
                <c:pt idx="92">
                  <c:v>10.042231709619323</c:v>
                </c:pt>
                <c:pt idx="93">
                  <c:v>9.8117022322855725</c:v>
                </c:pt>
                <c:pt idx="94">
                  <c:v>9.5741014731322025</c:v>
                </c:pt>
                <c:pt idx="95">
                  <c:v>9.3294294321592091</c:v>
                </c:pt>
                <c:pt idx="96">
                  <c:v>9.0776861093666099</c:v>
                </c:pt>
                <c:pt idx="97">
                  <c:v>8.8188715047543837</c:v>
                </c:pt>
                <c:pt idx="98">
                  <c:v>8.5529856183225448</c:v>
                </c:pt>
                <c:pt idx="99">
                  <c:v>8.2800284500710859</c:v>
                </c:pt>
                <c:pt idx="100">
                  <c:v>8</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sfd!$Q$33</c:f>
              <c:numCache>
                <c:formatCode>General</c:formatCode>
                <c:ptCount val="1"/>
                <c:pt idx="0">
                  <c:v>13.685538183541253</c:v>
                </c:pt>
              </c:numCache>
            </c:numRef>
          </c:xVal>
          <c:yVal>
            <c:numRef>
              <c:f>sfd!$Q$33</c:f>
              <c:numCache>
                <c:formatCode>General</c:formatCode>
                <c:ptCount val="1"/>
                <c:pt idx="0">
                  <c:v>13.685538183541253</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94197632"/>
        <c:axId val="94199168"/>
      </c:scatterChart>
      <c:valAx>
        <c:axId val="94197632"/>
        <c:scaling>
          <c:orientation val="minMax"/>
        </c:scaling>
        <c:delete val="0"/>
        <c:axPos val="b"/>
        <c:numFmt formatCode="General" sourceLinked="1"/>
        <c:majorTickMark val="out"/>
        <c:minorTickMark val="none"/>
        <c:tickLblPos val="nextTo"/>
        <c:crossAx val="94199168"/>
        <c:crosses val="autoZero"/>
        <c:crossBetween val="midCat"/>
      </c:valAx>
      <c:valAx>
        <c:axId val="94199168"/>
        <c:scaling>
          <c:orientation val="minMax"/>
        </c:scaling>
        <c:delete val="0"/>
        <c:axPos val="l"/>
        <c:majorGridlines/>
        <c:numFmt formatCode="General" sourceLinked="1"/>
        <c:majorTickMark val="out"/>
        <c:minorTickMark val="none"/>
        <c:tickLblPos val="nextTo"/>
        <c:crossAx val="9419763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ctrlProps/ctrlProp27.xml><?xml version="1.0" encoding="utf-8"?>
<formControlPr xmlns="http://schemas.microsoft.com/office/spreadsheetml/2009/9/main" objectType="CheckBox" fmlaLink="$B$4" lockText="1" noThreeD="1"/>
</file>

<file path=xl/ctrlProps/ctrlProp28.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0</xdr:rowOff>
        </xdr:to>
        <xdr:sp macro="" textlink="">
          <xdr:nvSpPr>
            <xdr:cNvPr id="33793" name="Metric" hidden="1">
              <a:extLst>
                <a:ext uri="{63B3BB69-23CF-44E3-9099-C40C66FF867C}">
                  <a14:compatExt spid="_x0000_s33793"/>
                </a:ext>
              </a:extLst>
            </xdr:cNvPr>
            <xdr:cNvSpPr/>
          </xdr:nvSpPr>
          <xdr:spPr>
            <a:xfrm>
              <a:off x="0" y="0"/>
              <a:ext cx="0" cy="0"/>
            </a:xfrm>
            <a:prstGeom prst="rect">
              <a:avLst/>
            </a:prstGeom>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4</xdr:row>
          <xdr:rowOff>0</xdr:rowOff>
        </xdr:to>
        <xdr:sp macro="" textlink="">
          <xdr:nvSpPr>
            <xdr:cNvPr id="35841" name="Metric" hidden="1">
              <a:extLst>
                <a:ext uri="{63B3BB69-23CF-44E3-9099-C40C66FF867C}">
                  <a14:compatExt spid="_x0000_s35841"/>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3" name="Chart 2">
          <a:extLst>
            <a:ext uri="{FF2B5EF4-FFF2-40B4-BE49-F238E27FC236}">
              <a16:creationId xmlns=""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opLeftCell="A10"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179</v>
      </c>
    </row>
    <row r="3" spans="2:5" ht="15.6" x14ac:dyDescent="0.3">
      <c r="C3" s="83" t="s">
        <v>341</v>
      </c>
    </row>
    <row r="4" spans="2:5" ht="15.6" x14ac:dyDescent="0.3">
      <c r="C4" s="83" t="s">
        <v>180</v>
      </c>
    </row>
    <row r="5" spans="2:5" x14ac:dyDescent="0.25">
      <c r="D5" s="167" t="s">
        <v>213</v>
      </c>
      <c r="E5" s="168"/>
    </row>
    <row r="6" spans="2:5" ht="15" customHeight="1" x14ac:dyDescent="0.25">
      <c r="C6" s="84" t="s">
        <v>181</v>
      </c>
      <c r="D6" s="169"/>
      <c r="E6" s="170"/>
    </row>
    <row r="7" spans="2:5" ht="15" customHeight="1" x14ac:dyDescent="0.25">
      <c r="B7" s="85" t="s">
        <v>169</v>
      </c>
      <c r="C7" s="81" t="s">
        <v>182</v>
      </c>
      <c r="D7" s="169"/>
      <c r="E7" s="170"/>
    </row>
    <row r="8" spans="2:5" ht="15" customHeight="1" x14ac:dyDescent="0.25">
      <c r="B8" s="108" t="s">
        <v>169</v>
      </c>
      <c r="C8" s="81" t="s">
        <v>183</v>
      </c>
      <c r="D8" s="169"/>
      <c r="E8" s="170"/>
    </row>
    <row r="9" spans="2:5" ht="15" customHeight="1" x14ac:dyDescent="0.25">
      <c r="B9" s="109" t="s">
        <v>169</v>
      </c>
      <c r="C9" s="81" t="s">
        <v>184</v>
      </c>
      <c r="D9" s="169"/>
      <c r="E9" s="170"/>
    </row>
    <row r="10" spans="2:5" ht="15" customHeight="1" x14ac:dyDescent="0.25">
      <c r="B10" s="110" t="s">
        <v>169</v>
      </c>
      <c r="C10" s="86" t="s">
        <v>185</v>
      </c>
      <c r="D10" s="171"/>
      <c r="E10" s="172"/>
    </row>
    <row r="12" spans="2:5" x14ac:dyDescent="0.25">
      <c r="C12" s="87" t="s">
        <v>187</v>
      </c>
    </row>
    <row r="13" spans="2:5" ht="60.75" customHeight="1" x14ac:dyDescent="0.25">
      <c r="C13" s="141" t="s">
        <v>204</v>
      </c>
    </row>
    <row r="14" spans="2:5" x14ac:dyDescent="0.25">
      <c r="C14" s="88"/>
    </row>
    <row r="15" spans="2:5" x14ac:dyDescent="0.25">
      <c r="C15" s="87" t="s">
        <v>199</v>
      </c>
    </row>
    <row r="16" spans="2:5" ht="90" x14ac:dyDescent="0.25">
      <c r="C16" s="141" t="s">
        <v>200</v>
      </c>
    </row>
    <row r="17" spans="3:3" x14ac:dyDescent="0.25">
      <c r="C17" s="88"/>
    </row>
    <row r="18" spans="3:3" x14ac:dyDescent="0.25">
      <c r="C18" s="87" t="s">
        <v>186</v>
      </c>
    </row>
    <row r="19" spans="3:3" ht="75" x14ac:dyDescent="0.25">
      <c r="C19" s="141" t="s">
        <v>203</v>
      </c>
    </row>
    <row r="20" spans="3:3" x14ac:dyDescent="0.25">
      <c r="C20" s="88"/>
    </row>
    <row r="21" spans="3:3" x14ac:dyDescent="0.25">
      <c r="C21" s="87" t="s">
        <v>201</v>
      </c>
    </row>
    <row r="22" spans="3:3" ht="75" x14ac:dyDescent="0.25">
      <c r="C22" s="141" t="s">
        <v>202</v>
      </c>
    </row>
    <row r="23" spans="3:3" x14ac:dyDescent="0.25">
      <c r="C23" s="88"/>
    </row>
    <row r="24" spans="3:3" x14ac:dyDescent="0.25">
      <c r="C24" s="87" t="s">
        <v>94</v>
      </c>
    </row>
    <row r="25" spans="3:3" ht="121.5" customHeight="1" x14ac:dyDescent="0.25">
      <c r="C25" s="141" t="s">
        <v>338</v>
      </c>
    </row>
    <row r="26" spans="3:3" x14ac:dyDescent="0.25">
      <c r="C26" s="88"/>
    </row>
    <row r="27" spans="3:3" x14ac:dyDescent="0.25">
      <c r="C27" s="87" t="s">
        <v>188</v>
      </c>
    </row>
    <row r="28" spans="3:3" ht="105" x14ac:dyDescent="0.25">
      <c r="C28" s="141" t="s">
        <v>189</v>
      </c>
    </row>
    <row r="29" spans="3:3" x14ac:dyDescent="0.25">
      <c r="C29" s="88"/>
    </row>
    <row r="30" spans="3:3" x14ac:dyDescent="0.25">
      <c r="C30" s="87" t="s">
        <v>205</v>
      </c>
    </row>
    <row r="31" spans="3:3" ht="45.75" customHeight="1" x14ac:dyDescent="0.25">
      <c r="C31" s="141" t="s">
        <v>206</v>
      </c>
    </row>
    <row r="32" spans="3:3" x14ac:dyDescent="0.25">
      <c r="C32" s="88"/>
    </row>
    <row r="33" spans="3:3" x14ac:dyDescent="0.25">
      <c r="C33" s="87" t="s">
        <v>212</v>
      </c>
    </row>
    <row r="34" spans="3:3" ht="30" customHeight="1" x14ac:dyDescent="0.25">
      <c r="C34" s="141" t="s">
        <v>207</v>
      </c>
    </row>
    <row r="35" spans="3:3" x14ac:dyDescent="0.25">
      <c r="C35" s="88"/>
    </row>
    <row r="36" spans="3:3" x14ac:dyDescent="0.25">
      <c r="C36" s="87" t="s">
        <v>190</v>
      </c>
    </row>
    <row r="37" spans="3:3" ht="105" x14ac:dyDescent="0.25">
      <c r="C37" s="141" t="s">
        <v>191</v>
      </c>
    </row>
    <row r="38" spans="3:3" x14ac:dyDescent="0.25">
      <c r="C38" s="88"/>
    </row>
    <row r="39" spans="3:3" x14ac:dyDescent="0.25">
      <c r="C39" s="87" t="s">
        <v>208</v>
      </c>
    </row>
    <row r="40" spans="3:3" ht="75" x14ac:dyDescent="0.25">
      <c r="C40" s="141" t="s">
        <v>209</v>
      </c>
    </row>
    <row r="41" spans="3:3" x14ac:dyDescent="0.25">
      <c r="C41" s="88"/>
    </row>
    <row r="42" spans="3:3" x14ac:dyDescent="0.25">
      <c r="C42" s="87" t="s">
        <v>327</v>
      </c>
    </row>
    <row r="43" spans="3:3" ht="60" customHeight="1" x14ac:dyDescent="0.25">
      <c r="C43" s="141" t="s">
        <v>339</v>
      </c>
    </row>
    <row r="44" spans="3:3" x14ac:dyDescent="0.25">
      <c r="C44" s="88"/>
    </row>
    <row r="46" spans="3:3" x14ac:dyDescent="0.25">
      <c r="C46" s="143" t="s">
        <v>192</v>
      </c>
    </row>
    <row r="47" spans="3:3" x14ac:dyDescent="0.25">
      <c r="C47" s="144" t="s">
        <v>193</v>
      </c>
    </row>
    <row r="48" spans="3:3" x14ac:dyDescent="0.25">
      <c r="C48" s="144" t="s">
        <v>194</v>
      </c>
    </row>
    <row r="49" spans="2:3" x14ac:dyDescent="0.25">
      <c r="C49" s="144" t="s">
        <v>195</v>
      </c>
    </row>
    <row r="50" spans="2:3" x14ac:dyDescent="0.25">
      <c r="B50" s="142"/>
      <c r="C50" s="145" t="s">
        <v>196</v>
      </c>
    </row>
    <row r="51" spans="2:3" x14ac:dyDescent="0.25">
      <c r="B51" s="142"/>
      <c r="C51" s="145" t="s">
        <v>197</v>
      </c>
    </row>
    <row r="52" spans="2:3" x14ac:dyDescent="0.25">
      <c r="C52" s="146" t="s">
        <v>340</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182" t="s">
        <v>6</v>
      </c>
      <c r="D6" s="183"/>
      <c r="E6" s="22" t="s">
        <v>30</v>
      </c>
      <c r="G6" s="92"/>
      <c r="H6" s="93" t="s">
        <v>39</v>
      </c>
      <c r="I6" s="93" t="s">
        <v>40</v>
      </c>
      <c r="J6" s="93" t="s">
        <v>41</v>
      </c>
      <c r="K6" s="93" t="s">
        <v>42</v>
      </c>
      <c r="L6" s="93" t="s">
        <v>43</v>
      </c>
      <c r="M6" s="93" t="s">
        <v>44</v>
      </c>
      <c r="N6" s="93" t="s">
        <v>45</v>
      </c>
      <c r="O6" s="93" t="s">
        <v>46</v>
      </c>
      <c r="P6" s="93" t="s">
        <v>47</v>
      </c>
    </row>
    <row r="7" spans="2:16" ht="14.45"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ht="14.45"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ht="14.45"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ht="14.45"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ht="14.45"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ht="14.45"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ht="14.45"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ht="14.45"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76" t="s">
        <v>49</v>
      </c>
      <c r="E24" s="177"/>
      <c r="F24" s="177"/>
      <c r="G24" s="177"/>
      <c r="H24" s="177"/>
      <c r="I24" s="177"/>
      <c r="J24" s="177"/>
      <c r="K24" s="177"/>
      <c r="L24" s="177"/>
      <c r="M24" s="177"/>
      <c r="N24" s="177"/>
      <c r="O24" s="178"/>
    </row>
    <row r="25" spans="3:15" ht="75" customHeight="1" x14ac:dyDescent="0.3">
      <c r="D25" s="179" t="s">
        <v>50</v>
      </c>
      <c r="E25" s="180"/>
      <c r="F25" s="180"/>
      <c r="G25" s="180"/>
      <c r="H25" s="180"/>
      <c r="I25" s="180"/>
      <c r="J25" s="180"/>
      <c r="K25" s="180"/>
      <c r="L25" s="180"/>
      <c r="M25" s="180"/>
      <c r="N25" s="180"/>
      <c r="O25" s="181"/>
    </row>
    <row r="26" spans="3:15" ht="72" customHeight="1" x14ac:dyDescent="0.3">
      <c r="D26" s="179" t="s">
        <v>51</v>
      </c>
      <c r="E26" s="180"/>
      <c r="F26" s="180"/>
      <c r="G26" s="180"/>
      <c r="H26" s="180"/>
      <c r="I26" s="180"/>
      <c r="J26" s="180"/>
      <c r="K26" s="180"/>
      <c r="L26" s="180"/>
      <c r="M26" s="180"/>
      <c r="N26" s="180"/>
      <c r="O26" s="181"/>
    </row>
    <row r="27" spans="3:15" ht="73.5" customHeight="1" thickBot="1" x14ac:dyDescent="0.35">
      <c r="D27" s="173" t="s">
        <v>52</v>
      </c>
      <c r="E27" s="174"/>
      <c r="F27" s="174"/>
      <c r="G27" s="174"/>
      <c r="H27" s="174"/>
      <c r="I27" s="174"/>
      <c r="J27" s="174"/>
      <c r="K27" s="174"/>
      <c r="L27" s="174"/>
      <c r="M27" s="174"/>
      <c r="N27" s="174"/>
      <c r="O27" s="175"/>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8" priority="18">
      <formula>$H$9&lt;=0</formula>
    </cfRule>
  </conditionalFormatting>
  <conditionalFormatting sqref="L7:L8 L12:L14">
    <cfRule type="expression" dxfId="87" priority="17">
      <formula>ISERROR($L$7)</formula>
    </cfRule>
  </conditionalFormatting>
  <conditionalFormatting sqref="M7:M10 M12:M14">
    <cfRule type="expression" dxfId="86" priority="16">
      <formula>ISERROR($M$7)</formula>
    </cfRule>
  </conditionalFormatting>
  <conditionalFormatting sqref="N7">
    <cfRule type="expression" dxfId="85" priority="15">
      <formula>$N$9&lt;0</formula>
    </cfRule>
  </conditionalFormatting>
  <conditionalFormatting sqref="P14 O13 N12 M11 L9 D13:D15 D17:D18">
    <cfRule type="containsBlanks" dxfId="84" priority="19">
      <formula>LEN(TRIM(D9))=0</formula>
    </cfRule>
  </conditionalFormatting>
  <conditionalFormatting sqref="O7">
    <cfRule type="expression" dxfId="83" priority="13">
      <formula>ISERROR($O$8)</formula>
    </cfRule>
  </conditionalFormatting>
  <conditionalFormatting sqref="P7">
    <cfRule type="expression" dxfId="82" priority="12">
      <formula>ISERROR($P$7)</formula>
    </cfRule>
  </conditionalFormatting>
  <conditionalFormatting sqref="H18:I21">
    <cfRule type="expression" dxfId="81" priority="11">
      <formula>$I$17=1</formula>
    </cfRule>
  </conditionalFormatting>
  <conditionalFormatting sqref="D14">
    <cfRule type="cellIs" dxfId="80" priority="10" operator="greaterThan">
      <formula>12</formula>
    </cfRule>
  </conditionalFormatting>
  <conditionalFormatting sqref="P14">
    <cfRule type="cellIs" dxfId="79" priority="9" operator="greaterThan">
      <formula>$D$14</formula>
    </cfRule>
  </conditionalFormatting>
  <conditionalFormatting sqref="D15">
    <cfRule type="cellIs" dxfId="78" priority="8" operator="greaterThan">
      <formula>1</formula>
    </cfRule>
  </conditionalFormatting>
  <conditionalFormatting sqref="D13:D15 D17:D18 L9 M11 N12 O13 P14">
    <cfRule type="cellIs" dxfId="77" priority="7" operator="lessThanOrEqual">
      <formula>0</formula>
    </cfRule>
  </conditionalFormatting>
  <conditionalFormatting sqref="N8:N11">
    <cfRule type="expression" dxfId="76" priority="6">
      <formula>$H$9&lt;=0</formula>
    </cfRule>
  </conditionalFormatting>
  <conditionalFormatting sqref="N13:N14">
    <cfRule type="expression" dxfId="75" priority="5">
      <formula>$H$9&lt;=0</formula>
    </cfRule>
  </conditionalFormatting>
  <conditionalFormatting sqref="O8:O12">
    <cfRule type="expression" dxfId="74" priority="4">
      <formula>$H$9&lt;=0</formula>
    </cfRule>
  </conditionalFormatting>
  <conditionalFormatting sqref="O14">
    <cfRule type="expression" dxfId="73" priority="3">
      <formula>$H$9&lt;=0</formula>
    </cfRule>
  </conditionalFormatting>
  <conditionalFormatting sqref="P8:P13">
    <cfRule type="expression" dxfId="72" priority="2">
      <formula>$H$9&lt;=0</formula>
    </cfRule>
  </conditionalFormatting>
  <conditionalFormatting sqref="D13:D15 D17:D18 H18:I21 L9 M11 N12 O13 P14">
    <cfRule type="expression" dxfId="71"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101" t="str">
        <f>"Diameter (" &amp; IF($B$4,"mm","in") &amp; ")"</f>
        <v>Diameter (in)</v>
      </c>
      <c r="D6" s="107">
        <v>0.375</v>
      </c>
      <c r="G6" s="90" t="s">
        <v>62</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54</v>
      </c>
      <c r="D8" s="18">
        <v>1</v>
      </c>
    </row>
    <row r="9" spans="2:10" x14ac:dyDescent="0.25">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63</v>
      </c>
      <c r="H15" s="20">
        <v>5000</v>
      </c>
      <c r="I15" s="104">
        <f>I16*60/$D$7/$D$8*IF($B$4, 1000, 12)</f>
        <v>7200</v>
      </c>
    </row>
    <row r="16" spans="2:10" ht="14.45"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84" t="s">
        <v>65</v>
      </c>
      <c r="D19" s="185"/>
      <c r="E19" s="185"/>
      <c r="F19" s="185"/>
      <c r="G19" s="185"/>
      <c r="H19" s="185"/>
      <c r="I19" s="185"/>
      <c r="J19" s="186"/>
    </row>
    <row r="20" spans="3:10" ht="14.45" x14ac:dyDescent="0.3">
      <c r="C20" s="187" t="s">
        <v>66</v>
      </c>
      <c r="D20" s="188"/>
      <c r="E20" s="188"/>
      <c r="F20" s="188"/>
      <c r="G20" s="188"/>
      <c r="H20" s="188"/>
      <c r="I20" s="188"/>
      <c r="J20" s="189"/>
    </row>
    <row r="22" spans="3:10" ht="43.5" customHeight="1" x14ac:dyDescent="0.3">
      <c r="C22" s="184" t="s">
        <v>67</v>
      </c>
      <c r="D22" s="185"/>
      <c r="E22" s="185"/>
      <c r="F22" s="185"/>
      <c r="G22" s="185"/>
      <c r="H22" s="185"/>
      <c r="I22" s="185"/>
      <c r="J22" s="186"/>
    </row>
    <row r="23" spans="3:10" ht="29.25" customHeight="1" x14ac:dyDescent="0.3">
      <c r="C23" s="187" t="s">
        <v>68</v>
      </c>
      <c r="D23" s="188"/>
      <c r="E23" s="188"/>
      <c r="F23" s="188"/>
      <c r="G23" s="188"/>
      <c r="H23" s="188"/>
      <c r="I23" s="188"/>
      <c r="J23" s="189"/>
    </row>
  </sheetData>
  <sheetProtection sheet="1" objects="1" scenarios="1" formatCells="0" formatColumns="0" formatRows="0"/>
  <mergeCells count="4">
    <mergeCell ref="C19:J19"/>
    <mergeCell ref="C20:J20"/>
    <mergeCell ref="C22:J22"/>
    <mergeCell ref="C23:J23"/>
  </mergeCells>
  <conditionalFormatting sqref="J9:J10 J12:J13">
    <cfRule type="expression" dxfId="70" priority="6">
      <formula>$J$9&lt;0</formula>
    </cfRule>
  </conditionalFormatting>
  <conditionalFormatting sqref="I9 I11:I13">
    <cfRule type="expression" dxfId="69" priority="5">
      <formula>$I$9&lt;0</formula>
    </cfRule>
  </conditionalFormatting>
  <conditionalFormatting sqref="H9 I10 I16 H15 D6:D9">
    <cfRule type="cellIs" dxfId="68" priority="4" operator="lessThan">
      <formula>0</formula>
    </cfRule>
  </conditionalFormatting>
  <conditionalFormatting sqref="J11 I10 H9 I16 H15 D6:D9 D11:D13">
    <cfRule type="containsBlanks" dxfId="67" priority="3">
      <formula>LEN(TRIM(D6))=0</formula>
    </cfRule>
  </conditionalFormatting>
  <conditionalFormatting sqref="D9">
    <cfRule type="cellIs" dxfId="66" priority="2" operator="greaterThan">
      <formula>90</formula>
    </cfRule>
  </conditionalFormatting>
  <conditionalFormatting sqref="D6:D9 H9 I10 J11 H15 I16">
    <cfRule type="expression" dxfId="65"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69</v>
      </c>
    </row>
    <row r="4" spans="2:14" ht="14.45" x14ac:dyDescent="0.3">
      <c r="B4" s="8" t="b">
        <v>0</v>
      </c>
      <c r="C4" s="1" t="s">
        <v>0</v>
      </c>
    </row>
    <row r="6" spans="2:14" ht="14.45" x14ac:dyDescent="0.3">
      <c r="C6" s="182" t="s">
        <v>6</v>
      </c>
      <c r="D6" s="190"/>
      <c r="E6" s="22" t="s">
        <v>30</v>
      </c>
      <c r="G6" s="90" t="s">
        <v>75</v>
      </c>
      <c r="H6" s="91" t="s">
        <v>76</v>
      </c>
      <c r="I6" s="91" t="s">
        <v>77</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93" t="s">
        <v>78</v>
      </c>
      <c r="H12" s="194"/>
      <c r="I12" s="40">
        <f>IF(COUNTBLANK($H$7:$H$10)&lt;4, PRODUCT($H$7:$H$10), 1)/IF(COUNTBLANK($G$7:$G$10)&lt;4, PRODUCT($G$7:$G$10), 1)</f>
        <v>12.5</v>
      </c>
    </row>
    <row r="13" spans="2:14" ht="14.45" x14ac:dyDescent="0.3">
      <c r="C13" s="41" t="s">
        <v>80</v>
      </c>
      <c r="D13" s="11">
        <v>6</v>
      </c>
      <c r="G13" s="193" t="str">
        <f>"Adjusted Speed (" &amp; IF($B$4, "m", "ft") &amp; "/s)"</f>
        <v>Adjusted Speed (ft/s)</v>
      </c>
      <c r="H13" s="194"/>
      <c r="I13" s="42">
        <f>I14*$D$16</f>
        <v>6.0715001399693662</v>
      </c>
      <c r="N13" s="43"/>
    </row>
    <row r="14" spans="2:14" ht="14.45" x14ac:dyDescent="0.3">
      <c r="C14" s="41" t="s">
        <v>32</v>
      </c>
      <c r="D14" s="11">
        <v>11</v>
      </c>
      <c r="G14" s="193" t="str">
        <f>"Free Speed (" &amp; IF($B$4, "m", "ft") &amp; "/s)"</f>
        <v>Free Speed (ft/s)</v>
      </c>
      <c r="H14" s="194"/>
      <c r="I14" s="42">
        <f>($E$7/60)/I12*((D20/IF($B$4,25.4,1))*PI()/12)/IF($B$4, 3.281, 1)</f>
        <v>6.8219102696285008</v>
      </c>
    </row>
    <row r="15" spans="2:14" ht="14.45" x14ac:dyDescent="0.3">
      <c r="C15" s="41" t="s">
        <v>70</v>
      </c>
      <c r="D15" s="14">
        <v>0.8</v>
      </c>
      <c r="G15" s="193" t="s">
        <v>79</v>
      </c>
      <c r="H15" s="194"/>
      <c r="I15" s="44">
        <f>(($E$10-$E$9)/$E$8)*($D$19*IF($B$4,2.205,1))*$D$17*D21/$D$13*((D20/IF($B$4,25.4,1))/2)/I12*4.448*0.0254 + $E$9/$D$13</f>
        <v>33.350043284094035</v>
      </c>
    </row>
    <row r="16" spans="2:14" ht="14.45" x14ac:dyDescent="0.3">
      <c r="C16" s="41" t="s">
        <v>71</v>
      </c>
      <c r="D16" s="14">
        <v>0.89</v>
      </c>
    </row>
    <row r="17" spans="3:12" ht="14.45" x14ac:dyDescent="0.3">
      <c r="C17" s="41" t="s">
        <v>72</v>
      </c>
      <c r="D17" s="14">
        <v>1</v>
      </c>
      <c r="E17" s="3"/>
      <c r="G17" s="45" t="s">
        <v>75</v>
      </c>
      <c r="H17" s="46" t="s">
        <v>76</v>
      </c>
      <c r="J17" s="191" t="s">
        <v>78</v>
      </c>
      <c r="K17" s="192"/>
      <c r="L17" s="40">
        <f>IF(COUNTBLANK($H$7:$H$10)&lt;4, PRODUCT($H$7:$H$10), 1)*IF(ISBLANK(H18), 1, H18) / (IF(COUNTBLANK($G$7:$G$10)&lt;4, PRODUCT($G$7:$G$10), 1)*IF(ISBLANK(G18), 1, G18))</f>
        <v>15.625</v>
      </c>
    </row>
    <row r="18" spans="3:12" ht="14.45" x14ac:dyDescent="0.3">
      <c r="D18" s="5"/>
      <c r="E18" s="3"/>
      <c r="G18" s="47">
        <v>12</v>
      </c>
      <c r="H18" s="48">
        <v>15</v>
      </c>
      <c r="J18" s="191" t="str">
        <f>"Adjusted Speed (" &amp; IF($B$4, "m", "ft") &amp; "/s)"</f>
        <v>Adjusted Speed (ft/s)</v>
      </c>
      <c r="K18" s="192"/>
      <c r="L18" s="42">
        <f>L19*$D$16</f>
        <v>4.8572001119754935</v>
      </c>
    </row>
    <row r="19" spans="3:12" ht="14.45" x14ac:dyDescent="0.3">
      <c r="C19" s="41" t="str">
        <f>"Robot Weight  (" &amp; IF($B$4, "kg", "lbs") &amp; ")"</f>
        <v>Robot Weight  (lbs)</v>
      </c>
      <c r="D19" s="49">
        <v>154</v>
      </c>
      <c r="G19" s="50" t="s">
        <v>77</v>
      </c>
      <c r="H19" s="51"/>
      <c r="J19" s="191" t="str">
        <f>"Free Speed (" &amp; IF($B$4, "m", "ft") &amp; "/s)"</f>
        <v>Free Speed (ft/s)</v>
      </c>
      <c r="K19" s="192"/>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91" t="s">
        <v>79</v>
      </c>
      <c r="K20" s="192"/>
      <c r="L20" s="44">
        <f>(($E$10-$E$9)/$E$8)*($D$19*IF($B$4,2.205,1))*$D$17*D21/$D$13*((D20/IF($B$4,25.4,1))/2)/L17*4.448*0.0254 + $E$9/$D$13</f>
        <v>27.175034627275231</v>
      </c>
    </row>
    <row r="21" spans="3:12" ht="14.45" x14ac:dyDescent="0.3">
      <c r="C21" s="41" t="s">
        <v>73</v>
      </c>
      <c r="D21" s="52">
        <v>1</v>
      </c>
    </row>
    <row r="22" spans="3:12" ht="14.45" x14ac:dyDescent="0.3">
      <c r="G22" s="45" t="s">
        <v>75</v>
      </c>
      <c r="H22" s="46" t="s">
        <v>76</v>
      </c>
      <c r="J22" s="195" t="s">
        <v>78</v>
      </c>
      <c r="K22" s="196"/>
      <c r="L22" s="40">
        <f>IF(COUNTBLANK($H$7:$H$10)&lt;4, PRODUCT($H$7:$H$10), 1)*IF(ISBLANK(H23), 1, H23) / (IF(COUNTBLANK($G$7:$G$10)&lt;4, PRODUCT($G$7:$G$10), 1)*IF(ISBLANK(G23), 1, G23))</f>
        <v>25</v>
      </c>
    </row>
    <row r="23" spans="3:12" ht="14.45" x14ac:dyDescent="0.3">
      <c r="C23" s="55" t="s">
        <v>74</v>
      </c>
      <c r="D23" s="8" t="b">
        <v>0</v>
      </c>
      <c r="G23" s="47"/>
      <c r="H23" s="48">
        <v>2</v>
      </c>
      <c r="J23" s="195" t="str">
        <f>"Adjusted Speed (" &amp; IF($B$4, "m", "ft") &amp; "/s)"</f>
        <v>Adjusted Speed (ft/s)</v>
      </c>
      <c r="K23" s="196"/>
      <c r="L23" s="42">
        <f>L24*$D$16</f>
        <v>3.0357500699846831</v>
      </c>
    </row>
    <row r="24" spans="3:12" ht="14.45" x14ac:dyDescent="0.3">
      <c r="C24" s="55" t="s">
        <v>215</v>
      </c>
      <c r="D24" s="8" t="b">
        <v>0</v>
      </c>
      <c r="G24" s="50" t="s">
        <v>77</v>
      </c>
      <c r="H24" s="51"/>
      <c r="J24" s="195" t="str">
        <f>"Free Speed (" &amp; IF($B$4, "m", "ft") &amp; "/s)"</f>
        <v>Free Speed (ft/s)</v>
      </c>
      <c r="K24" s="196"/>
      <c r="L24" s="42">
        <f>($E$7/60)/L22*((IF(D24,D26,D20)/IF($B$4,25.4,1))*PI()/12)/IF($B$4, 3.281, 1)</f>
        <v>3.4109551348142504</v>
      </c>
    </row>
    <row r="25" spans="3:12" ht="14.45" x14ac:dyDescent="0.3">
      <c r="G25" s="53" t="str">
        <f>"C-C (" &amp; IF($B$4, "mm", "in") &amp; ")"</f>
        <v>C-C (in)</v>
      </c>
      <c r="H25" s="54" t="str">
        <f>IF(COUNTBLANK(G23:H24)&gt;0, "", ((G23+H23)/(2*H24)+0.003)*IF($B$4, 25.4, 1))</f>
        <v/>
      </c>
      <c r="J25" s="195" t="s">
        <v>79</v>
      </c>
      <c r="K25" s="196"/>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64" priority="23" operator="greaterThan">
      <formula>12</formula>
    </cfRule>
  </conditionalFormatting>
  <conditionalFormatting sqref="D13:D17 D19:D21">
    <cfRule type="cellIs" dxfId="63" priority="20" operator="lessThanOrEqual">
      <formula>0</formula>
    </cfRule>
  </conditionalFormatting>
  <conditionalFormatting sqref="D15:D17">
    <cfRule type="cellIs" dxfId="62" priority="13" operator="greaterThan">
      <formula>1</formula>
    </cfRule>
  </conditionalFormatting>
  <conditionalFormatting sqref="D13:D17 D19:D21">
    <cfRule type="containsBlanks" dxfId="61" priority="9">
      <formula>LEN(TRIM(D13))=0</formula>
    </cfRule>
  </conditionalFormatting>
  <conditionalFormatting sqref="G7:I10 G18:H18 H19 D26:D27 G23:H23 H24">
    <cfRule type="cellIs" dxfId="60" priority="7" operator="lessThan">
      <formula>0</formula>
    </cfRule>
  </conditionalFormatting>
  <conditionalFormatting sqref="C26:D27">
    <cfRule type="expression" dxfId="59" priority="24">
      <formula>NOT($D$24)</formula>
    </cfRule>
  </conditionalFormatting>
  <conditionalFormatting sqref="G17:L25">
    <cfRule type="expression" dxfId="58" priority="25">
      <formula>NOT($D$23)</formula>
    </cfRule>
  </conditionalFormatting>
  <conditionalFormatting sqref="G12:I15">
    <cfRule type="expression" dxfId="57" priority="2">
      <formula>$D$23</formula>
    </cfRule>
  </conditionalFormatting>
  <conditionalFormatting sqref="D13:D17 D19:D21 G7:I10 G18:H18 H19 G23:H23 H24">
    <cfRule type="expression" dxfId="56"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97" t="s">
        <v>86</v>
      </c>
      <c r="G6" s="197"/>
      <c r="I6" s="197" t="s">
        <v>85</v>
      </c>
      <c r="J6" s="197"/>
      <c r="L6" s="197" t="s">
        <v>87</v>
      </c>
      <c r="M6" s="197"/>
      <c r="O6" s="56" t="s">
        <v>88</v>
      </c>
      <c r="P6" s="56"/>
    </row>
    <row r="7" spans="2:16" ht="14.45" x14ac:dyDescent="0.3">
      <c r="D7" s="5"/>
    </row>
    <row r="8" spans="2:16" ht="14.45"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ht="14.45" x14ac:dyDescent="0.3">
      <c r="C10" s="90" t="s">
        <v>82</v>
      </c>
      <c r="D10" s="11" t="s">
        <v>83</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ht="14.45" x14ac:dyDescent="0.3">
      <c r="G14" s="57"/>
    </row>
    <row r="15" spans="2:16" ht="15" customHeight="1" x14ac:dyDescent="0.25">
      <c r="C15" s="198" t="s">
        <v>214</v>
      </c>
      <c r="D15" s="199"/>
    </row>
    <row r="16" spans="2:16" ht="15" customHeight="1" x14ac:dyDescent="0.25">
      <c r="C16" s="200"/>
      <c r="D16" s="201"/>
    </row>
    <row r="17" spans="3:4" ht="15" customHeight="1" x14ac:dyDescent="0.25">
      <c r="C17" s="200"/>
      <c r="D17" s="201"/>
    </row>
    <row r="18" spans="3:4" x14ac:dyDescent="0.25">
      <c r="C18" s="202"/>
      <c r="D18" s="203"/>
    </row>
    <row r="20" spans="3:4" ht="14.45" x14ac:dyDescent="0.3">
      <c r="C20" s="59" t="s">
        <v>90</v>
      </c>
      <c r="D20" s="60">
        <f>CHOOSE(MATCH($D$10,{"Hex","Round","Round Tube","Square","Rect. Tube"},0), 0.0601*$D$11^4, PI()/64*$D$11^4, PI()/8*$D$11^3*$D$12, $D$11^4/12, $D$11^2*$D$12*$D$13/3)</f>
        <v>3.7562499999999948E-3</v>
      </c>
    </row>
    <row r="21" spans="3:4" ht="14.45" x14ac:dyDescent="0.3">
      <c r="C21" s="59" t="s">
        <v>91</v>
      </c>
      <c r="D21" s="60">
        <f>CHOOSE(MATCH($D$10,{"Hex","Round","Round Tube","Square","Rect. Tube"},0), 0.1154*$D$11^4, PI()/32*$D$11^4, PI()/4*$D$11^3*$D$12, 9/64*$D$11^4, (2*$D$13^2*($D$12-$D$13)^2*($D$11-$D$13)^2)/($D$11*$D$13+$D$12*$D$13-2*$D$13^2))</f>
        <v>7.2124999999999906E-3</v>
      </c>
    </row>
    <row r="22" spans="3:4" ht="14.45" x14ac:dyDescent="0.3">
      <c r="C22" s="59" t="s">
        <v>92</v>
      </c>
      <c r="D22" s="3">
        <f>VLOOKUP($D$8, MaterialSpecs, 2, 0)*IF($B$4, 1, 145.038)</f>
        <v>10399224.600000001</v>
      </c>
    </row>
    <row r="23" spans="3:4" ht="14.45"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5" priority="4">
      <formula>NOT($D$10="Rect. Tube")</formula>
    </cfRule>
  </conditionalFormatting>
  <conditionalFormatting sqref="C12:D13">
    <cfRule type="expression" dxfId="54" priority="7">
      <formula>NOT(OR($D$10="Round Tube", $D$10="Rect. Tube"))</formula>
    </cfRule>
  </conditionalFormatting>
  <conditionalFormatting sqref="D11:D13 G8:G10 J8:J10 M8:M9 P8:P9">
    <cfRule type="cellIs" dxfId="53" priority="8" operator="lessThanOrEqual">
      <formula>0</formula>
    </cfRule>
  </conditionalFormatting>
  <conditionalFormatting sqref="G9">
    <cfRule type="cellIs" dxfId="52" priority="3" operator="greaterThanOrEqual">
      <formula>$G$10</formula>
    </cfRule>
  </conditionalFormatting>
  <conditionalFormatting sqref="D11 G8:G10 J8:J10 M8:M9 P8:P9">
    <cfRule type="expression" dxfId="51" priority="2">
      <formula>ISTEXT(D8)</formula>
    </cfRule>
  </conditionalFormatting>
  <conditionalFormatting sqref="D11">
    <cfRule type="containsBlanks" dxfId="50"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1</v>
      </c>
      <c r="C4" s="1" t="s">
        <v>0</v>
      </c>
    </row>
    <row r="6" spans="2:16" ht="18" x14ac:dyDescent="0.3">
      <c r="C6" s="197" t="s">
        <v>95</v>
      </c>
      <c r="D6" s="197"/>
      <c r="F6" s="197" t="s">
        <v>98</v>
      </c>
      <c r="G6" s="197"/>
      <c r="I6" s="204" t="s">
        <v>95</v>
      </c>
      <c r="J6" s="205"/>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96</v>
      </c>
      <c r="D10" s="74">
        <v>70</v>
      </c>
      <c r="F10" s="90" t="s">
        <v>99</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97</v>
      </c>
      <c r="D14" s="62">
        <f>DEGREES(ATAN(2*(D13-D8)/D7-TAN(RADIANS(D10))))</f>
        <v>84.335137472670056</v>
      </c>
      <c r="F14" s="90" t="s">
        <v>96</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ht="14.45" x14ac:dyDescent="0.3">
      <c r="K38" s="3">
        <v>3</v>
      </c>
      <c r="L38" s="3">
        <f t="shared" si="0"/>
        <v>4.5717768972874114E-2</v>
      </c>
      <c r="M38" s="3">
        <f t="shared" si="1"/>
        <v>0.4262018426218801</v>
      </c>
      <c r="N38" s="3"/>
      <c r="O38" s="3"/>
      <c r="P38" s="3"/>
      <c r="Q38" s="3"/>
    </row>
    <row r="39" spans="11:17" ht="14.45" x14ac:dyDescent="0.3">
      <c r="K39" s="3">
        <v>4</v>
      </c>
      <c r="L39" s="3">
        <f t="shared" si="0"/>
        <v>6.0957025297165485E-2</v>
      </c>
      <c r="M39" s="3">
        <f t="shared" si="1"/>
        <v>0.46481104942955898</v>
      </c>
      <c r="N39" s="3"/>
      <c r="O39" s="3"/>
      <c r="P39" s="3"/>
      <c r="Q39" s="3"/>
    </row>
    <row r="40" spans="11:17" ht="14.45" x14ac:dyDescent="0.3">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9" priority="6" operator="lessThanOrEqual">
      <formula>0</formula>
    </cfRule>
  </conditionalFormatting>
  <conditionalFormatting sqref="D8 G8">
    <cfRule type="cellIs" dxfId="48" priority="5" operator="lessThan">
      <formula>0</formula>
    </cfRule>
  </conditionalFormatting>
  <conditionalFormatting sqref="D10 G10">
    <cfRule type="cellIs" dxfId="47" priority="3" operator="lessThanOrEqual">
      <formula>-90</formula>
    </cfRule>
    <cfRule type="cellIs" dxfId="46" priority="4" operator="greaterThanOrEqual">
      <formula>90</formula>
    </cfRule>
  </conditionalFormatting>
  <conditionalFormatting sqref="D7:D10 G7:G10">
    <cfRule type="expression" dxfId="45" priority="2">
      <formula>ISTEXT(D7)</formula>
    </cfRule>
  </conditionalFormatting>
  <conditionalFormatting sqref="D7:D10 G7:G10 I6">
    <cfRule type="containsBlanks" dxfId="44"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97" t="s">
        <v>95</v>
      </c>
      <c r="G6" s="197"/>
      <c r="I6" s="197" t="s">
        <v>98</v>
      </c>
      <c r="J6" s="197"/>
    </row>
    <row r="7" spans="2:19" ht="14.45"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ht="14.45"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206" t="s">
        <v>20</v>
      </c>
      <c r="D16" s="206"/>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197" t="s">
        <v>116</v>
      </c>
      <c r="G6" s="197"/>
      <c r="I6" s="197" t="s">
        <v>121</v>
      </c>
      <c r="J6" s="197"/>
    </row>
    <row r="7" spans="2:10" ht="14.45" x14ac:dyDescent="0.3">
      <c r="C7" s="90" t="s">
        <v>110</v>
      </c>
      <c r="D7" s="11">
        <v>100</v>
      </c>
      <c r="F7" s="90" t="s">
        <v>115</v>
      </c>
      <c r="G7" s="11" t="s">
        <v>117</v>
      </c>
      <c r="I7" s="90" t="s">
        <v>119</v>
      </c>
      <c r="J7" s="11">
        <v>20</v>
      </c>
    </row>
    <row r="8" spans="2:10" ht="14.45" x14ac:dyDescent="0.3">
      <c r="C8" s="90" t="s">
        <v>111</v>
      </c>
      <c r="D8" s="11">
        <v>32</v>
      </c>
      <c r="I8" s="90" t="s">
        <v>120</v>
      </c>
      <c r="J8" s="11">
        <v>20</v>
      </c>
    </row>
    <row r="10" spans="2:10" ht="14.45"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113</v>
      </c>
      <c r="D11" s="11">
        <v>60</v>
      </c>
      <c r="F11" s="90" t="s">
        <v>118</v>
      </c>
      <c r="G11" s="42" t="b">
        <f>G10&gt;0</f>
        <v>1</v>
      </c>
      <c r="I11" s="90" t="s">
        <v>118</v>
      </c>
      <c r="J11" s="42" t="b">
        <f>J10&gt;0</f>
        <v>1</v>
      </c>
    </row>
    <row r="12" spans="2:10" ht="14.45" x14ac:dyDescent="0.3">
      <c r="C12" s="90"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90" t="s">
        <v>123</v>
      </c>
      <c r="D6" s="49">
        <v>20</v>
      </c>
    </row>
    <row r="8" spans="2:10" ht="14.45" x14ac:dyDescent="0.3">
      <c r="C8" s="90" t="s">
        <v>124</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125</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126</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207" t="s">
        <v>127</v>
      </c>
      <c r="D19" s="207"/>
    </row>
    <row r="20" spans="3:4" ht="14.45" customHeight="1" x14ac:dyDescent="0.3">
      <c r="C20" s="208" t="s">
        <v>128</v>
      </c>
      <c r="D20" s="208"/>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142</v>
      </c>
      <c r="N8" s="69">
        <v>3</v>
      </c>
      <c r="O8" s="69"/>
      <c r="P8" s="69"/>
      <c r="Q8" s="69"/>
    </row>
    <row r="9" spans="2:17" ht="14.45" x14ac:dyDescent="0.3">
      <c r="C9" s="66" t="str">
        <f>"Stroke Length (" &amp; IF($B$4, "mm", "in") &amp; ")"</f>
        <v>Stroke Length (in)</v>
      </c>
      <c r="D9" s="78">
        <v>11.999999999999998</v>
      </c>
      <c r="E9" s="9"/>
      <c r="F9" s="9"/>
      <c r="G9" s="9"/>
      <c r="H9" s="9"/>
      <c r="I9" s="9"/>
      <c r="J9" s="9"/>
      <c r="K9" s="9"/>
      <c r="M9" s="67" t="s">
        <v>143</v>
      </c>
      <c r="N9" s="71">
        <v>120</v>
      </c>
      <c r="O9" s="71"/>
      <c r="P9" s="71"/>
      <c r="Q9" s="71"/>
    </row>
    <row r="10" spans="2:17" ht="14.45"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131</v>
      </c>
      <c r="D12" s="12">
        <v>15</v>
      </c>
      <c r="E12" s="69"/>
      <c r="F12" s="69"/>
      <c r="G12" s="69"/>
      <c r="H12" s="69"/>
      <c r="I12" s="69"/>
      <c r="J12" s="69"/>
      <c r="K12" s="69"/>
      <c r="M12" s="90" t="s">
        <v>148</v>
      </c>
      <c r="N12" s="209" t="s">
        <v>154</v>
      </c>
      <c r="O12" s="210"/>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166</v>
      </c>
      <c r="D14" s="69">
        <v>5</v>
      </c>
      <c r="E14" s="69"/>
      <c r="F14" s="69"/>
      <c r="G14" s="69"/>
      <c r="H14" s="69"/>
      <c r="I14" s="69"/>
      <c r="J14" s="69"/>
      <c r="K14" s="69"/>
      <c r="M14" s="90" t="s">
        <v>149</v>
      </c>
      <c r="N14" s="11">
        <v>120</v>
      </c>
    </row>
    <row r="15" spans="2:17" ht="14.45" x14ac:dyDescent="0.3">
      <c r="C15" s="66" t="s">
        <v>132</v>
      </c>
      <c r="D15" s="69">
        <v>8</v>
      </c>
      <c r="E15" s="69"/>
      <c r="F15" s="69"/>
      <c r="G15" s="69"/>
      <c r="H15" s="69"/>
      <c r="I15" s="69"/>
      <c r="J15" s="69"/>
      <c r="K15" s="69"/>
      <c r="M15" s="90" t="s">
        <v>150</v>
      </c>
      <c r="N15" s="11">
        <v>95</v>
      </c>
    </row>
    <row r="16" spans="2:17" ht="14.45" x14ac:dyDescent="0.3">
      <c r="C16" s="67" t="s">
        <v>133</v>
      </c>
      <c r="D16" s="70">
        <v>140</v>
      </c>
      <c r="E16" s="71"/>
      <c r="F16" s="71"/>
      <c r="G16" s="71"/>
      <c r="H16" s="71"/>
      <c r="I16" s="71"/>
      <c r="J16" s="71"/>
      <c r="K16" s="71"/>
      <c r="M16" s="90" t="s">
        <v>151</v>
      </c>
      <c r="N16" s="44">
        <f>MIN(D42:D192)</f>
        <v>33.320099200506633</v>
      </c>
    </row>
    <row r="17" spans="4:14" ht="14.45" x14ac:dyDescent="0.3">
      <c r="D17" s="57"/>
      <c r="M17" s="90" t="s">
        <v>152</v>
      </c>
      <c r="N17" s="44">
        <f>D192</f>
        <v>56.540434019763524</v>
      </c>
    </row>
    <row r="39" spans="3:14" ht="14.45" x14ac:dyDescent="0.3">
      <c r="C39" s="4"/>
      <c r="D39" s="4"/>
      <c r="E39" s="4"/>
      <c r="F39" s="4"/>
      <c r="G39" s="4"/>
      <c r="H39" s="4"/>
      <c r="I39" s="4"/>
      <c r="J39" s="4"/>
      <c r="K39" s="4"/>
      <c r="L39" s="4"/>
      <c r="M39" s="4"/>
      <c r="N39" s="4"/>
    </row>
    <row r="40" spans="3:14" ht="14.45"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80" t="s">
        <v>98</v>
      </c>
      <c r="M3" s="113" t="b">
        <v>1</v>
      </c>
      <c r="N3" s="111"/>
      <c r="O3" s="114" t="b">
        <v>1</v>
      </c>
      <c r="P3" s="112"/>
    </row>
    <row r="4" spans="3:16" ht="18.75" x14ac:dyDescent="0.25">
      <c r="C4" s="197" t="s">
        <v>95</v>
      </c>
      <c r="D4" s="197"/>
      <c r="F4" s="197" t="s">
        <v>98</v>
      </c>
      <c r="G4" s="197"/>
      <c r="I4" s="212" t="s">
        <v>227</v>
      </c>
    </row>
    <row r="5" spans="3:16" ht="15" customHeight="1" x14ac:dyDescent="0.25">
      <c r="C5" s="90" t="s">
        <v>167</v>
      </c>
      <c r="D5" s="52">
        <v>40</v>
      </c>
      <c r="F5" s="90" t="s">
        <v>169</v>
      </c>
      <c r="G5" s="52">
        <v>120</v>
      </c>
      <c r="I5" s="213"/>
    </row>
    <row r="6" spans="3:16" x14ac:dyDescent="0.25">
      <c r="C6" s="90" t="s">
        <v>168</v>
      </c>
      <c r="D6" s="52">
        <v>90</v>
      </c>
      <c r="F6" s="90" t="s">
        <v>170</v>
      </c>
      <c r="G6" s="52">
        <v>10</v>
      </c>
      <c r="I6" s="213"/>
    </row>
    <row r="7" spans="3:16" x14ac:dyDescent="0.25">
      <c r="C7" s="90" t="s">
        <v>169</v>
      </c>
      <c r="D7" s="52">
        <v>100</v>
      </c>
      <c r="F7" s="90" t="s">
        <v>171</v>
      </c>
      <c r="G7" s="52">
        <v>100</v>
      </c>
      <c r="I7" s="213"/>
    </row>
    <row r="8" spans="3:16" x14ac:dyDescent="0.25">
      <c r="C8" s="90" t="s">
        <v>170</v>
      </c>
      <c r="D8" s="52">
        <v>20</v>
      </c>
      <c r="F8" s="90" t="s">
        <v>172</v>
      </c>
      <c r="G8" s="52">
        <v>50</v>
      </c>
      <c r="I8" s="214"/>
    </row>
    <row r="9" spans="3:16" ht="15" customHeight="1" x14ac:dyDescent="0.25">
      <c r="C9" s="90" t="s">
        <v>171</v>
      </c>
      <c r="D9" s="52">
        <v>100</v>
      </c>
      <c r="F9" s="90" t="s">
        <v>173</v>
      </c>
      <c r="G9" s="74">
        <v>95</v>
      </c>
      <c r="H9" s="3">
        <f>RADIANS(G9)</f>
        <v>1.6580627893946132</v>
      </c>
    </row>
    <row r="10" spans="3:16" ht="15" customHeight="1" x14ac:dyDescent="0.25">
      <c r="C10" s="90" t="s">
        <v>172</v>
      </c>
      <c r="D10" s="52">
        <v>50</v>
      </c>
      <c r="F10" s="90" t="s">
        <v>174</v>
      </c>
      <c r="G10" s="74">
        <v>-10</v>
      </c>
      <c r="H10" s="3">
        <f>RADIANS(G10)</f>
        <v>-0.17453292519943295</v>
      </c>
      <c r="I10" s="212" t="s">
        <v>177</v>
      </c>
    </row>
    <row r="11" spans="3:16" x14ac:dyDescent="0.25">
      <c r="I11" s="213"/>
    </row>
    <row r="12" spans="3:16" x14ac:dyDescent="0.25">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3"/>
    </row>
    <row r="13" spans="3:16" x14ac:dyDescent="0.25">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14"/>
    </row>
    <row r="30" spans="11:18" x14ac:dyDescent="0.25">
      <c r="K30" s="211" t="s">
        <v>225</v>
      </c>
      <c r="L30" s="211"/>
      <c r="M30" s="211"/>
      <c r="N30" s="211"/>
      <c r="O30" s="211"/>
      <c r="P30" s="211"/>
      <c r="Q30" s="211"/>
      <c r="R30" s="211"/>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ht="14.45"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ht="14.45"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
  <cols>
    <col min="1" max="1" width="9.42578125" style="135" customWidth="1"/>
    <col min="2" max="3" width="8.42578125" style="135" customWidth="1"/>
    <col min="4" max="4" width="18.7109375" style="135" customWidth="1"/>
    <col min="5" max="26" width="8.425781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337</v>
      </c>
      <c r="J12" s="137">
        <v>0</v>
      </c>
      <c r="K12" s="137">
        <v>0</v>
      </c>
    </row>
    <row r="13" spans="1:13" ht="14.25" customHeight="1" x14ac:dyDescent="0.3">
      <c r="A13" s="134" t="s">
        <v>117</v>
      </c>
      <c r="B13" s="134" t="s">
        <v>11</v>
      </c>
      <c r="C13" s="134">
        <v>36</v>
      </c>
      <c r="D13" s="134" t="str">
        <f t="shared" si="0"/>
        <v>1/2" Hex AM 9015 36</v>
      </c>
      <c r="E13" s="134">
        <v>5</v>
      </c>
      <c r="F13" s="134">
        <v>1</v>
      </c>
      <c r="I13" s="134" t="s">
        <v>333</v>
      </c>
      <c r="J13" s="137">
        <v>0</v>
      </c>
      <c r="K13" s="137">
        <v>0</v>
      </c>
    </row>
    <row r="14" spans="1:13" ht="14.25" customHeight="1" x14ac:dyDescent="0.3">
      <c r="A14" s="134" t="s">
        <v>117</v>
      </c>
      <c r="B14" s="134" t="s">
        <v>11</v>
      </c>
      <c r="C14" s="134">
        <v>40</v>
      </c>
      <c r="D14" s="134" t="str">
        <f t="shared" si="0"/>
        <v>1/2" Hex AM 9015 40</v>
      </c>
      <c r="E14" s="134">
        <v>5</v>
      </c>
      <c r="F14" s="134">
        <v>1</v>
      </c>
      <c r="I14" s="134" t="s">
        <v>334</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337</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337</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337</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337</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337</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337</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337</v>
      </c>
      <c r="C29" s="134">
        <v>25</v>
      </c>
      <c r="D29" s="134" t="str">
        <f t="shared" si="0"/>
        <v>1/2" Hex NeveRest 25</v>
      </c>
      <c r="E29" s="134">
        <v>7</v>
      </c>
      <c r="F29" s="134">
        <v>7</v>
      </c>
      <c r="J29" s="137"/>
      <c r="K29" s="137"/>
    </row>
    <row r="30" spans="1:13" ht="14.25" customHeight="1" x14ac:dyDescent="0.3">
      <c r="A30" s="134" t="s">
        <v>117</v>
      </c>
      <c r="B30" s="134" t="s">
        <v>337</v>
      </c>
      <c r="C30" s="134">
        <v>27</v>
      </c>
      <c r="D30" s="134" t="str">
        <f t="shared" si="0"/>
        <v>1/2" Hex NeveRest 27</v>
      </c>
      <c r="E30" s="134">
        <v>7</v>
      </c>
      <c r="F30" s="134">
        <v>7</v>
      </c>
      <c r="J30" s="137"/>
      <c r="K30" s="137"/>
    </row>
    <row r="31" spans="1:13" ht="14.25" customHeight="1" x14ac:dyDescent="0.3">
      <c r="A31" s="134" t="s">
        <v>117</v>
      </c>
      <c r="B31" s="134" t="s">
        <v>337</v>
      </c>
      <c r="C31" s="134">
        <v>28</v>
      </c>
      <c r="D31" s="134" t="str">
        <f t="shared" si="0"/>
        <v>1/2" Hex NeveRest 28</v>
      </c>
      <c r="E31" s="134">
        <v>7</v>
      </c>
      <c r="F31" s="134">
        <v>7</v>
      </c>
      <c r="I31" s="136" t="s">
        <v>280</v>
      </c>
      <c r="J31" s="137"/>
      <c r="K31" s="137"/>
    </row>
    <row r="32" spans="1:13" ht="14.25" customHeight="1" x14ac:dyDescent="0.3">
      <c r="A32" s="134" t="s">
        <v>117</v>
      </c>
      <c r="B32" s="134" t="s">
        <v>337</v>
      </c>
      <c r="C32" s="134">
        <v>30</v>
      </c>
      <c r="D32" s="134" t="str">
        <f t="shared" si="0"/>
        <v>1/2" Hex NeveRest 30</v>
      </c>
      <c r="E32" s="134">
        <v>5</v>
      </c>
      <c r="F32" s="134">
        <v>5</v>
      </c>
      <c r="I32" s="134" t="s">
        <v>261</v>
      </c>
      <c r="J32" s="137">
        <v>0</v>
      </c>
      <c r="K32" s="137"/>
    </row>
    <row r="33" spans="1:14" ht="14.25" customHeight="1" x14ac:dyDescent="0.3">
      <c r="A33" s="134" t="s">
        <v>117</v>
      </c>
      <c r="B33" s="134" t="s">
        <v>337</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337</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337</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337</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337</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337</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337</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337</v>
      </c>
      <c r="C40" s="134">
        <v>70</v>
      </c>
      <c r="D40" s="134" t="str">
        <f t="shared" si="0"/>
        <v>1/2" Hex NeveRest 70</v>
      </c>
      <c r="E40" s="134">
        <v>4</v>
      </c>
      <c r="F40" s="134">
        <v>1</v>
      </c>
      <c r="J40" s="137"/>
      <c r="K40" s="137"/>
    </row>
    <row r="41" spans="1:14" ht="14.25" customHeight="1" x14ac:dyDescent="0.3">
      <c r="A41" s="134" t="s">
        <v>117</v>
      </c>
      <c r="B41" s="134" t="s">
        <v>337</v>
      </c>
      <c r="C41" s="134">
        <v>81</v>
      </c>
      <c r="D41" s="134" t="str">
        <f t="shared" si="0"/>
        <v>1/2" Hex NeveRest 81</v>
      </c>
      <c r="E41" s="134">
        <v>3</v>
      </c>
      <c r="F41" s="134">
        <v>1</v>
      </c>
      <c r="J41" s="137"/>
      <c r="K41" s="137"/>
    </row>
    <row r="42" spans="1:14" ht="14.25" customHeight="1" x14ac:dyDescent="0.25">
      <c r="A42" s="134" t="s">
        <v>117</v>
      </c>
      <c r="B42" s="134" t="s">
        <v>337</v>
      </c>
      <c r="C42" s="134">
        <v>90</v>
      </c>
      <c r="D42" s="134" t="str">
        <f t="shared" si="0"/>
        <v>1/2" Hex NeveRest 90</v>
      </c>
      <c r="E42" s="134">
        <v>3</v>
      </c>
      <c r="F42" s="134">
        <v>1</v>
      </c>
      <c r="I42" s="136" t="s">
        <v>302</v>
      </c>
      <c r="J42" s="137"/>
      <c r="K42" s="137"/>
    </row>
    <row r="43" spans="1:14" ht="14.25" customHeight="1" x14ac:dyDescent="0.3">
      <c r="A43" s="134" t="s">
        <v>117</v>
      </c>
      <c r="B43" s="134" t="s">
        <v>337</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3">
      <c r="A44" s="134" t="s">
        <v>117</v>
      </c>
      <c r="B44" s="134" t="s">
        <v>333</v>
      </c>
      <c r="C44" s="134">
        <v>9</v>
      </c>
      <c r="D44" s="134" t="str">
        <f t="shared" si="0"/>
        <v>1/2" Hex BB RS-550 9</v>
      </c>
      <c r="E44" s="134">
        <v>10</v>
      </c>
      <c r="F44" s="134">
        <v>10</v>
      </c>
      <c r="I44" s="134" t="s">
        <v>306</v>
      </c>
      <c r="J44" s="137">
        <v>0</v>
      </c>
      <c r="K44" s="137"/>
    </row>
    <row r="45" spans="1:14" ht="14.25" customHeight="1" x14ac:dyDescent="0.25">
      <c r="A45" s="134" t="s">
        <v>117</v>
      </c>
      <c r="B45" s="134" t="s">
        <v>333</v>
      </c>
      <c r="C45" s="134">
        <v>12</v>
      </c>
      <c r="D45" s="134" t="str">
        <f t="shared" si="0"/>
        <v>1/2" Hex BB RS-550 12</v>
      </c>
      <c r="E45" s="134">
        <v>10</v>
      </c>
      <c r="F45" s="134">
        <v>7</v>
      </c>
      <c r="J45" s="137"/>
      <c r="K45" s="137"/>
    </row>
    <row r="46" spans="1:14" ht="14.25" customHeight="1" x14ac:dyDescent="0.25">
      <c r="A46" s="134" t="s">
        <v>117</v>
      </c>
      <c r="B46" s="134" t="s">
        <v>333</v>
      </c>
      <c r="C46" s="134">
        <v>15</v>
      </c>
      <c r="D46" s="134" t="str">
        <f t="shared" si="0"/>
        <v>1/2" Hex BB RS-550 15</v>
      </c>
      <c r="E46" s="134">
        <v>10</v>
      </c>
      <c r="F46" s="134">
        <v>5</v>
      </c>
      <c r="J46" s="137"/>
      <c r="K46" s="137"/>
    </row>
    <row r="47" spans="1:14" ht="14.25" customHeight="1" x14ac:dyDescent="0.25">
      <c r="A47" s="134" t="s">
        <v>117</v>
      </c>
      <c r="B47" s="134" t="s">
        <v>333</v>
      </c>
      <c r="C47" s="134">
        <v>16</v>
      </c>
      <c r="D47" s="134" t="str">
        <f t="shared" si="0"/>
        <v>1/2" Hex BB RS-550 16</v>
      </c>
      <c r="E47" s="134">
        <v>10</v>
      </c>
      <c r="F47" s="134">
        <v>5</v>
      </c>
      <c r="I47" s="136" t="s">
        <v>307</v>
      </c>
      <c r="J47" s="137"/>
      <c r="K47" s="137"/>
    </row>
    <row r="48" spans="1:14" ht="14.25" customHeight="1" x14ac:dyDescent="0.25">
      <c r="A48" s="134" t="s">
        <v>117</v>
      </c>
      <c r="B48" s="134" t="s">
        <v>333</v>
      </c>
      <c r="C48" s="134">
        <v>20</v>
      </c>
      <c r="D48" s="134" t="str">
        <f t="shared" si="0"/>
        <v>1/2" Hex BB RS-550 20</v>
      </c>
      <c r="E48" s="134">
        <v>10</v>
      </c>
      <c r="F48" s="134">
        <v>4</v>
      </c>
      <c r="I48" s="134" t="s">
        <v>60</v>
      </c>
      <c r="J48" s="137">
        <v>84.99</v>
      </c>
      <c r="K48" s="137"/>
      <c r="L48" s="134" t="s">
        <v>308</v>
      </c>
    </row>
    <row r="49" spans="1:12" ht="14.25" customHeight="1" x14ac:dyDescent="0.25">
      <c r="A49" s="134" t="s">
        <v>117</v>
      </c>
      <c r="B49" s="134" t="s">
        <v>333</v>
      </c>
      <c r="C49" s="134">
        <v>21</v>
      </c>
      <c r="D49" s="134" t="str">
        <f t="shared" si="0"/>
        <v>1/2" Hex BB RS-550 21</v>
      </c>
      <c r="E49" s="134">
        <v>9</v>
      </c>
      <c r="F49" s="134">
        <v>4</v>
      </c>
      <c r="I49" s="134" t="s">
        <v>306</v>
      </c>
      <c r="J49" s="137">
        <v>0</v>
      </c>
      <c r="K49" s="137"/>
    </row>
    <row r="50" spans="1:12" ht="14.25" customHeight="1" x14ac:dyDescent="0.25">
      <c r="A50" s="134" t="s">
        <v>117</v>
      </c>
      <c r="B50" s="134" t="s">
        <v>333</v>
      </c>
      <c r="C50" s="134">
        <v>25</v>
      </c>
      <c r="D50" s="134" t="str">
        <f t="shared" si="0"/>
        <v>1/2" Hex BB RS-550 25</v>
      </c>
      <c r="E50" s="134">
        <v>7</v>
      </c>
      <c r="F50" s="134">
        <v>3</v>
      </c>
      <c r="J50" s="137"/>
      <c r="K50" s="137"/>
    </row>
    <row r="51" spans="1:12" ht="14.25" customHeight="1" x14ac:dyDescent="0.25">
      <c r="A51" s="134" t="s">
        <v>117</v>
      </c>
      <c r="B51" s="134" t="s">
        <v>333</v>
      </c>
      <c r="C51" s="134">
        <v>27</v>
      </c>
      <c r="D51" s="134" t="str">
        <f t="shared" si="0"/>
        <v>1/2" Hex BB RS-550 27</v>
      </c>
      <c r="E51" s="134">
        <v>7</v>
      </c>
      <c r="F51" s="134">
        <v>3</v>
      </c>
      <c r="J51" s="137"/>
      <c r="K51" s="137"/>
    </row>
    <row r="52" spans="1:12" ht="14.25" customHeight="1" x14ac:dyDescent="0.25">
      <c r="A52" s="134" t="s">
        <v>117</v>
      </c>
      <c r="B52" s="134" t="s">
        <v>333</v>
      </c>
      <c r="C52" s="134">
        <v>28</v>
      </c>
      <c r="D52" s="134" t="str">
        <f t="shared" si="0"/>
        <v>1/2" Hex BB RS-550 28</v>
      </c>
      <c r="E52" s="134">
        <v>7</v>
      </c>
      <c r="F52" s="134">
        <v>3</v>
      </c>
      <c r="I52" s="136" t="s">
        <v>309</v>
      </c>
      <c r="J52" s="137"/>
      <c r="K52" s="137"/>
    </row>
    <row r="53" spans="1:12" ht="14.25" customHeight="1" x14ac:dyDescent="0.25">
      <c r="A53" s="134" t="s">
        <v>117</v>
      </c>
      <c r="B53" s="134" t="s">
        <v>333</v>
      </c>
      <c r="C53" s="134">
        <v>30</v>
      </c>
      <c r="D53" s="134" t="str">
        <f t="shared" si="0"/>
        <v>1/2" Hex BB RS-550 30</v>
      </c>
      <c r="E53" s="134">
        <v>5</v>
      </c>
      <c r="F53" s="134">
        <v>3</v>
      </c>
      <c r="I53" s="134" t="s">
        <v>60</v>
      </c>
      <c r="J53" s="137">
        <v>14.99</v>
      </c>
      <c r="K53" s="137"/>
      <c r="L53" s="134" t="s">
        <v>310</v>
      </c>
    </row>
    <row r="54" spans="1:12" ht="14.25" customHeight="1" x14ac:dyDescent="0.25">
      <c r="A54" s="134" t="s">
        <v>117</v>
      </c>
      <c r="B54" s="134" t="s">
        <v>333</v>
      </c>
      <c r="C54" s="134">
        <v>35</v>
      </c>
      <c r="D54" s="134" t="str">
        <f t="shared" si="0"/>
        <v>1/2" Hex BB RS-550 35</v>
      </c>
      <c r="E54" s="134">
        <v>5</v>
      </c>
      <c r="F54" s="134">
        <v>1</v>
      </c>
      <c r="I54" s="134" t="s">
        <v>306</v>
      </c>
      <c r="J54" s="137">
        <v>0</v>
      </c>
      <c r="K54" s="137"/>
    </row>
    <row r="55" spans="1:12" ht="14.25" customHeight="1" x14ac:dyDescent="0.25">
      <c r="A55" s="134" t="s">
        <v>117</v>
      </c>
      <c r="B55" s="134" t="s">
        <v>333</v>
      </c>
      <c r="C55" s="134">
        <v>36</v>
      </c>
      <c r="D55" s="134" t="str">
        <f t="shared" si="0"/>
        <v>1/2" Hex BB RS-550 36</v>
      </c>
      <c r="E55" s="134">
        <v>5</v>
      </c>
      <c r="F55" s="134">
        <v>1</v>
      </c>
      <c r="J55" s="137"/>
      <c r="K55" s="137"/>
    </row>
    <row r="56" spans="1:12" ht="14.25" customHeight="1" x14ac:dyDescent="0.25">
      <c r="A56" s="134" t="s">
        <v>117</v>
      </c>
      <c r="B56" s="134" t="s">
        <v>333</v>
      </c>
      <c r="C56" s="134">
        <v>40</v>
      </c>
      <c r="D56" s="134" t="str">
        <f t="shared" si="0"/>
        <v>1/2" Hex BB RS-550 40</v>
      </c>
      <c r="E56" s="134">
        <v>5</v>
      </c>
      <c r="F56" s="134">
        <v>5</v>
      </c>
      <c r="I56" s="136" t="s">
        <v>311</v>
      </c>
      <c r="J56" s="137"/>
      <c r="K56" s="137"/>
    </row>
    <row r="57" spans="1:12" ht="14.25" customHeight="1" x14ac:dyDescent="0.25">
      <c r="A57" s="134" t="s">
        <v>117</v>
      </c>
      <c r="B57" s="134" t="s">
        <v>333</v>
      </c>
      <c r="C57" s="134">
        <v>45</v>
      </c>
      <c r="D57" s="134" t="str">
        <f t="shared" si="0"/>
        <v>1/2" Hex BB RS-550 45</v>
      </c>
      <c r="E57" s="134">
        <v>5</v>
      </c>
      <c r="F57" s="134">
        <v>4</v>
      </c>
      <c r="I57" s="134" t="s">
        <v>60</v>
      </c>
      <c r="J57" s="137">
        <v>49.99</v>
      </c>
      <c r="K57" s="137"/>
      <c r="L57" s="134" t="s">
        <v>312</v>
      </c>
    </row>
    <row r="58" spans="1:12" ht="14.25" customHeight="1" x14ac:dyDescent="0.25">
      <c r="A58" s="134" t="s">
        <v>117</v>
      </c>
      <c r="B58" s="134" t="s">
        <v>333</v>
      </c>
      <c r="C58" s="134">
        <v>49</v>
      </c>
      <c r="D58" s="134" t="str">
        <f t="shared" si="0"/>
        <v>1/2" Hex BB RS-550 49</v>
      </c>
      <c r="E58" s="134">
        <v>5</v>
      </c>
      <c r="F58" s="134">
        <v>4</v>
      </c>
      <c r="I58" s="134" t="s">
        <v>306</v>
      </c>
      <c r="J58" s="137">
        <v>0</v>
      </c>
      <c r="K58" s="137"/>
    </row>
    <row r="59" spans="1:12" ht="14.25" customHeight="1" x14ac:dyDescent="0.25">
      <c r="A59" s="134" t="s">
        <v>117</v>
      </c>
      <c r="B59" s="134" t="s">
        <v>333</v>
      </c>
      <c r="C59" s="134">
        <v>50</v>
      </c>
      <c r="D59" s="134" t="str">
        <f t="shared" si="0"/>
        <v>1/2" Hex BB RS-550 50</v>
      </c>
      <c r="E59" s="134">
        <v>5</v>
      </c>
      <c r="F59" s="134">
        <v>1</v>
      </c>
    </row>
    <row r="60" spans="1:12" ht="14.25" customHeight="1" x14ac:dyDescent="0.25">
      <c r="A60" s="134" t="s">
        <v>117</v>
      </c>
      <c r="B60" s="134" t="s">
        <v>333</v>
      </c>
      <c r="C60" s="134">
        <v>63</v>
      </c>
      <c r="D60" s="134" t="str">
        <f t="shared" si="0"/>
        <v>1/2" Hex BB RS-550 63</v>
      </c>
      <c r="E60" s="134">
        <v>4</v>
      </c>
      <c r="F60" s="134">
        <v>1</v>
      </c>
    </row>
    <row r="61" spans="1:12" ht="14.25" customHeight="1" x14ac:dyDescent="0.25">
      <c r="A61" s="134" t="s">
        <v>117</v>
      </c>
      <c r="B61" s="134" t="s">
        <v>333</v>
      </c>
      <c r="C61" s="134">
        <v>70</v>
      </c>
      <c r="D61" s="134" t="str">
        <f t="shared" si="0"/>
        <v>1/2" Hex BB RS-550 70</v>
      </c>
      <c r="E61" s="134">
        <v>4</v>
      </c>
      <c r="F61" s="134">
        <v>1</v>
      </c>
    </row>
    <row r="62" spans="1:12" ht="14.25" customHeight="1" x14ac:dyDescent="0.25">
      <c r="A62" s="134" t="s">
        <v>117</v>
      </c>
      <c r="B62" s="134" t="s">
        <v>333</v>
      </c>
      <c r="C62" s="134">
        <v>81</v>
      </c>
      <c r="D62" s="134" t="str">
        <f t="shared" si="0"/>
        <v>1/2" Hex BB RS-550 81</v>
      </c>
      <c r="E62" s="134">
        <v>3</v>
      </c>
      <c r="F62" s="134">
        <v>1</v>
      </c>
    </row>
    <row r="63" spans="1:12" ht="14.25" customHeight="1" x14ac:dyDescent="0.25">
      <c r="A63" s="134" t="s">
        <v>117</v>
      </c>
      <c r="B63" s="134" t="s">
        <v>333</v>
      </c>
      <c r="C63" s="134">
        <v>90</v>
      </c>
      <c r="D63" s="134" t="str">
        <f t="shared" si="0"/>
        <v>1/2" Hex BB RS-550 90</v>
      </c>
      <c r="E63" s="134">
        <v>3</v>
      </c>
      <c r="F63" s="134">
        <v>1</v>
      </c>
    </row>
    <row r="64" spans="1:12" ht="14.25" customHeight="1" x14ac:dyDescent="0.25">
      <c r="A64" s="134" t="s">
        <v>117</v>
      </c>
      <c r="B64" s="134" t="s">
        <v>333</v>
      </c>
      <c r="C64" s="134">
        <v>100</v>
      </c>
      <c r="D64" s="134" t="str">
        <f t="shared" si="0"/>
        <v>1/2" Hex BB RS-550 100</v>
      </c>
      <c r="E64" s="134">
        <v>3</v>
      </c>
      <c r="F64" s="134">
        <v>0</v>
      </c>
    </row>
    <row r="65" spans="1:6" ht="14.25" customHeight="1" x14ac:dyDescent="0.25">
      <c r="A65" s="134" t="s">
        <v>117</v>
      </c>
      <c r="B65" s="134" t="s">
        <v>334</v>
      </c>
      <c r="C65" s="134">
        <v>9</v>
      </c>
      <c r="D65" s="134" t="str">
        <f t="shared" si="0"/>
        <v>1/2" Hex BB RS-775 9</v>
      </c>
      <c r="E65" s="134">
        <v>10</v>
      </c>
      <c r="F65" s="134">
        <v>10</v>
      </c>
    </row>
    <row r="66" spans="1:6" ht="14.25" customHeight="1" x14ac:dyDescent="0.25">
      <c r="A66" s="134" t="s">
        <v>117</v>
      </c>
      <c r="B66" s="134" t="s">
        <v>334</v>
      </c>
      <c r="C66" s="134">
        <v>12</v>
      </c>
      <c r="D66" s="134" t="str">
        <f t="shared" si="0"/>
        <v>1/2" Hex BB RS-775 12</v>
      </c>
      <c r="E66" s="134">
        <v>10</v>
      </c>
      <c r="F66" s="134">
        <v>10</v>
      </c>
    </row>
    <row r="67" spans="1:6" ht="14.25" customHeight="1" x14ac:dyDescent="0.25">
      <c r="A67" s="134" t="s">
        <v>117</v>
      </c>
      <c r="B67" s="134" t="s">
        <v>334</v>
      </c>
      <c r="C67" s="134">
        <v>15</v>
      </c>
      <c r="D67" s="134" t="str">
        <f t="shared" si="0"/>
        <v>1/2" Hex BB RS-775 15</v>
      </c>
      <c r="E67" s="134">
        <v>7</v>
      </c>
      <c r="F67" s="134">
        <v>7</v>
      </c>
    </row>
    <row r="68" spans="1:6" ht="14.25" customHeight="1" x14ac:dyDescent="0.25">
      <c r="A68" s="134" t="s">
        <v>117</v>
      </c>
      <c r="B68" s="134" t="s">
        <v>334</v>
      </c>
      <c r="C68" s="134">
        <v>16</v>
      </c>
      <c r="D68" s="134" t="str">
        <f t="shared" si="0"/>
        <v>1/2" Hex BB RS-775 16</v>
      </c>
      <c r="E68" s="134">
        <v>7</v>
      </c>
      <c r="F68" s="134">
        <v>7</v>
      </c>
    </row>
    <row r="69" spans="1:6" ht="14.25" customHeight="1" x14ac:dyDescent="0.25">
      <c r="A69" s="134" t="s">
        <v>117</v>
      </c>
      <c r="B69" s="134" t="s">
        <v>334</v>
      </c>
      <c r="C69" s="134">
        <v>20</v>
      </c>
      <c r="D69" s="134" t="str">
        <f t="shared" si="0"/>
        <v>1/2" Hex BB RS-775 20</v>
      </c>
      <c r="E69" s="134">
        <v>5</v>
      </c>
      <c r="F69" s="134">
        <v>5</v>
      </c>
    </row>
    <row r="70" spans="1:6" ht="14.25" customHeight="1" x14ac:dyDescent="0.25">
      <c r="A70" s="134" t="s">
        <v>117</v>
      </c>
      <c r="B70" s="134" t="s">
        <v>334</v>
      </c>
      <c r="C70" s="134">
        <v>21</v>
      </c>
      <c r="D70" s="134" t="str">
        <f t="shared" si="0"/>
        <v>1/2" Hex BB RS-775 21</v>
      </c>
      <c r="E70" s="134">
        <v>5</v>
      </c>
      <c r="F70" s="134">
        <v>5</v>
      </c>
    </row>
    <row r="71" spans="1:6" ht="14.25" customHeight="1" x14ac:dyDescent="0.25">
      <c r="A71" s="134" t="s">
        <v>117</v>
      </c>
      <c r="B71" s="134" t="s">
        <v>334</v>
      </c>
      <c r="C71" s="134">
        <v>25</v>
      </c>
      <c r="D71" s="134" t="str">
        <f t="shared" si="0"/>
        <v>1/2" Hex BB RS-775 25</v>
      </c>
      <c r="E71" s="134">
        <v>5</v>
      </c>
      <c r="F71" s="134">
        <v>5</v>
      </c>
    </row>
    <row r="72" spans="1:6" ht="14.25" customHeight="1" x14ac:dyDescent="0.25">
      <c r="A72" s="134" t="s">
        <v>117</v>
      </c>
      <c r="B72" s="134" t="s">
        <v>334</v>
      </c>
      <c r="C72" s="134">
        <v>27</v>
      </c>
      <c r="D72" s="134" t="str">
        <f t="shared" si="0"/>
        <v>1/2" Hex BB RS-775 27</v>
      </c>
      <c r="E72" s="134">
        <v>5</v>
      </c>
      <c r="F72" s="134">
        <v>4</v>
      </c>
    </row>
    <row r="73" spans="1:6" ht="14.25" customHeight="1" x14ac:dyDescent="0.25">
      <c r="A73" s="134" t="s">
        <v>117</v>
      </c>
      <c r="B73" s="134" t="s">
        <v>334</v>
      </c>
      <c r="C73" s="134">
        <v>28</v>
      </c>
      <c r="D73" s="134" t="str">
        <f t="shared" si="0"/>
        <v>1/2" Hex BB RS-775 28</v>
      </c>
      <c r="E73" s="134">
        <v>5</v>
      </c>
      <c r="F73" s="134">
        <v>4</v>
      </c>
    </row>
    <row r="74" spans="1:6" ht="14.25" customHeight="1" x14ac:dyDescent="0.25">
      <c r="A74" s="134" t="s">
        <v>117</v>
      </c>
      <c r="B74" s="134" t="s">
        <v>334</v>
      </c>
      <c r="C74" s="134">
        <v>30</v>
      </c>
      <c r="D74" s="134" t="str">
        <f t="shared" si="0"/>
        <v>1/2" Hex BB RS-775 30</v>
      </c>
      <c r="E74" s="134">
        <v>5</v>
      </c>
      <c r="F74" s="134">
        <v>4</v>
      </c>
    </row>
    <row r="75" spans="1:6" ht="14.25" customHeight="1" x14ac:dyDescent="0.25">
      <c r="A75" s="134" t="s">
        <v>117</v>
      </c>
      <c r="B75" s="134" t="s">
        <v>334</v>
      </c>
      <c r="C75" s="134">
        <v>35</v>
      </c>
      <c r="D75" s="134" t="str">
        <f t="shared" si="0"/>
        <v>1/2" Hex BB RS-775 35</v>
      </c>
      <c r="E75" s="134">
        <v>5</v>
      </c>
      <c r="F75" s="134">
        <v>3</v>
      </c>
    </row>
    <row r="76" spans="1:6" ht="14.25" customHeight="1" x14ac:dyDescent="0.25">
      <c r="A76" s="134" t="s">
        <v>117</v>
      </c>
      <c r="B76" s="134" t="s">
        <v>334</v>
      </c>
      <c r="C76" s="134">
        <v>36</v>
      </c>
      <c r="D76" s="134" t="str">
        <f t="shared" si="0"/>
        <v>1/2" Hex BB RS-775 36</v>
      </c>
      <c r="E76" s="134">
        <v>5</v>
      </c>
      <c r="F76" s="134">
        <v>3</v>
      </c>
    </row>
    <row r="77" spans="1:6" ht="14.25" customHeight="1" x14ac:dyDescent="0.25">
      <c r="A77" s="134" t="s">
        <v>117</v>
      </c>
      <c r="B77" s="134" t="s">
        <v>334</v>
      </c>
      <c r="C77" s="134">
        <v>40</v>
      </c>
      <c r="D77" s="134" t="str">
        <f t="shared" si="0"/>
        <v>1/2" Hex BB RS-775 40</v>
      </c>
      <c r="E77" s="134">
        <v>4</v>
      </c>
      <c r="F77" s="134">
        <v>3</v>
      </c>
    </row>
    <row r="78" spans="1:6" ht="14.25" customHeight="1" x14ac:dyDescent="0.25">
      <c r="A78" s="134" t="s">
        <v>117</v>
      </c>
      <c r="B78" s="134" t="s">
        <v>334</v>
      </c>
      <c r="C78" s="134">
        <v>45</v>
      </c>
      <c r="D78" s="134" t="str">
        <f t="shared" si="0"/>
        <v>1/2" Hex BB RS-775 45</v>
      </c>
      <c r="E78" s="134">
        <v>4</v>
      </c>
      <c r="F78" s="134">
        <v>1</v>
      </c>
    </row>
    <row r="79" spans="1:6" ht="14.25" customHeight="1" x14ac:dyDescent="0.25">
      <c r="A79" s="134" t="s">
        <v>117</v>
      </c>
      <c r="B79" s="134" t="s">
        <v>334</v>
      </c>
      <c r="C79" s="134">
        <v>49</v>
      </c>
      <c r="D79" s="134" t="str">
        <f t="shared" si="0"/>
        <v>1/2" Hex BB RS-775 49</v>
      </c>
      <c r="E79" s="134">
        <v>4</v>
      </c>
      <c r="F79" s="134">
        <v>1</v>
      </c>
    </row>
    <row r="80" spans="1:6" ht="14.25" customHeight="1" x14ac:dyDescent="0.25">
      <c r="A80" s="134" t="s">
        <v>117</v>
      </c>
      <c r="B80" s="134" t="s">
        <v>334</v>
      </c>
      <c r="C80" s="134">
        <v>50</v>
      </c>
      <c r="D80" s="134" t="str">
        <f t="shared" si="0"/>
        <v>1/2" Hex BB RS-775 50</v>
      </c>
      <c r="E80" s="134">
        <v>3</v>
      </c>
      <c r="F80" s="134">
        <v>1</v>
      </c>
    </row>
    <row r="81" spans="1:6" ht="14.25" customHeight="1" x14ac:dyDescent="0.25">
      <c r="A81" s="134" t="s">
        <v>117</v>
      </c>
      <c r="B81" s="134" t="s">
        <v>334</v>
      </c>
      <c r="C81" s="134">
        <v>63</v>
      </c>
      <c r="D81" s="134" t="str">
        <f t="shared" si="0"/>
        <v>1/2" Hex BB RS-775 63</v>
      </c>
      <c r="E81" s="134">
        <v>3</v>
      </c>
      <c r="F81" s="134">
        <v>1</v>
      </c>
    </row>
    <row r="82" spans="1:6" ht="14.25" customHeight="1" x14ac:dyDescent="0.25">
      <c r="A82" s="134" t="s">
        <v>117</v>
      </c>
      <c r="B82" s="134" t="s">
        <v>334</v>
      </c>
      <c r="C82" s="134">
        <v>70</v>
      </c>
      <c r="D82" s="134" t="str">
        <f t="shared" si="0"/>
        <v>1/2" Hex BB RS-775 70</v>
      </c>
      <c r="E82" s="134">
        <v>1</v>
      </c>
      <c r="F82" s="134">
        <v>1</v>
      </c>
    </row>
    <row r="83" spans="1:6" ht="14.25" customHeight="1" x14ac:dyDescent="0.25">
      <c r="A83" s="134" t="s">
        <v>117</v>
      </c>
      <c r="B83" s="134" t="s">
        <v>334</v>
      </c>
      <c r="C83" s="134">
        <v>81</v>
      </c>
      <c r="D83" s="134" t="str">
        <f t="shared" si="0"/>
        <v>1/2" Hex BB RS-775 81</v>
      </c>
      <c r="E83" s="134">
        <v>1</v>
      </c>
      <c r="F83" s="134">
        <v>1</v>
      </c>
    </row>
    <row r="84" spans="1:6" ht="14.25" customHeight="1" x14ac:dyDescent="0.25">
      <c r="A84" s="134" t="s">
        <v>117</v>
      </c>
      <c r="B84" s="134" t="s">
        <v>334</v>
      </c>
      <c r="C84" s="134">
        <v>90</v>
      </c>
      <c r="D84" s="134" t="str">
        <f t="shared" si="0"/>
        <v>1/2" Hex BB RS-775 90</v>
      </c>
      <c r="E84" s="134">
        <v>1</v>
      </c>
      <c r="F84" s="134">
        <v>1</v>
      </c>
    </row>
    <row r="85" spans="1:6" ht="14.25" customHeight="1" x14ac:dyDescent="0.25">
      <c r="A85" s="134" t="s">
        <v>117</v>
      </c>
      <c r="B85" s="134" t="s">
        <v>334</v>
      </c>
      <c r="C85" s="134">
        <v>100</v>
      </c>
      <c r="D85" s="134" t="str">
        <f t="shared" si="0"/>
        <v>1/2" Hex BB RS-775 100</v>
      </c>
      <c r="E85" s="134">
        <v>1</v>
      </c>
      <c r="F85" s="134">
        <v>1</v>
      </c>
    </row>
    <row r="86" spans="1:6" ht="14.25" customHeight="1" x14ac:dyDescent="0.25">
      <c r="A86" s="134" t="s">
        <v>117</v>
      </c>
      <c r="B86" s="134" t="s">
        <v>257</v>
      </c>
      <c r="C86" s="134">
        <v>9</v>
      </c>
      <c r="D86" s="134" t="str">
        <f t="shared" si="0"/>
        <v>1/2" Hex BAG 9</v>
      </c>
      <c r="E86" s="134">
        <v>10</v>
      </c>
      <c r="F86" s="134">
        <v>9</v>
      </c>
    </row>
    <row r="87" spans="1:6" ht="14.25" customHeight="1" x14ac:dyDescent="0.25">
      <c r="A87" s="134" t="s">
        <v>117</v>
      </c>
      <c r="B87" s="134" t="s">
        <v>257</v>
      </c>
      <c r="C87" s="134">
        <v>12</v>
      </c>
      <c r="D87" s="134" t="str">
        <f t="shared" si="0"/>
        <v>1/2" Hex BAG 12</v>
      </c>
      <c r="E87" s="134">
        <v>10</v>
      </c>
      <c r="F87" s="134">
        <v>5</v>
      </c>
    </row>
    <row r="88" spans="1:6" ht="14.25" customHeight="1" x14ac:dyDescent="0.25">
      <c r="A88" s="134" t="s">
        <v>117</v>
      </c>
      <c r="B88" s="134" t="s">
        <v>257</v>
      </c>
      <c r="C88" s="134">
        <v>15</v>
      </c>
      <c r="D88" s="134" t="str">
        <f t="shared" si="0"/>
        <v>1/2" Hex BAG 15</v>
      </c>
      <c r="E88" s="134">
        <v>10</v>
      </c>
      <c r="F88" s="134">
        <v>5</v>
      </c>
    </row>
    <row r="89" spans="1:6" ht="14.25" customHeight="1" x14ac:dyDescent="0.25">
      <c r="A89" s="134" t="s">
        <v>117</v>
      </c>
      <c r="B89" s="134" t="s">
        <v>257</v>
      </c>
      <c r="C89" s="134">
        <v>16</v>
      </c>
      <c r="D89" s="134" t="str">
        <f t="shared" si="0"/>
        <v>1/2" Hex BAG 16</v>
      </c>
      <c r="E89" s="134">
        <v>10</v>
      </c>
      <c r="F89" s="134">
        <v>5</v>
      </c>
    </row>
    <row r="90" spans="1:6" ht="14.25" customHeight="1" x14ac:dyDescent="0.25">
      <c r="A90" s="134" t="s">
        <v>117</v>
      </c>
      <c r="B90" s="134" t="s">
        <v>257</v>
      </c>
      <c r="C90" s="134">
        <v>20</v>
      </c>
      <c r="D90" s="134" t="str">
        <f t="shared" si="0"/>
        <v>1/2" Hex BAG 20</v>
      </c>
      <c r="E90" s="134">
        <v>10</v>
      </c>
      <c r="F90" s="134">
        <v>4</v>
      </c>
    </row>
    <row r="91" spans="1:6" ht="14.25" customHeight="1" x14ac:dyDescent="0.25">
      <c r="A91" s="134" t="s">
        <v>117</v>
      </c>
      <c r="B91" s="134" t="s">
        <v>257</v>
      </c>
      <c r="C91" s="134">
        <v>21</v>
      </c>
      <c r="D91" s="134" t="str">
        <f t="shared" si="0"/>
        <v>1/2" Hex BAG 21</v>
      </c>
      <c r="E91" s="134">
        <v>10</v>
      </c>
      <c r="F91" s="134">
        <v>3</v>
      </c>
    </row>
    <row r="92" spans="1:6" ht="14.25" customHeight="1" x14ac:dyDescent="0.25">
      <c r="A92" s="134" t="s">
        <v>117</v>
      </c>
      <c r="B92" s="134" t="s">
        <v>257</v>
      </c>
      <c r="C92" s="134">
        <v>25</v>
      </c>
      <c r="D92" s="134" t="str">
        <f t="shared" si="0"/>
        <v>1/2" Hex BAG 25</v>
      </c>
      <c r="E92" s="134">
        <v>7</v>
      </c>
      <c r="F92" s="134">
        <v>3</v>
      </c>
    </row>
    <row r="93" spans="1:6" ht="14.25" customHeight="1" x14ac:dyDescent="0.25">
      <c r="A93" s="134" t="s">
        <v>117</v>
      </c>
      <c r="B93" s="134" t="s">
        <v>257</v>
      </c>
      <c r="C93" s="134">
        <v>27</v>
      </c>
      <c r="D93" s="134" t="str">
        <f t="shared" si="0"/>
        <v>1/2" Hex BAG 27</v>
      </c>
      <c r="E93" s="134">
        <v>7</v>
      </c>
      <c r="F93" s="134">
        <v>3</v>
      </c>
    </row>
    <row r="94" spans="1:6" ht="14.25" customHeight="1" x14ac:dyDescent="0.25">
      <c r="A94" s="134" t="s">
        <v>117</v>
      </c>
      <c r="B94" s="134" t="s">
        <v>257</v>
      </c>
      <c r="C94" s="134">
        <v>28</v>
      </c>
      <c r="D94" s="134" t="str">
        <f t="shared" si="0"/>
        <v>1/2" Hex BAG 28</v>
      </c>
      <c r="E94" s="134">
        <v>7</v>
      </c>
      <c r="F94" s="134">
        <v>1</v>
      </c>
    </row>
    <row r="95" spans="1:6" ht="14.25" customHeight="1" x14ac:dyDescent="0.25">
      <c r="A95" s="134" t="s">
        <v>117</v>
      </c>
      <c r="B95" s="134" t="s">
        <v>257</v>
      </c>
      <c r="C95" s="134">
        <v>30</v>
      </c>
      <c r="D95" s="134" t="str">
        <f t="shared" si="0"/>
        <v>1/2" Hex BAG 30</v>
      </c>
      <c r="E95" s="134">
        <v>7</v>
      </c>
      <c r="F95" s="134">
        <v>1</v>
      </c>
    </row>
    <row r="96" spans="1:6" ht="14.25" customHeight="1" x14ac:dyDescent="0.25">
      <c r="A96" s="134" t="s">
        <v>117</v>
      </c>
      <c r="B96" s="134" t="s">
        <v>257</v>
      </c>
      <c r="C96" s="134">
        <v>35</v>
      </c>
      <c r="D96" s="134" t="str">
        <f t="shared" si="0"/>
        <v>1/2" Hex BAG 35</v>
      </c>
      <c r="E96" s="134">
        <v>5</v>
      </c>
      <c r="F96" s="134">
        <v>1</v>
      </c>
    </row>
    <row r="97" spans="1:6" ht="14.25" customHeight="1" x14ac:dyDescent="0.25">
      <c r="A97" s="134" t="s">
        <v>117</v>
      </c>
      <c r="B97" s="134" t="s">
        <v>257</v>
      </c>
      <c r="C97" s="134">
        <v>36</v>
      </c>
      <c r="D97" s="134" t="str">
        <f t="shared" si="0"/>
        <v>1/2" Hex BAG 36</v>
      </c>
      <c r="E97" s="134">
        <v>5</v>
      </c>
      <c r="F97" s="134">
        <v>1</v>
      </c>
    </row>
    <row r="98" spans="1:6" ht="14.25" customHeight="1" x14ac:dyDescent="0.25">
      <c r="A98" s="134" t="s">
        <v>117</v>
      </c>
      <c r="B98" s="134" t="s">
        <v>257</v>
      </c>
      <c r="C98" s="134">
        <v>40</v>
      </c>
      <c r="D98" s="134" t="str">
        <f t="shared" si="0"/>
        <v>1/2" Hex BAG 40</v>
      </c>
      <c r="E98" s="134">
        <v>5</v>
      </c>
      <c r="F98" s="134">
        <v>1</v>
      </c>
    </row>
    <row r="99" spans="1:6" ht="14.25" customHeight="1" x14ac:dyDescent="0.25">
      <c r="A99" s="134" t="s">
        <v>117</v>
      </c>
      <c r="B99" s="134" t="s">
        <v>257</v>
      </c>
      <c r="C99" s="134">
        <v>45</v>
      </c>
      <c r="D99" s="134" t="str">
        <f t="shared" si="0"/>
        <v>1/2" Hex BAG 45</v>
      </c>
      <c r="E99" s="134">
        <v>5</v>
      </c>
      <c r="F99" s="134">
        <v>1</v>
      </c>
    </row>
    <row r="100" spans="1:6" ht="14.25" customHeight="1" x14ac:dyDescent="0.25">
      <c r="A100" s="134" t="s">
        <v>117</v>
      </c>
      <c r="B100" s="134" t="s">
        <v>257</v>
      </c>
      <c r="C100" s="134">
        <v>49</v>
      </c>
      <c r="D100" s="134" t="str">
        <f t="shared" si="0"/>
        <v>1/2" Hex BAG 49</v>
      </c>
      <c r="E100" s="134">
        <v>5</v>
      </c>
      <c r="F100" s="134">
        <v>1</v>
      </c>
    </row>
    <row r="101" spans="1:6" ht="14.25" customHeight="1" x14ac:dyDescent="0.25">
      <c r="A101" s="134" t="s">
        <v>117</v>
      </c>
      <c r="B101" s="134" t="s">
        <v>257</v>
      </c>
      <c r="C101" s="134">
        <v>50</v>
      </c>
      <c r="D101" s="134" t="str">
        <f t="shared" si="0"/>
        <v>1/2" Hex BAG 50</v>
      </c>
      <c r="E101" s="134">
        <v>5</v>
      </c>
      <c r="F101" s="134">
        <v>1</v>
      </c>
    </row>
    <row r="102" spans="1:6" ht="14.25" customHeight="1" x14ac:dyDescent="0.25">
      <c r="A102" s="134" t="s">
        <v>117</v>
      </c>
      <c r="B102" s="134" t="s">
        <v>257</v>
      </c>
      <c r="C102" s="134">
        <v>63</v>
      </c>
      <c r="D102" s="134" t="str">
        <f t="shared" si="0"/>
        <v>1/2" Hex BAG 63</v>
      </c>
      <c r="E102" s="134">
        <v>5</v>
      </c>
      <c r="F102" s="134">
        <v>1</v>
      </c>
    </row>
    <row r="103" spans="1:6" ht="14.25" customHeight="1" x14ac:dyDescent="0.25">
      <c r="A103" s="134" t="s">
        <v>117</v>
      </c>
      <c r="B103" s="134" t="s">
        <v>257</v>
      </c>
      <c r="C103" s="134">
        <v>70</v>
      </c>
      <c r="D103" s="134" t="str">
        <f t="shared" si="0"/>
        <v>1/2" Hex BAG 70</v>
      </c>
      <c r="E103" s="134">
        <v>4</v>
      </c>
      <c r="F103" s="134">
        <v>1</v>
      </c>
    </row>
    <row r="104" spans="1:6" ht="14.25" customHeight="1" x14ac:dyDescent="0.25">
      <c r="A104" s="134" t="s">
        <v>117</v>
      </c>
      <c r="B104" s="134" t="s">
        <v>257</v>
      </c>
      <c r="C104" s="134">
        <v>81</v>
      </c>
      <c r="D104" s="134" t="str">
        <f t="shared" si="0"/>
        <v>1/2" Hex BAG 81</v>
      </c>
      <c r="E104" s="134">
        <v>4</v>
      </c>
      <c r="F104" s="134">
        <v>1</v>
      </c>
    </row>
    <row r="105" spans="1:6" ht="14.25" customHeight="1" x14ac:dyDescent="0.25">
      <c r="A105" s="134" t="s">
        <v>117</v>
      </c>
      <c r="B105" s="134" t="s">
        <v>257</v>
      </c>
      <c r="C105" s="134">
        <v>90</v>
      </c>
      <c r="D105" s="134" t="str">
        <f t="shared" si="0"/>
        <v>1/2" Hex BAG 90</v>
      </c>
      <c r="E105" s="134">
        <v>3</v>
      </c>
      <c r="F105" s="134">
        <v>0</v>
      </c>
    </row>
    <row r="106" spans="1:6" ht="14.25" customHeight="1" x14ac:dyDescent="0.25">
      <c r="A106" s="134" t="s">
        <v>117</v>
      </c>
      <c r="B106" s="134" t="s">
        <v>257</v>
      </c>
      <c r="C106" s="134">
        <v>100</v>
      </c>
      <c r="D106" s="134" t="str">
        <f t="shared" si="0"/>
        <v>1/2" Hex BAG 100</v>
      </c>
      <c r="E106" s="134">
        <v>3</v>
      </c>
      <c r="F106" s="134">
        <v>0</v>
      </c>
    </row>
    <row r="107" spans="1:6" ht="14.25" customHeight="1" x14ac:dyDescent="0.25">
      <c r="A107" s="134" t="s">
        <v>117</v>
      </c>
      <c r="B107" s="134" t="s">
        <v>7</v>
      </c>
      <c r="C107" s="134">
        <v>9</v>
      </c>
      <c r="D107" s="134" t="str">
        <f t="shared" si="0"/>
        <v>1/2" Hex Mini CIM 9</v>
      </c>
      <c r="E107" s="134">
        <v>7</v>
      </c>
      <c r="F107" s="134">
        <v>0</v>
      </c>
    </row>
    <row r="108" spans="1:6" ht="14.25" customHeight="1" x14ac:dyDescent="0.25">
      <c r="A108" s="134" t="s">
        <v>117</v>
      </c>
      <c r="B108" s="134" t="s">
        <v>7</v>
      </c>
      <c r="C108" s="134">
        <v>12</v>
      </c>
      <c r="D108" s="134" t="str">
        <f t="shared" si="0"/>
        <v>1/2" Hex Mini CIM 12</v>
      </c>
      <c r="E108" s="134">
        <v>5</v>
      </c>
      <c r="F108" s="134">
        <v>0</v>
      </c>
    </row>
    <row r="109" spans="1:6" ht="14.25" customHeight="1" x14ac:dyDescent="0.25">
      <c r="A109" s="134" t="s">
        <v>117</v>
      </c>
      <c r="B109" s="134" t="s">
        <v>7</v>
      </c>
      <c r="C109" s="134">
        <v>15</v>
      </c>
      <c r="D109" s="134" t="str">
        <f t="shared" si="0"/>
        <v>1/2" Hex Mini CIM 15</v>
      </c>
      <c r="E109" s="134">
        <v>5</v>
      </c>
      <c r="F109" s="134">
        <v>0</v>
      </c>
    </row>
    <row r="110" spans="1:6" ht="14.25" customHeight="1" x14ac:dyDescent="0.25">
      <c r="A110" s="134" t="s">
        <v>117</v>
      </c>
      <c r="B110" s="134" t="s">
        <v>7</v>
      </c>
      <c r="C110" s="134">
        <v>16</v>
      </c>
      <c r="D110" s="134" t="str">
        <f t="shared" si="0"/>
        <v>1/2" Hex Mini CIM 16</v>
      </c>
      <c r="E110" s="134">
        <v>5</v>
      </c>
      <c r="F110" s="134">
        <v>0</v>
      </c>
    </row>
    <row r="111" spans="1:6" ht="14.25" customHeight="1" x14ac:dyDescent="0.25">
      <c r="A111" s="134" t="s">
        <v>117</v>
      </c>
      <c r="B111" s="134" t="s">
        <v>7</v>
      </c>
      <c r="C111" s="134">
        <v>20</v>
      </c>
      <c r="D111" s="134" t="str">
        <f t="shared" si="0"/>
        <v>1/2" Hex Mini CIM 20</v>
      </c>
      <c r="E111" s="134">
        <v>5</v>
      </c>
      <c r="F111" s="134">
        <v>0</v>
      </c>
    </row>
    <row r="112" spans="1:6" ht="14.25" customHeight="1" x14ac:dyDescent="0.25">
      <c r="A112" s="134" t="s">
        <v>117</v>
      </c>
      <c r="B112" s="134" t="s">
        <v>7</v>
      </c>
      <c r="C112" s="134">
        <v>21</v>
      </c>
      <c r="D112" s="134" t="str">
        <f t="shared" si="0"/>
        <v>1/2" Hex Mini CIM 21</v>
      </c>
      <c r="E112" s="134">
        <v>5</v>
      </c>
      <c r="F112" s="134">
        <v>0</v>
      </c>
    </row>
    <row r="113" spans="1:6" ht="14.25" customHeight="1" x14ac:dyDescent="0.25">
      <c r="A113" s="134" t="s">
        <v>117</v>
      </c>
      <c r="B113" s="134" t="s">
        <v>7</v>
      </c>
      <c r="C113" s="134">
        <v>25</v>
      </c>
      <c r="D113" s="134" t="str">
        <f t="shared" si="0"/>
        <v>1/2" Hex Mini CIM 25</v>
      </c>
      <c r="E113" s="134">
        <v>4</v>
      </c>
      <c r="F113" s="134">
        <v>0</v>
      </c>
    </row>
    <row r="114" spans="1:6" ht="14.25" customHeight="1" x14ac:dyDescent="0.25">
      <c r="A114" s="134" t="s">
        <v>117</v>
      </c>
      <c r="B114" s="134" t="s">
        <v>7</v>
      </c>
      <c r="C114" s="134">
        <v>27</v>
      </c>
      <c r="D114" s="134" t="str">
        <f t="shared" si="0"/>
        <v>1/2" Hex Mini CIM 27</v>
      </c>
      <c r="E114" s="134">
        <v>4</v>
      </c>
      <c r="F114" s="134">
        <v>0</v>
      </c>
    </row>
    <row r="115" spans="1:6" ht="14.25" customHeight="1" x14ac:dyDescent="0.25">
      <c r="A115" s="134" t="s">
        <v>117</v>
      </c>
      <c r="B115" s="134" t="s">
        <v>7</v>
      </c>
      <c r="C115" s="134">
        <v>28</v>
      </c>
      <c r="D115" s="134" t="str">
        <f t="shared" si="0"/>
        <v>1/2" Hex Mini CIM 28</v>
      </c>
      <c r="E115" s="134">
        <v>3</v>
      </c>
      <c r="F115" s="134">
        <v>0</v>
      </c>
    </row>
    <row r="116" spans="1:6" ht="14.25" customHeight="1" x14ac:dyDescent="0.25">
      <c r="A116" s="134" t="s">
        <v>117</v>
      </c>
      <c r="B116" s="134" t="s">
        <v>7</v>
      </c>
      <c r="C116" s="134">
        <v>30</v>
      </c>
      <c r="D116" s="134" t="str">
        <f t="shared" si="0"/>
        <v>1/2" Hex Mini CIM 30</v>
      </c>
      <c r="E116" s="134">
        <v>3</v>
      </c>
      <c r="F116" s="134">
        <v>0</v>
      </c>
    </row>
    <row r="117" spans="1:6" ht="14.25" customHeight="1" x14ac:dyDescent="0.25">
      <c r="A117" s="134" t="s">
        <v>117</v>
      </c>
      <c r="B117" s="134" t="s">
        <v>7</v>
      </c>
      <c r="C117" s="134">
        <v>35</v>
      </c>
      <c r="D117" s="134" t="str">
        <f t="shared" si="0"/>
        <v>1/2" Hex Mini CIM 35</v>
      </c>
      <c r="E117" s="134">
        <v>3</v>
      </c>
      <c r="F117" s="134">
        <v>0</v>
      </c>
    </row>
    <row r="118" spans="1:6" ht="14.25" customHeight="1" x14ac:dyDescent="0.25">
      <c r="A118" s="134" t="s">
        <v>117</v>
      </c>
      <c r="B118" s="134" t="s">
        <v>7</v>
      </c>
      <c r="C118" s="134">
        <v>36</v>
      </c>
      <c r="D118" s="134" t="str">
        <f t="shared" si="0"/>
        <v>1/2" Hex Mini CIM 36</v>
      </c>
      <c r="E118" s="134">
        <v>1</v>
      </c>
      <c r="F118" s="134">
        <v>0</v>
      </c>
    </row>
    <row r="119" spans="1:6" ht="14.25" customHeight="1" x14ac:dyDescent="0.25">
      <c r="A119" s="134" t="s">
        <v>117</v>
      </c>
      <c r="B119" s="134" t="s">
        <v>7</v>
      </c>
      <c r="C119" s="134">
        <v>40</v>
      </c>
      <c r="D119" s="134" t="str">
        <f t="shared" si="0"/>
        <v>1/2" Hex Mini CIM 40</v>
      </c>
      <c r="E119" s="134">
        <v>1</v>
      </c>
      <c r="F119" s="134">
        <v>0</v>
      </c>
    </row>
    <row r="120" spans="1:6" ht="14.25" customHeight="1" x14ac:dyDescent="0.25">
      <c r="A120" s="134" t="s">
        <v>117</v>
      </c>
      <c r="B120" s="134" t="s">
        <v>7</v>
      </c>
      <c r="C120" s="134">
        <v>45</v>
      </c>
      <c r="D120" s="134" t="str">
        <f t="shared" si="0"/>
        <v>1/2" Hex Mini CIM 45</v>
      </c>
      <c r="E120" s="134">
        <v>1</v>
      </c>
      <c r="F120" s="134">
        <v>0</v>
      </c>
    </row>
    <row r="121" spans="1:6" ht="14.25" customHeight="1" x14ac:dyDescent="0.25">
      <c r="A121" s="134" t="s">
        <v>117</v>
      </c>
      <c r="B121" s="134" t="s">
        <v>7</v>
      </c>
      <c r="C121" s="134">
        <v>49</v>
      </c>
      <c r="D121" s="134" t="str">
        <f t="shared" si="0"/>
        <v>1/2" Hex Mini CIM 49</v>
      </c>
      <c r="E121" s="134">
        <v>1</v>
      </c>
      <c r="F121" s="134">
        <v>0</v>
      </c>
    </row>
    <row r="122" spans="1:6" ht="14.25" customHeight="1" x14ac:dyDescent="0.25">
      <c r="A122" s="134" t="s">
        <v>117</v>
      </c>
      <c r="B122" s="134" t="s">
        <v>7</v>
      </c>
      <c r="C122" s="134">
        <v>50</v>
      </c>
      <c r="D122" s="134" t="str">
        <f t="shared" si="0"/>
        <v>1/2" Hex Mini CIM 50</v>
      </c>
      <c r="E122" s="134">
        <v>1</v>
      </c>
      <c r="F122" s="134">
        <v>0</v>
      </c>
    </row>
    <row r="123" spans="1:6" ht="14.25" customHeight="1" x14ac:dyDescent="0.25">
      <c r="A123" s="134" t="s">
        <v>117</v>
      </c>
      <c r="B123" s="134" t="s">
        <v>7</v>
      </c>
      <c r="C123" s="134">
        <v>63</v>
      </c>
      <c r="D123" s="134" t="str">
        <f t="shared" si="0"/>
        <v>1/2" Hex Mini CIM 63</v>
      </c>
      <c r="E123" s="134">
        <v>1</v>
      </c>
      <c r="F123" s="134">
        <v>0</v>
      </c>
    </row>
    <row r="124" spans="1:6" ht="14.25" customHeight="1" x14ac:dyDescent="0.25">
      <c r="A124" s="134" t="s">
        <v>117</v>
      </c>
      <c r="B124" s="134" t="s">
        <v>7</v>
      </c>
      <c r="C124" s="134">
        <v>70</v>
      </c>
      <c r="D124" s="134" t="str">
        <f t="shared" si="0"/>
        <v>1/2" Hex Mini CIM 70</v>
      </c>
      <c r="E124" s="134">
        <v>0</v>
      </c>
      <c r="F124" s="134">
        <v>0</v>
      </c>
    </row>
    <row r="125" spans="1:6" ht="14.25" customHeight="1" x14ac:dyDescent="0.25">
      <c r="A125" s="134" t="s">
        <v>117</v>
      </c>
      <c r="B125" s="134" t="s">
        <v>7</v>
      </c>
      <c r="C125" s="134">
        <v>81</v>
      </c>
      <c r="D125" s="134" t="str">
        <f t="shared" si="0"/>
        <v>1/2" Hex Mini CIM 81</v>
      </c>
      <c r="E125" s="134">
        <v>0</v>
      </c>
      <c r="F125" s="134">
        <v>0</v>
      </c>
    </row>
    <row r="126" spans="1:6" ht="14.25" customHeight="1" x14ac:dyDescent="0.25">
      <c r="A126" s="134" t="s">
        <v>117</v>
      </c>
      <c r="B126" s="134" t="s">
        <v>7</v>
      </c>
      <c r="C126" s="134">
        <v>90</v>
      </c>
      <c r="D126" s="134" t="str">
        <f t="shared" si="0"/>
        <v>1/2" Hex Mini CIM 90</v>
      </c>
      <c r="E126" s="134">
        <v>0</v>
      </c>
      <c r="F126" s="134">
        <v>0</v>
      </c>
    </row>
    <row r="127" spans="1:6" ht="14.25" customHeight="1" x14ac:dyDescent="0.25">
      <c r="A127" s="134" t="s">
        <v>117</v>
      </c>
      <c r="B127" s="134" t="s">
        <v>7</v>
      </c>
      <c r="C127" s="134">
        <v>100</v>
      </c>
      <c r="D127" s="134" t="str">
        <f t="shared" si="0"/>
        <v>1/2" Hex Mini CIM 100</v>
      </c>
      <c r="E127" s="134">
        <v>0</v>
      </c>
      <c r="F127" s="134">
        <v>0</v>
      </c>
    </row>
    <row r="128" spans="1:6" ht="14.25" customHeight="1" x14ac:dyDescent="0.25">
      <c r="A128" s="134" t="s">
        <v>117</v>
      </c>
      <c r="B128" s="134" t="s">
        <v>6</v>
      </c>
      <c r="C128" s="134">
        <v>9</v>
      </c>
      <c r="D128" s="134" t="str">
        <f t="shared" si="0"/>
        <v>1/2" Hex CIM 9</v>
      </c>
      <c r="E128" s="134">
        <v>5</v>
      </c>
      <c r="F128" s="134">
        <v>0</v>
      </c>
    </row>
    <row r="129" spans="1:6" ht="14.25" customHeight="1" x14ac:dyDescent="0.25">
      <c r="A129" s="134" t="s">
        <v>117</v>
      </c>
      <c r="B129" s="134" t="s">
        <v>6</v>
      </c>
      <c r="C129" s="134">
        <v>12</v>
      </c>
      <c r="D129" s="134" t="str">
        <f t="shared" si="0"/>
        <v>1/2" Hex CIM 12</v>
      </c>
      <c r="E129" s="134">
        <v>5</v>
      </c>
      <c r="F129" s="134">
        <v>0</v>
      </c>
    </row>
    <row r="130" spans="1:6" ht="14.25" customHeight="1" x14ac:dyDescent="0.25">
      <c r="A130" s="134" t="s">
        <v>117</v>
      </c>
      <c r="B130" s="134" t="s">
        <v>6</v>
      </c>
      <c r="C130" s="134">
        <v>15</v>
      </c>
      <c r="D130" s="134" t="str">
        <f t="shared" si="0"/>
        <v>1/2" Hex CIM 15</v>
      </c>
      <c r="E130" s="134">
        <v>4</v>
      </c>
      <c r="F130" s="134">
        <v>0</v>
      </c>
    </row>
    <row r="131" spans="1:6" ht="14.25" customHeight="1" x14ac:dyDescent="0.25">
      <c r="A131" s="134" t="s">
        <v>117</v>
      </c>
      <c r="B131" s="134" t="s">
        <v>6</v>
      </c>
      <c r="C131" s="134">
        <v>16</v>
      </c>
      <c r="D131" s="134" t="str">
        <f t="shared" si="0"/>
        <v>1/2" Hex CIM 16</v>
      </c>
      <c r="E131" s="134">
        <v>4</v>
      </c>
      <c r="F131" s="134">
        <v>0</v>
      </c>
    </row>
    <row r="132" spans="1:6" ht="14.25" customHeight="1" x14ac:dyDescent="0.25">
      <c r="A132" s="134" t="s">
        <v>117</v>
      </c>
      <c r="B132" s="134" t="s">
        <v>6</v>
      </c>
      <c r="C132" s="134">
        <v>20</v>
      </c>
      <c r="D132" s="134" t="str">
        <f t="shared" si="0"/>
        <v>1/2" Hex CIM 20</v>
      </c>
      <c r="E132" s="134">
        <v>3</v>
      </c>
      <c r="F132" s="134">
        <v>0</v>
      </c>
    </row>
    <row r="133" spans="1:6" ht="14.25" customHeight="1" x14ac:dyDescent="0.25">
      <c r="A133" s="134" t="s">
        <v>117</v>
      </c>
      <c r="B133" s="134" t="s">
        <v>6</v>
      </c>
      <c r="C133" s="134">
        <v>21</v>
      </c>
      <c r="D133" s="134" t="str">
        <f t="shared" si="0"/>
        <v>1/2" Hex CIM 21</v>
      </c>
      <c r="E133" s="134">
        <v>3</v>
      </c>
      <c r="F133" s="134">
        <v>0</v>
      </c>
    </row>
    <row r="134" spans="1:6" ht="14.25" customHeight="1" x14ac:dyDescent="0.25">
      <c r="A134" s="134" t="s">
        <v>117</v>
      </c>
      <c r="B134" s="134" t="s">
        <v>6</v>
      </c>
      <c r="C134" s="134">
        <v>25</v>
      </c>
      <c r="D134" s="134" t="str">
        <f t="shared" si="0"/>
        <v>1/2" Hex CIM 25</v>
      </c>
      <c r="E134" s="134">
        <v>1</v>
      </c>
      <c r="F134" s="134">
        <v>0</v>
      </c>
    </row>
    <row r="135" spans="1:6" ht="14.25" customHeight="1" x14ac:dyDescent="0.25">
      <c r="A135" s="134" t="s">
        <v>117</v>
      </c>
      <c r="B135" s="134" t="s">
        <v>6</v>
      </c>
      <c r="C135" s="134">
        <v>27</v>
      </c>
      <c r="D135" s="134" t="str">
        <f t="shared" si="0"/>
        <v>1/2" Hex CIM 27</v>
      </c>
      <c r="E135" s="134">
        <v>1</v>
      </c>
      <c r="F135" s="134">
        <v>0</v>
      </c>
    </row>
    <row r="136" spans="1:6" ht="14.25" customHeight="1" x14ac:dyDescent="0.25">
      <c r="A136" s="134" t="s">
        <v>117</v>
      </c>
      <c r="B136" s="134" t="s">
        <v>6</v>
      </c>
      <c r="C136" s="134">
        <v>28</v>
      </c>
      <c r="D136" s="134" t="str">
        <f t="shared" si="0"/>
        <v>1/2" Hex CIM 28</v>
      </c>
      <c r="E136" s="134">
        <v>1</v>
      </c>
      <c r="F136" s="134">
        <v>0</v>
      </c>
    </row>
    <row r="137" spans="1:6" ht="14.25" customHeight="1" x14ac:dyDescent="0.25">
      <c r="A137" s="134" t="s">
        <v>117</v>
      </c>
      <c r="B137" s="134" t="s">
        <v>6</v>
      </c>
      <c r="C137" s="134">
        <v>30</v>
      </c>
      <c r="D137" s="134" t="str">
        <f t="shared" si="0"/>
        <v>1/2" Hex CIM 30</v>
      </c>
      <c r="E137" s="134">
        <v>1</v>
      </c>
      <c r="F137" s="134">
        <v>0</v>
      </c>
    </row>
    <row r="138" spans="1:6" ht="14.25" customHeight="1" x14ac:dyDescent="0.25">
      <c r="A138" s="134" t="s">
        <v>117</v>
      </c>
      <c r="B138" s="134" t="s">
        <v>6</v>
      </c>
      <c r="C138" s="134">
        <v>35</v>
      </c>
      <c r="D138" s="134" t="str">
        <f t="shared" si="0"/>
        <v>1/2" Hex CIM 35</v>
      </c>
      <c r="E138" s="134">
        <v>1</v>
      </c>
      <c r="F138" s="134">
        <v>0</v>
      </c>
    </row>
    <row r="139" spans="1:6" ht="14.25" customHeight="1" x14ac:dyDescent="0.25">
      <c r="A139" s="134" t="s">
        <v>117</v>
      </c>
      <c r="B139" s="134" t="s">
        <v>6</v>
      </c>
      <c r="C139" s="134">
        <v>36</v>
      </c>
      <c r="D139" s="134" t="str">
        <f t="shared" si="0"/>
        <v>1/2" Hex CIM 36</v>
      </c>
      <c r="E139" s="134">
        <v>1</v>
      </c>
      <c r="F139" s="134">
        <v>0</v>
      </c>
    </row>
    <row r="140" spans="1:6" ht="14.25" customHeight="1" x14ac:dyDescent="0.25">
      <c r="A140" s="134" t="s">
        <v>117</v>
      </c>
      <c r="B140" s="134" t="s">
        <v>6</v>
      </c>
      <c r="C140" s="134">
        <v>40</v>
      </c>
      <c r="D140" s="134" t="str">
        <f t="shared" si="0"/>
        <v>1/2" Hex CIM 40</v>
      </c>
      <c r="E140" s="134">
        <v>1</v>
      </c>
      <c r="F140" s="134">
        <v>0</v>
      </c>
    </row>
    <row r="141" spans="1:6" ht="14.25" customHeight="1" x14ac:dyDescent="0.25">
      <c r="A141" s="134" t="s">
        <v>117</v>
      </c>
      <c r="B141" s="134" t="s">
        <v>6</v>
      </c>
      <c r="C141" s="134">
        <v>45</v>
      </c>
      <c r="D141" s="134" t="str">
        <f t="shared" si="0"/>
        <v>1/2" Hex CIM 45</v>
      </c>
      <c r="E141" s="134">
        <v>0</v>
      </c>
      <c r="F141" s="134">
        <v>0</v>
      </c>
    </row>
    <row r="142" spans="1:6" ht="14.25" customHeight="1" x14ac:dyDescent="0.25">
      <c r="A142" s="134" t="s">
        <v>117</v>
      </c>
      <c r="B142" s="134" t="s">
        <v>6</v>
      </c>
      <c r="C142" s="134">
        <v>49</v>
      </c>
      <c r="D142" s="134" t="str">
        <f t="shared" si="0"/>
        <v>1/2" Hex CIM 49</v>
      </c>
      <c r="E142" s="134">
        <v>0</v>
      </c>
      <c r="F142" s="134">
        <v>0</v>
      </c>
    </row>
    <row r="143" spans="1:6" ht="14.25" customHeight="1" x14ac:dyDescent="0.25">
      <c r="A143" s="134" t="s">
        <v>117</v>
      </c>
      <c r="B143" s="134" t="s">
        <v>6</v>
      </c>
      <c r="C143" s="134">
        <v>50</v>
      </c>
      <c r="D143" s="134" t="str">
        <f t="shared" si="0"/>
        <v>1/2" Hex CIM 50</v>
      </c>
      <c r="E143" s="134">
        <v>0</v>
      </c>
      <c r="F143" s="134">
        <v>0</v>
      </c>
    </row>
    <row r="144" spans="1:6" ht="14.25" customHeight="1" x14ac:dyDescent="0.25">
      <c r="A144" s="134" t="s">
        <v>117</v>
      </c>
      <c r="B144" s="134" t="s">
        <v>6</v>
      </c>
      <c r="C144" s="134">
        <v>63</v>
      </c>
      <c r="D144" s="134" t="str">
        <f t="shared" si="0"/>
        <v>1/2" Hex CIM 63</v>
      </c>
      <c r="E144" s="134">
        <v>0</v>
      </c>
      <c r="F144" s="134">
        <v>0</v>
      </c>
    </row>
    <row r="145" spans="1:6" ht="14.25" customHeight="1" x14ac:dyDescent="0.25">
      <c r="A145" s="134" t="s">
        <v>117</v>
      </c>
      <c r="B145" s="134" t="s">
        <v>6</v>
      </c>
      <c r="C145" s="134">
        <v>70</v>
      </c>
      <c r="D145" s="134" t="str">
        <f t="shared" si="0"/>
        <v>1/2" Hex CIM 70</v>
      </c>
      <c r="E145" s="134">
        <v>0</v>
      </c>
      <c r="F145" s="134">
        <v>0</v>
      </c>
    </row>
    <row r="146" spans="1:6" ht="14.25" customHeight="1" x14ac:dyDescent="0.25">
      <c r="A146" s="134" t="s">
        <v>117</v>
      </c>
      <c r="B146" s="134" t="s">
        <v>6</v>
      </c>
      <c r="C146" s="134">
        <v>81</v>
      </c>
      <c r="D146" s="134" t="str">
        <f t="shared" si="0"/>
        <v>1/2" Hex CIM 81</v>
      </c>
      <c r="E146" s="134">
        <v>0</v>
      </c>
      <c r="F146" s="134">
        <v>0</v>
      </c>
    </row>
    <row r="147" spans="1:6" ht="14.25" customHeight="1" x14ac:dyDescent="0.25">
      <c r="A147" s="134" t="s">
        <v>117</v>
      </c>
      <c r="B147" s="134" t="s">
        <v>6</v>
      </c>
      <c r="C147" s="134">
        <v>90</v>
      </c>
      <c r="D147" s="134" t="str">
        <f t="shared" si="0"/>
        <v>1/2" Hex CIM 90</v>
      </c>
      <c r="E147" s="134">
        <v>0</v>
      </c>
      <c r="F147" s="134">
        <v>0</v>
      </c>
    </row>
    <row r="148" spans="1:6" ht="14.25" customHeight="1" x14ac:dyDescent="0.25">
      <c r="A148" s="134" t="s">
        <v>117</v>
      </c>
      <c r="B148" s="134" t="s">
        <v>6</v>
      </c>
      <c r="C148" s="134">
        <v>100</v>
      </c>
      <c r="D148" s="134" t="str">
        <f t="shared" si="0"/>
        <v>1/2" Hex CIM 100</v>
      </c>
      <c r="E148" s="134">
        <v>0</v>
      </c>
      <c r="F148" s="134">
        <v>0</v>
      </c>
    </row>
    <row r="149" spans="1:6" ht="14.25" customHeight="1" x14ac:dyDescent="0.25">
      <c r="A149" s="134" t="s">
        <v>117</v>
      </c>
      <c r="B149" s="134" t="s">
        <v>259</v>
      </c>
      <c r="C149" s="134">
        <v>9</v>
      </c>
      <c r="D149" s="134" t="str">
        <f t="shared" si="0"/>
        <v>1/2" Hex 775pro 9</v>
      </c>
      <c r="E149" s="134">
        <v>10</v>
      </c>
      <c r="F149" s="134">
        <v>5</v>
      </c>
    </row>
    <row r="150" spans="1:6" ht="14.25" customHeight="1" x14ac:dyDescent="0.25">
      <c r="A150" s="134" t="s">
        <v>117</v>
      </c>
      <c r="B150" s="134" t="s">
        <v>259</v>
      </c>
      <c r="C150" s="134">
        <v>12</v>
      </c>
      <c r="D150" s="134" t="str">
        <f t="shared" si="0"/>
        <v>1/2" Hex 775pro 12</v>
      </c>
      <c r="E150" s="134">
        <v>10</v>
      </c>
      <c r="F150" s="134">
        <v>4</v>
      </c>
    </row>
    <row r="151" spans="1:6" ht="14.25" customHeight="1" x14ac:dyDescent="0.25">
      <c r="A151" s="134" t="s">
        <v>117</v>
      </c>
      <c r="B151" s="134" t="s">
        <v>259</v>
      </c>
      <c r="C151" s="134">
        <v>15</v>
      </c>
      <c r="D151" s="134" t="str">
        <f t="shared" si="0"/>
        <v>1/2" Hex 775pro 15</v>
      </c>
      <c r="E151" s="134">
        <v>10</v>
      </c>
      <c r="F151" s="134">
        <v>3</v>
      </c>
    </row>
    <row r="152" spans="1:6" ht="14.25" customHeight="1" x14ac:dyDescent="0.25">
      <c r="A152" s="134" t="s">
        <v>117</v>
      </c>
      <c r="B152" s="134" t="s">
        <v>259</v>
      </c>
      <c r="C152" s="134">
        <v>16</v>
      </c>
      <c r="D152" s="134" t="str">
        <f t="shared" si="0"/>
        <v>1/2" Hex 775pro 16</v>
      </c>
      <c r="E152" s="134">
        <v>10</v>
      </c>
      <c r="F152" s="134">
        <v>3</v>
      </c>
    </row>
    <row r="153" spans="1:6" ht="14.25" customHeight="1" x14ac:dyDescent="0.25">
      <c r="A153" s="134" t="s">
        <v>117</v>
      </c>
      <c r="B153" s="134" t="s">
        <v>259</v>
      </c>
      <c r="C153" s="134">
        <v>20</v>
      </c>
      <c r="D153" s="134" t="str">
        <f t="shared" si="0"/>
        <v>1/2" Hex 775pro 20</v>
      </c>
      <c r="E153" s="134">
        <v>10</v>
      </c>
      <c r="F153" s="134">
        <v>1</v>
      </c>
    </row>
    <row r="154" spans="1:6" ht="14.25" customHeight="1" x14ac:dyDescent="0.25">
      <c r="A154" s="134" t="s">
        <v>117</v>
      </c>
      <c r="B154" s="134" t="s">
        <v>259</v>
      </c>
      <c r="C154" s="134">
        <v>21</v>
      </c>
      <c r="D154" s="134" t="str">
        <f t="shared" si="0"/>
        <v>1/2" Hex 775pro 21</v>
      </c>
      <c r="E154" s="134">
        <v>10</v>
      </c>
      <c r="F154" s="134">
        <v>1</v>
      </c>
    </row>
    <row r="155" spans="1:6" ht="14.25" customHeight="1" x14ac:dyDescent="0.25">
      <c r="A155" s="134" t="s">
        <v>117</v>
      </c>
      <c r="B155" s="134" t="s">
        <v>259</v>
      </c>
      <c r="C155" s="134">
        <v>25</v>
      </c>
      <c r="D155" s="134" t="str">
        <f t="shared" si="0"/>
        <v>1/2" Hex 775pro 25</v>
      </c>
      <c r="E155" s="134">
        <v>7</v>
      </c>
      <c r="F155" s="134">
        <v>1</v>
      </c>
    </row>
    <row r="156" spans="1:6" ht="14.25" customHeight="1" x14ac:dyDescent="0.25">
      <c r="A156" s="134" t="s">
        <v>117</v>
      </c>
      <c r="B156" s="134" t="s">
        <v>259</v>
      </c>
      <c r="C156" s="134">
        <v>27</v>
      </c>
      <c r="D156" s="134" t="str">
        <f t="shared" si="0"/>
        <v>1/2" Hex 775pro 27</v>
      </c>
      <c r="E156" s="134">
        <v>7</v>
      </c>
      <c r="F156" s="134">
        <v>1</v>
      </c>
    </row>
    <row r="157" spans="1:6" ht="14.25" customHeight="1" x14ac:dyDescent="0.25">
      <c r="A157" s="134" t="s">
        <v>117</v>
      </c>
      <c r="B157" s="134" t="s">
        <v>259</v>
      </c>
      <c r="C157" s="134">
        <v>28</v>
      </c>
      <c r="D157" s="134" t="str">
        <f t="shared" si="0"/>
        <v>1/2" Hex 775pro 28</v>
      </c>
      <c r="E157" s="134">
        <v>7</v>
      </c>
      <c r="F157" s="134">
        <v>1</v>
      </c>
    </row>
    <row r="158" spans="1:6" ht="14.25" customHeight="1" x14ac:dyDescent="0.25">
      <c r="A158" s="134" t="s">
        <v>117</v>
      </c>
      <c r="B158" s="134" t="s">
        <v>259</v>
      </c>
      <c r="C158" s="134">
        <v>30</v>
      </c>
      <c r="D158" s="134" t="str">
        <f t="shared" si="0"/>
        <v>1/2" Hex 775pro 30</v>
      </c>
      <c r="E158" s="134">
        <v>7</v>
      </c>
      <c r="F158" s="134">
        <v>1</v>
      </c>
    </row>
    <row r="159" spans="1:6" ht="14.25" customHeight="1" x14ac:dyDescent="0.25">
      <c r="A159" s="134" t="s">
        <v>117</v>
      </c>
      <c r="B159" s="134" t="s">
        <v>259</v>
      </c>
      <c r="C159" s="134">
        <v>35</v>
      </c>
      <c r="D159" s="134" t="str">
        <f t="shared" si="0"/>
        <v>1/2" Hex 775pro 35</v>
      </c>
      <c r="E159" s="134">
        <v>5</v>
      </c>
      <c r="F159" s="134">
        <v>1</v>
      </c>
    </row>
    <row r="160" spans="1:6" ht="14.25" customHeight="1" x14ac:dyDescent="0.25">
      <c r="A160" s="134" t="s">
        <v>117</v>
      </c>
      <c r="B160" s="134" t="s">
        <v>259</v>
      </c>
      <c r="C160" s="134">
        <v>36</v>
      </c>
      <c r="D160" s="134" t="str">
        <f t="shared" si="0"/>
        <v>1/2" Hex 775pro 36</v>
      </c>
      <c r="E160" s="134">
        <v>5</v>
      </c>
      <c r="F160" s="134">
        <v>1</v>
      </c>
    </row>
    <row r="161" spans="1:6" ht="14.25" customHeight="1" x14ac:dyDescent="0.25">
      <c r="A161" s="134" t="s">
        <v>117</v>
      </c>
      <c r="B161" s="134" t="s">
        <v>259</v>
      </c>
      <c r="C161" s="134">
        <v>40</v>
      </c>
      <c r="D161" s="134" t="str">
        <f t="shared" si="0"/>
        <v>1/2" Hex 775pro 40</v>
      </c>
      <c r="E161" s="134">
        <v>5</v>
      </c>
      <c r="F161" s="134">
        <v>1</v>
      </c>
    </row>
    <row r="162" spans="1:6" ht="14.25" customHeight="1" x14ac:dyDescent="0.25">
      <c r="A162" s="134" t="s">
        <v>117</v>
      </c>
      <c r="B162" s="134" t="s">
        <v>259</v>
      </c>
      <c r="C162" s="134">
        <v>45</v>
      </c>
      <c r="D162" s="134" t="str">
        <f t="shared" si="0"/>
        <v>1/2" Hex 775pro 45</v>
      </c>
      <c r="E162" s="134">
        <v>4</v>
      </c>
      <c r="F162" s="134">
        <v>1</v>
      </c>
    </row>
    <row r="163" spans="1:6" ht="14.25" customHeight="1" x14ac:dyDescent="0.25">
      <c r="A163" s="134" t="s">
        <v>117</v>
      </c>
      <c r="B163" s="134" t="s">
        <v>259</v>
      </c>
      <c r="C163" s="134">
        <v>49</v>
      </c>
      <c r="D163" s="134" t="str">
        <f t="shared" si="0"/>
        <v>1/2" Hex 775pro 49</v>
      </c>
      <c r="E163" s="134">
        <v>4</v>
      </c>
      <c r="F163" s="134">
        <v>1</v>
      </c>
    </row>
    <row r="164" spans="1:6" ht="14.25" customHeight="1" x14ac:dyDescent="0.25">
      <c r="A164" s="134" t="s">
        <v>117</v>
      </c>
      <c r="B164" s="134" t="s">
        <v>259</v>
      </c>
      <c r="C164" s="134">
        <v>50</v>
      </c>
      <c r="D164" s="134" t="str">
        <f t="shared" si="0"/>
        <v>1/2" Hex 775pro 50</v>
      </c>
      <c r="E164" s="134">
        <v>4</v>
      </c>
      <c r="F164" s="134">
        <v>0</v>
      </c>
    </row>
    <row r="165" spans="1:6" ht="14.25" customHeight="1" x14ac:dyDescent="0.25">
      <c r="A165" s="134" t="s">
        <v>117</v>
      </c>
      <c r="B165" s="134" t="s">
        <v>259</v>
      </c>
      <c r="C165" s="134">
        <v>63</v>
      </c>
      <c r="D165" s="134" t="str">
        <f t="shared" si="0"/>
        <v>1/2" Hex 775pro 63</v>
      </c>
      <c r="E165" s="134">
        <v>3</v>
      </c>
      <c r="F165" s="134">
        <v>0</v>
      </c>
    </row>
    <row r="166" spans="1:6" ht="14.25" customHeight="1" x14ac:dyDescent="0.25">
      <c r="A166" s="134" t="s">
        <v>117</v>
      </c>
      <c r="B166" s="134" t="s">
        <v>259</v>
      </c>
      <c r="C166" s="134">
        <v>70</v>
      </c>
      <c r="D166" s="134" t="str">
        <f t="shared" si="0"/>
        <v>1/2" Hex 775pro 70</v>
      </c>
      <c r="E166" s="134">
        <v>3</v>
      </c>
      <c r="F166" s="134">
        <v>0</v>
      </c>
    </row>
    <row r="167" spans="1:6" ht="14.25" customHeight="1" x14ac:dyDescent="0.25">
      <c r="A167" s="134" t="s">
        <v>117</v>
      </c>
      <c r="B167" s="134" t="s">
        <v>259</v>
      </c>
      <c r="C167" s="134">
        <v>81</v>
      </c>
      <c r="D167" s="134" t="str">
        <f t="shared" si="0"/>
        <v>1/2" Hex 775pro 81</v>
      </c>
      <c r="E167" s="134">
        <v>1</v>
      </c>
      <c r="F167" s="134">
        <v>0</v>
      </c>
    </row>
    <row r="168" spans="1:6" ht="14.25" customHeight="1" x14ac:dyDescent="0.25">
      <c r="A168" s="134" t="s">
        <v>117</v>
      </c>
      <c r="B168" s="134" t="s">
        <v>259</v>
      </c>
      <c r="C168" s="134">
        <v>90</v>
      </c>
      <c r="D168" s="134" t="str">
        <f t="shared" si="0"/>
        <v>1/2" Hex 775pro 90</v>
      </c>
      <c r="E168" s="134">
        <v>1</v>
      </c>
      <c r="F168" s="134">
        <v>0</v>
      </c>
    </row>
    <row r="169" spans="1:6" ht="14.25" customHeight="1" x14ac:dyDescent="0.25">
      <c r="A169" s="134" t="s">
        <v>117</v>
      </c>
      <c r="B169" s="134" t="s">
        <v>259</v>
      </c>
      <c r="C169" s="134">
        <v>100</v>
      </c>
      <c r="D169" s="134" t="str">
        <f t="shared" si="0"/>
        <v>1/2" Hex 775pro 100</v>
      </c>
      <c r="E169" s="134">
        <v>1</v>
      </c>
      <c r="F169" s="134">
        <v>0</v>
      </c>
    </row>
    <row r="170" spans="1:6" ht="14.25" customHeight="1" x14ac:dyDescent="0.25">
      <c r="A170" s="134" t="s">
        <v>243</v>
      </c>
      <c r="B170" s="134" t="s">
        <v>11</v>
      </c>
      <c r="C170" s="134">
        <v>9</v>
      </c>
      <c r="D170" s="134" t="str">
        <f t="shared" si="0"/>
        <v>1/2" Round AM 9015 9</v>
      </c>
      <c r="E170" s="134">
        <v>10</v>
      </c>
      <c r="F170" s="134">
        <v>10</v>
      </c>
    </row>
    <row r="171" spans="1:6" ht="14.25" customHeight="1" x14ac:dyDescent="0.25">
      <c r="A171" s="134" t="s">
        <v>243</v>
      </c>
      <c r="B171" s="134" t="s">
        <v>11</v>
      </c>
      <c r="C171" s="134">
        <v>12</v>
      </c>
      <c r="D171" s="134" t="str">
        <f t="shared" si="0"/>
        <v>1/2" Round AM 9015 12</v>
      </c>
      <c r="E171" s="134">
        <v>10</v>
      </c>
      <c r="F171" s="134">
        <v>7</v>
      </c>
    </row>
    <row r="172" spans="1:6" ht="14.25" customHeight="1" x14ac:dyDescent="0.25">
      <c r="A172" s="134" t="s">
        <v>243</v>
      </c>
      <c r="B172" s="134" t="s">
        <v>11</v>
      </c>
      <c r="C172" s="134">
        <v>15</v>
      </c>
      <c r="D172" s="134" t="str">
        <f t="shared" si="0"/>
        <v>1/2" Round AM 9015 15</v>
      </c>
      <c r="E172" s="134">
        <v>10</v>
      </c>
      <c r="F172" s="134">
        <v>5</v>
      </c>
    </row>
    <row r="173" spans="1:6" ht="14.25" customHeight="1" x14ac:dyDescent="0.25">
      <c r="A173" s="134" t="s">
        <v>243</v>
      </c>
      <c r="B173" s="134" t="s">
        <v>11</v>
      </c>
      <c r="C173" s="134">
        <v>16</v>
      </c>
      <c r="D173" s="134" t="str">
        <f t="shared" si="0"/>
        <v>1/2" Round AM 9015 16</v>
      </c>
      <c r="E173" s="134">
        <v>10</v>
      </c>
      <c r="F173" s="134">
        <v>5</v>
      </c>
    </row>
    <row r="174" spans="1:6" ht="14.25" customHeight="1" x14ac:dyDescent="0.25">
      <c r="A174" s="134" t="s">
        <v>243</v>
      </c>
      <c r="B174" s="134" t="s">
        <v>11</v>
      </c>
      <c r="C174" s="134">
        <v>20</v>
      </c>
      <c r="D174" s="134" t="str">
        <f t="shared" si="0"/>
        <v>1/2" Round AM 9015 20</v>
      </c>
      <c r="E174" s="134">
        <v>10</v>
      </c>
      <c r="F174" s="134">
        <v>4</v>
      </c>
    </row>
    <row r="175" spans="1:6" ht="14.25" customHeight="1" x14ac:dyDescent="0.25">
      <c r="A175" s="134" t="s">
        <v>243</v>
      </c>
      <c r="B175" s="134" t="s">
        <v>11</v>
      </c>
      <c r="C175" s="134">
        <v>21</v>
      </c>
      <c r="D175" s="134" t="str">
        <f t="shared" si="0"/>
        <v>1/2" Round AM 9015 21</v>
      </c>
      <c r="E175" s="134">
        <v>10</v>
      </c>
      <c r="F175" s="134">
        <v>4</v>
      </c>
    </row>
    <row r="176" spans="1:6" ht="14.25" customHeight="1" x14ac:dyDescent="0.25">
      <c r="A176" s="134" t="s">
        <v>243</v>
      </c>
      <c r="B176" s="134" t="s">
        <v>11</v>
      </c>
      <c r="C176" s="134">
        <v>25</v>
      </c>
      <c r="D176" s="134" t="str">
        <f t="shared" si="0"/>
        <v>1/2" Round AM 9015 25</v>
      </c>
      <c r="E176" s="134">
        <v>7</v>
      </c>
      <c r="F176" s="134">
        <v>3</v>
      </c>
    </row>
    <row r="177" spans="1:6" ht="14.25" customHeight="1" x14ac:dyDescent="0.25">
      <c r="A177" s="134" t="s">
        <v>243</v>
      </c>
      <c r="B177" s="134" t="s">
        <v>11</v>
      </c>
      <c r="C177" s="134">
        <v>27</v>
      </c>
      <c r="D177" s="134" t="str">
        <f t="shared" si="0"/>
        <v>1/2" Round AM 9015 27</v>
      </c>
      <c r="E177" s="134">
        <v>7</v>
      </c>
      <c r="F177" s="134">
        <v>3</v>
      </c>
    </row>
    <row r="178" spans="1:6" ht="14.25" customHeight="1" x14ac:dyDescent="0.25">
      <c r="A178" s="134" t="s">
        <v>243</v>
      </c>
      <c r="B178" s="134" t="s">
        <v>11</v>
      </c>
      <c r="C178" s="134">
        <v>28</v>
      </c>
      <c r="D178" s="134" t="str">
        <f t="shared" si="0"/>
        <v>1/2" Round AM 9015 28</v>
      </c>
      <c r="E178" s="134">
        <v>7</v>
      </c>
      <c r="F178" s="134">
        <v>3</v>
      </c>
    </row>
    <row r="179" spans="1:6" ht="14.25" customHeight="1" x14ac:dyDescent="0.25">
      <c r="A179" s="134" t="s">
        <v>243</v>
      </c>
      <c r="B179" s="134" t="s">
        <v>11</v>
      </c>
      <c r="C179" s="134">
        <v>30</v>
      </c>
      <c r="D179" s="134" t="str">
        <f t="shared" si="0"/>
        <v>1/2" Round AM 9015 30</v>
      </c>
      <c r="E179" s="134">
        <v>7</v>
      </c>
      <c r="F179" s="134">
        <v>3</v>
      </c>
    </row>
    <row r="180" spans="1:6" ht="14.25" customHeight="1" x14ac:dyDescent="0.25">
      <c r="A180" s="134" t="s">
        <v>243</v>
      </c>
      <c r="B180" s="134" t="s">
        <v>11</v>
      </c>
      <c r="C180" s="134">
        <v>35</v>
      </c>
      <c r="D180" s="134" t="str">
        <f t="shared" si="0"/>
        <v>1/2" Round AM 9015 35</v>
      </c>
      <c r="E180" s="134">
        <v>5</v>
      </c>
      <c r="F180" s="134">
        <v>1</v>
      </c>
    </row>
    <row r="181" spans="1:6" ht="14.25" customHeight="1" x14ac:dyDescent="0.25">
      <c r="A181" s="134" t="s">
        <v>243</v>
      </c>
      <c r="B181" s="134" t="s">
        <v>11</v>
      </c>
      <c r="C181" s="134">
        <v>36</v>
      </c>
      <c r="D181" s="134" t="str">
        <f t="shared" si="0"/>
        <v>1/2" Round AM 9015 36</v>
      </c>
      <c r="E181" s="134">
        <v>5</v>
      </c>
      <c r="F181" s="134">
        <v>1</v>
      </c>
    </row>
    <row r="182" spans="1:6" ht="14.25" customHeight="1" x14ac:dyDescent="0.25">
      <c r="A182" s="134" t="s">
        <v>243</v>
      </c>
      <c r="B182" s="134" t="s">
        <v>11</v>
      </c>
      <c r="C182" s="134">
        <v>40</v>
      </c>
      <c r="D182" s="134" t="str">
        <f t="shared" si="0"/>
        <v>1/2" Round AM 9015 40</v>
      </c>
      <c r="E182" s="134">
        <v>5</v>
      </c>
      <c r="F182" s="134">
        <v>1</v>
      </c>
    </row>
    <row r="183" spans="1:6" ht="14.25" customHeight="1" x14ac:dyDescent="0.25">
      <c r="A183" s="134" t="s">
        <v>243</v>
      </c>
      <c r="B183" s="134" t="s">
        <v>11</v>
      </c>
      <c r="C183" s="134">
        <v>45</v>
      </c>
      <c r="D183" s="134" t="str">
        <f t="shared" si="0"/>
        <v>1/2" Round AM 9015 45</v>
      </c>
      <c r="E183" s="134">
        <v>5</v>
      </c>
      <c r="F183" s="134">
        <v>1</v>
      </c>
    </row>
    <row r="184" spans="1:6" ht="14.25" customHeight="1" x14ac:dyDescent="0.25">
      <c r="A184" s="134" t="s">
        <v>243</v>
      </c>
      <c r="B184" s="134" t="s">
        <v>11</v>
      </c>
      <c r="C184" s="134">
        <v>49</v>
      </c>
      <c r="D184" s="134" t="str">
        <f t="shared" si="0"/>
        <v>1/2" Round AM 9015 49</v>
      </c>
      <c r="E184" s="134">
        <v>5</v>
      </c>
      <c r="F184" s="134">
        <v>1</v>
      </c>
    </row>
    <row r="185" spans="1:6" ht="14.25" customHeight="1" x14ac:dyDescent="0.25">
      <c r="A185" s="134" t="s">
        <v>243</v>
      </c>
      <c r="B185" s="134" t="s">
        <v>11</v>
      </c>
      <c r="C185" s="134">
        <v>50</v>
      </c>
      <c r="D185" s="134" t="str">
        <f t="shared" si="0"/>
        <v>1/2" Round AM 9015 50</v>
      </c>
      <c r="E185" s="134">
        <v>5</v>
      </c>
      <c r="F185" s="134">
        <v>1</v>
      </c>
    </row>
    <row r="186" spans="1:6" ht="14.25" customHeight="1" x14ac:dyDescent="0.25">
      <c r="A186" s="134" t="s">
        <v>243</v>
      </c>
      <c r="B186" s="134" t="s">
        <v>11</v>
      </c>
      <c r="C186" s="134">
        <v>63</v>
      </c>
      <c r="D186" s="134" t="str">
        <f t="shared" si="0"/>
        <v>1/2" Round AM 9015 63</v>
      </c>
      <c r="E186" s="134">
        <v>4</v>
      </c>
      <c r="F186" s="134">
        <v>1</v>
      </c>
    </row>
    <row r="187" spans="1:6" ht="14.25" customHeight="1" x14ac:dyDescent="0.25">
      <c r="A187" s="134" t="s">
        <v>243</v>
      </c>
      <c r="B187" s="134" t="s">
        <v>11</v>
      </c>
      <c r="C187" s="134">
        <v>70</v>
      </c>
      <c r="D187" s="134" t="str">
        <f t="shared" si="0"/>
        <v>1/2" Round AM 9015 70</v>
      </c>
      <c r="E187" s="134">
        <v>4</v>
      </c>
      <c r="F187" s="134">
        <v>1</v>
      </c>
    </row>
    <row r="188" spans="1:6" ht="14.25" customHeight="1" x14ac:dyDescent="0.25">
      <c r="A188" s="134" t="s">
        <v>243</v>
      </c>
      <c r="B188" s="134" t="s">
        <v>11</v>
      </c>
      <c r="C188" s="134">
        <v>81</v>
      </c>
      <c r="D188" s="134" t="str">
        <f t="shared" si="0"/>
        <v>1/2" Round AM 9015 81</v>
      </c>
      <c r="E188" s="134">
        <v>3</v>
      </c>
      <c r="F188" s="134">
        <v>1</v>
      </c>
    </row>
    <row r="189" spans="1:6" ht="14.25" customHeight="1" x14ac:dyDescent="0.25">
      <c r="A189" s="134" t="s">
        <v>243</v>
      </c>
      <c r="B189" s="134" t="s">
        <v>11</v>
      </c>
      <c r="C189" s="134">
        <v>90</v>
      </c>
      <c r="D189" s="134" t="str">
        <f t="shared" si="0"/>
        <v>1/2" Round AM 9015 90</v>
      </c>
      <c r="E189" s="134">
        <v>3</v>
      </c>
      <c r="F189" s="134">
        <v>1</v>
      </c>
    </row>
    <row r="190" spans="1:6" ht="14.25" customHeight="1" x14ac:dyDescent="0.25">
      <c r="A190" s="134" t="s">
        <v>243</v>
      </c>
      <c r="B190" s="134" t="s">
        <v>11</v>
      </c>
      <c r="C190" s="134">
        <v>100</v>
      </c>
      <c r="D190" s="134" t="str">
        <f t="shared" si="0"/>
        <v>1/2" Round AM 9015 100</v>
      </c>
      <c r="E190" s="134">
        <v>1</v>
      </c>
      <c r="F190" s="134">
        <v>0</v>
      </c>
    </row>
    <row r="191" spans="1:6" ht="14.25" customHeight="1" x14ac:dyDescent="0.25">
      <c r="A191" s="134" t="s">
        <v>243</v>
      </c>
      <c r="B191" s="134" t="s">
        <v>337</v>
      </c>
      <c r="C191" s="134">
        <v>9</v>
      </c>
      <c r="D191" s="134" t="str">
        <f t="shared" si="0"/>
        <v>1/2" Round NeveRest 9</v>
      </c>
      <c r="E191" s="134">
        <v>10</v>
      </c>
      <c r="F191" s="134">
        <v>10</v>
      </c>
    </row>
    <row r="192" spans="1:6" ht="14.25" customHeight="1" x14ac:dyDescent="0.25">
      <c r="A192" s="134" t="s">
        <v>243</v>
      </c>
      <c r="B192" s="134" t="s">
        <v>337</v>
      </c>
      <c r="C192" s="134">
        <v>12</v>
      </c>
      <c r="D192" s="134" t="str">
        <f t="shared" si="0"/>
        <v>1/2" Round NeveRest 12</v>
      </c>
      <c r="E192" s="134">
        <v>10</v>
      </c>
      <c r="F192" s="134">
        <v>10</v>
      </c>
    </row>
    <row r="193" spans="1:6" ht="14.25" customHeight="1" x14ac:dyDescent="0.25">
      <c r="A193" s="134" t="s">
        <v>243</v>
      </c>
      <c r="B193" s="134" t="s">
        <v>337</v>
      </c>
      <c r="C193" s="134">
        <v>15</v>
      </c>
      <c r="D193" s="134" t="str">
        <f t="shared" si="0"/>
        <v>1/2" Round NeveRest 15</v>
      </c>
      <c r="E193" s="134">
        <v>10</v>
      </c>
      <c r="F193" s="134">
        <v>10</v>
      </c>
    </row>
    <row r="194" spans="1:6" ht="14.25" customHeight="1" x14ac:dyDescent="0.25">
      <c r="A194" s="134" t="s">
        <v>243</v>
      </c>
      <c r="B194" s="134" t="s">
        <v>337</v>
      </c>
      <c r="C194" s="134">
        <v>16</v>
      </c>
      <c r="D194" s="134" t="str">
        <f t="shared" si="0"/>
        <v>1/2" Round NeveRest 16</v>
      </c>
      <c r="E194" s="134">
        <v>10</v>
      </c>
      <c r="F194" s="134">
        <v>10</v>
      </c>
    </row>
    <row r="195" spans="1:6" ht="14.25" customHeight="1" x14ac:dyDescent="0.25">
      <c r="A195" s="134" t="s">
        <v>243</v>
      </c>
      <c r="B195" s="134" t="s">
        <v>337</v>
      </c>
      <c r="C195" s="134">
        <v>20</v>
      </c>
      <c r="D195" s="134" t="str">
        <f t="shared" si="0"/>
        <v>1/2" Round NeveRest 20</v>
      </c>
      <c r="E195" s="134">
        <v>10</v>
      </c>
      <c r="F195" s="134">
        <v>10</v>
      </c>
    </row>
    <row r="196" spans="1:6" ht="14.25" customHeight="1" x14ac:dyDescent="0.25">
      <c r="A196" s="134" t="s">
        <v>243</v>
      </c>
      <c r="B196" s="134" t="s">
        <v>337</v>
      </c>
      <c r="C196" s="134">
        <v>21</v>
      </c>
      <c r="D196" s="134" t="str">
        <f t="shared" si="0"/>
        <v>1/2" Round NeveRest 21</v>
      </c>
      <c r="E196" s="134">
        <v>9</v>
      </c>
      <c r="F196" s="134">
        <v>9</v>
      </c>
    </row>
    <row r="197" spans="1:6" ht="14.25" customHeight="1" x14ac:dyDescent="0.25">
      <c r="A197" s="134" t="s">
        <v>243</v>
      </c>
      <c r="B197" s="134" t="s">
        <v>337</v>
      </c>
      <c r="C197" s="134">
        <v>25</v>
      </c>
      <c r="D197" s="134" t="str">
        <f t="shared" si="0"/>
        <v>1/2" Round NeveRest 25</v>
      </c>
      <c r="E197" s="134">
        <v>7</v>
      </c>
      <c r="F197" s="134">
        <v>7</v>
      </c>
    </row>
    <row r="198" spans="1:6" ht="14.25" customHeight="1" x14ac:dyDescent="0.25">
      <c r="A198" s="134" t="s">
        <v>243</v>
      </c>
      <c r="B198" s="134" t="s">
        <v>337</v>
      </c>
      <c r="C198" s="134">
        <v>27</v>
      </c>
      <c r="D198" s="134" t="str">
        <f t="shared" si="0"/>
        <v>1/2" Round NeveRest 27</v>
      </c>
      <c r="E198" s="134">
        <v>7</v>
      </c>
      <c r="F198" s="134">
        <v>7</v>
      </c>
    </row>
    <row r="199" spans="1:6" ht="14.25" customHeight="1" x14ac:dyDescent="0.25">
      <c r="A199" s="134" t="s">
        <v>243</v>
      </c>
      <c r="B199" s="134" t="s">
        <v>337</v>
      </c>
      <c r="C199" s="134">
        <v>28</v>
      </c>
      <c r="D199" s="134" t="str">
        <f t="shared" si="0"/>
        <v>1/2" Round NeveRest 28</v>
      </c>
      <c r="E199" s="134">
        <v>7</v>
      </c>
      <c r="F199" s="134">
        <v>7</v>
      </c>
    </row>
    <row r="200" spans="1:6" ht="14.25" customHeight="1" x14ac:dyDescent="0.25">
      <c r="A200" s="134" t="s">
        <v>243</v>
      </c>
      <c r="B200" s="134" t="s">
        <v>337</v>
      </c>
      <c r="C200" s="134">
        <v>30</v>
      </c>
      <c r="D200" s="134" t="str">
        <f t="shared" si="0"/>
        <v>1/2" Round NeveRest 30</v>
      </c>
      <c r="E200" s="134">
        <v>5</v>
      </c>
      <c r="F200" s="134">
        <v>5</v>
      </c>
    </row>
    <row r="201" spans="1:6" ht="14.25" customHeight="1" x14ac:dyDescent="0.25">
      <c r="A201" s="134" t="s">
        <v>243</v>
      </c>
      <c r="B201" s="134" t="s">
        <v>337</v>
      </c>
      <c r="C201" s="134">
        <v>35</v>
      </c>
      <c r="D201" s="134" t="str">
        <f t="shared" si="0"/>
        <v>1/2" Round NeveRest 35</v>
      </c>
      <c r="E201" s="134">
        <v>5</v>
      </c>
      <c r="F201" s="134">
        <v>5</v>
      </c>
    </row>
    <row r="202" spans="1:6" ht="14.25" customHeight="1" x14ac:dyDescent="0.25">
      <c r="A202" s="134" t="s">
        <v>243</v>
      </c>
      <c r="B202" s="134" t="s">
        <v>337</v>
      </c>
      <c r="C202" s="134">
        <v>36</v>
      </c>
      <c r="D202" s="134" t="str">
        <f t="shared" si="0"/>
        <v>1/2" Round NeveRest 36</v>
      </c>
      <c r="E202" s="134">
        <v>5</v>
      </c>
      <c r="F202" s="134">
        <v>5</v>
      </c>
    </row>
    <row r="203" spans="1:6" ht="14.25" customHeight="1" x14ac:dyDescent="0.25">
      <c r="A203" s="134" t="s">
        <v>243</v>
      </c>
      <c r="B203" s="134" t="s">
        <v>337</v>
      </c>
      <c r="C203" s="134">
        <v>40</v>
      </c>
      <c r="D203" s="134" t="str">
        <f t="shared" si="0"/>
        <v>1/2" Round NeveRest 40</v>
      </c>
      <c r="E203" s="134">
        <v>5</v>
      </c>
      <c r="F203" s="134">
        <v>5</v>
      </c>
    </row>
    <row r="204" spans="1:6" ht="14.25" customHeight="1" x14ac:dyDescent="0.25">
      <c r="A204" s="134" t="s">
        <v>243</v>
      </c>
      <c r="B204" s="134" t="s">
        <v>337</v>
      </c>
      <c r="C204" s="134">
        <v>45</v>
      </c>
      <c r="D204" s="134" t="str">
        <f t="shared" si="0"/>
        <v>1/2" Round NeveRest 45</v>
      </c>
      <c r="E204" s="134">
        <v>5</v>
      </c>
      <c r="F204" s="134">
        <v>4</v>
      </c>
    </row>
    <row r="205" spans="1:6" ht="14.25" customHeight="1" x14ac:dyDescent="0.25">
      <c r="A205" s="134" t="s">
        <v>243</v>
      </c>
      <c r="B205" s="134" t="s">
        <v>337</v>
      </c>
      <c r="C205" s="134">
        <v>49</v>
      </c>
      <c r="D205" s="134" t="str">
        <f t="shared" si="0"/>
        <v>1/2" Round NeveRest 49</v>
      </c>
      <c r="E205" s="134">
        <v>5</v>
      </c>
      <c r="F205" s="134">
        <v>4</v>
      </c>
    </row>
    <row r="206" spans="1:6" ht="14.25" customHeight="1" x14ac:dyDescent="0.25">
      <c r="A206" s="134" t="s">
        <v>243</v>
      </c>
      <c r="B206" s="134" t="s">
        <v>337</v>
      </c>
      <c r="C206" s="134">
        <v>50</v>
      </c>
      <c r="D206" s="134" t="str">
        <f t="shared" si="0"/>
        <v>1/2" Round NeveRest 50</v>
      </c>
      <c r="E206" s="134">
        <v>5</v>
      </c>
      <c r="F206" s="134">
        <v>4</v>
      </c>
    </row>
    <row r="207" spans="1:6" ht="14.25" customHeight="1" x14ac:dyDescent="0.25">
      <c r="A207" s="134" t="s">
        <v>243</v>
      </c>
      <c r="B207" s="134" t="s">
        <v>337</v>
      </c>
      <c r="C207" s="134">
        <v>63</v>
      </c>
      <c r="D207" s="134" t="str">
        <f t="shared" si="0"/>
        <v>1/2" Round NeveRest 63</v>
      </c>
      <c r="E207" s="134">
        <v>4</v>
      </c>
      <c r="F207" s="134">
        <v>3</v>
      </c>
    </row>
    <row r="208" spans="1:6" ht="14.25" customHeight="1" x14ac:dyDescent="0.25">
      <c r="A208" s="134" t="s">
        <v>243</v>
      </c>
      <c r="B208" s="134" t="s">
        <v>337</v>
      </c>
      <c r="C208" s="134">
        <v>70</v>
      </c>
      <c r="D208" s="134" t="str">
        <f t="shared" si="0"/>
        <v>1/2" Round NeveRest 70</v>
      </c>
      <c r="E208" s="134">
        <v>3</v>
      </c>
      <c r="F208" s="134">
        <v>1</v>
      </c>
    </row>
    <row r="209" spans="1:6" ht="14.25" customHeight="1" x14ac:dyDescent="0.25">
      <c r="A209" s="134" t="s">
        <v>243</v>
      </c>
      <c r="B209" s="134" t="s">
        <v>337</v>
      </c>
      <c r="C209" s="134">
        <v>81</v>
      </c>
      <c r="D209" s="134" t="str">
        <f t="shared" si="0"/>
        <v>1/2" Round NeveRest 81</v>
      </c>
      <c r="E209" s="134">
        <v>3</v>
      </c>
      <c r="F209" s="134">
        <v>1</v>
      </c>
    </row>
    <row r="210" spans="1:6" ht="14.25" customHeight="1" x14ac:dyDescent="0.25">
      <c r="A210" s="134" t="s">
        <v>243</v>
      </c>
      <c r="B210" s="134" t="s">
        <v>337</v>
      </c>
      <c r="C210" s="134">
        <v>90</v>
      </c>
      <c r="D210" s="134" t="str">
        <f t="shared" si="0"/>
        <v>1/2" Round NeveRest 90</v>
      </c>
      <c r="E210" s="134">
        <v>1</v>
      </c>
      <c r="F210" s="134">
        <v>1</v>
      </c>
    </row>
    <row r="211" spans="1:6" ht="14.25" customHeight="1" x14ac:dyDescent="0.25">
      <c r="A211" s="134" t="s">
        <v>243</v>
      </c>
      <c r="B211" s="134" t="s">
        <v>337</v>
      </c>
      <c r="C211" s="134">
        <v>100</v>
      </c>
      <c r="D211" s="134" t="str">
        <f t="shared" si="0"/>
        <v>1/2" Round NeveRest 100</v>
      </c>
      <c r="E211" s="134">
        <v>1</v>
      </c>
      <c r="F211" s="134">
        <v>1</v>
      </c>
    </row>
    <row r="212" spans="1:6" ht="14.25" customHeight="1" x14ac:dyDescent="0.25">
      <c r="A212" s="134" t="s">
        <v>243</v>
      </c>
      <c r="B212" s="134" t="s">
        <v>333</v>
      </c>
      <c r="C212" s="134">
        <v>9</v>
      </c>
      <c r="D212" s="134" t="str">
        <f t="shared" si="0"/>
        <v>1/2" Round BB RS-550 9</v>
      </c>
      <c r="E212" s="134">
        <v>10</v>
      </c>
      <c r="F212" s="134">
        <v>10</v>
      </c>
    </row>
    <row r="213" spans="1:6" ht="14.25" customHeight="1" x14ac:dyDescent="0.25">
      <c r="A213" s="134" t="s">
        <v>243</v>
      </c>
      <c r="B213" s="134" t="s">
        <v>333</v>
      </c>
      <c r="C213" s="134">
        <v>12</v>
      </c>
      <c r="D213" s="134" t="str">
        <f t="shared" si="0"/>
        <v>1/2" Round BB RS-550 12</v>
      </c>
      <c r="E213" s="134">
        <v>10</v>
      </c>
      <c r="F213" s="134">
        <v>7</v>
      </c>
    </row>
    <row r="214" spans="1:6" ht="14.25" customHeight="1" x14ac:dyDescent="0.25">
      <c r="A214" s="134" t="s">
        <v>243</v>
      </c>
      <c r="B214" s="134" t="s">
        <v>333</v>
      </c>
      <c r="C214" s="134">
        <v>15</v>
      </c>
      <c r="D214" s="134" t="str">
        <f t="shared" si="0"/>
        <v>1/2" Round BB RS-550 15</v>
      </c>
      <c r="E214" s="134">
        <v>10</v>
      </c>
      <c r="F214" s="134">
        <v>5</v>
      </c>
    </row>
    <row r="215" spans="1:6" ht="14.25" customHeight="1" x14ac:dyDescent="0.25">
      <c r="A215" s="134" t="s">
        <v>243</v>
      </c>
      <c r="B215" s="134" t="s">
        <v>333</v>
      </c>
      <c r="C215" s="134">
        <v>16</v>
      </c>
      <c r="D215" s="134" t="str">
        <f t="shared" si="0"/>
        <v>1/2" Round BB RS-550 16</v>
      </c>
      <c r="E215" s="134">
        <v>10</v>
      </c>
      <c r="F215" s="134">
        <v>5</v>
      </c>
    </row>
    <row r="216" spans="1:6" ht="14.25" customHeight="1" x14ac:dyDescent="0.25">
      <c r="A216" s="134" t="s">
        <v>243</v>
      </c>
      <c r="B216" s="134" t="s">
        <v>333</v>
      </c>
      <c r="C216" s="134">
        <v>20</v>
      </c>
      <c r="D216" s="134" t="str">
        <f t="shared" si="0"/>
        <v>1/2" Round BB RS-550 20</v>
      </c>
      <c r="E216" s="134">
        <v>10</v>
      </c>
      <c r="F216" s="134">
        <v>4</v>
      </c>
    </row>
    <row r="217" spans="1:6" ht="14.25" customHeight="1" x14ac:dyDescent="0.25">
      <c r="A217" s="134" t="s">
        <v>243</v>
      </c>
      <c r="B217" s="134" t="s">
        <v>333</v>
      </c>
      <c r="C217" s="134">
        <v>21</v>
      </c>
      <c r="D217" s="134" t="str">
        <f t="shared" si="0"/>
        <v>1/2" Round BB RS-550 21</v>
      </c>
      <c r="E217" s="134">
        <v>9</v>
      </c>
      <c r="F217" s="134">
        <v>4</v>
      </c>
    </row>
    <row r="218" spans="1:6" ht="14.25" customHeight="1" x14ac:dyDescent="0.25">
      <c r="A218" s="134" t="s">
        <v>243</v>
      </c>
      <c r="B218" s="134" t="s">
        <v>333</v>
      </c>
      <c r="C218" s="134">
        <v>25</v>
      </c>
      <c r="D218" s="134" t="str">
        <f t="shared" si="0"/>
        <v>1/2" Round BB RS-550 25</v>
      </c>
      <c r="E218" s="134">
        <v>7</v>
      </c>
      <c r="F218" s="134">
        <v>3</v>
      </c>
    </row>
    <row r="219" spans="1:6" ht="14.25" customHeight="1" x14ac:dyDescent="0.25">
      <c r="A219" s="134" t="s">
        <v>243</v>
      </c>
      <c r="B219" s="134" t="s">
        <v>333</v>
      </c>
      <c r="C219" s="134">
        <v>27</v>
      </c>
      <c r="D219" s="134" t="str">
        <f t="shared" si="0"/>
        <v>1/2" Round BB RS-550 27</v>
      </c>
      <c r="E219" s="134">
        <v>7</v>
      </c>
      <c r="F219" s="134">
        <v>3</v>
      </c>
    </row>
    <row r="220" spans="1:6" ht="14.25" customHeight="1" x14ac:dyDescent="0.25">
      <c r="A220" s="134" t="s">
        <v>243</v>
      </c>
      <c r="B220" s="134" t="s">
        <v>333</v>
      </c>
      <c r="C220" s="134">
        <v>28</v>
      </c>
      <c r="D220" s="134" t="str">
        <f t="shared" si="0"/>
        <v>1/2" Round BB RS-550 28</v>
      </c>
      <c r="E220" s="134">
        <v>7</v>
      </c>
      <c r="F220" s="134">
        <v>3</v>
      </c>
    </row>
    <row r="221" spans="1:6" ht="14.25" customHeight="1" x14ac:dyDescent="0.25">
      <c r="A221" s="134" t="s">
        <v>243</v>
      </c>
      <c r="B221" s="134" t="s">
        <v>333</v>
      </c>
      <c r="C221" s="134">
        <v>30</v>
      </c>
      <c r="D221" s="134" t="str">
        <f t="shared" si="0"/>
        <v>1/2" Round BB RS-550 30</v>
      </c>
      <c r="E221" s="134">
        <v>5</v>
      </c>
      <c r="F221" s="134">
        <v>3</v>
      </c>
    </row>
    <row r="222" spans="1:6" ht="14.25" customHeight="1" x14ac:dyDescent="0.25">
      <c r="A222" s="134" t="s">
        <v>243</v>
      </c>
      <c r="B222" s="134" t="s">
        <v>333</v>
      </c>
      <c r="C222" s="134">
        <v>35</v>
      </c>
      <c r="D222" s="134" t="str">
        <f t="shared" si="0"/>
        <v>1/2" Round BB RS-550 35</v>
      </c>
      <c r="E222" s="134">
        <v>5</v>
      </c>
      <c r="F222" s="134">
        <v>1</v>
      </c>
    </row>
    <row r="223" spans="1:6" ht="14.25" customHeight="1" x14ac:dyDescent="0.25">
      <c r="A223" s="134" t="s">
        <v>243</v>
      </c>
      <c r="B223" s="134" t="s">
        <v>333</v>
      </c>
      <c r="C223" s="134">
        <v>36</v>
      </c>
      <c r="D223" s="134" t="str">
        <f t="shared" si="0"/>
        <v>1/2" Round BB RS-550 36</v>
      </c>
      <c r="E223" s="134">
        <v>5</v>
      </c>
      <c r="F223" s="134">
        <v>1</v>
      </c>
    </row>
    <row r="224" spans="1:6" ht="14.25" customHeight="1" x14ac:dyDescent="0.25">
      <c r="A224" s="134" t="s">
        <v>243</v>
      </c>
      <c r="B224" s="134" t="s">
        <v>333</v>
      </c>
      <c r="C224" s="134">
        <v>40</v>
      </c>
      <c r="D224" s="134" t="str">
        <f t="shared" si="0"/>
        <v>1/2" Round BB RS-550 40</v>
      </c>
      <c r="E224" s="134">
        <v>5</v>
      </c>
      <c r="F224" s="134">
        <v>1</v>
      </c>
    </row>
    <row r="225" spans="1:6" ht="14.25" customHeight="1" x14ac:dyDescent="0.25">
      <c r="A225" s="134" t="s">
        <v>243</v>
      </c>
      <c r="B225" s="134" t="s">
        <v>333</v>
      </c>
      <c r="C225" s="134">
        <v>45</v>
      </c>
      <c r="D225" s="134" t="str">
        <f t="shared" si="0"/>
        <v>1/2" Round BB RS-550 45</v>
      </c>
      <c r="E225" s="134">
        <v>5</v>
      </c>
      <c r="F225" s="134">
        <v>1</v>
      </c>
    </row>
    <row r="226" spans="1:6" ht="14.25" customHeight="1" x14ac:dyDescent="0.25">
      <c r="A226" s="134" t="s">
        <v>243</v>
      </c>
      <c r="B226" s="134" t="s">
        <v>333</v>
      </c>
      <c r="C226" s="134">
        <v>49</v>
      </c>
      <c r="D226" s="134" t="str">
        <f t="shared" si="0"/>
        <v>1/2" Round BB RS-550 49</v>
      </c>
      <c r="E226" s="134">
        <v>5</v>
      </c>
      <c r="F226" s="134">
        <v>1</v>
      </c>
    </row>
    <row r="227" spans="1:6" ht="14.25" customHeight="1" x14ac:dyDescent="0.25">
      <c r="A227" s="134" t="s">
        <v>243</v>
      </c>
      <c r="B227" s="134" t="s">
        <v>333</v>
      </c>
      <c r="C227" s="134">
        <v>50</v>
      </c>
      <c r="D227" s="134" t="str">
        <f t="shared" si="0"/>
        <v>1/2" Round BB RS-550 50</v>
      </c>
      <c r="E227" s="134">
        <v>5</v>
      </c>
      <c r="F227" s="134">
        <v>1</v>
      </c>
    </row>
    <row r="228" spans="1:6" ht="14.25" customHeight="1" x14ac:dyDescent="0.25">
      <c r="A228" s="134" t="s">
        <v>243</v>
      </c>
      <c r="B228" s="134" t="s">
        <v>333</v>
      </c>
      <c r="C228" s="134">
        <v>63</v>
      </c>
      <c r="D228" s="134" t="str">
        <f t="shared" si="0"/>
        <v>1/2" Round BB RS-550 63</v>
      </c>
      <c r="E228" s="134">
        <v>4</v>
      </c>
      <c r="F228" s="134">
        <v>1</v>
      </c>
    </row>
    <row r="229" spans="1:6" ht="14.25" customHeight="1" x14ac:dyDescent="0.25">
      <c r="A229" s="134" t="s">
        <v>243</v>
      </c>
      <c r="B229" s="134" t="s">
        <v>333</v>
      </c>
      <c r="C229" s="134">
        <v>70</v>
      </c>
      <c r="D229" s="134" t="str">
        <f t="shared" si="0"/>
        <v>1/2" Round BB RS-550 70</v>
      </c>
      <c r="E229" s="134">
        <v>3</v>
      </c>
      <c r="F229" s="134">
        <v>1</v>
      </c>
    </row>
    <row r="230" spans="1:6" ht="14.25" customHeight="1" x14ac:dyDescent="0.25">
      <c r="A230" s="134" t="s">
        <v>243</v>
      </c>
      <c r="B230" s="134" t="s">
        <v>333</v>
      </c>
      <c r="C230" s="134">
        <v>81</v>
      </c>
      <c r="D230" s="134" t="str">
        <f t="shared" si="0"/>
        <v>1/2" Round BB RS-550 81</v>
      </c>
      <c r="E230" s="134">
        <v>3</v>
      </c>
      <c r="F230" s="134">
        <v>1</v>
      </c>
    </row>
    <row r="231" spans="1:6" ht="14.25" customHeight="1" x14ac:dyDescent="0.25">
      <c r="A231" s="134" t="s">
        <v>243</v>
      </c>
      <c r="B231" s="134" t="s">
        <v>333</v>
      </c>
      <c r="C231" s="134">
        <v>90</v>
      </c>
      <c r="D231" s="134" t="str">
        <f t="shared" si="0"/>
        <v>1/2" Round BB RS-550 90</v>
      </c>
      <c r="E231" s="134">
        <v>1</v>
      </c>
      <c r="F231" s="134">
        <v>1</v>
      </c>
    </row>
    <row r="232" spans="1:6" ht="14.25" customHeight="1" x14ac:dyDescent="0.25">
      <c r="A232" s="134" t="s">
        <v>243</v>
      </c>
      <c r="B232" s="134" t="s">
        <v>333</v>
      </c>
      <c r="C232" s="134">
        <v>100</v>
      </c>
      <c r="D232" s="134" t="str">
        <f t="shared" si="0"/>
        <v>1/2" Round BB RS-550 100</v>
      </c>
      <c r="E232" s="134">
        <v>1</v>
      </c>
      <c r="F232" s="134">
        <v>0</v>
      </c>
    </row>
    <row r="233" spans="1:6" ht="14.25" customHeight="1" x14ac:dyDescent="0.25">
      <c r="A233" s="134" t="s">
        <v>243</v>
      </c>
      <c r="B233" s="134" t="s">
        <v>334</v>
      </c>
      <c r="C233" s="134">
        <v>9</v>
      </c>
      <c r="D233" s="134" t="str">
        <f t="shared" si="0"/>
        <v>1/2" Round BB RS-775 9</v>
      </c>
      <c r="E233" s="134">
        <v>10</v>
      </c>
      <c r="F233" s="134">
        <v>10</v>
      </c>
    </row>
    <row r="234" spans="1:6" ht="14.25" customHeight="1" x14ac:dyDescent="0.25">
      <c r="A234" s="134" t="s">
        <v>243</v>
      </c>
      <c r="B234" s="134" t="s">
        <v>334</v>
      </c>
      <c r="C234" s="134">
        <v>12</v>
      </c>
      <c r="D234" s="134" t="str">
        <f t="shared" si="0"/>
        <v>1/2" Round BB RS-775 12</v>
      </c>
      <c r="E234" s="134">
        <v>10</v>
      </c>
      <c r="F234" s="134">
        <v>10</v>
      </c>
    </row>
    <row r="235" spans="1:6" ht="14.25" customHeight="1" x14ac:dyDescent="0.25">
      <c r="A235" s="134" t="s">
        <v>243</v>
      </c>
      <c r="B235" s="134" t="s">
        <v>334</v>
      </c>
      <c r="C235" s="134">
        <v>15</v>
      </c>
      <c r="D235" s="134" t="str">
        <f t="shared" si="0"/>
        <v>1/2" Round BB RS-775 15</v>
      </c>
      <c r="E235" s="134">
        <v>7</v>
      </c>
      <c r="F235" s="134">
        <v>7</v>
      </c>
    </row>
    <row r="236" spans="1:6" ht="14.25" customHeight="1" x14ac:dyDescent="0.25">
      <c r="A236" s="134" t="s">
        <v>243</v>
      </c>
      <c r="B236" s="134" t="s">
        <v>334</v>
      </c>
      <c r="C236" s="134">
        <v>16</v>
      </c>
      <c r="D236" s="134" t="str">
        <f t="shared" si="0"/>
        <v>1/2" Round BB RS-775 16</v>
      </c>
      <c r="E236" s="134">
        <v>7</v>
      </c>
      <c r="F236" s="134">
        <v>7</v>
      </c>
    </row>
    <row r="237" spans="1:6" ht="14.25" customHeight="1" x14ac:dyDescent="0.25">
      <c r="A237" s="134" t="s">
        <v>243</v>
      </c>
      <c r="B237" s="134" t="s">
        <v>334</v>
      </c>
      <c r="C237" s="134">
        <v>20</v>
      </c>
      <c r="D237" s="134" t="str">
        <f t="shared" si="0"/>
        <v>1/2" Round BB RS-775 20</v>
      </c>
      <c r="E237" s="134">
        <v>5</v>
      </c>
      <c r="F237" s="134">
        <v>5</v>
      </c>
    </row>
    <row r="238" spans="1:6" ht="14.25" customHeight="1" x14ac:dyDescent="0.25">
      <c r="A238" s="134" t="s">
        <v>243</v>
      </c>
      <c r="B238" s="134" t="s">
        <v>334</v>
      </c>
      <c r="C238" s="134">
        <v>21</v>
      </c>
      <c r="D238" s="134" t="str">
        <f t="shared" si="0"/>
        <v>1/2" Round BB RS-775 21</v>
      </c>
      <c r="E238" s="134">
        <v>5</v>
      </c>
      <c r="F238" s="134">
        <v>5</v>
      </c>
    </row>
    <row r="239" spans="1:6" ht="14.25" customHeight="1" x14ac:dyDescent="0.25">
      <c r="A239" s="134" t="s">
        <v>243</v>
      </c>
      <c r="B239" s="134" t="s">
        <v>334</v>
      </c>
      <c r="C239" s="134">
        <v>25</v>
      </c>
      <c r="D239" s="134" t="str">
        <f t="shared" si="0"/>
        <v>1/2" Round BB RS-775 25</v>
      </c>
      <c r="E239" s="134">
        <v>5</v>
      </c>
      <c r="F239" s="134">
        <v>5</v>
      </c>
    </row>
    <row r="240" spans="1:6" ht="14.25" customHeight="1" x14ac:dyDescent="0.25">
      <c r="A240" s="134" t="s">
        <v>243</v>
      </c>
      <c r="B240" s="134" t="s">
        <v>334</v>
      </c>
      <c r="C240" s="134">
        <v>27</v>
      </c>
      <c r="D240" s="134" t="str">
        <f t="shared" si="0"/>
        <v>1/2" Round BB RS-775 27</v>
      </c>
      <c r="E240" s="134">
        <v>5</v>
      </c>
      <c r="F240" s="134">
        <v>4</v>
      </c>
    </row>
    <row r="241" spans="1:6" ht="14.25" customHeight="1" x14ac:dyDescent="0.25">
      <c r="A241" s="134" t="s">
        <v>243</v>
      </c>
      <c r="B241" s="134" t="s">
        <v>334</v>
      </c>
      <c r="C241" s="134">
        <v>28</v>
      </c>
      <c r="D241" s="134" t="str">
        <f t="shared" si="0"/>
        <v>1/2" Round BB RS-775 28</v>
      </c>
      <c r="E241" s="134">
        <v>5</v>
      </c>
      <c r="F241" s="134">
        <v>4</v>
      </c>
    </row>
    <row r="242" spans="1:6" ht="14.25" customHeight="1" x14ac:dyDescent="0.25">
      <c r="A242" s="134" t="s">
        <v>243</v>
      </c>
      <c r="B242" s="134" t="s">
        <v>334</v>
      </c>
      <c r="C242" s="134">
        <v>30</v>
      </c>
      <c r="D242" s="134" t="str">
        <f t="shared" si="0"/>
        <v>1/2" Round BB RS-775 30</v>
      </c>
      <c r="E242" s="134">
        <v>5</v>
      </c>
      <c r="F242" s="134">
        <v>4</v>
      </c>
    </row>
    <row r="243" spans="1:6" ht="14.25" customHeight="1" x14ac:dyDescent="0.25">
      <c r="A243" s="134" t="s">
        <v>243</v>
      </c>
      <c r="B243" s="134" t="s">
        <v>334</v>
      </c>
      <c r="C243" s="134">
        <v>35</v>
      </c>
      <c r="D243" s="134" t="str">
        <f t="shared" si="0"/>
        <v>1/2" Round BB RS-775 35</v>
      </c>
      <c r="E243" s="134">
        <v>4</v>
      </c>
      <c r="F243" s="134">
        <v>3</v>
      </c>
    </row>
    <row r="244" spans="1:6" ht="14.25" customHeight="1" x14ac:dyDescent="0.25">
      <c r="A244" s="134" t="s">
        <v>243</v>
      </c>
      <c r="B244" s="134" t="s">
        <v>334</v>
      </c>
      <c r="C244" s="134">
        <v>36</v>
      </c>
      <c r="D244" s="134" t="str">
        <f t="shared" si="0"/>
        <v>1/2" Round BB RS-775 36</v>
      </c>
      <c r="E244" s="134">
        <v>4</v>
      </c>
      <c r="F244" s="134">
        <v>3</v>
      </c>
    </row>
    <row r="245" spans="1:6" ht="14.25" customHeight="1" x14ac:dyDescent="0.25">
      <c r="A245" s="134" t="s">
        <v>243</v>
      </c>
      <c r="B245" s="134" t="s">
        <v>334</v>
      </c>
      <c r="C245" s="134">
        <v>40</v>
      </c>
      <c r="D245" s="134" t="str">
        <f t="shared" si="0"/>
        <v>1/2" Round BB RS-775 40</v>
      </c>
      <c r="E245" s="134">
        <v>4</v>
      </c>
      <c r="F245" s="134">
        <v>3</v>
      </c>
    </row>
    <row r="246" spans="1:6" ht="14.25" customHeight="1" x14ac:dyDescent="0.25">
      <c r="A246" s="134" t="s">
        <v>243</v>
      </c>
      <c r="B246" s="134" t="s">
        <v>334</v>
      </c>
      <c r="C246" s="134">
        <v>45</v>
      </c>
      <c r="D246" s="134" t="str">
        <f t="shared" si="0"/>
        <v>1/2" Round BB RS-775 45</v>
      </c>
      <c r="E246" s="134">
        <v>3</v>
      </c>
      <c r="F246" s="134">
        <v>1</v>
      </c>
    </row>
    <row r="247" spans="1:6" ht="14.25" customHeight="1" x14ac:dyDescent="0.25">
      <c r="A247" s="134" t="s">
        <v>243</v>
      </c>
      <c r="B247" s="134" t="s">
        <v>334</v>
      </c>
      <c r="C247" s="134">
        <v>49</v>
      </c>
      <c r="D247" s="134" t="str">
        <f t="shared" si="0"/>
        <v>1/2" Round BB RS-775 49</v>
      </c>
      <c r="E247" s="134">
        <v>3</v>
      </c>
      <c r="F247" s="134">
        <v>1</v>
      </c>
    </row>
    <row r="248" spans="1:6" ht="14.25" customHeight="1" x14ac:dyDescent="0.25">
      <c r="A248" s="134" t="s">
        <v>243</v>
      </c>
      <c r="B248" s="134" t="s">
        <v>334</v>
      </c>
      <c r="C248" s="134">
        <v>50</v>
      </c>
      <c r="D248" s="134" t="str">
        <f t="shared" si="0"/>
        <v>1/2" Round BB RS-775 50</v>
      </c>
      <c r="E248" s="134">
        <v>3</v>
      </c>
      <c r="F248" s="134">
        <v>1</v>
      </c>
    </row>
    <row r="249" spans="1:6" ht="14.25" customHeight="1" x14ac:dyDescent="0.25">
      <c r="A249" s="134" t="s">
        <v>243</v>
      </c>
      <c r="B249" s="134" t="s">
        <v>334</v>
      </c>
      <c r="C249" s="134">
        <v>63</v>
      </c>
      <c r="D249" s="134" t="str">
        <f t="shared" si="0"/>
        <v>1/2" Round BB RS-775 63</v>
      </c>
      <c r="E249" s="134">
        <v>1</v>
      </c>
      <c r="F249" s="134">
        <v>1</v>
      </c>
    </row>
    <row r="250" spans="1:6" ht="14.25" customHeight="1" x14ac:dyDescent="0.25">
      <c r="A250" s="134" t="s">
        <v>243</v>
      </c>
      <c r="B250" s="134" t="s">
        <v>334</v>
      </c>
      <c r="C250" s="134">
        <v>70</v>
      </c>
      <c r="D250" s="134" t="str">
        <f t="shared" si="0"/>
        <v>1/2" Round BB RS-775 70</v>
      </c>
      <c r="E250" s="134">
        <v>1</v>
      </c>
      <c r="F250" s="134">
        <v>1</v>
      </c>
    </row>
    <row r="251" spans="1:6" ht="14.25" customHeight="1" x14ac:dyDescent="0.25">
      <c r="A251" s="134" t="s">
        <v>243</v>
      </c>
      <c r="B251" s="134" t="s">
        <v>334</v>
      </c>
      <c r="C251" s="134">
        <v>81</v>
      </c>
      <c r="D251" s="134" t="str">
        <f t="shared" si="0"/>
        <v>1/2" Round BB RS-775 81</v>
      </c>
      <c r="E251" s="134">
        <v>1</v>
      </c>
      <c r="F251" s="134">
        <v>1</v>
      </c>
    </row>
    <row r="252" spans="1:6" ht="14.25" customHeight="1" x14ac:dyDescent="0.25">
      <c r="A252" s="134" t="s">
        <v>243</v>
      </c>
      <c r="B252" s="134" t="s">
        <v>334</v>
      </c>
      <c r="C252" s="134">
        <v>90</v>
      </c>
      <c r="D252" s="134" t="str">
        <f t="shared" si="0"/>
        <v>1/2" Round BB RS-775 90</v>
      </c>
      <c r="E252" s="134">
        <v>1</v>
      </c>
      <c r="F252" s="134">
        <v>1</v>
      </c>
    </row>
    <row r="253" spans="1:6" ht="14.25" customHeight="1" x14ac:dyDescent="0.25">
      <c r="A253" s="134" t="s">
        <v>243</v>
      </c>
      <c r="B253" s="134" t="s">
        <v>334</v>
      </c>
      <c r="C253" s="134">
        <v>100</v>
      </c>
      <c r="D253" s="134" t="str">
        <f t="shared" si="0"/>
        <v>1/2" Round BB RS-775 100</v>
      </c>
      <c r="E253" s="134">
        <v>1</v>
      </c>
      <c r="F253" s="134">
        <v>1</v>
      </c>
    </row>
    <row r="254" spans="1:6" ht="14.25" customHeight="1" x14ac:dyDescent="0.25">
      <c r="A254" s="134" t="s">
        <v>243</v>
      </c>
      <c r="B254" s="134" t="s">
        <v>257</v>
      </c>
      <c r="C254" s="134">
        <v>9</v>
      </c>
      <c r="D254" s="134" t="str">
        <f t="shared" si="0"/>
        <v>1/2" Round BAG 9</v>
      </c>
      <c r="E254" s="134">
        <v>10</v>
      </c>
      <c r="F254" s="134">
        <v>9</v>
      </c>
    </row>
    <row r="255" spans="1:6" ht="14.25" customHeight="1" x14ac:dyDescent="0.25">
      <c r="A255" s="134" t="s">
        <v>243</v>
      </c>
      <c r="B255" s="134" t="s">
        <v>257</v>
      </c>
      <c r="C255" s="134">
        <v>12</v>
      </c>
      <c r="D255" s="134" t="str">
        <f t="shared" si="0"/>
        <v>1/2" Round BAG 12</v>
      </c>
      <c r="E255" s="134">
        <v>10</v>
      </c>
      <c r="F255" s="134">
        <v>5</v>
      </c>
    </row>
    <row r="256" spans="1:6" ht="14.25" customHeight="1" x14ac:dyDescent="0.25">
      <c r="A256" s="134" t="s">
        <v>243</v>
      </c>
      <c r="B256" s="134" t="s">
        <v>257</v>
      </c>
      <c r="C256" s="134">
        <v>15</v>
      </c>
      <c r="D256" s="134" t="str">
        <f t="shared" si="0"/>
        <v>1/2" Round BAG 15</v>
      </c>
      <c r="E256" s="134">
        <v>10</v>
      </c>
      <c r="F256" s="134">
        <v>5</v>
      </c>
    </row>
    <row r="257" spans="1:6" ht="14.25" customHeight="1" x14ac:dyDescent="0.25">
      <c r="A257" s="134" t="s">
        <v>243</v>
      </c>
      <c r="B257" s="134" t="s">
        <v>257</v>
      </c>
      <c r="C257" s="134">
        <v>16</v>
      </c>
      <c r="D257" s="134" t="str">
        <f t="shared" ref="D257:D511" si="1">A257&amp;" "&amp;B257&amp;" "&amp;C257</f>
        <v>1/2" Round BAG 16</v>
      </c>
      <c r="E257" s="134">
        <v>10</v>
      </c>
      <c r="F257" s="134">
        <v>5</v>
      </c>
    </row>
    <row r="258" spans="1:6" ht="14.25" customHeight="1" x14ac:dyDescent="0.25">
      <c r="A258" s="134" t="s">
        <v>243</v>
      </c>
      <c r="B258" s="134" t="s">
        <v>257</v>
      </c>
      <c r="C258" s="134">
        <v>20</v>
      </c>
      <c r="D258" s="134" t="str">
        <f t="shared" si="1"/>
        <v>1/2" Round BAG 20</v>
      </c>
      <c r="E258" s="134">
        <v>10</v>
      </c>
      <c r="F258" s="134">
        <v>4</v>
      </c>
    </row>
    <row r="259" spans="1:6" ht="14.25" customHeight="1" x14ac:dyDescent="0.25">
      <c r="A259" s="134" t="s">
        <v>243</v>
      </c>
      <c r="B259" s="134" t="s">
        <v>257</v>
      </c>
      <c r="C259" s="134">
        <v>21</v>
      </c>
      <c r="D259" s="134" t="str">
        <f t="shared" si="1"/>
        <v>1/2" Round BAG 21</v>
      </c>
      <c r="E259" s="134">
        <v>10</v>
      </c>
      <c r="F259" s="134">
        <v>3</v>
      </c>
    </row>
    <row r="260" spans="1:6" ht="14.25" customHeight="1" x14ac:dyDescent="0.25">
      <c r="A260" s="134" t="s">
        <v>243</v>
      </c>
      <c r="B260" s="134" t="s">
        <v>257</v>
      </c>
      <c r="C260" s="134">
        <v>25</v>
      </c>
      <c r="D260" s="134" t="str">
        <f t="shared" si="1"/>
        <v>1/2" Round BAG 25</v>
      </c>
      <c r="E260" s="134">
        <v>7</v>
      </c>
      <c r="F260" s="134">
        <v>3</v>
      </c>
    </row>
    <row r="261" spans="1:6" ht="14.25" customHeight="1" x14ac:dyDescent="0.25">
      <c r="A261" s="134" t="s">
        <v>243</v>
      </c>
      <c r="B261" s="134" t="s">
        <v>257</v>
      </c>
      <c r="C261" s="134">
        <v>27</v>
      </c>
      <c r="D261" s="134" t="str">
        <f t="shared" si="1"/>
        <v>1/2" Round BAG 27</v>
      </c>
      <c r="E261" s="134">
        <v>7</v>
      </c>
      <c r="F261" s="134">
        <v>3</v>
      </c>
    </row>
    <row r="262" spans="1:6" ht="14.25" customHeight="1" x14ac:dyDescent="0.25">
      <c r="A262" s="134" t="s">
        <v>243</v>
      </c>
      <c r="B262" s="134" t="s">
        <v>257</v>
      </c>
      <c r="C262" s="134">
        <v>28</v>
      </c>
      <c r="D262" s="134" t="str">
        <f t="shared" si="1"/>
        <v>1/2" Round BAG 28</v>
      </c>
      <c r="E262" s="134">
        <v>7</v>
      </c>
      <c r="F262" s="134">
        <v>1</v>
      </c>
    </row>
    <row r="263" spans="1:6" ht="14.25" customHeight="1" x14ac:dyDescent="0.25">
      <c r="A263" s="134" t="s">
        <v>243</v>
      </c>
      <c r="B263" s="134" t="s">
        <v>257</v>
      </c>
      <c r="C263" s="134">
        <v>30</v>
      </c>
      <c r="D263" s="134" t="str">
        <f t="shared" si="1"/>
        <v>1/2" Round BAG 30</v>
      </c>
      <c r="E263" s="134">
        <v>7</v>
      </c>
      <c r="F263" s="134">
        <v>1</v>
      </c>
    </row>
    <row r="264" spans="1:6" ht="14.25" customHeight="1" x14ac:dyDescent="0.25">
      <c r="A264" s="134" t="s">
        <v>243</v>
      </c>
      <c r="B264" s="134" t="s">
        <v>257</v>
      </c>
      <c r="C264" s="134">
        <v>35</v>
      </c>
      <c r="D264" s="134" t="str">
        <f t="shared" si="1"/>
        <v>1/2" Round BAG 35</v>
      </c>
      <c r="E264" s="134">
        <v>5</v>
      </c>
      <c r="F264" s="134">
        <v>1</v>
      </c>
    </row>
    <row r="265" spans="1:6" ht="14.25" customHeight="1" x14ac:dyDescent="0.25">
      <c r="A265" s="134" t="s">
        <v>243</v>
      </c>
      <c r="B265" s="134" t="s">
        <v>257</v>
      </c>
      <c r="C265" s="134">
        <v>36</v>
      </c>
      <c r="D265" s="134" t="str">
        <f t="shared" si="1"/>
        <v>1/2" Round BAG 36</v>
      </c>
      <c r="E265" s="134">
        <v>5</v>
      </c>
      <c r="F265" s="134">
        <v>1</v>
      </c>
    </row>
    <row r="266" spans="1:6" ht="14.25" customHeight="1" x14ac:dyDescent="0.25">
      <c r="A266" s="134" t="s">
        <v>243</v>
      </c>
      <c r="B266" s="134" t="s">
        <v>257</v>
      </c>
      <c r="C266" s="134">
        <v>40</v>
      </c>
      <c r="D266" s="134" t="str">
        <f t="shared" si="1"/>
        <v>1/2" Round BAG 40</v>
      </c>
      <c r="E266" s="134">
        <v>5</v>
      </c>
      <c r="F266" s="134">
        <v>1</v>
      </c>
    </row>
    <row r="267" spans="1:6" ht="14.25" customHeight="1" x14ac:dyDescent="0.25">
      <c r="A267" s="134" t="s">
        <v>243</v>
      </c>
      <c r="B267" s="134" t="s">
        <v>257</v>
      </c>
      <c r="C267" s="134">
        <v>45</v>
      </c>
      <c r="D267" s="134" t="str">
        <f t="shared" si="1"/>
        <v>1/2" Round BAG 45</v>
      </c>
      <c r="E267" s="134">
        <v>5</v>
      </c>
      <c r="F267" s="134">
        <v>1</v>
      </c>
    </row>
    <row r="268" spans="1:6" ht="14.25" customHeight="1" x14ac:dyDescent="0.25">
      <c r="A268" s="134" t="s">
        <v>243</v>
      </c>
      <c r="B268" s="134" t="s">
        <v>257</v>
      </c>
      <c r="C268" s="134">
        <v>49</v>
      </c>
      <c r="D268" s="134" t="str">
        <f t="shared" si="1"/>
        <v>1/2" Round BAG 49</v>
      </c>
      <c r="E268" s="134">
        <v>5</v>
      </c>
      <c r="F268" s="134">
        <v>1</v>
      </c>
    </row>
    <row r="269" spans="1:6" ht="14.25" customHeight="1" x14ac:dyDescent="0.25">
      <c r="A269" s="134" t="s">
        <v>243</v>
      </c>
      <c r="B269" s="134" t="s">
        <v>257</v>
      </c>
      <c r="C269" s="134">
        <v>50</v>
      </c>
      <c r="D269" s="134" t="str">
        <f t="shared" si="1"/>
        <v>1/2" Round BAG 50</v>
      </c>
      <c r="E269" s="134">
        <v>5</v>
      </c>
      <c r="F269" s="134">
        <v>1</v>
      </c>
    </row>
    <row r="270" spans="1:6" ht="14.25" customHeight="1" x14ac:dyDescent="0.25">
      <c r="A270" s="134" t="s">
        <v>243</v>
      </c>
      <c r="B270" s="134" t="s">
        <v>257</v>
      </c>
      <c r="C270" s="134">
        <v>63</v>
      </c>
      <c r="D270" s="134" t="str">
        <f t="shared" si="1"/>
        <v>1/2" Round BAG 63</v>
      </c>
      <c r="E270" s="134">
        <v>4</v>
      </c>
      <c r="F270" s="134">
        <v>1</v>
      </c>
    </row>
    <row r="271" spans="1:6" ht="14.25" customHeight="1" x14ac:dyDescent="0.25">
      <c r="A271" s="134" t="s">
        <v>243</v>
      </c>
      <c r="B271" s="134" t="s">
        <v>257</v>
      </c>
      <c r="C271" s="134">
        <v>70</v>
      </c>
      <c r="D271" s="134" t="str">
        <f t="shared" si="1"/>
        <v>1/2" Round BAG 70</v>
      </c>
      <c r="E271" s="134">
        <v>4</v>
      </c>
      <c r="F271" s="134">
        <v>1</v>
      </c>
    </row>
    <row r="272" spans="1:6" ht="14.25" customHeight="1" x14ac:dyDescent="0.25">
      <c r="A272" s="134" t="s">
        <v>243</v>
      </c>
      <c r="B272" s="134" t="s">
        <v>257</v>
      </c>
      <c r="C272" s="134">
        <v>81</v>
      </c>
      <c r="D272" s="134" t="str">
        <f t="shared" si="1"/>
        <v>1/2" Round BAG 81</v>
      </c>
      <c r="E272" s="134">
        <v>3</v>
      </c>
      <c r="F272" s="134">
        <v>1</v>
      </c>
    </row>
    <row r="273" spans="1:6" ht="14.25" customHeight="1" x14ac:dyDescent="0.25">
      <c r="A273" s="134" t="s">
        <v>243</v>
      </c>
      <c r="B273" s="134" t="s">
        <v>257</v>
      </c>
      <c r="C273" s="134">
        <v>90</v>
      </c>
      <c r="D273" s="134" t="str">
        <f t="shared" si="1"/>
        <v>1/2" Round BAG 90</v>
      </c>
      <c r="E273" s="134">
        <v>3</v>
      </c>
      <c r="F273" s="134">
        <v>0</v>
      </c>
    </row>
    <row r="274" spans="1:6" ht="14.25" customHeight="1" x14ac:dyDescent="0.25">
      <c r="A274" s="134" t="s">
        <v>243</v>
      </c>
      <c r="B274" s="134" t="s">
        <v>257</v>
      </c>
      <c r="C274" s="134">
        <v>100</v>
      </c>
      <c r="D274" s="134" t="str">
        <f t="shared" si="1"/>
        <v>1/2" Round BAG 100</v>
      </c>
      <c r="E274" s="134">
        <v>1</v>
      </c>
      <c r="F274" s="134">
        <v>0</v>
      </c>
    </row>
    <row r="275" spans="1:6" ht="14.25" customHeight="1" x14ac:dyDescent="0.25">
      <c r="A275" s="134" t="s">
        <v>243</v>
      </c>
      <c r="B275" s="134" t="s">
        <v>7</v>
      </c>
      <c r="C275" s="134">
        <v>9</v>
      </c>
      <c r="D275" s="134" t="str">
        <f t="shared" si="1"/>
        <v>1/2" Round Mini CIM 9</v>
      </c>
      <c r="E275" s="134">
        <v>7</v>
      </c>
      <c r="F275" s="134">
        <v>0</v>
      </c>
    </row>
    <row r="276" spans="1:6" ht="14.25" customHeight="1" x14ac:dyDescent="0.25">
      <c r="A276" s="134" t="s">
        <v>243</v>
      </c>
      <c r="B276" s="134" t="s">
        <v>7</v>
      </c>
      <c r="C276" s="134">
        <v>12</v>
      </c>
      <c r="D276" s="134" t="str">
        <f t="shared" si="1"/>
        <v>1/2" Round Mini CIM 12</v>
      </c>
      <c r="E276" s="134">
        <v>5</v>
      </c>
      <c r="F276" s="134">
        <v>0</v>
      </c>
    </row>
    <row r="277" spans="1:6" ht="14.25" customHeight="1" x14ac:dyDescent="0.25">
      <c r="A277" s="134" t="s">
        <v>243</v>
      </c>
      <c r="B277" s="134" t="s">
        <v>7</v>
      </c>
      <c r="C277" s="134">
        <v>15</v>
      </c>
      <c r="D277" s="134" t="str">
        <f t="shared" si="1"/>
        <v>1/2" Round Mini CIM 15</v>
      </c>
      <c r="E277" s="134">
        <v>5</v>
      </c>
      <c r="F277" s="134">
        <v>0</v>
      </c>
    </row>
    <row r="278" spans="1:6" ht="14.25" customHeight="1" x14ac:dyDescent="0.25">
      <c r="A278" s="134" t="s">
        <v>243</v>
      </c>
      <c r="B278" s="134" t="s">
        <v>7</v>
      </c>
      <c r="C278" s="134">
        <v>16</v>
      </c>
      <c r="D278" s="134" t="str">
        <f t="shared" si="1"/>
        <v>1/2" Round Mini CIM 16</v>
      </c>
      <c r="E278" s="134">
        <v>5</v>
      </c>
      <c r="F278" s="134">
        <v>0</v>
      </c>
    </row>
    <row r="279" spans="1:6" ht="14.25" customHeight="1" x14ac:dyDescent="0.25">
      <c r="A279" s="134" t="s">
        <v>243</v>
      </c>
      <c r="B279" s="134" t="s">
        <v>7</v>
      </c>
      <c r="C279" s="134">
        <v>20</v>
      </c>
      <c r="D279" s="134" t="str">
        <f t="shared" si="1"/>
        <v>1/2" Round Mini CIM 20</v>
      </c>
      <c r="E279" s="134">
        <v>4</v>
      </c>
      <c r="F279" s="134">
        <v>0</v>
      </c>
    </row>
    <row r="280" spans="1:6" ht="14.25" customHeight="1" x14ac:dyDescent="0.25">
      <c r="A280" s="134" t="s">
        <v>243</v>
      </c>
      <c r="B280" s="134" t="s">
        <v>7</v>
      </c>
      <c r="C280" s="134">
        <v>21</v>
      </c>
      <c r="D280" s="134" t="str">
        <f t="shared" si="1"/>
        <v>1/2" Round Mini CIM 21</v>
      </c>
      <c r="E280" s="134">
        <v>4</v>
      </c>
      <c r="F280" s="134">
        <v>0</v>
      </c>
    </row>
    <row r="281" spans="1:6" ht="14.25" customHeight="1" x14ac:dyDescent="0.25">
      <c r="A281" s="134" t="s">
        <v>243</v>
      </c>
      <c r="B281" s="134" t="s">
        <v>7</v>
      </c>
      <c r="C281" s="134">
        <v>25</v>
      </c>
      <c r="D281" s="134" t="str">
        <f t="shared" si="1"/>
        <v>1/2" Round Mini CIM 25</v>
      </c>
      <c r="E281" s="134">
        <v>3</v>
      </c>
      <c r="F281" s="134">
        <v>0</v>
      </c>
    </row>
    <row r="282" spans="1:6" ht="14.25" customHeight="1" x14ac:dyDescent="0.25">
      <c r="A282" s="134" t="s">
        <v>243</v>
      </c>
      <c r="B282" s="134" t="s">
        <v>7</v>
      </c>
      <c r="C282" s="134">
        <v>27</v>
      </c>
      <c r="D282" s="134" t="str">
        <f t="shared" si="1"/>
        <v>1/2" Round Mini CIM 27</v>
      </c>
      <c r="E282" s="134">
        <v>3</v>
      </c>
      <c r="F282" s="134">
        <v>0</v>
      </c>
    </row>
    <row r="283" spans="1:6" ht="14.25" customHeight="1" x14ac:dyDescent="0.25">
      <c r="A283" s="134" t="s">
        <v>243</v>
      </c>
      <c r="B283" s="134" t="s">
        <v>7</v>
      </c>
      <c r="C283" s="134">
        <v>28</v>
      </c>
      <c r="D283" s="134" t="str">
        <f t="shared" si="1"/>
        <v>1/2" Round Mini CIM 28</v>
      </c>
      <c r="E283" s="134">
        <v>3</v>
      </c>
      <c r="F283" s="134">
        <v>0</v>
      </c>
    </row>
    <row r="284" spans="1:6" ht="14.25" customHeight="1" x14ac:dyDescent="0.25">
      <c r="A284" s="134" t="s">
        <v>243</v>
      </c>
      <c r="B284" s="134" t="s">
        <v>7</v>
      </c>
      <c r="C284" s="134">
        <v>30</v>
      </c>
      <c r="D284" s="134" t="str">
        <f t="shared" si="1"/>
        <v>1/2" Round Mini CIM 30</v>
      </c>
      <c r="E284" s="134">
        <v>3</v>
      </c>
      <c r="F284" s="134">
        <v>0</v>
      </c>
    </row>
    <row r="285" spans="1:6" ht="14.25" customHeight="1" x14ac:dyDescent="0.25">
      <c r="A285" s="134" t="s">
        <v>243</v>
      </c>
      <c r="B285" s="134" t="s">
        <v>7</v>
      </c>
      <c r="C285" s="134">
        <v>35</v>
      </c>
      <c r="D285" s="134" t="str">
        <f t="shared" si="1"/>
        <v>1/2" Round Mini CIM 35</v>
      </c>
      <c r="E285" s="134">
        <v>1</v>
      </c>
      <c r="F285" s="134">
        <v>0</v>
      </c>
    </row>
    <row r="286" spans="1:6" ht="14.25" customHeight="1" x14ac:dyDescent="0.25">
      <c r="A286" s="134" t="s">
        <v>243</v>
      </c>
      <c r="B286" s="134" t="s">
        <v>7</v>
      </c>
      <c r="C286" s="134">
        <v>36</v>
      </c>
      <c r="D286" s="134" t="str">
        <f t="shared" si="1"/>
        <v>1/2" Round Mini CIM 36</v>
      </c>
      <c r="E286" s="134">
        <v>1</v>
      </c>
      <c r="F286" s="134">
        <v>0</v>
      </c>
    </row>
    <row r="287" spans="1:6" ht="14.25" customHeight="1" x14ac:dyDescent="0.25">
      <c r="A287" s="134" t="s">
        <v>243</v>
      </c>
      <c r="B287" s="134" t="s">
        <v>7</v>
      </c>
      <c r="C287" s="134">
        <v>40</v>
      </c>
      <c r="D287" s="134" t="str">
        <f t="shared" si="1"/>
        <v>1/2" Round Mini CIM 40</v>
      </c>
      <c r="E287" s="134">
        <v>1</v>
      </c>
      <c r="F287" s="134">
        <v>0</v>
      </c>
    </row>
    <row r="288" spans="1:6" ht="14.25" customHeight="1" x14ac:dyDescent="0.25">
      <c r="A288" s="134" t="s">
        <v>243</v>
      </c>
      <c r="B288" s="134" t="s">
        <v>7</v>
      </c>
      <c r="C288" s="134">
        <v>45</v>
      </c>
      <c r="D288" s="134" t="str">
        <f t="shared" si="1"/>
        <v>1/2" Round Mini CIM 45</v>
      </c>
      <c r="E288" s="134">
        <v>1</v>
      </c>
      <c r="F288" s="134">
        <v>0</v>
      </c>
    </row>
    <row r="289" spans="1:6" ht="14.25" customHeight="1" x14ac:dyDescent="0.25">
      <c r="A289" s="134" t="s">
        <v>243</v>
      </c>
      <c r="B289" s="134" t="s">
        <v>7</v>
      </c>
      <c r="C289" s="134">
        <v>49</v>
      </c>
      <c r="D289" s="134" t="str">
        <f t="shared" si="1"/>
        <v>1/2" Round Mini CIM 49</v>
      </c>
      <c r="E289" s="134">
        <v>1</v>
      </c>
      <c r="F289" s="134">
        <v>0</v>
      </c>
    </row>
    <row r="290" spans="1:6" ht="14.25" customHeight="1" x14ac:dyDescent="0.25">
      <c r="A290" s="134" t="s">
        <v>243</v>
      </c>
      <c r="B290" s="134" t="s">
        <v>7</v>
      </c>
      <c r="C290" s="134">
        <v>50</v>
      </c>
      <c r="D290" s="134" t="str">
        <f t="shared" si="1"/>
        <v>1/2" Round Mini CIM 50</v>
      </c>
      <c r="E290" s="134">
        <v>1</v>
      </c>
      <c r="F290" s="134">
        <v>0</v>
      </c>
    </row>
    <row r="291" spans="1:6" ht="14.25" customHeight="1" x14ac:dyDescent="0.25">
      <c r="A291" s="134" t="s">
        <v>243</v>
      </c>
      <c r="B291" s="134" t="s">
        <v>7</v>
      </c>
      <c r="C291" s="134">
        <v>63</v>
      </c>
      <c r="D291" s="134" t="str">
        <f t="shared" si="1"/>
        <v>1/2" Round Mini CIM 63</v>
      </c>
      <c r="E291" s="134">
        <v>1</v>
      </c>
      <c r="F291" s="134">
        <v>0</v>
      </c>
    </row>
    <row r="292" spans="1:6" ht="14.25" customHeight="1" x14ac:dyDescent="0.25">
      <c r="A292" s="134" t="s">
        <v>243</v>
      </c>
      <c r="B292" s="134" t="s">
        <v>7</v>
      </c>
      <c r="C292" s="134">
        <v>70</v>
      </c>
      <c r="D292" s="134" t="str">
        <f t="shared" si="1"/>
        <v>1/2" Round Mini CIM 70</v>
      </c>
      <c r="E292" s="134">
        <v>0</v>
      </c>
      <c r="F292" s="134">
        <v>0</v>
      </c>
    </row>
    <row r="293" spans="1:6" ht="14.25" customHeight="1" x14ac:dyDescent="0.25">
      <c r="A293" s="134" t="s">
        <v>243</v>
      </c>
      <c r="B293" s="134" t="s">
        <v>7</v>
      </c>
      <c r="C293" s="134">
        <v>81</v>
      </c>
      <c r="D293" s="134" t="str">
        <f t="shared" si="1"/>
        <v>1/2" Round Mini CIM 81</v>
      </c>
      <c r="E293" s="134">
        <v>0</v>
      </c>
      <c r="F293" s="134">
        <v>0</v>
      </c>
    </row>
    <row r="294" spans="1:6" ht="14.25" customHeight="1" x14ac:dyDescent="0.25">
      <c r="A294" s="134" t="s">
        <v>243</v>
      </c>
      <c r="B294" s="134" t="s">
        <v>7</v>
      </c>
      <c r="C294" s="134">
        <v>90</v>
      </c>
      <c r="D294" s="134" t="str">
        <f t="shared" si="1"/>
        <v>1/2" Round Mini CIM 90</v>
      </c>
      <c r="E294" s="134">
        <v>0</v>
      </c>
      <c r="F294" s="134">
        <v>0</v>
      </c>
    </row>
    <row r="295" spans="1:6" ht="14.25" customHeight="1" x14ac:dyDescent="0.25">
      <c r="A295" s="134" t="s">
        <v>243</v>
      </c>
      <c r="B295" s="134" t="s">
        <v>7</v>
      </c>
      <c r="C295" s="134">
        <v>100</v>
      </c>
      <c r="D295" s="134" t="str">
        <f t="shared" si="1"/>
        <v>1/2" Round Mini CIM 100</v>
      </c>
      <c r="E295" s="134">
        <v>0</v>
      </c>
      <c r="F295" s="134">
        <v>0</v>
      </c>
    </row>
    <row r="296" spans="1:6" ht="14.25" customHeight="1" x14ac:dyDescent="0.25">
      <c r="A296" s="134" t="s">
        <v>243</v>
      </c>
      <c r="B296" s="134" t="s">
        <v>6</v>
      </c>
      <c r="C296" s="134">
        <v>9</v>
      </c>
      <c r="D296" s="134" t="str">
        <f t="shared" si="1"/>
        <v>1/2" Round CIM 9</v>
      </c>
      <c r="E296" s="134">
        <v>5</v>
      </c>
      <c r="F296" s="134">
        <v>0</v>
      </c>
    </row>
    <row r="297" spans="1:6" ht="14.25" customHeight="1" x14ac:dyDescent="0.25">
      <c r="A297" s="134" t="s">
        <v>243</v>
      </c>
      <c r="B297" s="134" t="s">
        <v>6</v>
      </c>
      <c r="C297" s="134">
        <v>12</v>
      </c>
      <c r="D297" s="134" t="str">
        <f t="shared" si="1"/>
        <v>1/2" Round CIM 12</v>
      </c>
      <c r="E297" s="134">
        <v>4</v>
      </c>
      <c r="F297" s="134">
        <v>0</v>
      </c>
    </row>
    <row r="298" spans="1:6" ht="14.25" customHeight="1" x14ac:dyDescent="0.25">
      <c r="A298" s="134" t="s">
        <v>243</v>
      </c>
      <c r="B298" s="134" t="s">
        <v>6</v>
      </c>
      <c r="C298" s="134">
        <v>15</v>
      </c>
      <c r="D298" s="134" t="str">
        <f t="shared" si="1"/>
        <v>1/2" Round CIM 15</v>
      </c>
      <c r="E298" s="134">
        <v>3</v>
      </c>
      <c r="F298" s="134">
        <v>0</v>
      </c>
    </row>
    <row r="299" spans="1:6" ht="14.25" customHeight="1" x14ac:dyDescent="0.25">
      <c r="A299" s="134" t="s">
        <v>243</v>
      </c>
      <c r="B299" s="134" t="s">
        <v>6</v>
      </c>
      <c r="C299" s="134">
        <v>16</v>
      </c>
      <c r="D299" s="134" t="str">
        <f t="shared" si="1"/>
        <v>1/2" Round CIM 16</v>
      </c>
      <c r="E299" s="134">
        <v>3</v>
      </c>
      <c r="F299" s="134">
        <v>0</v>
      </c>
    </row>
    <row r="300" spans="1:6" ht="14.25" customHeight="1" x14ac:dyDescent="0.25">
      <c r="A300" s="134" t="s">
        <v>243</v>
      </c>
      <c r="B300" s="134" t="s">
        <v>6</v>
      </c>
      <c r="C300" s="134">
        <v>20</v>
      </c>
      <c r="D300" s="134" t="str">
        <f t="shared" si="1"/>
        <v>1/2" Round CIM 20</v>
      </c>
      <c r="E300" s="134">
        <v>1</v>
      </c>
      <c r="F300" s="134">
        <v>0</v>
      </c>
    </row>
    <row r="301" spans="1:6" ht="14.25" customHeight="1" x14ac:dyDescent="0.25">
      <c r="A301" s="134" t="s">
        <v>243</v>
      </c>
      <c r="B301" s="134" t="s">
        <v>6</v>
      </c>
      <c r="C301" s="134">
        <v>21</v>
      </c>
      <c r="D301" s="134" t="str">
        <f t="shared" si="1"/>
        <v>1/2" Round CIM 21</v>
      </c>
      <c r="E301" s="134">
        <v>1</v>
      </c>
      <c r="F301" s="134">
        <v>0</v>
      </c>
    </row>
    <row r="302" spans="1:6" ht="14.25" customHeight="1" x14ac:dyDescent="0.25">
      <c r="A302" s="134" t="s">
        <v>243</v>
      </c>
      <c r="B302" s="134" t="s">
        <v>6</v>
      </c>
      <c r="C302" s="134">
        <v>25</v>
      </c>
      <c r="D302" s="134" t="str">
        <f t="shared" si="1"/>
        <v>1/2" Round CIM 25</v>
      </c>
      <c r="E302" s="134">
        <v>1</v>
      </c>
      <c r="F302" s="134">
        <v>0</v>
      </c>
    </row>
    <row r="303" spans="1:6" ht="14.25" customHeight="1" x14ac:dyDescent="0.25">
      <c r="A303" s="134" t="s">
        <v>243</v>
      </c>
      <c r="B303" s="134" t="s">
        <v>6</v>
      </c>
      <c r="C303" s="134">
        <v>27</v>
      </c>
      <c r="D303" s="134" t="str">
        <f t="shared" si="1"/>
        <v>1/2" Round CIM 27</v>
      </c>
      <c r="E303" s="134">
        <v>1</v>
      </c>
      <c r="F303" s="134">
        <v>0</v>
      </c>
    </row>
    <row r="304" spans="1:6" ht="14.25" customHeight="1" x14ac:dyDescent="0.25">
      <c r="A304" s="134" t="s">
        <v>243</v>
      </c>
      <c r="B304" s="134" t="s">
        <v>6</v>
      </c>
      <c r="C304" s="134">
        <v>28</v>
      </c>
      <c r="D304" s="134" t="str">
        <f t="shared" si="1"/>
        <v>1/2" Round CIM 28</v>
      </c>
      <c r="E304" s="134">
        <v>1</v>
      </c>
      <c r="F304" s="134">
        <v>0</v>
      </c>
    </row>
    <row r="305" spans="1:6" ht="14.25" customHeight="1" x14ac:dyDescent="0.25">
      <c r="A305" s="134" t="s">
        <v>243</v>
      </c>
      <c r="B305" s="134" t="s">
        <v>6</v>
      </c>
      <c r="C305" s="134">
        <v>30</v>
      </c>
      <c r="D305" s="134" t="str">
        <f t="shared" si="1"/>
        <v>1/2" Round CIM 30</v>
      </c>
      <c r="E305" s="134">
        <v>1</v>
      </c>
      <c r="F305" s="134">
        <v>0</v>
      </c>
    </row>
    <row r="306" spans="1:6" ht="14.25" customHeight="1" x14ac:dyDescent="0.25">
      <c r="A306" s="134" t="s">
        <v>243</v>
      </c>
      <c r="B306" s="134" t="s">
        <v>6</v>
      </c>
      <c r="C306" s="134">
        <v>35</v>
      </c>
      <c r="D306" s="134" t="str">
        <f t="shared" si="1"/>
        <v>1/2" Round CIM 35</v>
      </c>
      <c r="E306" s="134">
        <v>1</v>
      </c>
      <c r="F306" s="134">
        <v>0</v>
      </c>
    </row>
    <row r="307" spans="1:6" ht="14.25" customHeight="1" x14ac:dyDescent="0.25">
      <c r="A307" s="134" t="s">
        <v>243</v>
      </c>
      <c r="B307" s="134" t="s">
        <v>6</v>
      </c>
      <c r="C307" s="134">
        <v>36</v>
      </c>
      <c r="D307" s="134" t="str">
        <f t="shared" si="1"/>
        <v>1/2" Round CIM 36</v>
      </c>
      <c r="E307" s="134">
        <v>1</v>
      </c>
      <c r="F307" s="134">
        <v>0</v>
      </c>
    </row>
    <row r="308" spans="1:6" ht="14.25" customHeight="1" x14ac:dyDescent="0.25">
      <c r="A308" s="134" t="s">
        <v>243</v>
      </c>
      <c r="B308" s="134" t="s">
        <v>6</v>
      </c>
      <c r="C308" s="134">
        <v>40</v>
      </c>
      <c r="D308" s="134" t="str">
        <f t="shared" si="1"/>
        <v>1/2" Round CIM 40</v>
      </c>
      <c r="E308" s="134">
        <v>1</v>
      </c>
      <c r="F308" s="134">
        <v>0</v>
      </c>
    </row>
    <row r="309" spans="1:6" ht="14.25" customHeight="1" x14ac:dyDescent="0.25">
      <c r="A309" s="134" t="s">
        <v>243</v>
      </c>
      <c r="B309" s="134" t="s">
        <v>6</v>
      </c>
      <c r="C309" s="134">
        <v>45</v>
      </c>
      <c r="D309" s="134" t="str">
        <f t="shared" si="1"/>
        <v>1/2" Round CIM 45</v>
      </c>
      <c r="E309" s="134">
        <v>1</v>
      </c>
      <c r="F309" s="134">
        <v>0</v>
      </c>
    </row>
    <row r="310" spans="1:6" ht="14.25" customHeight="1" x14ac:dyDescent="0.25">
      <c r="A310" s="134" t="s">
        <v>243</v>
      </c>
      <c r="B310" s="134" t="s">
        <v>6</v>
      </c>
      <c r="C310" s="134">
        <v>49</v>
      </c>
      <c r="D310" s="134" t="str">
        <f t="shared" si="1"/>
        <v>1/2" Round CIM 49</v>
      </c>
      <c r="E310" s="134">
        <v>0</v>
      </c>
      <c r="F310" s="134">
        <v>0</v>
      </c>
    </row>
    <row r="311" spans="1:6" ht="14.25" customHeight="1" x14ac:dyDescent="0.25">
      <c r="A311" s="134" t="s">
        <v>243</v>
      </c>
      <c r="B311" s="134" t="s">
        <v>6</v>
      </c>
      <c r="C311" s="134">
        <v>50</v>
      </c>
      <c r="D311" s="134" t="str">
        <f t="shared" si="1"/>
        <v>1/2" Round CIM 50</v>
      </c>
      <c r="E311" s="134">
        <v>1</v>
      </c>
      <c r="F311" s="134">
        <v>0</v>
      </c>
    </row>
    <row r="312" spans="1:6" ht="14.25" customHeight="1" x14ac:dyDescent="0.25">
      <c r="A312" s="134" t="s">
        <v>243</v>
      </c>
      <c r="B312" s="134" t="s">
        <v>6</v>
      </c>
      <c r="C312" s="134">
        <v>63</v>
      </c>
      <c r="D312" s="134" t="str">
        <f t="shared" si="1"/>
        <v>1/2" Round CIM 63</v>
      </c>
      <c r="E312" s="134">
        <v>0</v>
      </c>
      <c r="F312" s="134">
        <v>0</v>
      </c>
    </row>
    <row r="313" spans="1:6" ht="14.25" customHeight="1" x14ac:dyDescent="0.25">
      <c r="A313" s="134" t="s">
        <v>243</v>
      </c>
      <c r="B313" s="134" t="s">
        <v>6</v>
      </c>
      <c r="C313" s="134">
        <v>70</v>
      </c>
      <c r="D313" s="134" t="str">
        <f t="shared" si="1"/>
        <v>1/2" Round CIM 70</v>
      </c>
      <c r="E313" s="134">
        <v>0</v>
      </c>
      <c r="F313" s="134">
        <v>0</v>
      </c>
    </row>
    <row r="314" spans="1:6" ht="14.25" customHeight="1" x14ac:dyDescent="0.25">
      <c r="A314" s="134" t="s">
        <v>243</v>
      </c>
      <c r="B314" s="134" t="s">
        <v>6</v>
      </c>
      <c r="C314" s="134">
        <v>81</v>
      </c>
      <c r="D314" s="134" t="str">
        <f t="shared" si="1"/>
        <v>1/2" Round CIM 81</v>
      </c>
      <c r="E314" s="134">
        <v>0</v>
      </c>
      <c r="F314" s="134">
        <v>0</v>
      </c>
    </row>
    <row r="315" spans="1:6" ht="14.25" customHeight="1" x14ac:dyDescent="0.25">
      <c r="A315" s="134" t="s">
        <v>243</v>
      </c>
      <c r="B315" s="134" t="s">
        <v>6</v>
      </c>
      <c r="C315" s="134">
        <v>90</v>
      </c>
      <c r="D315" s="134" t="str">
        <f t="shared" si="1"/>
        <v>1/2" Round CIM 90</v>
      </c>
      <c r="E315" s="134">
        <v>0</v>
      </c>
      <c r="F315" s="134">
        <v>0</v>
      </c>
    </row>
    <row r="316" spans="1:6" ht="14.25" customHeight="1" x14ac:dyDescent="0.25">
      <c r="A316" s="134" t="s">
        <v>243</v>
      </c>
      <c r="B316" s="134" t="s">
        <v>6</v>
      </c>
      <c r="C316" s="134">
        <v>100</v>
      </c>
      <c r="D316" s="134" t="str">
        <f t="shared" si="1"/>
        <v>1/2" Round CIM 100</v>
      </c>
      <c r="E316" s="134">
        <v>0</v>
      </c>
      <c r="F316" s="134">
        <v>0</v>
      </c>
    </row>
    <row r="317" spans="1:6" ht="14.25" customHeight="1" x14ac:dyDescent="0.25">
      <c r="A317" s="134" t="s">
        <v>243</v>
      </c>
      <c r="B317" s="134" t="s">
        <v>259</v>
      </c>
      <c r="C317" s="134">
        <v>9</v>
      </c>
      <c r="D317" s="134" t="str">
        <f t="shared" si="1"/>
        <v>1/2" Round 775pro 9</v>
      </c>
      <c r="E317" s="134">
        <v>10</v>
      </c>
      <c r="F317" s="134">
        <v>5</v>
      </c>
    </row>
    <row r="318" spans="1:6" ht="14.25" customHeight="1" x14ac:dyDescent="0.25">
      <c r="A318" s="134" t="s">
        <v>243</v>
      </c>
      <c r="B318" s="134" t="s">
        <v>259</v>
      </c>
      <c r="C318" s="134">
        <v>12</v>
      </c>
      <c r="D318" s="134" t="str">
        <f t="shared" si="1"/>
        <v>1/2" Round 775pro 12</v>
      </c>
      <c r="E318" s="134">
        <v>10</v>
      </c>
      <c r="F318" s="134">
        <v>4</v>
      </c>
    </row>
    <row r="319" spans="1:6" ht="14.25" customHeight="1" x14ac:dyDescent="0.25">
      <c r="A319" s="134" t="s">
        <v>243</v>
      </c>
      <c r="B319" s="134" t="s">
        <v>259</v>
      </c>
      <c r="C319" s="134">
        <v>15</v>
      </c>
      <c r="D319" s="134" t="str">
        <f t="shared" si="1"/>
        <v>1/2" Round 775pro 15</v>
      </c>
      <c r="E319" s="134">
        <v>10</v>
      </c>
      <c r="F319" s="134">
        <v>3</v>
      </c>
    </row>
    <row r="320" spans="1:6" ht="14.25" customHeight="1" x14ac:dyDescent="0.25">
      <c r="A320" s="134" t="s">
        <v>243</v>
      </c>
      <c r="B320" s="134" t="s">
        <v>259</v>
      </c>
      <c r="C320" s="134">
        <v>16</v>
      </c>
      <c r="D320" s="134" t="str">
        <f t="shared" si="1"/>
        <v>1/2" Round 775pro 16</v>
      </c>
      <c r="E320" s="134">
        <v>10</v>
      </c>
      <c r="F320" s="134">
        <v>3</v>
      </c>
    </row>
    <row r="321" spans="1:6" ht="14.25" customHeight="1" x14ac:dyDescent="0.25">
      <c r="A321" s="134" t="s">
        <v>243</v>
      </c>
      <c r="B321" s="134" t="s">
        <v>259</v>
      </c>
      <c r="C321" s="134">
        <v>20</v>
      </c>
      <c r="D321" s="134" t="str">
        <f t="shared" si="1"/>
        <v>1/2" Round 775pro 20</v>
      </c>
      <c r="E321" s="134">
        <v>9</v>
      </c>
      <c r="F321" s="134">
        <v>1</v>
      </c>
    </row>
    <row r="322" spans="1:6" ht="14.25" customHeight="1" x14ac:dyDescent="0.25">
      <c r="A322" s="134" t="s">
        <v>243</v>
      </c>
      <c r="B322" s="134" t="s">
        <v>259</v>
      </c>
      <c r="C322" s="134">
        <v>21</v>
      </c>
      <c r="D322" s="134" t="str">
        <f t="shared" si="1"/>
        <v>1/2" Round 775pro 21</v>
      </c>
      <c r="E322" s="134">
        <v>7</v>
      </c>
      <c r="F322" s="134">
        <v>1</v>
      </c>
    </row>
    <row r="323" spans="1:6" ht="14.25" customHeight="1" x14ac:dyDescent="0.25">
      <c r="A323" s="134" t="s">
        <v>243</v>
      </c>
      <c r="B323" s="134" t="s">
        <v>259</v>
      </c>
      <c r="C323" s="134">
        <v>25</v>
      </c>
      <c r="D323" s="134" t="str">
        <f t="shared" si="1"/>
        <v>1/2" Round 775pro 25</v>
      </c>
      <c r="E323" s="134">
        <v>7</v>
      </c>
      <c r="F323" s="134">
        <v>1</v>
      </c>
    </row>
    <row r="324" spans="1:6" ht="14.25" customHeight="1" x14ac:dyDescent="0.25">
      <c r="A324" s="134" t="s">
        <v>243</v>
      </c>
      <c r="B324" s="134" t="s">
        <v>259</v>
      </c>
      <c r="C324" s="134">
        <v>27</v>
      </c>
      <c r="D324" s="134" t="str">
        <f t="shared" si="1"/>
        <v>1/2" Round 775pro 27</v>
      </c>
      <c r="E324" s="134">
        <v>5</v>
      </c>
      <c r="F324" s="134">
        <v>1</v>
      </c>
    </row>
    <row r="325" spans="1:6" ht="14.25" customHeight="1" x14ac:dyDescent="0.25">
      <c r="A325" s="134" t="s">
        <v>243</v>
      </c>
      <c r="B325" s="134" t="s">
        <v>259</v>
      </c>
      <c r="C325" s="134">
        <v>28</v>
      </c>
      <c r="D325" s="134" t="str">
        <f t="shared" si="1"/>
        <v>1/2" Round 775pro 28</v>
      </c>
      <c r="E325" s="134">
        <v>5</v>
      </c>
      <c r="F325" s="134">
        <v>1</v>
      </c>
    </row>
    <row r="326" spans="1:6" ht="14.25" customHeight="1" x14ac:dyDescent="0.25">
      <c r="A326" s="134" t="s">
        <v>243</v>
      </c>
      <c r="B326" s="134" t="s">
        <v>259</v>
      </c>
      <c r="C326" s="134">
        <v>30</v>
      </c>
      <c r="D326" s="134" t="str">
        <f t="shared" si="1"/>
        <v>1/2" Round 775pro 30</v>
      </c>
      <c r="E326" s="134">
        <v>5</v>
      </c>
      <c r="F326" s="134">
        <v>1</v>
      </c>
    </row>
    <row r="327" spans="1:6" ht="14.25" customHeight="1" x14ac:dyDescent="0.25">
      <c r="A327" s="134" t="s">
        <v>243</v>
      </c>
      <c r="B327" s="134" t="s">
        <v>259</v>
      </c>
      <c r="C327" s="134">
        <v>35</v>
      </c>
      <c r="D327" s="134" t="str">
        <f t="shared" si="1"/>
        <v>1/2" Round 775pro 35</v>
      </c>
      <c r="E327" s="134">
        <v>5</v>
      </c>
      <c r="F327" s="134">
        <v>1</v>
      </c>
    </row>
    <row r="328" spans="1:6" ht="14.25" customHeight="1" x14ac:dyDescent="0.25">
      <c r="A328" s="134" t="s">
        <v>243</v>
      </c>
      <c r="B328" s="134" t="s">
        <v>259</v>
      </c>
      <c r="C328" s="134">
        <v>36</v>
      </c>
      <c r="D328" s="134" t="str">
        <f t="shared" si="1"/>
        <v>1/2" Round 775pro 36</v>
      </c>
      <c r="E328" s="134">
        <v>5</v>
      </c>
      <c r="F328" s="134">
        <v>1</v>
      </c>
    </row>
    <row r="329" spans="1:6" ht="14.25" customHeight="1" x14ac:dyDescent="0.25">
      <c r="A329" s="134" t="s">
        <v>243</v>
      </c>
      <c r="B329" s="134" t="s">
        <v>259</v>
      </c>
      <c r="C329" s="134">
        <v>40</v>
      </c>
      <c r="D329" s="134" t="str">
        <f t="shared" si="1"/>
        <v>1/2" Round 775pro 40</v>
      </c>
      <c r="E329" s="134">
        <v>4</v>
      </c>
      <c r="F329" s="134">
        <v>1</v>
      </c>
    </row>
    <row r="330" spans="1:6" ht="14.25" customHeight="1" x14ac:dyDescent="0.25">
      <c r="A330" s="134" t="s">
        <v>243</v>
      </c>
      <c r="B330" s="134" t="s">
        <v>259</v>
      </c>
      <c r="C330" s="134">
        <v>45</v>
      </c>
      <c r="D330" s="134" t="str">
        <f t="shared" si="1"/>
        <v>1/2" Round 775pro 45</v>
      </c>
      <c r="E330" s="134">
        <v>4</v>
      </c>
      <c r="F330" s="134">
        <v>1</v>
      </c>
    </row>
    <row r="331" spans="1:6" ht="14.25" customHeight="1" x14ac:dyDescent="0.25">
      <c r="A331" s="134" t="s">
        <v>243</v>
      </c>
      <c r="B331" s="134" t="s">
        <v>259</v>
      </c>
      <c r="C331" s="134">
        <v>49</v>
      </c>
      <c r="D331" s="134" t="str">
        <f t="shared" si="1"/>
        <v>1/2" Round 775pro 49</v>
      </c>
      <c r="E331" s="134">
        <v>3</v>
      </c>
      <c r="F331" s="134">
        <v>1</v>
      </c>
    </row>
    <row r="332" spans="1:6" ht="14.25" customHeight="1" x14ac:dyDescent="0.25">
      <c r="A332" s="134" t="s">
        <v>243</v>
      </c>
      <c r="B332" s="134" t="s">
        <v>259</v>
      </c>
      <c r="C332" s="134">
        <v>50</v>
      </c>
      <c r="D332" s="134" t="str">
        <f t="shared" si="1"/>
        <v>1/2" Round 775pro 50</v>
      </c>
      <c r="E332" s="134">
        <v>3</v>
      </c>
      <c r="F332" s="134">
        <v>0</v>
      </c>
    </row>
    <row r="333" spans="1:6" ht="14.25" customHeight="1" x14ac:dyDescent="0.25">
      <c r="A333" s="134" t="s">
        <v>243</v>
      </c>
      <c r="B333" s="134" t="s">
        <v>259</v>
      </c>
      <c r="C333" s="134">
        <v>63</v>
      </c>
      <c r="D333" s="134" t="str">
        <f t="shared" si="1"/>
        <v>1/2" Round 775pro 63</v>
      </c>
      <c r="E333" s="134">
        <v>1</v>
      </c>
      <c r="F333" s="134">
        <v>0</v>
      </c>
    </row>
    <row r="334" spans="1:6" ht="14.25" customHeight="1" x14ac:dyDescent="0.25">
      <c r="A334" s="134" t="s">
        <v>243</v>
      </c>
      <c r="B334" s="134" t="s">
        <v>259</v>
      </c>
      <c r="C334" s="134">
        <v>70</v>
      </c>
      <c r="D334" s="134" t="str">
        <f t="shared" si="1"/>
        <v>1/2" Round 775pro 70</v>
      </c>
      <c r="E334" s="134">
        <v>1</v>
      </c>
      <c r="F334" s="134">
        <v>0</v>
      </c>
    </row>
    <row r="335" spans="1:6" ht="14.25" customHeight="1" x14ac:dyDescent="0.25">
      <c r="A335" s="134" t="s">
        <v>243</v>
      </c>
      <c r="B335" s="134" t="s">
        <v>259</v>
      </c>
      <c r="C335" s="134">
        <v>81</v>
      </c>
      <c r="D335" s="134" t="str">
        <f t="shared" si="1"/>
        <v>1/2" Round 775pro 81</v>
      </c>
      <c r="E335" s="134">
        <v>1</v>
      </c>
      <c r="F335" s="134">
        <v>0</v>
      </c>
    </row>
    <row r="336" spans="1:6" ht="14.25" customHeight="1" x14ac:dyDescent="0.25">
      <c r="A336" s="134" t="s">
        <v>243</v>
      </c>
      <c r="B336" s="134" t="s">
        <v>259</v>
      </c>
      <c r="C336" s="134">
        <v>90</v>
      </c>
      <c r="D336" s="134" t="str">
        <f t="shared" si="1"/>
        <v>1/2" Round 775pro 90</v>
      </c>
      <c r="E336" s="134">
        <v>1</v>
      </c>
      <c r="F336" s="134">
        <v>0</v>
      </c>
    </row>
    <row r="337" spans="1:6" ht="14.25" customHeight="1" x14ac:dyDescent="0.25">
      <c r="A337" s="134" t="s">
        <v>243</v>
      </c>
      <c r="B337" s="134" t="s">
        <v>259</v>
      </c>
      <c r="C337" s="134">
        <v>100</v>
      </c>
      <c r="D337" s="134" t="str">
        <f t="shared" si="1"/>
        <v>1/2" Round 775pro 100</v>
      </c>
      <c r="E337" s="134">
        <v>1</v>
      </c>
      <c r="F337" s="134">
        <v>0</v>
      </c>
    </row>
    <row r="338" spans="1:6" ht="14.25" customHeight="1" x14ac:dyDescent="0.25">
      <c r="A338" s="134" t="s">
        <v>246</v>
      </c>
      <c r="B338" s="134" t="s">
        <v>11</v>
      </c>
      <c r="C338" s="134">
        <v>9</v>
      </c>
      <c r="D338" s="134" t="str">
        <f t="shared" si="1"/>
        <v>3/8" Hex AM 9015 9</v>
      </c>
      <c r="E338" s="134">
        <v>10</v>
      </c>
      <c r="F338" s="134">
        <v>10</v>
      </c>
    </row>
    <row r="339" spans="1:6" ht="14.25" customHeight="1" x14ac:dyDescent="0.25">
      <c r="A339" s="134" t="s">
        <v>246</v>
      </c>
      <c r="B339" s="134" t="s">
        <v>11</v>
      </c>
      <c r="C339" s="134">
        <v>12</v>
      </c>
      <c r="D339" s="134" t="str">
        <f t="shared" si="1"/>
        <v>3/8" Hex AM 9015 12</v>
      </c>
      <c r="E339" s="134">
        <v>10</v>
      </c>
      <c r="F339" s="134">
        <v>7</v>
      </c>
    </row>
    <row r="340" spans="1:6" ht="14.25" customHeight="1" x14ac:dyDescent="0.25">
      <c r="A340" s="134" t="s">
        <v>246</v>
      </c>
      <c r="B340" s="134" t="s">
        <v>11</v>
      </c>
      <c r="C340" s="134">
        <v>15</v>
      </c>
      <c r="D340" s="134" t="str">
        <f t="shared" si="1"/>
        <v>3/8" Hex AM 9015 15</v>
      </c>
      <c r="E340" s="134">
        <v>7</v>
      </c>
      <c r="F340" s="134">
        <v>5</v>
      </c>
    </row>
    <row r="341" spans="1:6" ht="14.25" customHeight="1" x14ac:dyDescent="0.25">
      <c r="A341" s="134" t="s">
        <v>246</v>
      </c>
      <c r="B341" s="134" t="s">
        <v>11</v>
      </c>
      <c r="C341" s="134">
        <v>16</v>
      </c>
      <c r="D341" s="134" t="str">
        <f t="shared" si="1"/>
        <v>3/8" Hex AM 9015 16</v>
      </c>
      <c r="E341" s="134">
        <v>7</v>
      </c>
      <c r="F341" s="134">
        <v>5</v>
      </c>
    </row>
    <row r="342" spans="1:6" ht="14.25" customHeight="1" x14ac:dyDescent="0.25">
      <c r="A342" s="134" t="s">
        <v>246</v>
      </c>
      <c r="B342" s="134" t="s">
        <v>11</v>
      </c>
      <c r="C342" s="134">
        <v>20</v>
      </c>
      <c r="D342" s="134" t="str">
        <f t="shared" si="1"/>
        <v>3/8" Hex AM 9015 20</v>
      </c>
      <c r="E342" s="134">
        <v>5</v>
      </c>
      <c r="F342" s="134">
        <v>4</v>
      </c>
    </row>
    <row r="343" spans="1:6" ht="14.25" customHeight="1" x14ac:dyDescent="0.25">
      <c r="A343" s="134" t="s">
        <v>246</v>
      </c>
      <c r="B343" s="134" t="s">
        <v>11</v>
      </c>
      <c r="C343" s="134">
        <v>21</v>
      </c>
      <c r="D343" s="134" t="str">
        <f t="shared" si="1"/>
        <v>3/8" Hex AM 9015 21</v>
      </c>
      <c r="E343" s="134">
        <v>5</v>
      </c>
      <c r="F343" s="134">
        <v>4</v>
      </c>
    </row>
    <row r="344" spans="1:6" ht="14.25" customHeight="1" x14ac:dyDescent="0.25">
      <c r="A344" s="134" t="s">
        <v>246</v>
      </c>
      <c r="B344" s="134" t="s">
        <v>11</v>
      </c>
      <c r="C344" s="134">
        <v>25</v>
      </c>
      <c r="D344" s="134" t="str">
        <f t="shared" si="1"/>
        <v>3/8" Hex AM 9015 25</v>
      </c>
      <c r="E344" s="134">
        <v>5</v>
      </c>
      <c r="F344" s="134">
        <v>3</v>
      </c>
    </row>
    <row r="345" spans="1:6" ht="14.25" customHeight="1" x14ac:dyDescent="0.25">
      <c r="A345" s="134" t="s">
        <v>246</v>
      </c>
      <c r="B345" s="134" t="s">
        <v>11</v>
      </c>
      <c r="C345" s="134">
        <v>27</v>
      </c>
      <c r="D345" s="134" t="str">
        <f t="shared" si="1"/>
        <v>3/8" Hex AM 9015 27</v>
      </c>
      <c r="E345" s="134">
        <v>4</v>
      </c>
      <c r="F345" s="134">
        <v>3</v>
      </c>
    </row>
    <row r="346" spans="1:6" ht="14.25" customHeight="1" x14ac:dyDescent="0.25">
      <c r="A346" s="134" t="s">
        <v>246</v>
      </c>
      <c r="B346" s="134" t="s">
        <v>11</v>
      </c>
      <c r="C346" s="134">
        <v>28</v>
      </c>
      <c r="D346" s="134" t="str">
        <f t="shared" si="1"/>
        <v>3/8" Hex AM 9015 28</v>
      </c>
      <c r="E346" s="134">
        <v>4</v>
      </c>
      <c r="F346" s="134">
        <v>3</v>
      </c>
    </row>
    <row r="347" spans="1:6" ht="14.25" customHeight="1" x14ac:dyDescent="0.25">
      <c r="A347" s="134" t="s">
        <v>246</v>
      </c>
      <c r="B347" s="134" t="s">
        <v>11</v>
      </c>
      <c r="C347" s="134">
        <v>30</v>
      </c>
      <c r="D347" s="134" t="str">
        <f t="shared" si="1"/>
        <v>3/8" Hex AM 9015 30</v>
      </c>
      <c r="E347" s="134">
        <v>4</v>
      </c>
      <c r="F347" s="134">
        <v>3</v>
      </c>
    </row>
    <row r="348" spans="1:6" ht="14.25" customHeight="1" x14ac:dyDescent="0.25">
      <c r="A348" s="134" t="s">
        <v>246</v>
      </c>
      <c r="B348" s="134" t="s">
        <v>11</v>
      </c>
      <c r="C348" s="134">
        <v>35</v>
      </c>
      <c r="D348" s="134" t="str">
        <f t="shared" si="1"/>
        <v>3/8" Hex AM 9015 35</v>
      </c>
      <c r="E348" s="134">
        <v>3</v>
      </c>
      <c r="F348" s="134">
        <v>1</v>
      </c>
    </row>
    <row r="349" spans="1:6" ht="14.25" customHeight="1" x14ac:dyDescent="0.25">
      <c r="A349" s="134" t="s">
        <v>246</v>
      </c>
      <c r="B349" s="134" t="s">
        <v>11</v>
      </c>
      <c r="C349" s="134">
        <v>36</v>
      </c>
      <c r="D349" s="134" t="str">
        <f t="shared" si="1"/>
        <v>3/8" Hex AM 9015 36</v>
      </c>
      <c r="E349" s="134">
        <v>3</v>
      </c>
      <c r="F349" s="134">
        <v>1</v>
      </c>
    </row>
    <row r="350" spans="1:6" ht="14.25" customHeight="1" x14ac:dyDescent="0.25">
      <c r="A350" s="134" t="s">
        <v>246</v>
      </c>
      <c r="B350" s="134" t="s">
        <v>11</v>
      </c>
      <c r="C350" s="134">
        <v>40</v>
      </c>
      <c r="D350" s="134" t="str">
        <f t="shared" si="1"/>
        <v>3/8" Hex AM 9015 40</v>
      </c>
      <c r="E350" s="134">
        <v>3</v>
      </c>
      <c r="F350" s="134">
        <v>1</v>
      </c>
    </row>
    <row r="351" spans="1:6" ht="14.25" customHeight="1" x14ac:dyDescent="0.25">
      <c r="A351" s="134" t="s">
        <v>246</v>
      </c>
      <c r="B351" s="134" t="s">
        <v>11</v>
      </c>
      <c r="C351" s="134">
        <v>45</v>
      </c>
      <c r="D351" s="134" t="str">
        <f t="shared" si="1"/>
        <v>3/8" Hex AM 9015 45</v>
      </c>
      <c r="E351" s="134">
        <v>1</v>
      </c>
      <c r="F351" s="134">
        <v>1</v>
      </c>
    </row>
    <row r="352" spans="1:6" ht="14.25" customHeight="1" x14ac:dyDescent="0.25">
      <c r="A352" s="134" t="s">
        <v>246</v>
      </c>
      <c r="B352" s="134" t="s">
        <v>11</v>
      </c>
      <c r="C352" s="134">
        <v>49</v>
      </c>
      <c r="D352" s="134" t="str">
        <f t="shared" si="1"/>
        <v>3/8" Hex AM 9015 49</v>
      </c>
      <c r="E352" s="134">
        <v>1</v>
      </c>
      <c r="F352" s="134">
        <v>1</v>
      </c>
    </row>
    <row r="353" spans="1:6" ht="14.25" customHeight="1" x14ac:dyDescent="0.25">
      <c r="A353" s="134" t="s">
        <v>246</v>
      </c>
      <c r="B353" s="134" t="s">
        <v>11</v>
      </c>
      <c r="C353" s="134">
        <v>50</v>
      </c>
      <c r="D353" s="134" t="str">
        <f t="shared" si="1"/>
        <v>3/8" Hex AM 9015 50</v>
      </c>
      <c r="E353" s="134">
        <v>1</v>
      </c>
      <c r="F353" s="134">
        <v>1</v>
      </c>
    </row>
    <row r="354" spans="1:6" ht="14.25" customHeight="1" x14ac:dyDescent="0.25">
      <c r="A354" s="134" t="s">
        <v>246</v>
      </c>
      <c r="B354" s="134" t="s">
        <v>11</v>
      </c>
      <c r="C354" s="134">
        <v>63</v>
      </c>
      <c r="D354" s="134" t="str">
        <f t="shared" si="1"/>
        <v>3/8" Hex AM 9015 63</v>
      </c>
      <c r="E354" s="134">
        <v>1</v>
      </c>
      <c r="F354" s="134">
        <v>1</v>
      </c>
    </row>
    <row r="355" spans="1:6" ht="14.25" customHeight="1" x14ac:dyDescent="0.25">
      <c r="A355" s="134" t="s">
        <v>246</v>
      </c>
      <c r="B355" s="134" t="s">
        <v>11</v>
      </c>
      <c r="C355" s="134">
        <v>70</v>
      </c>
      <c r="D355" s="134" t="str">
        <f t="shared" si="1"/>
        <v>3/8" Hex AM 9015 70</v>
      </c>
      <c r="E355" s="134">
        <v>1</v>
      </c>
      <c r="F355" s="134">
        <v>1</v>
      </c>
    </row>
    <row r="356" spans="1:6" ht="14.25" customHeight="1" x14ac:dyDescent="0.25">
      <c r="A356" s="134" t="s">
        <v>246</v>
      </c>
      <c r="B356" s="134" t="s">
        <v>11</v>
      </c>
      <c r="C356" s="134">
        <v>81</v>
      </c>
      <c r="D356" s="134" t="str">
        <f t="shared" si="1"/>
        <v>3/8" Hex AM 9015 81</v>
      </c>
      <c r="E356" s="134">
        <v>1</v>
      </c>
      <c r="F356" s="134">
        <v>1</v>
      </c>
    </row>
    <row r="357" spans="1:6" ht="14.25" customHeight="1" x14ac:dyDescent="0.25">
      <c r="A357" s="134" t="s">
        <v>246</v>
      </c>
      <c r="B357" s="134" t="s">
        <v>11</v>
      </c>
      <c r="C357" s="134">
        <v>90</v>
      </c>
      <c r="D357" s="134" t="str">
        <f t="shared" si="1"/>
        <v>3/8" Hex AM 9015 90</v>
      </c>
      <c r="E357" s="134">
        <v>1</v>
      </c>
      <c r="F357" s="134">
        <v>1</v>
      </c>
    </row>
    <row r="358" spans="1:6" ht="14.25" customHeight="1" x14ac:dyDescent="0.25">
      <c r="A358" s="134" t="s">
        <v>246</v>
      </c>
      <c r="B358" s="134" t="s">
        <v>11</v>
      </c>
      <c r="C358" s="134">
        <v>100</v>
      </c>
      <c r="D358" s="134" t="str">
        <f t="shared" si="1"/>
        <v>3/8" Hex AM 9015 100</v>
      </c>
      <c r="E358" s="134">
        <v>1</v>
      </c>
      <c r="F358" s="134">
        <v>0</v>
      </c>
    </row>
    <row r="359" spans="1:6" ht="14.25" customHeight="1" x14ac:dyDescent="0.25">
      <c r="A359" s="134" t="s">
        <v>246</v>
      </c>
      <c r="B359" s="134" t="s">
        <v>337</v>
      </c>
      <c r="C359" s="134">
        <v>9</v>
      </c>
      <c r="D359" s="134" t="str">
        <f t="shared" si="1"/>
        <v>3/8" Hex NeveRest 9</v>
      </c>
      <c r="E359" s="134">
        <v>10</v>
      </c>
      <c r="F359" s="134">
        <v>10</v>
      </c>
    </row>
    <row r="360" spans="1:6" ht="14.25" customHeight="1" x14ac:dyDescent="0.25">
      <c r="A360" s="134" t="s">
        <v>246</v>
      </c>
      <c r="B360" s="134" t="s">
        <v>337</v>
      </c>
      <c r="C360" s="134">
        <v>12</v>
      </c>
      <c r="D360" s="134" t="str">
        <f t="shared" si="1"/>
        <v>3/8" Hex NeveRest 12</v>
      </c>
      <c r="E360" s="134">
        <v>10</v>
      </c>
      <c r="F360" s="134">
        <v>10</v>
      </c>
    </row>
    <row r="361" spans="1:6" ht="14.25" customHeight="1" x14ac:dyDescent="0.25">
      <c r="A361" s="134" t="s">
        <v>246</v>
      </c>
      <c r="B361" s="134" t="s">
        <v>337</v>
      </c>
      <c r="C361" s="134">
        <v>15</v>
      </c>
      <c r="D361" s="134" t="str">
        <f t="shared" si="1"/>
        <v>3/8" Hex NeveRest 15</v>
      </c>
      <c r="E361" s="134">
        <v>7</v>
      </c>
      <c r="F361" s="134">
        <v>10</v>
      </c>
    </row>
    <row r="362" spans="1:6" ht="14.25" customHeight="1" x14ac:dyDescent="0.25">
      <c r="A362" s="134" t="s">
        <v>246</v>
      </c>
      <c r="B362" s="134" t="s">
        <v>337</v>
      </c>
      <c r="C362" s="134">
        <v>16</v>
      </c>
      <c r="D362" s="134" t="str">
        <f t="shared" si="1"/>
        <v>3/8" Hex NeveRest 16</v>
      </c>
      <c r="E362" s="134">
        <v>7</v>
      </c>
      <c r="F362" s="134">
        <v>10</v>
      </c>
    </row>
    <row r="363" spans="1:6" ht="14.25" customHeight="1" x14ac:dyDescent="0.25">
      <c r="A363" s="134" t="s">
        <v>246</v>
      </c>
      <c r="B363" s="134" t="s">
        <v>337</v>
      </c>
      <c r="C363" s="134">
        <v>20</v>
      </c>
      <c r="D363" s="134" t="str">
        <f t="shared" si="1"/>
        <v>3/8" Hex NeveRest 20</v>
      </c>
      <c r="E363" s="134">
        <v>5</v>
      </c>
      <c r="F363" s="134">
        <v>10</v>
      </c>
    </row>
    <row r="364" spans="1:6" ht="14.25" customHeight="1" x14ac:dyDescent="0.25">
      <c r="A364" s="134" t="s">
        <v>246</v>
      </c>
      <c r="B364" s="134" t="s">
        <v>337</v>
      </c>
      <c r="C364" s="134">
        <v>21</v>
      </c>
      <c r="D364" s="134" t="str">
        <f t="shared" si="1"/>
        <v>3/8" Hex NeveRest 21</v>
      </c>
      <c r="E364" s="134">
        <v>5</v>
      </c>
      <c r="F364" s="134">
        <v>9</v>
      </c>
    </row>
    <row r="365" spans="1:6" ht="14.25" customHeight="1" x14ac:dyDescent="0.25">
      <c r="A365" s="134" t="s">
        <v>246</v>
      </c>
      <c r="B365" s="134" t="s">
        <v>337</v>
      </c>
      <c r="C365" s="134">
        <v>25</v>
      </c>
      <c r="D365" s="134" t="str">
        <f t="shared" si="1"/>
        <v>3/8" Hex NeveRest 25</v>
      </c>
      <c r="E365" s="134">
        <v>5</v>
      </c>
      <c r="F365" s="134">
        <v>7</v>
      </c>
    </row>
    <row r="366" spans="1:6" ht="14.25" customHeight="1" x14ac:dyDescent="0.25">
      <c r="A366" s="134" t="s">
        <v>246</v>
      </c>
      <c r="B366" s="134" t="s">
        <v>337</v>
      </c>
      <c r="C366" s="134">
        <v>27</v>
      </c>
      <c r="D366" s="134" t="str">
        <f t="shared" si="1"/>
        <v>3/8" Hex NeveRest 27</v>
      </c>
      <c r="E366" s="134">
        <v>4</v>
      </c>
      <c r="F366" s="134">
        <v>7</v>
      </c>
    </row>
    <row r="367" spans="1:6" ht="14.25" customHeight="1" x14ac:dyDescent="0.25">
      <c r="A367" s="134" t="s">
        <v>246</v>
      </c>
      <c r="B367" s="134" t="s">
        <v>337</v>
      </c>
      <c r="C367" s="134">
        <v>28</v>
      </c>
      <c r="D367" s="134" t="str">
        <f t="shared" si="1"/>
        <v>3/8" Hex NeveRest 28</v>
      </c>
      <c r="E367" s="134">
        <v>4</v>
      </c>
      <c r="F367" s="134">
        <v>7</v>
      </c>
    </row>
    <row r="368" spans="1:6" ht="14.25" customHeight="1" x14ac:dyDescent="0.25">
      <c r="A368" s="134" t="s">
        <v>246</v>
      </c>
      <c r="B368" s="134" t="s">
        <v>337</v>
      </c>
      <c r="C368" s="134">
        <v>30</v>
      </c>
      <c r="D368" s="134" t="str">
        <f t="shared" si="1"/>
        <v>3/8" Hex NeveRest 30</v>
      </c>
      <c r="E368" s="134">
        <v>4</v>
      </c>
      <c r="F368" s="134">
        <v>5</v>
      </c>
    </row>
    <row r="369" spans="1:6" ht="14.25" customHeight="1" x14ac:dyDescent="0.25">
      <c r="A369" s="134" t="s">
        <v>246</v>
      </c>
      <c r="B369" s="134" t="s">
        <v>337</v>
      </c>
      <c r="C369" s="134">
        <v>35</v>
      </c>
      <c r="D369" s="134" t="str">
        <f t="shared" si="1"/>
        <v>3/8" Hex NeveRest 35</v>
      </c>
      <c r="E369" s="134">
        <v>3</v>
      </c>
      <c r="F369" s="134">
        <v>5</v>
      </c>
    </row>
    <row r="370" spans="1:6" ht="14.25" customHeight="1" x14ac:dyDescent="0.25">
      <c r="A370" s="134" t="s">
        <v>246</v>
      </c>
      <c r="B370" s="134" t="s">
        <v>337</v>
      </c>
      <c r="C370" s="134">
        <v>36</v>
      </c>
      <c r="D370" s="134" t="str">
        <f t="shared" si="1"/>
        <v>3/8" Hex NeveRest 36</v>
      </c>
      <c r="E370" s="134">
        <v>3</v>
      </c>
      <c r="F370" s="134">
        <v>5</v>
      </c>
    </row>
    <row r="371" spans="1:6" ht="14.25" customHeight="1" x14ac:dyDescent="0.25">
      <c r="A371" s="134" t="s">
        <v>246</v>
      </c>
      <c r="B371" s="134" t="s">
        <v>337</v>
      </c>
      <c r="C371" s="134">
        <v>40</v>
      </c>
      <c r="D371" s="134" t="str">
        <f t="shared" si="1"/>
        <v>3/8" Hex NeveRest 40</v>
      </c>
      <c r="E371" s="134">
        <v>3</v>
      </c>
      <c r="F371" s="134">
        <v>5</v>
      </c>
    </row>
    <row r="372" spans="1:6" ht="14.25" customHeight="1" x14ac:dyDescent="0.25">
      <c r="A372" s="134" t="s">
        <v>246</v>
      </c>
      <c r="B372" s="134" t="s">
        <v>337</v>
      </c>
      <c r="C372" s="134">
        <v>45</v>
      </c>
      <c r="D372" s="134" t="str">
        <f t="shared" si="1"/>
        <v>3/8" Hex NeveRest 45</v>
      </c>
      <c r="E372" s="134">
        <v>1</v>
      </c>
      <c r="F372" s="134">
        <v>4</v>
      </c>
    </row>
    <row r="373" spans="1:6" ht="14.25" customHeight="1" x14ac:dyDescent="0.25">
      <c r="A373" s="134" t="s">
        <v>246</v>
      </c>
      <c r="B373" s="134" t="s">
        <v>337</v>
      </c>
      <c r="C373" s="134">
        <v>49</v>
      </c>
      <c r="D373" s="134" t="str">
        <f t="shared" si="1"/>
        <v>3/8" Hex NeveRest 49</v>
      </c>
      <c r="E373" s="134">
        <v>1</v>
      </c>
      <c r="F373" s="134">
        <v>4</v>
      </c>
    </row>
    <row r="374" spans="1:6" ht="14.25" customHeight="1" x14ac:dyDescent="0.25">
      <c r="A374" s="134" t="s">
        <v>246</v>
      </c>
      <c r="B374" s="134" t="s">
        <v>337</v>
      </c>
      <c r="C374" s="134">
        <v>50</v>
      </c>
      <c r="D374" s="134" t="str">
        <f t="shared" si="1"/>
        <v>3/8" Hex NeveRest 50</v>
      </c>
      <c r="E374" s="134">
        <v>1</v>
      </c>
      <c r="F374" s="134">
        <v>4</v>
      </c>
    </row>
    <row r="375" spans="1:6" ht="14.25" customHeight="1" x14ac:dyDescent="0.25">
      <c r="A375" s="134" t="s">
        <v>246</v>
      </c>
      <c r="B375" s="134" t="s">
        <v>337</v>
      </c>
      <c r="C375" s="134">
        <v>63</v>
      </c>
      <c r="D375" s="134" t="str">
        <f t="shared" si="1"/>
        <v>3/8" Hex NeveRest 63</v>
      </c>
      <c r="E375" s="134">
        <v>1</v>
      </c>
      <c r="F375" s="134">
        <v>3</v>
      </c>
    </row>
    <row r="376" spans="1:6" ht="14.25" customHeight="1" x14ac:dyDescent="0.25">
      <c r="A376" s="134" t="s">
        <v>246</v>
      </c>
      <c r="B376" s="134" t="s">
        <v>337</v>
      </c>
      <c r="C376" s="134">
        <v>70</v>
      </c>
      <c r="D376" s="134" t="str">
        <f t="shared" si="1"/>
        <v>3/8" Hex NeveRest 70</v>
      </c>
      <c r="E376" s="134">
        <v>1</v>
      </c>
      <c r="F376" s="134">
        <v>1</v>
      </c>
    </row>
    <row r="377" spans="1:6" ht="14.25" customHeight="1" x14ac:dyDescent="0.25">
      <c r="A377" s="134" t="s">
        <v>246</v>
      </c>
      <c r="B377" s="134" t="s">
        <v>337</v>
      </c>
      <c r="C377" s="134">
        <v>81</v>
      </c>
      <c r="D377" s="134" t="str">
        <f t="shared" si="1"/>
        <v>3/8" Hex NeveRest 81</v>
      </c>
      <c r="E377" s="134">
        <v>1</v>
      </c>
      <c r="F377" s="134">
        <v>1</v>
      </c>
    </row>
    <row r="378" spans="1:6" ht="14.25" customHeight="1" x14ac:dyDescent="0.25">
      <c r="A378" s="134" t="s">
        <v>246</v>
      </c>
      <c r="B378" s="134" t="s">
        <v>337</v>
      </c>
      <c r="C378" s="134">
        <v>90</v>
      </c>
      <c r="D378" s="134" t="str">
        <f t="shared" si="1"/>
        <v>3/8" Hex NeveRest 90</v>
      </c>
      <c r="E378" s="134">
        <v>1</v>
      </c>
      <c r="F378" s="134">
        <v>1</v>
      </c>
    </row>
    <row r="379" spans="1:6" ht="14.25" customHeight="1" x14ac:dyDescent="0.25">
      <c r="A379" s="134" t="s">
        <v>246</v>
      </c>
      <c r="B379" s="134" t="s">
        <v>337</v>
      </c>
      <c r="C379" s="134">
        <v>100</v>
      </c>
      <c r="D379" s="134" t="str">
        <f t="shared" si="1"/>
        <v>3/8" Hex NeveRest 100</v>
      </c>
      <c r="E379" s="134">
        <v>1</v>
      </c>
      <c r="F379" s="134">
        <v>1</v>
      </c>
    </row>
    <row r="380" spans="1:6" ht="14.25" customHeight="1" x14ac:dyDescent="0.25">
      <c r="A380" s="134" t="s">
        <v>246</v>
      </c>
      <c r="B380" s="134" t="s">
        <v>333</v>
      </c>
      <c r="C380" s="134">
        <v>9</v>
      </c>
      <c r="D380" s="134" t="str">
        <f t="shared" si="1"/>
        <v>3/8" Hex BB RS-550 9</v>
      </c>
      <c r="E380" s="134">
        <v>10</v>
      </c>
      <c r="F380" s="134">
        <v>10</v>
      </c>
    </row>
    <row r="381" spans="1:6" ht="14.25" customHeight="1" x14ac:dyDescent="0.25">
      <c r="A381" s="134" t="s">
        <v>246</v>
      </c>
      <c r="B381" s="134" t="s">
        <v>333</v>
      </c>
      <c r="C381" s="134">
        <v>12</v>
      </c>
      <c r="D381" s="134" t="str">
        <f t="shared" si="1"/>
        <v>3/8" Hex BB RS-550 12</v>
      </c>
      <c r="E381" s="134">
        <v>10</v>
      </c>
      <c r="F381" s="134">
        <v>7</v>
      </c>
    </row>
    <row r="382" spans="1:6" ht="14.25" customHeight="1" x14ac:dyDescent="0.25">
      <c r="A382" s="134" t="s">
        <v>246</v>
      </c>
      <c r="B382" s="134" t="s">
        <v>333</v>
      </c>
      <c r="C382" s="134">
        <v>15</v>
      </c>
      <c r="D382" s="134" t="str">
        <f t="shared" si="1"/>
        <v>3/8" Hex BB RS-550 15</v>
      </c>
      <c r="E382" s="134">
        <v>7</v>
      </c>
      <c r="F382" s="134">
        <v>5</v>
      </c>
    </row>
    <row r="383" spans="1:6" ht="14.25" customHeight="1" x14ac:dyDescent="0.25">
      <c r="A383" s="134" t="s">
        <v>246</v>
      </c>
      <c r="B383" s="134" t="s">
        <v>333</v>
      </c>
      <c r="C383" s="134">
        <v>16</v>
      </c>
      <c r="D383" s="134" t="str">
        <f t="shared" si="1"/>
        <v>3/8" Hex BB RS-550 16</v>
      </c>
      <c r="E383" s="134">
        <v>7</v>
      </c>
      <c r="F383" s="134">
        <v>5</v>
      </c>
    </row>
    <row r="384" spans="1:6" ht="14.25" customHeight="1" x14ac:dyDescent="0.25">
      <c r="A384" s="134" t="s">
        <v>246</v>
      </c>
      <c r="B384" s="134" t="s">
        <v>333</v>
      </c>
      <c r="C384" s="134">
        <v>20</v>
      </c>
      <c r="D384" s="134" t="str">
        <f t="shared" si="1"/>
        <v>3/8" Hex BB RS-550 20</v>
      </c>
      <c r="E384" s="134">
        <v>5</v>
      </c>
      <c r="F384" s="134">
        <v>4</v>
      </c>
    </row>
    <row r="385" spans="1:6" ht="14.25" customHeight="1" x14ac:dyDescent="0.25">
      <c r="A385" s="134" t="s">
        <v>246</v>
      </c>
      <c r="B385" s="134" t="s">
        <v>333</v>
      </c>
      <c r="C385" s="134">
        <v>21</v>
      </c>
      <c r="D385" s="134" t="str">
        <f t="shared" si="1"/>
        <v>3/8" Hex BB RS-550 21</v>
      </c>
      <c r="E385" s="134">
        <v>5</v>
      </c>
      <c r="F385" s="134">
        <v>4</v>
      </c>
    </row>
    <row r="386" spans="1:6" ht="14.25" customHeight="1" x14ac:dyDescent="0.25">
      <c r="A386" s="134" t="s">
        <v>246</v>
      </c>
      <c r="B386" s="134" t="s">
        <v>333</v>
      </c>
      <c r="C386" s="134">
        <v>25</v>
      </c>
      <c r="D386" s="134" t="str">
        <f t="shared" si="1"/>
        <v>3/8" Hex BB RS-550 25</v>
      </c>
      <c r="E386" s="134">
        <v>5</v>
      </c>
      <c r="F386" s="134">
        <v>3</v>
      </c>
    </row>
    <row r="387" spans="1:6" ht="14.25" customHeight="1" x14ac:dyDescent="0.25">
      <c r="A387" s="134" t="s">
        <v>246</v>
      </c>
      <c r="B387" s="134" t="s">
        <v>333</v>
      </c>
      <c r="C387" s="134">
        <v>27</v>
      </c>
      <c r="D387" s="134" t="str">
        <f t="shared" si="1"/>
        <v>3/8" Hex BB RS-550 27</v>
      </c>
      <c r="E387" s="134">
        <v>4</v>
      </c>
      <c r="F387" s="134">
        <v>3</v>
      </c>
    </row>
    <row r="388" spans="1:6" ht="14.25" customHeight="1" x14ac:dyDescent="0.25">
      <c r="A388" s="134" t="s">
        <v>246</v>
      </c>
      <c r="B388" s="134" t="s">
        <v>333</v>
      </c>
      <c r="C388" s="134">
        <v>28</v>
      </c>
      <c r="D388" s="134" t="str">
        <f t="shared" si="1"/>
        <v>3/8" Hex BB RS-550 28</v>
      </c>
      <c r="E388" s="134">
        <v>4</v>
      </c>
      <c r="F388" s="134">
        <v>3</v>
      </c>
    </row>
    <row r="389" spans="1:6" ht="14.25" customHeight="1" x14ac:dyDescent="0.25">
      <c r="A389" s="134" t="s">
        <v>246</v>
      </c>
      <c r="B389" s="134" t="s">
        <v>333</v>
      </c>
      <c r="C389" s="134">
        <v>30</v>
      </c>
      <c r="D389" s="134" t="str">
        <f t="shared" si="1"/>
        <v>3/8" Hex BB RS-550 30</v>
      </c>
      <c r="E389" s="134">
        <v>4</v>
      </c>
      <c r="F389" s="134">
        <v>3</v>
      </c>
    </row>
    <row r="390" spans="1:6" ht="14.25" customHeight="1" x14ac:dyDescent="0.25">
      <c r="A390" s="134" t="s">
        <v>246</v>
      </c>
      <c r="B390" s="134" t="s">
        <v>333</v>
      </c>
      <c r="C390" s="134">
        <v>35</v>
      </c>
      <c r="D390" s="134" t="str">
        <f t="shared" si="1"/>
        <v>3/8" Hex BB RS-550 35</v>
      </c>
      <c r="E390" s="134">
        <v>3</v>
      </c>
      <c r="F390" s="134">
        <v>1</v>
      </c>
    </row>
    <row r="391" spans="1:6" ht="14.25" customHeight="1" x14ac:dyDescent="0.25">
      <c r="A391" s="134" t="s">
        <v>246</v>
      </c>
      <c r="B391" s="134" t="s">
        <v>333</v>
      </c>
      <c r="C391" s="134">
        <v>36</v>
      </c>
      <c r="D391" s="134" t="str">
        <f t="shared" si="1"/>
        <v>3/8" Hex BB RS-550 36</v>
      </c>
      <c r="E391" s="134">
        <v>3</v>
      </c>
      <c r="F391" s="134">
        <v>1</v>
      </c>
    </row>
    <row r="392" spans="1:6" ht="14.25" customHeight="1" x14ac:dyDescent="0.25">
      <c r="A392" s="134" t="s">
        <v>246</v>
      </c>
      <c r="B392" s="134" t="s">
        <v>333</v>
      </c>
      <c r="C392" s="134">
        <v>40</v>
      </c>
      <c r="D392" s="134" t="str">
        <f t="shared" si="1"/>
        <v>3/8" Hex BB RS-550 40</v>
      </c>
      <c r="E392" s="134">
        <v>3</v>
      </c>
      <c r="F392" s="134">
        <v>5</v>
      </c>
    </row>
    <row r="393" spans="1:6" ht="14.25" customHeight="1" x14ac:dyDescent="0.25">
      <c r="A393" s="134" t="s">
        <v>246</v>
      </c>
      <c r="B393" s="134" t="s">
        <v>333</v>
      </c>
      <c r="C393" s="134">
        <v>45</v>
      </c>
      <c r="D393" s="134" t="str">
        <f t="shared" si="1"/>
        <v>3/8" Hex BB RS-550 45</v>
      </c>
      <c r="E393" s="134">
        <v>1</v>
      </c>
      <c r="F393" s="134">
        <v>4</v>
      </c>
    </row>
    <row r="394" spans="1:6" ht="14.25" customHeight="1" x14ac:dyDescent="0.25">
      <c r="A394" s="134" t="s">
        <v>246</v>
      </c>
      <c r="B394" s="134" t="s">
        <v>333</v>
      </c>
      <c r="C394" s="134">
        <v>49</v>
      </c>
      <c r="D394" s="134" t="str">
        <f t="shared" si="1"/>
        <v>3/8" Hex BB RS-550 49</v>
      </c>
      <c r="E394" s="134">
        <v>1</v>
      </c>
      <c r="F394" s="134">
        <v>4</v>
      </c>
    </row>
    <row r="395" spans="1:6" ht="14.25" customHeight="1" x14ac:dyDescent="0.25">
      <c r="A395" s="134" t="s">
        <v>246</v>
      </c>
      <c r="B395" s="134" t="s">
        <v>333</v>
      </c>
      <c r="C395" s="134">
        <v>50</v>
      </c>
      <c r="D395" s="134" t="str">
        <f t="shared" si="1"/>
        <v>3/8" Hex BB RS-550 50</v>
      </c>
      <c r="E395" s="134">
        <v>1</v>
      </c>
      <c r="F395" s="134">
        <v>1</v>
      </c>
    </row>
    <row r="396" spans="1:6" ht="14.25" customHeight="1" x14ac:dyDescent="0.25">
      <c r="A396" s="134" t="s">
        <v>246</v>
      </c>
      <c r="B396" s="134" t="s">
        <v>333</v>
      </c>
      <c r="C396" s="134">
        <v>63</v>
      </c>
      <c r="D396" s="134" t="str">
        <f t="shared" si="1"/>
        <v>3/8" Hex BB RS-550 63</v>
      </c>
      <c r="E396" s="134">
        <v>1</v>
      </c>
      <c r="F396" s="134">
        <v>1</v>
      </c>
    </row>
    <row r="397" spans="1:6" ht="14.25" customHeight="1" x14ac:dyDescent="0.25">
      <c r="A397" s="134" t="s">
        <v>246</v>
      </c>
      <c r="B397" s="134" t="s">
        <v>333</v>
      </c>
      <c r="C397" s="134">
        <v>70</v>
      </c>
      <c r="D397" s="134" t="str">
        <f t="shared" si="1"/>
        <v>3/8" Hex BB RS-550 70</v>
      </c>
      <c r="E397" s="134">
        <v>1</v>
      </c>
      <c r="F397" s="134">
        <v>1</v>
      </c>
    </row>
    <row r="398" spans="1:6" ht="14.25" customHeight="1" x14ac:dyDescent="0.25">
      <c r="A398" s="134" t="s">
        <v>246</v>
      </c>
      <c r="B398" s="134" t="s">
        <v>333</v>
      </c>
      <c r="C398" s="134">
        <v>81</v>
      </c>
      <c r="D398" s="134" t="str">
        <f t="shared" si="1"/>
        <v>3/8" Hex BB RS-550 81</v>
      </c>
      <c r="E398" s="134">
        <v>1</v>
      </c>
      <c r="F398" s="134">
        <v>1</v>
      </c>
    </row>
    <row r="399" spans="1:6" ht="14.25" customHeight="1" x14ac:dyDescent="0.25">
      <c r="A399" s="134" t="s">
        <v>246</v>
      </c>
      <c r="B399" s="134" t="s">
        <v>333</v>
      </c>
      <c r="C399" s="134">
        <v>90</v>
      </c>
      <c r="D399" s="134" t="str">
        <f t="shared" si="1"/>
        <v>3/8" Hex BB RS-550 90</v>
      </c>
      <c r="E399" s="134">
        <v>1</v>
      </c>
      <c r="F399" s="134">
        <v>1</v>
      </c>
    </row>
    <row r="400" spans="1:6" ht="14.25" customHeight="1" x14ac:dyDescent="0.25">
      <c r="A400" s="134" t="s">
        <v>246</v>
      </c>
      <c r="B400" s="134" t="s">
        <v>333</v>
      </c>
      <c r="C400" s="134">
        <v>100</v>
      </c>
      <c r="D400" s="134" t="str">
        <f t="shared" si="1"/>
        <v>3/8" Hex BB RS-550 100</v>
      </c>
      <c r="E400" s="134">
        <v>1</v>
      </c>
      <c r="F400" s="134">
        <v>0</v>
      </c>
    </row>
    <row r="401" spans="1:6" ht="14.25" customHeight="1" x14ac:dyDescent="0.25">
      <c r="A401" s="134" t="s">
        <v>246</v>
      </c>
      <c r="B401" s="134" t="s">
        <v>334</v>
      </c>
      <c r="C401" s="134">
        <v>9</v>
      </c>
      <c r="D401" s="134" t="str">
        <f t="shared" si="1"/>
        <v>3/8" Hex BB RS-775 9</v>
      </c>
      <c r="E401" s="134">
        <v>7</v>
      </c>
      <c r="F401" s="134">
        <v>10</v>
      </c>
    </row>
    <row r="402" spans="1:6" ht="14.25" customHeight="1" x14ac:dyDescent="0.25">
      <c r="A402" s="134" t="s">
        <v>246</v>
      </c>
      <c r="B402" s="134" t="s">
        <v>334</v>
      </c>
      <c r="C402" s="134">
        <v>12</v>
      </c>
      <c r="D402" s="134" t="str">
        <f t="shared" si="1"/>
        <v>3/8" Hex BB RS-775 12</v>
      </c>
      <c r="E402" s="134">
        <v>5</v>
      </c>
      <c r="F402" s="134">
        <v>10</v>
      </c>
    </row>
    <row r="403" spans="1:6" ht="14.25" customHeight="1" x14ac:dyDescent="0.25">
      <c r="A403" s="134" t="s">
        <v>246</v>
      </c>
      <c r="B403" s="134" t="s">
        <v>334</v>
      </c>
      <c r="C403" s="134">
        <v>15</v>
      </c>
      <c r="D403" s="134" t="str">
        <f t="shared" si="1"/>
        <v>3/8" Hex BB RS-775 15</v>
      </c>
      <c r="E403" s="134">
        <v>4</v>
      </c>
      <c r="F403" s="134">
        <v>7</v>
      </c>
    </row>
    <row r="404" spans="1:6" ht="14.25" customHeight="1" x14ac:dyDescent="0.25">
      <c r="A404" s="134" t="s">
        <v>246</v>
      </c>
      <c r="B404" s="134" t="s">
        <v>334</v>
      </c>
      <c r="C404" s="134">
        <v>16</v>
      </c>
      <c r="D404" s="134" t="str">
        <f t="shared" si="1"/>
        <v>3/8" Hex BB RS-775 16</v>
      </c>
      <c r="E404" s="134">
        <v>4</v>
      </c>
      <c r="F404" s="134">
        <v>7</v>
      </c>
    </row>
    <row r="405" spans="1:6" ht="14.25" customHeight="1" x14ac:dyDescent="0.25">
      <c r="A405" s="134" t="s">
        <v>246</v>
      </c>
      <c r="B405" s="134" t="s">
        <v>334</v>
      </c>
      <c r="C405" s="134">
        <v>20</v>
      </c>
      <c r="D405" s="134" t="str">
        <f t="shared" si="1"/>
        <v>3/8" Hex BB RS-775 20</v>
      </c>
      <c r="E405" s="134">
        <v>3</v>
      </c>
      <c r="F405" s="134">
        <v>5</v>
      </c>
    </row>
    <row r="406" spans="1:6" ht="14.25" customHeight="1" x14ac:dyDescent="0.25">
      <c r="A406" s="134" t="s">
        <v>246</v>
      </c>
      <c r="B406" s="134" t="s">
        <v>334</v>
      </c>
      <c r="C406" s="134">
        <v>21</v>
      </c>
      <c r="D406" s="134" t="str">
        <f t="shared" si="1"/>
        <v>3/8" Hex BB RS-775 21</v>
      </c>
      <c r="E406" s="134">
        <v>3</v>
      </c>
      <c r="F406" s="134">
        <v>5</v>
      </c>
    </row>
    <row r="407" spans="1:6" ht="14.25" customHeight="1" x14ac:dyDescent="0.25">
      <c r="A407" s="134" t="s">
        <v>246</v>
      </c>
      <c r="B407" s="134" t="s">
        <v>334</v>
      </c>
      <c r="C407" s="134">
        <v>25</v>
      </c>
      <c r="D407" s="134" t="str">
        <f t="shared" si="1"/>
        <v>3/8" Hex BB RS-775 25</v>
      </c>
      <c r="E407" s="134">
        <v>1</v>
      </c>
      <c r="F407" s="134">
        <v>5</v>
      </c>
    </row>
    <row r="408" spans="1:6" ht="14.25" customHeight="1" x14ac:dyDescent="0.25">
      <c r="A408" s="134" t="s">
        <v>246</v>
      </c>
      <c r="B408" s="134" t="s">
        <v>334</v>
      </c>
      <c r="C408" s="134">
        <v>27</v>
      </c>
      <c r="D408" s="134" t="str">
        <f t="shared" si="1"/>
        <v>3/8" Hex BB RS-775 27</v>
      </c>
      <c r="E408" s="134">
        <v>1</v>
      </c>
      <c r="F408" s="134">
        <v>4</v>
      </c>
    </row>
    <row r="409" spans="1:6" ht="14.25" customHeight="1" x14ac:dyDescent="0.25">
      <c r="A409" s="134" t="s">
        <v>246</v>
      </c>
      <c r="B409" s="134" t="s">
        <v>334</v>
      </c>
      <c r="C409" s="134">
        <v>28</v>
      </c>
      <c r="D409" s="134" t="str">
        <f t="shared" si="1"/>
        <v>3/8" Hex BB RS-775 28</v>
      </c>
      <c r="E409" s="134">
        <v>1</v>
      </c>
      <c r="F409" s="134">
        <v>4</v>
      </c>
    </row>
    <row r="410" spans="1:6" ht="14.25" customHeight="1" x14ac:dyDescent="0.25">
      <c r="A410" s="134" t="s">
        <v>246</v>
      </c>
      <c r="B410" s="134" t="s">
        <v>334</v>
      </c>
      <c r="C410" s="134">
        <v>30</v>
      </c>
      <c r="D410" s="134" t="str">
        <f t="shared" si="1"/>
        <v>3/8" Hex BB RS-775 30</v>
      </c>
      <c r="E410" s="134">
        <v>1</v>
      </c>
      <c r="F410" s="134">
        <v>4</v>
      </c>
    </row>
    <row r="411" spans="1:6" ht="14.25" customHeight="1" x14ac:dyDescent="0.25">
      <c r="A411" s="134" t="s">
        <v>246</v>
      </c>
      <c r="B411" s="134" t="s">
        <v>334</v>
      </c>
      <c r="C411" s="134">
        <v>35</v>
      </c>
      <c r="D411" s="134" t="str">
        <f t="shared" si="1"/>
        <v>3/8" Hex BB RS-775 35</v>
      </c>
      <c r="E411" s="134">
        <v>1</v>
      </c>
      <c r="F411" s="134">
        <v>3</v>
      </c>
    </row>
    <row r="412" spans="1:6" ht="14.25" customHeight="1" x14ac:dyDescent="0.25">
      <c r="A412" s="134" t="s">
        <v>246</v>
      </c>
      <c r="B412" s="134" t="s">
        <v>334</v>
      </c>
      <c r="C412" s="134">
        <v>36</v>
      </c>
      <c r="D412" s="134" t="str">
        <f t="shared" si="1"/>
        <v>3/8" Hex BB RS-775 36</v>
      </c>
      <c r="E412" s="134">
        <v>1</v>
      </c>
      <c r="F412" s="134">
        <v>3</v>
      </c>
    </row>
    <row r="413" spans="1:6" ht="14.25" customHeight="1" x14ac:dyDescent="0.25">
      <c r="A413" s="134" t="s">
        <v>246</v>
      </c>
      <c r="B413" s="134" t="s">
        <v>334</v>
      </c>
      <c r="C413" s="134">
        <v>40</v>
      </c>
      <c r="D413" s="134" t="str">
        <f t="shared" si="1"/>
        <v>3/8" Hex BB RS-775 40</v>
      </c>
      <c r="E413" s="134">
        <v>1</v>
      </c>
      <c r="F413" s="134">
        <v>3</v>
      </c>
    </row>
    <row r="414" spans="1:6" ht="14.25" customHeight="1" x14ac:dyDescent="0.25">
      <c r="A414" s="134" t="s">
        <v>246</v>
      </c>
      <c r="B414" s="134" t="s">
        <v>334</v>
      </c>
      <c r="C414" s="134">
        <v>45</v>
      </c>
      <c r="D414" s="134" t="str">
        <f t="shared" si="1"/>
        <v>3/8" Hex BB RS-775 45</v>
      </c>
      <c r="E414" s="134">
        <v>1</v>
      </c>
      <c r="F414" s="134">
        <v>1</v>
      </c>
    </row>
    <row r="415" spans="1:6" ht="14.25" customHeight="1" x14ac:dyDescent="0.25">
      <c r="A415" s="134" t="s">
        <v>246</v>
      </c>
      <c r="B415" s="134" t="s">
        <v>334</v>
      </c>
      <c r="C415" s="134">
        <v>49</v>
      </c>
      <c r="D415" s="134" t="str">
        <f t="shared" si="1"/>
        <v>3/8" Hex BB RS-775 49</v>
      </c>
      <c r="E415" s="134">
        <v>1</v>
      </c>
      <c r="F415" s="134">
        <v>1</v>
      </c>
    </row>
    <row r="416" spans="1:6" ht="14.25" customHeight="1" x14ac:dyDescent="0.25">
      <c r="A416" s="134" t="s">
        <v>246</v>
      </c>
      <c r="B416" s="134" t="s">
        <v>334</v>
      </c>
      <c r="C416" s="134">
        <v>50</v>
      </c>
      <c r="D416" s="134" t="str">
        <f t="shared" si="1"/>
        <v>3/8" Hex BB RS-775 50</v>
      </c>
      <c r="E416" s="134">
        <v>1</v>
      </c>
      <c r="F416" s="134">
        <v>1</v>
      </c>
    </row>
    <row r="417" spans="1:6" ht="14.25" customHeight="1" x14ac:dyDescent="0.25">
      <c r="A417" s="134" t="s">
        <v>246</v>
      </c>
      <c r="B417" s="134" t="s">
        <v>334</v>
      </c>
      <c r="C417" s="134">
        <v>63</v>
      </c>
      <c r="D417" s="134" t="str">
        <f t="shared" si="1"/>
        <v>3/8" Hex BB RS-775 63</v>
      </c>
      <c r="E417" s="134">
        <v>1</v>
      </c>
      <c r="F417" s="134">
        <v>1</v>
      </c>
    </row>
    <row r="418" spans="1:6" ht="14.25" customHeight="1" x14ac:dyDescent="0.25">
      <c r="A418" s="134" t="s">
        <v>246</v>
      </c>
      <c r="B418" s="134" t="s">
        <v>334</v>
      </c>
      <c r="C418" s="134">
        <v>70</v>
      </c>
      <c r="D418" s="134" t="str">
        <f t="shared" si="1"/>
        <v>3/8" Hex BB RS-775 70</v>
      </c>
      <c r="E418" s="134">
        <v>1</v>
      </c>
      <c r="F418" s="134">
        <v>1</v>
      </c>
    </row>
    <row r="419" spans="1:6" ht="14.25" customHeight="1" x14ac:dyDescent="0.25">
      <c r="A419" s="134" t="s">
        <v>246</v>
      </c>
      <c r="B419" s="134" t="s">
        <v>334</v>
      </c>
      <c r="C419" s="134">
        <v>81</v>
      </c>
      <c r="D419" s="134" t="str">
        <f t="shared" si="1"/>
        <v>3/8" Hex BB RS-775 81</v>
      </c>
      <c r="E419" s="134">
        <v>0</v>
      </c>
      <c r="F419" s="134">
        <v>1</v>
      </c>
    </row>
    <row r="420" spans="1:6" ht="14.25" customHeight="1" x14ac:dyDescent="0.25">
      <c r="A420" s="134" t="s">
        <v>246</v>
      </c>
      <c r="B420" s="134" t="s">
        <v>334</v>
      </c>
      <c r="C420" s="134">
        <v>90</v>
      </c>
      <c r="D420" s="134" t="str">
        <f t="shared" si="1"/>
        <v>3/8" Hex BB RS-775 90</v>
      </c>
      <c r="E420" s="134">
        <v>0</v>
      </c>
      <c r="F420" s="134">
        <v>1</v>
      </c>
    </row>
    <row r="421" spans="1:6" ht="14.25" customHeight="1" x14ac:dyDescent="0.25">
      <c r="A421" s="134" t="s">
        <v>246</v>
      </c>
      <c r="B421" s="134" t="s">
        <v>334</v>
      </c>
      <c r="C421" s="134">
        <v>100</v>
      </c>
      <c r="D421" s="134" t="str">
        <f t="shared" si="1"/>
        <v>3/8" Hex BB RS-775 100</v>
      </c>
      <c r="E421" s="134">
        <v>0</v>
      </c>
      <c r="F421" s="134">
        <v>1</v>
      </c>
    </row>
    <row r="422" spans="1:6" ht="14.25" customHeight="1" x14ac:dyDescent="0.25">
      <c r="A422" s="134" t="s">
        <v>246</v>
      </c>
      <c r="B422" s="134" t="s">
        <v>257</v>
      </c>
      <c r="C422" s="134">
        <v>9</v>
      </c>
      <c r="D422" s="134" t="str">
        <f t="shared" si="1"/>
        <v>3/8" Hex BAG 9</v>
      </c>
      <c r="E422" s="134">
        <v>10</v>
      </c>
      <c r="F422" s="134">
        <v>9</v>
      </c>
    </row>
    <row r="423" spans="1:6" ht="14.25" customHeight="1" x14ac:dyDescent="0.25">
      <c r="A423" s="134" t="s">
        <v>246</v>
      </c>
      <c r="B423" s="134" t="s">
        <v>257</v>
      </c>
      <c r="C423" s="134">
        <v>12</v>
      </c>
      <c r="D423" s="134" t="str">
        <f t="shared" si="1"/>
        <v>3/8" Hex BAG 12</v>
      </c>
      <c r="E423" s="134">
        <v>10</v>
      </c>
      <c r="F423" s="134">
        <v>5</v>
      </c>
    </row>
    <row r="424" spans="1:6" ht="14.25" customHeight="1" x14ac:dyDescent="0.25">
      <c r="A424" s="134" t="s">
        <v>246</v>
      </c>
      <c r="B424" s="134" t="s">
        <v>257</v>
      </c>
      <c r="C424" s="134">
        <v>15</v>
      </c>
      <c r="D424" s="134" t="str">
        <f t="shared" si="1"/>
        <v>3/8" Hex BAG 15</v>
      </c>
      <c r="E424" s="134">
        <v>7</v>
      </c>
      <c r="F424" s="134">
        <v>5</v>
      </c>
    </row>
    <row r="425" spans="1:6" ht="14.25" customHeight="1" x14ac:dyDescent="0.25">
      <c r="A425" s="134" t="s">
        <v>246</v>
      </c>
      <c r="B425" s="134" t="s">
        <v>257</v>
      </c>
      <c r="C425" s="134">
        <v>16</v>
      </c>
      <c r="D425" s="134" t="str">
        <f t="shared" si="1"/>
        <v>3/8" Hex BAG 16</v>
      </c>
      <c r="E425" s="134">
        <v>7</v>
      </c>
      <c r="F425" s="134">
        <v>5</v>
      </c>
    </row>
    <row r="426" spans="1:6" ht="14.25" customHeight="1" x14ac:dyDescent="0.25">
      <c r="A426" s="134" t="s">
        <v>246</v>
      </c>
      <c r="B426" s="134" t="s">
        <v>257</v>
      </c>
      <c r="C426" s="134">
        <v>20</v>
      </c>
      <c r="D426" s="134" t="str">
        <f t="shared" si="1"/>
        <v>3/8" Hex BAG 20</v>
      </c>
      <c r="E426" s="134">
        <v>5</v>
      </c>
      <c r="F426" s="134">
        <v>4</v>
      </c>
    </row>
    <row r="427" spans="1:6" ht="14.25" customHeight="1" x14ac:dyDescent="0.25">
      <c r="A427" s="134" t="s">
        <v>246</v>
      </c>
      <c r="B427" s="134" t="s">
        <v>257</v>
      </c>
      <c r="C427" s="134">
        <v>21</v>
      </c>
      <c r="D427" s="134" t="str">
        <f t="shared" si="1"/>
        <v>3/8" Hex BAG 21</v>
      </c>
      <c r="E427" s="134">
        <v>5</v>
      </c>
      <c r="F427" s="134">
        <v>3</v>
      </c>
    </row>
    <row r="428" spans="1:6" ht="14.25" customHeight="1" x14ac:dyDescent="0.25">
      <c r="A428" s="134" t="s">
        <v>246</v>
      </c>
      <c r="B428" s="134" t="s">
        <v>257</v>
      </c>
      <c r="C428" s="134">
        <v>25</v>
      </c>
      <c r="D428" s="134" t="str">
        <f t="shared" si="1"/>
        <v>3/8" Hex BAG 25</v>
      </c>
      <c r="E428" s="134">
        <v>5</v>
      </c>
      <c r="F428" s="134">
        <v>3</v>
      </c>
    </row>
    <row r="429" spans="1:6" ht="14.25" customHeight="1" x14ac:dyDescent="0.25">
      <c r="A429" s="134" t="s">
        <v>246</v>
      </c>
      <c r="B429" s="134" t="s">
        <v>257</v>
      </c>
      <c r="C429" s="134">
        <v>27</v>
      </c>
      <c r="D429" s="134" t="str">
        <f t="shared" si="1"/>
        <v>3/8" Hex BAG 27</v>
      </c>
      <c r="E429" s="134">
        <v>4</v>
      </c>
      <c r="F429" s="134">
        <v>3</v>
      </c>
    </row>
    <row r="430" spans="1:6" ht="14.25" customHeight="1" x14ac:dyDescent="0.25">
      <c r="A430" s="134" t="s">
        <v>246</v>
      </c>
      <c r="B430" s="134" t="s">
        <v>257</v>
      </c>
      <c r="C430" s="134">
        <v>28</v>
      </c>
      <c r="D430" s="134" t="str">
        <f t="shared" si="1"/>
        <v>3/8" Hex BAG 28</v>
      </c>
      <c r="E430" s="134">
        <v>4</v>
      </c>
      <c r="F430" s="134">
        <v>1</v>
      </c>
    </row>
    <row r="431" spans="1:6" ht="14.25" customHeight="1" x14ac:dyDescent="0.25">
      <c r="A431" s="134" t="s">
        <v>246</v>
      </c>
      <c r="B431" s="134" t="s">
        <v>257</v>
      </c>
      <c r="C431" s="134">
        <v>30</v>
      </c>
      <c r="D431" s="134" t="str">
        <f t="shared" si="1"/>
        <v>3/8" Hex BAG 30</v>
      </c>
      <c r="E431" s="134">
        <v>4</v>
      </c>
      <c r="F431" s="134">
        <v>1</v>
      </c>
    </row>
    <row r="432" spans="1:6" ht="14.25" customHeight="1" x14ac:dyDescent="0.25">
      <c r="A432" s="134" t="s">
        <v>246</v>
      </c>
      <c r="B432" s="134" t="s">
        <v>257</v>
      </c>
      <c r="C432" s="134">
        <v>35</v>
      </c>
      <c r="D432" s="134" t="str">
        <f t="shared" si="1"/>
        <v>3/8" Hex BAG 35</v>
      </c>
      <c r="E432" s="134">
        <v>3</v>
      </c>
      <c r="F432" s="134">
        <v>1</v>
      </c>
    </row>
    <row r="433" spans="1:6" ht="14.25" customHeight="1" x14ac:dyDescent="0.25">
      <c r="A433" s="134" t="s">
        <v>246</v>
      </c>
      <c r="B433" s="134" t="s">
        <v>257</v>
      </c>
      <c r="C433" s="134">
        <v>36</v>
      </c>
      <c r="D433" s="134" t="str">
        <f t="shared" si="1"/>
        <v>3/8" Hex BAG 36</v>
      </c>
      <c r="E433" s="134">
        <v>3</v>
      </c>
      <c r="F433" s="134">
        <v>1</v>
      </c>
    </row>
    <row r="434" spans="1:6" ht="14.25" customHeight="1" x14ac:dyDescent="0.25">
      <c r="A434" s="134" t="s">
        <v>246</v>
      </c>
      <c r="B434" s="134" t="s">
        <v>257</v>
      </c>
      <c r="C434" s="134">
        <v>40</v>
      </c>
      <c r="D434" s="134" t="str">
        <f t="shared" si="1"/>
        <v>3/8" Hex BAG 40</v>
      </c>
      <c r="E434" s="134">
        <v>3</v>
      </c>
      <c r="F434" s="134">
        <v>1</v>
      </c>
    </row>
    <row r="435" spans="1:6" ht="14.25" customHeight="1" x14ac:dyDescent="0.25">
      <c r="A435" s="134" t="s">
        <v>246</v>
      </c>
      <c r="B435" s="134" t="s">
        <v>257</v>
      </c>
      <c r="C435" s="134">
        <v>45</v>
      </c>
      <c r="D435" s="134" t="str">
        <f t="shared" si="1"/>
        <v>3/8" Hex BAG 45</v>
      </c>
      <c r="E435" s="134">
        <v>1</v>
      </c>
      <c r="F435" s="134">
        <v>1</v>
      </c>
    </row>
    <row r="436" spans="1:6" ht="14.25" customHeight="1" x14ac:dyDescent="0.25">
      <c r="A436" s="134" t="s">
        <v>246</v>
      </c>
      <c r="B436" s="134" t="s">
        <v>257</v>
      </c>
      <c r="C436" s="134">
        <v>49</v>
      </c>
      <c r="D436" s="134" t="str">
        <f t="shared" si="1"/>
        <v>3/8" Hex BAG 49</v>
      </c>
      <c r="E436" s="134">
        <v>1</v>
      </c>
      <c r="F436" s="134">
        <v>1</v>
      </c>
    </row>
    <row r="437" spans="1:6" ht="14.25" customHeight="1" x14ac:dyDescent="0.25">
      <c r="A437" s="134" t="s">
        <v>246</v>
      </c>
      <c r="B437" s="134" t="s">
        <v>257</v>
      </c>
      <c r="C437" s="134">
        <v>50</v>
      </c>
      <c r="D437" s="134" t="str">
        <f t="shared" si="1"/>
        <v>3/8" Hex BAG 50</v>
      </c>
      <c r="E437" s="134">
        <v>1</v>
      </c>
      <c r="F437" s="134">
        <v>1</v>
      </c>
    </row>
    <row r="438" spans="1:6" ht="14.25" customHeight="1" x14ac:dyDescent="0.25">
      <c r="A438" s="134" t="s">
        <v>246</v>
      </c>
      <c r="B438" s="134" t="s">
        <v>257</v>
      </c>
      <c r="C438" s="134">
        <v>63</v>
      </c>
      <c r="D438" s="134" t="str">
        <f t="shared" si="1"/>
        <v>3/8" Hex BAG 63</v>
      </c>
      <c r="E438" s="134">
        <v>1</v>
      </c>
      <c r="F438" s="134">
        <v>1</v>
      </c>
    </row>
    <row r="439" spans="1:6" ht="14.25" customHeight="1" x14ac:dyDescent="0.25">
      <c r="A439" s="134" t="s">
        <v>246</v>
      </c>
      <c r="B439" s="134" t="s">
        <v>257</v>
      </c>
      <c r="C439" s="134">
        <v>70</v>
      </c>
      <c r="D439" s="134" t="str">
        <f t="shared" si="1"/>
        <v>3/8" Hex BAG 70</v>
      </c>
      <c r="E439" s="134">
        <v>1</v>
      </c>
      <c r="F439" s="134">
        <v>1</v>
      </c>
    </row>
    <row r="440" spans="1:6" ht="14.25" customHeight="1" x14ac:dyDescent="0.25">
      <c r="A440" s="134" t="s">
        <v>246</v>
      </c>
      <c r="B440" s="134" t="s">
        <v>257</v>
      </c>
      <c r="C440" s="134">
        <v>81</v>
      </c>
      <c r="D440" s="134" t="str">
        <f t="shared" si="1"/>
        <v>3/8" Hex BAG 81</v>
      </c>
      <c r="E440" s="134">
        <v>1</v>
      </c>
      <c r="F440" s="134">
        <v>1</v>
      </c>
    </row>
    <row r="441" spans="1:6" ht="14.25" customHeight="1" x14ac:dyDescent="0.25">
      <c r="A441" s="134" t="s">
        <v>246</v>
      </c>
      <c r="B441" s="134" t="s">
        <v>257</v>
      </c>
      <c r="C441" s="134">
        <v>90</v>
      </c>
      <c r="D441" s="134" t="str">
        <f t="shared" si="1"/>
        <v>3/8" Hex BAG 90</v>
      </c>
      <c r="E441" s="134">
        <v>1</v>
      </c>
      <c r="F441" s="134">
        <v>0</v>
      </c>
    </row>
    <row r="442" spans="1:6" ht="14.25" customHeight="1" x14ac:dyDescent="0.25">
      <c r="A442" s="134" t="s">
        <v>246</v>
      </c>
      <c r="B442" s="134" t="s">
        <v>257</v>
      </c>
      <c r="C442" s="134">
        <v>100</v>
      </c>
      <c r="D442" s="134" t="str">
        <f t="shared" si="1"/>
        <v>3/8" Hex BAG 100</v>
      </c>
      <c r="E442" s="134">
        <v>1</v>
      </c>
      <c r="F442" s="134">
        <v>0</v>
      </c>
    </row>
    <row r="443" spans="1:6" ht="14.25" customHeight="1" x14ac:dyDescent="0.25">
      <c r="A443" s="134" t="s">
        <v>246</v>
      </c>
      <c r="B443" s="134" t="s">
        <v>7</v>
      </c>
      <c r="C443" s="134">
        <v>9</v>
      </c>
      <c r="D443" s="134" t="str">
        <f t="shared" si="1"/>
        <v>3/8" Hex Mini CIM 9</v>
      </c>
      <c r="E443" s="134">
        <v>4</v>
      </c>
      <c r="F443" s="134">
        <v>0</v>
      </c>
    </row>
    <row r="444" spans="1:6" ht="14.25" customHeight="1" x14ac:dyDescent="0.25">
      <c r="A444" s="134" t="s">
        <v>246</v>
      </c>
      <c r="B444" s="134" t="s">
        <v>7</v>
      </c>
      <c r="C444" s="134">
        <v>12</v>
      </c>
      <c r="D444" s="134" t="str">
        <f t="shared" si="1"/>
        <v>3/8" Hex Mini CIM 12</v>
      </c>
      <c r="E444" s="134">
        <v>3</v>
      </c>
      <c r="F444" s="134">
        <v>0</v>
      </c>
    </row>
    <row r="445" spans="1:6" ht="14.25" customHeight="1" x14ac:dyDescent="0.25">
      <c r="A445" s="134" t="s">
        <v>246</v>
      </c>
      <c r="B445" s="134" t="s">
        <v>7</v>
      </c>
      <c r="C445" s="134">
        <v>15</v>
      </c>
      <c r="D445" s="134" t="str">
        <f t="shared" si="1"/>
        <v>3/8" Hex Mini CIM 15</v>
      </c>
      <c r="E445" s="134">
        <v>1</v>
      </c>
      <c r="F445" s="134">
        <v>0</v>
      </c>
    </row>
    <row r="446" spans="1:6" ht="14.25" customHeight="1" x14ac:dyDescent="0.25">
      <c r="A446" s="134" t="s">
        <v>246</v>
      </c>
      <c r="B446" s="134" t="s">
        <v>7</v>
      </c>
      <c r="C446" s="134">
        <v>16</v>
      </c>
      <c r="D446" s="134" t="str">
        <f t="shared" si="1"/>
        <v>3/8" Hex Mini CIM 16</v>
      </c>
      <c r="E446" s="134">
        <v>1</v>
      </c>
      <c r="F446" s="134">
        <v>0</v>
      </c>
    </row>
    <row r="447" spans="1:6" ht="14.25" customHeight="1" x14ac:dyDescent="0.25">
      <c r="A447" s="134" t="s">
        <v>246</v>
      </c>
      <c r="B447" s="134" t="s">
        <v>7</v>
      </c>
      <c r="C447" s="134">
        <v>20</v>
      </c>
      <c r="D447" s="134" t="str">
        <f t="shared" si="1"/>
        <v>3/8" Hex Mini CIM 20</v>
      </c>
      <c r="E447" s="134">
        <v>1</v>
      </c>
      <c r="F447" s="134">
        <v>0</v>
      </c>
    </row>
    <row r="448" spans="1:6" ht="14.25" customHeight="1" x14ac:dyDescent="0.25">
      <c r="A448" s="134" t="s">
        <v>246</v>
      </c>
      <c r="B448" s="134" t="s">
        <v>7</v>
      </c>
      <c r="C448" s="134">
        <v>21</v>
      </c>
      <c r="D448" s="134" t="str">
        <f t="shared" si="1"/>
        <v>3/8" Hex Mini CIM 21</v>
      </c>
      <c r="E448" s="134">
        <v>1</v>
      </c>
      <c r="F448" s="134">
        <v>0</v>
      </c>
    </row>
    <row r="449" spans="1:6" ht="14.25" customHeight="1" x14ac:dyDescent="0.25">
      <c r="A449" s="134" t="s">
        <v>246</v>
      </c>
      <c r="B449" s="134" t="s">
        <v>7</v>
      </c>
      <c r="C449" s="134">
        <v>25</v>
      </c>
      <c r="D449" s="134" t="str">
        <f t="shared" si="1"/>
        <v>3/8" Hex Mini CIM 25</v>
      </c>
      <c r="E449" s="134">
        <v>1</v>
      </c>
      <c r="F449" s="134">
        <v>0</v>
      </c>
    </row>
    <row r="450" spans="1:6" ht="14.25" customHeight="1" x14ac:dyDescent="0.25">
      <c r="A450" s="134" t="s">
        <v>246</v>
      </c>
      <c r="B450" s="134" t="s">
        <v>7</v>
      </c>
      <c r="C450" s="134">
        <v>27</v>
      </c>
      <c r="D450" s="134" t="str">
        <f t="shared" si="1"/>
        <v>3/8" Hex Mini CIM 27</v>
      </c>
      <c r="E450" s="134">
        <v>1</v>
      </c>
      <c r="F450" s="134">
        <v>0</v>
      </c>
    </row>
    <row r="451" spans="1:6" ht="14.25" customHeight="1" x14ac:dyDescent="0.25">
      <c r="A451" s="134" t="s">
        <v>246</v>
      </c>
      <c r="B451" s="134" t="s">
        <v>7</v>
      </c>
      <c r="C451" s="134">
        <v>28</v>
      </c>
      <c r="D451" s="134" t="str">
        <f t="shared" si="1"/>
        <v>3/8" Hex Mini CIM 28</v>
      </c>
      <c r="E451" s="134">
        <v>1</v>
      </c>
      <c r="F451" s="134">
        <v>0</v>
      </c>
    </row>
    <row r="452" spans="1:6" ht="14.25" customHeight="1" x14ac:dyDescent="0.25">
      <c r="A452" s="134" t="s">
        <v>246</v>
      </c>
      <c r="B452" s="134" t="s">
        <v>7</v>
      </c>
      <c r="C452" s="134">
        <v>30</v>
      </c>
      <c r="D452" s="134" t="str">
        <f t="shared" si="1"/>
        <v>3/8" Hex Mini CIM 30</v>
      </c>
      <c r="E452" s="134">
        <v>1</v>
      </c>
      <c r="F452" s="134">
        <v>0</v>
      </c>
    </row>
    <row r="453" spans="1:6" ht="14.25" customHeight="1" x14ac:dyDescent="0.25">
      <c r="A453" s="134" t="s">
        <v>246</v>
      </c>
      <c r="B453" s="134" t="s">
        <v>7</v>
      </c>
      <c r="C453" s="134">
        <v>35</v>
      </c>
      <c r="D453" s="134" t="str">
        <f t="shared" si="1"/>
        <v>3/8" Hex Mini CIM 35</v>
      </c>
      <c r="E453" s="134">
        <v>1</v>
      </c>
      <c r="F453" s="134">
        <v>0</v>
      </c>
    </row>
    <row r="454" spans="1:6" ht="14.25" customHeight="1" x14ac:dyDescent="0.25">
      <c r="A454" s="134" t="s">
        <v>246</v>
      </c>
      <c r="B454" s="134" t="s">
        <v>7</v>
      </c>
      <c r="C454" s="134">
        <v>36</v>
      </c>
      <c r="D454" s="134" t="str">
        <f t="shared" si="1"/>
        <v>3/8" Hex Mini CIM 36</v>
      </c>
      <c r="E454" s="134">
        <v>1</v>
      </c>
      <c r="F454" s="134">
        <v>0</v>
      </c>
    </row>
    <row r="455" spans="1:6" ht="14.25" customHeight="1" x14ac:dyDescent="0.25">
      <c r="A455" s="134" t="s">
        <v>246</v>
      </c>
      <c r="B455" s="134" t="s">
        <v>7</v>
      </c>
      <c r="C455" s="134">
        <v>40</v>
      </c>
      <c r="D455" s="134" t="str">
        <f t="shared" si="1"/>
        <v>3/8" Hex Mini CIM 40</v>
      </c>
      <c r="E455" s="134">
        <v>1</v>
      </c>
      <c r="F455" s="134">
        <v>0</v>
      </c>
    </row>
    <row r="456" spans="1:6" ht="14.25" customHeight="1" x14ac:dyDescent="0.25">
      <c r="A456" s="134" t="s">
        <v>246</v>
      </c>
      <c r="B456" s="134" t="s">
        <v>7</v>
      </c>
      <c r="C456" s="134">
        <v>45</v>
      </c>
      <c r="D456" s="134" t="str">
        <f t="shared" si="1"/>
        <v>3/8" Hex Mini CIM 45</v>
      </c>
      <c r="E456" s="134">
        <v>0</v>
      </c>
      <c r="F456" s="134">
        <v>0</v>
      </c>
    </row>
    <row r="457" spans="1:6" ht="14.25" customHeight="1" x14ac:dyDescent="0.25">
      <c r="A457" s="134" t="s">
        <v>246</v>
      </c>
      <c r="B457" s="134" t="s">
        <v>7</v>
      </c>
      <c r="C457" s="134">
        <v>49</v>
      </c>
      <c r="D457" s="134" t="str">
        <f t="shared" si="1"/>
        <v>3/8" Hex Mini CIM 49</v>
      </c>
      <c r="E457" s="134">
        <v>0</v>
      </c>
      <c r="F457" s="134">
        <v>0</v>
      </c>
    </row>
    <row r="458" spans="1:6" ht="14.25" customHeight="1" x14ac:dyDescent="0.25">
      <c r="A458" s="134" t="s">
        <v>246</v>
      </c>
      <c r="B458" s="134" t="s">
        <v>7</v>
      </c>
      <c r="C458" s="134">
        <v>50</v>
      </c>
      <c r="D458" s="134" t="str">
        <f t="shared" si="1"/>
        <v>3/8" Hex Mini CIM 50</v>
      </c>
      <c r="E458" s="134">
        <v>0</v>
      </c>
      <c r="F458" s="134">
        <v>0</v>
      </c>
    </row>
    <row r="459" spans="1:6" ht="14.25" customHeight="1" x14ac:dyDescent="0.25">
      <c r="A459" s="134" t="s">
        <v>246</v>
      </c>
      <c r="B459" s="134" t="s">
        <v>7</v>
      </c>
      <c r="C459" s="134">
        <v>63</v>
      </c>
      <c r="D459" s="134" t="str">
        <f t="shared" si="1"/>
        <v>3/8" Hex Mini CIM 63</v>
      </c>
      <c r="E459" s="134">
        <v>0</v>
      </c>
      <c r="F459" s="134">
        <v>0</v>
      </c>
    </row>
    <row r="460" spans="1:6" ht="14.25" customHeight="1" x14ac:dyDescent="0.25">
      <c r="A460" s="134" t="s">
        <v>246</v>
      </c>
      <c r="B460" s="134" t="s">
        <v>7</v>
      </c>
      <c r="C460" s="134">
        <v>70</v>
      </c>
      <c r="D460" s="134" t="str">
        <f t="shared" si="1"/>
        <v>3/8" Hex Mini CIM 70</v>
      </c>
      <c r="E460" s="134">
        <v>0</v>
      </c>
      <c r="F460" s="134">
        <v>0</v>
      </c>
    </row>
    <row r="461" spans="1:6" ht="14.25" customHeight="1" x14ac:dyDescent="0.25">
      <c r="A461" s="134" t="s">
        <v>246</v>
      </c>
      <c r="B461" s="134" t="s">
        <v>7</v>
      </c>
      <c r="C461" s="134">
        <v>81</v>
      </c>
      <c r="D461" s="134" t="str">
        <f t="shared" si="1"/>
        <v>3/8" Hex Mini CIM 81</v>
      </c>
      <c r="E461" s="134">
        <v>0</v>
      </c>
      <c r="F461" s="134">
        <v>0</v>
      </c>
    </row>
    <row r="462" spans="1:6" ht="14.25" customHeight="1" x14ac:dyDescent="0.25">
      <c r="A462" s="134" t="s">
        <v>246</v>
      </c>
      <c r="B462" s="134" t="s">
        <v>7</v>
      </c>
      <c r="C462" s="134">
        <v>90</v>
      </c>
      <c r="D462" s="134" t="str">
        <f t="shared" si="1"/>
        <v>3/8" Hex Mini CIM 90</v>
      </c>
      <c r="E462" s="134">
        <v>0</v>
      </c>
      <c r="F462" s="134">
        <v>0</v>
      </c>
    </row>
    <row r="463" spans="1:6" ht="14.25" customHeight="1" x14ac:dyDescent="0.25">
      <c r="A463" s="134" t="s">
        <v>246</v>
      </c>
      <c r="B463" s="134" t="s">
        <v>7</v>
      </c>
      <c r="C463" s="134">
        <v>100</v>
      </c>
      <c r="D463" s="134" t="str">
        <f t="shared" si="1"/>
        <v>3/8" Hex Mini CIM 100</v>
      </c>
      <c r="E463" s="134">
        <v>0</v>
      </c>
      <c r="F463" s="134">
        <v>0</v>
      </c>
    </row>
    <row r="464" spans="1:6" ht="14.25" customHeight="1" x14ac:dyDescent="0.25">
      <c r="A464" s="134" t="s">
        <v>246</v>
      </c>
      <c r="B464" s="134" t="s">
        <v>6</v>
      </c>
      <c r="C464" s="134">
        <v>9</v>
      </c>
      <c r="D464" s="134" t="str">
        <f t="shared" si="1"/>
        <v>3/8" Hex CIM 9</v>
      </c>
      <c r="E464" s="134">
        <v>1</v>
      </c>
      <c r="F464" s="134">
        <v>0</v>
      </c>
    </row>
    <row r="465" spans="1:6" ht="14.25" customHeight="1" x14ac:dyDescent="0.25">
      <c r="A465" s="134" t="s">
        <v>246</v>
      </c>
      <c r="B465" s="134" t="s">
        <v>6</v>
      </c>
      <c r="C465" s="134">
        <v>12</v>
      </c>
      <c r="D465" s="134" t="str">
        <f t="shared" si="1"/>
        <v>3/8" Hex CIM 12</v>
      </c>
      <c r="E465" s="134">
        <v>1</v>
      </c>
      <c r="F465" s="134">
        <v>0</v>
      </c>
    </row>
    <row r="466" spans="1:6" ht="14.25" customHeight="1" x14ac:dyDescent="0.25">
      <c r="A466" s="134" t="s">
        <v>246</v>
      </c>
      <c r="B466" s="134" t="s">
        <v>6</v>
      </c>
      <c r="C466" s="134">
        <v>15</v>
      </c>
      <c r="D466" s="134" t="str">
        <f t="shared" si="1"/>
        <v>3/8" Hex CIM 15</v>
      </c>
      <c r="E466" s="134">
        <v>1</v>
      </c>
      <c r="F466" s="134">
        <v>0</v>
      </c>
    </row>
    <row r="467" spans="1:6" ht="14.25" customHeight="1" x14ac:dyDescent="0.25">
      <c r="A467" s="134" t="s">
        <v>246</v>
      </c>
      <c r="B467" s="134" t="s">
        <v>6</v>
      </c>
      <c r="C467" s="134">
        <v>16</v>
      </c>
      <c r="D467" s="134" t="str">
        <f t="shared" si="1"/>
        <v>3/8" Hex CIM 16</v>
      </c>
      <c r="E467" s="134">
        <v>1</v>
      </c>
      <c r="F467" s="134">
        <v>0</v>
      </c>
    </row>
    <row r="468" spans="1:6" ht="14.25" customHeight="1" x14ac:dyDescent="0.25">
      <c r="A468" s="134" t="s">
        <v>246</v>
      </c>
      <c r="B468" s="134" t="s">
        <v>6</v>
      </c>
      <c r="C468" s="134">
        <v>20</v>
      </c>
      <c r="D468" s="134" t="str">
        <f t="shared" si="1"/>
        <v>3/8" Hex CIM 20</v>
      </c>
      <c r="E468" s="134">
        <v>1</v>
      </c>
      <c r="F468" s="134">
        <v>0</v>
      </c>
    </row>
    <row r="469" spans="1:6" ht="14.25" customHeight="1" x14ac:dyDescent="0.25">
      <c r="A469" s="134" t="s">
        <v>246</v>
      </c>
      <c r="B469" s="134" t="s">
        <v>6</v>
      </c>
      <c r="C469" s="134">
        <v>21</v>
      </c>
      <c r="D469" s="134" t="str">
        <f t="shared" si="1"/>
        <v>3/8" Hex CIM 21</v>
      </c>
      <c r="E469" s="134">
        <v>1</v>
      </c>
      <c r="F469" s="134">
        <v>0</v>
      </c>
    </row>
    <row r="470" spans="1:6" ht="14.25" customHeight="1" x14ac:dyDescent="0.25">
      <c r="A470" s="134" t="s">
        <v>246</v>
      </c>
      <c r="B470" s="134" t="s">
        <v>6</v>
      </c>
      <c r="C470" s="134">
        <v>25</v>
      </c>
      <c r="D470" s="134" t="str">
        <f t="shared" si="1"/>
        <v>3/8" Hex CIM 25</v>
      </c>
      <c r="E470" s="134">
        <v>0</v>
      </c>
      <c r="F470" s="134">
        <v>0</v>
      </c>
    </row>
    <row r="471" spans="1:6" ht="14.25" customHeight="1" x14ac:dyDescent="0.25">
      <c r="A471" s="134" t="s">
        <v>246</v>
      </c>
      <c r="B471" s="134" t="s">
        <v>6</v>
      </c>
      <c r="C471" s="134">
        <v>27</v>
      </c>
      <c r="D471" s="134" t="str">
        <f t="shared" si="1"/>
        <v>3/8" Hex CIM 27</v>
      </c>
      <c r="E471" s="134">
        <v>0</v>
      </c>
      <c r="F471" s="134">
        <v>0</v>
      </c>
    </row>
    <row r="472" spans="1:6" ht="14.25" customHeight="1" x14ac:dyDescent="0.25">
      <c r="A472" s="134" t="s">
        <v>246</v>
      </c>
      <c r="B472" s="134" t="s">
        <v>6</v>
      </c>
      <c r="C472" s="134">
        <v>28</v>
      </c>
      <c r="D472" s="134" t="str">
        <f t="shared" si="1"/>
        <v>3/8" Hex CIM 28</v>
      </c>
      <c r="E472" s="134">
        <v>0</v>
      </c>
      <c r="F472" s="134">
        <v>0</v>
      </c>
    </row>
    <row r="473" spans="1:6" ht="14.25" customHeight="1" x14ac:dyDescent="0.25">
      <c r="A473" s="134" t="s">
        <v>246</v>
      </c>
      <c r="B473" s="134" t="s">
        <v>6</v>
      </c>
      <c r="C473" s="134">
        <v>30</v>
      </c>
      <c r="D473" s="134" t="str">
        <f t="shared" si="1"/>
        <v>3/8" Hex CIM 30</v>
      </c>
      <c r="E473" s="134">
        <v>0</v>
      </c>
      <c r="F473" s="134">
        <v>0</v>
      </c>
    </row>
    <row r="474" spans="1:6" ht="14.25" customHeight="1" x14ac:dyDescent="0.25">
      <c r="A474" s="134" t="s">
        <v>246</v>
      </c>
      <c r="B474" s="134" t="s">
        <v>6</v>
      </c>
      <c r="C474" s="134">
        <v>35</v>
      </c>
      <c r="D474" s="134" t="str">
        <f t="shared" si="1"/>
        <v>3/8" Hex CIM 35</v>
      </c>
      <c r="E474" s="134">
        <v>0</v>
      </c>
      <c r="F474" s="134">
        <v>0</v>
      </c>
    </row>
    <row r="475" spans="1:6" ht="14.25" customHeight="1" x14ac:dyDescent="0.25">
      <c r="A475" s="134" t="s">
        <v>246</v>
      </c>
      <c r="B475" s="134" t="s">
        <v>6</v>
      </c>
      <c r="C475" s="134">
        <v>36</v>
      </c>
      <c r="D475" s="134" t="str">
        <f t="shared" si="1"/>
        <v>3/8" Hex CIM 36</v>
      </c>
      <c r="E475" s="134">
        <v>0</v>
      </c>
      <c r="F475" s="134">
        <v>0</v>
      </c>
    </row>
    <row r="476" spans="1:6" ht="14.25" customHeight="1" x14ac:dyDescent="0.25">
      <c r="A476" s="134" t="s">
        <v>246</v>
      </c>
      <c r="B476" s="134" t="s">
        <v>6</v>
      </c>
      <c r="C476" s="134">
        <v>40</v>
      </c>
      <c r="D476" s="134" t="str">
        <f t="shared" si="1"/>
        <v>3/8" Hex CIM 40</v>
      </c>
      <c r="E476" s="134">
        <v>0</v>
      </c>
      <c r="F476" s="134">
        <v>0</v>
      </c>
    </row>
    <row r="477" spans="1:6" ht="14.25" customHeight="1" x14ac:dyDescent="0.25">
      <c r="A477" s="134" t="s">
        <v>246</v>
      </c>
      <c r="B477" s="134" t="s">
        <v>6</v>
      </c>
      <c r="C477" s="134">
        <v>45</v>
      </c>
      <c r="D477" s="134" t="str">
        <f t="shared" si="1"/>
        <v>3/8" Hex CIM 45</v>
      </c>
      <c r="E477" s="134">
        <v>0</v>
      </c>
      <c r="F477" s="134">
        <v>0</v>
      </c>
    </row>
    <row r="478" spans="1:6" ht="14.25" customHeight="1" x14ac:dyDescent="0.25">
      <c r="A478" s="134" t="s">
        <v>246</v>
      </c>
      <c r="B478" s="134" t="s">
        <v>6</v>
      </c>
      <c r="C478" s="134">
        <v>49</v>
      </c>
      <c r="D478" s="134" t="str">
        <f t="shared" si="1"/>
        <v>3/8" Hex CIM 49</v>
      </c>
      <c r="E478" s="134">
        <v>0</v>
      </c>
      <c r="F478" s="134">
        <v>0</v>
      </c>
    </row>
    <row r="479" spans="1:6" ht="14.25" customHeight="1" x14ac:dyDescent="0.25">
      <c r="A479" s="134" t="s">
        <v>246</v>
      </c>
      <c r="B479" s="134" t="s">
        <v>6</v>
      </c>
      <c r="C479" s="134">
        <v>50</v>
      </c>
      <c r="D479" s="134" t="str">
        <f t="shared" si="1"/>
        <v>3/8" Hex CIM 50</v>
      </c>
      <c r="E479" s="134">
        <v>0</v>
      </c>
      <c r="F479" s="134">
        <v>0</v>
      </c>
    </row>
    <row r="480" spans="1:6" ht="14.25" customHeight="1" x14ac:dyDescent="0.25">
      <c r="A480" s="134" t="s">
        <v>246</v>
      </c>
      <c r="B480" s="134" t="s">
        <v>6</v>
      </c>
      <c r="C480" s="134">
        <v>63</v>
      </c>
      <c r="D480" s="134" t="str">
        <f t="shared" si="1"/>
        <v>3/8" Hex CIM 63</v>
      </c>
      <c r="E480" s="134">
        <v>0</v>
      </c>
      <c r="F480" s="134">
        <v>0</v>
      </c>
    </row>
    <row r="481" spans="1:6" ht="14.25" customHeight="1" x14ac:dyDescent="0.25">
      <c r="A481" s="134" t="s">
        <v>246</v>
      </c>
      <c r="B481" s="134" t="s">
        <v>6</v>
      </c>
      <c r="C481" s="134">
        <v>70</v>
      </c>
      <c r="D481" s="134" t="str">
        <f t="shared" si="1"/>
        <v>3/8" Hex CIM 70</v>
      </c>
      <c r="E481" s="134">
        <v>0</v>
      </c>
      <c r="F481" s="134">
        <v>0</v>
      </c>
    </row>
    <row r="482" spans="1:6" ht="14.25" customHeight="1" x14ac:dyDescent="0.25">
      <c r="A482" s="134" t="s">
        <v>246</v>
      </c>
      <c r="B482" s="134" t="s">
        <v>6</v>
      </c>
      <c r="C482" s="134">
        <v>81</v>
      </c>
      <c r="D482" s="134" t="str">
        <f t="shared" si="1"/>
        <v>3/8" Hex CIM 81</v>
      </c>
      <c r="E482" s="134">
        <v>0</v>
      </c>
      <c r="F482" s="134">
        <v>0</v>
      </c>
    </row>
    <row r="483" spans="1:6" ht="14.25" customHeight="1" x14ac:dyDescent="0.25">
      <c r="A483" s="134" t="s">
        <v>246</v>
      </c>
      <c r="B483" s="134" t="s">
        <v>6</v>
      </c>
      <c r="C483" s="134">
        <v>90</v>
      </c>
      <c r="D483" s="134" t="str">
        <f t="shared" si="1"/>
        <v>3/8" Hex CIM 90</v>
      </c>
      <c r="E483" s="134">
        <v>0</v>
      </c>
      <c r="F483" s="134">
        <v>0</v>
      </c>
    </row>
    <row r="484" spans="1:6" ht="14.25" customHeight="1" x14ac:dyDescent="0.25">
      <c r="A484" s="134" t="s">
        <v>246</v>
      </c>
      <c r="B484" s="134" t="s">
        <v>6</v>
      </c>
      <c r="C484" s="134">
        <v>100</v>
      </c>
      <c r="D484" s="134" t="str">
        <f t="shared" si="1"/>
        <v>3/8" Hex CIM 100</v>
      </c>
      <c r="E484" s="134">
        <v>0</v>
      </c>
      <c r="F484" s="134">
        <v>0</v>
      </c>
    </row>
    <row r="485" spans="1:6" ht="14.25" customHeight="1" x14ac:dyDescent="0.25">
      <c r="A485" s="134" t="s">
        <v>246</v>
      </c>
      <c r="B485" s="134" t="s">
        <v>259</v>
      </c>
      <c r="C485" s="134">
        <v>9</v>
      </c>
      <c r="D485" s="134" t="str">
        <f t="shared" si="1"/>
        <v>3/8" Hex 775pro 9</v>
      </c>
      <c r="E485" s="134">
        <v>7</v>
      </c>
      <c r="F485" s="134">
        <v>5</v>
      </c>
    </row>
    <row r="486" spans="1:6" ht="14.25" customHeight="1" x14ac:dyDescent="0.25">
      <c r="A486" s="134" t="s">
        <v>246</v>
      </c>
      <c r="B486" s="134" t="s">
        <v>259</v>
      </c>
      <c r="C486" s="134">
        <v>12</v>
      </c>
      <c r="D486" s="134" t="str">
        <f t="shared" si="1"/>
        <v>3/8" Hex 775pro 12</v>
      </c>
      <c r="E486" s="134">
        <v>5</v>
      </c>
      <c r="F486" s="134">
        <v>4</v>
      </c>
    </row>
    <row r="487" spans="1:6" ht="14.25" customHeight="1" x14ac:dyDescent="0.25">
      <c r="A487" s="134" t="s">
        <v>246</v>
      </c>
      <c r="B487" s="134" t="s">
        <v>259</v>
      </c>
      <c r="C487" s="134">
        <v>15</v>
      </c>
      <c r="D487" s="134" t="str">
        <f t="shared" si="1"/>
        <v>3/8" Hex 775pro 15</v>
      </c>
      <c r="E487" s="134">
        <v>5</v>
      </c>
      <c r="F487" s="134">
        <v>3</v>
      </c>
    </row>
    <row r="488" spans="1:6" ht="14.25" customHeight="1" x14ac:dyDescent="0.25">
      <c r="A488" s="134" t="s">
        <v>246</v>
      </c>
      <c r="B488" s="134" t="s">
        <v>259</v>
      </c>
      <c r="C488" s="134">
        <v>16</v>
      </c>
      <c r="D488" s="134" t="str">
        <f t="shared" si="1"/>
        <v>3/8" Hex 775pro 16</v>
      </c>
      <c r="E488" s="134">
        <v>4</v>
      </c>
      <c r="F488" s="134">
        <v>3</v>
      </c>
    </row>
    <row r="489" spans="1:6" ht="14.25" customHeight="1" x14ac:dyDescent="0.25">
      <c r="A489" s="134" t="s">
        <v>246</v>
      </c>
      <c r="B489" s="134" t="s">
        <v>259</v>
      </c>
      <c r="C489" s="134">
        <v>20</v>
      </c>
      <c r="D489" s="134" t="str">
        <f t="shared" si="1"/>
        <v>3/8" Hex 775pro 20</v>
      </c>
      <c r="E489" s="134">
        <v>3</v>
      </c>
      <c r="F489" s="134">
        <v>1</v>
      </c>
    </row>
    <row r="490" spans="1:6" ht="14.25" customHeight="1" x14ac:dyDescent="0.25">
      <c r="A490" s="134" t="s">
        <v>246</v>
      </c>
      <c r="B490" s="134" t="s">
        <v>259</v>
      </c>
      <c r="C490" s="134">
        <v>21</v>
      </c>
      <c r="D490" s="134" t="str">
        <f t="shared" si="1"/>
        <v>3/8" Hex 775pro 21</v>
      </c>
      <c r="E490" s="134">
        <v>3</v>
      </c>
      <c r="F490" s="134">
        <v>1</v>
      </c>
    </row>
    <row r="491" spans="1:6" ht="14.25" customHeight="1" x14ac:dyDescent="0.25">
      <c r="A491" s="134" t="s">
        <v>246</v>
      </c>
      <c r="B491" s="134" t="s">
        <v>259</v>
      </c>
      <c r="C491" s="134">
        <v>25</v>
      </c>
      <c r="D491" s="134" t="str">
        <f t="shared" si="1"/>
        <v>3/8" Hex 775pro 25</v>
      </c>
      <c r="E491" s="134">
        <v>3</v>
      </c>
      <c r="F491" s="134">
        <v>1</v>
      </c>
    </row>
    <row r="492" spans="1:6" ht="14.25" customHeight="1" x14ac:dyDescent="0.25">
      <c r="A492" s="134" t="s">
        <v>246</v>
      </c>
      <c r="B492" s="134" t="s">
        <v>259</v>
      </c>
      <c r="C492" s="134">
        <v>27</v>
      </c>
      <c r="D492" s="134" t="str">
        <f t="shared" si="1"/>
        <v>3/8" Hex 775pro 27</v>
      </c>
      <c r="E492" s="134">
        <v>1</v>
      </c>
      <c r="F492" s="134">
        <v>1</v>
      </c>
    </row>
    <row r="493" spans="1:6" ht="14.25" customHeight="1" x14ac:dyDescent="0.25">
      <c r="A493" s="134" t="s">
        <v>246</v>
      </c>
      <c r="B493" s="134" t="s">
        <v>259</v>
      </c>
      <c r="C493" s="134">
        <v>28</v>
      </c>
      <c r="D493" s="134" t="str">
        <f t="shared" si="1"/>
        <v>3/8" Hex 775pro 28</v>
      </c>
      <c r="E493" s="134">
        <v>1</v>
      </c>
      <c r="F493" s="134">
        <v>1</v>
      </c>
    </row>
    <row r="494" spans="1:6" ht="14.25" customHeight="1" x14ac:dyDescent="0.25">
      <c r="A494" s="134" t="s">
        <v>246</v>
      </c>
      <c r="B494" s="134" t="s">
        <v>259</v>
      </c>
      <c r="C494" s="134">
        <v>30</v>
      </c>
      <c r="D494" s="134" t="str">
        <f t="shared" si="1"/>
        <v>3/8" Hex 775pro 30</v>
      </c>
      <c r="E494" s="134">
        <v>1</v>
      </c>
      <c r="F494" s="134">
        <v>1</v>
      </c>
    </row>
    <row r="495" spans="1:6" ht="14.25" customHeight="1" x14ac:dyDescent="0.25">
      <c r="A495" s="134" t="s">
        <v>246</v>
      </c>
      <c r="B495" s="134" t="s">
        <v>259</v>
      </c>
      <c r="C495" s="134">
        <v>35</v>
      </c>
      <c r="D495" s="134" t="str">
        <f t="shared" si="1"/>
        <v>3/8" Hex 775pro 35</v>
      </c>
      <c r="E495" s="134">
        <v>1</v>
      </c>
      <c r="F495" s="134">
        <v>1</v>
      </c>
    </row>
    <row r="496" spans="1:6" ht="14.25" customHeight="1" x14ac:dyDescent="0.25">
      <c r="A496" s="134" t="s">
        <v>246</v>
      </c>
      <c r="B496" s="134" t="s">
        <v>259</v>
      </c>
      <c r="C496" s="134">
        <v>36</v>
      </c>
      <c r="D496" s="134" t="str">
        <f t="shared" si="1"/>
        <v>3/8" Hex 775pro 36</v>
      </c>
      <c r="E496" s="134">
        <v>1</v>
      </c>
      <c r="F496" s="134">
        <v>1</v>
      </c>
    </row>
    <row r="497" spans="1:6" ht="14.25" customHeight="1" x14ac:dyDescent="0.25">
      <c r="A497" s="134" t="s">
        <v>246</v>
      </c>
      <c r="B497" s="134" t="s">
        <v>259</v>
      </c>
      <c r="C497" s="134">
        <v>40</v>
      </c>
      <c r="D497" s="134" t="str">
        <f t="shared" si="1"/>
        <v>3/8" Hex 775pro 40</v>
      </c>
      <c r="E497" s="134">
        <v>1</v>
      </c>
      <c r="F497" s="134">
        <v>1</v>
      </c>
    </row>
    <row r="498" spans="1:6" ht="14.25" customHeight="1" x14ac:dyDescent="0.25">
      <c r="A498" s="134" t="s">
        <v>246</v>
      </c>
      <c r="B498" s="134" t="s">
        <v>259</v>
      </c>
      <c r="C498" s="134">
        <v>45</v>
      </c>
      <c r="D498" s="134" t="str">
        <f t="shared" si="1"/>
        <v>3/8" Hex 775pro 45</v>
      </c>
      <c r="E498" s="134">
        <v>1</v>
      </c>
      <c r="F498" s="134">
        <v>1</v>
      </c>
    </row>
    <row r="499" spans="1:6" ht="14.25" customHeight="1" x14ac:dyDescent="0.25">
      <c r="A499" s="134" t="s">
        <v>246</v>
      </c>
      <c r="B499" s="134" t="s">
        <v>259</v>
      </c>
      <c r="C499" s="134">
        <v>49</v>
      </c>
      <c r="D499" s="134" t="str">
        <f t="shared" si="1"/>
        <v>3/8" Hex 775pro 49</v>
      </c>
      <c r="E499" s="134">
        <v>1</v>
      </c>
      <c r="F499" s="134">
        <v>1</v>
      </c>
    </row>
    <row r="500" spans="1:6" ht="14.25" customHeight="1" x14ac:dyDescent="0.25">
      <c r="A500" s="134" t="s">
        <v>246</v>
      </c>
      <c r="B500" s="134" t="s">
        <v>259</v>
      </c>
      <c r="C500" s="134">
        <v>50</v>
      </c>
      <c r="D500" s="134" t="str">
        <f t="shared" si="1"/>
        <v>3/8" Hex 775pro 50</v>
      </c>
      <c r="E500" s="134">
        <v>1</v>
      </c>
      <c r="F500" s="134">
        <v>0</v>
      </c>
    </row>
    <row r="501" spans="1:6" ht="14.25" customHeight="1" x14ac:dyDescent="0.25">
      <c r="A501" s="134" t="s">
        <v>246</v>
      </c>
      <c r="B501" s="134" t="s">
        <v>259</v>
      </c>
      <c r="C501" s="134">
        <v>63</v>
      </c>
      <c r="D501" s="134" t="str">
        <f t="shared" si="1"/>
        <v>3/8" Hex 775pro 63</v>
      </c>
      <c r="E501" s="134">
        <v>1</v>
      </c>
      <c r="F501" s="134">
        <v>0</v>
      </c>
    </row>
    <row r="502" spans="1:6" ht="14.25" customHeight="1" x14ac:dyDescent="0.25">
      <c r="A502" s="134" t="s">
        <v>246</v>
      </c>
      <c r="B502" s="134" t="s">
        <v>259</v>
      </c>
      <c r="C502" s="134">
        <v>70</v>
      </c>
      <c r="D502" s="134" t="str">
        <f t="shared" si="1"/>
        <v>3/8" Hex 775pro 70</v>
      </c>
      <c r="E502" s="134">
        <v>1</v>
      </c>
      <c r="F502" s="134">
        <v>0</v>
      </c>
    </row>
    <row r="503" spans="1:6" ht="14.25" customHeight="1" x14ac:dyDescent="0.25">
      <c r="A503" s="134" t="s">
        <v>246</v>
      </c>
      <c r="B503" s="134" t="s">
        <v>259</v>
      </c>
      <c r="C503" s="134">
        <v>81</v>
      </c>
      <c r="D503" s="134" t="str">
        <f t="shared" si="1"/>
        <v>3/8" Hex 775pro 81</v>
      </c>
      <c r="E503" s="134">
        <v>0</v>
      </c>
      <c r="F503" s="134">
        <v>0</v>
      </c>
    </row>
    <row r="504" spans="1:6" ht="14.25" customHeight="1" x14ac:dyDescent="0.25">
      <c r="A504" s="134" t="s">
        <v>246</v>
      </c>
      <c r="B504" s="134" t="s">
        <v>259</v>
      </c>
      <c r="C504" s="134">
        <v>90</v>
      </c>
      <c r="D504" s="134" t="str">
        <f t="shared" si="1"/>
        <v>3/8" Hex 775pro 90</v>
      </c>
      <c r="E504" s="134">
        <v>0</v>
      </c>
      <c r="F504" s="134">
        <v>0</v>
      </c>
    </row>
    <row r="505" spans="1:6" ht="14.25" customHeight="1" x14ac:dyDescent="0.25">
      <c r="A505" s="134" t="s">
        <v>246</v>
      </c>
      <c r="B505" s="134" t="s">
        <v>259</v>
      </c>
      <c r="C505" s="134">
        <v>100</v>
      </c>
      <c r="D505" s="134" t="str">
        <f t="shared" si="1"/>
        <v>3/8" Hex 775pro 100</v>
      </c>
      <c r="E505" s="134">
        <v>0</v>
      </c>
      <c r="F505" s="134">
        <v>0</v>
      </c>
    </row>
    <row r="506" spans="1:6" ht="14.25" customHeight="1" x14ac:dyDescent="0.25">
      <c r="A506" s="134" t="s">
        <v>249</v>
      </c>
      <c r="B506" s="134" t="s">
        <v>11</v>
      </c>
      <c r="C506" s="134">
        <v>9</v>
      </c>
      <c r="D506" s="134" t="str">
        <f t="shared" si="1"/>
        <v>CIM Motor AM 9015 9</v>
      </c>
      <c r="E506" s="134">
        <v>7</v>
      </c>
      <c r="F506" s="134">
        <v>7</v>
      </c>
    </row>
    <row r="507" spans="1:6" ht="14.25" customHeight="1" x14ac:dyDescent="0.25">
      <c r="A507" s="134" t="s">
        <v>249</v>
      </c>
      <c r="B507" s="134" t="s">
        <v>11</v>
      </c>
      <c r="C507" s="134">
        <v>12</v>
      </c>
      <c r="D507" s="134" t="str">
        <f t="shared" si="1"/>
        <v>CIM Motor AM 9015 12</v>
      </c>
      <c r="E507" s="134">
        <v>5</v>
      </c>
      <c r="F507" s="134">
        <v>5</v>
      </c>
    </row>
    <row r="508" spans="1:6" ht="14.25" customHeight="1" x14ac:dyDescent="0.25">
      <c r="A508" s="134" t="s">
        <v>249</v>
      </c>
      <c r="B508" s="134" t="s">
        <v>11</v>
      </c>
      <c r="C508" s="134">
        <v>15</v>
      </c>
      <c r="D508" s="134" t="str">
        <f t="shared" si="1"/>
        <v>CIM Motor AM 9015 15</v>
      </c>
      <c r="E508" s="134">
        <v>4</v>
      </c>
      <c r="F508" s="134">
        <v>5</v>
      </c>
    </row>
    <row r="509" spans="1:6" ht="14.25" customHeight="1" x14ac:dyDescent="0.25">
      <c r="A509" s="134" t="s">
        <v>249</v>
      </c>
      <c r="B509" s="134" t="s">
        <v>11</v>
      </c>
      <c r="C509" s="134">
        <v>16</v>
      </c>
      <c r="D509" s="134" t="str">
        <f t="shared" si="1"/>
        <v>CIM Motor AM 9015 16</v>
      </c>
      <c r="E509" s="134">
        <v>4</v>
      </c>
      <c r="F509" s="134">
        <v>5</v>
      </c>
    </row>
    <row r="510" spans="1:6" ht="14.25" customHeight="1" x14ac:dyDescent="0.25">
      <c r="A510" s="134" t="s">
        <v>249</v>
      </c>
      <c r="B510" s="134" t="s">
        <v>11</v>
      </c>
      <c r="C510" s="134">
        <v>20</v>
      </c>
      <c r="D510" s="134" t="str">
        <f t="shared" si="1"/>
        <v>CIM Motor AM 9015 20</v>
      </c>
      <c r="E510" s="134">
        <v>3</v>
      </c>
      <c r="F510" s="134">
        <v>4</v>
      </c>
    </row>
    <row r="511" spans="1:6" ht="14.25" customHeight="1" x14ac:dyDescent="0.25">
      <c r="A511" s="134" t="s">
        <v>249</v>
      </c>
      <c r="B511" s="134" t="s">
        <v>11</v>
      </c>
      <c r="C511" s="134">
        <v>21</v>
      </c>
      <c r="D511" s="134" t="str">
        <f t="shared" si="1"/>
        <v>CIM Motor AM 9015 21</v>
      </c>
      <c r="E511" s="134">
        <v>3</v>
      </c>
      <c r="F511" s="134">
        <v>3</v>
      </c>
    </row>
    <row r="512" spans="1:6" ht="14.25" customHeight="1" x14ac:dyDescent="0.25">
      <c r="A512" s="134" t="s">
        <v>249</v>
      </c>
      <c r="B512" s="134" t="s">
        <v>11</v>
      </c>
      <c r="C512" s="134">
        <v>25</v>
      </c>
      <c r="D512" s="134" t="str">
        <f t="shared" ref="D512:D766" si="2">A512&amp;" "&amp;B512&amp;" "&amp;C512</f>
        <v>CIM Motor AM 9015 25</v>
      </c>
      <c r="E512" s="134">
        <v>1</v>
      </c>
      <c r="F512" s="134">
        <v>3</v>
      </c>
    </row>
    <row r="513" spans="1:6" ht="14.25" customHeight="1" x14ac:dyDescent="0.25">
      <c r="A513" s="134" t="s">
        <v>249</v>
      </c>
      <c r="B513" s="134" t="s">
        <v>11</v>
      </c>
      <c r="C513" s="134">
        <v>27</v>
      </c>
      <c r="D513" s="134" t="str">
        <f t="shared" si="2"/>
        <v>CIM Motor AM 9015 27</v>
      </c>
      <c r="E513" s="134">
        <v>1</v>
      </c>
      <c r="F513" s="134">
        <v>1</v>
      </c>
    </row>
    <row r="514" spans="1:6" ht="14.25" customHeight="1" x14ac:dyDescent="0.25">
      <c r="A514" s="134" t="s">
        <v>249</v>
      </c>
      <c r="B514" s="134" t="s">
        <v>11</v>
      </c>
      <c r="C514" s="134">
        <v>28</v>
      </c>
      <c r="D514" s="134" t="str">
        <f t="shared" si="2"/>
        <v>CIM Motor AM 9015 28</v>
      </c>
      <c r="E514" s="134">
        <v>1</v>
      </c>
      <c r="F514" s="134">
        <v>1</v>
      </c>
    </row>
    <row r="515" spans="1:6" ht="14.25" customHeight="1" x14ac:dyDescent="0.25">
      <c r="A515" s="134" t="s">
        <v>249</v>
      </c>
      <c r="B515" s="134" t="s">
        <v>11</v>
      </c>
      <c r="C515" s="134">
        <v>30</v>
      </c>
      <c r="D515" s="134" t="str">
        <f t="shared" si="2"/>
        <v>CIM Motor AM 9015 30</v>
      </c>
      <c r="E515" s="134">
        <v>1</v>
      </c>
      <c r="F515" s="134">
        <v>1</v>
      </c>
    </row>
    <row r="516" spans="1:6" ht="14.25" customHeight="1" x14ac:dyDescent="0.25">
      <c r="A516" s="134" t="s">
        <v>249</v>
      </c>
      <c r="B516" s="134" t="s">
        <v>11</v>
      </c>
      <c r="C516" s="134">
        <v>35</v>
      </c>
      <c r="D516" s="134" t="str">
        <f t="shared" si="2"/>
        <v>CIM Motor AM 9015 35</v>
      </c>
      <c r="E516" s="134">
        <v>1</v>
      </c>
      <c r="F516" s="134">
        <v>1</v>
      </c>
    </row>
    <row r="517" spans="1:6" ht="14.25" customHeight="1" x14ac:dyDescent="0.25">
      <c r="A517" s="134" t="s">
        <v>249</v>
      </c>
      <c r="B517" s="134" t="s">
        <v>11</v>
      </c>
      <c r="C517" s="134">
        <v>36</v>
      </c>
      <c r="D517" s="134" t="str">
        <f t="shared" si="2"/>
        <v>CIM Motor AM 9015 36</v>
      </c>
      <c r="E517" s="134">
        <v>1</v>
      </c>
      <c r="F517" s="134">
        <v>1</v>
      </c>
    </row>
    <row r="518" spans="1:6" ht="14.25" customHeight="1" x14ac:dyDescent="0.25">
      <c r="A518" s="134" t="s">
        <v>249</v>
      </c>
      <c r="B518" s="134" t="s">
        <v>11</v>
      </c>
      <c r="C518" s="134">
        <v>40</v>
      </c>
      <c r="D518" s="134" t="str">
        <f t="shared" si="2"/>
        <v>CIM Motor AM 9015 40</v>
      </c>
      <c r="E518" s="134">
        <v>1</v>
      </c>
      <c r="F518" s="134">
        <v>1</v>
      </c>
    </row>
    <row r="519" spans="1:6" ht="14.25" customHeight="1" x14ac:dyDescent="0.25">
      <c r="A519" s="134" t="s">
        <v>249</v>
      </c>
      <c r="B519" s="134" t="s">
        <v>11</v>
      </c>
      <c r="C519" s="134">
        <v>45</v>
      </c>
      <c r="D519" s="134" t="str">
        <f t="shared" si="2"/>
        <v>CIM Motor AM 9015 45</v>
      </c>
      <c r="E519" s="134">
        <v>1</v>
      </c>
      <c r="F519" s="134">
        <v>1</v>
      </c>
    </row>
    <row r="520" spans="1:6" ht="14.25" customHeight="1" x14ac:dyDescent="0.25">
      <c r="A520" s="134" t="s">
        <v>249</v>
      </c>
      <c r="B520" s="134" t="s">
        <v>11</v>
      </c>
      <c r="C520" s="134">
        <v>49</v>
      </c>
      <c r="D520" s="134" t="str">
        <f t="shared" si="2"/>
        <v>CIM Motor AM 9015 49</v>
      </c>
      <c r="E520" s="134">
        <v>1</v>
      </c>
      <c r="F520" s="134">
        <v>1</v>
      </c>
    </row>
    <row r="521" spans="1:6" ht="14.25" customHeight="1" x14ac:dyDescent="0.25">
      <c r="A521" s="134" t="s">
        <v>249</v>
      </c>
      <c r="B521" s="134" t="s">
        <v>11</v>
      </c>
      <c r="C521" s="134">
        <v>50</v>
      </c>
      <c r="D521" s="134" t="str">
        <f t="shared" si="2"/>
        <v>CIM Motor AM 9015 50</v>
      </c>
      <c r="E521" s="134">
        <v>1</v>
      </c>
      <c r="F521" s="134">
        <v>1</v>
      </c>
    </row>
    <row r="522" spans="1:6" ht="14.25" customHeight="1" x14ac:dyDescent="0.25">
      <c r="A522" s="134" t="s">
        <v>249</v>
      </c>
      <c r="B522" s="134" t="s">
        <v>11</v>
      </c>
      <c r="C522" s="134">
        <v>63</v>
      </c>
      <c r="D522" s="134" t="str">
        <f t="shared" si="2"/>
        <v>CIM Motor AM 9015 63</v>
      </c>
      <c r="E522" s="134">
        <v>1</v>
      </c>
      <c r="F522" s="134">
        <v>1</v>
      </c>
    </row>
    <row r="523" spans="1:6" ht="14.25" customHeight="1" x14ac:dyDescent="0.25">
      <c r="A523" s="134" t="s">
        <v>249</v>
      </c>
      <c r="B523" s="134" t="s">
        <v>11</v>
      </c>
      <c r="C523" s="134">
        <v>70</v>
      </c>
      <c r="D523" s="134" t="str">
        <f t="shared" si="2"/>
        <v>CIM Motor AM 9015 70</v>
      </c>
      <c r="E523" s="134">
        <v>0</v>
      </c>
      <c r="F523" s="134">
        <v>1</v>
      </c>
    </row>
    <row r="524" spans="1:6" ht="14.25" customHeight="1" x14ac:dyDescent="0.25">
      <c r="A524" s="134" t="s">
        <v>249</v>
      </c>
      <c r="B524" s="134" t="s">
        <v>11</v>
      </c>
      <c r="C524" s="134">
        <v>81</v>
      </c>
      <c r="D524" s="134" t="str">
        <f t="shared" si="2"/>
        <v>CIM Motor AM 9015 81</v>
      </c>
      <c r="E524" s="134">
        <v>0</v>
      </c>
      <c r="F524" s="134">
        <v>0</v>
      </c>
    </row>
    <row r="525" spans="1:6" ht="14.25" customHeight="1" x14ac:dyDescent="0.25">
      <c r="A525" s="134" t="s">
        <v>249</v>
      </c>
      <c r="B525" s="134" t="s">
        <v>11</v>
      </c>
      <c r="C525" s="134">
        <v>90</v>
      </c>
      <c r="D525" s="134" t="str">
        <f t="shared" si="2"/>
        <v>CIM Motor AM 9015 90</v>
      </c>
      <c r="E525" s="134">
        <v>0</v>
      </c>
      <c r="F525" s="134">
        <v>0</v>
      </c>
    </row>
    <row r="526" spans="1:6" ht="14.25" customHeight="1" x14ac:dyDescent="0.25">
      <c r="A526" s="134" t="s">
        <v>249</v>
      </c>
      <c r="B526" s="134" t="s">
        <v>11</v>
      </c>
      <c r="C526" s="134">
        <v>100</v>
      </c>
      <c r="D526" s="134" t="str">
        <f t="shared" si="2"/>
        <v>CIM Motor AM 9015 100</v>
      </c>
      <c r="E526" s="134">
        <v>0</v>
      </c>
      <c r="F526" s="134">
        <v>0</v>
      </c>
    </row>
    <row r="527" spans="1:6" ht="14.25" customHeight="1" x14ac:dyDescent="0.25">
      <c r="A527" s="134" t="s">
        <v>249</v>
      </c>
      <c r="B527" s="134" t="s">
        <v>337</v>
      </c>
      <c r="C527" s="134">
        <v>9</v>
      </c>
      <c r="D527" s="134" t="str">
        <f t="shared" si="2"/>
        <v>CIM Motor NeveRest 9</v>
      </c>
      <c r="E527" s="134">
        <v>5</v>
      </c>
      <c r="F527" s="134">
        <v>10</v>
      </c>
    </row>
    <row r="528" spans="1:6" ht="14.25" customHeight="1" x14ac:dyDescent="0.25">
      <c r="A528" s="134" t="s">
        <v>249</v>
      </c>
      <c r="B528" s="134" t="s">
        <v>337</v>
      </c>
      <c r="C528" s="134">
        <v>12</v>
      </c>
      <c r="D528" s="134" t="str">
        <f t="shared" si="2"/>
        <v>CIM Motor NeveRest 12</v>
      </c>
      <c r="E528" s="134">
        <v>4</v>
      </c>
      <c r="F528" s="134">
        <v>10</v>
      </c>
    </row>
    <row r="529" spans="1:6" ht="14.25" customHeight="1" x14ac:dyDescent="0.25">
      <c r="A529" s="134" t="s">
        <v>249</v>
      </c>
      <c r="B529" s="134" t="s">
        <v>337</v>
      </c>
      <c r="C529" s="134">
        <v>15</v>
      </c>
      <c r="D529" s="134" t="str">
        <f t="shared" si="2"/>
        <v>CIM Motor NeveRest 15</v>
      </c>
      <c r="E529" s="134">
        <v>3</v>
      </c>
      <c r="F529" s="134">
        <v>10</v>
      </c>
    </row>
    <row r="530" spans="1:6" ht="14.25" customHeight="1" x14ac:dyDescent="0.25">
      <c r="A530" s="134" t="s">
        <v>249</v>
      </c>
      <c r="B530" s="134" t="s">
        <v>337</v>
      </c>
      <c r="C530" s="134">
        <v>16</v>
      </c>
      <c r="D530" s="134" t="str">
        <f t="shared" si="2"/>
        <v>CIM Motor NeveRest 16</v>
      </c>
      <c r="E530" s="134">
        <v>3</v>
      </c>
      <c r="F530" s="134">
        <v>10</v>
      </c>
    </row>
    <row r="531" spans="1:6" ht="14.25" customHeight="1" x14ac:dyDescent="0.25">
      <c r="A531" s="134" t="s">
        <v>249</v>
      </c>
      <c r="B531" s="134" t="s">
        <v>337</v>
      </c>
      <c r="C531" s="134">
        <v>20</v>
      </c>
      <c r="D531" s="134" t="str">
        <f t="shared" si="2"/>
        <v>CIM Motor NeveRest 20</v>
      </c>
      <c r="E531" s="134">
        <v>1</v>
      </c>
      <c r="F531" s="134">
        <v>7</v>
      </c>
    </row>
    <row r="532" spans="1:6" ht="14.25" customHeight="1" x14ac:dyDescent="0.25">
      <c r="A532" s="134" t="s">
        <v>249</v>
      </c>
      <c r="B532" s="134" t="s">
        <v>337</v>
      </c>
      <c r="C532" s="134">
        <v>21</v>
      </c>
      <c r="D532" s="134" t="str">
        <f t="shared" si="2"/>
        <v>CIM Motor NeveRest 21</v>
      </c>
      <c r="E532" s="134">
        <v>1</v>
      </c>
      <c r="F532" s="134">
        <v>7</v>
      </c>
    </row>
    <row r="533" spans="1:6" ht="14.25" customHeight="1" x14ac:dyDescent="0.25">
      <c r="A533" s="134" t="s">
        <v>249</v>
      </c>
      <c r="B533" s="134" t="s">
        <v>337</v>
      </c>
      <c r="C533" s="134">
        <v>25</v>
      </c>
      <c r="D533" s="134" t="str">
        <f t="shared" si="2"/>
        <v>CIM Motor NeveRest 25</v>
      </c>
      <c r="E533" s="134">
        <v>1</v>
      </c>
      <c r="F533" s="134">
        <v>5</v>
      </c>
    </row>
    <row r="534" spans="1:6" ht="14.25" customHeight="1" x14ac:dyDescent="0.25">
      <c r="A534" s="134" t="s">
        <v>249</v>
      </c>
      <c r="B534" s="134" t="s">
        <v>337</v>
      </c>
      <c r="C534" s="134">
        <v>27</v>
      </c>
      <c r="D534" s="134" t="str">
        <f t="shared" si="2"/>
        <v>CIM Motor NeveRest 27</v>
      </c>
      <c r="E534" s="134">
        <v>1</v>
      </c>
      <c r="F534" s="134">
        <v>5</v>
      </c>
    </row>
    <row r="535" spans="1:6" ht="14.25" customHeight="1" x14ac:dyDescent="0.25">
      <c r="A535" s="134" t="s">
        <v>249</v>
      </c>
      <c r="B535" s="134" t="s">
        <v>337</v>
      </c>
      <c r="C535" s="134">
        <v>28</v>
      </c>
      <c r="D535" s="134" t="str">
        <f t="shared" si="2"/>
        <v>CIM Motor NeveRest 28</v>
      </c>
      <c r="E535" s="134">
        <v>1</v>
      </c>
      <c r="F535" s="134">
        <v>5</v>
      </c>
    </row>
    <row r="536" spans="1:6" ht="14.25" customHeight="1" x14ac:dyDescent="0.25">
      <c r="A536" s="134" t="s">
        <v>249</v>
      </c>
      <c r="B536" s="134" t="s">
        <v>337</v>
      </c>
      <c r="C536" s="134">
        <v>30</v>
      </c>
      <c r="D536" s="134" t="str">
        <f t="shared" si="2"/>
        <v>CIM Motor NeveRest 30</v>
      </c>
      <c r="E536" s="134">
        <v>1</v>
      </c>
      <c r="F536" s="134">
        <v>5</v>
      </c>
    </row>
    <row r="537" spans="1:6" ht="14.25" customHeight="1" x14ac:dyDescent="0.25">
      <c r="A537" s="134" t="s">
        <v>249</v>
      </c>
      <c r="B537" s="134" t="s">
        <v>337</v>
      </c>
      <c r="C537" s="134">
        <v>35</v>
      </c>
      <c r="D537" s="134" t="str">
        <f t="shared" si="2"/>
        <v>CIM Motor NeveRest 35</v>
      </c>
      <c r="E537" s="134">
        <v>1</v>
      </c>
      <c r="F537" s="134">
        <v>4</v>
      </c>
    </row>
    <row r="538" spans="1:6" ht="14.25" customHeight="1" x14ac:dyDescent="0.25">
      <c r="A538" s="134" t="s">
        <v>249</v>
      </c>
      <c r="B538" s="134" t="s">
        <v>337</v>
      </c>
      <c r="C538" s="134">
        <v>36</v>
      </c>
      <c r="D538" s="134" t="str">
        <f t="shared" si="2"/>
        <v>CIM Motor NeveRest 36</v>
      </c>
      <c r="E538" s="134">
        <v>1</v>
      </c>
      <c r="F538" s="134">
        <v>4</v>
      </c>
    </row>
    <row r="539" spans="1:6" ht="14.25" customHeight="1" x14ac:dyDescent="0.25">
      <c r="A539" s="134" t="s">
        <v>249</v>
      </c>
      <c r="B539" s="134" t="s">
        <v>337</v>
      </c>
      <c r="C539" s="134">
        <v>40</v>
      </c>
      <c r="D539" s="134" t="str">
        <f t="shared" si="2"/>
        <v>CIM Motor NeveRest 40</v>
      </c>
      <c r="E539" s="134">
        <v>1</v>
      </c>
      <c r="F539" s="134">
        <v>4</v>
      </c>
    </row>
    <row r="540" spans="1:6" ht="14.25" customHeight="1" x14ac:dyDescent="0.25">
      <c r="A540" s="134" t="s">
        <v>249</v>
      </c>
      <c r="B540" s="134" t="s">
        <v>337</v>
      </c>
      <c r="C540" s="134">
        <v>45</v>
      </c>
      <c r="D540" s="134" t="str">
        <f t="shared" si="2"/>
        <v>CIM Motor NeveRest 45</v>
      </c>
      <c r="E540" s="134">
        <v>1</v>
      </c>
      <c r="F540" s="134">
        <v>3</v>
      </c>
    </row>
    <row r="541" spans="1:6" ht="14.25" customHeight="1" x14ac:dyDescent="0.25">
      <c r="A541" s="134" t="s">
        <v>249</v>
      </c>
      <c r="B541" s="134" t="s">
        <v>337</v>
      </c>
      <c r="C541" s="134">
        <v>49</v>
      </c>
      <c r="D541" s="134" t="str">
        <f t="shared" si="2"/>
        <v>CIM Motor NeveRest 49</v>
      </c>
      <c r="E541" s="134">
        <v>1</v>
      </c>
      <c r="F541" s="134">
        <v>3</v>
      </c>
    </row>
    <row r="542" spans="1:6" ht="14.25" customHeight="1" x14ac:dyDescent="0.25">
      <c r="A542" s="134" t="s">
        <v>249</v>
      </c>
      <c r="B542" s="134" t="s">
        <v>337</v>
      </c>
      <c r="C542" s="134">
        <v>50</v>
      </c>
      <c r="D542" s="134" t="str">
        <f t="shared" si="2"/>
        <v>CIM Motor NeveRest 50</v>
      </c>
      <c r="E542" s="134">
        <v>1</v>
      </c>
      <c r="F542" s="134">
        <v>3</v>
      </c>
    </row>
    <row r="543" spans="1:6" ht="14.25" customHeight="1" x14ac:dyDescent="0.25">
      <c r="A543" s="134" t="s">
        <v>249</v>
      </c>
      <c r="B543" s="134" t="s">
        <v>337</v>
      </c>
      <c r="C543" s="134">
        <v>63</v>
      </c>
      <c r="D543" s="134" t="str">
        <f t="shared" si="2"/>
        <v>CIM Motor NeveRest 63</v>
      </c>
      <c r="E543" s="134">
        <v>0</v>
      </c>
      <c r="F543" s="134">
        <v>1</v>
      </c>
    </row>
    <row r="544" spans="1:6" ht="14.25" customHeight="1" x14ac:dyDescent="0.25">
      <c r="A544" s="134" t="s">
        <v>249</v>
      </c>
      <c r="B544" s="134" t="s">
        <v>337</v>
      </c>
      <c r="C544" s="134">
        <v>70</v>
      </c>
      <c r="D544" s="134" t="str">
        <f t="shared" si="2"/>
        <v>CIM Motor NeveRest 70</v>
      </c>
      <c r="E544" s="134">
        <v>0</v>
      </c>
      <c r="F544" s="134">
        <v>1</v>
      </c>
    </row>
    <row r="545" spans="1:6" ht="14.25" customHeight="1" x14ac:dyDescent="0.25">
      <c r="A545" s="134" t="s">
        <v>249</v>
      </c>
      <c r="B545" s="134" t="s">
        <v>337</v>
      </c>
      <c r="C545" s="134">
        <v>81</v>
      </c>
      <c r="D545" s="134" t="str">
        <f t="shared" si="2"/>
        <v>CIM Motor NeveRest 81</v>
      </c>
      <c r="E545" s="134">
        <v>0</v>
      </c>
      <c r="F545" s="134">
        <v>1</v>
      </c>
    </row>
    <row r="546" spans="1:6" ht="14.25" customHeight="1" x14ac:dyDescent="0.25">
      <c r="A546" s="134" t="s">
        <v>249</v>
      </c>
      <c r="B546" s="134" t="s">
        <v>337</v>
      </c>
      <c r="C546" s="134">
        <v>90</v>
      </c>
      <c r="D546" s="134" t="str">
        <f t="shared" si="2"/>
        <v>CIM Motor NeveRest 90</v>
      </c>
      <c r="E546" s="134">
        <v>0</v>
      </c>
      <c r="F546" s="134">
        <v>1</v>
      </c>
    </row>
    <row r="547" spans="1:6" ht="14.25" customHeight="1" x14ac:dyDescent="0.25">
      <c r="A547" s="134" t="s">
        <v>249</v>
      </c>
      <c r="B547" s="134" t="s">
        <v>337</v>
      </c>
      <c r="C547" s="134">
        <v>100</v>
      </c>
      <c r="D547" s="134" t="str">
        <f t="shared" si="2"/>
        <v>CIM Motor NeveRest 100</v>
      </c>
      <c r="E547" s="134">
        <v>0</v>
      </c>
      <c r="F547" s="134">
        <v>1</v>
      </c>
    </row>
    <row r="548" spans="1:6" ht="14.25" customHeight="1" x14ac:dyDescent="0.25">
      <c r="A548" s="134" t="s">
        <v>249</v>
      </c>
      <c r="B548" s="134" t="s">
        <v>333</v>
      </c>
      <c r="C548" s="134">
        <v>9</v>
      </c>
      <c r="D548" s="134" t="str">
        <f t="shared" si="2"/>
        <v>CIM Motor BB RS-550 9</v>
      </c>
      <c r="E548" s="134">
        <v>5</v>
      </c>
      <c r="F548" s="134">
        <v>7</v>
      </c>
    </row>
    <row r="549" spans="1:6" ht="14.25" customHeight="1" x14ac:dyDescent="0.25">
      <c r="A549" s="134" t="s">
        <v>249</v>
      </c>
      <c r="B549" s="134" t="s">
        <v>333</v>
      </c>
      <c r="C549" s="134">
        <v>12</v>
      </c>
      <c r="D549" s="134" t="str">
        <f t="shared" si="2"/>
        <v>CIM Motor BB RS-550 12</v>
      </c>
      <c r="E549" s="134">
        <v>4</v>
      </c>
      <c r="F549" s="134">
        <v>5</v>
      </c>
    </row>
    <row r="550" spans="1:6" ht="14.25" customHeight="1" x14ac:dyDescent="0.25">
      <c r="A550" s="134" t="s">
        <v>249</v>
      </c>
      <c r="B550" s="134" t="s">
        <v>333</v>
      </c>
      <c r="C550" s="134">
        <v>15</v>
      </c>
      <c r="D550" s="134" t="str">
        <f t="shared" si="2"/>
        <v>CIM Motor BB RS-550 15</v>
      </c>
      <c r="E550" s="134">
        <v>3</v>
      </c>
      <c r="F550" s="134">
        <v>5</v>
      </c>
    </row>
    <row r="551" spans="1:6" ht="14.25" customHeight="1" x14ac:dyDescent="0.25">
      <c r="A551" s="134" t="s">
        <v>249</v>
      </c>
      <c r="B551" s="134" t="s">
        <v>333</v>
      </c>
      <c r="C551" s="134">
        <v>16</v>
      </c>
      <c r="D551" s="134" t="str">
        <f t="shared" si="2"/>
        <v>CIM Motor BB RS-550 16</v>
      </c>
      <c r="E551" s="134">
        <v>3</v>
      </c>
      <c r="F551" s="134">
        <v>5</v>
      </c>
    </row>
    <row r="552" spans="1:6" ht="14.25" customHeight="1" x14ac:dyDescent="0.25">
      <c r="A552" s="134" t="s">
        <v>249</v>
      </c>
      <c r="B552" s="134" t="s">
        <v>333</v>
      </c>
      <c r="C552" s="134">
        <v>20</v>
      </c>
      <c r="D552" s="134" t="str">
        <f t="shared" si="2"/>
        <v>CIM Motor BB RS-550 20</v>
      </c>
      <c r="E552" s="134">
        <v>1</v>
      </c>
      <c r="F552" s="134">
        <v>4</v>
      </c>
    </row>
    <row r="553" spans="1:6" ht="14.25" customHeight="1" x14ac:dyDescent="0.25">
      <c r="A553" s="134" t="s">
        <v>249</v>
      </c>
      <c r="B553" s="134" t="s">
        <v>333</v>
      </c>
      <c r="C553" s="134">
        <v>21</v>
      </c>
      <c r="D553" s="134" t="str">
        <f t="shared" si="2"/>
        <v>CIM Motor BB RS-550 21</v>
      </c>
      <c r="E553" s="134">
        <v>1</v>
      </c>
      <c r="F553" s="134">
        <v>3</v>
      </c>
    </row>
    <row r="554" spans="1:6" ht="14.25" customHeight="1" x14ac:dyDescent="0.25">
      <c r="A554" s="134" t="s">
        <v>249</v>
      </c>
      <c r="B554" s="134" t="s">
        <v>333</v>
      </c>
      <c r="C554" s="134">
        <v>25</v>
      </c>
      <c r="D554" s="134" t="str">
        <f t="shared" si="2"/>
        <v>CIM Motor BB RS-550 25</v>
      </c>
      <c r="E554" s="134">
        <v>1</v>
      </c>
      <c r="F554" s="134">
        <v>3</v>
      </c>
    </row>
    <row r="555" spans="1:6" ht="14.25" customHeight="1" x14ac:dyDescent="0.25">
      <c r="A555" s="134" t="s">
        <v>249</v>
      </c>
      <c r="B555" s="134" t="s">
        <v>333</v>
      </c>
      <c r="C555" s="134">
        <v>27</v>
      </c>
      <c r="D555" s="134" t="str">
        <f t="shared" si="2"/>
        <v>CIM Motor BB RS-550 27</v>
      </c>
      <c r="E555" s="134">
        <v>1</v>
      </c>
      <c r="F555" s="134">
        <v>1</v>
      </c>
    </row>
    <row r="556" spans="1:6" ht="14.25" customHeight="1" x14ac:dyDescent="0.25">
      <c r="A556" s="134" t="s">
        <v>249</v>
      </c>
      <c r="B556" s="134" t="s">
        <v>333</v>
      </c>
      <c r="C556" s="134">
        <v>28</v>
      </c>
      <c r="D556" s="134" t="str">
        <f t="shared" si="2"/>
        <v>CIM Motor BB RS-550 28</v>
      </c>
      <c r="E556" s="134">
        <v>1</v>
      </c>
      <c r="F556" s="134">
        <v>1</v>
      </c>
    </row>
    <row r="557" spans="1:6" ht="14.25" customHeight="1" x14ac:dyDescent="0.25">
      <c r="A557" s="134" t="s">
        <v>249</v>
      </c>
      <c r="B557" s="134" t="s">
        <v>333</v>
      </c>
      <c r="C557" s="134">
        <v>30</v>
      </c>
      <c r="D557" s="134" t="str">
        <f t="shared" si="2"/>
        <v>CIM Motor BB RS-550 30</v>
      </c>
      <c r="E557" s="134">
        <v>1</v>
      </c>
      <c r="F557" s="134">
        <v>1</v>
      </c>
    </row>
    <row r="558" spans="1:6" ht="14.25" customHeight="1" x14ac:dyDescent="0.25">
      <c r="A558" s="134" t="s">
        <v>249</v>
      </c>
      <c r="B558" s="134" t="s">
        <v>333</v>
      </c>
      <c r="C558" s="134">
        <v>35</v>
      </c>
      <c r="D558" s="134" t="str">
        <f t="shared" si="2"/>
        <v>CIM Motor BB RS-550 35</v>
      </c>
      <c r="E558" s="134">
        <v>1</v>
      </c>
      <c r="F558" s="134">
        <v>1</v>
      </c>
    </row>
    <row r="559" spans="1:6" ht="14.25" customHeight="1" x14ac:dyDescent="0.25">
      <c r="A559" s="134" t="s">
        <v>249</v>
      </c>
      <c r="B559" s="134" t="s">
        <v>333</v>
      </c>
      <c r="C559" s="134">
        <v>36</v>
      </c>
      <c r="D559" s="134" t="str">
        <f t="shared" si="2"/>
        <v>CIM Motor BB RS-550 36</v>
      </c>
      <c r="E559" s="134">
        <v>1</v>
      </c>
      <c r="F559" s="134">
        <v>1</v>
      </c>
    </row>
    <row r="560" spans="1:6" ht="14.25" customHeight="1" x14ac:dyDescent="0.25">
      <c r="A560" s="134" t="s">
        <v>249</v>
      </c>
      <c r="B560" s="134" t="s">
        <v>333</v>
      </c>
      <c r="C560" s="134">
        <v>40</v>
      </c>
      <c r="D560" s="134" t="str">
        <f t="shared" si="2"/>
        <v>CIM Motor BB RS-550 40</v>
      </c>
      <c r="E560" s="134">
        <v>1</v>
      </c>
      <c r="F560" s="134">
        <v>1</v>
      </c>
    </row>
    <row r="561" spans="1:6" ht="14.25" customHeight="1" x14ac:dyDescent="0.25">
      <c r="A561" s="134" t="s">
        <v>249</v>
      </c>
      <c r="B561" s="134" t="s">
        <v>333</v>
      </c>
      <c r="C561" s="134">
        <v>45</v>
      </c>
      <c r="D561" s="134" t="str">
        <f t="shared" si="2"/>
        <v>CIM Motor BB RS-550 45</v>
      </c>
      <c r="E561" s="134">
        <v>1</v>
      </c>
      <c r="F561" s="134">
        <v>1</v>
      </c>
    </row>
    <row r="562" spans="1:6" ht="14.25" customHeight="1" x14ac:dyDescent="0.25">
      <c r="A562" s="134" t="s">
        <v>249</v>
      </c>
      <c r="B562" s="134" t="s">
        <v>333</v>
      </c>
      <c r="C562" s="134">
        <v>49</v>
      </c>
      <c r="D562" s="134" t="str">
        <f t="shared" si="2"/>
        <v>CIM Motor BB RS-550 49</v>
      </c>
      <c r="E562" s="134">
        <v>1</v>
      </c>
      <c r="F562" s="134">
        <v>1</v>
      </c>
    </row>
    <row r="563" spans="1:6" ht="14.25" customHeight="1" x14ac:dyDescent="0.25">
      <c r="A563" s="134" t="s">
        <v>249</v>
      </c>
      <c r="B563" s="134" t="s">
        <v>333</v>
      </c>
      <c r="C563" s="134">
        <v>50</v>
      </c>
      <c r="D563" s="134" t="str">
        <f t="shared" si="2"/>
        <v>CIM Motor BB RS-550 50</v>
      </c>
      <c r="E563" s="134">
        <v>1</v>
      </c>
      <c r="F563" s="134">
        <v>1</v>
      </c>
    </row>
    <row r="564" spans="1:6" ht="14.25" customHeight="1" x14ac:dyDescent="0.25">
      <c r="A564" s="134" t="s">
        <v>249</v>
      </c>
      <c r="B564" s="134" t="s">
        <v>333</v>
      </c>
      <c r="C564" s="134">
        <v>63</v>
      </c>
      <c r="D564" s="134" t="str">
        <f t="shared" si="2"/>
        <v>CIM Motor BB RS-550 63</v>
      </c>
      <c r="E564" s="134">
        <v>0</v>
      </c>
      <c r="F564" s="134">
        <v>1</v>
      </c>
    </row>
    <row r="565" spans="1:6" ht="14.25" customHeight="1" x14ac:dyDescent="0.25">
      <c r="A565" s="134" t="s">
        <v>249</v>
      </c>
      <c r="B565" s="134" t="s">
        <v>333</v>
      </c>
      <c r="C565" s="134">
        <v>70</v>
      </c>
      <c r="D565" s="134" t="str">
        <f t="shared" si="2"/>
        <v>CIM Motor BB RS-550 70</v>
      </c>
      <c r="E565" s="134">
        <v>0</v>
      </c>
      <c r="F565" s="134">
        <v>1</v>
      </c>
    </row>
    <row r="566" spans="1:6" ht="14.25" customHeight="1" x14ac:dyDescent="0.25">
      <c r="A566" s="134" t="s">
        <v>249</v>
      </c>
      <c r="B566" s="134" t="s">
        <v>333</v>
      </c>
      <c r="C566" s="134">
        <v>81</v>
      </c>
      <c r="D566" s="134" t="str">
        <f t="shared" si="2"/>
        <v>CIM Motor BB RS-550 81</v>
      </c>
      <c r="E566" s="134">
        <v>0</v>
      </c>
      <c r="F566" s="134">
        <v>0</v>
      </c>
    </row>
    <row r="567" spans="1:6" ht="14.25" customHeight="1" x14ac:dyDescent="0.25">
      <c r="A567" s="134" t="s">
        <v>249</v>
      </c>
      <c r="B567" s="134" t="s">
        <v>333</v>
      </c>
      <c r="C567" s="134">
        <v>90</v>
      </c>
      <c r="D567" s="134" t="str">
        <f t="shared" si="2"/>
        <v>CIM Motor BB RS-550 90</v>
      </c>
      <c r="E567" s="134">
        <v>0</v>
      </c>
      <c r="F567" s="134">
        <v>0</v>
      </c>
    </row>
    <row r="568" spans="1:6" ht="14.25" customHeight="1" x14ac:dyDescent="0.25">
      <c r="A568" s="134" t="s">
        <v>249</v>
      </c>
      <c r="B568" s="134" t="s">
        <v>333</v>
      </c>
      <c r="C568" s="134">
        <v>100</v>
      </c>
      <c r="D568" s="134" t="str">
        <f t="shared" si="2"/>
        <v>CIM Motor BB RS-550 100</v>
      </c>
      <c r="E568" s="134">
        <v>0</v>
      </c>
      <c r="F568" s="134">
        <v>0</v>
      </c>
    </row>
    <row r="569" spans="1:6" ht="14.25" customHeight="1" x14ac:dyDescent="0.25">
      <c r="A569" s="134" t="s">
        <v>249</v>
      </c>
      <c r="B569" s="134" t="s">
        <v>334</v>
      </c>
      <c r="C569" s="134">
        <v>9</v>
      </c>
      <c r="D569" s="134" t="str">
        <f t="shared" si="2"/>
        <v>CIM Motor BB RS-775 9</v>
      </c>
      <c r="E569" s="134">
        <v>4</v>
      </c>
      <c r="F569" s="134">
        <v>7</v>
      </c>
    </row>
    <row r="570" spans="1:6" ht="14.25" customHeight="1" x14ac:dyDescent="0.25">
      <c r="A570" s="134" t="s">
        <v>249</v>
      </c>
      <c r="B570" s="134" t="s">
        <v>334</v>
      </c>
      <c r="C570" s="134">
        <v>12</v>
      </c>
      <c r="D570" s="134" t="str">
        <f t="shared" si="2"/>
        <v>CIM Motor BB RS-775 12</v>
      </c>
      <c r="E570" s="134">
        <v>3</v>
      </c>
      <c r="F570" s="134">
        <v>5</v>
      </c>
    </row>
    <row r="571" spans="1:6" ht="14.25" customHeight="1" x14ac:dyDescent="0.25">
      <c r="A571" s="134" t="s">
        <v>249</v>
      </c>
      <c r="B571" s="134" t="s">
        <v>334</v>
      </c>
      <c r="C571" s="134">
        <v>15</v>
      </c>
      <c r="D571" s="134" t="str">
        <f t="shared" si="2"/>
        <v>CIM Motor BB RS-775 15</v>
      </c>
      <c r="E571" s="134">
        <v>1</v>
      </c>
      <c r="F571" s="134">
        <v>5</v>
      </c>
    </row>
    <row r="572" spans="1:6" ht="14.25" customHeight="1" x14ac:dyDescent="0.25">
      <c r="A572" s="134" t="s">
        <v>249</v>
      </c>
      <c r="B572" s="134" t="s">
        <v>334</v>
      </c>
      <c r="C572" s="134">
        <v>16</v>
      </c>
      <c r="D572" s="134" t="str">
        <f t="shared" si="2"/>
        <v>CIM Motor BB RS-775 16</v>
      </c>
      <c r="E572" s="134">
        <v>1</v>
      </c>
      <c r="F572" s="134">
        <v>5</v>
      </c>
    </row>
    <row r="573" spans="1:6" ht="14.25" customHeight="1" x14ac:dyDescent="0.25">
      <c r="A573" s="134" t="s">
        <v>249</v>
      </c>
      <c r="B573" s="134" t="s">
        <v>334</v>
      </c>
      <c r="C573" s="134">
        <v>20</v>
      </c>
      <c r="D573" s="134" t="str">
        <f t="shared" si="2"/>
        <v>CIM Motor BB RS-775 20</v>
      </c>
      <c r="E573" s="134">
        <v>1</v>
      </c>
      <c r="F573" s="134">
        <v>4</v>
      </c>
    </row>
    <row r="574" spans="1:6" ht="14.25" customHeight="1" x14ac:dyDescent="0.25">
      <c r="A574" s="134" t="s">
        <v>249</v>
      </c>
      <c r="B574" s="134" t="s">
        <v>334</v>
      </c>
      <c r="C574" s="134">
        <v>21</v>
      </c>
      <c r="D574" s="134" t="str">
        <f t="shared" si="2"/>
        <v>CIM Motor BB RS-775 21</v>
      </c>
      <c r="E574" s="134">
        <v>1</v>
      </c>
      <c r="F574" s="134">
        <v>3</v>
      </c>
    </row>
    <row r="575" spans="1:6" ht="14.25" customHeight="1" x14ac:dyDescent="0.25">
      <c r="A575" s="134" t="s">
        <v>249</v>
      </c>
      <c r="B575" s="134" t="s">
        <v>334</v>
      </c>
      <c r="C575" s="134">
        <v>25</v>
      </c>
      <c r="D575" s="134" t="str">
        <f t="shared" si="2"/>
        <v>CIM Motor BB RS-775 25</v>
      </c>
      <c r="E575" s="134">
        <v>1</v>
      </c>
      <c r="F575" s="134">
        <v>3</v>
      </c>
    </row>
    <row r="576" spans="1:6" ht="14.25" customHeight="1" x14ac:dyDescent="0.25">
      <c r="A576" s="134" t="s">
        <v>249</v>
      </c>
      <c r="B576" s="134" t="s">
        <v>334</v>
      </c>
      <c r="C576" s="134">
        <v>27</v>
      </c>
      <c r="D576" s="134" t="str">
        <f t="shared" si="2"/>
        <v>CIM Motor BB RS-775 27</v>
      </c>
      <c r="E576" s="134">
        <v>1</v>
      </c>
      <c r="F576" s="134">
        <v>1</v>
      </c>
    </row>
    <row r="577" spans="1:6" ht="14.25" customHeight="1" x14ac:dyDescent="0.25">
      <c r="A577" s="134" t="s">
        <v>249</v>
      </c>
      <c r="B577" s="134" t="s">
        <v>334</v>
      </c>
      <c r="C577" s="134">
        <v>28</v>
      </c>
      <c r="D577" s="134" t="str">
        <f t="shared" si="2"/>
        <v>CIM Motor BB RS-775 28</v>
      </c>
      <c r="E577" s="134">
        <v>1</v>
      </c>
      <c r="F577" s="134">
        <v>1</v>
      </c>
    </row>
    <row r="578" spans="1:6" ht="14.25" customHeight="1" x14ac:dyDescent="0.25">
      <c r="A578" s="134" t="s">
        <v>249</v>
      </c>
      <c r="B578" s="134" t="s">
        <v>334</v>
      </c>
      <c r="C578" s="134">
        <v>30</v>
      </c>
      <c r="D578" s="134" t="str">
        <f t="shared" si="2"/>
        <v>CIM Motor BB RS-775 30</v>
      </c>
      <c r="E578" s="134">
        <v>1</v>
      </c>
      <c r="F578" s="134">
        <v>1</v>
      </c>
    </row>
    <row r="579" spans="1:6" ht="14.25" customHeight="1" x14ac:dyDescent="0.25">
      <c r="A579" s="134" t="s">
        <v>249</v>
      </c>
      <c r="B579" s="134" t="s">
        <v>334</v>
      </c>
      <c r="C579" s="134">
        <v>35</v>
      </c>
      <c r="D579" s="134" t="str">
        <f t="shared" si="2"/>
        <v>CIM Motor BB RS-775 35</v>
      </c>
      <c r="E579" s="134">
        <v>1</v>
      </c>
      <c r="F579" s="134">
        <v>1</v>
      </c>
    </row>
    <row r="580" spans="1:6" ht="14.25" customHeight="1" x14ac:dyDescent="0.25">
      <c r="A580" s="134" t="s">
        <v>249</v>
      </c>
      <c r="B580" s="134" t="s">
        <v>334</v>
      </c>
      <c r="C580" s="134">
        <v>36</v>
      </c>
      <c r="D580" s="134" t="str">
        <f t="shared" si="2"/>
        <v>CIM Motor BB RS-775 36</v>
      </c>
      <c r="E580" s="134">
        <v>1</v>
      </c>
      <c r="F580" s="134">
        <v>1</v>
      </c>
    </row>
    <row r="581" spans="1:6" ht="14.25" customHeight="1" x14ac:dyDescent="0.25">
      <c r="A581" s="134" t="s">
        <v>249</v>
      </c>
      <c r="B581" s="134" t="s">
        <v>334</v>
      </c>
      <c r="C581" s="134">
        <v>40</v>
      </c>
      <c r="D581" s="134" t="str">
        <f t="shared" si="2"/>
        <v>CIM Motor BB RS-775 40</v>
      </c>
      <c r="E581" s="134">
        <v>0</v>
      </c>
      <c r="F581" s="134">
        <v>1</v>
      </c>
    </row>
    <row r="582" spans="1:6" ht="14.25" customHeight="1" x14ac:dyDescent="0.25">
      <c r="A582" s="134" t="s">
        <v>249</v>
      </c>
      <c r="B582" s="134" t="s">
        <v>334</v>
      </c>
      <c r="C582" s="134">
        <v>45</v>
      </c>
      <c r="D582" s="134" t="str">
        <f t="shared" si="2"/>
        <v>CIM Motor BB RS-775 45</v>
      </c>
      <c r="E582" s="134">
        <v>0</v>
      </c>
      <c r="F582" s="134">
        <v>1</v>
      </c>
    </row>
    <row r="583" spans="1:6" ht="14.25" customHeight="1" x14ac:dyDescent="0.25">
      <c r="A583" s="134" t="s">
        <v>249</v>
      </c>
      <c r="B583" s="134" t="s">
        <v>334</v>
      </c>
      <c r="C583" s="134">
        <v>49</v>
      </c>
      <c r="D583" s="134" t="str">
        <f t="shared" si="2"/>
        <v>CIM Motor BB RS-775 49</v>
      </c>
      <c r="E583" s="134">
        <v>0</v>
      </c>
      <c r="F583" s="134">
        <v>1</v>
      </c>
    </row>
    <row r="584" spans="1:6" ht="14.25" customHeight="1" x14ac:dyDescent="0.25">
      <c r="A584" s="134" t="s">
        <v>249</v>
      </c>
      <c r="B584" s="134" t="s">
        <v>334</v>
      </c>
      <c r="C584" s="134">
        <v>50</v>
      </c>
      <c r="D584" s="134" t="str">
        <f t="shared" si="2"/>
        <v>CIM Motor BB RS-775 50</v>
      </c>
      <c r="E584" s="134">
        <v>0</v>
      </c>
      <c r="F584" s="134">
        <v>1</v>
      </c>
    </row>
    <row r="585" spans="1:6" ht="14.25" customHeight="1" x14ac:dyDescent="0.25">
      <c r="A585" s="134" t="s">
        <v>249</v>
      </c>
      <c r="B585" s="134" t="s">
        <v>334</v>
      </c>
      <c r="C585" s="134">
        <v>63</v>
      </c>
      <c r="D585" s="134" t="str">
        <f t="shared" si="2"/>
        <v>CIM Motor BB RS-775 63</v>
      </c>
      <c r="E585" s="134">
        <v>0</v>
      </c>
      <c r="F585" s="134">
        <v>1</v>
      </c>
    </row>
    <row r="586" spans="1:6" ht="14.25" customHeight="1" x14ac:dyDescent="0.25">
      <c r="A586" s="134" t="s">
        <v>249</v>
      </c>
      <c r="B586" s="134" t="s">
        <v>334</v>
      </c>
      <c r="C586" s="134">
        <v>70</v>
      </c>
      <c r="D586" s="134" t="str">
        <f t="shared" si="2"/>
        <v>CIM Motor BB RS-775 70</v>
      </c>
      <c r="E586" s="134">
        <v>0</v>
      </c>
      <c r="F586" s="134">
        <v>1</v>
      </c>
    </row>
    <row r="587" spans="1:6" ht="14.25" customHeight="1" x14ac:dyDescent="0.25">
      <c r="A587" s="134" t="s">
        <v>249</v>
      </c>
      <c r="B587" s="134" t="s">
        <v>334</v>
      </c>
      <c r="C587" s="134">
        <v>81</v>
      </c>
      <c r="D587" s="134" t="str">
        <f t="shared" si="2"/>
        <v>CIM Motor BB RS-775 81</v>
      </c>
      <c r="E587" s="134">
        <v>0</v>
      </c>
      <c r="F587" s="134">
        <v>1</v>
      </c>
    </row>
    <row r="588" spans="1:6" ht="14.25" customHeight="1" x14ac:dyDescent="0.25">
      <c r="A588" s="134" t="s">
        <v>249</v>
      </c>
      <c r="B588" s="134" t="s">
        <v>334</v>
      </c>
      <c r="C588" s="134">
        <v>90</v>
      </c>
      <c r="D588" s="134" t="str">
        <f t="shared" si="2"/>
        <v>CIM Motor BB RS-775 90</v>
      </c>
      <c r="E588" s="134">
        <v>0</v>
      </c>
      <c r="F588" s="134">
        <v>1</v>
      </c>
    </row>
    <row r="589" spans="1:6" ht="14.25" customHeight="1" x14ac:dyDescent="0.25">
      <c r="A589" s="134" t="s">
        <v>249</v>
      </c>
      <c r="B589" s="134" t="s">
        <v>334</v>
      </c>
      <c r="C589" s="134">
        <v>100</v>
      </c>
      <c r="D589" s="134" t="str">
        <f t="shared" si="2"/>
        <v>CIM Motor BB RS-775 100</v>
      </c>
      <c r="E589" s="134">
        <v>0</v>
      </c>
      <c r="F589" s="134">
        <v>1</v>
      </c>
    </row>
    <row r="590" spans="1:6" ht="14.25" customHeight="1" x14ac:dyDescent="0.25">
      <c r="A590" s="134" t="s">
        <v>249</v>
      </c>
      <c r="B590" s="134" t="s">
        <v>257</v>
      </c>
      <c r="C590" s="134">
        <v>9</v>
      </c>
      <c r="D590" s="134" t="str">
        <f t="shared" si="2"/>
        <v>CIM Motor BAG 9</v>
      </c>
      <c r="E590" s="134">
        <v>7</v>
      </c>
      <c r="F590" s="134">
        <v>7</v>
      </c>
    </row>
    <row r="591" spans="1:6" ht="14.25" customHeight="1" x14ac:dyDescent="0.25">
      <c r="A591" s="134" t="s">
        <v>249</v>
      </c>
      <c r="B591" s="134" t="s">
        <v>257</v>
      </c>
      <c r="C591" s="134">
        <v>12</v>
      </c>
      <c r="D591" s="134" t="str">
        <f t="shared" si="2"/>
        <v>CIM Motor BAG 12</v>
      </c>
      <c r="E591" s="134">
        <v>5</v>
      </c>
      <c r="F591" s="134">
        <v>5</v>
      </c>
    </row>
    <row r="592" spans="1:6" ht="14.25" customHeight="1" x14ac:dyDescent="0.25">
      <c r="A592" s="134" t="s">
        <v>249</v>
      </c>
      <c r="B592" s="134" t="s">
        <v>257</v>
      </c>
      <c r="C592" s="134">
        <v>15</v>
      </c>
      <c r="D592" s="134" t="str">
        <f t="shared" si="2"/>
        <v>CIM Motor BAG 15</v>
      </c>
      <c r="E592" s="134">
        <v>4</v>
      </c>
      <c r="F592" s="134">
        <v>4</v>
      </c>
    </row>
    <row r="593" spans="1:6" ht="14.25" customHeight="1" x14ac:dyDescent="0.25">
      <c r="A593" s="134" t="s">
        <v>249</v>
      </c>
      <c r="B593" s="134" t="s">
        <v>257</v>
      </c>
      <c r="C593" s="134">
        <v>16</v>
      </c>
      <c r="D593" s="134" t="str">
        <f t="shared" si="2"/>
        <v>CIM Motor BAG 16</v>
      </c>
      <c r="E593" s="134">
        <v>4</v>
      </c>
      <c r="F593" s="134">
        <v>4</v>
      </c>
    </row>
    <row r="594" spans="1:6" ht="14.25" customHeight="1" x14ac:dyDescent="0.25">
      <c r="A594" s="134" t="s">
        <v>249</v>
      </c>
      <c r="B594" s="134" t="s">
        <v>257</v>
      </c>
      <c r="C594" s="134">
        <v>20</v>
      </c>
      <c r="D594" s="134" t="str">
        <f t="shared" si="2"/>
        <v>CIM Motor BAG 20</v>
      </c>
      <c r="E594" s="134">
        <v>3</v>
      </c>
      <c r="F594" s="134">
        <v>3</v>
      </c>
    </row>
    <row r="595" spans="1:6" ht="14.25" customHeight="1" x14ac:dyDescent="0.25">
      <c r="A595" s="134" t="s">
        <v>249</v>
      </c>
      <c r="B595" s="134" t="s">
        <v>257</v>
      </c>
      <c r="C595" s="134">
        <v>21</v>
      </c>
      <c r="D595" s="134" t="str">
        <f t="shared" si="2"/>
        <v>CIM Motor BAG 21</v>
      </c>
      <c r="E595" s="134">
        <v>3</v>
      </c>
      <c r="F595" s="134">
        <v>3</v>
      </c>
    </row>
    <row r="596" spans="1:6" ht="14.25" customHeight="1" x14ac:dyDescent="0.25">
      <c r="A596" s="134" t="s">
        <v>249</v>
      </c>
      <c r="B596" s="134" t="s">
        <v>257</v>
      </c>
      <c r="C596" s="134">
        <v>25</v>
      </c>
      <c r="D596" s="134" t="str">
        <f t="shared" si="2"/>
        <v>CIM Motor BAG 25</v>
      </c>
      <c r="E596" s="134">
        <v>1</v>
      </c>
      <c r="F596" s="134">
        <v>1</v>
      </c>
    </row>
    <row r="597" spans="1:6" ht="14.25" customHeight="1" x14ac:dyDescent="0.25">
      <c r="A597" s="134" t="s">
        <v>249</v>
      </c>
      <c r="B597" s="134" t="s">
        <v>257</v>
      </c>
      <c r="C597" s="134">
        <v>27</v>
      </c>
      <c r="D597" s="134" t="str">
        <f t="shared" si="2"/>
        <v>CIM Motor BAG 27</v>
      </c>
      <c r="E597" s="134">
        <v>1</v>
      </c>
      <c r="F597" s="134">
        <v>1</v>
      </c>
    </row>
    <row r="598" spans="1:6" ht="14.25" customHeight="1" x14ac:dyDescent="0.25">
      <c r="A598" s="134" t="s">
        <v>249</v>
      </c>
      <c r="B598" s="134" t="s">
        <v>257</v>
      </c>
      <c r="C598" s="134">
        <v>28</v>
      </c>
      <c r="D598" s="134" t="str">
        <f t="shared" si="2"/>
        <v>CIM Motor BAG 28</v>
      </c>
      <c r="E598" s="134">
        <v>1</v>
      </c>
      <c r="F598" s="134">
        <v>1</v>
      </c>
    </row>
    <row r="599" spans="1:6" ht="14.25" customHeight="1" x14ac:dyDescent="0.25">
      <c r="A599" s="134" t="s">
        <v>249</v>
      </c>
      <c r="B599" s="134" t="s">
        <v>257</v>
      </c>
      <c r="C599" s="134">
        <v>30</v>
      </c>
      <c r="D599" s="134" t="str">
        <f t="shared" si="2"/>
        <v>CIM Motor BAG 30</v>
      </c>
      <c r="E599" s="134">
        <v>1</v>
      </c>
      <c r="F599" s="134">
        <v>1</v>
      </c>
    </row>
    <row r="600" spans="1:6" ht="14.25" customHeight="1" x14ac:dyDescent="0.25">
      <c r="A600" s="134" t="s">
        <v>249</v>
      </c>
      <c r="B600" s="134" t="s">
        <v>257</v>
      </c>
      <c r="C600" s="134">
        <v>35</v>
      </c>
      <c r="D600" s="134" t="str">
        <f t="shared" si="2"/>
        <v>CIM Motor BAG 35</v>
      </c>
      <c r="E600" s="134">
        <v>1</v>
      </c>
      <c r="F600" s="134">
        <v>1</v>
      </c>
    </row>
    <row r="601" spans="1:6" ht="14.25" customHeight="1" x14ac:dyDescent="0.25">
      <c r="A601" s="134" t="s">
        <v>249</v>
      </c>
      <c r="B601" s="134" t="s">
        <v>257</v>
      </c>
      <c r="C601" s="134">
        <v>36</v>
      </c>
      <c r="D601" s="134" t="str">
        <f t="shared" si="2"/>
        <v>CIM Motor BAG 36</v>
      </c>
      <c r="E601" s="134">
        <v>1</v>
      </c>
      <c r="F601" s="134">
        <v>1</v>
      </c>
    </row>
    <row r="602" spans="1:6" ht="14.25" customHeight="1" x14ac:dyDescent="0.25">
      <c r="A602" s="134" t="s">
        <v>249</v>
      </c>
      <c r="B602" s="134" t="s">
        <v>257</v>
      </c>
      <c r="C602" s="134">
        <v>40</v>
      </c>
      <c r="D602" s="134" t="str">
        <f t="shared" si="2"/>
        <v>CIM Motor BAG 40</v>
      </c>
      <c r="E602" s="134">
        <v>1</v>
      </c>
      <c r="F602" s="134">
        <v>1</v>
      </c>
    </row>
    <row r="603" spans="1:6" ht="14.25" customHeight="1" x14ac:dyDescent="0.25">
      <c r="A603" s="134" t="s">
        <v>249</v>
      </c>
      <c r="B603" s="134" t="s">
        <v>257</v>
      </c>
      <c r="C603" s="134">
        <v>45</v>
      </c>
      <c r="D603" s="134" t="str">
        <f t="shared" si="2"/>
        <v>CIM Motor BAG 45</v>
      </c>
      <c r="E603" s="134">
        <v>1</v>
      </c>
      <c r="F603" s="134">
        <v>1</v>
      </c>
    </row>
    <row r="604" spans="1:6" ht="14.25" customHeight="1" x14ac:dyDescent="0.25">
      <c r="A604" s="134" t="s">
        <v>249</v>
      </c>
      <c r="B604" s="134" t="s">
        <v>257</v>
      </c>
      <c r="C604" s="134">
        <v>49</v>
      </c>
      <c r="D604" s="134" t="str">
        <f t="shared" si="2"/>
        <v>CIM Motor BAG 49</v>
      </c>
      <c r="E604" s="134">
        <v>1</v>
      </c>
      <c r="F604" s="134">
        <v>1</v>
      </c>
    </row>
    <row r="605" spans="1:6" ht="14.25" customHeight="1" x14ac:dyDescent="0.25">
      <c r="A605" s="134" t="s">
        <v>249</v>
      </c>
      <c r="B605" s="134" t="s">
        <v>257</v>
      </c>
      <c r="C605" s="134">
        <v>50</v>
      </c>
      <c r="D605" s="134" t="str">
        <f t="shared" si="2"/>
        <v>CIM Motor BAG 50</v>
      </c>
      <c r="E605" s="134">
        <v>1</v>
      </c>
      <c r="F605" s="134">
        <v>1</v>
      </c>
    </row>
    <row r="606" spans="1:6" ht="14.25" customHeight="1" x14ac:dyDescent="0.25">
      <c r="A606" s="134" t="s">
        <v>249</v>
      </c>
      <c r="B606" s="134" t="s">
        <v>257</v>
      </c>
      <c r="C606" s="134">
        <v>63</v>
      </c>
      <c r="D606" s="134" t="str">
        <f t="shared" si="2"/>
        <v>CIM Motor BAG 63</v>
      </c>
      <c r="E606" s="134">
        <v>1</v>
      </c>
      <c r="F606" s="134">
        <v>1</v>
      </c>
    </row>
    <row r="607" spans="1:6" ht="14.25" customHeight="1" x14ac:dyDescent="0.25">
      <c r="A607" s="134" t="s">
        <v>249</v>
      </c>
      <c r="B607" s="134" t="s">
        <v>257</v>
      </c>
      <c r="C607" s="134">
        <v>70</v>
      </c>
      <c r="D607" s="134" t="str">
        <f t="shared" si="2"/>
        <v>CIM Motor BAG 70</v>
      </c>
      <c r="E607" s="134">
        <v>1</v>
      </c>
      <c r="F607" s="134">
        <v>0</v>
      </c>
    </row>
    <row r="608" spans="1:6" ht="14.25" customHeight="1" x14ac:dyDescent="0.25">
      <c r="A608" s="134" t="s">
        <v>249</v>
      </c>
      <c r="B608" s="134" t="s">
        <v>257</v>
      </c>
      <c r="C608" s="134">
        <v>81</v>
      </c>
      <c r="D608" s="134" t="str">
        <f t="shared" si="2"/>
        <v>CIM Motor BAG 81</v>
      </c>
      <c r="E608" s="134">
        <v>1</v>
      </c>
      <c r="F608" s="134">
        <v>0</v>
      </c>
    </row>
    <row r="609" spans="1:6" ht="14.25" customHeight="1" x14ac:dyDescent="0.25">
      <c r="A609" s="134" t="s">
        <v>249</v>
      </c>
      <c r="B609" s="134" t="s">
        <v>257</v>
      </c>
      <c r="C609" s="134">
        <v>90</v>
      </c>
      <c r="D609" s="134" t="str">
        <f t="shared" si="2"/>
        <v>CIM Motor BAG 90</v>
      </c>
      <c r="E609" s="134">
        <v>1</v>
      </c>
      <c r="F609" s="134">
        <v>0</v>
      </c>
    </row>
    <row r="610" spans="1:6" ht="14.25" customHeight="1" x14ac:dyDescent="0.25">
      <c r="A610" s="134" t="s">
        <v>249</v>
      </c>
      <c r="B610" s="134" t="s">
        <v>257</v>
      </c>
      <c r="C610" s="134">
        <v>100</v>
      </c>
      <c r="D610" s="134" t="str">
        <f t="shared" si="2"/>
        <v>CIM Motor BAG 100</v>
      </c>
      <c r="E610" s="134">
        <v>1</v>
      </c>
      <c r="F610" s="134">
        <v>0</v>
      </c>
    </row>
    <row r="611" spans="1:6" ht="14.25" customHeight="1" x14ac:dyDescent="0.25">
      <c r="A611" s="134" t="s">
        <v>249</v>
      </c>
      <c r="B611" s="134" t="s">
        <v>7</v>
      </c>
      <c r="C611" s="134">
        <v>9</v>
      </c>
      <c r="D611" s="134" t="str">
        <f t="shared" si="2"/>
        <v>CIM Motor Mini CIM 9</v>
      </c>
      <c r="E611" s="134">
        <v>1</v>
      </c>
      <c r="F611" s="134">
        <v>0</v>
      </c>
    </row>
    <row r="612" spans="1:6" ht="14.25" customHeight="1" x14ac:dyDescent="0.25">
      <c r="A612" s="134" t="s">
        <v>249</v>
      </c>
      <c r="B612" s="134" t="s">
        <v>7</v>
      </c>
      <c r="C612" s="134">
        <v>12</v>
      </c>
      <c r="D612" s="134" t="str">
        <f t="shared" si="2"/>
        <v>CIM Motor Mini CIM 12</v>
      </c>
      <c r="E612" s="134">
        <v>1</v>
      </c>
      <c r="F612" s="134">
        <v>0</v>
      </c>
    </row>
    <row r="613" spans="1:6" ht="14.25" customHeight="1" x14ac:dyDescent="0.25">
      <c r="A613" s="134" t="s">
        <v>249</v>
      </c>
      <c r="B613" s="134" t="s">
        <v>7</v>
      </c>
      <c r="C613" s="134">
        <v>15</v>
      </c>
      <c r="D613" s="134" t="str">
        <f t="shared" si="2"/>
        <v>CIM Motor Mini CIM 15</v>
      </c>
      <c r="E613" s="134">
        <v>1</v>
      </c>
      <c r="F613" s="134">
        <v>0</v>
      </c>
    </row>
    <row r="614" spans="1:6" ht="14.25" customHeight="1" x14ac:dyDescent="0.25">
      <c r="A614" s="134" t="s">
        <v>249</v>
      </c>
      <c r="B614" s="134" t="s">
        <v>7</v>
      </c>
      <c r="C614" s="134">
        <v>16</v>
      </c>
      <c r="D614" s="134" t="str">
        <f t="shared" si="2"/>
        <v>CIM Motor Mini CIM 16</v>
      </c>
      <c r="E614" s="134">
        <v>1</v>
      </c>
      <c r="F614" s="134">
        <v>0</v>
      </c>
    </row>
    <row r="615" spans="1:6" ht="14.25" customHeight="1" x14ac:dyDescent="0.25">
      <c r="A615" s="134" t="s">
        <v>249</v>
      </c>
      <c r="B615" s="134" t="s">
        <v>7</v>
      </c>
      <c r="C615" s="134">
        <v>20</v>
      </c>
      <c r="D615" s="134" t="str">
        <f t="shared" si="2"/>
        <v>CIM Motor Mini CIM 20</v>
      </c>
      <c r="E615" s="134">
        <v>1</v>
      </c>
      <c r="F615" s="134">
        <v>0</v>
      </c>
    </row>
    <row r="616" spans="1:6" ht="14.25" customHeight="1" x14ac:dyDescent="0.25">
      <c r="A616" s="134" t="s">
        <v>249</v>
      </c>
      <c r="B616" s="134" t="s">
        <v>7</v>
      </c>
      <c r="C616" s="134">
        <v>21</v>
      </c>
      <c r="D616" s="134" t="str">
        <f t="shared" si="2"/>
        <v>CIM Motor Mini CIM 21</v>
      </c>
      <c r="E616" s="134">
        <v>1</v>
      </c>
      <c r="F616" s="134">
        <v>0</v>
      </c>
    </row>
    <row r="617" spans="1:6" ht="14.25" customHeight="1" x14ac:dyDescent="0.25">
      <c r="A617" s="134" t="s">
        <v>249</v>
      </c>
      <c r="B617" s="134" t="s">
        <v>7</v>
      </c>
      <c r="C617" s="134">
        <v>25</v>
      </c>
      <c r="D617" s="134" t="str">
        <f t="shared" si="2"/>
        <v>CIM Motor Mini CIM 25</v>
      </c>
      <c r="E617" s="134">
        <v>1</v>
      </c>
      <c r="F617" s="134">
        <v>0</v>
      </c>
    </row>
    <row r="618" spans="1:6" ht="14.25" customHeight="1" x14ac:dyDescent="0.25">
      <c r="A618" s="134" t="s">
        <v>249</v>
      </c>
      <c r="B618" s="134" t="s">
        <v>7</v>
      </c>
      <c r="C618" s="134">
        <v>27</v>
      </c>
      <c r="D618" s="134" t="str">
        <f t="shared" si="2"/>
        <v>CIM Motor Mini CIM 27</v>
      </c>
      <c r="E618" s="134">
        <v>1</v>
      </c>
      <c r="F618" s="134">
        <v>0</v>
      </c>
    </row>
    <row r="619" spans="1:6" ht="14.25" customHeight="1" x14ac:dyDescent="0.25">
      <c r="A619" s="134" t="s">
        <v>249</v>
      </c>
      <c r="B619" s="134" t="s">
        <v>7</v>
      </c>
      <c r="C619" s="134">
        <v>28</v>
      </c>
      <c r="D619" s="134" t="str">
        <f t="shared" si="2"/>
        <v>CIM Motor Mini CIM 28</v>
      </c>
      <c r="E619" s="134">
        <v>1</v>
      </c>
      <c r="F619" s="134">
        <v>0</v>
      </c>
    </row>
    <row r="620" spans="1:6" ht="14.25" customHeight="1" x14ac:dyDescent="0.25">
      <c r="A620" s="134" t="s">
        <v>249</v>
      </c>
      <c r="B620" s="134" t="s">
        <v>7</v>
      </c>
      <c r="C620" s="134">
        <v>30</v>
      </c>
      <c r="D620" s="134" t="str">
        <f t="shared" si="2"/>
        <v>CIM Motor Mini CIM 30</v>
      </c>
      <c r="E620" s="134">
        <v>1</v>
      </c>
      <c r="F620" s="134">
        <v>0</v>
      </c>
    </row>
    <row r="621" spans="1:6" ht="14.25" customHeight="1" x14ac:dyDescent="0.25">
      <c r="A621" s="134" t="s">
        <v>249</v>
      </c>
      <c r="B621" s="134" t="s">
        <v>7</v>
      </c>
      <c r="C621" s="134">
        <v>35</v>
      </c>
      <c r="D621" s="134" t="str">
        <f t="shared" si="2"/>
        <v>CIM Motor Mini CIM 35</v>
      </c>
      <c r="E621" s="134">
        <v>0</v>
      </c>
      <c r="F621" s="134">
        <v>0</v>
      </c>
    </row>
    <row r="622" spans="1:6" ht="14.25" customHeight="1" x14ac:dyDescent="0.25">
      <c r="A622" s="134" t="s">
        <v>249</v>
      </c>
      <c r="B622" s="134" t="s">
        <v>7</v>
      </c>
      <c r="C622" s="134">
        <v>36</v>
      </c>
      <c r="D622" s="134" t="str">
        <f t="shared" si="2"/>
        <v>CIM Motor Mini CIM 36</v>
      </c>
      <c r="E622" s="134">
        <v>0</v>
      </c>
      <c r="F622" s="134">
        <v>0</v>
      </c>
    </row>
    <row r="623" spans="1:6" ht="14.25" customHeight="1" x14ac:dyDescent="0.25">
      <c r="A623" s="134" t="s">
        <v>249</v>
      </c>
      <c r="B623" s="134" t="s">
        <v>7</v>
      </c>
      <c r="C623" s="134">
        <v>40</v>
      </c>
      <c r="D623" s="134" t="str">
        <f t="shared" si="2"/>
        <v>CIM Motor Mini CIM 40</v>
      </c>
      <c r="E623" s="134">
        <v>0</v>
      </c>
      <c r="F623" s="134">
        <v>0</v>
      </c>
    </row>
    <row r="624" spans="1:6" ht="14.25" customHeight="1" x14ac:dyDescent="0.25">
      <c r="A624" s="134" t="s">
        <v>249</v>
      </c>
      <c r="B624" s="134" t="s">
        <v>7</v>
      </c>
      <c r="C624" s="134">
        <v>45</v>
      </c>
      <c r="D624" s="134" t="str">
        <f t="shared" si="2"/>
        <v>CIM Motor Mini CIM 45</v>
      </c>
      <c r="E624" s="134">
        <v>0</v>
      </c>
      <c r="F624" s="134">
        <v>0</v>
      </c>
    </row>
    <row r="625" spans="1:6" ht="14.25" customHeight="1" x14ac:dyDescent="0.25">
      <c r="A625" s="134" t="s">
        <v>249</v>
      </c>
      <c r="B625" s="134" t="s">
        <v>7</v>
      </c>
      <c r="C625" s="134">
        <v>49</v>
      </c>
      <c r="D625" s="134" t="str">
        <f t="shared" si="2"/>
        <v>CIM Motor Mini CIM 49</v>
      </c>
      <c r="E625" s="134">
        <v>0</v>
      </c>
      <c r="F625" s="134">
        <v>0</v>
      </c>
    </row>
    <row r="626" spans="1:6" ht="14.25" customHeight="1" x14ac:dyDescent="0.25">
      <c r="A626" s="134" t="s">
        <v>249</v>
      </c>
      <c r="B626" s="134" t="s">
        <v>7</v>
      </c>
      <c r="C626" s="134">
        <v>50</v>
      </c>
      <c r="D626" s="134" t="str">
        <f t="shared" si="2"/>
        <v>CIM Motor Mini CIM 50</v>
      </c>
      <c r="E626" s="134">
        <v>0</v>
      </c>
      <c r="F626" s="134">
        <v>0</v>
      </c>
    </row>
    <row r="627" spans="1:6" ht="14.25" customHeight="1" x14ac:dyDescent="0.25">
      <c r="A627" s="134" t="s">
        <v>249</v>
      </c>
      <c r="B627" s="134" t="s">
        <v>7</v>
      </c>
      <c r="C627" s="134">
        <v>63</v>
      </c>
      <c r="D627" s="134" t="str">
        <f t="shared" si="2"/>
        <v>CIM Motor Mini CIM 63</v>
      </c>
      <c r="E627" s="134">
        <v>0</v>
      </c>
      <c r="F627" s="134">
        <v>0</v>
      </c>
    </row>
    <row r="628" spans="1:6" ht="14.25" customHeight="1" x14ac:dyDescent="0.25">
      <c r="A628" s="134" t="s">
        <v>249</v>
      </c>
      <c r="B628" s="134" t="s">
        <v>7</v>
      </c>
      <c r="C628" s="134">
        <v>70</v>
      </c>
      <c r="D628" s="134" t="str">
        <f t="shared" si="2"/>
        <v>CIM Motor Mini CIM 70</v>
      </c>
      <c r="E628" s="134">
        <v>0</v>
      </c>
      <c r="F628" s="134">
        <v>0</v>
      </c>
    </row>
    <row r="629" spans="1:6" ht="14.25" customHeight="1" x14ac:dyDescent="0.25">
      <c r="A629" s="134" t="s">
        <v>249</v>
      </c>
      <c r="B629" s="134" t="s">
        <v>7</v>
      </c>
      <c r="C629" s="134">
        <v>81</v>
      </c>
      <c r="D629" s="134" t="str">
        <f t="shared" si="2"/>
        <v>CIM Motor Mini CIM 81</v>
      </c>
      <c r="E629" s="134">
        <v>0</v>
      </c>
      <c r="F629" s="134">
        <v>0</v>
      </c>
    </row>
    <row r="630" spans="1:6" ht="14.25" customHeight="1" x14ac:dyDescent="0.25">
      <c r="A630" s="134" t="s">
        <v>249</v>
      </c>
      <c r="B630" s="134" t="s">
        <v>7</v>
      </c>
      <c r="C630" s="134">
        <v>90</v>
      </c>
      <c r="D630" s="134" t="str">
        <f t="shared" si="2"/>
        <v>CIM Motor Mini CIM 90</v>
      </c>
      <c r="E630" s="134">
        <v>0</v>
      </c>
      <c r="F630" s="134">
        <v>0</v>
      </c>
    </row>
    <row r="631" spans="1:6" ht="14.25" customHeight="1" x14ac:dyDescent="0.25">
      <c r="A631" s="134" t="s">
        <v>249</v>
      </c>
      <c r="B631" s="134" t="s">
        <v>7</v>
      </c>
      <c r="C631" s="134">
        <v>100</v>
      </c>
      <c r="D631" s="134" t="str">
        <f t="shared" si="2"/>
        <v>CIM Motor Mini CIM 100</v>
      </c>
      <c r="E631" s="134">
        <v>0</v>
      </c>
      <c r="F631" s="134">
        <v>0</v>
      </c>
    </row>
    <row r="632" spans="1:6" ht="14.25" customHeight="1" x14ac:dyDescent="0.25">
      <c r="A632" s="134" t="s">
        <v>249</v>
      </c>
      <c r="B632" s="134" t="s">
        <v>6</v>
      </c>
      <c r="C632" s="134">
        <v>9</v>
      </c>
      <c r="D632" s="134" t="str">
        <f t="shared" si="2"/>
        <v>CIM Motor CIM 9</v>
      </c>
      <c r="E632" s="134">
        <v>1</v>
      </c>
      <c r="F632" s="134">
        <v>0</v>
      </c>
    </row>
    <row r="633" spans="1:6" ht="14.25" customHeight="1" x14ac:dyDescent="0.25">
      <c r="A633" s="134" t="s">
        <v>249</v>
      </c>
      <c r="B633" s="134" t="s">
        <v>6</v>
      </c>
      <c r="C633" s="134">
        <v>12</v>
      </c>
      <c r="D633" s="134" t="str">
        <f t="shared" si="2"/>
        <v>CIM Motor CIM 12</v>
      </c>
      <c r="E633" s="134">
        <v>1</v>
      </c>
      <c r="F633" s="134">
        <v>0</v>
      </c>
    </row>
    <row r="634" spans="1:6" ht="14.25" customHeight="1" x14ac:dyDescent="0.25">
      <c r="A634" s="134" t="s">
        <v>249</v>
      </c>
      <c r="B634" s="134" t="s">
        <v>6</v>
      </c>
      <c r="C634" s="134">
        <v>15</v>
      </c>
      <c r="D634" s="134" t="str">
        <f t="shared" si="2"/>
        <v>CIM Motor CIM 15</v>
      </c>
      <c r="E634" s="134">
        <v>0</v>
      </c>
      <c r="F634" s="134">
        <v>0</v>
      </c>
    </row>
    <row r="635" spans="1:6" ht="14.25" customHeight="1" x14ac:dyDescent="0.25">
      <c r="A635" s="134" t="s">
        <v>249</v>
      </c>
      <c r="B635" s="134" t="s">
        <v>6</v>
      </c>
      <c r="C635" s="134">
        <v>16</v>
      </c>
      <c r="D635" s="134" t="str">
        <f t="shared" si="2"/>
        <v>CIM Motor CIM 16</v>
      </c>
      <c r="E635" s="134">
        <v>0</v>
      </c>
      <c r="F635" s="134">
        <v>0</v>
      </c>
    </row>
    <row r="636" spans="1:6" ht="14.25" customHeight="1" x14ac:dyDescent="0.25">
      <c r="A636" s="134" t="s">
        <v>249</v>
      </c>
      <c r="B636" s="134" t="s">
        <v>6</v>
      </c>
      <c r="C636" s="134">
        <v>20</v>
      </c>
      <c r="D636" s="134" t="str">
        <f t="shared" si="2"/>
        <v>CIM Motor CIM 20</v>
      </c>
      <c r="E636" s="134">
        <v>0</v>
      </c>
      <c r="F636" s="134">
        <v>0</v>
      </c>
    </row>
    <row r="637" spans="1:6" ht="14.25" customHeight="1" x14ac:dyDescent="0.25">
      <c r="A637" s="134" t="s">
        <v>249</v>
      </c>
      <c r="B637" s="134" t="s">
        <v>6</v>
      </c>
      <c r="C637" s="134">
        <v>21</v>
      </c>
      <c r="D637" s="134" t="str">
        <f t="shared" si="2"/>
        <v>CIM Motor CIM 21</v>
      </c>
      <c r="E637" s="134">
        <v>0</v>
      </c>
      <c r="F637" s="134">
        <v>0</v>
      </c>
    </row>
    <row r="638" spans="1:6" ht="14.25" customHeight="1" x14ac:dyDescent="0.25">
      <c r="A638" s="134" t="s">
        <v>249</v>
      </c>
      <c r="B638" s="134" t="s">
        <v>6</v>
      </c>
      <c r="C638" s="134">
        <v>25</v>
      </c>
      <c r="D638" s="134" t="str">
        <f t="shared" si="2"/>
        <v>CIM Motor CIM 25</v>
      </c>
      <c r="E638" s="134">
        <v>0</v>
      </c>
      <c r="F638" s="134">
        <v>0</v>
      </c>
    </row>
    <row r="639" spans="1:6" ht="14.25" customHeight="1" x14ac:dyDescent="0.25">
      <c r="A639" s="134" t="s">
        <v>249</v>
      </c>
      <c r="B639" s="134" t="s">
        <v>6</v>
      </c>
      <c r="C639" s="134">
        <v>27</v>
      </c>
      <c r="D639" s="134" t="str">
        <f t="shared" si="2"/>
        <v>CIM Motor CIM 27</v>
      </c>
      <c r="E639" s="134">
        <v>0</v>
      </c>
      <c r="F639" s="134">
        <v>0</v>
      </c>
    </row>
    <row r="640" spans="1:6" ht="14.25" customHeight="1" x14ac:dyDescent="0.25">
      <c r="A640" s="134" t="s">
        <v>249</v>
      </c>
      <c r="B640" s="134" t="s">
        <v>6</v>
      </c>
      <c r="C640" s="134">
        <v>28</v>
      </c>
      <c r="D640" s="134" t="str">
        <f t="shared" si="2"/>
        <v>CIM Motor CIM 28</v>
      </c>
      <c r="E640" s="134">
        <v>0</v>
      </c>
      <c r="F640" s="134">
        <v>0</v>
      </c>
    </row>
    <row r="641" spans="1:6" ht="14.25" customHeight="1" x14ac:dyDescent="0.25">
      <c r="A641" s="134" t="s">
        <v>249</v>
      </c>
      <c r="B641" s="134" t="s">
        <v>6</v>
      </c>
      <c r="C641" s="134">
        <v>30</v>
      </c>
      <c r="D641" s="134" t="str">
        <f t="shared" si="2"/>
        <v>CIM Motor CIM 30</v>
      </c>
      <c r="E641" s="134">
        <v>0</v>
      </c>
      <c r="F641" s="134">
        <v>0</v>
      </c>
    </row>
    <row r="642" spans="1:6" ht="14.25" customHeight="1" x14ac:dyDescent="0.25">
      <c r="A642" s="134" t="s">
        <v>249</v>
      </c>
      <c r="B642" s="134" t="s">
        <v>6</v>
      </c>
      <c r="C642" s="134">
        <v>35</v>
      </c>
      <c r="D642" s="134" t="str">
        <f t="shared" si="2"/>
        <v>CIM Motor CIM 35</v>
      </c>
      <c r="E642" s="134">
        <v>0</v>
      </c>
      <c r="F642" s="134">
        <v>0</v>
      </c>
    </row>
    <row r="643" spans="1:6" ht="14.25" customHeight="1" x14ac:dyDescent="0.25">
      <c r="A643" s="134" t="s">
        <v>249</v>
      </c>
      <c r="B643" s="134" t="s">
        <v>6</v>
      </c>
      <c r="C643" s="134">
        <v>36</v>
      </c>
      <c r="D643" s="134" t="str">
        <f t="shared" si="2"/>
        <v>CIM Motor CIM 36</v>
      </c>
      <c r="E643" s="134">
        <v>0</v>
      </c>
      <c r="F643" s="134">
        <v>0</v>
      </c>
    </row>
    <row r="644" spans="1:6" ht="14.25" customHeight="1" x14ac:dyDescent="0.25">
      <c r="A644" s="134" t="s">
        <v>249</v>
      </c>
      <c r="B644" s="134" t="s">
        <v>6</v>
      </c>
      <c r="C644" s="134">
        <v>40</v>
      </c>
      <c r="D644" s="134" t="str">
        <f t="shared" si="2"/>
        <v>CIM Motor CIM 40</v>
      </c>
      <c r="E644" s="134">
        <v>0</v>
      </c>
      <c r="F644" s="134">
        <v>0</v>
      </c>
    </row>
    <row r="645" spans="1:6" ht="14.25" customHeight="1" x14ac:dyDescent="0.25">
      <c r="A645" s="134" t="s">
        <v>249</v>
      </c>
      <c r="B645" s="134" t="s">
        <v>6</v>
      </c>
      <c r="C645" s="134">
        <v>45</v>
      </c>
      <c r="D645" s="134" t="str">
        <f t="shared" si="2"/>
        <v>CIM Motor CIM 45</v>
      </c>
      <c r="E645" s="134">
        <v>0</v>
      </c>
      <c r="F645" s="134">
        <v>0</v>
      </c>
    </row>
    <row r="646" spans="1:6" ht="14.25" customHeight="1" x14ac:dyDescent="0.25">
      <c r="A646" s="134" t="s">
        <v>249</v>
      </c>
      <c r="B646" s="134" t="s">
        <v>6</v>
      </c>
      <c r="C646" s="134">
        <v>49</v>
      </c>
      <c r="D646" s="134" t="str">
        <f t="shared" si="2"/>
        <v>CIM Motor CIM 49</v>
      </c>
      <c r="E646" s="134">
        <v>0</v>
      </c>
      <c r="F646" s="134">
        <v>0</v>
      </c>
    </row>
    <row r="647" spans="1:6" ht="14.25" customHeight="1" x14ac:dyDescent="0.25">
      <c r="A647" s="134" t="s">
        <v>249</v>
      </c>
      <c r="B647" s="134" t="s">
        <v>6</v>
      </c>
      <c r="C647" s="134">
        <v>50</v>
      </c>
      <c r="D647" s="134" t="str">
        <f t="shared" si="2"/>
        <v>CIM Motor CIM 50</v>
      </c>
      <c r="E647" s="134">
        <v>0</v>
      </c>
      <c r="F647" s="134">
        <v>0</v>
      </c>
    </row>
    <row r="648" spans="1:6" ht="14.25" customHeight="1" x14ac:dyDescent="0.25">
      <c r="A648" s="134" t="s">
        <v>249</v>
      </c>
      <c r="B648" s="134" t="s">
        <v>6</v>
      </c>
      <c r="C648" s="134">
        <v>63</v>
      </c>
      <c r="D648" s="134" t="str">
        <f t="shared" si="2"/>
        <v>CIM Motor CIM 63</v>
      </c>
      <c r="E648" s="134">
        <v>0</v>
      </c>
      <c r="F648" s="134">
        <v>0</v>
      </c>
    </row>
    <row r="649" spans="1:6" ht="14.25" customHeight="1" x14ac:dyDescent="0.25">
      <c r="A649" s="134" t="s">
        <v>249</v>
      </c>
      <c r="B649" s="134" t="s">
        <v>6</v>
      </c>
      <c r="C649" s="134">
        <v>70</v>
      </c>
      <c r="D649" s="134" t="str">
        <f t="shared" si="2"/>
        <v>CIM Motor CIM 70</v>
      </c>
      <c r="E649" s="134">
        <v>0</v>
      </c>
      <c r="F649" s="134">
        <v>0</v>
      </c>
    </row>
    <row r="650" spans="1:6" ht="14.25" customHeight="1" x14ac:dyDescent="0.25">
      <c r="A650" s="134" t="s">
        <v>249</v>
      </c>
      <c r="B650" s="134" t="s">
        <v>6</v>
      </c>
      <c r="C650" s="134">
        <v>81</v>
      </c>
      <c r="D650" s="134" t="str">
        <f t="shared" si="2"/>
        <v>CIM Motor CIM 81</v>
      </c>
      <c r="E650" s="134">
        <v>0</v>
      </c>
      <c r="F650" s="134">
        <v>0</v>
      </c>
    </row>
    <row r="651" spans="1:6" ht="14.25" customHeight="1" x14ac:dyDescent="0.25">
      <c r="A651" s="134" t="s">
        <v>249</v>
      </c>
      <c r="B651" s="134" t="s">
        <v>6</v>
      </c>
      <c r="C651" s="134">
        <v>90</v>
      </c>
      <c r="D651" s="134" t="str">
        <f t="shared" si="2"/>
        <v>CIM Motor CIM 90</v>
      </c>
      <c r="E651" s="134">
        <v>0</v>
      </c>
      <c r="F651" s="134">
        <v>0</v>
      </c>
    </row>
    <row r="652" spans="1:6" ht="14.25" customHeight="1" x14ac:dyDescent="0.25">
      <c r="A652" s="134" t="s">
        <v>249</v>
      </c>
      <c r="B652" s="134" t="s">
        <v>6</v>
      </c>
      <c r="C652" s="134">
        <v>100</v>
      </c>
      <c r="D652" s="134" t="str">
        <f t="shared" si="2"/>
        <v>CIM Motor CIM 100</v>
      </c>
      <c r="E652" s="134">
        <v>0</v>
      </c>
      <c r="F652" s="134">
        <v>0</v>
      </c>
    </row>
    <row r="653" spans="1:6" ht="14.25" customHeight="1" x14ac:dyDescent="0.25">
      <c r="A653" s="134" t="s">
        <v>249</v>
      </c>
      <c r="B653" s="134" t="s">
        <v>259</v>
      </c>
      <c r="C653" s="134">
        <v>9</v>
      </c>
      <c r="D653" s="134" t="str">
        <f t="shared" si="2"/>
        <v>CIM Motor 775pro 9</v>
      </c>
      <c r="E653" s="134">
        <v>4</v>
      </c>
      <c r="F653" s="134">
        <v>4</v>
      </c>
    </row>
    <row r="654" spans="1:6" ht="14.25" customHeight="1" x14ac:dyDescent="0.25">
      <c r="A654" s="134" t="s">
        <v>249</v>
      </c>
      <c r="B654" s="134" t="s">
        <v>259</v>
      </c>
      <c r="C654" s="134">
        <v>12</v>
      </c>
      <c r="D654" s="134" t="str">
        <f t="shared" si="2"/>
        <v>CIM Motor 775pro 12</v>
      </c>
      <c r="E654" s="134">
        <v>3</v>
      </c>
      <c r="F654" s="134">
        <v>3</v>
      </c>
    </row>
    <row r="655" spans="1:6" ht="14.25" customHeight="1" x14ac:dyDescent="0.25">
      <c r="A655" s="134" t="s">
        <v>249</v>
      </c>
      <c r="B655" s="134" t="s">
        <v>259</v>
      </c>
      <c r="C655" s="134">
        <v>15</v>
      </c>
      <c r="D655" s="134" t="str">
        <f t="shared" si="2"/>
        <v>CIM Motor 775pro 15</v>
      </c>
      <c r="E655" s="134">
        <v>1</v>
      </c>
      <c r="F655" s="134">
        <v>1</v>
      </c>
    </row>
    <row r="656" spans="1:6" ht="14.25" customHeight="1" x14ac:dyDescent="0.25">
      <c r="A656" s="134" t="s">
        <v>249</v>
      </c>
      <c r="B656" s="134" t="s">
        <v>259</v>
      </c>
      <c r="C656" s="134">
        <v>16</v>
      </c>
      <c r="D656" s="134" t="str">
        <f t="shared" si="2"/>
        <v>CIM Motor 775pro 16</v>
      </c>
      <c r="E656" s="134">
        <v>1</v>
      </c>
      <c r="F656" s="134">
        <v>1</v>
      </c>
    </row>
    <row r="657" spans="1:6" ht="14.25" customHeight="1" x14ac:dyDescent="0.25">
      <c r="A657" s="134" t="s">
        <v>249</v>
      </c>
      <c r="B657" s="134" t="s">
        <v>259</v>
      </c>
      <c r="C657" s="134">
        <v>20</v>
      </c>
      <c r="D657" s="134" t="str">
        <f t="shared" si="2"/>
        <v>CIM Motor 775pro 20</v>
      </c>
      <c r="E657" s="134">
        <v>1</v>
      </c>
      <c r="F657" s="134">
        <v>1</v>
      </c>
    </row>
    <row r="658" spans="1:6" ht="14.25" customHeight="1" x14ac:dyDescent="0.25">
      <c r="A658" s="134" t="s">
        <v>249</v>
      </c>
      <c r="B658" s="134" t="s">
        <v>259</v>
      </c>
      <c r="C658" s="134">
        <v>21</v>
      </c>
      <c r="D658" s="134" t="str">
        <f t="shared" si="2"/>
        <v>CIM Motor 775pro 21</v>
      </c>
      <c r="E658" s="134">
        <v>1</v>
      </c>
      <c r="F658" s="134">
        <v>1</v>
      </c>
    </row>
    <row r="659" spans="1:6" ht="14.25" customHeight="1" x14ac:dyDescent="0.25">
      <c r="A659" s="134" t="s">
        <v>249</v>
      </c>
      <c r="B659" s="134" t="s">
        <v>259</v>
      </c>
      <c r="C659" s="134">
        <v>25</v>
      </c>
      <c r="D659" s="134" t="str">
        <f t="shared" si="2"/>
        <v>CIM Motor 775pro 25</v>
      </c>
      <c r="E659" s="134">
        <v>1</v>
      </c>
      <c r="F659" s="134">
        <v>1</v>
      </c>
    </row>
    <row r="660" spans="1:6" ht="14.25" customHeight="1" x14ac:dyDescent="0.25">
      <c r="A660" s="134" t="s">
        <v>249</v>
      </c>
      <c r="B660" s="134" t="s">
        <v>259</v>
      </c>
      <c r="C660" s="134">
        <v>27</v>
      </c>
      <c r="D660" s="134" t="str">
        <f t="shared" si="2"/>
        <v>CIM Motor 775pro 27</v>
      </c>
      <c r="E660" s="134">
        <v>1</v>
      </c>
      <c r="F660" s="134">
        <v>1</v>
      </c>
    </row>
    <row r="661" spans="1:6" ht="14.25" customHeight="1" x14ac:dyDescent="0.25">
      <c r="A661" s="134" t="s">
        <v>249</v>
      </c>
      <c r="B661" s="134" t="s">
        <v>259</v>
      </c>
      <c r="C661" s="134">
        <v>28</v>
      </c>
      <c r="D661" s="134" t="str">
        <f t="shared" si="2"/>
        <v>CIM Motor 775pro 28</v>
      </c>
      <c r="E661" s="134">
        <v>1</v>
      </c>
      <c r="F661" s="134">
        <v>1</v>
      </c>
    </row>
    <row r="662" spans="1:6" ht="14.25" customHeight="1" x14ac:dyDescent="0.25">
      <c r="A662" s="134" t="s">
        <v>249</v>
      </c>
      <c r="B662" s="134" t="s">
        <v>259</v>
      </c>
      <c r="C662" s="134">
        <v>30</v>
      </c>
      <c r="D662" s="134" t="str">
        <f t="shared" si="2"/>
        <v>CIM Motor 775pro 30</v>
      </c>
      <c r="E662" s="134">
        <v>1</v>
      </c>
      <c r="F662" s="134">
        <v>1</v>
      </c>
    </row>
    <row r="663" spans="1:6" ht="14.25" customHeight="1" x14ac:dyDescent="0.25">
      <c r="A663" s="134" t="s">
        <v>249</v>
      </c>
      <c r="B663" s="134" t="s">
        <v>259</v>
      </c>
      <c r="C663" s="134">
        <v>35</v>
      </c>
      <c r="D663" s="134" t="str">
        <f t="shared" si="2"/>
        <v>CIM Motor 775pro 35</v>
      </c>
      <c r="E663" s="134">
        <v>1</v>
      </c>
      <c r="F663" s="134">
        <v>1</v>
      </c>
    </row>
    <row r="664" spans="1:6" ht="14.25" customHeight="1" x14ac:dyDescent="0.25">
      <c r="A664" s="134" t="s">
        <v>249</v>
      </c>
      <c r="B664" s="134" t="s">
        <v>259</v>
      </c>
      <c r="C664" s="134">
        <v>36</v>
      </c>
      <c r="D664" s="134" t="str">
        <f t="shared" si="2"/>
        <v>CIM Motor 775pro 36</v>
      </c>
      <c r="E664" s="134">
        <v>1</v>
      </c>
      <c r="F664" s="134">
        <v>1</v>
      </c>
    </row>
    <row r="665" spans="1:6" ht="14.25" customHeight="1" x14ac:dyDescent="0.25">
      <c r="A665" s="134" t="s">
        <v>249</v>
      </c>
      <c r="B665" s="134" t="s">
        <v>259</v>
      </c>
      <c r="C665" s="134">
        <v>40</v>
      </c>
      <c r="D665" s="134" t="str">
        <f t="shared" si="2"/>
        <v>CIM Motor 775pro 40</v>
      </c>
      <c r="E665" s="134">
        <v>1</v>
      </c>
      <c r="F665" s="134">
        <v>1</v>
      </c>
    </row>
    <row r="666" spans="1:6" ht="14.25" customHeight="1" x14ac:dyDescent="0.25">
      <c r="A666" s="134" t="s">
        <v>249</v>
      </c>
      <c r="B666" s="134" t="s">
        <v>259</v>
      </c>
      <c r="C666" s="134">
        <v>45</v>
      </c>
      <c r="D666" s="134" t="str">
        <f t="shared" si="2"/>
        <v>CIM Motor 775pro 45</v>
      </c>
      <c r="E666" s="134">
        <v>0</v>
      </c>
      <c r="F666" s="134">
        <v>0</v>
      </c>
    </row>
    <row r="667" spans="1:6" ht="14.25" customHeight="1" x14ac:dyDescent="0.25">
      <c r="A667" s="134" t="s">
        <v>249</v>
      </c>
      <c r="B667" s="134" t="s">
        <v>259</v>
      </c>
      <c r="C667" s="134">
        <v>49</v>
      </c>
      <c r="D667" s="134" t="str">
        <f t="shared" si="2"/>
        <v>CIM Motor 775pro 49</v>
      </c>
      <c r="E667" s="134">
        <v>0</v>
      </c>
      <c r="F667" s="134">
        <v>0</v>
      </c>
    </row>
    <row r="668" spans="1:6" ht="14.25" customHeight="1" x14ac:dyDescent="0.25">
      <c r="A668" s="134" t="s">
        <v>249</v>
      </c>
      <c r="B668" s="134" t="s">
        <v>259</v>
      </c>
      <c r="C668" s="134">
        <v>50</v>
      </c>
      <c r="D668" s="134" t="str">
        <f t="shared" si="2"/>
        <v>CIM Motor 775pro 50</v>
      </c>
      <c r="E668" s="134">
        <v>0</v>
      </c>
      <c r="F668" s="134">
        <v>0</v>
      </c>
    </row>
    <row r="669" spans="1:6" ht="14.25" customHeight="1" x14ac:dyDescent="0.25">
      <c r="A669" s="134" t="s">
        <v>249</v>
      </c>
      <c r="B669" s="134" t="s">
        <v>259</v>
      </c>
      <c r="C669" s="134">
        <v>63</v>
      </c>
      <c r="D669" s="134" t="str">
        <f t="shared" si="2"/>
        <v>CIM Motor 775pro 63</v>
      </c>
      <c r="E669" s="134">
        <v>0</v>
      </c>
      <c r="F669" s="134">
        <v>0</v>
      </c>
    </row>
    <row r="670" spans="1:6" ht="14.25" customHeight="1" x14ac:dyDescent="0.25">
      <c r="A670" s="134" t="s">
        <v>249</v>
      </c>
      <c r="B670" s="134" t="s">
        <v>259</v>
      </c>
      <c r="C670" s="134">
        <v>70</v>
      </c>
      <c r="D670" s="134" t="str">
        <f t="shared" si="2"/>
        <v>CIM Motor 775pro 70</v>
      </c>
      <c r="E670" s="134">
        <v>0</v>
      </c>
      <c r="F670" s="134">
        <v>0</v>
      </c>
    </row>
    <row r="671" spans="1:6" ht="14.25" customHeight="1" x14ac:dyDescent="0.25">
      <c r="A671" s="134" t="s">
        <v>249</v>
      </c>
      <c r="B671" s="134" t="s">
        <v>259</v>
      </c>
      <c r="C671" s="134">
        <v>81</v>
      </c>
      <c r="D671" s="134" t="str">
        <f t="shared" si="2"/>
        <v>CIM Motor 775pro 81</v>
      </c>
      <c r="E671" s="134">
        <v>0</v>
      </c>
      <c r="F671" s="134">
        <v>0</v>
      </c>
    </row>
    <row r="672" spans="1:6" ht="14.25" customHeight="1" x14ac:dyDescent="0.25">
      <c r="A672" s="134" t="s">
        <v>249</v>
      </c>
      <c r="B672" s="134" t="s">
        <v>259</v>
      </c>
      <c r="C672" s="134">
        <v>90</v>
      </c>
      <c r="D672" s="134" t="str">
        <f t="shared" si="2"/>
        <v>CIM Motor 775pro 90</v>
      </c>
      <c r="E672" s="134">
        <v>0</v>
      </c>
      <c r="F672" s="134">
        <v>0</v>
      </c>
    </row>
    <row r="673" spans="1:6" ht="14.25" customHeight="1" x14ac:dyDescent="0.25">
      <c r="A673" s="134" t="s">
        <v>249</v>
      </c>
      <c r="B673" s="134" t="s">
        <v>259</v>
      </c>
      <c r="C673" s="134">
        <v>100</v>
      </c>
      <c r="D673" s="134" t="str">
        <f t="shared" si="2"/>
        <v>CIM Motor 775pro 100</v>
      </c>
      <c r="E673" s="134">
        <v>0</v>
      </c>
      <c r="F673" s="134">
        <v>0</v>
      </c>
    </row>
    <row r="674" spans="1:6" ht="14.25" customHeight="1" x14ac:dyDescent="0.25">
      <c r="A674" s="134" t="s">
        <v>252</v>
      </c>
      <c r="B674" s="134" t="s">
        <v>11</v>
      </c>
      <c r="C674" s="134">
        <v>9</v>
      </c>
      <c r="D674" s="134" t="str">
        <f t="shared" si="2"/>
        <v>Female AM 9015 9</v>
      </c>
      <c r="E674" s="134">
        <v>10</v>
      </c>
      <c r="F674" s="134">
        <v>10</v>
      </c>
    </row>
    <row r="675" spans="1:6" ht="14.25" customHeight="1" x14ac:dyDescent="0.25">
      <c r="A675" s="134" t="s">
        <v>252</v>
      </c>
      <c r="B675" s="134" t="s">
        <v>11</v>
      </c>
      <c r="C675" s="134">
        <v>12</v>
      </c>
      <c r="D675" s="134" t="str">
        <f t="shared" si="2"/>
        <v>Female AM 9015 12</v>
      </c>
      <c r="E675" s="134">
        <v>10</v>
      </c>
      <c r="F675" s="134">
        <v>7</v>
      </c>
    </row>
    <row r="676" spans="1:6" ht="14.25" customHeight="1" x14ac:dyDescent="0.25">
      <c r="A676" s="134" t="s">
        <v>252</v>
      </c>
      <c r="B676" s="134" t="s">
        <v>11</v>
      </c>
      <c r="C676" s="134">
        <v>15</v>
      </c>
      <c r="D676" s="134" t="str">
        <f t="shared" si="2"/>
        <v>Female AM 9015 15</v>
      </c>
      <c r="E676" s="134">
        <v>10</v>
      </c>
      <c r="F676" s="134">
        <v>5</v>
      </c>
    </row>
    <row r="677" spans="1:6" ht="14.25" customHeight="1" x14ac:dyDescent="0.25">
      <c r="A677" s="134" t="s">
        <v>252</v>
      </c>
      <c r="B677" s="134" t="s">
        <v>11</v>
      </c>
      <c r="C677" s="134">
        <v>16</v>
      </c>
      <c r="D677" s="134" t="str">
        <f t="shared" si="2"/>
        <v>Female AM 9015 16</v>
      </c>
      <c r="E677" s="134">
        <v>10</v>
      </c>
      <c r="F677" s="134">
        <v>5</v>
      </c>
    </row>
    <row r="678" spans="1:6" ht="14.25" customHeight="1" x14ac:dyDescent="0.25">
      <c r="A678" s="134" t="s">
        <v>252</v>
      </c>
      <c r="B678" s="134" t="s">
        <v>11</v>
      </c>
      <c r="C678" s="134">
        <v>20</v>
      </c>
      <c r="D678" s="134" t="str">
        <f t="shared" si="2"/>
        <v>Female AM 9015 20</v>
      </c>
      <c r="E678" s="134">
        <v>10</v>
      </c>
      <c r="F678" s="134">
        <v>4</v>
      </c>
    </row>
    <row r="679" spans="1:6" ht="14.25" customHeight="1" x14ac:dyDescent="0.25">
      <c r="A679" s="134" t="s">
        <v>252</v>
      </c>
      <c r="B679" s="134" t="s">
        <v>11</v>
      </c>
      <c r="C679" s="134">
        <v>21</v>
      </c>
      <c r="D679" s="134" t="str">
        <f t="shared" si="2"/>
        <v>Female AM 9015 21</v>
      </c>
      <c r="E679" s="134">
        <v>10</v>
      </c>
      <c r="F679" s="134">
        <v>4</v>
      </c>
    </row>
    <row r="680" spans="1:6" ht="14.25" customHeight="1" x14ac:dyDescent="0.25">
      <c r="A680" s="134" t="s">
        <v>252</v>
      </c>
      <c r="B680" s="134" t="s">
        <v>11</v>
      </c>
      <c r="C680" s="134">
        <v>25</v>
      </c>
      <c r="D680" s="134" t="str">
        <f t="shared" si="2"/>
        <v>Female AM 9015 25</v>
      </c>
      <c r="E680" s="134">
        <v>7</v>
      </c>
      <c r="F680" s="134">
        <v>3</v>
      </c>
    </row>
    <row r="681" spans="1:6" ht="14.25" customHeight="1" x14ac:dyDescent="0.25">
      <c r="A681" s="134" t="s">
        <v>252</v>
      </c>
      <c r="B681" s="134" t="s">
        <v>11</v>
      </c>
      <c r="C681" s="134">
        <v>27</v>
      </c>
      <c r="D681" s="134" t="str">
        <f t="shared" si="2"/>
        <v>Female AM 9015 27</v>
      </c>
      <c r="E681" s="134">
        <v>7</v>
      </c>
      <c r="F681" s="134">
        <v>3</v>
      </c>
    </row>
    <row r="682" spans="1:6" ht="14.25" customHeight="1" x14ac:dyDescent="0.25">
      <c r="A682" s="134" t="s">
        <v>252</v>
      </c>
      <c r="B682" s="134" t="s">
        <v>11</v>
      </c>
      <c r="C682" s="134">
        <v>28</v>
      </c>
      <c r="D682" s="134" t="str">
        <f t="shared" si="2"/>
        <v>Female AM 9015 28</v>
      </c>
      <c r="E682" s="134">
        <v>7</v>
      </c>
      <c r="F682" s="134">
        <v>3</v>
      </c>
    </row>
    <row r="683" spans="1:6" ht="14.25" customHeight="1" x14ac:dyDescent="0.25">
      <c r="A683" s="134" t="s">
        <v>252</v>
      </c>
      <c r="B683" s="134" t="s">
        <v>11</v>
      </c>
      <c r="C683" s="134">
        <v>30</v>
      </c>
      <c r="D683" s="134" t="str">
        <f t="shared" si="2"/>
        <v>Female AM 9015 30</v>
      </c>
      <c r="E683" s="134">
        <v>7</v>
      </c>
      <c r="F683" s="134">
        <v>3</v>
      </c>
    </row>
    <row r="684" spans="1:6" ht="14.25" customHeight="1" x14ac:dyDescent="0.25">
      <c r="A684" s="134" t="s">
        <v>252</v>
      </c>
      <c r="B684" s="134" t="s">
        <v>11</v>
      </c>
      <c r="C684" s="134">
        <v>35</v>
      </c>
      <c r="D684" s="134" t="str">
        <f t="shared" si="2"/>
        <v>Female AM 9015 35</v>
      </c>
      <c r="E684" s="134">
        <v>5</v>
      </c>
      <c r="F684" s="134">
        <v>1</v>
      </c>
    </row>
    <row r="685" spans="1:6" ht="14.25" customHeight="1" x14ac:dyDescent="0.25">
      <c r="A685" s="134" t="s">
        <v>252</v>
      </c>
      <c r="B685" s="134" t="s">
        <v>11</v>
      </c>
      <c r="C685" s="134">
        <v>36</v>
      </c>
      <c r="D685" s="134" t="str">
        <f t="shared" si="2"/>
        <v>Female AM 9015 36</v>
      </c>
      <c r="E685" s="134">
        <v>5</v>
      </c>
      <c r="F685" s="134">
        <v>1</v>
      </c>
    </row>
    <row r="686" spans="1:6" ht="14.25" customHeight="1" x14ac:dyDescent="0.25">
      <c r="A686" s="134" t="s">
        <v>252</v>
      </c>
      <c r="B686" s="134" t="s">
        <v>11</v>
      </c>
      <c r="C686" s="134">
        <v>40</v>
      </c>
      <c r="D686" s="134" t="str">
        <f t="shared" si="2"/>
        <v>Female AM 9015 40</v>
      </c>
      <c r="E686" s="134">
        <v>5</v>
      </c>
      <c r="F686" s="134">
        <v>1</v>
      </c>
    </row>
    <row r="687" spans="1:6" ht="14.25" customHeight="1" x14ac:dyDescent="0.25">
      <c r="A687" s="134" t="s">
        <v>252</v>
      </c>
      <c r="B687" s="134" t="s">
        <v>11</v>
      </c>
      <c r="C687" s="134">
        <v>45</v>
      </c>
      <c r="D687" s="134" t="str">
        <f t="shared" si="2"/>
        <v>Female AM 9015 45</v>
      </c>
      <c r="E687" s="134">
        <v>5</v>
      </c>
      <c r="F687" s="134">
        <v>1</v>
      </c>
    </row>
    <row r="688" spans="1:6" ht="14.25" customHeight="1" x14ac:dyDescent="0.25">
      <c r="A688" s="134" t="s">
        <v>252</v>
      </c>
      <c r="B688" s="134" t="s">
        <v>11</v>
      </c>
      <c r="C688" s="134">
        <v>49</v>
      </c>
      <c r="D688" s="134" t="str">
        <f t="shared" si="2"/>
        <v>Female AM 9015 49</v>
      </c>
      <c r="E688" s="134">
        <v>5</v>
      </c>
      <c r="F688" s="134">
        <v>1</v>
      </c>
    </row>
    <row r="689" spans="1:6" ht="14.25" customHeight="1" x14ac:dyDescent="0.25">
      <c r="A689" s="134" t="s">
        <v>252</v>
      </c>
      <c r="B689" s="134" t="s">
        <v>11</v>
      </c>
      <c r="C689" s="134">
        <v>50</v>
      </c>
      <c r="D689" s="134" t="str">
        <f t="shared" si="2"/>
        <v>Female AM 9015 50</v>
      </c>
      <c r="E689" s="134">
        <v>5</v>
      </c>
      <c r="F689" s="134">
        <v>1</v>
      </c>
    </row>
    <row r="690" spans="1:6" ht="14.25" customHeight="1" x14ac:dyDescent="0.25">
      <c r="A690" s="134" t="s">
        <v>252</v>
      </c>
      <c r="B690" s="134" t="s">
        <v>11</v>
      </c>
      <c r="C690" s="134">
        <v>63</v>
      </c>
      <c r="D690" s="134" t="str">
        <f t="shared" si="2"/>
        <v>Female AM 9015 63</v>
      </c>
      <c r="E690" s="134">
        <v>5</v>
      </c>
      <c r="F690" s="134">
        <v>1</v>
      </c>
    </row>
    <row r="691" spans="1:6" ht="14.25" customHeight="1" x14ac:dyDescent="0.25">
      <c r="A691" s="134" t="s">
        <v>252</v>
      </c>
      <c r="B691" s="134" t="s">
        <v>11</v>
      </c>
      <c r="C691" s="134">
        <v>70</v>
      </c>
      <c r="D691" s="134" t="str">
        <f t="shared" si="2"/>
        <v>Female AM 9015 70</v>
      </c>
      <c r="E691" s="134">
        <v>4</v>
      </c>
      <c r="F691" s="134">
        <v>1</v>
      </c>
    </row>
    <row r="692" spans="1:6" ht="14.25" customHeight="1" x14ac:dyDescent="0.25">
      <c r="A692" s="134" t="s">
        <v>252</v>
      </c>
      <c r="B692" s="134" t="s">
        <v>11</v>
      </c>
      <c r="C692" s="134">
        <v>81</v>
      </c>
      <c r="D692" s="134" t="str">
        <f t="shared" si="2"/>
        <v>Female AM 9015 81</v>
      </c>
      <c r="E692" s="134">
        <v>4</v>
      </c>
      <c r="F692" s="134">
        <v>1</v>
      </c>
    </row>
    <row r="693" spans="1:6" ht="14.25" customHeight="1" x14ac:dyDescent="0.25">
      <c r="A693" s="134" t="s">
        <v>252</v>
      </c>
      <c r="B693" s="134" t="s">
        <v>11</v>
      </c>
      <c r="C693" s="134">
        <v>90</v>
      </c>
      <c r="D693" s="134" t="str">
        <f t="shared" si="2"/>
        <v>Female AM 9015 90</v>
      </c>
      <c r="E693" s="134">
        <v>3</v>
      </c>
      <c r="F693" s="134">
        <v>1</v>
      </c>
    </row>
    <row r="694" spans="1:6" ht="14.25" customHeight="1" x14ac:dyDescent="0.25">
      <c r="A694" s="134" t="s">
        <v>252</v>
      </c>
      <c r="B694" s="134" t="s">
        <v>11</v>
      </c>
      <c r="C694" s="134">
        <v>100</v>
      </c>
      <c r="D694" s="134" t="str">
        <f t="shared" si="2"/>
        <v>Female AM 9015 100</v>
      </c>
      <c r="E694" s="134">
        <v>3</v>
      </c>
      <c r="F694" s="134">
        <v>0</v>
      </c>
    </row>
    <row r="695" spans="1:6" ht="14.25" customHeight="1" x14ac:dyDescent="0.25">
      <c r="A695" s="134" t="s">
        <v>252</v>
      </c>
      <c r="B695" s="134" t="s">
        <v>337</v>
      </c>
      <c r="C695" s="134">
        <v>9</v>
      </c>
      <c r="D695" s="134" t="str">
        <f t="shared" si="2"/>
        <v>Female NeveRest 9</v>
      </c>
      <c r="E695" s="134">
        <v>10</v>
      </c>
      <c r="F695" s="134">
        <v>10</v>
      </c>
    </row>
    <row r="696" spans="1:6" ht="14.25" customHeight="1" x14ac:dyDescent="0.25">
      <c r="A696" s="134" t="s">
        <v>252</v>
      </c>
      <c r="B696" s="134" t="s">
        <v>337</v>
      </c>
      <c r="C696" s="134">
        <v>12</v>
      </c>
      <c r="D696" s="134" t="str">
        <f t="shared" si="2"/>
        <v>Female NeveRest 12</v>
      </c>
      <c r="E696" s="134">
        <v>10</v>
      </c>
      <c r="F696" s="134">
        <v>10</v>
      </c>
    </row>
    <row r="697" spans="1:6" ht="14.25" customHeight="1" x14ac:dyDescent="0.25">
      <c r="A697" s="134" t="s">
        <v>252</v>
      </c>
      <c r="B697" s="134" t="s">
        <v>337</v>
      </c>
      <c r="C697" s="134">
        <v>15</v>
      </c>
      <c r="D697" s="134" t="str">
        <f t="shared" si="2"/>
        <v>Female NeveRest 15</v>
      </c>
      <c r="E697" s="134">
        <v>10</v>
      </c>
      <c r="F697" s="134">
        <v>10</v>
      </c>
    </row>
    <row r="698" spans="1:6" ht="14.25" customHeight="1" x14ac:dyDescent="0.25">
      <c r="A698" s="134" t="s">
        <v>252</v>
      </c>
      <c r="B698" s="134" t="s">
        <v>337</v>
      </c>
      <c r="C698" s="134">
        <v>16</v>
      </c>
      <c r="D698" s="134" t="str">
        <f t="shared" si="2"/>
        <v>Female NeveRest 16</v>
      </c>
      <c r="E698" s="134">
        <v>10</v>
      </c>
      <c r="F698" s="134">
        <v>10</v>
      </c>
    </row>
    <row r="699" spans="1:6" ht="14.25" customHeight="1" x14ac:dyDescent="0.25">
      <c r="A699" s="134" t="s">
        <v>252</v>
      </c>
      <c r="B699" s="134" t="s">
        <v>337</v>
      </c>
      <c r="C699" s="134">
        <v>20</v>
      </c>
      <c r="D699" s="134" t="str">
        <f t="shared" si="2"/>
        <v>Female NeveRest 20</v>
      </c>
      <c r="E699" s="134">
        <v>10</v>
      </c>
      <c r="F699" s="134">
        <v>10</v>
      </c>
    </row>
    <row r="700" spans="1:6" ht="14.25" customHeight="1" x14ac:dyDescent="0.25">
      <c r="A700" s="134" t="s">
        <v>252</v>
      </c>
      <c r="B700" s="134" t="s">
        <v>337</v>
      </c>
      <c r="C700" s="134">
        <v>21</v>
      </c>
      <c r="D700" s="134" t="str">
        <f t="shared" si="2"/>
        <v>Female NeveRest 21</v>
      </c>
      <c r="E700" s="134">
        <v>9</v>
      </c>
      <c r="F700" s="134">
        <v>9</v>
      </c>
    </row>
    <row r="701" spans="1:6" ht="14.25" customHeight="1" x14ac:dyDescent="0.25">
      <c r="A701" s="134" t="s">
        <v>252</v>
      </c>
      <c r="B701" s="134" t="s">
        <v>337</v>
      </c>
      <c r="C701" s="134">
        <v>25</v>
      </c>
      <c r="D701" s="134" t="str">
        <f t="shared" si="2"/>
        <v>Female NeveRest 25</v>
      </c>
      <c r="E701" s="134">
        <v>7</v>
      </c>
      <c r="F701" s="134">
        <v>7</v>
      </c>
    </row>
    <row r="702" spans="1:6" ht="14.25" customHeight="1" x14ac:dyDescent="0.25">
      <c r="A702" s="134" t="s">
        <v>252</v>
      </c>
      <c r="B702" s="134" t="s">
        <v>337</v>
      </c>
      <c r="C702" s="134">
        <v>27</v>
      </c>
      <c r="D702" s="134" t="str">
        <f t="shared" si="2"/>
        <v>Female NeveRest 27</v>
      </c>
      <c r="E702" s="134">
        <v>7</v>
      </c>
      <c r="F702" s="134">
        <v>7</v>
      </c>
    </row>
    <row r="703" spans="1:6" ht="14.25" customHeight="1" x14ac:dyDescent="0.25">
      <c r="A703" s="134" t="s">
        <v>252</v>
      </c>
      <c r="B703" s="134" t="s">
        <v>337</v>
      </c>
      <c r="C703" s="134">
        <v>28</v>
      </c>
      <c r="D703" s="134" t="str">
        <f t="shared" si="2"/>
        <v>Female NeveRest 28</v>
      </c>
      <c r="E703" s="134">
        <v>7</v>
      </c>
      <c r="F703" s="134">
        <v>7</v>
      </c>
    </row>
    <row r="704" spans="1:6" ht="14.25" customHeight="1" x14ac:dyDescent="0.25">
      <c r="A704" s="134" t="s">
        <v>252</v>
      </c>
      <c r="B704" s="134" t="s">
        <v>337</v>
      </c>
      <c r="C704" s="134">
        <v>30</v>
      </c>
      <c r="D704" s="134" t="str">
        <f t="shared" si="2"/>
        <v>Female NeveRest 30</v>
      </c>
      <c r="E704" s="134">
        <v>5</v>
      </c>
      <c r="F704" s="134">
        <v>5</v>
      </c>
    </row>
    <row r="705" spans="1:6" ht="14.25" customHeight="1" x14ac:dyDescent="0.25">
      <c r="A705" s="134" t="s">
        <v>252</v>
      </c>
      <c r="B705" s="134" t="s">
        <v>337</v>
      </c>
      <c r="C705" s="134">
        <v>35</v>
      </c>
      <c r="D705" s="134" t="str">
        <f t="shared" si="2"/>
        <v>Female NeveRest 35</v>
      </c>
      <c r="E705" s="134">
        <v>5</v>
      </c>
      <c r="F705" s="134">
        <v>5</v>
      </c>
    </row>
    <row r="706" spans="1:6" ht="14.25" customHeight="1" x14ac:dyDescent="0.25">
      <c r="A706" s="134" t="s">
        <v>252</v>
      </c>
      <c r="B706" s="134" t="s">
        <v>337</v>
      </c>
      <c r="C706" s="134">
        <v>36</v>
      </c>
      <c r="D706" s="134" t="str">
        <f t="shared" si="2"/>
        <v>Female NeveRest 36</v>
      </c>
      <c r="E706" s="134">
        <v>5</v>
      </c>
      <c r="F706" s="134">
        <v>5</v>
      </c>
    </row>
    <row r="707" spans="1:6" ht="14.25" customHeight="1" x14ac:dyDescent="0.25">
      <c r="A707" s="134" t="s">
        <v>252</v>
      </c>
      <c r="B707" s="134" t="s">
        <v>337</v>
      </c>
      <c r="C707" s="134">
        <v>40</v>
      </c>
      <c r="D707" s="134" t="str">
        <f t="shared" si="2"/>
        <v>Female NeveRest 40</v>
      </c>
      <c r="E707" s="134">
        <v>5</v>
      </c>
      <c r="F707" s="134">
        <v>5</v>
      </c>
    </row>
    <row r="708" spans="1:6" ht="14.25" customHeight="1" x14ac:dyDescent="0.25">
      <c r="A708" s="134" t="s">
        <v>252</v>
      </c>
      <c r="B708" s="134" t="s">
        <v>337</v>
      </c>
      <c r="C708" s="134">
        <v>45</v>
      </c>
      <c r="D708" s="134" t="str">
        <f t="shared" si="2"/>
        <v>Female NeveRest 45</v>
      </c>
      <c r="E708" s="134">
        <v>5</v>
      </c>
      <c r="F708" s="134">
        <v>4</v>
      </c>
    </row>
    <row r="709" spans="1:6" ht="14.25" customHeight="1" x14ac:dyDescent="0.25">
      <c r="A709" s="134" t="s">
        <v>252</v>
      </c>
      <c r="B709" s="134" t="s">
        <v>337</v>
      </c>
      <c r="C709" s="134">
        <v>49</v>
      </c>
      <c r="D709" s="134" t="str">
        <f t="shared" si="2"/>
        <v>Female NeveRest 49</v>
      </c>
      <c r="E709" s="134">
        <v>5</v>
      </c>
      <c r="F709" s="134">
        <v>4</v>
      </c>
    </row>
    <row r="710" spans="1:6" ht="14.25" customHeight="1" x14ac:dyDescent="0.25">
      <c r="A710" s="134" t="s">
        <v>252</v>
      </c>
      <c r="B710" s="134" t="s">
        <v>337</v>
      </c>
      <c r="C710" s="134">
        <v>50</v>
      </c>
      <c r="D710" s="134" t="str">
        <f t="shared" si="2"/>
        <v>Female NeveRest 50</v>
      </c>
      <c r="E710" s="134">
        <v>5</v>
      </c>
      <c r="F710" s="134">
        <v>4</v>
      </c>
    </row>
    <row r="711" spans="1:6" ht="14.25" customHeight="1" x14ac:dyDescent="0.25">
      <c r="A711" s="134" t="s">
        <v>252</v>
      </c>
      <c r="B711" s="134" t="s">
        <v>337</v>
      </c>
      <c r="C711" s="134">
        <v>63</v>
      </c>
      <c r="D711" s="134" t="str">
        <f t="shared" si="2"/>
        <v>Female NeveRest 63</v>
      </c>
      <c r="E711" s="134">
        <v>4</v>
      </c>
      <c r="F711" s="134">
        <v>3</v>
      </c>
    </row>
    <row r="712" spans="1:6" ht="14.25" customHeight="1" x14ac:dyDescent="0.25">
      <c r="A712" s="134" t="s">
        <v>252</v>
      </c>
      <c r="B712" s="134" t="s">
        <v>337</v>
      </c>
      <c r="C712" s="134">
        <v>70</v>
      </c>
      <c r="D712" s="134" t="str">
        <f t="shared" si="2"/>
        <v>Female NeveRest 70</v>
      </c>
      <c r="E712" s="134">
        <v>4</v>
      </c>
      <c r="F712" s="134">
        <v>1</v>
      </c>
    </row>
    <row r="713" spans="1:6" ht="14.25" customHeight="1" x14ac:dyDescent="0.25">
      <c r="A713" s="134" t="s">
        <v>252</v>
      </c>
      <c r="B713" s="134" t="s">
        <v>337</v>
      </c>
      <c r="C713" s="134">
        <v>81</v>
      </c>
      <c r="D713" s="134" t="str">
        <f t="shared" si="2"/>
        <v>Female NeveRest 81</v>
      </c>
      <c r="E713" s="134">
        <v>3</v>
      </c>
      <c r="F713" s="134">
        <v>1</v>
      </c>
    </row>
    <row r="714" spans="1:6" ht="14.25" customHeight="1" x14ac:dyDescent="0.25">
      <c r="A714" s="134" t="s">
        <v>252</v>
      </c>
      <c r="B714" s="134" t="s">
        <v>337</v>
      </c>
      <c r="C714" s="134">
        <v>90</v>
      </c>
      <c r="D714" s="134" t="str">
        <f t="shared" si="2"/>
        <v>Female NeveRest 90</v>
      </c>
      <c r="E714" s="134">
        <v>3</v>
      </c>
      <c r="F714" s="134">
        <v>1</v>
      </c>
    </row>
    <row r="715" spans="1:6" ht="14.25" customHeight="1" x14ac:dyDescent="0.25">
      <c r="A715" s="134" t="s">
        <v>252</v>
      </c>
      <c r="B715" s="134" t="s">
        <v>337</v>
      </c>
      <c r="C715" s="134">
        <v>100</v>
      </c>
      <c r="D715" s="134" t="str">
        <f t="shared" si="2"/>
        <v>Female NeveRest 100</v>
      </c>
      <c r="E715" s="134">
        <v>3</v>
      </c>
      <c r="F715" s="134">
        <v>1</v>
      </c>
    </row>
    <row r="716" spans="1:6" ht="14.25" customHeight="1" x14ac:dyDescent="0.25">
      <c r="A716" s="134" t="s">
        <v>252</v>
      </c>
      <c r="B716" s="134" t="s">
        <v>333</v>
      </c>
      <c r="C716" s="134">
        <v>9</v>
      </c>
      <c r="D716" s="134" t="str">
        <f t="shared" si="2"/>
        <v>Female BB RS-550 9</v>
      </c>
      <c r="E716" s="134">
        <v>10</v>
      </c>
      <c r="F716" s="134">
        <v>10</v>
      </c>
    </row>
    <row r="717" spans="1:6" ht="14.25" customHeight="1" x14ac:dyDescent="0.25">
      <c r="A717" s="134" t="s">
        <v>252</v>
      </c>
      <c r="B717" s="134" t="s">
        <v>333</v>
      </c>
      <c r="C717" s="134">
        <v>12</v>
      </c>
      <c r="D717" s="134" t="str">
        <f t="shared" si="2"/>
        <v>Female BB RS-550 12</v>
      </c>
      <c r="E717" s="134">
        <v>10</v>
      </c>
      <c r="F717" s="134">
        <v>7</v>
      </c>
    </row>
    <row r="718" spans="1:6" ht="14.25" customHeight="1" x14ac:dyDescent="0.25">
      <c r="A718" s="134" t="s">
        <v>252</v>
      </c>
      <c r="B718" s="134" t="s">
        <v>333</v>
      </c>
      <c r="C718" s="134">
        <v>15</v>
      </c>
      <c r="D718" s="134" t="str">
        <f t="shared" si="2"/>
        <v>Female BB RS-550 15</v>
      </c>
      <c r="E718" s="134">
        <v>10</v>
      </c>
      <c r="F718" s="134">
        <v>5</v>
      </c>
    </row>
    <row r="719" spans="1:6" ht="14.25" customHeight="1" x14ac:dyDescent="0.25">
      <c r="A719" s="134" t="s">
        <v>252</v>
      </c>
      <c r="B719" s="134" t="s">
        <v>333</v>
      </c>
      <c r="C719" s="134">
        <v>16</v>
      </c>
      <c r="D719" s="134" t="str">
        <f t="shared" si="2"/>
        <v>Female BB RS-550 16</v>
      </c>
      <c r="E719" s="134">
        <v>10</v>
      </c>
      <c r="F719" s="134">
        <v>5</v>
      </c>
    </row>
    <row r="720" spans="1:6" ht="14.25" customHeight="1" x14ac:dyDescent="0.25">
      <c r="A720" s="134" t="s">
        <v>252</v>
      </c>
      <c r="B720" s="134" t="s">
        <v>333</v>
      </c>
      <c r="C720" s="134">
        <v>20</v>
      </c>
      <c r="D720" s="134" t="str">
        <f t="shared" si="2"/>
        <v>Female BB RS-550 20</v>
      </c>
      <c r="E720" s="134">
        <v>10</v>
      </c>
      <c r="F720" s="134">
        <v>4</v>
      </c>
    </row>
    <row r="721" spans="1:6" ht="14.25" customHeight="1" x14ac:dyDescent="0.25">
      <c r="A721" s="134" t="s">
        <v>252</v>
      </c>
      <c r="B721" s="134" t="s">
        <v>333</v>
      </c>
      <c r="C721" s="134">
        <v>21</v>
      </c>
      <c r="D721" s="134" t="str">
        <f t="shared" si="2"/>
        <v>Female BB RS-550 21</v>
      </c>
      <c r="E721" s="134">
        <v>9</v>
      </c>
      <c r="F721" s="134">
        <v>4</v>
      </c>
    </row>
    <row r="722" spans="1:6" ht="14.25" customHeight="1" x14ac:dyDescent="0.25">
      <c r="A722" s="134" t="s">
        <v>252</v>
      </c>
      <c r="B722" s="134" t="s">
        <v>333</v>
      </c>
      <c r="C722" s="134">
        <v>25</v>
      </c>
      <c r="D722" s="134" t="str">
        <f t="shared" si="2"/>
        <v>Female BB RS-550 25</v>
      </c>
      <c r="E722" s="134">
        <v>7</v>
      </c>
      <c r="F722" s="134">
        <v>3</v>
      </c>
    </row>
    <row r="723" spans="1:6" ht="14.25" customHeight="1" x14ac:dyDescent="0.25">
      <c r="A723" s="134" t="s">
        <v>252</v>
      </c>
      <c r="B723" s="134" t="s">
        <v>333</v>
      </c>
      <c r="C723" s="134">
        <v>27</v>
      </c>
      <c r="D723" s="134" t="str">
        <f t="shared" si="2"/>
        <v>Female BB RS-550 27</v>
      </c>
      <c r="E723" s="134">
        <v>7</v>
      </c>
      <c r="F723" s="134">
        <v>3</v>
      </c>
    </row>
    <row r="724" spans="1:6" ht="14.25" customHeight="1" x14ac:dyDescent="0.25">
      <c r="A724" s="134" t="s">
        <v>252</v>
      </c>
      <c r="B724" s="134" t="s">
        <v>333</v>
      </c>
      <c r="C724" s="134">
        <v>28</v>
      </c>
      <c r="D724" s="134" t="str">
        <f t="shared" si="2"/>
        <v>Female BB RS-550 28</v>
      </c>
      <c r="E724" s="134">
        <v>7</v>
      </c>
      <c r="F724" s="134">
        <v>3</v>
      </c>
    </row>
    <row r="725" spans="1:6" ht="14.25" customHeight="1" x14ac:dyDescent="0.25">
      <c r="A725" s="134" t="s">
        <v>252</v>
      </c>
      <c r="B725" s="134" t="s">
        <v>333</v>
      </c>
      <c r="C725" s="134">
        <v>30</v>
      </c>
      <c r="D725" s="134" t="str">
        <f t="shared" si="2"/>
        <v>Female BB RS-550 30</v>
      </c>
      <c r="E725" s="134">
        <v>5</v>
      </c>
      <c r="F725" s="134">
        <v>3</v>
      </c>
    </row>
    <row r="726" spans="1:6" ht="14.25" customHeight="1" x14ac:dyDescent="0.25">
      <c r="A726" s="134" t="s">
        <v>252</v>
      </c>
      <c r="B726" s="134" t="s">
        <v>333</v>
      </c>
      <c r="C726" s="134">
        <v>35</v>
      </c>
      <c r="D726" s="134" t="str">
        <f t="shared" si="2"/>
        <v>Female BB RS-550 35</v>
      </c>
      <c r="E726" s="134">
        <v>5</v>
      </c>
      <c r="F726" s="134">
        <v>1</v>
      </c>
    </row>
    <row r="727" spans="1:6" ht="14.25" customHeight="1" x14ac:dyDescent="0.25">
      <c r="A727" s="134" t="s">
        <v>252</v>
      </c>
      <c r="B727" s="134" t="s">
        <v>333</v>
      </c>
      <c r="C727" s="134">
        <v>36</v>
      </c>
      <c r="D727" s="134" t="str">
        <f t="shared" si="2"/>
        <v>Female BB RS-550 36</v>
      </c>
      <c r="E727" s="134">
        <v>5</v>
      </c>
      <c r="F727" s="134">
        <v>1</v>
      </c>
    </row>
    <row r="728" spans="1:6" ht="14.25" customHeight="1" x14ac:dyDescent="0.25">
      <c r="A728" s="134" t="s">
        <v>252</v>
      </c>
      <c r="B728" s="134" t="s">
        <v>333</v>
      </c>
      <c r="C728" s="134">
        <v>40</v>
      </c>
      <c r="D728" s="134" t="str">
        <f t="shared" si="2"/>
        <v>Female BB RS-550 40</v>
      </c>
      <c r="E728" s="134">
        <v>5</v>
      </c>
      <c r="F728" s="134">
        <v>1</v>
      </c>
    </row>
    <row r="729" spans="1:6" ht="14.25" customHeight="1" x14ac:dyDescent="0.25">
      <c r="A729" s="134" t="s">
        <v>252</v>
      </c>
      <c r="B729" s="134" t="s">
        <v>333</v>
      </c>
      <c r="C729" s="134">
        <v>45</v>
      </c>
      <c r="D729" s="134" t="str">
        <f t="shared" si="2"/>
        <v>Female BB RS-550 45</v>
      </c>
      <c r="E729" s="134">
        <v>5</v>
      </c>
      <c r="F729" s="134">
        <v>1</v>
      </c>
    </row>
    <row r="730" spans="1:6" ht="14.25" customHeight="1" x14ac:dyDescent="0.25">
      <c r="A730" s="134" t="s">
        <v>252</v>
      </c>
      <c r="B730" s="134" t="s">
        <v>333</v>
      </c>
      <c r="C730" s="134">
        <v>49</v>
      </c>
      <c r="D730" s="134" t="str">
        <f t="shared" si="2"/>
        <v>Female BB RS-550 49</v>
      </c>
      <c r="E730" s="134">
        <v>5</v>
      </c>
      <c r="F730" s="134">
        <v>1</v>
      </c>
    </row>
    <row r="731" spans="1:6" ht="14.25" customHeight="1" x14ac:dyDescent="0.25">
      <c r="A731" s="134" t="s">
        <v>252</v>
      </c>
      <c r="B731" s="134" t="s">
        <v>333</v>
      </c>
      <c r="C731" s="134">
        <v>50</v>
      </c>
      <c r="D731" s="134" t="str">
        <f t="shared" si="2"/>
        <v>Female BB RS-550 50</v>
      </c>
      <c r="E731" s="134">
        <v>5</v>
      </c>
      <c r="F731" s="134">
        <v>1</v>
      </c>
    </row>
    <row r="732" spans="1:6" ht="14.25" customHeight="1" x14ac:dyDescent="0.25">
      <c r="A732" s="134" t="s">
        <v>252</v>
      </c>
      <c r="B732" s="134" t="s">
        <v>333</v>
      </c>
      <c r="C732" s="134">
        <v>63</v>
      </c>
      <c r="D732" s="134" t="str">
        <f t="shared" si="2"/>
        <v>Female BB RS-550 63</v>
      </c>
      <c r="E732" s="134">
        <v>4</v>
      </c>
      <c r="F732" s="134">
        <v>1</v>
      </c>
    </row>
    <row r="733" spans="1:6" ht="14.25" customHeight="1" x14ac:dyDescent="0.25">
      <c r="A733" s="134" t="s">
        <v>252</v>
      </c>
      <c r="B733" s="134" t="s">
        <v>333</v>
      </c>
      <c r="C733" s="134">
        <v>70</v>
      </c>
      <c r="D733" s="134" t="str">
        <f t="shared" si="2"/>
        <v>Female BB RS-550 70</v>
      </c>
      <c r="E733" s="134">
        <v>4</v>
      </c>
      <c r="F733" s="134">
        <v>1</v>
      </c>
    </row>
    <row r="734" spans="1:6" ht="14.25" customHeight="1" x14ac:dyDescent="0.25">
      <c r="A734" s="134" t="s">
        <v>252</v>
      </c>
      <c r="B734" s="134" t="s">
        <v>333</v>
      </c>
      <c r="C734" s="134">
        <v>81</v>
      </c>
      <c r="D734" s="134" t="str">
        <f t="shared" si="2"/>
        <v>Female BB RS-550 81</v>
      </c>
      <c r="E734" s="134">
        <v>3</v>
      </c>
      <c r="F734" s="134">
        <v>1</v>
      </c>
    </row>
    <row r="735" spans="1:6" ht="14.25" customHeight="1" x14ac:dyDescent="0.25">
      <c r="A735" s="134" t="s">
        <v>252</v>
      </c>
      <c r="B735" s="134" t="s">
        <v>333</v>
      </c>
      <c r="C735" s="134">
        <v>90</v>
      </c>
      <c r="D735" s="134" t="str">
        <f t="shared" si="2"/>
        <v>Female BB RS-550 90</v>
      </c>
      <c r="E735" s="134">
        <v>3</v>
      </c>
      <c r="F735" s="134">
        <v>1</v>
      </c>
    </row>
    <row r="736" spans="1:6" ht="14.25" customHeight="1" x14ac:dyDescent="0.25">
      <c r="A736" s="134" t="s">
        <v>252</v>
      </c>
      <c r="B736" s="134" t="s">
        <v>333</v>
      </c>
      <c r="C736" s="134">
        <v>100</v>
      </c>
      <c r="D736" s="134" t="str">
        <f t="shared" si="2"/>
        <v>Female BB RS-550 100</v>
      </c>
      <c r="E736" s="134">
        <v>3</v>
      </c>
      <c r="F736" s="134">
        <v>0</v>
      </c>
    </row>
    <row r="737" spans="1:6" ht="14.25" customHeight="1" x14ac:dyDescent="0.25">
      <c r="A737" s="134" t="s">
        <v>252</v>
      </c>
      <c r="B737" s="134" t="s">
        <v>334</v>
      </c>
      <c r="C737" s="134">
        <v>9</v>
      </c>
      <c r="D737" s="134" t="str">
        <f t="shared" si="2"/>
        <v>Female BB RS-775 9</v>
      </c>
      <c r="E737" s="134">
        <v>10</v>
      </c>
      <c r="F737" s="134">
        <v>10</v>
      </c>
    </row>
    <row r="738" spans="1:6" ht="14.25" customHeight="1" x14ac:dyDescent="0.25">
      <c r="A738" s="134" t="s">
        <v>252</v>
      </c>
      <c r="B738" s="134" t="s">
        <v>334</v>
      </c>
      <c r="C738" s="134">
        <v>12</v>
      </c>
      <c r="D738" s="134" t="str">
        <f t="shared" si="2"/>
        <v>Female BB RS-775 12</v>
      </c>
      <c r="E738" s="134">
        <v>10</v>
      </c>
      <c r="F738" s="134">
        <v>10</v>
      </c>
    </row>
    <row r="739" spans="1:6" ht="14.25" customHeight="1" x14ac:dyDescent="0.25">
      <c r="A739" s="134" t="s">
        <v>252</v>
      </c>
      <c r="B739" s="134" t="s">
        <v>334</v>
      </c>
      <c r="C739" s="134">
        <v>15</v>
      </c>
      <c r="D739" s="134" t="str">
        <f t="shared" si="2"/>
        <v>Female BB RS-775 15</v>
      </c>
      <c r="E739" s="134">
        <v>7</v>
      </c>
      <c r="F739" s="134">
        <v>7</v>
      </c>
    </row>
    <row r="740" spans="1:6" ht="14.25" customHeight="1" x14ac:dyDescent="0.25">
      <c r="A740" s="134" t="s">
        <v>252</v>
      </c>
      <c r="B740" s="134" t="s">
        <v>334</v>
      </c>
      <c r="C740" s="134">
        <v>16</v>
      </c>
      <c r="D740" s="134" t="str">
        <f t="shared" si="2"/>
        <v>Female BB RS-775 16</v>
      </c>
      <c r="E740" s="134">
        <v>7</v>
      </c>
      <c r="F740" s="134">
        <v>7</v>
      </c>
    </row>
    <row r="741" spans="1:6" ht="14.25" customHeight="1" x14ac:dyDescent="0.25">
      <c r="A741" s="134" t="s">
        <v>252</v>
      </c>
      <c r="B741" s="134" t="s">
        <v>334</v>
      </c>
      <c r="C741" s="134">
        <v>20</v>
      </c>
      <c r="D741" s="134" t="str">
        <f t="shared" si="2"/>
        <v>Female BB RS-775 20</v>
      </c>
      <c r="E741" s="134">
        <v>5</v>
      </c>
      <c r="F741" s="134">
        <v>5</v>
      </c>
    </row>
    <row r="742" spans="1:6" ht="14.25" customHeight="1" x14ac:dyDescent="0.25">
      <c r="A742" s="134" t="s">
        <v>252</v>
      </c>
      <c r="B742" s="134" t="s">
        <v>334</v>
      </c>
      <c r="C742" s="134">
        <v>21</v>
      </c>
      <c r="D742" s="134" t="str">
        <f t="shared" si="2"/>
        <v>Female BB RS-775 21</v>
      </c>
      <c r="E742" s="134">
        <v>5</v>
      </c>
      <c r="F742" s="134">
        <v>5</v>
      </c>
    </row>
    <row r="743" spans="1:6" ht="14.25" customHeight="1" x14ac:dyDescent="0.25">
      <c r="A743" s="134" t="s">
        <v>252</v>
      </c>
      <c r="B743" s="134" t="s">
        <v>334</v>
      </c>
      <c r="C743" s="134">
        <v>25</v>
      </c>
      <c r="D743" s="134" t="str">
        <f t="shared" si="2"/>
        <v>Female BB RS-775 25</v>
      </c>
      <c r="E743" s="134">
        <v>5</v>
      </c>
      <c r="F743" s="134">
        <v>5</v>
      </c>
    </row>
    <row r="744" spans="1:6" ht="14.25" customHeight="1" x14ac:dyDescent="0.25">
      <c r="A744" s="134" t="s">
        <v>252</v>
      </c>
      <c r="B744" s="134" t="s">
        <v>334</v>
      </c>
      <c r="C744" s="134">
        <v>27</v>
      </c>
      <c r="D744" s="134" t="str">
        <f t="shared" si="2"/>
        <v>Female BB RS-775 27</v>
      </c>
      <c r="E744" s="134">
        <v>5</v>
      </c>
      <c r="F744" s="134">
        <v>4</v>
      </c>
    </row>
    <row r="745" spans="1:6" ht="14.25" customHeight="1" x14ac:dyDescent="0.25">
      <c r="A745" s="134" t="s">
        <v>252</v>
      </c>
      <c r="B745" s="134" t="s">
        <v>334</v>
      </c>
      <c r="C745" s="134">
        <v>28</v>
      </c>
      <c r="D745" s="134" t="str">
        <f t="shared" si="2"/>
        <v>Female BB RS-775 28</v>
      </c>
      <c r="E745" s="134">
        <v>5</v>
      </c>
      <c r="F745" s="134">
        <v>4</v>
      </c>
    </row>
    <row r="746" spans="1:6" ht="14.25" customHeight="1" x14ac:dyDescent="0.25">
      <c r="A746" s="134" t="s">
        <v>252</v>
      </c>
      <c r="B746" s="134" t="s">
        <v>334</v>
      </c>
      <c r="C746" s="134">
        <v>30</v>
      </c>
      <c r="D746" s="134" t="str">
        <f t="shared" si="2"/>
        <v>Female BB RS-775 30</v>
      </c>
      <c r="E746" s="134">
        <v>5</v>
      </c>
      <c r="F746" s="134">
        <v>4</v>
      </c>
    </row>
    <row r="747" spans="1:6" ht="14.25" customHeight="1" x14ac:dyDescent="0.25">
      <c r="A747" s="134" t="s">
        <v>252</v>
      </c>
      <c r="B747" s="134" t="s">
        <v>334</v>
      </c>
      <c r="C747" s="134">
        <v>35</v>
      </c>
      <c r="D747" s="134" t="str">
        <f t="shared" si="2"/>
        <v>Female BB RS-775 35</v>
      </c>
      <c r="E747" s="134">
        <v>5</v>
      </c>
      <c r="F747" s="134">
        <v>3</v>
      </c>
    </row>
    <row r="748" spans="1:6" ht="14.25" customHeight="1" x14ac:dyDescent="0.25">
      <c r="A748" s="134" t="s">
        <v>252</v>
      </c>
      <c r="B748" s="134" t="s">
        <v>334</v>
      </c>
      <c r="C748" s="134">
        <v>36</v>
      </c>
      <c r="D748" s="134" t="str">
        <f t="shared" si="2"/>
        <v>Female BB RS-775 36</v>
      </c>
      <c r="E748" s="134">
        <v>5</v>
      </c>
      <c r="F748" s="134">
        <v>3</v>
      </c>
    </row>
    <row r="749" spans="1:6" ht="14.25" customHeight="1" x14ac:dyDescent="0.25">
      <c r="A749" s="134" t="s">
        <v>252</v>
      </c>
      <c r="B749" s="134" t="s">
        <v>334</v>
      </c>
      <c r="C749" s="134">
        <v>40</v>
      </c>
      <c r="D749" s="134" t="str">
        <f t="shared" si="2"/>
        <v>Female BB RS-775 40</v>
      </c>
      <c r="E749" s="134">
        <v>4</v>
      </c>
      <c r="F749" s="134">
        <v>3</v>
      </c>
    </row>
    <row r="750" spans="1:6" ht="14.25" customHeight="1" x14ac:dyDescent="0.25">
      <c r="A750" s="134" t="s">
        <v>252</v>
      </c>
      <c r="B750" s="134" t="s">
        <v>334</v>
      </c>
      <c r="C750" s="134">
        <v>45</v>
      </c>
      <c r="D750" s="134" t="str">
        <f t="shared" si="2"/>
        <v>Female BB RS-775 45</v>
      </c>
      <c r="E750" s="134">
        <v>4</v>
      </c>
      <c r="F750" s="134">
        <v>1</v>
      </c>
    </row>
    <row r="751" spans="1:6" ht="14.25" customHeight="1" x14ac:dyDescent="0.25">
      <c r="A751" s="134" t="s">
        <v>252</v>
      </c>
      <c r="B751" s="134" t="s">
        <v>334</v>
      </c>
      <c r="C751" s="134">
        <v>49</v>
      </c>
      <c r="D751" s="134" t="str">
        <f t="shared" si="2"/>
        <v>Female BB RS-775 49</v>
      </c>
      <c r="E751" s="134">
        <v>4</v>
      </c>
      <c r="F751" s="134">
        <v>1</v>
      </c>
    </row>
    <row r="752" spans="1:6" ht="14.25" customHeight="1" x14ac:dyDescent="0.25">
      <c r="A752" s="134" t="s">
        <v>252</v>
      </c>
      <c r="B752" s="134" t="s">
        <v>334</v>
      </c>
      <c r="C752" s="134">
        <v>50</v>
      </c>
      <c r="D752" s="134" t="str">
        <f t="shared" si="2"/>
        <v>Female BB RS-775 50</v>
      </c>
      <c r="E752" s="134">
        <v>3</v>
      </c>
      <c r="F752" s="134">
        <v>1</v>
      </c>
    </row>
    <row r="753" spans="1:6" ht="14.25" customHeight="1" x14ac:dyDescent="0.25">
      <c r="A753" s="134" t="s">
        <v>252</v>
      </c>
      <c r="B753" s="134" t="s">
        <v>334</v>
      </c>
      <c r="C753" s="134">
        <v>63</v>
      </c>
      <c r="D753" s="134" t="str">
        <f t="shared" si="2"/>
        <v>Female BB RS-775 63</v>
      </c>
      <c r="E753" s="134">
        <v>3</v>
      </c>
      <c r="F753" s="134">
        <v>1</v>
      </c>
    </row>
    <row r="754" spans="1:6" ht="14.25" customHeight="1" x14ac:dyDescent="0.25">
      <c r="A754" s="134" t="s">
        <v>252</v>
      </c>
      <c r="B754" s="134" t="s">
        <v>334</v>
      </c>
      <c r="C754" s="134">
        <v>70</v>
      </c>
      <c r="D754" s="134" t="str">
        <f t="shared" si="2"/>
        <v>Female BB RS-775 70</v>
      </c>
      <c r="E754" s="134">
        <v>1</v>
      </c>
      <c r="F754" s="134">
        <v>1</v>
      </c>
    </row>
    <row r="755" spans="1:6" ht="14.25" customHeight="1" x14ac:dyDescent="0.25">
      <c r="A755" s="134" t="s">
        <v>252</v>
      </c>
      <c r="B755" s="134" t="s">
        <v>334</v>
      </c>
      <c r="C755" s="134">
        <v>81</v>
      </c>
      <c r="D755" s="134" t="str">
        <f t="shared" si="2"/>
        <v>Female BB RS-775 81</v>
      </c>
      <c r="E755" s="134">
        <v>1</v>
      </c>
      <c r="F755" s="134">
        <v>1</v>
      </c>
    </row>
    <row r="756" spans="1:6" ht="14.25" customHeight="1" x14ac:dyDescent="0.25">
      <c r="A756" s="134" t="s">
        <v>252</v>
      </c>
      <c r="B756" s="134" t="s">
        <v>334</v>
      </c>
      <c r="C756" s="134">
        <v>90</v>
      </c>
      <c r="D756" s="134" t="str">
        <f t="shared" si="2"/>
        <v>Female BB RS-775 90</v>
      </c>
      <c r="E756" s="134">
        <v>1</v>
      </c>
      <c r="F756" s="134">
        <v>1</v>
      </c>
    </row>
    <row r="757" spans="1:6" ht="14.25" customHeight="1" x14ac:dyDescent="0.25">
      <c r="A757" s="134" t="s">
        <v>252</v>
      </c>
      <c r="B757" s="134" t="s">
        <v>334</v>
      </c>
      <c r="C757" s="134">
        <v>100</v>
      </c>
      <c r="D757" s="134" t="str">
        <f t="shared" si="2"/>
        <v>Female BB RS-775 100</v>
      </c>
      <c r="E757" s="134">
        <v>1</v>
      </c>
      <c r="F757" s="134">
        <v>1</v>
      </c>
    </row>
    <row r="758" spans="1:6" ht="14.25" customHeight="1" x14ac:dyDescent="0.25">
      <c r="A758" s="134" t="s">
        <v>252</v>
      </c>
      <c r="B758" s="134" t="s">
        <v>257</v>
      </c>
      <c r="C758" s="134">
        <v>9</v>
      </c>
      <c r="D758" s="134" t="str">
        <f t="shared" si="2"/>
        <v>Female BAG 9</v>
      </c>
      <c r="E758" s="134">
        <v>10</v>
      </c>
      <c r="F758" s="134">
        <v>9</v>
      </c>
    </row>
    <row r="759" spans="1:6" ht="14.25" customHeight="1" x14ac:dyDescent="0.25">
      <c r="A759" s="134" t="s">
        <v>252</v>
      </c>
      <c r="B759" s="134" t="s">
        <v>257</v>
      </c>
      <c r="C759" s="134">
        <v>12</v>
      </c>
      <c r="D759" s="134" t="str">
        <f t="shared" si="2"/>
        <v>Female BAG 12</v>
      </c>
      <c r="E759" s="134">
        <v>10</v>
      </c>
      <c r="F759" s="134">
        <v>5</v>
      </c>
    </row>
    <row r="760" spans="1:6" ht="14.25" customHeight="1" x14ac:dyDescent="0.25">
      <c r="A760" s="134" t="s">
        <v>252</v>
      </c>
      <c r="B760" s="134" t="s">
        <v>257</v>
      </c>
      <c r="C760" s="134">
        <v>15</v>
      </c>
      <c r="D760" s="134" t="str">
        <f t="shared" si="2"/>
        <v>Female BAG 15</v>
      </c>
      <c r="E760" s="134">
        <v>10</v>
      </c>
      <c r="F760" s="134">
        <v>5</v>
      </c>
    </row>
    <row r="761" spans="1:6" ht="14.25" customHeight="1" x14ac:dyDescent="0.25">
      <c r="A761" s="134" t="s">
        <v>252</v>
      </c>
      <c r="B761" s="134" t="s">
        <v>257</v>
      </c>
      <c r="C761" s="134">
        <v>16</v>
      </c>
      <c r="D761" s="134" t="str">
        <f t="shared" si="2"/>
        <v>Female BAG 16</v>
      </c>
      <c r="E761" s="134">
        <v>10</v>
      </c>
      <c r="F761" s="134">
        <v>5</v>
      </c>
    </row>
    <row r="762" spans="1:6" ht="14.25" customHeight="1" x14ac:dyDescent="0.25">
      <c r="A762" s="134" t="s">
        <v>252</v>
      </c>
      <c r="B762" s="134" t="s">
        <v>257</v>
      </c>
      <c r="C762" s="134">
        <v>20</v>
      </c>
      <c r="D762" s="134" t="str">
        <f t="shared" si="2"/>
        <v>Female BAG 20</v>
      </c>
      <c r="E762" s="134">
        <v>10</v>
      </c>
      <c r="F762" s="134">
        <v>4</v>
      </c>
    </row>
    <row r="763" spans="1:6" ht="14.25" customHeight="1" x14ac:dyDescent="0.25">
      <c r="A763" s="134" t="s">
        <v>252</v>
      </c>
      <c r="B763" s="134" t="s">
        <v>257</v>
      </c>
      <c r="C763" s="134">
        <v>21</v>
      </c>
      <c r="D763" s="134" t="str">
        <f t="shared" si="2"/>
        <v>Female BAG 21</v>
      </c>
      <c r="E763" s="134">
        <v>10</v>
      </c>
      <c r="F763" s="134">
        <v>3</v>
      </c>
    </row>
    <row r="764" spans="1:6" ht="14.25" customHeight="1" x14ac:dyDescent="0.25">
      <c r="A764" s="134" t="s">
        <v>252</v>
      </c>
      <c r="B764" s="134" t="s">
        <v>257</v>
      </c>
      <c r="C764" s="134">
        <v>25</v>
      </c>
      <c r="D764" s="134" t="str">
        <f t="shared" si="2"/>
        <v>Female BAG 25</v>
      </c>
      <c r="E764" s="134">
        <v>7</v>
      </c>
      <c r="F764" s="134">
        <v>3</v>
      </c>
    </row>
    <row r="765" spans="1:6" ht="14.25" customHeight="1" x14ac:dyDescent="0.25">
      <c r="A765" s="134" t="s">
        <v>252</v>
      </c>
      <c r="B765" s="134" t="s">
        <v>257</v>
      </c>
      <c r="C765" s="134">
        <v>27</v>
      </c>
      <c r="D765" s="134" t="str">
        <f t="shared" si="2"/>
        <v>Female BAG 27</v>
      </c>
      <c r="E765" s="134">
        <v>7</v>
      </c>
      <c r="F765" s="134">
        <v>3</v>
      </c>
    </row>
    <row r="766" spans="1:6" ht="14.25" customHeight="1" x14ac:dyDescent="0.25">
      <c r="A766" s="134" t="s">
        <v>252</v>
      </c>
      <c r="B766" s="134" t="s">
        <v>257</v>
      </c>
      <c r="C766" s="134">
        <v>28</v>
      </c>
      <c r="D766" s="134" t="str">
        <f t="shared" si="2"/>
        <v>Female BAG 28</v>
      </c>
      <c r="E766" s="134">
        <v>7</v>
      </c>
      <c r="F766" s="134">
        <v>1</v>
      </c>
    </row>
    <row r="767" spans="1:6" ht="14.25" customHeight="1" x14ac:dyDescent="0.25">
      <c r="A767" s="134" t="s">
        <v>252</v>
      </c>
      <c r="B767" s="134" t="s">
        <v>257</v>
      </c>
      <c r="C767" s="134">
        <v>30</v>
      </c>
      <c r="D767" s="134" t="str">
        <f t="shared" ref="D767:D841" si="3">A767&amp;" "&amp;B767&amp;" "&amp;C767</f>
        <v>Female BAG 30</v>
      </c>
      <c r="E767" s="134">
        <v>7</v>
      </c>
      <c r="F767" s="134">
        <v>1</v>
      </c>
    </row>
    <row r="768" spans="1:6" ht="14.25" customHeight="1" x14ac:dyDescent="0.25">
      <c r="A768" s="134" t="s">
        <v>252</v>
      </c>
      <c r="B768" s="134" t="s">
        <v>257</v>
      </c>
      <c r="C768" s="134">
        <v>35</v>
      </c>
      <c r="D768" s="134" t="str">
        <f t="shared" si="3"/>
        <v>Female BAG 35</v>
      </c>
      <c r="E768" s="134">
        <v>5</v>
      </c>
      <c r="F768" s="134">
        <v>1</v>
      </c>
    </row>
    <row r="769" spans="1:6" ht="14.25" customHeight="1" x14ac:dyDescent="0.25">
      <c r="A769" s="134" t="s">
        <v>252</v>
      </c>
      <c r="B769" s="134" t="s">
        <v>257</v>
      </c>
      <c r="C769" s="134">
        <v>36</v>
      </c>
      <c r="D769" s="134" t="str">
        <f t="shared" si="3"/>
        <v>Female BAG 36</v>
      </c>
      <c r="E769" s="134">
        <v>5</v>
      </c>
      <c r="F769" s="134">
        <v>1</v>
      </c>
    </row>
    <row r="770" spans="1:6" ht="14.25" customHeight="1" x14ac:dyDescent="0.25">
      <c r="A770" s="134" t="s">
        <v>252</v>
      </c>
      <c r="B770" s="134" t="s">
        <v>257</v>
      </c>
      <c r="C770" s="134">
        <v>40</v>
      </c>
      <c r="D770" s="134" t="str">
        <f t="shared" si="3"/>
        <v>Female BAG 40</v>
      </c>
      <c r="E770" s="134">
        <v>5</v>
      </c>
      <c r="F770" s="134">
        <v>1</v>
      </c>
    </row>
    <row r="771" spans="1:6" ht="14.25" customHeight="1" x14ac:dyDescent="0.25">
      <c r="A771" s="134" t="s">
        <v>252</v>
      </c>
      <c r="B771" s="134" t="s">
        <v>257</v>
      </c>
      <c r="C771" s="134">
        <v>45</v>
      </c>
      <c r="D771" s="134" t="str">
        <f t="shared" si="3"/>
        <v>Female BAG 45</v>
      </c>
      <c r="E771" s="134">
        <v>5</v>
      </c>
      <c r="F771" s="134">
        <v>1</v>
      </c>
    </row>
    <row r="772" spans="1:6" ht="14.25" customHeight="1" x14ac:dyDescent="0.25">
      <c r="A772" s="134" t="s">
        <v>252</v>
      </c>
      <c r="B772" s="134" t="s">
        <v>257</v>
      </c>
      <c r="C772" s="134">
        <v>49</v>
      </c>
      <c r="D772" s="134" t="str">
        <f t="shared" si="3"/>
        <v>Female BAG 49</v>
      </c>
      <c r="E772" s="134">
        <v>5</v>
      </c>
      <c r="F772" s="134">
        <v>1</v>
      </c>
    </row>
    <row r="773" spans="1:6" ht="14.25" customHeight="1" x14ac:dyDescent="0.25">
      <c r="A773" s="134" t="s">
        <v>252</v>
      </c>
      <c r="B773" s="134" t="s">
        <v>257</v>
      </c>
      <c r="C773" s="134">
        <v>50</v>
      </c>
      <c r="D773" s="134" t="str">
        <f t="shared" si="3"/>
        <v>Female BAG 50</v>
      </c>
      <c r="E773" s="134">
        <v>5</v>
      </c>
      <c r="F773" s="134">
        <v>1</v>
      </c>
    </row>
    <row r="774" spans="1:6" ht="14.25" customHeight="1" x14ac:dyDescent="0.25">
      <c r="A774" s="134" t="s">
        <v>252</v>
      </c>
      <c r="B774" s="134" t="s">
        <v>257</v>
      </c>
      <c r="C774" s="134">
        <v>63</v>
      </c>
      <c r="D774" s="134" t="str">
        <f t="shared" si="3"/>
        <v>Female BAG 63</v>
      </c>
      <c r="E774" s="134">
        <v>5</v>
      </c>
      <c r="F774" s="134">
        <v>1</v>
      </c>
    </row>
    <row r="775" spans="1:6" ht="14.25" customHeight="1" x14ac:dyDescent="0.25">
      <c r="A775" s="134" t="s">
        <v>252</v>
      </c>
      <c r="B775" s="134" t="s">
        <v>257</v>
      </c>
      <c r="C775" s="134">
        <v>70</v>
      </c>
      <c r="D775" s="134" t="str">
        <f t="shared" si="3"/>
        <v>Female BAG 70</v>
      </c>
      <c r="E775" s="134">
        <v>4</v>
      </c>
      <c r="F775" s="134">
        <v>1</v>
      </c>
    </row>
    <row r="776" spans="1:6" ht="14.25" customHeight="1" x14ac:dyDescent="0.25">
      <c r="A776" s="134" t="s">
        <v>252</v>
      </c>
      <c r="B776" s="134" t="s">
        <v>257</v>
      </c>
      <c r="C776" s="134">
        <v>81</v>
      </c>
      <c r="D776" s="134" t="str">
        <f t="shared" si="3"/>
        <v>Female BAG 81</v>
      </c>
      <c r="E776" s="134">
        <v>4</v>
      </c>
      <c r="F776" s="134">
        <v>1</v>
      </c>
    </row>
    <row r="777" spans="1:6" ht="14.25" customHeight="1" x14ac:dyDescent="0.25">
      <c r="A777" s="134" t="s">
        <v>252</v>
      </c>
      <c r="B777" s="134" t="s">
        <v>257</v>
      </c>
      <c r="C777" s="134">
        <v>90</v>
      </c>
      <c r="D777" s="134" t="str">
        <f t="shared" si="3"/>
        <v>Female BAG 90</v>
      </c>
      <c r="E777" s="134">
        <v>3</v>
      </c>
      <c r="F777" s="134">
        <v>0</v>
      </c>
    </row>
    <row r="778" spans="1:6" ht="14.25" customHeight="1" x14ac:dyDescent="0.25">
      <c r="A778" s="134" t="s">
        <v>252</v>
      </c>
      <c r="B778" s="134" t="s">
        <v>257</v>
      </c>
      <c r="C778" s="134">
        <v>100</v>
      </c>
      <c r="D778" s="134" t="str">
        <f t="shared" si="3"/>
        <v>Female BAG 100</v>
      </c>
      <c r="E778" s="134">
        <v>3</v>
      </c>
      <c r="F778" s="134">
        <v>0</v>
      </c>
    </row>
    <row r="779" spans="1:6" ht="14.25" customHeight="1" x14ac:dyDescent="0.25">
      <c r="A779" s="134" t="s">
        <v>252</v>
      </c>
      <c r="B779" s="134" t="s">
        <v>7</v>
      </c>
      <c r="C779" s="134">
        <v>9</v>
      </c>
      <c r="D779" s="134" t="str">
        <f t="shared" si="3"/>
        <v>Female Mini CIM 9</v>
      </c>
      <c r="E779" s="134">
        <v>7</v>
      </c>
      <c r="F779" s="134">
        <v>0</v>
      </c>
    </row>
    <row r="780" spans="1:6" ht="14.25" customHeight="1" x14ac:dyDescent="0.25">
      <c r="A780" s="134" t="s">
        <v>252</v>
      </c>
      <c r="B780" s="134" t="s">
        <v>7</v>
      </c>
      <c r="C780" s="134">
        <v>12</v>
      </c>
      <c r="D780" s="134" t="str">
        <f t="shared" si="3"/>
        <v>Female Mini CIM 12</v>
      </c>
      <c r="E780" s="134">
        <v>5</v>
      </c>
      <c r="F780" s="134">
        <v>0</v>
      </c>
    </row>
    <row r="781" spans="1:6" ht="14.25" customHeight="1" x14ac:dyDescent="0.25">
      <c r="A781" s="134" t="s">
        <v>252</v>
      </c>
      <c r="B781" s="134" t="s">
        <v>7</v>
      </c>
      <c r="C781" s="134">
        <v>15</v>
      </c>
      <c r="D781" s="134" t="str">
        <f t="shared" si="3"/>
        <v>Female Mini CIM 15</v>
      </c>
      <c r="E781" s="134">
        <v>5</v>
      </c>
      <c r="F781" s="134">
        <v>0</v>
      </c>
    </row>
    <row r="782" spans="1:6" ht="14.25" customHeight="1" x14ac:dyDescent="0.25">
      <c r="A782" s="134" t="s">
        <v>252</v>
      </c>
      <c r="B782" s="134" t="s">
        <v>7</v>
      </c>
      <c r="C782" s="134">
        <v>16</v>
      </c>
      <c r="D782" s="134" t="str">
        <f t="shared" si="3"/>
        <v>Female Mini CIM 16</v>
      </c>
      <c r="E782" s="134">
        <v>5</v>
      </c>
      <c r="F782" s="134">
        <v>0</v>
      </c>
    </row>
    <row r="783" spans="1:6" ht="14.25" customHeight="1" x14ac:dyDescent="0.25">
      <c r="A783" s="134" t="s">
        <v>252</v>
      </c>
      <c r="B783" s="134" t="s">
        <v>7</v>
      </c>
      <c r="C783" s="134">
        <v>20</v>
      </c>
      <c r="D783" s="134" t="str">
        <f t="shared" si="3"/>
        <v>Female Mini CIM 20</v>
      </c>
      <c r="E783" s="134">
        <v>5</v>
      </c>
      <c r="F783" s="134">
        <v>0</v>
      </c>
    </row>
    <row r="784" spans="1:6" ht="14.25" customHeight="1" x14ac:dyDescent="0.25">
      <c r="A784" s="134" t="s">
        <v>252</v>
      </c>
      <c r="B784" s="134" t="s">
        <v>7</v>
      </c>
      <c r="C784" s="134">
        <v>21</v>
      </c>
      <c r="D784" s="134" t="str">
        <f t="shared" si="3"/>
        <v>Female Mini CIM 21</v>
      </c>
      <c r="E784" s="134">
        <v>5</v>
      </c>
      <c r="F784" s="134">
        <v>0</v>
      </c>
    </row>
    <row r="785" spans="1:6" ht="14.25" customHeight="1" x14ac:dyDescent="0.25">
      <c r="A785" s="134" t="s">
        <v>252</v>
      </c>
      <c r="B785" s="134" t="s">
        <v>7</v>
      </c>
      <c r="C785" s="134">
        <v>25</v>
      </c>
      <c r="D785" s="134" t="str">
        <f t="shared" si="3"/>
        <v>Female Mini CIM 25</v>
      </c>
      <c r="E785" s="134">
        <v>4</v>
      </c>
      <c r="F785" s="134">
        <v>0</v>
      </c>
    </row>
    <row r="786" spans="1:6" ht="14.25" customHeight="1" x14ac:dyDescent="0.25">
      <c r="A786" s="134" t="s">
        <v>252</v>
      </c>
      <c r="B786" s="134" t="s">
        <v>7</v>
      </c>
      <c r="C786" s="134">
        <v>27</v>
      </c>
      <c r="D786" s="134" t="str">
        <f t="shared" si="3"/>
        <v>Female Mini CIM 27</v>
      </c>
      <c r="E786" s="134">
        <v>4</v>
      </c>
      <c r="F786" s="134">
        <v>0</v>
      </c>
    </row>
    <row r="787" spans="1:6" ht="14.25" customHeight="1" x14ac:dyDescent="0.25">
      <c r="A787" s="134" t="s">
        <v>252</v>
      </c>
      <c r="B787" s="134" t="s">
        <v>7</v>
      </c>
      <c r="C787" s="134">
        <v>28</v>
      </c>
      <c r="D787" s="134" t="str">
        <f t="shared" si="3"/>
        <v>Female Mini CIM 28</v>
      </c>
      <c r="E787" s="134">
        <v>3</v>
      </c>
      <c r="F787" s="134">
        <v>0</v>
      </c>
    </row>
    <row r="788" spans="1:6" ht="14.25" customHeight="1" x14ac:dyDescent="0.25">
      <c r="A788" s="134" t="s">
        <v>252</v>
      </c>
      <c r="B788" s="134" t="s">
        <v>7</v>
      </c>
      <c r="C788" s="134">
        <v>30</v>
      </c>
      <c r="D788" s="134" t="str">
        <f t="shared" si="3"/>
        <v>Female Mini CIM 30</v>
      </c>
      <c r="E788" s="134">
        <v>3</v>
      </c>
      <c r="F788" s="134">
        <v>0</v>
      </c>
    </row>
    <row r="789" spans="1:6" ht="14.25" customHeight="1" x14ac:dyDescent="0.25">
      <c r="A789" s="134" t="s">
        <v>252</v>
      </c>
      <c r="B789" s="134" t="s">
        <v>7</v>
      </c>
      <c r="C789" s="134">
        <v>35</v>
      </c>
      <c r="D789" s="134" t="str">
        <f t="shared" si="3"/>
        <v>Female Mini CIM 35</v>
      </c>
      <c r="E789" s="134">
        <v>3</v>
      </c>
      <c r="F789" s="134">
        <v>0</v>
      </c>
    </row>
    <row r="790" spans="1:6" ht="14.25" customHeight="1" x14ac:dyDescent="0.25">
      <c r="A790" s="134" t="s">
        <v>252</v>
      </c>
      <c r="B790" s="134" t="s">
        <v>7</v>
      </c>
      <c r="C790" s="134">
        <v>36</v>
      </c>
      <c r="D790" s="134" t="str">
        <f t="shared" si="3"/>
        <v>Female Mini CIM 36</v>
      </c>
      <c r="E790" s="134">
        <v>1</v>
      </c>
      <c r="F790" s="134">
        <v>0</v>
      </c>
    </row>
    <row r="791" spans="1:6" ht="14.25" customHeight="1" x14ac:dyDescent="0.25">
      <c r="A791" s="134" t="s">
        <v>252</v>
      </c>
      <c r="B791" s="134" t="s">
        <v>7</v>
      </c>
      <c r="C791" s="134">
        <v>40</v>
      </c>
      <c r="D791" s="134" t="str">
        <f t="shared" si="3"/>
        <v>Female Mini CIM 40</v>
      </c>
      <c r="E791" s="134">
        <v>1</v>
      </c>
      <c r="F791" s="134">
        <v>0</v>
      </c>
    </row>
    <row r="792" spans="1:6" ht="14.25" customHeight="1" x14ac:dyDescent="0.25">
      <c r="A792" s="134" t="s">
        <v>252</v>
      </c>
      <c r="B792" s="134" t="s">
        <v>7</v>
      </c>
      <c r="C792" s="134">
        <v>45</v>
      </c>
      <c r="D792" s="134" t="str">
        <f t="shared" si="3"/>
        <v>Female Mini CIM 45</v>
      </c>
      <c r="E792" s="134">
        <v>1</v>
      </c>
      <c r="F792" s="134">
        <v>0</v>
      </c>
    </row>
    <row r="793" spans="1:6" ht="14.25" customHeight="1" x14ac:dyDescent="0.25">
      <c r="A793" s="134" t="s">
        <v>252</v>
      </c>
      <c r="B793" s="134" t="s">
        <v>7</v>
      </c>
      <c r="C793" s="134">
        <v>49</v>
      </c>
      <c r="D793" s="134" t="str">
        <f t="shared" si="3"/>
        <v>Female Mini CIM 49</v>
      </c>
      <c r="E793" s="134">
        <v>1</v>
      </c>
      <c r="F793" s="134">
        <v>0</v>
      </c>
    </row>
    <row r="794" spans="1:6" ht="14.25" customHeight="1" x14ac:dyDescent="0.25">
      <c r="A794" s="134" t="s">
        <v>252</v>
      </c>
      <c r="B794" s="134" t="s">
        <v>7</v>
      </c>
      <c r="C794" s="134">
        <v>50</v>
      </c>
      <c r="D794" s="134" t="str">
        <f t="shared" si="3"/>
        <v>Female Mini CIM 50</v>
      </c>
      <c r="E794" s="134">
        <v>1</v>
      </c>
      <c r="F794" s="134">
        <v>0</v>
      </c>
    </row>
    <row r="795" spans="1:6" ht="14.25" customHeight="1" x14ac:dyDescent="0.25">
      <c r="A795" s="134" t="s">
        <v>252</v>
      </c>
      <c r="B795" s="134" t="s">
        <v>7</v>
      </c>
      <c r="C795" s="134">
        <v>63</v>
      </c>
      <c r="D795" s="134" t="str">
        <f t="shared" si="3"/>
        <v>Female Mini CIM 63</v>
      </c>
      <c r="E795" s="134">
        <v>1</v>
      </c>
      <c r="F795" s="134">
        <v>0</v>
      </c>
    </row>
    <row r="796" spans="1:6" ht="14.25" customHeight="1" x14ac:dyDescent="0.25">
      <c r="A796" s="134" t="s">
        <v>252</v>
      </c>
      <c r="B796" s="134" t="s">
        <v>7</v>
      </c>
      <c r="C796" s="134">
        <v>70</v>
      </c>
      <c r="D796" s="134" t="str">
        <f t="shared" si="3"/>
        <v>Female Mini CIM 70</v>
      </c>
      <c r="E796" s="134">
        <v>0</v>
      </c>
      <c r="F796" s="134">
        <v>0</v>
      </c>
    </row>
    <row r="797" spans="1:6" ht="14.25" customHeight="1" x14ac:dyDescent="0.25">
      <c r="A797" s="134" t="s">
        <v>252</v>
      </c>
      <c r="B797" s="134" t="s">
        <v>7</v>
      </c>
      <c r="C797" s="134">
        <v>81</v>
      </c>
      <c r="D797" s="134" t="str">
        <f t="shared" si="3"/>
        <v>Female Mini CIM 81</v>
      </c>
      <c r="E797" s="134">
        <v>0</v>
      </c>
      <c r="F797" s="134">
        <v>0</v>
      </c>
    </row>
    <row r="798" spans="1:6" ht="14.25" customHeight="1" x14ac:dyDescent="0.25">
      <c r="A798" s="134" t="s">
        <v>252</v>
      </c>
      <c r="B798" s="134" t="s">
        <v>7</v>
      </c>
      <c r="C798" s="134">
        <v>90</v>
      </c>
      <c r="D798" s="134" t="str">
        <f t="shared" si="3"/>
        <v>Female Mini CIM 90</v>
      </c>
      <c r="E798" s="134">
        <v>0</v>
      </c>
      <c r="F798" s="134">
        <v>0</v>
      </c>
    </row>
    <row r="799" spans="1:6" ht="14.25" customHeight="1" x14ac:dyDescent="0.25">
      <c r="A799" s="134" t="s">
        <v>252</v>
      </c>
      <c r="B799" s="134" t="s">
        <v>7</v>
      </c>
      <c r="C799" s="134">
        <v>100</v>
      </c>
      <c r="D799" s="134" t="str">
        <f t="shared" si="3"/>
        <v>Female Mini CIM 100</v>
      </c>
      <c r="E799" s="134">
        <v>0</v>
      </c>
      <c r="F799" s="134">
        <v>0</v>
      </c>
    </row>
    <row r="800" spans="1:6" ht="14.25" customHeight="1" x14ac:dyDescent="0.25">
      <c r="A800" s="134" t="s">
        <v>252</v>
      </c>
      <c r="B800" s="134" t="s">
        <v>6</v>
      </c>
      <c r="C800" s="134">
        <v>9</v>
      </c>
      <c r="D800" s="134" t="str">
        <f t="shared" si="3"/>
        <v>Female CIM 9</v>
      </c>
      <c r="E800" s="134">
        <v>5</v>
      </c>
      <c r="F800" s="134">
        <v>0</v>
      </c>
    </row>
    <row r="801" spans="1:6" ht="14.25" customHeight="1" x14ac:dyDescent="0.25">
      <c r="A801" s="134" t="s">
        <v>252</v>
      </c>
      <c r="B801" s="134" t="s">
        <v>6</v>
      </c>
      <c r="C801" s="134">
        <v>12</v>
      </c>
      <c r="D801" s="134" t="str">
        <f t="shared" si="3"/>
        <v>Female CIM 12</v>
      </c>
      <c r="E801" s="134">
        <v>5</v>
      </c>
      <c r="F801" s="134">
        <v>0</v>
      </c>
    </row>
    <row r="802" spans="1:6" ht="14.25" customHeight="1" x14ac:dyDescent="0.25">
      <c r="A802" s="134" t="s">
        <v>252</v>
      </c>
      <c r="B802" s="134" t="s">
        <v>6</v>
      </c>
      <c r="C802" s="134">
        <v>15</v>
      </c>
      <c r="D802" s="134" t="str">
        <f t="shared" si="3"/>
        <v>Female CIM 15</v>
      </c>
      <c r="E802" s="134">
        <v>4</v>
      </c>
      <c r="F802" s="134">
        <v>0</v>
      </c>
    </row>
    <row r="803" spans="1:6" ht="14.25" customHeight="1" x14ac:dyDescent="0.25">
      <c r="A803" s="134" t="s">
        <v>252</v>
      </c>
      <c r="B803" s="134" t="s">
        <v>6</v>
      </c>
      <c r="C803" s="134">
        <v>16</v>
      </c>
      <c r="D803" s="134" t="str">
        <f t="shared" si="3"/>
        <v>Female CIM 16</v>
      </c>
      <c r="E803" s="134">
        <v>4</v>
      </c>
      <c r="F803" s="134">
        <v>0</v>
      </c>
    </row>
    <row r="804" spans="1:6" ht="14.25" customHeight="1" x14ac:dyDescent="0.25">
      <c r="A804" s="134" t="s">
        <v>252</v>
      </c>
      <c r="B804" s="134" t="s">
        <v>6</v>
      </c>
      <c r="C804" s="134">
        <v>20</v>
      </c>
      <c r="D804" s="134" t="str">
        <f t="shared" si="3"/>
        <v>Female CIM 20</v>
      </c>
      <c r="E804" s="134">
        <v>3</v>
      </c>
      <c r="F804" s="134">
        <v>0</v>
      </c>
    </row>
    <row r="805" spans="1:6" ht="14.25" customHeight="1" x14ac:dyDescent="0.25">
      <c r="A805" s="134" t="s">
        <v>252</v>
      </c>
      <c r="B805" s="134" t="s">
        <v>6</v>
      </c>
      <c r="C805" s="134">
        <v>21</v>
      </c>
      <c r="D805" s="134" t="str">
        <f t="shared" si="3"/>
        <v>Female CIM 21</v>
      </c>
      <c r="E805" s="134">
        <v>3</v>
      </c>
      <c r="F805" s="134">
        <v>0</v>
      </c>
    </row>
    <row r="806" spans="1:6" ht="14.25" customHeight="1" x14ac:dyDescent="0.25">
      <c r="A806" s="134" t="s">
        <v>252</v>
      </c>
      <c r="B806" s="134" t="s">
        <v>6</v>
      </c>
      <c r="C806" s="134">
        <v>25</v>
      </c>
      <c r="D806" s="134" t="str">
        <f t="shared" si="3"/>
        <v>Female CIM 25</v>
      </c>
      <c r="E806" s="134">
        <v>1</v>
      </c>
      <c r="F806" s="134">
        <v>0</v>
      </c>
    </row>
    <row r="807" spans="1:6" ht="14.25" customHeight="1" x14ac:dyDescent="0.25">
      <c r="A807" s="134" t="s">
        <v>252</v>
      </c>
      <c r="B807" s="134" t="s">
        <v>6</v>
      </c>
      <c r="C807" s="134">
        <v>27</v>
      </c>
      <c r="D807" s="134" t="str">
        <f t="shared" si="3"/>
        <v>Female CIM 27</v>
      </c>
      <c r="E807" s="134">
        <v>1</v>
      </c>
      <c r="F807" s="134">
        <v>0</v>
      </c>
    </row>
    <row r="808" spans="1:6" ht="14.25" customHeight="1" x14ac:dyDescent="0.25">
      <c r="A808" s="134" t="s">
        <v>252</v>
      </c>
      <c r="B808" s="134" t="s">
        <v>6</v>
      </c>
      <c r="C808" s="134">
        <v>28</v>
      </c>
      <c r="D808" s="134" t="str">
        <f t="shared" si="3"/>
        <v>Female CIM 28</v>
      </c>
      <c r="E808" s="134">
        <v>1</v>
      </c>
      <c r="F808" s="134">
        <v>0</v>
      </c>
    </row>
    <row r="809" spans="1:6" ht="14.25" customHeight="1" x14ac:dyDescent="0.25">
      <c r="A809" s="134" t="s">
        <v>252</v>
      </c>
      <c r="B809" s="134" t="s">
        <v>6</v>
      </c>
      <c r="C809" s="134">
        <v>30</v>
      </c>
      <c r="D809" s="134" t="str">
        <f t="shared" si="3"/>
        <v>Female CIM 30</v>
      </c>
      <c r="E809" s="134">
        <v>1</v>
      </c>
      <c r="F809" s="134">
        <v>0</v>
      </c>
    </row>
    <row r="810" spans="1:6" ht="14.25" customHeight="1" x14ac:dyDescent="0.25">
      <c r="A810" s="134" t="s">
        <v>252</v>
      </c>
      <c r="B810" s="134" t="s">
        <v>6</v>
      </c>
      <c r="C810" s="134">
        <v>35</v>
      </c>
      <c r="D810" s="134" t="str">
        <f t="shared" si="3"/>
        <v>Female CIM 35</v>
      </c>
      <c r="E810" s="134">
        <v>1</v>
      </c>
      <c r="F810" s="134">
        <v>0</v>
      </c>
    </row>
    <row r="811" spans="1:6" ht="14.25" customHeight="1" x14ac:dyDescent="0.25">
      <c r="A811" s="134" t="s">
        <v>252</v>
      </c>
      <c r="B811" s="134" t="s">
        <v>6</v>
      </c>
      <c r="C811" s="134">
        <v>36</v>
      </c>
      <c r="D811" s="134" t="str">
        <f t="shared" si="3"/>
        <v>Female CIM 36</v>
      </c>
      <c r="E811" s="134">
        <v>1</v>
      </c>
      <c r="F811" s="134">
        <v>0</v>
      </c>
    </row>
    <row r="812" spans="1:6" ht="14.25" customHeight="1" x14ac:dyDescent="0.25">
      <c r="A812" s="134" t="s">
        <v>252</v>
      </c>
      <c r="B812" s="134" t="s">
        <v>6</v>
      </c>
      <c r="C812" s="134">
        <v>40</v>
      </c>
      <c r="D812" s="134" t="str">
        <f t="shared" si="3"/>
        <v>Female CIM 40</v>
      </c>
      <c r="E812" s="134">
        <v>1</v>
      </c>
      <c r="F812" s="134">
        <v>0</v>
      </c>
    </row>
    <row r="813" spans="1:6" ht="14.25" customHeight="1" x14ac:dyDescent="0.25">
      <c r="A813" s="134" t="s">
        <v>252</v>
      </c>
      <c r="B813" s="134" t="s">
        <v>6</v>
      </c>
      <c r="C813" s="134">
        <v>45</v>
      </c>
      <c r="D813" s="134" t="str">
        <f t="shared" si="3"/>
        <v>Female CIM 45</v>
      </c>
      <c r="E813" s="134">
        <v>0</v>
      </c>
      <c r="F813" s="134">
        <v>0</v>
      </c>
    </row>
    <row r="814" spans="1:6" ht="14.25" customHeight="1" x14ac:dyDescent="0.25">
      <c r="A814" s="134" t="s">
        <v>252</v>
      </c>
      <c r="B814" s="134" t="s">
        <v>6</v>
      </c>
      <c r="C814" s="134">
        <v>49</v>
      </c>
      <c r="D814" s="134" t="str">
        <f t="shared" si="3"/>
        <v>Female CIM 49</v>
      </c>
      <c r="E814" s="134">
        <v>0</v>
      </c>
      <c r="F814" s="134">
        <v>0</v>
      </c>
    </row>
    <row r="815" spans="1:6" ht="14.25" customHeight="1" x14ac:dyDescent="0.25">
      <c r="A815" s="134" t="s">
        <v>252</v>
      </c>
      <c r="B815" s="134" t="s">
        <v>6</v>
      </c>
      <c r="C815" s="134">
        <v>50</v>
      </c>
      <c r="D815" s="134" t="str">
        <f t="shared" si="3"/>
        <v>Female CIM 50</v>
      </c>
      <c r="E815" s="134">
        <v>0</v>
      </c>
      <c r="F815" s="134">
        <v>0</v>
      </c>
    </row>
    <row r="816" spans="1:6" ht="14.25" customHeight="1" x14ac:dyDescent="0.25">
      <c r="A816" s="134" t="s">
        <v>252</v>
      </c>
      <c r="B816" s="134" t="s">
        <v>6</v>
      </c>
      <c r="C816" s="134">
        <v>63</v>
      </c>
      <c r="D816" s="134" t="str">
        <f t="shared" si="3"/>
        <v>Female CIM 63</v>
      </c>
      <c r="E816" s="134">
        <v>0</v>
      </c>
      <c r="F816" s="134">
        <v>0</v>
      </c>
    </row>
    <row r="817" spans="1:6" ht="14.25" customHeight="1" x14ac:dyDescent="0.25">
      <c r="A817" s="134" t="s">
        <v>252</v>
      </c>
      <c r="B817" s="134" t="s">
        <v>6</v>
      </c>
      <c r="C817" s="134">
        <v>70</v>
      </c>
      <c r="D817" s="134" t="str">
        <f t="shared" si="3"/>
        <v>Female CIM 70</v>
      </c>
      <c r="E817" s="134">
        <v>0</v>
      </c>
      <c r="F817" s="134">
        <v>0</v>
      </c>
    </row>
    <row r="818" spans="1:6" ht="14.25" customHeight="1" x14ac:dyDescent="0.25">
      <c r="A818" s="134" t="s">
        <v>252</v>
      </c>
      <c r="B818" s="134" t="s">
        <v>6</v>
      </c>
      <c r="C818" s="134">
        <v>81</v>
      </c>
      <c r="D818" s="134" t="str">
        <f t="shared" si="3"/>
        <v>Female CIM 81</v>
      </c>
      <c r="E818" s="134">
        <v>0</v>
      </c>
      <c r="F818" s="134">
        <v>0</v>
      </c>
    </row>
    <row r="819" spans="1:6" ht="14.25" customHeight="1" x14ac:dyDescent="0.25">
      <c r="A819" s="134" t="s">
        <v>252</v>
      </c>
      <c r="B819" s="134" t="s">
        <v>6</v>
      </c>
      <c r="C819" s="134">
        <v>90</v>
      </c>
      <c r="D819" s="134" t="str">
        <f t="shared" si="3"/>
        <v>Female CIM 90</v>
      </c>
      <c r="E819" s="134">
        <v>0</v>
      </c>
      <c r="F819" s="134">
        <v>0</v>
      </c>
    </row>
    <row r="820" spans="1:6" ht="14.25" customHeight="1" x14ac:dyDescent="0.25">
      <c r="A820" s="134" t="s">
        <v>252</v>
      </c>
      <c r="B820" s="134" t="s">
        <v>6</v>
      </c>
      <c r="C820" s="134">
        <v>100</v>
      </c>
      <c r="D820" s="134" t="str">
        <f t="shared" si="3"/>
        <v>Female CIM 100</v>
      </c>
      <c r="E820" s="134">
        <v>0</v>
      </c>
      <c r="F820" s="134">
        <v>0</v>
      </c>
    </row>
    <row r="821" spans="1:6" ht="14.25" customHeight="1" x14ac:dyDescent="0.25">
      <c r="A821" s="134" t="s">
        <v>252</v>
      </c>
      <c r="B821" s="134" t="s">
        <v>259</v>
      </c>
      <c r="C821" s="134">
        <v>9</v>
      </c>
      <c r="D821" s="134" t="str">
        <f t="shared" si="3"/>
        <v>Female 775pro 9</v>
      </c>
      <c r="E821" s="134">
        <v>10</v>
      </c>
      <c r="F821" s="134">
        <v>5</v>
      </c>
    </row>
    <row r="822" spans="1:6" ht="14.25" customHeight="1" x14ac:dyDescent="0.25">
      <c r="A822" s="134" t="s">
        <v>252</v>
      </c>
      <c r="B822" s="134" t="s">
        <v>259</v>
      </c>
      <c r="C822" s="134">
        <v>12</v>
      </c>
      <c r="D822" s="134" t="str">
        <f t="shared" si="3"/>
        <v>Female 775pro 12</v>
      </c>
      <c r="E822" s="134">
        <v>10</v>
      </c>
      <c r="F822" s="134">
        <v>4</v>
      </c>
    </row>
    <row r="823" spans="1:6" ht="14.25" customHeight="1" x14ac:dyDescent="0.25">
      <c r="A823" s="134" t="s">
        <v>252</v>
      </c>
      <c r="B823" s="134" t="s">
        <v>259</v>
      </c>
      <c r="C823" s="134">
        <v>15</v>
      </c>
      <c r="D823" s="134" t="str">
        <f t="shared" si="3"/>
        <v>Female 775pro 15</v>
      </c>
      <c r="E823" s="134">
        <v>10</v>
      </c>
      <c r="F823" s="134">
        <v>3</v>
      </c>
    </row>
    <row r="824" spans="1:6" ht="14.25" customHeight="1" x14ac:dyDescent="0.25">
      <c r="A824" s="134" t="s">
        <v>252</v>
      </c>
      <c r="B824" s="134" t="s">
        <v>259</v>
      </c>
      <c r="C824" s="134">
        <v>16</v>
      </c>
      <c r="D824" s="134" t="str">
        <f t="shared" si="3"/>
        <v>Female 775pro 16</v>
      </c>
      <c r="E824" s="134">
        <v>10</v>
      </c>
      <c r="F824" s="134">
        <v>3</v>
      </c>
    </row>
    <row r="825" spans="1:6" ht="14.25" customHeight="1" x14ac:dyDescent="0.25">
      <c r="A825" s="134" t="s">
        <v>252</v>
      </c>
      <c r="B825" s="134" t="s">
        <v>259</v>
      </c>
      <c r="C825" s="134">
        <v>20</v>
      </c>
      <c r="D825" s="134" t="str">
        <f t="shared" si="3"/>
        <v>Female 775pro 20</v>
      </c>
      <c r="E825" s="134">
        <v>10</v>
      </c>
      <c r="F825" s="134">
        <v>1</v>
      </c>
    </row>
    <row r="826" spans="1:6" ht="14.25" customHeight="1" x14ac:dyDescent="0.25">
      <c r="A826" s="134" t="s">
        <v>252</v>
      </c>
      <c r="B826" s="134" t="s">
        <v>259</v>
      </c>
      <c r="C826" s="134">
        <v>21</v>
      </c>
      <c r="D826" s="134" t="str">
        <f t="shared" si="3"/>
        <v>Female 775pro 21</v>
      </c>
      <c r="E826" s="134">
        <v>10</v>
      </c>
      <c r="F826" s="134">
        <v>1</v>
      </c>
    </row>
    <row r="827" spans="1:6" ht="14.25" customHeight="1" x14ac:dyDescent="0.25">
      <c r="A827" s="134" t="s">
        <v>252</v>
      </c>
      <c r="B827" s="134" t="s">
        <v>259</v>
      </c>
      <c r="C827" s="134">
        <v>25</v>
      </c>
      <c r="D827" s="134" t="str">
        <f t="shared" si="3"/>
        <v>Female 775pro 25</v>
      </c>
      <c r="E827" s="134">
        <v>7</v>
      </c>
      <c r="F827" s="134">
        <v>1</v>
      </c>
    </row>
    <row r="828" spans="1:6" ht="14.25" customHeight="1" x14ac:dyDescent="0.25">
      <c r="A828" s="134" t="s">
        <v>252</v>
      </c>
      <c r="B828" s="134" t="s">
        <v>259</v>
      </c>
      <c r="C828" s="134">
        <v>27</v>
      </c>
      <c r="D828" s="134" t="str">
        <f t="shared" si="3"/>
        <v>Female 775pro 27</v>
      </c>
      <c r="E828" s="134">
        <v>7</v>
      </c>
      <c r="F828" s="134">
        <v>1</v>
      </c>
    </row>
    <row r="829" spans="1:6" ht="14.25" customHeight="1" x14ac:dyDescent="0.25">
      <c r="A829" s="134" t="s">
        <v>252</v>
      </c>
      <c r="B829" s="134" t="s">
        <v>259</v>
      </c>
      <c r="C829" s="134">
        <v>28</v>
      </c>
      <c r="D829" s="134" t="str">
        <f t="shared" si="3"/>
        <v>Female 775pro 28</v>
      </c>
      <c r="E829" s="134">
        <v>7</v>
      </c>
      <c r="F829" s="134">
        <v>1</v>
      </c>
    </row>
    <row r="830" spans="1:6" ht="14.25" customHeight="1" x14ac:dyDescent="0.25">
      <c r="A830" s="134" t="s">
        <v>252</v>
      </c>
      <c r="B830" s="134" t="s">
        <v>259</v>
      </c>
      <c r="C830" s="134">
        <v>30</v>
      </c>
      <c r="D830" s="134" t="str">
        <f t="shared" si="3"/>
        <v>Female 775pro 30</v>
      </c>
      <c r="E830" s="134">
        <v>7</v>
      </c>
      <c r="F830" s="134">
        <v>1</v>
      </c>
    </row>
    <row r="831" spans="1:6" ht="14.25" customHeight="1" x14ac:dyDescent="0.25">
      <c r="A831" s="134" t="s">
        <v>252</v>
      </c>
      <c r="B831" s="134" t="s">
        <v>259</v>
      </c>
      <c r="C831" s="134">
        <v>35</v>
      </c>
      <c r="D831" s="134" t="str">
        <f t="shared" si="3"/>
        <v>Female 775pro 35</v>
      </c>
      <c r="E831" s="134">
        <v>5</v>
      </c>
      <c r="F831" s="134">
        <v>1</v>
      </c>
    </row>
    <row r="832" spans="1:6" ht="14.25" customHeight="1" x14ac:dyDescent="0.25">
      <c r="A832" s="134" t="s">
        <v>252</v>
      </c>
      <c r="B832" s="134" t="s">
        <v>259</v>
      </c>
      <c r="C832" s="134">
        <v>36</v>
      </c>
      <c r="D832" s="134" t="str">
        <f t="shared" si="3"/>
        <v>Female 775pro 36</v>
      </c>
      <c r="E832" s="134">
        <v>5</v>
      </c>
      <c r="F832" s="134">
        <v>1</v>
      </c>
    </row>
    <row r="833" spans="1:6" ht="14.25" customHeight="1" x14ac:dyDescent="0.25">
      <c r="A833" s="134" t="s">
        <v>252</v>
      </c>
      <c r="B833" s="134" t="s">
        <v>259</v>
      </c>
      <c r="C833" s="134">
        <v>40</v>
      </c>
      <c r="D833" s="134" t="str">
        <f t="shared" si="3"/>
        <v>Female 775pro 40</v>
      </c>
      <c r="E833" s="134">
        <v>5</v>
      </c>
      <c r="F833" s="134">
        <v>1</v>
      </c>
    </row>
    <row r="834" spans="1:6" ht="14.25" customHeight="1" x14ac:dyDescent="0.25">
      <c r="A834" s="134" t="s">
        <v>252</v>
      </c>
      <c r="B834" s="134" t="s">
        <v>259</v>
      </c>
      <c r="C834" s="134">
        <v>45</v>
      </c>
      <c r="D834" s="134" t="str">
        <f t="shared" si="3"/>
        <v>Female 775pro 45</v>
      </c>
      <c r="E834" s="134">
        <v>4</v>
      </c>
      <c r="F834" s="134">
        <v>1</v>
      </c>
    </row>
    <row r="835" spans="1:6" ht="14.25" customHeight="1" x14ac:dyDescent="0.25">
      <c r="A835" s="134" t="s">
        <v>252</v>
      </c>
      <c r="B835" s="134" t="s">
        <v>259</v>
      </c>
      <c r="C835" s="134">
        <v>49</v>
      </c>
      <c r="D835" s="134" t="str">
        <f t="shared" si="3"/>
        <v>Female 775pro 49</v>
      </c>
      <c r="E835" s="134">
        <v>4</v>
      </c>
      <c r="F835" s="134">
        <v>1</v>
      </c>
    </row>
    <row r="836" spans="1:6" ht="14.25" customHeight="1" x14ac:dyDescent="0.25">
      <c r="A836" s="134" t="s">
        <v>252</v>
      </c>
      <c r="B836" s="134" t="s">
        <v>259</v>
      </c>
      <c r="C836" s="134">
        <v>50</v>
      </c>
      <c r="D836" s="134" t="str">
        <f t="shared" si="3"/>
        <v>Female 775pro 50</v>
      </c>
      <c r="E836" s="134">
        <v>4</v>
      </c>
      <c r="F836" s="134">
        <v>0</v>
      </c>
    </row>
    <row r="837" spans="1:6" ht="14.25" customHeight="1" x14ac:dyDescent="0.25">
      <c r="A837" s="134" t="s">
        <v>252</v>
      </c>
      <c r="B837" s="134" t="s">
        <v>259</v>
      </c>
      <c r="C837" s="134">
        <v>63</v>
      </c>
      <c r="D837" s="134" t="str">
        <f t="shared" si="3"/>
        <v>Female 775pro 63</v>
      </c>
      <c r="E837" s="134">
        <v>3</v>
      </c>
      <c r="F837" s="134">
        <v>0</v>
      </c>
    </row>
    <row r="838" spans="1:6" ht="14.25" customHeight="1" x14ac:dyDescent="0.25">
      <c r="A838" s="134" t="s">
        <v>252</v>
      </c>
      <c r="B838" s="134" t="s">
        <v>259</v>
      </c>
      <c r="C838" s="134">
        <v>70</v>
      </c>
      <c r="D838" s="134" t="str">
        <f t="shared" si="3"/>
        <v>Female 775pro 70</v>
      </c>
      <c r="E838" s="134">
        <v>3</v>
      </c>
      <c r="F838" s="134">
        <v>0</v>
      </c>
    </row>
    <row r="839" spans="1:6" ht="14.25" customHeight="1" x14ac:dyDescent="0.25">
      <c r="A839" s="134" t="s">
        <v>252</v>
      </c>
      <c r="B839" s="134" t="s">
        <v>259</v>
      </c>
      <c r="C839" s="134">
        <v>81</v>
      </c>
      <c r="D839" s="134" t="str">
        <f t="shared" si="3"/>
        <v>Female 775pro 81</v>
      </c>
      <c r="E839" s="134">
        <v>1</v>
      </c>
      <c r="F839" s="134">
        <v>0</v>
      </c>
    </row>
    <row r="840" spans="1:6" ht="14.25" customHeight="1" x14ac:dyDescent="0.25">
      <c r="A840" s="134" t="s">
        <v>252</v>
      </c>
      <c r="B840" s="134" t="s">
        <v>259</v>
      </c>
      <c r="C840" s="134">
        <v>90</v>
      </c>
      <c r="D840" s="134" t="str">
        <f t="shared" si="3"/>
        <v>Female 775pro 90</v>
      </c>
      <c r="E840" s="134">
        <v>1</v>
      </c>
      <c r="F840" s="134">
        <v>0</v>
      </c>
    </row>
    <row r="841" spans="1:6" ht="14.25" customHeight="1" x14ac:dyDescent="0.25">
      <c r="A841" s="134" t="s">
        <v>252</v>
      </c>
      <c r="B841" s="134" t="s">
        <v>259</v>
      </c>
      <c r="C841" s="134">
        <v>100</v>
      </c>
      <c r="D841" s="134" t="str">
        <f t="shared" si="3"/>
        <v>Female 775pro 100</v>
      </c>
      <c r="E841" s="134">
        <v>1</v>
      </c>
      <c r="F841" s="134">
        <v>0</v>
      </c>
    </row>
    <row r="842" spans="1:6" ht="14.25" customHeight="1" x14ac:dyDescent="0.2"/>
    <row r="843" spans="1:6" ht="14.25" customHeight="1" x14ac:dyDescent="0.2"/>
    <row r="844" spans="1:6" ht="14.25" customHeight="1" x14ac:dyDescent="0.2"/>
    <row r="845" spans="1:6" ht="14.25" customHeight="1" x14ac:dyDescent="0.2"/>
    <row r="846" spans="1:6" ht="14.25" customHeight="1" x14ac:dyDescent="0.2"/>
    <row r="847" spans="1:6" ht="14.25" customHeight="1" x14ac:dyDescent="0.2"/>
    <row r="848" spans="1:6"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5"/>
  <sheetViews>
    <sheetView workbookViewId="0"/>
  </sheetViews>
  <sheetFormatPr defaultColWidth="14" defaultRowHeight="14.25" customHeight="1" x14ac:dyDescent="0.25"/>
  <cols>
    <col min="1" max="1" width="7.140625" style="147" customWidth="1"/>
    <col min="2" max="2" width="3.28515625" style="147" customWidth="1"/>
    <col min="3" max="3" width="18.140625" style="147" customWidth="1"/>
    <col min="4" max="4" width="12.42578125" style="147" customWidth="1"/>
    <col min="5" max="5" width="8.42578125" style="147" customWidth="1"/>
    <col min="6" max="6" width="26.140625" style="147" customWidth="1"/>
    <col min="7" max="7" width="8.42578125" style="147" customWidth="1"/>
    <col min="8" max="8" width="4.42578125" style="147" customWidth="1"/>
    <col min="9" max="9" width="16.28515625" style="147" customWidth="1"/>
    <col min="10" max="10" width="6.42578125" style="147" customWidth="1"/>
    <col min="11" max="11" width="3.7109375" style="147" customWidth="1"/>
    <col min="12" max="12" width="21.85546875" style="147" customWidth="1"/>
    <col min="13" max="27" width="8.42578125" style="147" customWidth="1"/>
    <col min="28" max="16384" width="14" style="147"/>
  </cols>
  <sheetData>
    <row r="1" spans="2:14" s="139" customFormat="1" ht="14.25" customHeight="1" x14ac:dyDescent="0.3"/>
    <row r="2" spans="2:14" s="139" customFormat="1" ht="31.15" customHeight="1" x14ac:dyDescent="0.3">
      <c r="C2" s="2" t="s">
        <v>327</v>
      </c>
    </row>
    <row r="3" spans="2:14" s="139" customFormat="1" ht="14.25" customHeight="1" x14ac:dyDescent="0.3"/>
    <row r="4" spans="2:14" s="139" customFormat="1" ht="14.25" customHeight="1" x14ac:dyDescent="0.25">
      <c r="B4" s="8" t="b">
        <v>0</v>
      </c>
      <c r="C4" s="139" t="s">
        <v>0</v>
      </c>
    </row>
    <row r="5" spans="2:14" ht="18" customHeight="1" x14ac:dyDescent="0.25">
      <c r="H5" s="215" t="s">
        <v>328</v>
      </c>
      <c r="I5" s="216"/>
      <c r="K5" s="215" t="s">
        <v>329</v>
      </c>
      <c r="L5" s="216"/>
    </row>
    <row r="6" spans="2:14" ht="14.25" customHeight="1" x14ac:dyDescent="0.25">
      <c r="C6" s="148" t="s">
        <v>313</v>
      </c>
      <c r="D6" s="165" t="s">
        <v>259</v>
      </c>
      <c r="F6" s="217" t="s">
        <v>314</v>
      </c>
      <c r="H6" s="149" t="s">
        <v>315</v>
      </c>
      <c r="I6" s="150" t="s">
        <v>316</v>
      </c>
      <c r="J6" s="151"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49" t="s">
        <v>315</v>
      </c>
      <c r="L6" s="150" t="s">
        <v>316</v>
      </c>
      <c r="M6" s="151"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152" t="s">
        <v>332</v>
      </c>
    </row>
    <row r="7" spans="2:14" ht="14.25" customHeight="1" x14ac:dyDescent="0.25">
      <c r="C7" s="148" t="s">
        <v>317</v>
      </c>
      <c r="D7" s="165" t="s">
        <v>281</v>
      </c>
      <c r="E7" s="151">
        <f>IF(D7="None",1,2*IF(D7="Dual Motor",1,VALUE(LEFT(RIGHT(D7, LEN(D7)-FIND("~",SUBSTITUTE(D7," ","~",2))), LEN(D7)-FIND("~",SUBSTITUTE(D7," ","~",2))-2))))</f>
        <v>2</v>
      </c>
      <c r="F7" s="218"/>
      <c r="H7" s="153">
        <f t="shared" ref="H7:H24" si="0">IF(LEN(J6)&gt;0, (LEN(J6)-LEN(J7))/9, "")</f>
        <v>1</v>
      </c>
      <c r="I7" s="154" t="str">
        <f t="shared" ref="I7:I24" si="1">LEFT(J6, 8)</f>
        <v>217-4974</v>
      </c>
      <c r="J7" s="151" t="str">
        <f t="shared" ref="J7:J24" si="2">SUBSTITUTE(J6, I7&amp;",", "")</f>
        <v>217-6342,217-2701,217-6432,217-2816,217-2819,217-2816,217-2818,217-5046,</v>
      </c>
      <c r="K7" s="153">
        <f t="shared" ref="K7:K24" si="3">IF(LEN(M6)&gt;0, (LEN(M6)-LEN(M7))/9, "")</f>
        <v>1</v>
      </c>
      <c r="L7" s="154" t="str">
        <f t="shared" ref="L7:L24" si="4">LEFT(M6, 8)</f>
        <v>217-5823</v>
      </c>
      <c r="M7" s="151" t="str">
        <f t="shared" ref="M7:M24" si="5">SUBSTITUTE(M6, L7&amp;",", "")</f>
        <v>217-6342,217-2701,217-6432,217-5832,217-2819,217-5832,217-2818,217-5046,</v>
      </c>
      <c r="N7" s="152" t="s">
        <v>332</v>
      </c>
    </row>
    <row r="8" spans="2:14" ht="14.25" customHeight="1" x14ac:dyDescent="0.25">
      <c r="C8" s="148" t="s">
        <v>330</v>
      </c>
      <c r="D8" s="165" t="s">
        <v>306</v>
      </c>
      <c r="F8" s="218"/>
      <c r="H8" s="153">
        <f t="shared" si="0"/>
        <v>1</v>
      </c>
      <c r="I8" s="154" t="str">
        <f t="shared" si="1"/>
        <v>217-6342</v>
      </c>
      <c r="J8" s="151" t="str">
        <f t="shared" si="2"/>
        <v>217-2701,217-6432,217-2816,217-2819,217-2816,217-2818,217-5046,</v>
      </c>
      <c r="K8" s="153">
        <f t="shared" si="3"/>
        <v>1</v>
      </c>
      <c r="L8" s="154" t="str">
        <f t="shared" si="4"/>
        <v>217-6342</v>
      </c>
      <c r="M8" s="151" t="str">
        <f t="shared" si="5"/>
        <v>217-2701,217-6432,217-5832,217-2819,217-5832,217-2818,217-5046,</v>
      </c>
      <c r="N8" s="152" t="s">
        <v>332</v>
      </c>
    </row>
    <row r="9" spans="2:14" ht="14.25" customHeight="1" x14ac:dyDescent="0.25">
      <c r="C9" s="148" t="s">
        <v>318</v>
      </c>
      <c r="D9" s="166" t="s">
        <v>268</v>
      </c>
      <c r="F9" s="218"/>
      <c r="H9" s="153">
        <f t="shared" si="0"/>
        <v>1</v>
      </c>
      <c r="I9" s="154" t="str">
        <f t="shared" si="1"/>
        <v>217-2701</v>
      </c>
      <c r="J9" s="151" t="str">
        <f t="shared" si="2"/>
        <v>217-6432,217-2816,217-2819,217-2816,217-2818,217-5046,</v>
      </c>
      <c r="K9" s="153">
        <f t="shared" si="3"/>
        <v>1</v>
      </c>
      <c r="L9" s="154" t="str">
        <f t="shared" si="4"/>
        <v>217-2701</v>
      </c>
      <c r="M9" s="151" t="str">
        <f t="shared" si="5"/>
        <v>217-6432,217-5832,217-2819,217-5832,217-2818,217-5046,</v>
      </c>
      <c r="N9" s="152" t="s">
        <v>332</v>
      </c>
    </row>
    <row r="10" spans="2:14" ht="14.25" customHeight="1" x14ac:dyDescent="0.25">
      <c r="C10" s="148" t="s">
        <v>319</v>
      </c>
      <c r="D10" s="166" t="s">
        <v>265</v>
      </c>
      <c r="F10" s="219"/>
      <c r="H10" s="153">
        <f t="shared" si="0"/>
        <v>1</v>
      </c>
      <c r="I10" s="154" t="str">
        <f t="shared" si="1"/>
        <v>217-6432</v>
      </c>
      <c r="J10" s="151" t="str">
        <f t="shared" si="2"/>
        <v>217-2816,217-2819,217-2816,217-2818,217-5046,</v>
      </c>
      <c r="K10" s="153">
        <f t="shared" si="3"/>
        <v>1</v>
      </c>
      <c r="L10" s="154" t="str">
        <f t="shared" si="4"/>
        <v>217-6432</v>
      </c>
      <c r="M10" s="151" t="str">
        <f t="shared" si="5"/>
        <v>217-5832,217-2819,217-5832,217-2818,217-5046,</v>
      </c>
      <c r="N10" s="152" t="s">
        <v>332</v>
      </c>
    </row>
    <row r="11" spans="2:14" ht="14.25" customHeight="1" x14ac:dyDescent="0.25">
      <c r="C11" s="148" t="s">
        <v>238</v>
      </c>
      <c r="D11" s="166" t="s">
        <v>261</v>
      </c>
      <c r="H11" s="153">
        <f t="shared" si="0"/>
        <v>2</v>
      </c>
      <c r="I11" s="154" t="str">
        <f t="shared" si="1"/>
        <v>217-2816</v>
      </c>
      <c r="J11" s="151" t="str">
        <f t="shared" si="2"/>
        <v>217-2819,217-2818,217-5046,</v>
      </c>
      <c r="K11" s="153">
        <f t="shared" si="3"/>
        <v>2</v>
      </c>
      <c r="L11" s="154" t="str">
        <f t="shared" si="4"/>
        <v>217-5832</v>
      </c>
      <c r="M11" s="151" t="str">
        <f t="shared" si="5"/>
        <v>217-2819,217-2818,217-5046,</v>
      </c>
      <c r="N11" s="152" t="s">
        <v>332</v>
      </c>
    </row>
    <row r="12" spans="2:14" ht="14.25" customHeight="1" x14ac:dyDescent="0.25">
      <c r="C12" s="148" t="s">
        <v>307</v>
      </c>
      <c r="D12" s="165" t="s">
        <v>306</v>
      </c>
      <c r="F12" s="217" t="s">
        <v>320</v>
      </c>
      <c r="G12" s="155"/>
      <c r="H12" s="153">
        <f t="shared" si="0"/>
        <v>1</v>
      </c>
      <c r="I12" s="154" t="str">
        <f t="shared" si="1"/>
        <v>217-2819</v>
      </c>
      <c r="J12" s="151" t="str">
        <f t="shared" si="2"/>
        <v>217-2818,217-5046,</v>
      </c>
      <c r="K12" s="153">
        <f t="shared" si="3"/>
        <v>1</v>
      </c>
      <c r="L12" s="154" t="str">
        <f t="shared" si="4"/>
        <v>217-2819</v>
      </c>
      <c r="M12" s="151" t="str">
        <f t="shared" si="5"/>
        <v>217-2818,217-5046,</v>
      </c>
    </row>
    <row r="13" spans="2:14" ht="14.25" customHeight="1" x14ac:dyDescent="0.25">
      <c r="C13" s="148" t="s">
        <v>309</v>
      </c>
      <c r="D13" s="165" t="s">
        <v>306</v>
      </c>
      <c r="F13" s="218"/>
      <c r="G13" s="155"/>
      <c r="H13" s="153">
        <f t="shared" si="0"/>
        <v>1</v>
      </c>
      <c r="I13" s="154" t="str">
        <f t="shared" si="1"/>
        <v>217-2818</v>
      </c>
      <c r="J13" s="151" t="str">
        <f t="shared" si="2"/>
        <v>217-5046,</v>
      </c>
      <c r="K13" s="153">
        <f t="shared" si="3"/>
        <v>1</v>
      </c>
      <c r="L13" s="154" t="str">
        <f t="shared" si="4"/>
        <v>217-2818</v>
      </c>
      <c r="M13" s="151" t="str">
        <f t="shared" si="5"/>
        <v>217-5046,</v>
      </c>
    </row>
    <row r="14" spans="2:14" ht="14.25" customHeight="1" x14ac:dyDescent="0.25">
      <c r="C14" s="148" t="s">
        <v>311</v>
      </c>
      <c r="D14" s="165" t="s">
        <v>60</v>
      </c>
      <c r="F14" s="219"/>
      <c r="G14" s="155"/>
      <c r="H14" s="153">
        <f t="shared" si="0"/>
        <v>1</v>
      </c>
      <c r="I14" s="154" t="str">
        <f t="shared" si="1"/>
        <v>217-5046</v>
      </c>
      <c r="J14" s="151" t="str">
        <f t="shared" si="2"/>
        <v/>
      </c>
      <c r="K14" s="153">
        <f t="shared" si="3"/>
        <v>1</v>
      </c>
      <c r="L14" s="154" t="str">
        <f t="shared" si="4"/>
        <v>217-5046</v>
      </c>
      <c r="M14" s="151" t="str">
        <f t="shared" si="5"/>
        <v/>
      </c>
    </row>
    <row r="15" spans="2:14" ht="14.25" customHeight="1" thickBot="1" x14ac:dyDescent="0.3">
      <c r="C15" s="148" t="s">
        <v>235</v>
      </c>
      <c r="D15" s="165" t="s">
        <v>246</v>
      </c>
      <c r="F15" s="156"/>
      <c r="G15" s="155"/>
      <c r="H15" s="153" t="str">
        <f t="shared" si="0"/>
        <v/>
      </c>
      <c r="I15" s="154" t="str">
        <f t="shared" si="1"/>
        <v/>
      </c>
      <c r="J15" s="151" t="str">
        <f t="shared" si="2"/>
        <v/>
      </c>
      <c r="K15" s="153" t="str">
        <f t="shared" si="3"/>
        <v/>
      </c>
      <c r="L15" s="154" t="str">
        <f t="shared" si="4"/>
        <v/>
      </c>
      <c r="M15" s="151" t="str">
        <f t="shared" si="5"/>
        <v/>
      </c>
    </row>
    <row r="16" spans="2:14" ht="14.25" customHeight="1" x14ac:dyDescent="0.25">
      <c r="F16" s="220" t="s">
        <v>321</v>
      </c>
      <c r="H16" s="153" t="str">
        <f t="shared" si="0"/>
        <v/>
      </c>
      <c r="I16" s="154" t="str">
        <f t="shared" si="1"/>
        <v/>
      </c>
      <c r="J16" s="151" t="str">
        <f t="shared" si="2"/>
        <v/>
      </c>
      <c r="K16" s="153" t="str">
        <f t="shared" si="3"/>
        <v/>
      </c>
      <c r="L16" s="154" t="str">
        <f t="shared" si="4"/>
        <v/>
      </c>
      <c r="M16" s="151" t="str">
        <f t="shared" si="5"/>
        <v/>
      </c>
    </row>
    <row r="17" spans="3:13" ht="14.25" customHeight="1" x14ac:dyDescent="0.25">
      <c r="C17" s="148" t="s">
        <v>336</v>
      </c>
      <c r="D17" s="157">
        <f>VALUE(IF($D$9="None", 1, LEFT($D$9, 2)))*VALUE(IF($D$10="None", 1, LEFT($D$10, 2)))*VALUE(IF($D$11="None", 1, LEFT($D$11, 2)))</f>
        <v>20</v>
      </c>
      <c r="F17" s="221"/>
      <c r="H17" s="153" t="str">
        <f t="shared" si="0"/>
        <v/>
      </c>
      <c r="I17" s="154" t="str">
        <f t="shared" si="1"/>
        <v/>
      </c>
      <c r="J17" s="151" t="str">
        <f t="shared" si="2"/>
        <v/>
      </c>
      <c r="K17" s="153" t="str">
        <f t="shared" si="3"/>
        <v/>
      </c>
      <c r="L17" s="154" t="str">
        <f t="shared" si="4"/>
        <v/>
      </c>
      <c r="M17" s="151" t="str">
        <f t="shared" si="5"/>
        <v/>
      </c>
    </row>
    <row r="18" spans="3:13" ht="14.25" customHeight="1" thickBot="1" x14ac:dyDescent="0.3">
      <c r="C18" s="148" t="s">
        <v>326</v>
      </c>
      <c r="D18" s="158">
        <f>VLOOKUP($D$6, MotorSpecs, 2, FALSE)/D17</f>
        <v>936.5</v>
      </c>
      <c r="F18" s="222"/>
      <c r="H18" s="153" t="str">
        <f t="shared" si="0"/>
        <v/>
      </c>
      <c r="I18" s="154" t="str">
        <f t="shared" si="1"/>
        <v/>
      </c>
      <c r="J18" s="151" t="str">
        <f t="shared" si="2"/>
        <v/>
      </c>
      <c r="K18" s="153" t="str">
        <f t="shared" si="3"/>
        <v/>
      </c>
      <c r="L18" s="154" t="str">
        <f t="shared" si="4"/>
        <v/>
      </c>
      <c r="M18" s="151" t="str">
        <f t="shared" si="5"/>
        <v/>
      </c>
    </row>
    <row r="19" spans="3:13" ht="14.25" customHeight="1" thickBot="1" x14ac:dyDescent="0.3">
      <c r="C19" s="148" t="str">
        <f>"Stall Torque ("&amp;IF($B$4,"Nm","ft-lbs")&amp;")"</f>
        <v>Stall Torque (ft-lbs)</v>
      </c>
      <c r="D19" s="159">
        <f>VLOOKUP($D$6,MotorSpecs,3,FALSE)*D17*IF($B$4,1,0.73756)</f>
        <v>10.473352</v>
      </c>
      <c r="F19" s="160"/>
      <c r="H19" s="153" t="str">
        <f t="shared" si="0"/>
        <v/>
      </c>
      <c r="I19" s="154" t="str">
        <f t="shared" si="1"/>
        <v/>
      </c>
      <c r="J19" s="151" t="str">
        <f t="shared" si="2"/>
        <v/>
      </c>
      <c r="K19" s="153" t="str">
        <f t="shared" si="3"/>
        <v/>
      </c>
      <c r="L19" s="154" t="str">
        <f t="shared" si="4"/>
        <v/>
      </c>
      <c r="M19" s="151" t="str">
        <f t="shared" si="5"/>
        <v/>
      </c>
    </row>
    <row r="20" spans="3:13" ht="14.25" customHeight="1" x14ac:dyDescent="0.25">
      <c r="F20" s="220" t="s">
        <v>331</v>
      </c>
      <c r="H20" s="153" t="str">
        <f t="shared" si="0"/>
        <v/>
      </c>
      <c r="I20" s="154" t="str">
        <f t="shared" si="1"/>
        <v/>
      </c>
      <c r="J20" s="151" t="str">
        <f t="shared" si="2"/>
        <v/>
      </c>
      <c r="K20" s="153" t="str">
        <f t="shared" si="3"/>
        <v/>
      </c>
      <c r="L20" s="154" t="str">
        <f t="shared" si="4"/>
        <v/>
      </c>
      <c r="M20" s="151" t="str">
        <f t="shared" si="5"/>
        <v/>
      </c>
    </row>
    <row r="21" spans="3:13" ht="14.25" customHeight="1" x14ac:dyDescent="0.25">
      <c r="C21" s="148" t="s">
        <v>322</v>
      </c>
      <c r="D21" s="161" t="b">
        <f>VLOOKUP($D$15&amp;" "&amp;$D$6&amp;" "&amp;VALUE(IF($D$9="None", 1, LEFT($D$9, 2)))*VALUE(IF($D$10="None", 1, LEFT($D$10, 2))), VP_Load, 2, FALSE)/($E$7*IF($D$8="Yes",2,1))&gt;=VALUE(IF($D$11="None", 1, LEFT($D$11, 2)))</f>
        <v>1</v>
      </c>
      <c r="F21" s="221"/>
      <c r="H21" s="153" t="str">
        <f t="shared" si="0"/>
        <v/>
      </c>
      <c r="I21" s="154" t="str">
        <f t="shared" si="1"/>
        <v/>
      </c>
      <c r="J21" s="151" t="str">
        <f t="shared" si="2"/>
        <v/>
      </c>
      <c r="K21" s="153" t="str">
        <f t="shared" si="3"/>
        <v/>
      </c>
      <c r="L21" s="154" t="str">
        <f t="shared" si="4"/>
        <v/>
      </c>
      <c r="M21" s="151" t="str">
        <f t="shared" si="5"/>
        <v/>
      </c>
    </row>
    <row r="22" spans="3:13" ht="14.25" customHeight="1" x14ac:dyDescent="0.25">
      <c r="C22" s="148" t="s">
        <v>323</v>
      </c>
      <c r="D22" s="161" t="b">
        <f>VLOOKUP($D$15&amp;" "&amp;$D$6&amp;" "&amp;VALUE(IF($D$9="None", 1, LEFT($D$9, 2)))*VALUE(IF($D$10="None", 1, LEFT($D$10, 2))), VP_Load, 3, FALSE)/($E$7*IF($D$8="Yes",2,1))&gt;=VALUE(IF($D$11="None", 1, LEFT($D$11, 2)))</f>
        <v>0</v>
      </c>
      <c r="F22" s="221"/>
      <c r="H22" s="153" t="str">
        <f t="shared" si="0"/>
        <v/>
      </c>
      <c r="I22" s="154" t="str">
        <f t="shared" si="1"/>
        <v/>
      </c>
      <c r="J22" s="151" t="str">
        <f t="shared" si="2"/>
        <v/>
      </c>
      <c r="K22" s="153" t="str">
        <f t="shared" si="3"/>
        <v/>
      </c>
      <c r="L22" s="154" t="str">
        <f t="shared" si="4"/>
        <v/>
      </c>
      <c r="M22" s="151" t="str">
        <f t="shared" si="5"/>
        <v/>
      </c>
    </row>
    <row r="23" spans="3:13" ht="14.25" customHeight="1" thickBot="1" x14ac:dyDescent="0.3">
      <c r="F23" s="222"/>
      <c r="H23" s="153" t="str">
        <f t="shared" si="0"/>
        <v/>
      </c>
      <c r="I23" s="154" t="str">
        <f t="shared" si="1"/>
        <v/>
      </c>
      <c r="J23" s="151" t="str">
        <f t="shared" si="2"/>
        <v/>
      </c>
      <c r="K23" s="153" t="str">
        <f t="shared" si="3"/>
        <v/>
      </c>
      <c r="L23" s="154" t="str">
        <f t="shared" si="4"/>
        <v/>
      </c>
      <c r="M23" s="151" t="str">
        <f t="shared" si="5"/>
        <v/>
      </c>
    </row>
    <row r="24" spans="3:13" ht="14.25" customHeight="1" x14ac:dyDescent="0.25">
      <c r="C24" s="148" t="s">
        <v>324</v>
      </c>
      <c r="D24" s="162">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153" t="str">
        <f t="shared" si="0"/>
        <v/>
      </c>
      <c r="I24" s="154" t="str">
        <f t="shared" si="1"/>
        <v/>
      </c>
      <c r="J24" s="151" t="str">
        <f t="shared" si="2"/>
        <v/>
      </c>
      <c r="K24" s="153" t="str">
        <f t="shared" si="3"/>
        <v/>
      </c>
      <c r="L24" s="154" t="str">
        <f t="shared" si="4"/>
        <v/>
      </c>
      <c r="M24" s="151" t="str">
        <f t="shared" si="5"/>
        <v/>
      </c>
    </row>
    <row r="25" spans="3:13" ht="14.25" customHeight="1" x14ac:dyDescent="0.25">
      <c r="C25" s="148" t="s">
        <v>325</v>
      </c>
      <c r="D25" s="162">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163" t="str">
        <f t="shared" ref="H25" si="6">IF(LEN(J24)&gt;0, (LEN(J24)-LEN(J25))/9, "")</f>
        <v/>
      </c>
      <c r="I25" s="164" t="str">
        <f t="shared" ref="I25" si="7">LEFT(J24, 8)</f>
        <v/>
      </c>
      <c r="J25" s="151" t="str">
        <f t="shared" ref="J25" si="8">SUBSTITUTE(J24, I25&amp;",", "")</f>
        <v/>
      </c>
      <c r="K25" s="163" t="str">
        <f t="shared" ref="K25" si="9">IF(LEN(M24)&gt;0, (LEN(M24)-LEN(M25))/9, "")</f>
        <v/>
      </c>
      <c r="L25" s="164" t="str">
        <f t="shared" ref="L25" si="10">LEFT(M24, 8)</f>
        <v/>
      </c>
      <c r="M25" s="151"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12" priority="5" operator="equal">
      <formula>TRUE</formula>
    </cfRule>
  </conditionalFormatting>
  <conditionalFormatting sqref="F20:F23">
    <cfRule type="expression" dxfId="11"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10" priority="7">
      <formula>OR($D$7="None", OR($D$6="775pro", $D$6="BB RS-775", $D$6="BB RS-550", $D$6="BAG"))</formula>
    </cfRule>
  </conditionalFormatting>
  <conditionalFormatting sqref="D6:D7">
    <cfRule type="expression" dxfId="9" priority="4">
      <formula>NOT(OR($D$7="None", OR($D$6="775pro", $D$6="BB RS-775", $D$6="BB RS-550", $D$6="BAG")))</formula>
    </cfRule>
  </conditionalFormatting>
  <conditionalFormatting sqref="D9:D10">
    <cfRule type="expression" dxfId="8" priority="3">
      <formula>VALUE(IF($D$10="None", 1, LEFT($D$10, 2)))&gt;VALUE(IF($D$9="None", 1, LEFT($D$9, 2)))</formula>
    </cfRule>
  </conditionalFormatting>
  <conditionalFormatting sqref="D10:D11">
    <cfRule type="expression" dxfId="7" priority="2">
      <formula>VALUE(IF($D$11="None", 1, LEFT($D$11, 2)))&gt;VALUE(IF($D$10="None", 1, LEFT($D$10, 2)))</formula>
    </cfRule>
  </conditionalFormatting>
  <conditionalFormatting sqref="D9 D11">
    <cfRule type="expression" dxfId="6" priority="1">
      <formula>VALUE(IF($D$11="None", 1, LEFT($D$11, 2)))&gt;VALUE(IF($D$9="None", 1, LEFT($D$9, 2)))</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I22"/>
  <sheetViews>
    <sheetView tabSelected="1" zoomScaleNormal="100" workbookViewId="0">
      <selection activeCell="H13" sqref="H13"/>
    </sheetView>
  </sheetViews>
  <sheetFormatPr defaultColWidth="9.140625" defaultRowHeight="15" x14ac:dyDescent="0.25"/>
  <cols>
    <col min="1" max="1" width="7.140625" style="1" customWidth="1"/>
    <col min="2" max="2" width="3.28515625" style="1" customWidth="1"/>
    <col min="3" max="3" width="23.140625" style="1" customWidth="1"/>
    <col min="4" max="4" width="9.140625" style="1" customWidth="1"/>
    <col min="5" max="5" width="10" style="1" bestFit="1" customWidth="1"/>
    <col min="6" max="6" width="9.140625" style="1"/>
    <col min="7" max="7" width="18.42578125" style="1" customWidth="1"/>
    <col min="8" max="16384" width="9.140625" style="1"/>
  </cols>
  <sheetData>
    <row r="2" spans="2:9" ht="31.5" x14ac:dyDescent="0.25">
      <c r="C2" s="2" t="s">
        <v>351</v>
      </c>
    </row>
    <row r="4" spans="2:9" x14ac:dyDescent="0.25">
      <c r="B4" s="3" t="b">
        <v>0</v>
      </c>
      <c r="C4" s="1" t="s">
        <v>0</v>
      </c>
    </row>
    <row r="6" spans="2:9" x14ac:dyDescent="0.25">
      <c r="C6" s="223" t="s">
        <v>259</v>
      </c>
      <c r="D6" s="224"/>
      <c r="E6" s="22" t="s">
        <v>30</v>
      </c>
    </row>
    <row r="7" spans="2:9" x14ac:dyDescent="0.25">
      <c r="C7" s="24" t="s">
        <v>1</v>
      </c>
      <c r="D7" s="25">
        <f>VLOOKUP($C$6, MotorSpecs, 2, FALSE)</f>
        <v>18730</v>
      </c>
      <c r="E7" s="26">
        <f>D7*(D11/12)</f>
        <v>17169.166666666664</v>
      </c>
    </row>
    <row r="8" spans="2:9" x14ac:dyDescent="0.25">
      <c r="C8" s="30" t="s">
        <v>2</v>
      </c>
      <c r="D8" s="31">
        <f>VLOOKUP($C$6, MotorSpecs, 3, FALSE)</f>
        <v>0.71</v>
      </c>
      <c r="E8" s="32">
        <f>D8*D10*(D11/12)*D12</f>
        <v>1.1715</v>
      </c>
    </row>
    <row r="10" spans="2:9" x14ac:dyDescent="0.25">
      <c r="C10" s="41" t="s">
        <v>31</v>
      </c>
      <c r="D10" s="225">
        <v>2</v>
      </c>
      <c r="G10" s="41" t="s">
        <v>346</v>
      </c>
      <c r="H10" s="7">
        <f>$E$16*($E$7*2*PI()/60)*LN(($E$7)/($E$7-$D$14*$D$15))/($D$14^2*$E$8)</f>
        <v>0.15504742424002199</v>
      </c>
    </row>
    <row r="11" spans="2:9" x14ac:dyDescent="0.25">
      <c r="C11" s="41" t="s">
        <v>342</v>
      </c>
      <c r="D11" s="225">
        <v>11</v>
      </c>
      <c r="G11" s="41" t="s">
        <v>347</v>
      </c>
      <c r="H11" s="226">
        <f>0.7153*E7/D15</f>
        <v>2.4562209833333331</v>
      </c>
    </row>
    <row r="12" spans="2:9" x14ac:dyDescent="0.25">
      <c r="C12" s="41" t="s">
        <v>33</v>
      </c>
      <c r="D12" s="227">
        <v>0.9</v>
      </c>
    </row>
    <row r="13" spans="2:9" x14ac:dyDescent="0.25">
      <c r="G13" s="41" t="s">
        <v>348</v>
      </c>
      <c r="H13" s="6">
        <f>(D21*E8+SQRT((D21*E8)^2+(E16*(D15*2*PI()/60)^2-D20*(D18/IF($B$4,1,2.2))*D21*(D19/IF($B$4,1,3.281))^2)*(E16*D22^2+2*D14*E8*D21*D22/(E7*2*PI()/60))))/(E16*D22+2*D14*E8*D21/(E7*2*PI()/60))</f>
        <v>572.48535914355296</v>
      </c>
      <c r="I13" s="43"/>
    </row>
    <row r="14" spans="2:9" x14ac:dyDescent="0.25">
      <c r="C14" s="41" t="s">
        <v>34</v>
      </c>
      <c r="D14" s="228">
        <v>3</v>
      </c>
      <c r="G14" s="41" t="s">
        <v>349</v>
      </c>
      <c r="H14" s="7">
        <f>($D$16*IF($B$4,0.000001,0.000293))*($E$7*2*PI()/60)*LN(($E$7-D14*H13)/($E$7-$D$14*$D$15))/($D$14^2*$E$8)</f>
        <v>0.1471483959562159</v>
      </c>
    </row>
    <row r="15" spans="2:9" x14ac:dyDescent="0.25">
      <c r="C15" s="41" t="s">
        <v>343</v>
      </c>
      <c r="D15" s="225">
        <v>5000</v>
      </c>
    </row>
    <row r="16" spans="2:9" x14ac:dyDescent="0.25">
      <c r="C16" s="41" t="str">
        <f>"Flywheel MoI ("&amp;IF($B$4,"kg*mm^2","lb*in^2")&amp;")"</f>
        <v>Flywheel MoI (lb*in^2)</v>
      </c>
      <c r="D16" s="229">
        <v>1.5</v>
      </c>
      <c r="E16" s="1">
        <f>D16*IF($B$4,0.000001,0.000293)</f>
        <v>4.395E-4</v>
      </c>
    </row>
    <row r="18" spans="3:4" x14ac:dyDescent="0.25">
      <c r="C18" s="41" t="str">
        <f>"Object Mass ("&amp;IF($B$4,"kg","lbs")&amp;")"</f>
        <v>Object Mass (lbs)</v>
      </c>
      <c r="D18" s="229">
        <v>0.156</v>
      </c>
    </row>
    <row r="19" spans="3:4" x14ac:dyDescent="0.25">
      <c r="C19" s="41" t="str">
        <f>"Exit Velocity ("&amp;IF($B$4,"m","ft")&amp;"/s)"</f>
        <v>Exit Velocity (ft/s)</v>
      </c>
      <c r="D19" s="230">
        <v>30</v>
      </c>
    </row>
    <row r="20" spans="3:4" x14ac:dyDescent="0.25">
      <c r="C20" s="41" t="s">
        <v>345</v>
      </c>
      <c r="D20" s="225">
        <v>1.2</v>
      </c>
    </row>
    <row r="21" spans="3:4" x14ac:dyDescent="0.25">
      <c r="C21" s="41" t="s">
        <v>344</v>
      </c>
      <c r="D21" s="225">
        <v>60</v>
      </c>
    </row>
    <row r="22" spans="3:4" x14ac:dyDescent="0.25">
      <c r="C22" s="41" t="s">
        <v>350</v>
      </c>
      <c r="D22" s="225">
        <v>8</v>
      </c>
    </row>
  </sheetData>
  <sheetProtection formatCells="0" formatColumns="0" formatRows="0"/>
  <dataConsolidate/>
  <mergeCells count="1">
    <mergeCell ref="C6:D6"/>
  </mergeCells>
  <dataValidations disablePrompts="1"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Metric">
              <controlPr locked="0" defaultSize="0" autoFill="0" autoLine="0" autoPict="0" macro="[0]!Flywheel_Metric">
                <anchor moveWithCells="1">
                  <from>
                    <xdr:col>1</xdr:col>
                    <xdr:colOff>0</xdr:colOff>
                    <xdr:row>2</xdr:row>
                    <xdr:rowOff>180975</xdr:rowOff>
                  </from>
                  <to>
                    <xdr:col>2</xdr:col>
                    <xdr:colOff>9525</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Q135"/>
  <sheetViews>
    <sheetView zoomScaleNormal="100" workbookViewId="0">
      <selection activeCell="G8" sqref="G8"/>
    </sheetView>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0</v>
      </c>
      <c r="C4" s="1" t="s">
        <v>0</v>
      </c>
    </row>
    <row r="6" spans="2:16" ht="18" x14ac:dyDescent="0.3">
      <c r="C6" s="197" t="s">
        <v>95</v>
      </c>
      <c r="D6" s="197"/>
      <c r="F6" s="197" t="s">
        <v>98</v>
      </c>
      <c r="G6" s="197"/>
      <c r="I6" s="204" t="s">
        <v>98</v>
      </c>
      <c r="J6" s="205"/>
    </row>
    <row r="7" spans="2:16" ht="14.45" x14ac:dyDescent="0.3">
      <c r="C7" s="140" t="str">
        <f>"Distance to Target (" &amp; IF($B$4, "m", "ft") &amp; ")"</f>
        <v>Distance to Target (ft)</v>
      </c>
      <c r="D7" s="52">
        <v>4.9999999999999991</v>
      </c>
      <c r="F7" s="140" t="str">
        <f>"Distance to Target (" &amp; IF($B$4, "m", "ft") &amp; ")"</f>
        <v>Distance to Target (ft)</v>
      </c>
      <c r="G7" s="52">
        <v>4.9999999999999991</v>
      </c>
    </row>
    <row r="8" spans="2:16" ht="14.45" x14ac:dyDescent="0.3">
      <c r="C8" s="140" t="str">
        <f>"Release Height (" &amp; IF($B$4, "m", "ft") &amp; ")"</f>
        <v>Release Height (ft)</v>
      </c>
      <c r="D8" s="52">
        <v>0.99999999999999978</v>
      </c>
      <c r="F8" s="140" t="str">
        <f>"Release Height (" &amp; IF($B$4, "m", "ft") &amp; ")"</f>
        <v>Release Height (ft)</v>
      </c>
      <c r="G8" s="52">
        <v>0.99999999999999978</v>
      </c>
      <c r="I8" s="58"/>
      <c r="J8" s="58">
        <v>0</v>
      </c>
      <c r="L8" s="58"/>
      <c r="M8" s="58">
        <v>0</v>
      </c>
      <c r="O8" s="58"/>
      <c r="P8" s="58">
        <v>0</v>
      </c>
    </row>
    <row r="9" spans="2:16" ht="14.45" x14ac:dyDescent="0.3">
      <c r="C9" s="140" t="str">
        <f>"Release Velocity (" &amp; IF($B$4, "m", "ft") &amp; "/s)"</f>
        <v>Release Velocity (ft/s)</v>
      </c>
      <c r="D9" s="52">
        <v>15</v>
      </c>
      <c r="F9" s="140" t="str">
        <f>"Target Height (" &amp; IF($B$4, "m", "ft") &amp; ")"</f>
        <v>Target Height (ft)</v>
      </c>
      <c r="G9" s="52">
        <v>8</v>
      </c>
      <c r="I9" s="58"/>
      <c r="J9" s="58">
        <v>0</v>
      </c>
      <c r="O9" s="58"/>
      <c r="P9" s="58">
        <v>0</v>
      </c>
    </row>
    <row r="10" spans="2:16" x14ac:dyDescent="0.25">
      <c r="C10" s="140" t="s">
        <v>96</v>
      </c>
      <c r="D10" s="74">
        <v>70</v>
      </c>
      <c r="F10" s="140" t="s">
        <v>99</v>
      </c>
      <c r="G10" s="74">
        <v>-80</v>
      </c>
      <c r="I10" s="61"/>
      <c r="J10" s="58">
        <v>0</v>
      </c>
    </row>
    <row r="11" spans="2:16" ht="14.45" x14ac:dyDescent="0.3">
      <c r="D11" s="57"/>
      <c r="G11" s="57"/>
    </row>
    <row r="12" spans="2:16" ht="14.45" x14ac:dyDescent="0.3">
      <c r="D12" s="57"/>
      <c r="G12" s="57"/>
    </row>
    <row r="13" spans="2:16" ht="14.45" x14ac:dyDescent="0.3">
      <c r="C13" s="140" t="str">
        <f>"Final Height (" &amp; IF($B$4, "m", "ft") &amp; ")"</f>
        <v>Final Height (ft)</v>
      </c>
      <c r="D13" s="44">
        <v>10.079807336426413</v>
      </c>
      <c r="F13" s="140" t="str">
        <f>"Release Velocity (" &amp; IF($B$4, "m", "ft") &amp; "/s)"</f>
        <v>Release Velocity (ft/s)</v>
      </c>
      <c r="G13" s="44">
        <f>SQRT((IF($B$4, 9.807, 32.174)*G7)/(ABS(TAN(RADIANS(G14))-TAN(RADIANS(G10)))))/COS(RADIANS(G14))</f>
        <v>28.769188473699344</v>
      </c>
    </row>
    <row r="14" spans="2:16" x14ac:dyDescent="0.25">
      <c r="C14" s="140" t="s">
        <v>97</v>
      </c>
      <c r="D14" s="62">
        <f>DEGREES(ATAN(2*(D13-D8)/D7-TAN(RADIANS(D10))))</f>
        <v>41.491007831471407</v>
      </c>
      <c r="F14" s="140" t="s">
        <v>96</v>
      </c>
      <c r="G14" s="62">
        <f>DEGREES(ATAN(2*(G9-G8)/G7-TAN(RADIANS(G10))))</f>
        <v>83.267624869333517</v>
      </c>
    </row>
    <row r="33" spans="11:17" ht="14.45" x14ac:dyDescent="0.3">
      <c r="K33" s="3">
        <f>IF($I$6="Forward", D8, G8)</f>
        <v>0.99999999999999978</v>
      </c>
      <c r="L33" s="3">
        <f>IF($I$6="Forward", D7, G7)</f>
        <v>4.9999999999999991</v>
      </c>
      <c r="M33" s="3">
        <f>IF($I$6="Forward", D9, G13)</f>
        <v>28.769188473699344</v>
      </c>
      <c r="N33" s="3">
        <f>RADIANS(IF($I$6="Forward", D10, G14))</f>
        <v>1.4532942142853831</v>
      </c>
      <c r="O33" s="3">
        <f>IF($B$4, 9.807, 32.174)</f>
        <v>32.173999999999999</v>
      </c>
      <c r="P33" s="3"/>
      <c r="Q33" s="3">
        <f>MAX(L35:L135, M35:M135)</f>
        <v>13.685538183541253</v>
      </c>
    </row>
    <row r="34" spans="11:17" ht="14.45" x14ac:dyDescent="0.3">
      <c r="K34" s="3"/>
      <c r="L34" s="3"/>
      <c r="M34" s="3"/>
      <c r="N34" s="3"/>
      <c r="O34" s="3"/>
      <c r="P34" s="3"/>
      <c r="Q34" s="3"/>
    </row>
    <row r="35" spans="11:17" ht="14.45" x14ac:dyDescent="0.3">
      <c r="K35" s="3">
        <v>0</v>
      </c>
      <c r="L35" s="3">
        <f t="shared" ref="L35:L98" si="0">$L$33/100*K35</f>
        <v>0</v>
      </c>
      <c r="M35" s="3">
        <f>MAX(TAN($N$33)*L35 - $O$33*L35^2 / (2*($M$33*COS($N$33))^2) + $K$33, 0)</f>
        <v>0.99999999999999978</v>
      </c>
      <c r="N35" s="3"/>
      <c r="O35" s="3"/>
      <c r="P35" s="3"/>
      <c r="Q35" s="3"/>
    </row>
    <row r="36" spans="11:17" ht="14.45" x14ac:dyDescent="0.3">
      <c r="K36" s="3">
        <v>1</v>
      </c>
      <c r="L36" s="3">
        <f t="shared" si="0"/>
        <v>4.9999999999999989E-2</v>
      </c>
      <c r="M36" s="3">
        <f t="shared" ref="M36:M99" si="1">MAX(TAN($N$33)*L36 - $O$33*L36^2 / (2*($M$33*COS($N$33))^2) + $K$33, 0)</f>
        <v>1.4200284500710763</v>
      </c>
      <c r="N36" s="3"/>
      <c r="O36" s="3"/>
      <c r="P36" s="3"/>
      <c r="Q36" s="3"/>
    </row>
    <row r="37" spans="11:17" ht="14.45" x14ac:dyDescent="0.3">
      <c r="K37" s="3">
        <v>2</v>
      </c>
      <c r="L37" s="3">
        <f t="shared" si="0"/>
        <v>9.9999999999999978E-2</v>
      </c>
      <c r="M37" s="3">
        <f t="shared" si="1"/>
        <v>1.8329856183225353</v>
      </c>
      <c r="N37" s="3"/>
      <c r="O37" s="3"/>
      <c r="P37" s="3"/>
      <c r="Q37" s="3"/>
    </row>
    <row r="38" spans="11:17" ht="14.45" x14ac:dyDescent="0.3">
      <c r="K38" s="3">
        <v>3</v>
      </c>
      <c r="L38" s="3">
        <f t="shared" si="0"/>
        <v>0.14999999999999997</v>
      </c>
      <c r="M38" s="3">
        <f t="shared" si="1"/>
        <v>2.2388715047543766</v>
      </c>
      <c r="N38" s="3"/>
      <c r="O38" s="3"/>
      <c r="P38" s="3"/>
      <c r="Q38" s="3"/>
    </row>
    <row r="39" spans="11:17" ht="14.45" x14ac:dyDescent="0.3">
      <c r="K39" s="3">
        <v>4</v>
      </c>
      <c r="L39" s="3">
        <f t="shared" si="0"/>
        <v>0.19999999999999996</v>
      </c>
      <c r="M39" s="3">
        <f t="shared" si="1"/>
        <v>2.6376861093665998</v>
      </c>
      <c r="N39" s="3"/>
      <c r="O39" s="3"/>
      <c r="P39" s="3"/>
      <c r="Q39" s="3"/>
    </row>
    <row r="40" spans="11:17" ht="14.45" x14ac:dyDescent="0.3">
      <c r="K40" s="3">
        <v>5</v>
      </c>
      <c r="L40" s="3">
        <f t="shared" si="0"/>
        <v>0.24999999999999994</v>
      </c>
      <c r="M40" s="3">
        <f t="shared" si="1"/>
        <v>3.0294294321592057</v>
      </c>
      <c r="N40" s="3"/>
      <c r="O40" s="3"/>
      <c r="P40" s="3"/>
      <c r="Q40" s="3"/>
    </row>
    <row r="41" spans="11:17" x14ac:dyDescent="0.25">
      <c r="K41" s="3">
        <v>6</v>
      </c>
      <c r="L41" s="3">
        <f t="shared" si="0"/>
        <v>0.29999999999999993</v>
      </c>
      <c r="M41" s="3">
        <f t="shared" si="1"/>
        <v>3.4141014731321935</v>
      </c>
      <c r="N41" s="3"/>
      <c r="O41" s="3"/>
      <c r="P41" s="3"/>
      <c r="Q41" s="3"/>
    </row>
    <row r="42" spans="11:17" x14ac:dyDescent="0.25">
      <c r="K42" s="3">
        <v>7</v>
      </c>
      <c r="L42" s="3">
        <f t="shared" si="0"/>
        <v>0.34999999999999992</v>
      </c>
      <c r="M42" s="3">
        <f t="shared" si="1"/>
        <v>3.791702232285564</v>
      </c>
      <c r="N42" s="3"/>
      <c r="O42" s="3"/>
      <c r="P42" s="3"/>
      <c r="Q42" s="3"/>
    </row>
    <row r="43" spans="11:17" x14ac:dyDescent="0.25">
      <c r="K43" s="3">
        <v>8</v>
      </c>
      <c r="L43" s="3">
        <f t="shared" si="0"/>
        <v>0.39999999999999991</v>
      </c>
      <c r="M43" s="3">
        <f t="shared" si="1"/>
        <v>4.1622317096193164</v>
      </c>
      <c r="N43" s="3"/>
      <c r="O43" s="3"/>
      <c r="P43" s="3"/>
      <c r="Q43" s="3"/>
    </row>
    <row r="44" spans="11:17" x14ac:dyDescent="0.25">
      <c r="K44" s="3">
        <v>9</v>
      </c>
      <c r="L44" s="3">
        <f t="shared" si="0"/>
        <v>0.4499999999999999</v>
      </c>
      <c r="M44" s="3">
        <f t="shared" si="1"/>
        <v>4.5256899051334516</v>
      </c>
      <c r="N44" s="3"/>
      <c r="O44" s="3"/>
      <c r="P44" s="3"/>
      <c r="Q44" s="3"/>
    </row>
    <row r="45" spans="11:17" x14ac:dyDescent="0.25">
      <c r="K45" s="3">
        <v>10</v>
      </c>
      <c r="L45" s="3">
        <f t="shared" si="0"/>
        <v>0.49999999999999989</v>
      </c>
      <c r="M45" s="3">
        <f t="shared" si="1"/>
        <v>4.8820768188279686</v>
      </c>
      <c r="N45" s="3"/>
      <c r="O45" s="3"/>
      <c r="P45" s="3"/>
      <c r="Q45" s="3"/>
    </row>
    <row r="46" spans="11:17" x14ac:dyDescent="0.25">
      <c r="K46" s="3">
        <v>11</v>
      </c>
      <c r="L46" s="3">
        <f t="shared" si="0"/>
        <v>0.54999999999999982</v>
      </c>
      <c r="M46" s="3">
        <f t="shared" si="1"/>
        <v>5.2313924507028675</v>
      </c>
      <c r="N46" s="3"/>
      <c r="O46" s="3"/>
      <c r="P46" s="3"/>
      <c r="Q46" s="3"/>
    </row>
    <row r="47" spans="11:17" x14ac:dyDescent="0.25">
      <c r="K47" s="3">
        <v>12</v>
      </c>
      <c r="L47" s="3">
        <f t="shared" si="0"/>
        <v>0.59999999999999987</v>
      </c>
      <c r="M47" s="3">
        <f t="shared" si="1"/>
        <v>5.57363680075815</v>
      </c>
      <c r="N47" s="3"/>
      <c r="O47" s="3"/>
      <c r="P47" s="3"/>
      <c r="Q47" s="3"/>
    </row>
    <row r="48" spans="11:17" x14ac:dyDescent="0.25">
      <c r="K48" s="3">
        <v>13</v>
      </c>
      <c r="L48" s="3">
        <f t="shared" si="0"/>
        <v>0.64999999999999991</v>
      </c>
      <c r="M48" s="3">
        <f t="shared" si="1"/>
        <v>5.9088098689938144</v>
      </c>
      <c r="N48" s="3"/>
      <c r="O48" s="3"/>
      <c r="P48" s="3"/>
      <c r="Q48" s="3"/>
    </row>
    <row r="49" spans="11:17" x14ac:dyDescent="0.25">
      <c r="K49" s="3">
        <v>14</v>
      </c>
      <c r="L49" s="3">
        <f t="shared" si="0"/>
        <v>0.69999999999999984</v>
      </c>
      <c r="M49" s="3">
        <f t="shared" si="1"/>
        <v>6.2369116554098598</v>
      </c>
      <c r="N49" s="3"/>
      <c r="O49" s="3"/>
      <c r="P49" s="3"/>
      <c r="Q49" s="3"/>
    </row>
    <row r="50" spans="11:17" x14ac:dyDescent="0.25">
      <c r="K50" s="3">
        <v>15</v>
      </c>
      <c r="L50" s="3">
        <f t="shared" si="0"/>
        <v>0.74999999999999978</v>
      </c>
      <c r="M50" s="3">
        <f t="shared" si="1"/>
        <v>6.5579421600062888</v>
      </c>
      <c r="N50" s="3"/>
      <c r="O50" s="3"/>
      <c r="P50" s="3"/>
      <c r="Q50" s="3"/>
    </row>
    <row r="51" spans="11:17" x14ac:dyDescent="0.25">
      <c r="K51" s="3">
        <v>16</v>
      </c>
      <c r="L51" s="3">
        <f t="shared" si="0"/>
        <v>0.79999999999999982</v>
      </c>
      <c r="M51" s="3">
        <f t="shared" si="1"/>
        <v>6.8719013827831006</v>
      </c>
      <c r="N51" s="3"/>
      <c r="O51" s="3"/>
      <c r="P51" s="3"/>
      <c r="Q51" s="3"/>
    </row>
    <row r="52" spans="11:17" x14ac:dyDescent="0.25">
      <c r="K52" s="3">
        <v>17</v>
      </c>
      <c r="L52" s="3">
        <f t="shared" si="0"/>
        <v>0.84999999999999987</v>
      </c>
      <c r="M52" s="3">
        <f t="shared" si="1"/>
        <v>7.1787893237402942</v>
      </c>
      <c r="N52" s="3"/>
      <c r="O52" s="3"/>
      <c r="P52" s="3"/>
      <c r="Q52" s="3"/>
    </row>
    <row r="53" spans="11:17" x14ac:dyDescent="0.25">
      <c r="K53" s="3">
        <v>18</v>
      </c>
      <c r="L53" s="3">
        <f t="shared" si="0"/>
        <v>0.8999999999999998</v>
      </c>
      <c r="M53" s="3">
        <f t="shared" si="1"/>
        <v>7.4786059828778688</v>
      </c>
      <c r="N53" s="3"/>
      <c r="O53" s="3"/>
      <c r="P53" s="3"/>
      <c r="Q53" s="3"/>
    </row>
    <row r="54" spans="11:17" x14ac:dyDescent="0.25">
      <c r="K54" s="3">
        <v>19</v>
      </c>
      <c r="L54" s="3">
        <f t="shared" si="0"/>
        <v>0.94999999999999973</v>
      </c>
      <c r="M54" s="3">
        <f t="shared" si="1"/>
        <v>7.7713513601958262</v>
      </c>
      <c r="N54" s="3"/>
      <c r="O54" s="3"/>
      <c r="P54" s="3"/>
      <c r="Q54" s="3"/>
    </row>
    <row r="55" spans="11:17" x14ac:dyDescent="0.25">
      <c r="K55" s="3">
        <v>20</v>
      </c>
      <c r="L55" s="3">
        <f t="shared" si="0"/>
        <v>0.99999999999999978</v>
      </c>
      <c r="M55" s="3">
        <f t="shared" si="1"/>
        <v>8.0570254556941663</v>
      </c>
      <c r="N55" s="3"/>
      <c r="O55" s="3"/>
      <c r="P55" s="3"/>
      <c r="Q55" s="3"/>
    </row>
    <row r="56" spans="11:17" x14ac:dyDescent="0.25">
      <c r="K56" s="3">
        <v>21</v>
      </c>
      <c r="L56" s="3">
        <f t="shared" si="0"/>
        <v>1.0499999999999998</v>
      </c>
      <c r="M56" s="3">
        <f t="shared" si="1"/>
        <v>8.33562826937289</v>
      </c>
      <c r="N56" s="3"/>
      <c r="O56" s="3"/>
      <c r="P56" s="3"/>
      <c r="Q56" s="3"/>
    </row>
    <row r="57" spans="11:17" x14ac:dyDescent="0.25">
      <c r="K57" s="3">
        <v>22</v>
      </c>
      <c r="L57" s="3">
        <f t="shared" si="0"/>
        <v>1.0999999999999996</v>
      </c>
      <c r="M57" s="3">
        <f t="shared" si="1"/>
        <v>8.6071598012319921</v>
      </c>
      <c r="N57" s="3"/>
      <c r="O57" s="3"/>
      <c r="P57" s="3"/>
      <c r="Q57" s="3"/>
    </row>
    <row r="58" spans="11:17" x14ac:dyDescent="0.25">
      <c r="K58" s="3">
        <v>23</v>
      </c>
      <c r="L58" s="3">
        <f t="shared" si="0"/>
        <v>1.1499999999999997</v>
      </c>
      <c r="M58" s="3">
        <f t="shared" si="1"/>
        <v>8.8716200512714796</v>
      </c>
      <c r="N58" s="3"/>
      <c r="O58" s="3"/>
      <c r="P58" s="3"/>
      <c r="Q58" s="3"/>
    </row>
    <row r="59" spans="11:17" x14ac:dyDescent="0.25">
      <c r="K59" s="3">
        <v>24</v>
      </c>
      <c r="L59" s="3">
        <f t="shared" si="0"/>
        <v>1.1999999999999997</v>
      </c>
      <c r="M59" s="3">
        <f t="shared" si="1"/>
        <v>9.1290090194913507</v>
      </c>
      <c r="N59" s="3"/>
      <c r="O59" s="3"/>
      <c r="P59" s="3"/>
      <c r="Q59" s="3"/>
    </row>
    <row r="60" spans="11:17" x14ac:dyDescent="0.25">
      <c r="K60" s="3">
        <v>25</v>
      </c>
      <c r="L60" s="3">
        <f t="shared" si="0"/>
        <v>1.2499999999999998</v>
      </c>
      <c r="M60" s="3">
        <f t="shared" si="1"/>
        <v>9.3793267058916019</v>
      </c>
      <c r="N60" s="3"/>
      <c r="O60" s="3"/>
      <c r="P60" s="3"/>
      <c r="Q60" s="3"/>
    </row>
    <row r="61" spans="11:17" x14ac:dyDescent="0.25">
      <c r="K61" s="3">
        <v>26</v>
      </c>
      <c r="L61" s="3">
        <f t="shared" si="0"/>
        <v>1.2999999999999998</v>
      </c>
      <c r="M61" s="3">
        <f t="shared" si="1"/>
        <v>9.622573110472235</v>
      </c>
      <c r="N61" s="3"/>
      <c r="O61" s="3"/>
      <c r="P61" s="3"/>
      <c r="Q61" s="3"/>
    </row>
    <row r="62" spans="11:17" x14ac:dyDescent="0.25">
      <c r="K62" s="3">
        <v>27</v>
      </c>
      <c r="L62" s="3">
        <f t="shared" si="0"/>
        <v>1.3499999999999996</v>
      </c>
      <c r="M62" s="3">
        <f t="shared" si="1"/>
        <v>9.8587482332332517</v>
      </c>
      <c r="N62" s="3"/>
      <c r="O62" s="3"/>
      <c r="P62" s="3"/>
      <c r="Q62" s="3"/>
    </row>
    <row r="63" spans="11:17" x14ac:dyDescent="0.25">
      <c r="K63" s="3">
        <v>28</v>
      </c>
      <c r="L63" s="3">
        <f t="shared" si="0"/>
        <v>1.3999999999999997</v>
      </c>
      <c r="M63" s="3">
        <f t="shared" si="1"/>
        <v>10.08785207417465</v>
      </c>
      <c r="N63" s="3"/>
      <c r="O63" s="3"/>
      <c r="P63" s="3"/>
      <c r="Q63" s="3"/>
    </row>
    <row r="64" spans="11:17" x14ac:dyDescent="0.25">
      <c r="K64" s="3">
        <v>29</v>
      </c>
      <c r="L64" s="3">
        <f t="shared" si="0"/>
        <v>1.4499999999999997</v>
      </c>
      <c r="M64" s="3">
        <f t="shared" si="1"/>
        <v>10.309884633296431</v>
      </c>
      <c r="N64" s="3"/>
      <c r="O64" s="3"/>
      <c r="P64" s="3"/>
      <c r="Q64" s="3"/>
    </row>
    <row r="65" spans="11:17" x14ac:dyDescent="0.25">
      <c r="K65" s="3">
        <v>30</v>
      </c>
      <c r="L65" s="3">
        <f t="shared" si="0"/>
        <v>1.4999999999999996</v>
      </c>
      <c r="M65" s="3">
        <f t="shared" si="1"/>
        <v>10.524845910598593</v>
      </c>
      <c r="N65" s="3"/>
      <c r="O65" s="3"/>
      <c r="P65" s="3"/>
      <c r="Q65" s="3"/>
    </row>
    <row r="66" spans="11:17" x14ac:dyDescent="0.25">
      <c r="K66" s="3">
        <v>31</v>
      </c>
      <c r="L66" s="3">
        <f t="shared" si="0"/>
        <v>1.5499999999999996</v>
      </c>
      <c r="M66" s="3">
        <f t="shared" si="1"/>
        <v>10.732735906081139</v>
      </c>
      <c r="N66" s="3"/>
      <c r="O66" s="3"/>
      <c r="P66" s="3"/>
      <c r="Q66" s="3"/>
    </row>
    <row r="67" spans="11:17" x14ac:dyDescent="0.25">
      <c r="K67" s="3">
        <v>32</v>
      </c>
      <c r="L67" s="3">
        <f t="shared" si="0"/>
        <v>1.5999999999999996</v>
      </c>
      <c r="M67" s="3">
        <f t="shared" si="1"/>
        <v>10.933554619744069</v>
      </c>
      <c r="N67" s="3"/>
      <c r="O67" s="3"/>
      <c r="P67" s="3"/>
      <c r="Q67" s="3"/>
    </row>
    <row r="68" spans="11:17" x14ac:dyDescent="0.25">
      <c r="K68" s="3">
        <v>33</v>
      </c>
      <c r="L68" s="3">
        <f t="shared" si="0"/>
        <v>1.6499999999999997</v>
      </c>
      <c r="M68" s="3">
        <f t="shared" si="1"/>
        <v>11.127302051587378</v>
      </c>
      <c r="N68" s="3"/>
      <c r="O68" s="3"/>
      <c r="P68" s="3"/>
      <c r="Q68" s="3"/>
    </row>
    <row r="69" spans="11:17" x14ac:dyDescent="0.25">
      <c r="K69" s="3">
        <v>34</v>
      </c>
      <c r="L69" s="3">
        <f t="shared" si="0"/>
        <v>1.6999999999999997</v>
      </c>
      <c r="M69" s="3">
        <f t="shared" si="1"/>
        <v>11.313978201611071</v>
      </c>
      <c r="N69" s="3"/>
      <c r="O69" s="3"/>
      <c r="P69" s="3"/>
      <c r="Q69" s="3"/>
    </row>
    <row r="70" spans="11:17" x14ac:dyDescent="0.25">
      <c r="K70" s="3">
        <v>35</v>
      </c>
      <c r="L70" s="3">
        <f t="shared" si="0"/>
        <v>1.7499999999999996</v>
      </c>
      <c r="M70" s="3">
        <f t="shared" si="1"/>
        <v>11.493583069815145</v>
      </c>
      <c r="N70" s="3"/>
      <c r="O70" s="3"/>
      <c r="P70" s="3"/>
      <c r="Q70" s="3"/>
    </row>
    <row r="71" spans="11:17" x14ac:dyDescent="0.25">
      <c r="K71" s="3">
        <v>36</v>
      </c>
      <c r="L71" s="3">
        <f t="shared" si="0"/>
        <v>1.7999999999999996</v>
      </c>
      <c r="M71" s="3">
        <f t="shared" si="1"/>
        <v>11.666116656199602</v>
      </c>
      <c r="N71" s="3"/>
      <c r="O71" s="3"/>
      <c r="P71" s="3"/>
      <c r="Q71" s="3"/>
    </row>
    <row r="72" spans="11:17" x14ac:dyDescent="0.25">
      <c r="K72" s="3">
        <v>37</v>
      </c>
      <c r="L72" s="3">
        <f t="shared" si="0"/>
        <v>1.8499999999999996</v>
      </c>
      <c r="M72" s="3">
        <f t="shared" si="1"/>
        <v>11.831578960764441</v>
      </c>
      <c r="N72" s="3"/>
      <c r="O72" s="3"/>
      <c r="P72" s="3"/>
      <c r="Q72" s="3"/>
    </row>
    <row r="73" spans="11:17" x14ac:dyDescent="0.25">
      <c r="K73" s="3">
        <v>38</v>
      </c>
      <c r="L73" s="3">
        <f t="shared" si="0"/>
        <v>1.8999999999999995</v>
      </c>
      <c r="M73" s="3">
        <f t="shared" si="1"/>
        <v>11.98996998350966</v>
      </c>
      <c r="N73" s="3"/>
      <c r="O73" s="3"/>
      <c r="P73" s="3"/>
      <c r="Q73" s="3"/>
    </row>
    <row r="74" spans="11:17" x14ac:dyDescent="0.25">
      <c r="K74" s="3">
        <v>39</v>
      </c>
      <c r="L74" s="3">
        <f t="shared" si="0"/>
        <v>1.9499999999999995</v>
      </c>
      <c r="M74" s="3">
        <f t="shared" si="1"/>
        <v>12.141289724435264</v>
      </c>
      <c r="N74" s="3"/>
      <c r="O74" s="3"/>
      <c r="P74" s="3"/>
      <c r="Q74" s="3"/>
    </row>
    <row r="75" spans="11:17" x14ac:dyDescent="0.25">
      <c r="K75" s="3">
        <v>40</v>
      </c>
      <c r="L75" s="3">
        <f t="shared" si="0"/>
        <v>1.9999999999999996</v>
      </c>
      <c r="M75" s="3">
        <f t="shared" si="1"/>
        <v>12.285538183541252</v>
      </c>
      <c r="N75" s="3"/>
      <c r="O75" s="3"/>
      <c r="P75" s="3"/>
      <c r="Q75" s="3"/>
    </row>
    <row r="76" spans="11:17" x14ac:dyDescent="0.25">
      <c r="K76" s="3">
        <v>41</v>
      </c>
      <c r="L76" s="3">
        <f t="shared" si="0"/>
        <v>2.0499999999999994</v>
      </c>
      <c r="M76" s="3">
        <f t="shared" si="1"/>
        <v>12.422715360827617</v>
      </c>
      <c r="N76" s="3"/>
      <c r="O76" s="3"/>
      <c r="P76" s="3"/>
      <c r="Q76" s="3"/>
    </row>
    <row r="77" spans="11:17" x14ac:dyDescent="0.25">
      <c r="K77" s="3">
        <v>42</v>
      </c>
      <c r="L77" s="3">
        <f t="shared" si="0"/>
        <v>2.0999999999999996</v>
      </c>
      <c r="M77" s="3">
        <f t="shared" si="1"/>
        <v>12.55282125629437</v>
      </c>
      <c r="N77" s="3"/>
      <c r="O77" s="3"/>
      <c r="P77" s="3"/>
      <c r="Q77" s="3"/>
    </row>
    <row r="78" spans="11:17" x14ac:dyDescent="0.25">
      <c r="K78" s="3">
        <v>43</v>
      </c>
      <c r="L78" s="3">
        <f t="shared" si="0"/>
        <v>2.1499999999999995</v>
      </c>
      <c r="M78" s="3">
        <f t="shared" si="1"/>
        <v>12.675855869941504</v>
      </c>
      <c r="N78" s="3"/>
      <c r="O78" s="3"/>
      <c r="P78" s="3"/>
      <c r="Q78" s="3"/>
    </row>
    <row r="79" spans="11:17" x14ac:dyDescent="0.25">
      <c r="K79" s="3">
        <v>44</v>
      </c>
      <c r="L79" s="3">
        <f t="shared" si="0"/>
        <v>2.1999999999999993</v>
      </c>
      <c r="M79" s="3">
        <f t="shared" si="1"/>
        <v>12.791819201769016</v>
      </c>
      <c r="N79" s="3"/>
      <c r="O79" s="3"/>
      <c r="P79" s="3"/>
      <c r="Q79" s="3"/>
    </row>
    <row r="80" spans="11:17" x14ac:dyDescent="0.25">
      <c r="K80" s="3">
        <v>45</v>
      </c>
      <c r="L80" s="3">
        <f t="shared" si="0"/>
        <v>2.2499999999999996</v>
      </c>
      <c r="M80" s="3">
        <f t="shared" si="1"/>
        <v>12.900711251776917</v>
      </c>
      <c r="N80" s="3"/>
      <c r="O80" s="3"/>
      <c r="P80" s="3"/>
      <c r="Q80" s="3"/>
    </row>
    <row r="81" spans="11:17" x14ac:dyDescent="0.25">
      <c r="K81" s="3">
        <v>46</v>
      </c>
      <c r="L81" s="3">
        <f t="shared" si="0"/>
        <v>2.2999999999999994</v>
      </c>
      <c r="M81" s="3">
        <f t="shared" si="1"/>
        <v>13.002532019965194</v>
      </c>
      <c r="N81" s="3"/>
      <c r="O81" s="3"/>
      <c r="P81" s="3"/>
      <c r="Q81" s="3"/>
    </row>
    <row r="82" spans="11:17" x14ac:dyDescent="0.25">
      <c r="K82" s="3">
        <v>47</v>
      </c>
      <c r="L82" s="3">
        <f t="shared" si="0"/>
        <v>2.3499999999999996</v>
      </c>
      <c r="M82" s="3">
        <f t="shared" si="1"/>
        <v>13.097281506333859</v>
      </c>
      <c r="N82" s="3"/>
      <c r="O82" s="3"/>
      <c r="P82" s="3"/>
      <c r="Q82" s="3"/>
    </row>
    <row r="83" spans="11:17" x14ac:dyDescent="0.25">
      <c r="K83" s="3">
        <v>48</v>
      </c>
      <c r="L83" s="3">
        <f t="shared" si="0"/>
        <v>2.3999999999999995</v>
      </c>
      <c r="M83" s="3">
        <f t="shared" si="1"/>
        <v>13.184959710882902</v>
      </c>
      <c r="N83" s="3"/>
      <c r="O83" s="3"/>
      <c r="P83" s="3"/>
      <c r="Q83" s="3"/>
    </row>
    <row r="84" spans="11:17" x14ac:dyDescent="0.25">
      <c r="K84" s="3">
        <v>49</v>
      </c>
      <c r="L84" s="3">
        <f t="shared" si="0"/>
        <v>2.4499999999999993</v>
      </c>
      <c r="M84" s="3">
        <f t="shared" si="1"/>
        <v>13.265566633612329</v>
      </c>
      <c r="N84" s="3"/>
      <c r="O84" s="3"/>
      <c r="P84" s="3"/>
      <c r="Q84" s="3"/>
    </row>
    <row r="85" spans="11:17" x14ac:dyDescent="0.25">
      <c r="K85" s="3">
        <v>50</v>
      </c>
      <c r="L85" s="3">
        <f t="shared" si="0"/>
        <v>2.4999999999999996</v>
      </c>
      <c r="M85" s="3">
        <f t="shared" si="1"/>
        <v>13.339102274522135</v>
      </c>
      <c r="N85" s="3"/>
      <c r="O85" s="3"/>
      <c r="P85" s="3"/>
      <c r="Q85" s="3"/>
    </row>
    <row r="86" spans="11:17" x14ac:dyDescent="0.25">
      <c r="K86" s="3">
        <v>51</v>
      </c>
      <c r="L86" s="3">
        <f t="shared" si="0"/>
        <v>2.5499999999999994</v>
      </c>
      <c r="M86" s="3">
        <f t="shared" si="1"/>
        <v>13.405566633612331</v>
      </c>
      <c r="N86" s="3"/>
      <c r="O86" s="3"/>
      <c r="P86" s="3"/>
      <c r="Q86" s="3"/>
    </row>
    <row r="87" spans="11:17" x14ac:dyDescent="0.25">
      <c r="K87" s="3">
        <v>52</v>
      </c>
      <c r="L87" s="3">
        <f t="shared" si="0"/>
        <v>2.5999999999999996</v>
      </c>
      <c r="M87" s="3">
        <f t="shared" si="1"/>
        <v>13.464959710882901</v>
      </c>
      <c r="N87" s="3"/>
      <c r="O87" s="3"/>
      <c r="P87" s="3"/>
      <c r="Q87" s="3"/>
    </row>
    <row r="88" spans="11:17" x14ac:dyDescent="0.25">
      <c r="K88" s="3">
        <v>53</v>
      </c>
      <c r="L88" s="3">
        <f t="shared" si="0"/>
        <v>2.6499999999999995</v>
      </c>
      <c r="M88" s="3">
        <f t="shared" si="1"/>
        <v>13.517281506333859</v>
      </c>
      <c r="N88" s="3"/>
      <c r="O88" s="3"/>
      <c r="P88" s="3"/>
      <c r="Q88" s="3"/>
    </row>
    <row r="89" spans="11:17" x14ac:dyDescent="0.25">
      <c r="K89" s="3">
        <v>54</v>
      </c>
      <c r="L89" s="3">
        <f t="shared" si="0"/>
        <v>2.6999999999999993</v>
      </c>
      <c r="M89" s="3">
        <f t="shared" si="1"/>
        <v>13.562532019965195</v>
      </c>
      <c r="N89" s="3"/>
      <c r="O89" s="3"/>
      <c r="P89" s="3"/>
      <c r="Q89" s="3"/>
    </row>
    <row r="90" spans="11:17" x14ac:dyDescent="0.25">
      <c r="K90" s="3">
        <v>55</v>
      </c>
      <c r="L90" s="3">
        <f t="shared" si="0"/>
        <v>2.7499999999999996</v>
      </c>
      <c r="M90" s="3">
        <f t="shared" si="1"/>
        <v>13.600711251776916</v>
      </c>
      <c r="N90" s="3"/>
      <c r="O90" s="3"/>
      <c r="P90" s="3"/>
      <c r="Q90" s="3"/>
    </row>
    <row r="91" spans="11:17" x14ac:dyDescent="0.25">
      <c r="K91" s="3">
        <v>56</v>
      </c>
      <c r="L91" s="3">
        <f t="shared" si="0"/>
        <v>2.7999999999999994</v>
      </c>
      <c r="M91" s="3">
        <f t="shared" si="1"/>
        <v>13.631819201769018</v>
      </c>
      <c r="N91" s="3"/>
      <c r="O91" s="3"/>
      <c r="P91" s="3"/>
      <c r="Q91" s="3"/>
    </row>
    <row r="92" spans="11:17" x14ac:dyDescent="0.25">
      <c r="K92" s="3">
        <v>57</v>
      </c>
      <c r="L92" s="3">
        <f t="shared" si="0"/>
        <v>2.8499999999999992</v>
      </c>
      <c r="M92" s="3">
        <f t="shared" si="1"/>
        <v>13.655855869941504</v>
      </c>
      <c r="N92" s="3"/>
      <c r="O92" s="3"/>
      <c r="P92" s="3"/>
      <c r="Q92" s="3"/>
    </row>
    <row r="93" spans="11:17" x14ac:dyDescent="0.25">
      <c r="K93" s="3">
        <v>58</v>
      </c>
      <c r="L93" s="3">
        <f t="shared" si="0"/>
        <v>2.8999999999999995</v>
      </c>
      <c r="M93" s="3">
        <f t="shared" si="1"/>
        <v>13.67282125629437</v>
      </c>
      <c r="N93" s="3"/>
      <c r="O93" s="3"/>
      <c r="P93" s="3"/>
      <c r="Q93" s="3"/>
    </row>
    <row r="94" spans="11:17" x14ac:dyDescent="0.25">
      <c r="K94" s="3">
        <v>59</v>
      </c>
      <c r="L94" s="3">
        <f t="shared" si="0"/>
        <v>2.9499999999999993</v>
      </c>
      <c r="M94" s="3">
        <f t="shared" si="1"/>
        <v>13.682715360827622</v>
      </c>
      <c r="N94" s="3"/>
      <c r="O94" s="3"/>
      <c r="P94" s="3"/>
      <c r="Q94" s="3"/>
    </row>
    <row r="95" spans="11:17" x14ac:dyDescent="0.25">
      <c r="K95" s="3">
        <v>60</v>
      </c>
      <c r="L95" s="3">
        <f t="shared" si="0"/>
        <v>2.9999999999999991</v>
      </c>
      <c r="M95" s="3">
        <f t="shared" si="1"/>
        <v>13.685538183541253</v>
      </c>
      <c r="N95" s="3"/>
      <c r="O95" s="3"/>
      <c r="P95" s="3"/>
      <c r="Q95" s="3"/>
    </row>
    <row r="96" spans="11:17" x14ac:dyDescent="0.25">
      <c r="K96" s="3">
        <v>61</v>
      </c>
      <c r="L96" s="3">
        <f t="shared" si="0"/>
        <v>3.0499999999999994</v>
      </c>
      <c r="M96" s="3">
        <f t="shared" si="1"/>
        <v>13.681289724435267</v>
      </c>
      <c r="N96" s="3"/>
      <c r="O96" s="3"/>
      <c r="P96" s="3"/>
      <c r="Q96" s="3"/>
    </row>
    <row r="97" spans="11:17" x14ac:dyDescent="0.25">
      <c r="K97" s="3">
        <v>62</v>
      </c>
      <c r="L97" s="3">
        <f t="shared" si="0"/>
        <v>3.0999999999999992</v>
      </c>
      <c r="M97" s="3">
        <f t="shared" si="1"/>
        <v>13.66996998350966</v>
      </c>
      <c r="N97" s="3"/>
      <c r="O97" s="3"/>
      <c r="P97" s="3"/>
      <c r="Q97" s="3"/>
    </row>
    <row r="98" spans="11:17" x14ac:dyDescent="0.25">
      <c r="K98" s="3">
        <v>63</v>
      </c>
      <c r="L98" s="3">
        <f t="shared" si="0"/>
        <v>3.1499999999999995</v>
      </c>
      <c r="M98" s="3">
        <f t="shared" si="1"/>
        <v>13.651578960764443</v>
      </c>
      <c r="N98" s="3"/>
      <c r="O98" s="3"/>
      <c r="P98" s="3"/>
      <c r="Q98" s="3"/>
    </row>
    <row r="99" spans="11:17" x14ac:dyDescent="0.25">
      <c r="K99" s="3">
        <v>64</v>
      </c>
      <c r="L99" s="3">
        <f t="shared" ref="L99:L135" si="2">$L$33/100*K99</f>
        <v>3.1999999999999993</v>
      </c>
      <c r="M99" s="3">
        <f t="shared" si="1"/>
        <v>13.626116656199605</v>
      </c>
      <c r="N99" s="3"/>
      <c r="O99" s="3"/>
      <c r="P99" s="3"/>
      <c r="Q99" s="3"/>
    </row>
    <row r="100" spans="11:17" x14ac:dyDescent="0.25">
      <c r="K100" s="3">
        <v>65</v>
      </c>
      <c r="L100" s="3">
        <f t="shared" si="2"/>
        <v>3.2499999999999991</v>
      </c>
      <c r="M100" s="3">
        <f t="shared" ref="M100:M135" si="3">MAX(TAN($N$33)*L100 - $O$33*L100^2 / (2*($M$33*COS($N$33))^2) + $K$33, 0)</f>
        <v>13.593583069815146</v>
      </c>
      <c r="N100" s="3"/>
      <c r="O100" s="3"/>
      <c r="P100" s="3"/>
      <c r="Q100" s="3"/>
    </row>
    <row r="101" spans="11:17" x14ac:dyDescent="0.25">
      <c r="K101" s="3">
        <v>66</v>
      </c>
      <c r="L101" s="3">
        <f t="shared" si="2"/>
        <v>3.2999999999999994</v>
      </c>
      <c r="M101" s="3">
        <f t="shared" si="3"/>
        <v>13.553978201611075</v>
      </c>
      <c r="N101" s="3"/>
      <c r="O101" s="3"/>
      <c r="P101" s="3"/>
      <c r="Q101" s="3"/>
    </row>
    <row r="102" spans="11:17" x14ac:dyDescent="0.25">
      <c r="K102" s="3">
        <v>67</v>
      </c>
      <c r="L102" s="3">
        <f t="shared" si="2"/>
        <v>3.3499999999999992</v>
      </c>
      <c r="M102" s="3">
        <f t="shared" si="3"/>
        <v>13.507302051587379</v>
      </c>
      <c r="N102" s="3"/>
      <c r="O102" s="3"/>
      <c r="P102" s="3"/>
      <c r="Q102" s="3"/>
    </row>
    <row r="103" spans="11:17" x14ac:dyDescent="0.25">
      <c r="K103" s="3">
        <v>68</v>
      </c>
      <c r="L103" s="3">
        <f t="shared" si="2"/>
        <v>3.3999999999999995</v>
      </c>
      <c r="M103" s="3">
        <f t="shared" si="3"/>
        <v>13.453554619744072</v>
      </c>
      <c r="N103" s="3"/>
      <c r="O103" s="3"/>
      <c r="P103" s="3"/>
      <c r="Q103" s="3"/>
    </row>
    <row r="104" spans="11:17" x14ac:dyDescent="0.25">
      <c r="K104" s="3">
        <v>69</v>
      </c>
      <c r="L104" s="3">
        <f t="shared" si="2"/>
        <v>3.4499999999999993</v>
      </c>
      <c r="M104" s="3">
        <f t="shared" si="3"/>
        <v>13.392735906081143</v>
      </c>
      <c r="N104" s="3"/>
      <c r="O104" s="3"/>
      <c r="P104" s="3"/>
      <c r="Q104" s="3"/>
    </row>
    <row r="105" spans="11:17" x14ac:dyDescent="0.25">
      <c r="K105" s="3">
        <v>70</v>
      </c>
      <c r="L105" s="3">
        <f t="shared" si="2"/>
        <v>3.4999999999999991</v>
      </c>
      <c r="M105" s="3">
        <f t="shared" si="3"/>
        <v>13.324845910598601</v>
      </c>
      <c r="N105" s="3"/>
      <c r="O105" s="3"/>
      <c r="P105" s="3"/>
      <c r="Q105" s="3"/>
    </row>
    <row r="106" spans="11:17" x14ac:dyDescent="0.25">
      <c r="K106" s="3">
        <v>71</v>
      </c>
      <c r="L106" s="3">
        <f t="shared" si="2"/>
        <v>3.5499999999999994</v>
      </c>
      <c r="M106" s="3">
        <f t="shared" si="3"/>
        <v>13.249884633296432</v>
      </c>
      <c r="N106" s="3"/>
      <c r="O106" s="3"/>
      <c r="P106" s="3"/>
      <c r="Q106" s="3"/>
    </row>
    <row r="107" spans="11:17" x14ac:dyDescent="0.25">
      <c r="K107" s="3">
        <v>72</v>
      </c>
      <c r="L107" s="3">
        <f t="shared" si="2"/>
        <v>3.5999999999999992</v>
      </c>
      <c r="M107" s="3">
        <f t="shared" si="3"/>
        <v>13.167852074174654</v>
      </c>
      <c r="N107" s="3"/>
      <c r="O107" s="3"/>
      <c r="P107" s="3"/>
      <c r="Q107" s="3"/>
    </row>
    <row r="108" spans="11:17" x14ac:dyDescent="0.25">
      <c r="K108" s="3">
        <v>73</v>
      </c>
      <c r="L108" s="3">
        <f t="shared" si="2"/>
        <v>3.649999999999999</v>
      </c>
      <c r="M108" s="3">
        <f t="shared" si="3"/>
        <v>13.078748233233256</v>
      </c>
      <c r="N108" s="3"/>
      <c r="O108" s="3"/>
      <c r="P108" s="3"/>
      <c r="Q108" s="3"/>
    </row>
    <row r="109" spans="11:17" x14ac:dyDescent="0.25">
      <c r="K109" s="3">
        <v>74</v>
      </c>
      <c r="L109" s="3">
        <f t="shared" si="2"/>
        <v>3.6999999999999993</v>
      </c>
      <c r="M109" s="3">
        <f t="shared" si="3"/>
        <v>12.982573110472241</v>
      </c>
      <c r="N109" s="3"/>
      <c r="O109" s="3"/>
      <c r="P109" s="3"/>
      <c r="Q109" s="3"/>
    </row>
    <row r="110" spans="11:17" x14ac:dyDescent="0.25">
      <c r="K110" s="3">
        <v>75</v>
      </c>
      <c r="L110" s="3">
        <f t="shared" si="2"/>
        <v>3.7499999999999991</v>
      </c>
      <c r="M110" s="3">
        <f t="shared" si="3"/>
        <v>12.879326705891607</v>
      </c>
      <c r="N110" s="3"/>
      <c r="O110" s="3"/>
      <c r="P110" s="3"/>
      <c r="Q110" s="3"/>
    </row>
    <row r="111" spans="11:17" x14ac:dyDescent="0.25">
      <c r="K111" s="3">
        <v>76</v>
      </c>
      <c r="L111" s="3">
        <f t="shared" si="2"/>
        <v>3.7999999999999989</v>
      </c>
      <c r="M111" s="3">
        <f t="shared" si="3"/>
        <v>12.769009019491353</v>
      </c>
      <c r="N111" s="3"/>
      <c r="O111" s="3"/>
      <c r="P111" s="3"/>
      <c r="Q111" s="3"/>
    </row>
    <row r="112" spans="11:17" x14ac:dyDescent="0.25">
      <c r="K112" s="3">
        <v>77</v>
      </c>
      <c r="L112" s="3">
        <f t="shared" si="2"/>
        <v>3.8499999999999992</v>
      </c>
      <c r="M112" s="3">
        <f t="shared" si="3"/>
        <v>12.651620051271486</v>
      </c>
      <c r="N112" s="3"/>
      <c r="O112" s="3"/>
      <c r="P112" s="3"/>
      <c r="Q112" s="3"/>
    </row>
    <row r="113" spans="11:17" x14ac:dyDescent="0.25">
      <c r="K113" s="3">
        <v>78</v>
      </c>
      <c r="L113" s="3">
        <f t="shared" si="2"/>
        <v>3.899999999999999</v>
      </c>
      <c r="M113" s="3">
        <f t="shared" si="3"/>
        <v>12.527159801231999</v>
      </c>
      <c r="N113" s="3"/>
      <c r="O113" s="3"/>
      <c r="P113" s="3"/>
      <c r="Q113" s="3"/>
    </row>
    <row r="114" spans="11:17" x14ac:dyDescent="0.25">
      <c r="K114" s="3">
        <v>79</v>
      </c>
      <c r="L114" s="3">
        <f t="shared" si="2"/>
        <v>3.9499999999999993</v>
      </c>
      <c r="M114" s="3">
        <f t="shared" si="3"/>
        <v>12.395628269372896</v>
      </c>
      <c r="N114" s="3"/>
      <c r="O114" s="3"/>
      <c r="P114" s="3"/>
      <c r="Q114" s="3"/>
    </row>
    <row r="115" spans="11:17" x14ac:dyDescent="0.25">
      <c r="K115" s="3">
        <v>80</v>
      </c>
      <c r="L115" s="3">
        <f t="shared" si="2"/>
        <v>3.9999999999999991</v>
      </c>
      <c r="M115" s="3">
        <f t="shared" si="3"/>
        <v>12.257025455694173</v>
      </c>
      <c r="N115" s="3"/>
      <c r="O115" s="3"/>
      <c r="P115" s="3"/>
      <c r="Q115" s="3"/>
    </row>
    <row r="116" spans="11:17" x14ac:dyDescent="0.25">
      <c r="K116" s="3">
        <v>81</v>
      </c>
      <c r="L116" s="3">
        <f t="shared" si="2"/>
        <v>4.0499999999999989</v>
      </c>
      <c r="M116" s="3">
        <f t="shared" si="3"/>
        <v>12.11135136019583</v>
      </c>
      <c r="N116" s="3"/>
      <c r="O116" s="3"/>
      <c r="P116" s="3"/>
      <c r="Q116" s="3"/>
    </row>
    <row r="117" spans="11:17" x14ac:dyDescent="0.25">
      <c r="K117" s="3">
        <v>82</v>
      </c>
      <c r="L117" s="3">
        <f t="shared" si="2"/>
        <v>4.0999999999999988</v>
      </c>
      <c r="M117" s="3">
        <f t="shared" si="3"/>
        <v>11.958605982877874</v>
      </c>
      <c r="N117" s="3"/>
      <c r="O117" s="3"/>
      <c r="P117" s="3"/>
      <c r="Q117" s="3"/>
    </row>
    <row r="118" spans="11:17" x14ac:dyDescent="0.25">
      <c r="K118" s="3">
        <v>83</v>
      </c>
      <c r="L118" s="3">
        <f t="shared" si="2"/>
        <v>4.1499999999999995</v>
      </c>
      <c r="M118" s="3">
        <f t="shared" si="3"/>
        <v>11.798789323740298</v>
      </c>
      <c r="N118" s="3"/>
      <c r="O118" s="3"/>
      <c r="P118" s="3"/>
      <c r="Q118" s="3"/>
    </row>
    <row r="119" spans="11:17" x14ac:dyDescent="0.25">
      <c r="K119" s="3">
        <v>84</v>
      </c>
      <c r="L119" s="3">
        <f t="shared" si="2"/>
        <v>4.1999999999999993</v>
      </c>
      <c r="M119" s="3">
        <f t="shared" si="3"/>
        <v>11.631901382783106</v>
      </c>
      <c r="N119" s="3"/>
      <c r="O119" s="3"/>
      <c r="P119" s="3"/>
      <c r="Q119" s="3"/>
    </row>
    <row r="120" spans="11:17" x14ac:dyDescent="0.25">
      <c r="K120" s="3">
        <v>85</v>
      </c>
      <c r="L120" s="3">
        <f t="shared" si="2"/>
        <v>4.2499999999999991</v>
      </c>
      <c r="M120" s="3">
        <f t="shared" si="3"/>
        <v>11.457942160006294</v>
      </c>
      <c r="N120" s="3"/>
      <c r="O120" s="3"/>
      <c r="P120" s="3"/>
      <c r="Q120" s="3"/>
    </row>
    <row r="121" spans="11:17" x14ac:dyDescent="0.25">
      <c r="K121" s="3">
        <v>86</v>
      </c>
      <c r="L121" s="3">
        <f t="shared" si="2"/>
        <v>4.2999999999999989</v>
      </c>
      <c r="M121" s="3">
        <f t="shared" si="3"/>
        <v>11.276911655409869</v>
      </c>
      <c r="N121" s="3"/>
      <c r="O121" s="3"/>
      <c r="P121" s="3"/>
      <c r="Q121" s="3"/>
    </row>
    <row r="122" spans="11:17" x14ac:dyDescent="0.25">
      <c r="K122" s="3">
        <v>87</v>
      </c>
      <c r="L122" s="3">
        <f t="shared" si="2"/>
        <v>4.3499999999999988</v>
      </c>
      <c r="M122" s="3">
        <f t="shared" si="3"/>
        <v>11.088809868993824</v>
      </c>
      <c r="N122" s="3"/>
      <c r="O122" s="3"/>
      <c r="P122" s="3"/>
      <c r="Q122" s="3"/>
    </row>
    <row r="123" spans="11:17" x14ac:dyDescent="0.25">
      <c r="K123" s="3">
        <v>88</v>
      </c>
      <c r="L123" s="3">
        <f t="shared" si="2"/>
        <v>4.3999999999999986</v>
      </c>
      <c r="M123" s="3">
        <f t="shared" si="3"/>
        <v>10.893636800758156</v>
      </c>
      <c r="N123" s="3"/>
      <c r="O123" s="3"/>
      <c r="P123" s="3"/>
      <c r="Q123" s="3"/>
    </row>
    <row r="124" spans="11:17" x14ac:dyDescent="0.25">
      <c r="K124" s="3">
        <v>89</v>
      </c>
      <c r="L124" s="3">
        <f t="shared" si="2"/>
        <v>4.4499999999999993</v>
      </c>
      <c r="M124" s="3">
        <f t="shared" si="3"/>
        <v>10.691392450702867</v>
      </c>
      <c r="N124" s="3"/>
      <c r="O124" s="3"/>
      <c r="P124" s="3"/>
      <c r="Q124" s="3"/>
    </row>
    <row r="125" spans="11:17" x14ac:dyDescent="0.25">
      <c r="K125" s="3">
        <v>90</v>
      </c>
      <c r="L125" s="3">
        <f t="shared" si="2"/>
        <v>4.4999999999999991</v>
      </c>
      <c r="M125" s="3">
        <f t="shared" si="3"/>
        <v>10.482076818827977</v>
      </c>
      <c r="N125" s="3"/>
      <c r="O125" s="3"/>
      <c r="P125" s="3"/>
      <c r="Q125" s="3"/>
    </row>
    <row r="126" spans="11:17" x14ac:dyDescent="0.25">
      <c r="K126" s="3">
        <v>91</v>
      </c>
      <c r="L126" s="3">
        <f t="shared" si="2"/>
        <v>4.5499999999999989</v>
      </c>
      <c r="M126" s="3">
        <f t="shared" si="3"/>
        <v>10.265689905133463</v>
      </c>
      <c r="N126" s="3"/>
      <c r="O126" s="3"/>
      <c r="P126" s="3"/>
      <c r="Q126" s="3"/>
    </row>
    <row r="127" spans="11:17" x14ac:dyDescent="0.25">
      <c r="K127" s="3">
        <v>92</v>
      </c>
      <c r="L127" s="3">
        <f t="shared" si="2"/>
        <v>4.5999999999999988</v>
      </c>
      <c r="M127" s="3">
        <f t="shared" si="3"/>
        <v>10.042231709619323</v>
      </c>
      <c r="N127" s="3"/>
      <c r="O127" s="3"/>
      <c r="P127" s="3"/>
      <c r="Q127" s="3"/>
    </row>
    <row r="128" spans="11:17" x14ac:dyDescent="0.25">
      <c r="K128" s="3">
        <v>93</v>
      </c>
      <c r="L128" s="3">
        <f t="shared" si="2"/>
        <v>4.6499999999999986</v>
      </c>
      <c r="M128" s="3">
        <f t="shared" si="3"/>
        <v>9.8117022322855725</v>
      </c>
      <c r="N128" s="3"/>
      <c r="O128" s="3"/>
      <c r="P128" s="3"/>
      <c r="Q128" s="3"/>
    </row>
    <row r="129" spans="11:17" x14ac:dyDescent="0.25">
      <c r="K129" s="3">
        <v>94</v>
      </c>
      <c r="L129" s="3">
        <f t="shared" si="2"/>
        <v>4.6999999999999993</v>
      </c>
      <c r="M129" s="3">
        <f t="shared" si="3"/>
        <v>9.5741014731322025</v>
      </c>
      <c r="N129" s="3"/>
      <c r="O129" s="3"/>
      <c r="P129" s="3"/>
      <c r="Q129" s="3"/>
    </row>
    <row r="130" spans="11:17" x14ac:dyDescent="0.25">
      <c r="K130" s="3">
        <v>95</v>
      </c>
      <c r="L130" s="3">
        <f t="shared" si="2"/>
        <v>4.7499999999999991</v>
      </c>
      <c r="M130" s="3">
        <f t="shared" si="3"/>
        <v>9.3294294321592091</v>
      </c>
      <c r="N130" s="3"/>
      <c r="O130" s="3"/>
      <c r="P130" s="3"/>
      <c r="Q130" s="3"/>
    </row>
    <row r="131" spans="11:17" x14ac:dyDescent="0.25">
      <c r="K131" s="3">
        <v>96</v>
      </c>
      <c r="L131" s="3">
        <f t="shared" si="2"/>
        <v>4.7999999999999989</v>
      </c>
      <c r="M131" s="3">
        <f t="shared" si="3"/>
        <v>9.0776861093666099</v>
      </c>
      <c r="N131" s="3"/>
      <c r="O131" s="3"/>
      <c r="P131" s="3"/>
      <c r="Q131" s="3"/>
    </row>
    <row r="132" spans="11:17" x14ac:dyDescent="0.25">
      <c r="K132" s="3">
        <v>97</v>
      </c>
      <c r="L132" s="3">
        <f t="shared" si="2"/>
        <v>4.8499999999999988</v>
      </c>
      <c r="M132" s="3">
        <f t="shared" si="3"/>
        <v>8.8188715047543837</v>
      </c>
      <c r="N132" s="3"/>
      <c r="O132" s="3"/>
      <c r="P132" s="3"/>
      <c r="Q132" s="3"/>
    </row>
    <row r="133" spans="11:17" x14ac:dyDescent="0.25">
      <c r="K133" s="3">
        <v>98</v>
      </c>
      <c r="L133" s="3">
        <f t="shared" si="2"/>
        <v>4.8999999999999986</v>
      </c>
      <c r="M133" s="3">
        <f t="shared" si="3"/>
        <v>8.5529856183225448</v>
      </c>
      <c r="N133" s="3"/>
      <c r="O133" s="3"/>
      <c r="P133" s="3"/>
      <c r="Q133" s="3"/>
    </row>
    <row r="134" spans="11:17" x14ac:dyDescent="0.25">
      <c r="K134" s="3">
        <v>99</v>
      </c>
      <c r="L134" s="3">
        <f t="shared" si="2"/>
        <v>4.9499999999999993</v>
      </c>
      <c r="M134" s="3">
        <f t="shared" si="3"/>
        <v>8.2800284500710859</v>
      </c>
      <c r="N134" s="3"/>
      <c r="O134" s="3"/>
      <c r="P134" s="3"/>
      <c r="Q134" s="3"/>
    </row>
    <row r="135" spans="11:17" x14ac:dyDescent="0.25">
      <c r="K135" s="3">
        <v>100</v>
      </c>
      <c r="L135" s="3">
        <f t="shared" si="2"/>
        <v>4.9999999999999991</v>
      </c>
      <c r="M135" s="3">
        <f t="shared" si="3"/>
        <v>8</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5" priority="6" operator="lessThanOrEqual">
      <formula>0</formula>
    </cfRule>
  </conditionalFormatting>
  <conditionalFormatting sqref="D8 G8">
    <cfRule type="cellIs" dxfId="4" priority="5" operator="lessThan">
      <formula>0</formula>
    </cfRule>
  </conditionalFormatting>
  <conditionalFormatting sqref="D10 G10">
    <cfRule type="cellIs" dxfId="3" priority="3" operator="lessThanOrEqual">
      <formula>-90</formula>
    </cfRule>
    <cfRule type="cellIs" dxfId="2" priority="4" operator="greaterThanOrEqual">
      <formula>90</formula>
    </cfRule>
  </conditionalFormatting>
  <conditionalFormatting sqref="D7:D10 G7:G10">
    <cfRule type="expression" dxfId="1" priority="2">
      <formula>ISTEXT(D7)</formula>
    </cfRule>
  </conditionalFormatting>
  <conditionalFormatting sqref="D7:D10 G7:G10 I6">
    <cfRule type="containsBlanks" dxfId="0"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Metric">
              <controlPr locked="0" defaultSize="0" autoFill="0" autoLine="0" autoPict="0" macro="[0]!Projectile_Metric">
                <anchor moveWithCells="1">
                  <from>
                    <xdr:col>1</xdr:col>
                    <xdr:colOff>0</xdr:colOff>
                    <xdr:row>2</xdr:row>
                    <xdr:rowOff>180975</xdr:rowOff>
                  </from>
                  <to>
                    <xdr:col>1</xdr:col>
                    <xdr:colOff>209550</xdr:colOff>
                    <xdr:row>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1"/>
  <sheetViews>
    <sheetView workbookViewId="0">
      <selection activeCell="B20" sqref="B20"/>
    </sheetView>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21"/>
    </row>
    <row r="4" spans="1:19" ht="14.45"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ht="14.45" x14ac:dyDescent="0.3">
      <c r="B5" s="75" t="s">
        <v>6</v>
      </c>
      <c r="C5" s="76">
        <v>5330</v>
      </c>
      <c r="D5" s="76">
        <v>2.41</v>
      </c>
      <c r="E5" s="76">
        <v>2.7</v>
      </c>
      <c r="F5" s="76">
        <v>131</v>
      </c>
      <c r="G5" s="129">
        <f>(C5/60*2*PI())*D5/4</f>
        <v>336.28916760964142</v>
      </c>
      <c r="J5" s="75" t="s">
        <v>25</v>
      </c>
      <c r="K5" s="130">
        <v>6.35</v>
      </c>
      <c r="L5" s="130">
        <v>9</v>
      </c>
      <c r="M5" s="130">
        <v>5.9</v>
      </c>
      <c r="N5" s="131">
        <v>0.31</v>
      </c>
      <c r="Q5" s="132" t="s">
        <v>221</v>
      </c>
      <c r="R5" s="76">
        <v>71700</v>
      </c>
      <c r="S5" s="133">
        <v>26900</v>
      </c>
    </row>
    <row r="6" spans="1:19" x14ac:dyDescent="0.25">
      <c r="B6" s="75" t="s">
        <v>7</v>
      </c>
      <c r="C6" s="76">
        <v>5840</v>
      </c>
      <c r="D6" s="76">
        <v>1.41</v>
      </c>
      <c r="E6" s="76">
        <v>3</v>
      </c>
      <c r="F6" s="76">
        <v>89</v>
      </c>
      <c r="G6" s="129">
        <f t="shared" ref="G6" si="0">(C6/60*2*PI())*D6/4</f>
        <v>215.57608788933157</v>
      </c>
      <c r="J6" s="75" t="s">
        <v>26</v>
      </c>
      <c r="K6" s="130">
        <v>9.5299999999999994</v>
      </c>
      <c r="L6" s="130">
        <v>11.76</v>
      </c>
      <c r="M6" s="130">
        <v>8.94</v>
      </c>
      <c r="N6" s="131">
        <v>0.41</v>
      </c>
      <c r="Q6" s="132" t="s">
        <v>222</v>
      </c>
      <c r="R6" s="76">
        <v>68900</v>
      </c>
      <c r="S6" s="133">
        <v>26000</v>
      </c>
    </row>
    <row r="7" spans="1:19" x14ac:dyDescent="0.25">
      <c r="B7" s="75" t="s">
        <v>9</v>
      </c>
      <c r="C7" s="76">
        <v>5676</v>
      </c>
      <c r="D7" s="76">
        <v>2.6</v>
      </c>
      <c r="E7" s="76">
        <v>1.8</v>
      </c>
      <c r="F7" s="76">
        <v>105</v>
      </c>
      <c r="G7" s="129">
        <f t="shared" ref="G7:G25" si="1">(C7/60*2*PI())*D7/4</f>
        <v>386.35306453847278</v>
      </c>
      <c r="J7" s="75" t="s">
        <v>27</v>
      </c>
      <c r="K7" s="130">
        <v>5</v>
      </c>
      <c r="L7" s="130">
        <v>15</v>
      </c>
      <c r="M7" s="130">
        <v>3</v>
      </c>
      <c r="N7" s="131">
        <v>0</v>
      </c>
      <c r="Q7" s="132" t="s">
        <v>59</v>
      </c>
      <c r="R7" s="76">
        <v>206000</v>
      </c>
      <c r="S7" s="133">
        <v>70000</v>
      </c>
    </row>
    <row r="8" spans="1:19" x14ac:dyDescent="0.25">
      <c r="B8" s="75" t="s">
        <v>8</v>
      </c>
      <c r="C8" s="76">
        <v>13180</v>
      </c>
      <c r="D8" s="76">
        <v>0.43</v>
      </c>
      <c r="E8" s="76">
        <v>1.8</v>
      </c>
      <c r="F8" s="76">
        <v>53</v>
      </c>
      <c r="G8" s="129">
        <f t="shared" si="1"/>
        <v>148.37218504128995</v>
      </c>
      <c r="J8" s="75" t="s">
        <v>28</v>
      </c>
      <c r="K8" s="130">
        <v>3</v>
      </c>
      <c r="L8" s="130">
        <v>9</v>
      </c>
      <c r="M8" s="130">
        <v>3</v>
      </c>
      <c r="N8" s="131">
        <v>0</v>
      </c>
      <c r="Q8" s="132" t="s">
        <v>217</v>
      </c>
      <c r="R8" s="76">
        <v>193000</v>
      </c>
      <c r="S8" s="133">
        <v>77000</v>
      </c>
    </row>
    <row r="9" spans="1:19" x14ac:dyDescent="0.25">
      <c r="B9" s="75" t="s">
        <v>259</v>
      </c>
      <c r="C9" s="76">
        <v>18730</v>
      </c>
      <c r="D9" s="76">
        <v>0.71</v>
      </c>
      <c r="E9" s="76">
        <v>0.7</v>
      </c>
      <c r="F9" s="76">
        <v>134</v>
      </c>
      <c r="G9" s="129">
        <f t="shared" si="1"/>
        <v>348.14867987694288</v>
      </c>
      <c r="J9" s="75"/>
      <c r="K9" s="130"/>
      <c r="L9" s="130"/>
      <c r="M9" s="130"/>
      <c r="N9" s="131"/>
      <c r="Q9" s="132"/>
      <c r="R9" s="76"/>
      <c r="S9" s="133"/>
    </row>
    <row r="10" spans="1:19" x14ac:dyDescent="0.25">
      <c r="B10" s="75" t="s">
        <v>335</v>
      </c>
      <c r="C10" s="76">
        <v>21020</v>
      </c>
      <c r="D10" s="76">
        <v>0.7</v>
      </c>
      <c r="E10" s="76">
        <v>3.8</v>
      </c>
      <c r="F10" s="76">
        <v>130</v>
      </c>
      <c r="G10" s="129">
        <f t="shared" si="1"/>
        <v>385.21161920766843</v>
      </c>
      <c r="J10" s="75"/>
      <c r="K10" s="130"/>
      <c r="L10" s="130"/>
      <c r="M10" s="130"/>
      <c r="N10" s="131"/>
      <c r="Q10" s="132"/>
      <c r="R10" s="76"/>
      <c r="S10" s="133"/>
    </row>
    <row r="11" spans="1:19" x14ac:dyDescent="0.25">
      <c r="B11" s="75" t="s">
        <v>10</v>
      </c>
      <c r="C11" s="76">
        <v>5800</v>
      </c>
      <c r="D11" s="76">
        <v>0.28000000000000003</v>
      </c>
      <c r="E11" s="76">
        <v>1.6</v>
      </c>
      <c r="F11" s="76">
        <v>18</v>
      </c>
      <c r="G11" s="129">
        <f t="shared" si="1"/>
        <v>42.516220578581873</v>
      </c>
      <c r="J11" s="75"/>
      <c r="K11" s="130"/>
      <c r="L11" s="130"/>
      <c r="M11" s="130"/>
      <c r="N11" s="131"/>
      <c r="Q11" s="132"/>
      <c r="R11" s="76"/>
      <c r="S11" s="133"/>
    </row>
    <row r="12" spans="1:19" x14ac:dyDescent="0.25">
      <c r="B12" s="75" t="s">
        <v>11</v>
      </c>
      <c r="C12" s="76">
        <v>14270</v>
      </c>
      <c r="D12" s="76">
        <v>0.36</v>
      </c>
      <c r="E12" s="76">
        <v>3.7</v>
      </c>
      <c r="F12" s="76">
        <v>71</v>
      </c>
      <c r="G12" s="129">
        <f t="shared" si="1"/>
        <v>134.49158150017905</v>
      </c>
    </row>
    <row r="13" spans="1:19" x14ac:dyDescent="0.25">
      <c r="B13" s="75" t="s">
        <v>12</v>
      </c>
      <c r="C13" s="76">
        <v>5508</v>
      </c>
      <c r="D13" s="76">
        <v>3.82</v>
      </c>
      <c r="E13" s="76">
        <v>8.16</v>
      </c>
      <c r="F13" s="76">
        <v>220</v>
      </c>
      <c r="G13" s="129">
        <f t="shared" si="1"/>
        <v>550.84057269512709</v>
      </c>
      <c r="J13" s="1" t="s">
        <v>29</v>
      </c>
    </row>
    <row r="14" spans="1:19" x14ac:dyDescent="0.25">
      <c r="B14" s="75" t="s">
        <v>13</v>
      </c>
      <c r="C14" s="76">
        <v>5593</v>
      </c>
      <c r="D14" s="76">
        <v>5.23</v>
      </c>
      <c r="E14" s="76">
        <v>9.6199999999999992</v>
      </c>
      <c r="F14" s="76">
        <v>309</v>
      </c>
      <c r="G14" s="129">
        <f t="shared" si="1"/>
        <v>765.79959942741618</v>
      </c>
    </row>
    <row r="15" spans="1:19" x14ac:dyDescent="0.25">
      <c r="B15" s="75" t="s">
        <v>14</v>
      </c>
      <c r="C15" s="76">
        <v>5437</v>
      </c>
      <c r="D15" s="76">
        <v>6.23</v>
      </c>
      <c r="E15" s="76">
        <v>9.15</v>
      </c>
      <c r="F15" s="76">
        <v>351</v>
      </c>
      <c r="G15" s="129">
        <f t="shared" si="1"/>
        <v>886.78023812205663</v>
      </c>
    </row>
    <row r="16" spans="1:19" x14ac:dyDescent="0.25">
      <c r="B16" s="75" t="s">
        <v>334</v>
      </c>
      <c r="C16" s="76">
        <v>13050</v>
      </c>
      <c r="D16" s="76">
        <v>0.72</v>
      </c>
      <c r="E16" s="76">
        <v>2.7</v>
      </c>
      <c r="F16" s="76">
        <v>97</v>
      </c>
      <c r="G16" s="129">
        <f t="shared" si="1"/>
        <v>245.98670477608078</v>
      </c>
    </row>
    <row r="17" spans="2:13" x14ac:dyDescent="0.25">
      <c r="B17" s="75" t="s">
        <v>333</v>
      </c>
      <c r="C17" s="76">
        <v>19000</v>
      </c>
      <c r="D17" s="76">
        <v>0.38</v>
      </c>
      <c r="E17" s="76">
        <v>0.4</v>
      </c>
      <c r="F17" s="76">
        <v>84</v>
      </c>
      <c r="G17" s="129">
        <f t="shared" si="1"/>
        <v>189.01915799098592</v>
      </c>
    </row>
    <row r="18" spans="2:13" x14ac:dyDescent="0.25">
      <c r="B18" s="75" t="s">
        <v>15</v>
      </c>
      <c r="C18" s="76">
        <v>100</v>
      </c>
      <c r="D18" s="76">
        <v>7.91</v>
      </c>
      <c r="E18" s="76">
        <v>5</v>
      </c>
      <c r="F18" s="76">
        <v>24</v>
      </c>
      <c r="G18" s="129">
        <f t="shared" si="1"/>
        <v>20.708331574912719</v>
      </c>
      <c r="M18" s="4"/>
    </row>
    <row r="19" spans="2:13" x14ac:dyDescent="0.25">
      <c r="B19" s="75" t="s">
        <v>337</v>
      </c>
      <c r="C19" s="76">
        <v>6600</v>
      </c>
      <c r="D19" s="76">
        <v>6.1800000000000001E-2</v>
      </c>
      <c r="E19" s="76">
        <v>2</v>
      </c>
      <c r="F19" s="76">
        <v>11.5</v>
      </c>
      <c r="G19" s="129">
        <f t="shared" si="1"/>
        <v>10.678273429551707</v>
      </c>
      <c r="M19" s="4"/>
    </row>
    <row r="20" spans="2:13" x14ac:dyDescent="0.25">
      <c r="B20" s="75" t="s">
        <v>16</v>
      </c>
      <c r="C20" s="76">
        <v>5300</v>
      </c>
      <c r="D20" s="76">
        <v>0.13</v>
      </c>
      <c r="E20" s="76">
        <v>1</v>
      </c>
      <c r="F20" s="76">
        <v>7</v>
      </c>
      <c r="G20" s="129">
        <f t="shared" si="1"/>
        <v>18.037977819361398</v>
      </c>
    </row>
    <row r="21" spans="2:13" x14ac:dyDescent="0.25">
      <c r="B21" s="75" t="s">
        <v>17</v>
      </c>
      <c r="C21" s="76">
        <v>24</v>
      </c>
      <c r="D21" s="76">
        <v>22</v>
      </c>
      <c r="E21" s="76">
        <v>3</v>
      </c>
      <c r="F21" s="76">
        <v>12</v>
      </c>
      <c r="G21" s="129">
        <f t="shared" si="1"/>
        <v>13.82300767579509</v>
      </c>
    </row>
    <row r="22" spans="2:13" x14ac:dyDescent="0.25">
      <c r="B22" s="75" t="s">
        <v>18</v>
      </c>
      <c r="C22" s="76">
        <v>3084</v>
      </c>
      <c r="D22" s="76">
        <v>0.32</v>
      </c>
      <c r="E22" s="76">
        <v>0.28000000000000003</v>
      </c>
      <c r="F22" s="76">
        <v>6.5</v>
      </c>
      <c r="G22" s="129">
        <f t="shared" si="1"/>
        <v>25.836457983122461</v>
      </c>
    </row>
    <row r="23" spans="2:13" x14ac:dyDescent="0.25">
      <c r="B23" s="75" t="s">
        <v>19</v>
      </c>
      <c r="C23" s="76">
        <v>90</v>
      </c>
      <c r="D23" s="76">
        <v>9.24</v>
      </c>
      <c r="E23" s="76">
        <v>1.5</v>
      </c>
      <c r="F23" s="76">
        <v>16.25</v>
      </c>
      <c r="G23" s="129">
        <f t="shared" si="1"/>
        <v>21.771237089377266</v>
      </c>
    </row>
    <row r="24" spans="2:13" x14ac:dyDescent="0.25">
      <c r="B24" s="75"/>
      <c r="C24" s="76"/>
      <c r="D24" s="76"/>
      <c r="E24" s="76"/>
      <c r="F24" s="76"/>
      <c r="G24" s="129">
        <f t="shared" si="1"/>
        <v>0</v>
      </c>
    </row>
    <row r="25" spans="2:13" x14ac:dyDescent="0.25">
      <c r="B25" s="75"/>
      <c r="C25" s="76"/>
      <c r="D25" s="76"/>
      <c r="E25" s="76"/>
      <c r="F25" s="76"/>
      <c r="G25" s="129">
        <f t="shared" si="1"/>
        <v>0</v>
      </c>
    </row>
    <row r="26" spans="2:13" x14ac:dyDescent="0.25">
      <c r="B26" s="75"/>
      <c r="C26" s="76"/>
      <c r="D26" s="76"/>
      <c r="E26" s="76"/>
      <c r="F26" s="76"/>
      <c r="G26" s="129">
        <f t="shared" ref="G26:G28" si="2">(C26/60*2*PI())*D26/4</f>
        <v>0</v>
      </c>
    </row>
    <row r="27" spans="2:13" x14ac:dyDescent="0.25">
      <c r="B27" s="75"/>
      <c r="C27" s="76"/>
      <c r="D27" s="76"/>
      <c r="E27" s="76"/>
      <c r="F27" s="76"/>
      <c r="G27" s="129">
        <f t="shared" si="2"/>
        <v>0</v>
      </c>
    </row>
    <row r="28" spans="2:13" x14ac:dyDescent="0.25">
      <c r="B28" s="75"/>
      <c r="C28" s="76"/>
      <c r="D28" s="76"/>
      <c r="E28" s="76"/>
      <c r="F28" s="76"/>
      <c r="G28" s="129">
        <f t="shared" si="2"/>
        <v>0</v>
      </c>
    </row>
    <row r="31" spans="2:13" x14ac:dyDescent="0.25">
      <c r="B31"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15</vt:i4>
      </vt:variant>
    </vt:vector>
  </HeadingPairs>
  <TitlesOfParts>
    <vt:vector size="31"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sdbg</vt:lpstr>
      <vt:lpstr>sfd</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2019-08-26T21:56:16Z</dcterms:modified>
</cp:coreProperties>
</file>