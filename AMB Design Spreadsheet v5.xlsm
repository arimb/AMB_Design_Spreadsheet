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9.xml" ContentType="application/vnd.ms-excel.controlproperties+xml"/>
  <Override PartName="/xl/charts/chart1.xml" ContentType="application/vnd.openxmlformats-officedocument.drawingml.chart+xml"/>
  <Override PartName="/xl/drawings/drawing7.xml" ContentType="application/vnd.openxmlformats-officedocument.drawing+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drawings/drawing10.xml" ContentType="application/vnd.openxmlformats-officedocument.drawing+xml"/>
  <Override PartName="/xl/ctrlProps/ctrlProp23.xml" ContentType="application/vnd.ms-excel.controlproperties+xml"/>
  <Override PartName="/xl/charts/chart2.xml" ContentType="application/vnd.openxmlformats-officedocument.drawingml.chart+xml"/>
  <Override PartName="/xl/drawings/drawing11.xml" ContentType="application/vnd.openxmlformats-officedocument.drawing+xml"/>
  <Override PartName="/xl/ctrlProps/ctrlProp24.xml" ContentType="application/vnd.ms-excel.controlproperties+xml"/>
  <Override PartName="/xl/ctrlProps/ctrlProp25.xml" ContentType="application/vnd.ms-excel.controlproperties+xml"/>
  <Override PartName="/xl/charts/chart3.xml" ContentType="application/vnd.openxmlformats-officedocument.drawingml.chart+xml"/>
  <Override PartName="/xl/drawings/drawing12.xml" ContentType="application/vnd.openxmlformats-officedocument.drawing+xml"/>
  <Override PartName="/xl/ctrlProps/ctrlProp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026" codeName="{4AEB4F63-F33D-04DF-ECAF-5796C6CBFC7C}"/>
  <workbookPr showInkAnnotation="0" codeName="ThisWorkbook" defaultThemeVersion="124226"/>
  <mc:AlternateContent xmlns:mc="http://schemas.openxmlformats.org/markup-compatibility/2006">
    <mc:Choice Requires="x15">
      <x15ac:absPath xmlns:x15ac="http://schemas.microsoft.com/office/spreadsheetml/2010/11/ac" url="C:\Users\arimb\Documents\Robotics\AMB_Design_Spreadsheet\"/>
    </mc:Choice>
  </mc:AlternateContent>
  <xr:revisionPtr revIDLastSave="0" documentId="13_ncr:1_{F93908B2-DEA6-49C6-9E8E-A58184019C7A}" xr6:coauthVersionLast="45" xr6:coauthVersionMax="45" xr10:uidLastSave="{00000000-0000-0000-0000-000000000000}"/>
  <bookViews>
    <workbookView xWindow="-108" yWindow="-108" windowWidth="23256" windowHeight="13176" activeTab="12" xr2:uid="{00000000-000D-0000-FFFF-FFFF00000000}"/>
  </bookViews>
  <sheets>
    <sheet name="HOME" sheetId="15" r:id="rId1"/>
    <sheet name="±ÉÇÌÅÒÍ×Ñ¶ÅØÍÓ" sheetId="1" state="hidden" r:id="rId2"/>
    <sheet name="°ÉÅÈ·ÇÖÉÛ" sheetId="5" state="hidden" r:id="rId3"/>
    <sheet name="¨ÖÍÚÉØÖÅÍÒ" sheetId="7" state="hidden" r:id="rId4"/>
    <sheet name="¦ÉÅÑ¦ÉÒÈ" sheetId="8" state="hidden" r:id="rId5"/>
    <sheet name="´ÖÓÎÉÇØÍÐÉ" sheetId="9" state="hidden" r:id="rId6"/>
    <sheet name="§ÌÅÍÒ¦ÉÐØ" sheetId="10" state="hidden" r:id="rId7"/>
    <sheet name="«ÉÅÖ§ÐÉÅÖ" sheetId="11" state="hidden" r:id="rId8"/>
    <sheet name="¶ÅØÍÓ¨Í×Ø" sheetId="12" state="hidden" r:id="rId9"/>
    <sheet name="´ÒÉÙÑÅØÍÇ×" sheetId="13" state="hidden" r:id="rId10"/>
    <sheet name="´ÒÉÙ°ÍÒÏÅËÉ" sheetId="14" state="hidden" r:id="rId11"/>
    <sheet name="º´¨ÅØÅ" sheetId="16" state="hidden" r:id="rId12"/>
    <sheet name="ºÉÖ×Å´ÐÅÒÉØÅÖÝ" sheetId="17" r:id="rId13"/>
    <sheet name="Specs" sheetId="3" r:id="rId14"/>
  </sheets>
  <externalReferences>
    <externalReference r:id="rId15"/>
  </externalReferences>
  <definedNames>
    <definedName name="ChainBelts">Specs!$J$5:$J$11</definedName>
    <definedName name="ChainBeltSpecs">Specs!$J$5:$N$11</definedName>
    <definedName name="Eval_Links_Teeth" localSheetId="10">EVALUATE(CHOOSE(MATCH(´ÒÉÙ°ÍÒÏÅËÉ!A1048572, {"Nearest","Up","Down"}, 0), "MROUND", "CEILING", "FLOOR") &amp; "(" &amp; 2/´ÒÉÙ°ÍÒÏÅËÉ!XEY5*SQRT((´ÒÉÙ°ÍÒÏÅËÉ!A1048571-´ÒÉÙ°ÍÒÏÅËÉ!XEY8)^2-(´ÒÉÙ°ÍÒÏÅËÉ!XEY1048574/2-´ÒÉÙ°ÍÒÏÅËÉ!XEY1/2)^2)+(´ÒÉÙ°ÍÒÏÅËÉ!XEY1048573-´ÒÉÙ°ÍÒÏÅËÉ!XEY1048576)*ACOS((´ÒÉÙ°ÍÒÏÅËÉ!XEY1-´ÒÉÙ°ÍÒÏÅËÉ!XEY1048574)/(2*(´ÒÉÙ°ÍÒÏÅËÉ!A1048571-´ÒÉÙ°ÍÒÏÅËÉ!XEY8)))/PI()+´ÒÉÙ°ÍÒÏÅËÉ!XEY1048576 &amp; "," &amp; ´ÒÉÙ°ÍÒÏÅËÉ!A1048573 &amp; ")")</definedName>
    <definedName name="Eval_Links_Teeth" localSheetId="9">EVALUATE(CHOOSE(MATCH(´ÒÉÙÑÅØÍÇ×!A1048572, {"Nearest","Up","Down"}, 0), "MROUND", "CEILING", "FLOOR") &amp; "(" &amp; 2/´ÒÉÙÑÅØÍÇ×!XEY5*SQRT((´ÒÉÙÑÅØÍÇ×!A1048571-´ÒÉÙÑÅØÍÇ×!XEY8)^2-(´ÒÉÙÑÅØÍÇ×!XEY1048574/2-´ÒÉÙÑÅØÍÇ×!XEY1/2)^2)+(´ÒÉÙÑÅØÍÇ×!XEY1048573-´ÒÉÙÑÅØÍÇ×!XEY1048576)*ACOS((´ÒÉÙÑÅØÍÇ×!XEY1-´ÒÉÙÑÅØÍÇ×!XEY1048574)/(2*(´ÒÉÙÑÅØÍÇ×!A1048571-´ÒÉÙÑÅØÍÇ×!XEY8)))/PI()+´ÒÉÙÑÅØÍÇ×!XEY1048576 &amp; "," &amp; ´ÒÉÙÑÅØÍÇ×!A1048573 &amp; ")")</definedName>
    <definedName name="Eval_Links_Teeth" localSheetId="7">EVALUATE(CHOOSE(MATCH('«ÉÅÖ§ÐÉÅÖ'!A1048572, {"Nearest","Up","Down"}, 0), "MROUND", "CEILING", "FLOOR") &amp; "(" &amp; 2/'«ÉÅÖ§ÐÉÅÖ'!XEY5*SQRT(('«ÉÅÖ§ÐÉÅÖ'!A1048571-'«ÉÅÖ§ÐÉÅÖ'!XEY8)^2-('«ÉÅÖ§ÐÉÅÖ'!XEY1048574/2-'«ÉÅÖ§ÐÉÅÖ'!XEY1/2)^2)+('«ÉÅÖ§ÐÉÅÖ'!XEY1048573-'«ÉÅÖ§ÐÉÅÖ'!XEY1048576)*ACOS(('«ÉÅÖ§ÐÉÅÖ'!XEY1-'«ÉÅÖ§ÐÉÅÖ'!XEY1048574)/(2*('«ÉÅÖ§ÐÉÅÖ'!A1048571-'«ÉÅÖ§ÐÉÅÖ'!XEY8)))/PI()+'«ÉÅÖ§ÐÉÅÖ'!XEY1048576 &amp; "," &amp; '«ÉÅÖ§ÐÉÅÖ'!A1048573 &amp; ")")</definedName>
    <definedName name="Eval_Links_Teeth" localSheetId="8">EVALUATE(CHOOSE(MATCH(¶ÅØÍÓ¨Í×Ø!A1048572, {"Nearest","Up","Down"}, 0), "MROUND", "CEILING", "FLOOR") &amp; "(" &amp; 2/¶ÅØÍÓ¨Í×Ø!XEY5*SQRT((¶ÅØÍÓ¨Í×Ø!A1048571-¶ÅØÍÓ¨Í×Ø!XEY8)^2-(¶ÅØÍÓ¨Í×Ø!XEY1048574/2-¶ÅØÍÓ¨Í×Ø!XEY1/2)^2)+(¶ÅØÍÓ¨Í×Ø!XEY1048573-¶ÅØÍÓ¨Í×Ø!XEY1048576)*ACOS((¶ÅØÍÓ¨Í×Ø!XEY1-¶ÅØÍÓ¨Í×Ø!XEY1048574)/(2*(¶ÅØÍÓ¨Í×Ø!A1048571-¶ÅØÍÓ¨Í×Ø!XEY8)))/PI()+¶ÅØÍÓ¨Í×Ø!XEY1048576 &amp; "," &amp; ¶ÅØÍÓ¨Í×Ø!A1048573 &amp; ")")</definedName>
    <definedName name="Eval_Links_Teeth">EVALUATE(CHOOSE(MATCH('§ÌÅÍÒ¦ÉÐØ'!A1048572, {"Nearest","Up","Down"}, 0), "MROUND", "CEILING", "FLOOR") &amp; "(" &amp; 2/'§ÌÅÍÒ¦ÉÐØ'!XEY5*SQRT(('§ÌÅÍÒ¦ÉÐØ'!A1048571-'§ÌÅÍÒ¦ÉÐØ'!XEY8)^2-('§ÌÅÍÒ¦ÉÐØ'!XEY1048574/2-'§ÌÅÍÒ¦ÉÐØ'!XEY1/2)^2)+('§ÌÅÍÒ¦ÉÐØ'!XEY1048573-'§ÌÅÍÒ¦ÉÐØ'!XEY1048576)*ACOS(('§ÌÅÍÒ¦ÉÐØ'!XEY1-'§ÌÅÍÒ¦ÉÐØ'!XEY1048574)/(2*('§ÌÅÍÒ¦ÉÐØ'!A1048571-'§ÌÅÍÒ¦ÉÐØ'!XEY8)))/PI()+'§ÌÅÍÒ¦ÉÐØ'!XEY1048576 &amp; "," &amp; '§ÌÅÍÒ¦ÉÐØ'!A1048573 &amp; ")")</definedName>
    <definedName name="Materials">Specs!$Q$5:$Q$11</definedName>
    <definedName name="MaterialSpecs">Specs!$Q$5:$S$11</definedName>
    <definedName name="Motors" localSheetId="0">[1]UsefulValues!$H$4:$H$24</definedName>
    <definedName name="Motors">Specs!$B$5:$B$28</definedName>
    <definedName name="MotorSpecs">Specs!$B$5:$G$28</definedName>
    <definedName name="VP_180">º´¨ÅØÅ!$I$43:$N$44</definedName>
    <definedName name="VP_90">º´¨ÅØÅ!$I$48:$N$49</definedName>
    <definedName name="VP_Base">º´¨ÅØÅ!$I$3:$N$7</definedName>
    <definedName name="VP_DualMotor">º´¨ÅØÅ!$I$32:$N$39</definedName>
    <definedName name="VP_Encoder">º´¨ÅØÅ!$I$57:$N$58</definedName>
    <definedName name="VP_Load">º´¨ÅØÅ!$D$2:$F$841</definedName>
    <definedName name="VP_Motor">º´¨ÅØÅ!$I$11:$N$18</definedName>
    <definedName name="VP_Ratchet">º´¨ÅØÅ!$I$53:$N$54</definedName>
    <definedName name="VP_Stage">º´¨ÅØÅ!$I$22:$N$28</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29" i="3" l="1"/>
  <c r="G30" i="3"/>
  <c r="G27" i="3"/>
  <c r="G12" i="3"/>
  <c r="G11" i="3"/>
  <c r="G17" i="3"/>
  <c r="G9" i="3"/>
  <c r="G8" i="3"/>
  <c r="G6" i="3" l="1"/>
  <c r="G7" i="3"/>
  <c r="G10" i="3"/>
  <c r="G13" i="3"/>
  <c r="G14" i="3"/>
  <c r="G24" i="3"/>
  <c r="G25" i="3"/>
  <c r="G26" i="3"/>
  <c r="G15" i="3"/>
  <c r="G16" i="3"/>
  <c r="G18" i="3"/>
  <c r="G19" i="3"/>
  <c r="G20" i="3"/>
  <c r="G21" i="3"/>
  <c r="G22" i="3"/>
  <c r="G23" i="3"/>
  <c r="G28" i="3"/>
  <c r="G5" i="3"/>
  <c r="D17" i="17" l="1"/>
  <c r="D19" i="17" s="1"/>
  <c r="D18" i="17" l="1"/>
  <c r="M6" i="17"/>
  <c r="J6" i="17"/>
  <c r="C19" i="17"/>
  <c r="D27" i="17"/>
  <c r="D23" i="17"/>
  <c r="E7" i="17"/>
  <c r="D841" i="16"/>
  <c r="D840" i="16"/>
  <c r="D839" i="16"/>
  <c r="D838" i="16"/>
  <c r="D837" i="16"/>
  <c r="D836" i="16"/>
  <c r="D835" i="16"/>
  <c r="D834" i="16"/>
  <c r="D833" i="16"/>
  <c r="D832" i="16"/>
  <c r="D831" i="16"/>
  <c r="D830" i="16"/>
  <c r="D829" i="16"/>
  <c r="D828" i="16"/>
  <c r="D827" i="16"/>
  <c r="D826" i="16"/>
  <c r="D825" i="16"/>
  <c r="D824" i="16"/>
  <c r="D823" i="16"/>
  <c r="D822" i="16"/>
  <c r="D821" i="16"/>
  <c r="D820" i="16"/>
  <c r="D819" i="16"/>
  <c r="D818" i="16"/>
  <c r="D817" i="16"/>
  <c r="D816" i="16"/>
  <c r="D815" i="16"/>
  <c r="D814" i="16"/>
  <c r="D813" i="16"/>
  <c r="D812" i="16"/>
  <c r="D811" i="16"/>
  <c r="D810" i="16"/>
  <c r="D809" i="16"/>
  <c r="D808" i="16"/>
  <c r="D807" i="16"/>
  <c r="D806" i="16"/>
  <c r="D805" i="16"/>
  <c r="D804" i="16"/>
  <c r="D803" i="16"/>
  <c r="D802" i="16"/>
  <c r="D801" i="16"/>
  <c r="D800" i="16"/>
  <c r="D799" i="16"/>
  <c r="D798" i="16"/>
  <c r="D797" i="16"/>
  <c r="D796" i="16"/>
  <c r="D795" i="16"/>
  <c r="D794" i="16"/>
  <c r="D793" i="16"/>
  <c r="D792" i="16"/>
  <c r="D791" i="16"/>
  <c r="D790" i="16"/>
  <c r="D789" i="16"/>
  <c r="D788" i="16"/>
  <c r="D787" i="16"/>
  <c r="D786" i="16"/>
  <c r="D785" i="16"/>
  <c r="D784" i="16"/>
  <c r="D783" i="16"/>
  <c r="D782" i="16"/>
  <c r="D781" i="16"/>
  <c r="D780" i="16"/>
  <c r="D779" i="16"/>
  <c r="D778" i="16"/>
  <c r="D777" i="16"/>
  <c r="D776" i="16"/>
  <c r="D775" i="16"/>
  <c r="D774" i="16"/>
  <c r="D773" i="16"/>
  <c r="D772" i="16"/>
  <c r="D771" i="16"/>
  <c r="D770" i="16"/>
  <c r="D769" i="16"/>
  <c r="D768" i="16"/>
  <c r="D767" i="16"/>
  <c r="D766" i="16"/>
  <c r="D765" i="16"/>
  <c r="D764" i="16"/>
  <c r="D763" i="16"/>
  <c r="D762" i="16"/>
  <c r="D761" i="16"/>
  <c r="D760" i="16"/>
  <c r="D759" i="16"/>
  <c r="D758" i="16"/>
  <c r="D757" i="16"/>
  <c r="D756" i="16"/>
  <c r="D755" i="16"/>
  <c r="D754" i="16"/>
  <c r="D753" i="16"/>
  <c r="D752" i="16"/>
  <c r="D751" i="16"/>
  <c r="D750" i="16"/>
  <c r="D749" i="16"/>
  <c r="D748" i="16"/>
  <c r="D747" i="16"/>
  <c r="D746" i="16"/>
  <c r="D745" i="16"/>
  <c r="D744" i="16"/>
  <c r="D743" i="16"/>
  <c r="D742" i="16"/>
  <c r="D741" i="16"/>
  <c r="D740" i="16"/>
  <c r="D739" i="16"/>
  <c r="D738" i="16"/>
  <c r="D737" i="16"/>
  <c r="D736" i="16"/>
  <c r="D735" i="16"/>
  <c r="D734" i="16"/>
  <c r="D733" i="16"/>
  <c r="D732" i="16"/>
  <c r="D731" i="16"/>
  <c r="D730" i="16"/>
  <c r="D729" i="16"/>
  <c r="D728" i="16"/>
  <c r="D727" i="16"/>
  <c r="D726" i="16"/>
  <c r="D725" i="16"/>
  <c r="D724" i="16"/>
  <c r="D723" i="16"/>
  <c r="D722" i="16"/>
  <c r="D721" i="16"/>
  <c r="D720" i="16"/>
  <c r="D719" i="16"/>
  <c r="D718" i="16"/>
  <c r="D717" i="16"/>
  <c r="D716" i="16"/>
  <c r="D715" i="16"/>
  <c r="D714" i="16"/>
  <c r="D713" i="16"/>
  <c r="D712" i="16"/>
  <c r="D711" i="16"/>
  <c r="D710" i="16"/>
  <c r="D709" i="16"/>
  <c r="D708" i="16"/>
  <c r="D707" i="16"/>
  <c r="D706" i="16"/>
  <c r="D705" i="16"/>
  <c r="D704" i="16"/>
  <c r="D703" i="16"/>
  <c r="D702" i="16"/>
  <c r="D701" i="16"/>
  <c r="D700" i="16"/>
  <c r="D699" i="16"/>
  <c r="D698" i="16"/>
  <c r="D697" i="16"/>
  <c r="D696" i="16"/>
  <c r="D695" i="16"/>
  <c r="D694" i="16"/>
  <c r="D693" i="16"/>
  <c r="D692" i="16"/>
  <c r="D691" i="16"/>
  <c r="D690" i="16"/>
  <c r="D689" i="16"/>
  <c r="D688" i="16"/>
  <c r="D687" i="16"/>
  <c r="D686" i="16"/>
  <c r="D685" i="16"/>
  <c r="D684" i="16"/>
  <c r="D683" i="16"/>
  <c r="D682" i="16"/>
  <c r="D681" i="16"/>
  <c r="D680" i="16"/>
  <c r="D679" i="16"/>
  <c r="D678" i="16"/>
  <c r="D677" i="16"/>
  <c r="D676" i="16"/>
  <c r="D675" i="16"/>
  <c r="D674" i="16"/>
  <c r="D673" i="16"/>
  <c r="D672" i="16"/>
  <c r="D671" i="16"/>
  <c r="D670" i="16"/>
  <c r="D669" i="16"/>
  <c r="D668" i="16"/>
  <c r="D667" i="16"/>
  <c r="D666" i="16"/>
  <c r="D665" i="16"/>
  <c r="D664" i="16"/>
  <c r="D663" i="16"/>
  <c r="D662" i="16"/>
  <c r="D661" i="16"/>
  <c r="D660" i="16"/>
  <c r="D659" i="16"/>
  <c r="D658" i="16"/>
  <c r="D657" i="16"/>
  <c r="D656" i="16"/>
  <c r="D655" i="16"/>
  <c r="D654" i="16"/>
  <c r="D653" i="16"/>
  <c r="D652" i="16"/>
  <c r="D651" i="16"/>
  <c r="D650" i="16"/>
  <c r="D649" i="16"/>
  <c r="D648" i="16"/>
  <c r="D647" i="16"/>
  <c r="D646" i="16"/>
  <c r="D645" i="16"/>
  <c r="D644" i="16"/>
  <c r="D643" i="16"/>
  <c r="D642" i="16"/>
  <c r="D641" i="16"/>
  <c r="D640" i="16"/>
  <c r="D639" i="16"/>
  <c r="D638" i="16"/>
  <c r="D637" i="16"/>
  <c r="D636" i="16"/>
  <c r="D635" i="16"/>
  <c r="D634" i="16"/>
  <c r="D633" i="16"/>
  <c r="D632" i="16"/>
  <c r="D631" i="16"/>
  <c r="D630" i="16"/>
  <c r="D629" i="16"/>
  <c r="D628" i="16"/>
  <c r="D627" i="16"/>
  <c r="D626" i="16"/>
  <c r="D625" i="16"/>
  <c r="D624" i="16"/>
  <c r="D623" i="16"/>
  <c r="D622" i="16"/>
  <c r="D621" i="16"/>
  <c r="D620" i="16"/>
  <c r="D619" i="16"/>
  <c r="D618" i="16"/>
  <c r="D617" i="16"/>
  <c r="D616" i="16"/>
  <c r="D615" i="16"/>
  <c r="D614" i="16"/>
  <c r="D613" i="16"/>
  <c r="D612" i="16"/>
  <c r="D611" i="16"/>
  <c r="D610" i="16"/>
  <c r="D609" i="16"/>
  <c r="D608" i="16"/>
  <c r="D607" i="16"/>
  <c r="D606" i="16"/>
  <c r="D605" i="16"/>
  <c r="D604" i="16"/>
  <c r="D603" i="16"/>
  <c r="D602" i="16"/>
  <c r="D601" i="16"/>
  <c r="D600" i="16"/>
  <c r="D599" i="16"/>
  <c r="D598" i="16"/>
  <c r="D597" i="16"/>
  <c r="D596" i="16"/>
  <c r="D595" i="16"/>
  <c r="D594" i="16"/>
  <c r="D593" i="16"/>
  <c r="D592" i="16"/>
  <c r="D591" i="16"/>
  <c r="D590" i="16"/>
  <c r="D589" i="16"/>
  <c r="D588" i="16"/>
  <c r="D587" i="16"/>
  <c r="D586" i="16"/>
  <c r="D585" i="16"/>
  <c r="D584" i="16"/>
  <c r="D583" i="16"/>
  <c r="D582" i="16"/>
  <c r="D581" i="16"/>
  <c r="D580" i="16"/>
  <c r="D579" i="16"/>
  <c r="D578" i="16"/>
  <c r="D577" i="16"/>
  <c r="D576" i="16"/>
  <c r="D575" i="16"/>
  <c r="D574" i="16"/>
  <c r="D573" i="16"/>
  <c r="D572" i="16"/>
  <c r="D571" i="16"/>
  <c r="D570" i="16"/>
  <c r="D569" i="16"/>
  <c r="D568" i="16"/>
  <c r="D567" i="16"/>
  <c r="D566" i="16"/>
  <c r="D565" i="16"/>
  <c r="D564" i="16"/>
  <c r="D563" i="16"/>
  <c r="D562" i="16"/>
  <c r="D561" i="16"/>
  <c r="D560" i="16"/>
  <c r="D559" i="16"/>
  <c r="D558" i="16"/>
  <c r="D557" i="16"/>
  <c r="D556" i="16"/>
  <c r="D555" i="16"/>
  <c r="D554" i="16"/>
  <c r="D553" i="16"/>
  <c r="D552" i="16"/>
  <c r="D551" i="16"/>
  <c r="D550" i="16"/>
  <c r="D549" i="16"/>
  <c r="D548" i="16"/>
  <c r="D547" i="16"/>
  <c r="D546" i="16"/>
  <c r="D545" i="16"/>
  <c r="D544" i="16"/>
  <c r="D543" i="16"/>
  <c r="D542" i="16"/>
  <c r="D541" i="16"/>
  <c r="D540" i="16"/>
  <c r="D539" i="16"/>
  <c r="D538" i="16"/>
  <c r="D537" i="16"/>
  <c r="D536" i="16"/>
  <c r="D535" i="16"/>
  <c r="D534" i="16"/>
  <c r="D533" i="16"/>
  <c r="D532" i="16"/>
  <c r="D531" i="16"/>
  <c r="D530" i="16"/>
  <c r="D529" i="16"/>
  <c r="D528" i="16"/>
  <c r="D527" i="16"/>
  <c r="D526" i="16"/>
  <c r="D525" i="16"/>
  <c r="D524" i="16"/>
  <c r="D523" i="16"/>
  <c r="D522" i="16"/>
  <c r="D521" i="16"/>
  <c r="D520" i="16"/>
  <c r="D519" i="16"/>
  <c r="D518" i="16"/>
  <c r="D517" i="16"/>
  <c r="D516" i="16"/>
  <c r="D515" i="16"/>
  <c r="D514" i="16"/>
  <c r="D513" i="16"/>
  <c r="D512" i="16"/>
  <c r="D511" i="16"/>
  <c r="D510" i="16"/>
  <c r="D509" i="16"/>
  <c r="D508" i="16"/>
  <c r="D507" i="16"/>
  <c r="D506" i="16"/>
  <c r="D505" i="16"/>
  <c r="D504" i="16"/>
  <c r="D503" i="16"/>
  <c r="D502" i="16"/>
  <c r="D501" i="16"/>
  <c r="D500" i="16"/>
  <c r="D499" i="16"/>
  <c r="D498" i="16"/>
  <c r="D497" i="16"/>
  <c r="D496" i="16"/>
  <c r="D495" i="16"/>
  <c r="D494" i="16"/>
  <c r="D493" i="16"/>
  <c r="D492" i="16"/>
  <c r="D491" i="16"/>
  <c r="D490" i="16"/>
  <c r="D489" i="16"/>
  <c r="D488" i="16"/>
  <c r="D487" i="16"/>
  <c r="D486" i="16"/>
  <c r="D485" i="16"/>
  <c r="D484" i="16"/>
  <c r="D483" i="16"/>
  <c r="D482" i="16"/>
  <c r="D481" i="16"/>
  <c r="D480" i="16"/>
  <c r="D479" i="16"/>
  <c r="D478" i="16"/>
  <c r="D477" i="16"/>
  <c r="D476" i="16"/>
  <c r="D475" i="16"/>
  <c r="D474" i="16"/>
  <c r="D473" i="16"/>
  <c r="D472" i="16"/>
  <c r="D471" i="16"/>
  <c r="D470" i="16"/>
  <c r="D469" i="16"/>
  <c r="D468" i="16"/>
  <c r="D467" i="16"/>
  <c r="D466" i="16"/>
  <c r="D465" i="16"/>
  <c r="D464" i="16"/>
  <c r="D463" i="16"/>
  <c r="D462" i="16"/>
  <c r="D461" i="16"/>
  <c r="D460" i="16"/>
  <c r="D459" i="16"/>
  <c r="D458" i="16"/>
  <c r="D457" i="16"/>
  <c r="D456" i="16"/>
  <c r="D455" i="16"/>
  <c r="D454" i="16"/>
  <c r="D453" i="16"/>
  <c r="D452" i="16"/>
  <c r="D451" i="16"/>
  <c r="D450" i="16"/>
  <c r="D449" i="16"/>
  <c r="D448" i="16"/>
  <c r="D447" i="16"/>
  <c r="D446" i="16"/>
  <c r="D445" i="16"/>
  <c r="D444" i="16"/>
  <c r="D443" i="16"/>
  <c r="D442" i="16"/>
  <c r="D441" i="16"/>
  <c r="D440" i="16"/>
  <c r="D439" i="16"/>
  <c r="D438" i="16"/>
  <c r="D437" i="16"/>
  <c r="D436" i="16"/>
  <c r="D435" i="16"/>
  <c r="D434" i="16"/>
  <c r="D433" i="16"/>
  <c r="D432" i="16"/>
  <c r="D431" i="16"/>
  <c r="D430" i="16"/>
  <c r="D429" i="16"/>
  <c r="D428" i="16"/>
  <c r="D427" i="16"/>
  <c r="D426" i="16"/>
  <c r="D425" i="16"/>
  <c r="D424" i="16"/>
  <c r="D423" i="16"/>
  <c r="D422" i="16"/>
  <c r="D421" i="16"/>
  <c r="D420" i="16"/>
  <c r="D419" i="16"/>
  <c r="D418" i="16"/>
  <c r="D417" i="16"/>
  <c r="D416" i="16"/>
  <c r="D415" i="16"/>
  <c r="D414" i="16"/>
  <c r="D413" i="16"/>
  <c r="D412" i="16"/>
  <c r="D411" i="16"/>
  <c r="D410" i="16"/>
  <c r="D409" i="16"/>
  <c r="D408" i="16"/>
  <c r="D407" i="16"/>
  <c r="D406" i="16"/>
  <c r="D405" i="16"/>
  <c r="D404" i="16"/>
  <c r="D403" i="16"/>
  <c r="D402" i="16"/>
  <c r="D401" i="16"/>
  <c r="D400" i="16"/>
  <c r="D399" i="16"/>
  <c r="D398" i="16"/>
  <c r="D397" i="16"/>
  <c r="D396" i="16"/>
  <c r="D395" i="16"/>
  <c r="D394" i="16"/>
  <c r="D393" i="16"/>
  <c r="D392" i="16"/>
  <c r="D391" i="16"/>
  <c r="D390" i="16"/>
  <c r="D389" i="16"/>
  <c r="D388" i="16"/>
  <c r="D387" i="16"/>
  <c r="D386" i="16"/>
  <c r="D385" i="16"/>
  <c r="D384" i="16"/>
  <c r="D383" i="16"/>
  <c r="D382" i="16"/>
  <c r="D381" i="16"/>
  <c r="D380" i="16"/>
  <c r="D379" i="16"/>
  <c r="D378" i="16"/>
  <c r="D377" i="16"/>
  <c r="D376" i="16"/>
  <c r="D375" i="16"/>
  <c r="D374" i="16"/>
  <c r="D373" i="16"/>
  <c r="D372" i="16"/>
  <c r="D371" i="16"/>
  <c r="D370" i="16"/>
  <c r="D369" i="16"/>
  <c r="D368" i="16"/>
  <c r="D367" i="16"/>
  <c r="D366" i="16"/>
  <c r="D365" i="16"/>
  <c r="D364" i="16"/>
  <c r="D363" i="16"/>
  <c r="D362" i="16"/>
  <c r="D361" i="16"/>
  <c r="D360" i="16"/>
  <c r="D359" i="16"/>
  <c r="D358" i="16"/>
  <c r="D357" i="16"/>
  <c r="D356" i="16"/>
  <c r="D355" i="16"/>
  <c r="D354" i="16"/>
  <c r="D353" i="16"/>
  <c r="D352" i="16"/>
  <c r="D351" i="16"/>
  <c r="D350" i="16"/>
  <c r="D349" i="16"/>
  <c r="D348" i="16"/>
  <c r="D347" i="16"/>
  <c r="D346" i="16"/>
  <c r="D345" i="16"/>
  <c r="D344" i="16"/>
  <c r="D343" i="16"/>
  <c r="D342" i="16"/>
  <c r="D341" i="16"/>
  <c r="D340" i="16"/>
  <c r="D339" i="16"/>
  <c r="D338" i="16"/>
  <c r="D337" i="16"/>
  <c r="D336" i="16"/>
  <c r="D335" i="16"/>
  <c r="D334" i="16"/>
  <c r="D333" i="16"/>
  <c r="D332" i="16"/>
  <c r="D331" i="16"/>
  <c r="D330" i="16"/>
  <c r="D329" i="16"/>
  <c r="D328" i="16"/>
  <c r="D327" i="16"/>
  <c r="D326" i="16"/>
  <c r="D325" i="16"/>
  <c r="D324" i="16"/>
  <c r="D323" i="16"/>
  <c r="D322" i="16"/>
  <c r="D321" i="16"/>
  <c r="D320" i="16"/>
  <c r="D319" i="16"/>
  <c r="D318" i="16"/>
  <c r="D317" i="16"/>
  <c r="D316" i="16"/>
  <c r="D315" i="16"/>
  <c r="D314" i="16"/>
  <c r="D313" i="16"/>
  <c r="D312" i="16"/>
  <c r="D311" i="16"/>
  <c r="D310" i="16"/>
  <c r="D309" i="16"/>
  <c r="D308" i="16"/>
  <c r="D307" i="16"/>
  <c r="D306" i="16"/>
  <c r="D305" i="16"/>
  <c r="D304" i="16"/>
  <c r="D303" i="16"/>
  <c r="D302" i="16"/>
  <c r="D301" i="16"/>
  <c r="D300" i="16"/>
  <c r="D299" i="16"/>
  <c r="D298" i="16"/>
  <c r="D297" i="16"/>
  <c r="D296" i="16"/>
  <c r="D295" i="16"/>
  <c r="D294" i="16"/>
  <c r="D293" i="16"/>
  <c r="D292" i="16"/>
  <c r="D291" i="16"/>
  <c r="D290" i="16"/>
  <c r="D289" i="16"/>
  <c r="D288" i="16"/>
  <c r="D287" i="16"/>
  <c r="D286" i="16"/>
  <c r="D285" i="16"/>
  <c r="D284" i="16"/>
  <c r="D283" i="16"/>
  <c r="D282" i="16"/>
  <c r="D281" i="16"/>
  <c r="D280" i="16"/>
  <c r="D279" i="16"/>
  <c r="D278" i="16"/>
  <c r="D277" i="16"/>
  <c r="D276" i="16"/>
  <c r="D275" i="16"/>
  <c r="D274" i="16"/>
  <c r="D273" i="16"/>
  <c r="D272" i="16"/>
  <c r="D271" i="16"/>
  <c r="D270" i="16"/>
  <c r="D269" i="16"/>
  <c r="D268" i="16"/>
  <c r="D267" i="16"/>
  <c r="D266" i="16"/>
  <c r="D265" i="16"/>
  <c r="D264" i="16"/>
  <c r="D263" i="16"/>
  <c r="D262" i="16"/>
  <c r="D261" i="16"/>
  <c r="D260" i="16"/>
  <c r="D259" i="16"/>
  <c r="D258" i="16"/>
  <c r="D257" i="16"/>
  <c r="D256" i="16"/>
  <c r="D255" i="16"/>
  <c r="D254" i="16"/>
  <c r="D253" i="16"/>
  <c r="D252" i="16"/>
  <c r="D251" i="16"/>
  <c r="D250" i="16"/>
  <c r="D249" i="16"/>
  <c r="D248" i="16"/>
  <c r="D247" i="16"/>
  <c r="D246" i="16"/>
  <c r="D245" i="16"/>
  <c r="D244" i="16"/>
  <c r="D243" i="16"/>
  <c r="D242" i="16"/>
  <c r="D241" i="16"/>
  <c r="D240" i="16"/>
  <c r="D239" i="16"/>
  <c r="D238" i="16"/>
  <c r="D237" i="16"/>
  <c r="D236" i="16"/>
  <c r="D235" i="16"/>
  <c r="D234" i="16"/>
  <c r="D233" i="16"/>
  <c r="D232" i="16"/>
  <c r="D231" i="16"/>
  <c r="D230" i="16"/>
  <c r="D229" i="16"/>
  <c r="D228" i="16"/>
  <c r="D227" i="16"/>
  <c r="D226" i="16"/>
  <c r="D225" i="16"/>
  <c r="D224" i="16"/>
  <c r="D223" i="16"/>
  <c r="D222" i="16"/>
  <c r="D221" i="16"/>
  <c r="D220" i="16"/>
  <c r="D219" i="16"/>
  <c r="D218" i="16"/>
  <c r="D217" i="16"/>
  <c r="D216" i="16"/>
  <c r="D215" i="16"/>
  <c r="D214" i="16"/>
  <c r="D213" i="16"/>
  <c r="D212" i="16"/>
  <c r="D211" i="16"/>
  <c r="D210" i="16"/>
  <c r="D209" i="16"/>
  <c r="D208" i="16"/>
  <c r="D207" i="16"/>
  <c r="D206" i="16"/>
  <c r="D205" i="16"/>
  <c r="D204" i="16"/>
  <c r="D203" i="16"/>
  <c r="D202" i="16"/>
  <c r="D201" i="16"/>
  <c r="D200" i="16"/>
  <c r="D199" i="16"/>
  <c r="D198" i="16"/>
  <c r="D197" i="16"/>
  <c r="D196" i="16"/>
  <c r="D195" i="16"/>
  <c r="D194" i="16"/>
  <c r="D193" i="16"/>
  <c r="D192" i="16"/>
  <c r="D191" i="16"/>
  <c r="D190" i="16"/>
  <c r="D189" i="16"/>
  <c r="D188" i="16"/>
  <c r="D187" i="16"/>
  <c r="D186" i="16"/>
  <c r="D185" i="16"/>
  <c r="D184" i="16"/>
  <c r="D183" i="16"/>
  <c r="D182" i="16"/>
  <c r="D181" i="16"/>
  <c r="D180" i="16"/>
  <c r="D179" i="16"/>
  <c r="D178" i="16"/>
  <c r="D177" i="16"/>
  <c r="D176" i="16"/>
  <c r="D175" i="16"/>
  <c r="D174" i="16"/>
  <c r="D173" i="16"/>
  <c r="D172" i="16"/>
  <c r="D171" i="16"/>
  <c r="D170" i="16"/>
  <c r="D169" i="16"/>
  <c r="D168" i="16"/>
  <c r="D167" i="16"/>
  <c r="D166" i="16"/>
  <c r="D165" i="16"/>
  <c r="D164" i="16"/>
  <c r="D163" i="16"/>
  <c r="D162" i="16"/>
  <c r="D161" i="16"/>
  <c r="D160" i="16"/>
  <c r="D159" i="16"/>
  <c r="D158" i="16"/>
  <c r="D157" i="16"/>
  <c r="D156" i="16"/>
  <c r="D155" i="16"/>
  <c r="D154" i="16"/>
  <c r="D153" i="16"/>
  <c r="D152" i="16"/>
  <c r="D151" i="16"/>
  <c r="D150" i="16"/>
  <c r="D149" i="16"/>
  <c r="D148" i="16"/>
  <c r="D147" i="16"/>
  <c r="D146" i="16"/>
  <c r="D145" i="16"/>
  <c r="D144" i="16"/>
  <c r="D143" i="16"/>
  <c r="D142" i="16"/>
  <c r="D141" i="16"/>
  <c r="D140" i="16"/>
  <c r="D139" i="16"/>
  <c r="D138" i="16"/>
  <c r="D137" i="16"/>
  <c r="D136" i="16"/>
  <c r="D135" i="16"/>
  <c r="D134" i="16"/>
  <c r="D133" i="16"/>
  <c r="D132" i="16"/>
  <c r="D131" i="16"/>
  <c r="D130" i="16"/>
  <c r="D129" i="16"/>
  <c r="D128" i="16"/>
  <c r="D127" i="16"/>
  <c r="D126" i="16"/>
  <c r="D125" i="16"/>
  <c r="D124" i="16"/>
  <c r="D123" i="16"/>
  <c r="D122" i="16"/>
  <c r="D121" i="16"/>
  <c r="D120" i="16"/>
  <c r="D119" i="16"/>
  <c r="D118" i="16"/>
  <c r="D117" i="16"/>
  <c r="D116" i="16"/>
  <c r="D115" i="16"/>
  <c r="D114" i="16"/>
  <c r="D113" i="16"/>
  <c r="D112" i="16"/>
  <c r="D111" i="16"/>
  <c r="D110" i="16"/>
  <c r="D109" i="16"/>
  <c r="D108" i="16"/>
  <c r="D107" i="16"/>
  <c r="D106" i="16"/>
  <c r="D105" i="16"/>
  <c r="D104" i="16"/>
  <c r="D103" i="16"/>
  <c r="D102" i="16"/>
  <c r="D101" i="16"/>
  <c r="D100" i="16"/>
  <c r="D99" i="16"/>
  <c r="D98" i="16"/>
  <c r="D97" i="16"/>
  <c r="D96" i="16"/>
  <c r="D95" i="16"/>
  <c r="D94" i="16"/>
  <c r="D93" i="16"/>
  <c r="D92" i="16"/>
  <c r="D91" i="16"/>
  <c r="D90" i="16"/>
  <c r="D89" i="16"/>
  <c r="D88" i="16"/>
  <c r="D87" i="16"/>
  <c r="D86" i="16"/>
  <c r="D85" i="16"/>
  <c r="D84" i="16"/>
  <c r="D83" i="16"/>
  <c r="D82" i="16"/>
  <c r="D81" i="16"/>
  <c r="D80" i="16"/>
  <c r="D79" i="16"/>
  <c r="D78" i="16"/>
  <c r="D77" i="16"/>
  <c r="D76" i="16"/>
  <c r="D75" i="16"/>
  <c r="D74" i="16"/>
  <c r="D73" i="16"/>
  <c r="D72" i="16"/>
  <c r="D71" i="16"/>
  <c r="D70" i="16"/>
  <c r="D69" i="16"/>
  <c r="D68" i="16"/>
  <c r="D67" i="16"/>
  <c r="D66" i="16"/>
  <c r="D65" i="16"/>
  <c r="D64" i="16"/>
  <c r="D63" i="16"/>
  <c r="D62" i="16"/>
  <c r="D61" i="16"/>
  <c r="D60" i="16"/>
  <c r="D59" i="16"/>
  <c r="D58" i="16"/>
  <c r="D57" i="16"/>
  <c r="D56" i="16"/>
  <c r="D55" i="16"/>
  <c r="D54" i="16"/>
  <c r="D53" i="16"/>
  <c r="D52" i="16"/>
  <c r="D51" i="16"/>
  <c r="D50" i="16"/>
  <c r="D49" i="16"/>
  <c r="D48" i="16"/>
  <c r="D47" i="16"/>
  <c r="D46" i="16"/>
  <c r="D45" i="16"/>
  <c r="D44" i="16"/>
  <c r="D43" i="16"/>
  <c r="D42" i="16"/>
  <c r="D41" i="16"/>
  <c r="D40" i="16"/>
  <c r="D39" i="16"/>
  <c r="D38" i="16"/>
  <c r="D37" i="16"/>
  <c r="D36" i="16"/>
  <c r="D35" i="16"/>
  <c r="D34" i="16"/>
  <c r="D33" i="16"/>
  <c r="D32" i="16"/>
  <c r="D31" i="16"/>
  <c r="D30" i="16"/>
  <c r="D29" i="16"/>
  <c r="D28" i="16"/>
  <c r="D27" i="16"/>
  <c r="D26" i="16"/>
  <c r="D25" i="16"/>
  <c r="D24" i="16"/>
  <c r="D23" i="16"/>
  <c r="D22" i="16"/>
  <c r="D21" i="16"/>
  <c r="D20" i="16"/>
  <c r="D19" i="16"/>
  <c r="D18" i="16"/>
  <c r="D17" i="16"/>
  <c r="D16" i="16"/>
  <c r="D15" i="16"/>
  <c r="D14" i="16"/>
  <c r="D13" i="16"/>
  <c r="D12" i="16"/>
  <c r="D11" i="16"/>
  <c r="D10" i="16"/>
  <c r="D9" i="16"/>
  <c r="D8" i="16"/>
  <c r="D7" i="16"/>
  <c r="K6" i="16"/>
  <c r="D6" i="16"/>
  <c r="D5" i="16"/>
  <c r="K4" i="16"/>
  <c r="D4" i="16"/>
  <c r="K3" i="16"/>
  <c r="D3" i="16"/>
  <c r="D2" i="16"/>
  <c r="D25" i="17" l="1"/>
  <c r="D21" i="17"/>
  <c r="I7" i="17"/>
  <c r="J7" i="17" s="1"/>
  <c r="H7" i="17" s="1"/>
  <c r="L7" i="17"/>
  <c r="M7" i="17" s="1"/>
  <c r="K7" i="17" s="1"/>
  <c r="D20" i="8"/>
  <c r="L8" i="17" l="1"/>
  <c r="M8" i="17" s="1"/>
  <c r="I8" i="17"/>
  <c r="J8" i="17" s="1"/>
  <c r="Q8" i="10"/>
  <c r="Q9" i="10" s="1"/>
  <c r="Q10" i="10" s="1"/>
  <c r="Q11" i="10" s="1"/>
  <c r="Q12" i="10" s="1"/>
  <c r="Q13" i="10" s="1"/>
  <c r="Q14" i="10" s="1"/>
  <c r="L9" i="17" l="1"/>
  <c r="M9" i="17" s="1"/>
  <c r="K8" i="17"/>
  <c r="I9" i="17"/>
  <c r="J9" i="17" s="1"/>
  <c r="H8" i="17"/>
  <c r="Q34" i="14"/>
  <c r="D22" i="8"/>
  <c r="D23" i="8"/>
  <c r="L10" i="17" l="1"/>
  <c r="M10" i="17" s="1"/>
  <c r="K10" i="17" s="1"/>
  <c r="K9" i="17"/>
  <c r="I10" i="17"/>
  <c r="J10" i="17" s="1"/>
  <c r="H9" i="17"/>
  <c r="R34" i="14"/>
  <c r="I11" i="17" l="1"/>
  <c r="J11" i="17" s="1"/>
  <c r="H10" i="17"/>
  <c r="L11" i="17"/>
  <c r="M11" i="17" s="1"/>
  <c r="I12" i="17" l="1"/>
  <c r="J12" i="17" s="1"/>
  <c r="H12" i="17" s="1"/>
  <c r="H11" i="17"/>
  <c r="L12" i="17"/>
  <c r="M12" i="17" s="1"/>
  <c r="K12" i="17" s="1"/>
  <c r="K11" i="17"/>
  <c r="N34" i="14"/>
  <c r="P34" i="14"/>
  <c r="O34" i="14"/>
  <c r="M34" i="14"/>
  <c r="H10" i="14"/>
  <c r="H9" i="14"/>
  <c r="D13" i="14"/>
  <c r="D12" i="14"/>
  <c r="I13" i="17" l="1"/>
  <c r="J13" i="17" s="1"/>
  <c r="H13" i="17" s="1"/>
  <c r="L13" i="17"/>
  <c r="M13" i="17" s="1"/>
  <c r="L36" i="14"/>
  <c r="N36" i="14" s="1"/>
  <c r="N35" i="14"/>
  <c r="K36" i="14"/>
  <c r="M36" i="14" s="1"/>
  <c r="L39" i="14"/>
  <c r="N39" i="14" s="1"/>
  <c r="K39" i="14"/>
  <c r="M39" i="14" s="1"/>
  <c r="M35" i="14"/>
  <c r="N38" i="14"/>
  <c r="M38" i="14"/>
  <c r="G12" i="14"/>
  <c r="I14" i="17" l="1"/>
  <c r="J14" i="17" s="1"/>
  <c r="H14" i="17" s="1"/>
  <c r="L14" i="17"/>
  <c r="M14" i="17" s="1"/>
  <c r="K14" i="17" s="1"/>
  <c r="K13" i="17"/>
  <c r="G13" i="14"/>
  <c r="L34" i="14" s="1"/>
  <c r="K34" i="14"/>
  <c r="L15" i="17" l="1"/>
  <c r="M15" i="17" s="1"/>
  <c r="K15" i="17" s="1"/>
  <c r="I15" i="17"/>
  <c r="J15" i="17" s="1"/>
  <c r="H15" i="17"/>
  <c r="Q37" i="14"/>
  <c r="L37" i="14"/>
  <c r="N37" i="14" s="1"/>
  <c r="L40" i="14"/>
  <c r="N40" i="14" s="1"/>
  <c r="P37" i="14"/>
  <c r="K37" i="14"/>
  <c r="M37" i="14" s="1"/>
  <c r="K40" i="14"/>
  <c r="M40" i="14" s="1"/>
  <c r="I40" i="13"/>
  <c r="F44" i="13"/>
  <c r="G44" i="13"/>
  <c r="H44" i="13"/>
  <c r="I44" i="13"/>
  <c r="J44" i="13"/>
  <c r="K44" i="13"/>
  <c r="L44" i="13"/>
  <c r="M44" i="13"/>
  <c r="F45" i="13"/>
  <c r="G45" i="13"/>
  <c r="H45" i="13"/>
  <c r="I45" i="13"/>
  <c r="J45" i="13"/>
  <c r="K45" i="13"/>
  <c r="L45" i="13"/>
  <c r="M45" i="13"/>
  <c r="F46" i="13"/>
  <c r="G46" i="13"/>
  <c r="H46" i="13"/>
  <c r="I46" i="13"/>
  <c r="J46" i="13"/>
  <c r="K46" i="13"/>
  <c r="L46" i="13"/>
  <c r="M46" i="13"/>
  <c r="F47" i="13"/>
  <c r="G47" i="13"/>
  <c r="H47" i="13"/>
  <c r="I47" i="13"/>
  <c r="J47" i="13"/>
  <c r="K47" i="13"/>
  <c r="L47" i="13"/>
  <c r="M47" i="13"/>
  <c r="F48" i="13"/>
  <c r="G48" i="13"/>
  <c r="H48" i="13"/>
  <c r="I48" i="13"/>
  <c r="J48" i="13"/>
  <c r="K48" i="13"/>
  <c r="L48" i="13"/>
  <c r="M48" i="13"/>
  <c r="F49" i="13"/>
  <c r="G49" i="13"/>
  <c r="H49" i="13"/>
  <c r="I49" i="13"/>
  <c r="J49" i="13"/>
  <c r="K49" i="13"/>
  <c r="L49" i="13"/>
  <c r="M49" i="13"/>
  <c r="G50" i="13"/>
  <c r="H50" i="13"/>
  <c r="I50" i="13"/>
  <c r="J50" i="13"/>
  <c r="K50" i="13"/>
  <c r="L50" i="13"/>
  <c r="M50" i="13"/>
  <c r="G51" i="13"/>
  <c r="H51" i="13"/>
  <c r="I51" i="13"/>
  <c r="J51" i="13"/>
  <c r="K51" i="13"/>
  <c r="L51" i="13"/>
  <c r="M51" i="13"/>
  <c r="G52" i="13"/>
  <c r="H52" i="13"/>
  <c r="I52" i="13"/>
  <c r="J52" i="13"/>
  <c r="K52" i="13"/>
  <c r="L52" i="13"/>
  <c r="M52" i="13"/>
  <c r="G53" i="13"/>
  <c r="H53" i="13"/>
  <c r="I53" i="13"/>
  <c r="J53" i="13"/>
  <c r="K53" i="13"/>
  <c r="L53" i="13"/>
  <c r="M53" i="13"/>
  <c r="G54" i="13"/>
  <c r="H54" i="13"/>
  <c r="I54" i="13"/>
  <c r="J54" i="13"/>
  <c r="K54" i="13"/>
  <c r="L54" i="13"/>
  <c r="M54" i="13"/>
  <c r="G55" i="13"/>
  <c r="H55" i="13"/>
  <c r="I55" i="13"/>
  <c r="J55" i="13"/>
  <c r="K55" i="13"/>
  <c r="L55" i="13"/>
  <c r="M55" i="13"/>
  <c r="G56" i="13"/>
  <c r="H56" i="13"/>
  <c r="I56" i="13"/>
  <c r="J56" i="13"/>
  <c r="K56" i="13"/>
  <c r="L56" i="13"/>
  <c r="M56" i="13"/>
  <c r="G57" i="13"/>
  <c r="H57" i="13"/>
  <c r="I57" i="13"/>
  <c r="J57" i="13"/>
  <c r="K57" i="13"/>
  <c r="L57" i="13"/>
  <c r="M57" i="13"/>
  <c r="G58" i="13"/>
  <c r="H58" i="13"/>
  <c r="I58" i="13"/>
  <c r="J58" i="13"/>
  <c r="K58" i="13"/>
  <c r="L58" i="13"/>
  <c r="M58" i="13"/>
  <c r="G59" i="13"/>
  <c r="H59" i="13"/>
  <c r="I59" i="13"/>
  <c r="J59" i="13"/>
  <c r="K59" i="13"/>
  <c r="L59" i="13"/>
  <c r="M59" i="13"/>
  <c r="G60" i="13"/>
  <c r="H60" i="13"/>
  <c r="I60" i="13"/>
  <c r="J60" i="13"/>
  <c r="K60" i="13"/>
  <c r="L60" i="13"/>
  <c r="M60" i="13"/>
  <c r="G61" i="13"/>
  <c r="H61" i="13"/>
  <c r="I61" i="13"/>
  <c r="J61" i="13"/>
  <c r="K61" i="13"/>
  <c r="L61" i="13"/>
  <c r="M61" i="13"/>
  <c r="G62" i="13"/>
  <c r="H62" i="13"/>
  <c r="I62" i="13"/>
  <c r="J62" i="13"/>
  <c r="K62" i="13"/>
  <c r="L62" i="13"/>
  <c r="M62" i="13"/>
  <c r="G63" i="13"/>
  <c r="H63" i="13"/>
  <c r="I63" i="13"/>
  <c r="J63" i="13"/>
  <c r="K63" i="13"/>
  <c r="L63" i="13"/>
  <c r="M63" i="13"/>
  <c r="G64" i="13"/>
  <c r="H64" i="13"/>
  <c r="I64" i="13"/>
  <c r="J64" i="13"/>
  <c r="K64" i="13"/>
  <c r="L64" i="13"/>
  <c r="M64" i="13"/>
  <c r="G65" i="13"/>
  <c r="H65" i="13"/>
  <c r="I65" i="13"/>
  <c r="J65" i="13"/>
  <c r="K65" i="13"/>
  <c r="L65" i="13"/>
  <c r="M65" i="13"/>
  <c r="G66" i="13"/>
  <c r="H66" i="13"/>
  <c r="I66" i="13"/>
  <c r="J66" i="13"/>
  <c r="K66" i="13"/>
  <c r="L66" i="13"/>
  <c r="M66" i="13"/>
  <c r="G67" i="13"/>
  <c r="H67" i="13"/>
  <c r="I67" i="13"/>
  <c r="J67" i="13"/>
  <c r="K67" i="13"/>
  <c r="L67" i="13"/>
  <c r="M67" i="13"/>
  <c r="G68" i="13"/>
  <c r="H68" i="13"/>
  <c r="I68" i="13"/>
  <c r="J68" i="13"/>
  <c r="K68" i="13"/>
  <c r="L68" i="13"/>
  <c r="M68" i="13"/>
  <c r="G69" i="13"/>
  <c r="H69" i="13"/>
  <c r="I69" i="13"/>
  <c r="J69" i="13"/>
  <c r="K69" i="13"/>
  <c r="L69" i="13"/>
  <c r="M69" i="13"/>
  <c r="G70" i="13"/>
  <c r="H70" i="13"/>
  <c r="I70" i="13"/>
  <c r="J70" i="13"/>
  <c r="K70" i="13"/>
  <c r="L70" i="13"/>
  <c r="M70" i="13"/>
  <c r="G71" i="13"/>
  <c r="H71" i="13"/>
  <c r="I71" i="13"/>
  <c r="J71" i="13"/>
  <c r="K71" i="13"/>
  <c r="L71" i="13"/>
  <c r="M71" i="13"/>
  <c r="G72" i="13"/>
  <c r="H72" i="13"/>
  <c r="I72" i="13"/>
  <c r="J72" i="13"/>
  <c r="K72" i="13"/>
  <c r="L72" i="13"/>
  <c r="M72" i="13"/>
  <c r="G73" i="13"/>
  <c r="H73" i="13"/>
  <c r="I73" i="13"/>
  <c r="J73" i="13"/>
  <c r="K73" i="13"/>
  <c r="L73" i="13"/>
  <c r="M73" i="13"/>
  <c r="G74" i="13"/>
  <c r="H74" i="13"/>
  <c r="I74" i="13"/>
  <c r="J74" i="13"/>
  <c r="K74" i="13"/>
  <c r="L74" i="13"/>
  <c r="M74" i="13"/>
  <c r="G75" i="13"/>
  <c r="H75" i="13"/>
  <c r="I75" i="13"/>
  <c r="J75" i="13"/>
  <c r="K75" i="13"/>
  <c r="L75" i="13"/>
  <c r="M75" i="13"/>
  <c r="G76" i="13"/>
  <c r="H76" i="13"/>
  <c r="I76" i="13"/>
  <c r="J76" i="13"/>
  <c r="K76" i="13"/>
  <c r="L76" i="13"/>
  <c r="M76" i="13"/>
  <c r="G77" i="13"/>
  <c r="H77" i="13"/>
  <c r="I77" i="13"/>
  <c r="J77" i="13"/>
  <c r="K77" i="13"/>
  <c r="L77" i="13"/>
  <c r="M77" i="13"/>
  <c r="G78" i="13"/>
  <c r="H78" i="13"/>
  <c r="I78" i="13"/>
  <c r="J78" i="13"/>
  <c r="K78" i="13"/>
  <c r="L78" i="13"/>
  <c r="M78" i="13"/>
  <c r="G79" i="13"/>
  <c r="H79" i="13"/>
  <c r="I79" i="13"/>
  <c r="J79" i="13"/>
  <c r="K79" i="13"/>
  <c r="L79" i="13"/>
  <c r="M79" i="13"/>
  <c r="G80" i="13"/>
  <c r="H80" i="13"/>
  <c r="I80" i="13"/>
  <c r="J80" i="13"/>
  <c r="K80" i="13"/>
  <c r="L80" i="13"/>
  <c r="M80" i="13"/>
  <c r="G81" i="13"/>
  <c r="H81" i="13"/>
  <c r="I81" i="13"/>
  <c r="J81" i="13"/>
  <c r="K81" i="13"/>
  <c r="L81" i="13"/>
  <c r="M81" i="13"/>
  <c r="G82" i="13"/>
  <c r="H82" i="13"/>
  <c r="I82" i="13"/>
  <c r="J82" i="13"/>
  <c r="K82" i="13"/>
  <c r="L82" i="13"/>
  <c r="M82" i="13"/>
  <c r="G83" i="13"/>
  <c r="H83" i="13"/>
  <c r="I83" i="13"/>
  <c r="J83" i="13"/>
  <c r="K83" i="13"/>
  <c r="L83" i="13"/>
  <c r="M83" i="13"/>
  <c r="G84" i="13"/>
  <c r="H84" i="13"/>
  <c r="I84" i="13"/>
  <c r="J84" i="13"/>
  <c r="K84" i="13"/>
  <c r="L84" i="13"/>
  <c r="M84" i="13"/>
  <c r="G85" i="13"/>
  <c r="H85" i="13"/>
  <c r="I85" i="13"/>
  <c r="J85" i="13"/>
  <c r="K85" i="13"/>
  <c r="L85" i="13"/>
  <c r="M85" i="13"/>
  <c r="G86" i="13"/>
  <c r="H86" i="13"/>
  <c r="I86" i="13"/>
  <c r="J86" i="13"/>
  <c r="K86" i="13"/>
  <c r="L86" i="13"/>
  <c r="M86" i="13"/>
  <c r="G87" i="13"/>
  <c r="H87" i="13"/>
  <c r="I87" i="13"/>
  <c r="J87" i="13"/>
  <c r="K87" i="13"/>
  <c r="L87" i="13"/>
  <c r="M87" i="13"/>
  <c r="G88" i="13"/>
  <c r="H88" i="13"/>
  <c r="I88" i="13"/>
  <c r="J88" i="13"/>
  <c r="K88" i="13"/>
  <c r="L88" i="13"/>
  <c r="M88" i="13"/>
  <c r="G89" i="13"/>
  <c r="H89" i="13"/>
  <c r="I89" i="13"/>
  <c r="J89" i="13"/>
  <c r="K89" i="13"/>
  <c r="L89" i="13"/>
  <c r="M89" i="13"/>
  <c r="G90" i="13"/>
  <c r="H90" i="13"/>
  <c r="I90" i="13"/>
  <c r="J90" i="13"/>
  <c r="K90" i="13"/>
  <c r="L90" i="13"/>
  <c r="M90" i="13"/>
  <c r="G91" i="13"/>
  <c r="H91" i="13"/>
  <c r="I91" i="13"/>
  <c r="J91" i="13"/>
  <c r="K91" i="13"/>
  <c r="L91" i="13"/>
  <c r="M91" i="13"/>
  <c r="G92" i="13"/>
  <c r="H92" i="13"/>
  <c r="I92" i="13"/>
  <c r="J92" i="13"/>
  <c r="K92" i="13"/>
  <c r="L92" i="13"/>
  <c r="M92" i="13"/>
  <c r="G93" i="13"/>
  <c r="H93" i="13"/>
  <c r="I93" i="13"/>
  <c r="J93" i="13"/>
  <c r="K93" i="13"/>
  <c r="L93" i="13"/>
  <c r="M93" i="13"/>
  <c r="G94" i="13"/>
  <c r="H94" i="13"/>
  <c r="I94" i="13"/>
  <c r="J94" i="13"/>
  <c r="K94" i="13"/>
  <c r="L94" i="13"/>
  <c r="M94" i="13"/>
  <c r="G95" i="13"/>
  <c r="H95" i="13"/>
  <c r="I95" i="13"/>
  <c r="J95" i="13"/>
  <c r="K95" i="13"/>
  <c r="L95" i="13"/>
  <c r="M95" i="13"/>
  <c r="G96" i="13"/>
  <c r="H96" i="13"/>
  <c r="I96" i="13"/>
  <c r="J96" i="13"/>
  <c r="K96" i="13"/>
  <c r="L96" i="13"/>
  <c r="M96" i="13"/>
  <c r="G97" i="13"/>
  <c r="H97" i="13"/>
  <c r="I97" i="13"/>
  <c r="J97" i="13"/>
  <c r="K97" i="13"/>
  <c r="L97" i="13"/>
  <c r="M97" i="13"/>
  <c r="G98" i="13"/>
  <c r="H98" i="13"/>
  <c r="I98" i="13"/>
  <c r="J98" i="13"/>
  <c r="K98" i="13"/>
  <c r="L98" i="13"/>
  <c r="M98" i="13"/>
  <c r="G99" i="13"/>
  <c r="H99" i="13"/>
  <c r="I99" i="13"/>
  <c r="J99" i="13"/>
  <c r="K99" i="13"/>
  <c r="L99" i="13"/>
  <c r="M99" i="13"/>
  <c r="G100" i="13"/>
  <c r="H100" i="13"/>
  <c r="I100" i="13"/>
  <c r="J100" i="13"/>
  <c r="K100" i="13"/>
  <c r="L100" i="13"/>
  <c r="M100" i="13"/>
  <c r="G101" i="13"/>
  <c r="H101" i="13"/>
  <c r="I101" i="13"/>
  <c r="J101" i="13"/>
  <c r="K101" i="13"/>
  <c r="L101" i="13"/>
  <c r="M101" i="13"/>
  <c r="G102" i="13"/>
  <c r="H102" i="13"/>
  <c r="I102" i="13"/>
  <c r="J102" i="13"/>
  <c r="K102" i="13"/>
  <c r="L102" i="13"/>
  <c r="M102" i="13"/>
  <c r="G103" i="13"/>
  <c r="H103" i="13"/>
  <c r="I103" i="13"/>
  <c r="J103" i="13"/>
  <c r="K103" i="13"/>
  <c r="L103" i="13"/>
  <c r="M103" i="13"/>
  <c r="G104" i="13"/>
  <c r="H104" i="13"/>
  <c r="I104" i="13"/>
  <c r="J104" i="13"/>
  <c r="K104" i="13"/>
  <c r="L104" i="13"/>
  <c r="M104" i="13"/>
  <c r="G105" i="13"/>
  <c r="H105" i="13"/>
  <c r="I105" i="13"/>
  <c r="J105" i="13"/>
  <c r="K105" i="13"/>
  <c r="L105" i="13"/>
  <c r="M105" i="13"/>
  <c r="G106" i="13"/>
  <c r="H106" i="13"/>
  <c r="I106" i="13"/>
  <c r="J106" i="13"/>
  <c r="K106" i="13"/>
  <c r="L106" i="13"/>
  <c r="M106" i="13"/>
  <c r="G107" i="13"/>
  <c r="H107" i="13"/>
  <c r="I107" i="13"/>
  <c r="J107" i="13"/>
  <c r="K107" i="13"/>
  <c r="L107" i="13"/>
  <c r="M107" i="13"/>
  <c r="G108" i="13"/>
  <c r="H108" i="13"/>
  <c r="I108" i="13"/>
  <c r="J108" i="13"/>
  <c r="K108" i="13"/>
  <c r="L108" i="13"/>
  <c r="M108" i="13"/>
  <c r="G109" i="13"/>
  <c r="H109" i="13"/>
  <c r="I109" i="13"/>
  <c r="J109" i="13"/>
  <c r="K109" i="13"/>
  <c r="L109" i="13"/>
  <c r="M109" i="13"/>
  <c r="G110" i="13"/>
  <c r="H110" i="13"/>
  <c r="I110" i="13"/>
  <c r="J110" i="13"/>
  <c r="K110" i="13"/>
  <c r="L110" i="13"/>
  <c r="M110" i="13"/>
  <c r="G111" i="13"/>
  <c r="H111" i="13"/>
  <c r="I111" i="13"/>
  <c r="J111" i="13"/>
  <c r="K111" i="13"/>
  <c r="L111" i="13"/>
  <c r="M111" i="13"/>
  <c r="G112" i="13"/>
  <c r="H112" i="13"/>
  <c r="I112" i="13"/>
  <c r="J112" i="13"/>
  <c r="K112" i="13"/>
  <c r="L112" i="13"/>
  <c r="M112" i="13"/>
  <c r="G113" i="13"/>
  <c r="H113" i="13"/>
  <c r="I113" i="13"/>
  <c r="J113" i="13"/>
  <c r="K113" i="13"/>
  <c r="L113" i="13"/>
  <c r="M113" i="13"/>
  <c r="G114" i="13"/>
  <c r="H114" i="13"/>
  <c r="I114" i="13"/>
  <c r="J114" i="13"/>
  <c r="K114" i="13"/>
  <c r="L114" i="13"/>
  <c r="M114" i="13"/>
  <c r="G115" i="13"/>
  <c r="H115" i="13"/>
  <c r="I115" i="13"/>
  <c r="J115" i="13"/>
  <c r="K115" i="13"/>
  <c r="L115" i="13"/>
  <c r="M115" i="13"/>
  <c r="G116" i="13"/>
  <c r="H116" i="13"/>
  <c r="I116" i="13"/>
  <c r="J116" i="13"/>
  <c r="K116" i="13"/>
  <c r="L116" i="13"/>
  <c r="M116" i="13"/>
  <c r="G117" i="13"/>
  <c r="H117" i="13"/>
  <c r="I117" i="13"/>
  <c r="J117" i="13"/>
  <c r="K117" i="13"/>
  <c r="L117" i="13"/>
  <c r="M117" i="13"/>
  <c r="G118" i="13"/>
  <c r="H118" i="13"/>
  <c r="I118" i="13"/>
  <c r="J118" i="13"/>
  <c r="K118" i="13"/>
  <c r="L118" i="13"/>
  <c r="M118" i="13"/>
  <c r="G119" i="13"/>
  <c r="H119" i="13"/>
  <c r="I119" i="13"/>
  <c r="J119" i="13"/>
  <c r="K119" i="13"/>
  <c r="L119" i="13"/>
  <c r="M119" i="13"/>
  <c r="G120" i="13"/>
  <c r="H120" i="13"/>
  <c r="I120" i="13"/>
  <c r="J120" i="13"/>
  <c r="K120" i="13"/>
  <c r="L120" i="13"/>
  <c r="M120" i="13"/>
  <c r="G121" i="13"/>
  <c r="H121" i="13"/>
  <c r="I121" i="13"/>
  <c r="J121" i="13"/>
  <c r="K121" i="13"/>
  <c r="L121" i="13"/>
  <c r="M121" i="13"/>
  <c r="G122" i="13"/>
  <c r="H122" i="13"/>
  <c r="I122" i="13"/>
  <c r="J122" i="13"/>
  <c r="K122" i="13"/>
  <c r="L122" i="13"/>
  <c r="M122" i="13"/>
  <c r="G123" i="13"/>
  <c r="H123" i="13"/>
  <c r="I123" i="13"/>
  <c r="J123" i="13"/>
  <c r="K123" i="13"/>
  <c r="L123" i="13"/>
  <c r="M123" i="13"/>
  <c r="G124" i="13"/>
  <c r="H124" i="13"/>
  <c r="I124" i="13"/>
  <c r="J124" i="13"/>
  <c r="K124" i="13"/>
  <c r="L124" i="13"/>
  <c r="M124" i="13"/>
  <c r="G125" i="13"/>
  <c r="H125" i="13"/>
  <c r="I125" i="13"/>
  <c r="J125" i="13"/>
  <c r="K125" i="13"/>
  <c r="L125" i="13"/>
  <c r="M125" i="13"/>
  <c r="G126" i="13"/>
  <c r="H126" i="13"/>
  <c r="I126" i="13"/>
  <c r="J126" i="13"/>
  <c r="K126" i="13"/>
  <c r="L126" i="13"/>
  <c r="M126" i="13"/>
  <c r="G127" i="13"/>
  <c r="H127" i="13"/>
  <c r="I127" i="13"/>
  <c r="J127" i="13"/>
  <c r="K127" i="13"/>
  <c r="L127" i="13"/>
  <c r="M127" i="13"/>
  <c r="G128" i="13"/>
  <c r="H128" i="13"/>
  <c r="I128" i="13"/>
  <c r="J128" i="13"/>
  <c r="K128" i="13"/>
  <c r="L128" i="13"/>
  <c r="M128" i="13"/>
  <c r="G129" i="13"/>
  <c r="H129" i="13"/>
  <c r="I129" i="13"/>
  <c r="J129" i="13"/>
  <c r="K129" i="13"/>
  <c r="L129" i="13"/>
  <c r="M129" i="13"/>
  <c r="G130" i="13"/>
  <c r="H130" i="13"/>
  <c r="I130" i="13"/>
  <c r="J130" i="13"/>
  <c r="K130" i="13"/>
  <c r="L130" i="13"/>
  <c r="M130" i="13"/>
  <c r="G131" i="13"/>
  <c r="H131" i="13"/>
  <c r="I131" i="13"/>
  <c r="J131" i="13"/>
  <c r="K131" i="13"/>
  <c r="L131" i="13"/>
  <c r="M131" i="13"/>
  <c r="G132" i="13"/>
  <c r="H132" i="13"/>
  <c r="I132" i="13"/>
  <c r="J132" i="13"/>
  <c r="K132" i="13"/>
  <c r="L132" i="13"/>
  <c r="M132" i="13"/>
  <c r="G133" i="13"/>
  <c r="H133" i="13"/>
  <c r="I133" i="13"/>
  <c r="J133" i="13"/>
  <c r="K133" i="13"/>
  <c r="L133" i="13"/>
  <c r="M133" i="13"/>
  <c r="G134" i="13"/>
  <c r="H134" i="13"/>
  <c r="I134" i="13"/>
  <c r="J134" i="13"/>
  <c r="K134" i="13"/>
  <c r="L134" i="13"/>
  <c r="M134" i="13"/>
  <c r="G135" i="13"/>
  <c r="H135" i="13"/>
  <c r="I135" i="13"/>
  <c r="J135" i="13"/>
  <c r="K135" i="13"/>
  <c r="L135" i="13"/>
  <c r="M135" i="13"/>
  <c r="G136" i="13"/>
  <c r="H136" i="13"/>
  <c r="I136" i="13"/>
  <c r="J136" i="13"/>
  <c r="K136" i="13"/>
  <c r="L136" i="13"/>
  <c r="M136" i="13"/>
  <c r="G137" i="13"/>
  <c r="H137" i="13"/>
  <c r="I137" i="13"/>
  <c r="J137" i="13"/>
  <c r="K137" i="13"/>
  <c r="L137" i="13"/>
  <c r="M137" i="13"/>
  <c r="G138" i="13"/>
  <c r="H138" i="13"/>
  <c r="I138" i="13"/>
  <c r="J138" i="13"/>
  <c r="K138" i="13"/>
  <c r="L138" i="13"/>
  <c r="M138" i="13"/>
  <c r="G139" i="13"/>
  <c r="H139" i="13"/>
  <c r="I139" i="13"/>
  <c r="J139" i="13"/>
  <c r="K139" i="13"/>
  <c r="L139" i="13"/>
  <c r="M139" i="13"/>
  <c r="G140" i="13"/>
  <c r="H140" i="13"/>
  <c r="I140" i="13"/>
  <c r="J140" i="13"/>
  <c r="K140" i="13"/>
  <c r="L140" i="13"/>
  <c r="M140" i="13"/>
  <c r="G141" i="13"/>
  <c r="H141" i="13"/>
  <c r="I141" i="13"/>
  <c r="J141" i="13"/>
  <c r="K141" i="13"/>
  <c r="L141" i="13"/>
  <c r="M141" i="13"/>
  <c r="G142" i="13"/>
  <c r="H142" i="13"/>
  <c r="I142" i="13"/>
  <c r="J142" i="13"/>
  <c r="K142" i="13"/>
  <c r="L142" i="13"/>
  <c r="M142" i="13"/>
  <c r="G143" i="13"/>
  <c r="H143" i="13"/>
  <c r="I143" i="13"/>
  <c r="J143" i="13"/>
  <c r="K143" i="13"/>
  <c r="L143" i="13"/>
  <c r="M143" i="13"/>
  <c r="G144" i="13"/>
  <c r="H144" i="13"/>
  <c r="I144" i="13"/>
  <c r="J144" i="13"/>
  <c r="K144" i="13"/>
  <c r="L144" i="13"/>
  <c r="M144" i="13"/>
  <c r="G145" i="13"/>
  <c r="H145" i="13"/>
  <c r="I145" i="13"/>
  <c r="J145" i="13"/>
  <c r="K145" i="13"/>
  <c r="L145" i="13"/>
  <c r="M145" i="13"/>
  <c r="G146" i="13"/>
  <c r="H146" i="13"/>
  <c r="I146" i="13"/>
  <c r="J146" i="13"/>
  <c r="K146" i="13"/>
  <c r="L146" i="13"/>
  <c r="M146" i="13"/>
  <c r="G147" i="13"/>
  <c r="H147" i="13"/>
  <c r="I147" i="13"/>
  <c r="J147" i="13"/>
  <c r="K147" i="13"/>
  <c r="L147" i="13"/>
  <c r="M147" i="13"/>
  <c r="G148" i="13"/>
  <c r="H148" i="13"/>
  <c r="I148" i="13"/>
  <c r="J148" i="13"/>
  <c r="K148" i="13"/>
  <c r="L148" i="13"/>
  <c r="M148" i="13"/>
  <c r="G149" i="13"/>
  <c r="H149" i="13"/>
  <c r="I149" i="13"/>
  <c r="J149" i="13"/>
  <c r="K149" i="13"/>
  <c r="L149" i="13"/>
  <c r="M149" i="13"/>
  <c r="G150" i="13"/>
  <c r="H150" i="13"/>
  <c r="I150" i="13"/>
  <c r="J150" i="13"/>
  <c r="K150" i="13"/>
  <c r="L150" i="13"/>
  <c r="M150" i="13"/>
  <c r="G151" i="13"/>
  <c r="H151" i="13"/>
  <c r="I151" i="13"/>
  <c r="J151" i="13"/>
  <c r="K151" i="13"/>
  <c r="L151" i="13"/>
  <c r="M151" i="13"/>
  <c r="G152" i="13"/>
  <c r="H152" i="13"/>
  <c r="I152" i="13"/>
  <c r="J152" i="13"/>
  <c r="K152" i="13"/>
  <c r="L152" i="13"/>
  <c r="M152" i="13"/>
  <c r="G153" i="13"/>
  <c r="H153" i="13"/>
  <c r="I153" i="13"/>
  <c r="J153" i="13"/>
  <c r="K153" i="13"/>
  <c r="L153" i="13"/>
  <c r="M153" i="13"/>
  <c r="G154" i="13"/>
  <c r="H154" i="13"/>
  <c r="I154" i="13"/>
  <c r="J154" i="13"/>
  <c r="K154" i="13"/>
  <c r="L154" i="13"/>
  <c r="M154" i="13"/>
  <c r="G155" i="13"/>
  <c r="H155" i="13"/>
  <c r="I155" i="13"/>
  <c r="J155" i="13"/>
  <c r="K155" i="13"/>
  <c r="L155" i="13"/>
  <c r="M155" i="13"/>
  <c r="G156" i="13"/>
  <c r="H156" i="13"/>
  <c r="I156" i="13"/>
  <c r="J156" i="13"/>
  <c r="K156" i="13"/>
  <c r="L156" i="13"/>
  <c r="M156" i="13"/>
  <c r="G157" i="13"/>
  <c r="H157" i="13"/>
  <c r="I157" i="13"/>
  <c r="J157" i="13"/>
  <c r="K157" i="13"/>
  <c r="L157" i="13"/>
  <c r="M157" i="13"/>
  <c r="G158" i="13"/>
  <c r="H158" i="13"/>
  <c r="I158" i="13"/>
  <c r="J158" i="13"/>
  <c r="K158" i="13"/>
  <c r="L158" i="13"/>
  <c r="M158" i="13"/>
  <c r="G159" i="13"/>
  <c r="H159" i="13"/>
  <c r="I159" i="13"/>
  <c r="J159" i="13"/>
  <c r="K159" i="13"/>
  <c r="L159" i="13"/>
  <c r="M159" i="13"/>
  <c r="G160" i="13"/>
  <c r="H160" i="13"/>
  <c r="I160" i="13"/>
  <c r="J160" i="13"/>
  <c r="K160" i="13"/>
  <c r="L160" i="13"/>
  <c r="M160" i="13"/>
  <c r="G161" i="13"/>
  <c r="H161" i="13"/>
  <c r="I161" i="13"/>
  <c r="J161" i="13"/>
  <c r="K161" i="13"/>
  <c r="L161" i="13"/>
  <c r="M161" i="13"/>
  <c r="G162" i="13"/>
  <c r="H162" i="13"/>
  <c r="I162" i="13"/>
  <c r="J162" i="13"/>
  <c r="K162" i="13"/>
  <c r="L162" i="13"/>
  <c r="M162" i="13"/>
  <c r="G163" i="13"/>
  <c r="H163" i="13"/>
  <c r="I163" i="13"/>
  <c r="J163" i="13"/>
  <c r="K163" i="13"/>
  <c r="L163" i="13"/>
  <c r="M163" i="13"/>
  <c r="G164" i="13"/>
  <c r="H164" i="13"/>
  <c r="I164" i="13"/>
  <c r="J164" i="13"/>
  <c r="K164" i="13"/>
  <c r="L164" i="13"/>
  <c r="M164" i="13"/>
  <c r="G165" i="13"/>
  <c r="H165" i="13"/>
  <c r="I165" i="13"/>
  <c r="J165" i="13"/>
  <c r="K165" i="13"/>
  <c r="L165" i="13"/>
  <c r="M165" i="13"/>
  <c r="G166" i="13"/>
  <c r="H166" i="13"/>
  <c r="I166" i="13"/>
  <c r="J166" i="13"/>
  <c r="K166" i="13"/>
  <c r="L166" i="13"/>
  <c r="M166" i="13"/>
  <c r="G167" i="13"/>
  <c r="H167" i="13"/>
  <c r="I167" i="13"/>
  <c r="J167" i="13"/>
  <c r="K167" i="13"/>
  <c r="L167" i="13"/>
  <c r="M167" i="13"/>
  <c r="G168" i="13"/>
  <c r="H168" i="13"/>
  <c r="I168" i="13"/>
  <c r="J168" i="13"/>
  <c r="K168" i="13"/>
  <c r="L168" i="13"/>
  <c r="M168" i="13"/>
  <c r="G169" i="13"/>
  <c r="H169" i="13"/>
  <c r="I169" i="13"/>
  <c r="J169" i="13"/>
  <c r="K169" i="13"/>
  <c r="L169" i="13"/>
  <c r="M169" i="13"/>
  <c r="G170" i="13"/>
  <c r="H170" i="13"/>
  <c r="I170" i="13"/>
  <c r="J170" i="13"/>
  <c r="K170" i="13"/>
  <c r="L170" i="13"/>
  <c r="M170" i="13"/>
  <c r="G171" i="13"/>
  <c r="H171" i="13"/>
  <c r="I171" i="13"/>
  <c r="J171" i="13"/>
  <c r="K171" i="13"/>
  <c r="L171" i="13"/>
  <c r="M171" i="13"/>
  <c r="G172" i="13"/>
  <c r="H172" i="13"/>
  <c r="I172" i="13"/>
  <c r="J172" i="13"/>
  <c r="K172" i="13"/>
  <c r="L172" i="13"/>
  <c r="M172" i="13"/>
  <c r="G173" i="13"/>
  <c r="H173" i="13"/>
  <c r="I173" i="13"/>
  <c r="J173" i="13"/>
  <c r="K173" i="13"/>
  <c r="L173" i="13"/>
  <c r="M173" i="13"/>
  <c r="G174" i="13"/>
  <c r="H174" i="13"/>
  <c r="I174" i="13"/>
  <c r="J174" i="13"/>
  <c r="K174" i="13"/>
  <c r="L174" i="13"/>
  <c r="M174" i="13"/>
  <c r="G175" i="13"/>
  <c r="H175" i="13"/>
  <c r="I175" i="13"/>
  <c r="J175" i="13"/>
  <c r="K175" i="13"/>
  <c r="L175" i="13"/>
  <c r="M175" i="13"/>
  <c r="G176" i="13"/>
  <c r="H176" i="13"/>
  <c r="I176" i="13"/>
  <c r="J176" i="13"/>
  <c r="K176" i="13"/>
  <c r="L176" i="13"/>
  <c r="M176" i="13"/>
  <c r="G177" i="13"/>
  <c r="H177" i="13"/>
  <c r="I177" i="13"/>
  <c r="J177" i="13"/>
  <c r="K177" i="13"/>
  <c r="L177" i="13"/>
  <c r="M177" i="13"/>
  <c r="G178" i="13"/>
  <c r="H178" i="13"/>
  <c r="I178" i="13"/>
  <c r="J178" i="13"/>
  <c r="K178" i="13"/>
  <c r="L178" i="13"/>
  <c r="M178" i="13"/>
  <c r="G179" i="13"/>
  <c r="H179" i="13"/>
  <c r="I179" i="13"/>
  <c r="J179" i="13"/>
  <c r="K179" i="13"/>
  <c r="L179" i="13"/>
  <c r="M179" i="13"/>
  <c r="G180" i="13"/>
  <c r="H180" i="13"/>
  <c r="I180" i="13"/>
  <c r="J180" i="13"/>
  <c r="K180" i="13"/>
  <c r="L180" i="13"/>
  <c r="M180" i="13"/>
  <c r="G181" i="13"/>
  <c r="H181" i="13"/>
  <c r="I181" i="13"/>
  <c r="J181" i="13"/>
  <c r="K181" i="13"/>
  <c r="L181" i="13"/>
  <c r="M181" i="13"/>
  <c r="G182" i="13"/>
  <c r="H182" i="13"/>
  <c r="I182" i="13"/>
  <c r="J182" i="13"/>
  <c r="K182" i="13"/>
  <c r="L182" i="13"/>
  <c r="M182" i="13"/>
  <c r="G183" i="13"/>
  <c r="H183" i="13"/>
  <c r="I183" i="13"/>
  <c r="J183" i="13"/>
  <c r="K183" i="13"/>
  <c r="L183" i="13"/>
  <c r="M183" i="13"/>
  <c r="G184" i="13"/>
  <c r="H184" i="13"/>
  <c r="I184" i="13"/>
  <c r="J184" i="13"/>
  <c r="K184" i="13"/>
  <c r="L184" i="13"/>
  <c r="M184" i="13"/>
  <c r="G185" i="13"/>
  <c r="H185" i="13"/>
  <c r="I185" i="13"/>
  <c r="J185" i="13"/>
  <c r="K185" i="13"/>
  <c r="L185" i="13"/>
  <c r="M185" i="13"/>
  <c r="G186" i="13"/>
  <c r="H186" i="13"/>
  <c r="I186" i="13"/>
  <c r="J186" i="13"/>
  <c r="K186" i="13"/>
  <c r="L186" i="13"/>
  <c r="M186" i="13"/>
  <c r="G187" i="13"/>
  <c r="H187" i="13"/>
  <c r="I187" i="13"/>
  <c r="J187" i="13"/>
  <c r="K187" i="13"/>
  <c r="L187" i="13"/>
  <c r="M187" i="13"/>
  <c r="G188" i="13"/>
  <c r="H188" i="13"/>
  <c r="I188" i="13"/>
  <c r="J188" i="13"/>
  <c r="K188" i="13"/>
  <c r="L188" i="13"/>
  <c r="M188" i="13"/>
  <c r="G189" i="13"/>
  <c r="H189" i="13"/>
  <c r="I189" i="13"/>
  <c r="J189" i="13"/>
  <c r="K189" i="13"/>
  <c r="L189" i="13"/>
  <c r="M189" i="13"/>
  <c r="G190" i="13"/>
  <c r="H190" i="13"/>
  <c r="I190" i="13"/>
  <c r="J190" i="13"/>
  <c r="K190" i="13"/>
  <c r="L190" i="13"/>
  <c r="M190" i="13"/>
  <c r="G191" i="13"/>
  <c r="H191" i="13"/>
  <c r="I191" i="13"/>
  <c r="J191" i="13"/>
  <c r="K191" i="13"/>
  <c r="L191" i="13"/>
  <c r="M191" i="13"/>
  <c r="G192" i="13"/>
  <c r="H192" i="13"/>
  <c r="I192" i="13"/>
  <c r="J192" i="13"/>
  <c r="K192" i="13"/>
  <c r="L192" i="13"/>
  <c r="M192" i="13"/>
  <c r="G43" i="13"/>
  <c r="H43" i="13"/>
  <c r="I43" i="13"/>
  <c r="J43" i="13"/>
  <c r="K43" i="13"/>
  <c r="L43" i="13"/>
  <c r="M43" i="13"/>
  <c r="F43" i="13"/>
  <c r="G42" i="13"/>
  <c r="H42" i="13"/>
  <c r="I42" i="13"/>
  <c r="J42" i="13"/>
  <c r="K42" i="13"/>
  <c r="L42" i="13"/>
  <c r="M42" i="13"/>
  <c r="F42" i="13"/>
  <c r="E42" i="13"/>
  <c r="G40" i="13"/>
  <c r="F40" i="13"/>
  <c r="E40" i="13"/>
  <c r="D40" i="13"/>
  <c r="N10" i="13"/>
  <c r="M10" i="13"/>
  <c r="M7" i="13"/>
  <c r="E11" i="13"/>
  <c r="E13" i="13" s="1"/>
  <c r="F11" i="13"/>
  <c r="F13" i="13" s="1"/>
  <c r="G11" i="13"/>
  <c r="G13" i="13" s="1"/>
  <c r="H11" i="13"/>
  <c r="H13" i="13" s="1"/>
  <c r="I11" i="13"/>
  <c r="I13" i="13" s="1"/>
  <c r="J11" i="13"/>
  <c r="J13" i="13" s="1"/>
  <c r="K11" i="13"/>
  <c r="K13" i="13" s="1"/>
  <c r="D11" i="13"/>
  <c r="D13" i="13" s="1"/>
  <c r="C13" i="13"/>
  <c r="C11" i="13"/>
  <c r="C9" i="13"/>
  <c r="C8" i="13"/>
  <c r="C7" i="13"/>
  <c r="I16" i="17" l="1"/>
  <c r="J16" i="17" s="1"/>
  <c r="H16" i="17"/>
  <c r="L16" i="17"/>
  <c r="M16" i="17" s="1"/>
  <c r="K16" i="17"/>
  <c r="M41" i="14"/>
  <c r="N41" i="14" s="1"/>
  <c r="L41" i="14"/>
  <c r="D42" i="13"/>
  <c r="D11" i="12"/>
  <c r="D15" i="12" s="1"/>
  <c r="C17" i="12"/>
  <c r="C16" i="12"/>
  <c r="C13" i="12"/>
  <c r="C12" i="12"/>
  <c r="C9" i="12"/>
  <c r="J10" i="11"/>
  <c r="J11" i="11" s="1"/>
  <c r="I10" i="11"/>
  <c r="G10" i="11"/>
  <c r="G11" i="11" s="1"/>
  <c r="F10" i="11"/>
  <c r="H17" i="17" l="1"/>
  <c r="I17" i="17"/>
  <c r="J17" i="17" s="1"/>
  <c r="L17" i="17"/>
  <c r="M17" i="17" s="1"/>
  <c r="K17" i="17"/>
  <c r="E43" i="13"/>
  <c r="D43" i="13" s="1"/>
  <c r="D17" i="12"/>
  <c r="D16" i="12"/>
  <c r="D12" i="12"/>
  <c r="D13" i="12"/>
  <c r="I7" i="10"/>
  <c r="I14" i="10"/>
  <c r="I12" i="10"/>
  <c r="I11" i="10"/>
  <c r="F11" i="10"/>
  <c r="F13" i="10"/>
  <c r="F12" i="10"/>
  <c r="D20" i="10"/>
  <c r="M16" i="10" s="1"/>
  <c r="D19" i="10"/>
  <c r="D18" i="10"/>
  <c r="D17" i="10"/>
  <c r="M8" i="10" s="1"/>
  <c r="C20" i="10"/>
  <c r="C19" i="10"/>
  <c r="C18" i="10"/>
  <c r="C17" i="10"/>
  <c r="C13" i="10"/>
  <c r="C10" i="10"/>
  <c r="O33" i="9"/>
  <c r="L33" i="9"/>
  <c r="L37" i="9" s="1"/>
  <c r="K33" i="9"/>
  <c r="J18" i="7"/>
  <c r="J19" i="7"/>
  <c r="I12" i="7"/>
  <c r="L17" i="7"/>
  <c r="G14" i="7"/>
  <c r="G13" i="7"/>
  <c r="C26" i="7"/>
  <c r="K18" i="17" l="1"/>
  <c r="L18" i="17"/>
  <c r="M18" i="17" s="1"/>
  <c r="I18" i="17"/>
  <c r="J18" i="17" s="1"/>
  <c r="H18" i="17"/>
  <c r="E44" i="13"/>
  <c r="D44" i="13" s="1"/>
  <c r="D10" i="10"/>
  <c r="G12" i="10"/>
  <c r="D13" i="10"/>
  <c r="L89" i="9"/>
  <c r="L132" i="9"/>
  <c r="L125" i="9"/>
  <c r="L118" i="9"/>
  <c r="L110" i="9"/>
  <c r="L104" i="9"/>
  <c r="L97" i="9"/>
  <c r="L82" i="9"/>
  <c r="L76" i="9"/>
  <c r="L65" i="9"/>
  <c r="L54" i="9"/>
  <c r="L45" i="9"/>
  <c r="L130" i="9"/>
  <c r="L124" i="9"/>
  <c r="L116" i="9"/>
  <c r="L109" i="9"/>
  <c r="L102" i="9"/>
  <c r="L94" i="9"/>
  <c r="L88" i="9"/>
  <c r="L81" i="9"/>
  <c r="L73" i="9"/>
  <c r="L62" i="9"/>
  <c r="L53" i="9"/>
  <c r="L41" i="9"/>
  <c r="L35" i="9"/>
  <c r="L129" i="9"/>
  <c r="L121" i="9"/>
  <c r="L114" i="9"/>
  <c r="L108" i="9"/>
  <c r="L100" i="9"/>
  <c r="L93" i="9"/>
  <c r="L86" i="9"/>
  <c r="L78" i="9"/>
  <c r="L70" i="9"/>
  <c r="L61" i="9"/>
  <c r="L49" i="9"/>
  <c r="L38" i="9"/>
  <c r="L134" i="9"/>
  <c r="L126" i="9"/>
  <c r="L120" i="9"/>
  <c r="L113" i="9"/>
  <c r="L105" i="9"/>
  <c r="L98" i="9"/>
  <c r="L92" i="9"/>
  <c r="L84" i="9"/>
  <c r="L77" i="9"/>
  <c r="L69" i="9"/>
  <c r="L57" i="9"/>
  <c r="L46" i="9"/>
  <c r="L39" i="9"/>
  <c r="L43" i="9"/>
  <c r="L47" i="9"/>
  <c r="L51" i="9"/>
  <c r="L55" i="9"/>
  <c r="L59" i="9"/>
  <c r="L63" i="9"/>
  <c r="L67" i="9"/>
  <c r="L71" i="9"/>
  <c r="L75" i="9"/>
  <c r="L79" i="9"/>
  <c r="L83" i="9"/>
  <c r="L87" i="9"/>
  <c r="L91" i="9"/>
  <c r="L95" i="9"/>
  <c r="L99" i="9"/>
  <c r="L103" i="9"/>
  <c r="L107" i="9"/>
  <c r="L111" i="9"/>
  <c r="L115" i="9"/>
  <c r="L119" i="9"/>
  <c r="L123" i="9"/>
  <c r="L127" i="9"/>
  <c r="L131" i="9"/>
  <c r="L135" i="9"/>
  <c r="L36" i="9"/>
  <c r="L40" i="9"/>
  <c r="L44" i="9"/>
  <c r="L48" i="9"/>
  <c r="L52" i="9"/>
  <c r="L56" i="9"/>
  <c r="L60" i="9"/>
  <c r="L64" i="9"/>
  <c r="L68" i="9"/>
  <c r="L72" i="9"/>
  <c r="L133" i="9"/>
  <c r="L128" i="9"/>
  <c r="L122" i="9"/>
  <c r="L117" i="9"/>
  <c r="L112" i="9"/>
  <c r="L106" i="9"/>
  <c r="L101" i="9"/>
  <c r="L96" i="9"/>
  <c r="L90" i="9"/>
  <c r="L85" i="9"/>
  <c r="L80" i="9"/>
  <c r="L74" i="9"/>
  <c r="L66" i="9"/>
  <c r="L58" i="9"/>
  <c r="L50" i="9"/>
  <c r="L42" i="9"/>
  <c r="G14" i="9"/>
  <c r="N33" i="9" s="1"/>
  <c r="K19" i="17" l="1"/>
  <c r="L19" i="17"/>
  <c r="M19" i="17" s="1"/>
  <c r="I19" i="17"/>
  <c r="J19" i="17" s="1"/>
  <c r="H19" i="17"/>
  <c r="O8" i="10"/>
  <c r="N8" i="10"/>
  <c r="O16" i="10"/>
  <c r="N16" i="10"/>
  <c r="E45" i="13"/>
  <c r="G13" i="9"/>
  <c r="M33" i="9" s="1"/>
  <c r="M37" i="9" s="1"/>
  <c r="D14" i="9"/>
  <c r="F9" i="9"/>
  <c r="F13" i="9"/>
  <c r="F8" i="9"/>
  <c r="F7" i="9"/>
  <c r="C13" i="9"/>
  <c r="C9" i="9"/>
  <c r="C8" i="9"/>
  <c r="C7" i="9"/>
  <c r="D21" i="8"/>
  <c r="I10" i="8"/>
  <c r="O8" i="8"/>
  <c r="O9" i="8"/>
  <c r="L13" i="8"/>
  <c r="L8" i="8"/>
  <c r="I13" i="8"/>
  <c r="I9" i="8"/>
  <c r="I8" i="8"/>
  <c r="F13" i="8"/>
  <c r="F10" i="8"/>
  <c r="F9" i="8"/>
  <c r="F8" i="8"/>
  <c r="C13" i="8"/>
  <c r="C12" i="8"/>
  <c r="C11" i="8"/>
  <c r="L22" i="7"/>
  <c r="J23" i="7"/>
  <c r="J24" i="7"/>
  <c r="H25" i="7"/>
  <c r="G25" i="7"/>
  <c r="H20" i="7"/>
  <c r="G20" i="7"/>
  <c r="J10" i="7"/>
  <c r="J9" i="7"/>
  <c r="J8" i="7"/>
  <c r="J7" i="7"/>
  <c r="J6" i="7"/>
  <c r="C20" i="7"/>
  <c r="C19" i="7"/>
  <c r="D10" i="7"/>
  <c r="E10" i="7" s="1"/>
  <c r="D9" i="7"/>
  <c r="E9" i="7" s="1"/>
  <c r="D8" i="7"/>
  <c r="E8" i="7" s="1"/>
  <c r="D7" i="7"/>
  <c r="E7" i="7" s="1"/>
  <c r="K13" i="1"/>
  <c r="L20" i="17" l="1"/>
  <c r="M20" i="17" s="1"/>
  <c r="K20" i="17"/>
  <c r="I20" i="17"/>
  <c r="J20" i="17" s="1"/>
  <c r="H20" i="17"/>
  <c r="L25" i="7"/>
  <c r="I15" i="7"/>
  <c r="L20" i="7"/>
  <c r="I14" i="7"/>
  <c r="I13" i="7" s="1"/>
  <c r="L24" i="7"/>
  <c r="L23" i="7" s="1"/>
  <c r="L19" i="7"/>
  <c r="L18" i="7" s="1"/>
  <c r="P16" i="10"/>
  <c r="Q16" i="10" s="1"/>
  <c r="M17" i="10" s="1"/>
  <c r="P8" i="10"/>
  <c r="D45" i="13"/>
  <c r="E46" i="13" s="1"/>
  <c r="M74" i="9"/>
  <c r="M102" i="9"/>
  <c r="M96" i="9"/>
  <c r="M53" i="9"/>
  <c r="M84" i="9"/>
  <c r="M42" i="9"/>
  <c r="M121" i="9"/>
  <c r="M71" i="9"/>
  <c r="M122" i="9"/>
  <c r="M44" i="9"/>
  <c r="M130" i="9"/>
  <c r="M60" i="9"/>
  <c r="M87" i="9"/>
  <c r="M101" i="9"/>
  <c r="M86" i="9"/>
  <c r="M129" i="9"/>
  <c r="M106" i="9"/>
  <c r="M59" i="9"/>
  <c r="M114" i="9"/>
  <c r="M46" i="9"/>
  <c r="M120" i="9"/>
  <c r="M100" i="9"/>
  <c r="M85" i="9"/>
  <c r="M75" i="9"/>
  <c r="M49" i="9"/>
  <c r="M108" i="9"/>
  <c r="M83" i="9"/>
  <c r="M90" i="9"/>
  <c r="M95" i="9"/>
  <c r="M65" i="9"/>
  <c r="M105" i="9"/>
  <c r="M135" i="9"/>
  <c r="M97" i="9"/>
  <c r="M126" i="9"/>
  <c r="M123" i="9"/>
  <c r="M118" i="9"/>
  <c r="M79" i="9"/>
  <c r="M89" i="9"/>
  <c r="M78" i="9"/>
  <c r="M99" i="9"/>
  <c r="M66" i="9"/>
  <c r="M111" i="9"/>
  <c r="M124" i="9"/>
  <c r="M77" i="9"/>
  <c r="M48" i="9"/>
  <c r="M54" i="9"/>
  <c r="M98" i="9"/>
  <c r="M36" i="9"/>
  <c r="M82" i="9"/>
  <c r="M127" i="9"/>
  <c r="M110" i="9"/>
  <c r="M73" i="9"/>
  <c r="M38" i="9"/>
  <c r="M51" i="9"/>
  <c r="M115" i="9"/>
  <c r="M133" i="9"/>
  <c r="M45" i="9"/>
  <c r="M57" i="9"/>
  <c r="M40" i="9"/>
  <c r="M132" i="9"/>
  <c r="M94" i="9"/>
  <c r="M70" i="9"/>
  <c r="M39" i="9"/>
  <c r="M103" i="9"/>
  <c r="M64" i="9"/>
  <c r="M58" i="9"/>
  <c r="M116" i="9"/>
  <c r="M93" i="9"/>
  <c r="M69" i="9"/>
  <c r="M91" i="9"/>
  <c r="M52" i="9"/>
  <c r="M80" i="9"/>
  <c r="M109" i="9"/>
  <c r="M92" i="9"/>
  <c r="M56" i="9"/>
  <c r="M76" i="9"/>
  <c r="M35" i="9"/>
  <c r="M113" i="9"/>
  <c r="M67" i="9"/>
  <c r="M131" i="9"/>
  <c r="M112" i="9"/>
  <c r="M41" i="9"/>
  <c r="M63" i="9"/>
  <c r="M72" i="9"/>
  <c r="M104" i="9"/>
  <c r="M62" i="9"/>
  <c r="M134" i="9"/>
  <c r="M55" i="9"/>
  <c r="M119" i="9"/>
  <c r="M128" i="9"/>
  <c r="M125" i="9"/>
  <c r="M88" i="9"/>
  <c r="M61" i="9"/>
  <c r="M43" i="9"/>
  <c r="M107" i="9"/>
  <c r="M68" i="9"/>
  <c r="M50" i="9"/>
  <c r="M81" i="9"/>
  <c r="M47" i="9"/>
  <c r="M117" i="9"/>
  <c r="G13" i="8"/>
  <c r="P13" i="8"/>
  <c r="J13" i="8"/>
  <c r="M13" i="8"/>
  <c r="E11" i="7"/>
  <c r="H16" i="5"/>
  <c r="I15" i="5"/>
  <c r="H7" i="5"/>
  <c r="I12" i="5" s="1"/>
  <c r="G16" i="5"/>
  <c r="G13" i="5"/>
  <c r="G12" i="5"/>
  <c r="G11" i="5"/>
  <c r="G10" i="5"/>
  <c r="G9" i="5"/>
  <c r="G7" i="5"/>
  <c r="D14" i="5"/>
  <c r="J9" i="5" s="1"/>
  <c r="J10" i="5" s="1"/>
  <c r="C7" i="5"/>
  <c r="C6" i="5"/>
  <c r="I13" i="1"/>
  <c r="E18" i="1"/>
  <c r="E17" i="1"/>
  <c r="I17" i="1"/>
  <c r="H7" i="1" s="1"/>
  <c r="G13" i="1"/>
  <c r="C18" i="1"/>
  <c r="G11" i="1"/>
  <c r="G10" i="1"/>
  <c r="D11" i="7"/>
  <c r="C17" i="1"/>
  <c r="D10" i="1"/>
  <c r="E10" i="1" s="1"/>
  <c r="D9" i="1"/>
  <c r="E9" i="1" s="1"/>
  <c r="D8" i="1"/>
  <c r="E8" i="1" s="1"/>
  <c r="D7" i="1"/>
  <c r="E7" i="1" s="1"/>
  <c r="D11" i="1" l="1"/>
  <c r="I21" i="17"/>
  <c r="J21" i="17" s="1"/>
  <c r="H21" i="17"/>
  <c r="L21" i="17"/>
  <c r="M21" i="17" s="1"/>
  <c r="K21" i="17"/>
  <c r="H6" i="5"/>
  <c r="H11" i="5"/>
  <c r="H13" i="5" s="1"/>
  <c r="I9" i="5"/>
  <c r="I11" i="5" s="1"/>
  <c r="I13" i="5" s="1"/>
  <c r="J13" i="10"/>
  <c r="J12" i="10" s="1"/>
  <c r="M9" i="10"/>
  <c r="R8" i="10"/>
  <c r="O17" i="10"/>
  <c r="N17" i="10"/>
  <c r="J12" i="5"/>
  <c r="D46" i="13"/>
  <c r="D16" i="5"/>
  <c r="Q33" i="9"/>
  <c r="J13" i="5"/>
  <c r="L11" i="1"/>
  <c r="H10" i="5"/>
  <c r="H12" i="5" s="1"/>
  <c r="O7" i="1"/>
  <c r="O8" i="1" s="1"/>
  <c r="P7" i="1"/>
  <c r="P12" i="1" s="1"/>
  <c r="N7" i="1"/>
  <c r="H8" i="1"/>
  <c r="H10" i="1" s="1"/>
  <c r="H13" i="1"/>
  <c r="J7" i="1"/>
  <c r="J13" i="1" s="1"/>
  <c r="H14" i="1"/>
  <c r="H12" i="1"/>
  <c r="I7" i="1"/>
  <c r="I14" i="1" s="1"/>
  <c r="K7" i="1"/>
  <c r="K8" i="1" s="1"/>
  <c r="L7" i="1"/>
  <c r="L13" i="1" s="1"/>
  <c r="M9" i="1"/>
  <c r="M7" i="1" s="1"/>
  <c r="M8" i="1" s="1"/>
  <c r="M10" i="1" s="1"/>
  <c r="E11" i="1"/>
  <c r="L22" i="17" l="1"/>
  <c r="M22" i="17" s="1"/>
  <c r="K22" i="17"/>
  <c r="I22" i="17"/>
  <c r="J22" i="17" s="1"/>
  <c r="H22" i="17"/>
  <c r="P17" i="10"/>
  <c r="O9" i="10"/>
  <c r="N9" i="10"/>
  <c r="R16" i="10"/>
  <c r="E47" i="13"/>
  <c r="D47" i="13" s="1"/>
  <c r="P13" i="1"/>
  <c r="P8" i="1"/>
  <c r="O10" i="1"/>
  <c r="O9" i="1"/>
  <c r="O11" i="1" s="1"/>
  <c r="O12" i="1"/>
  <c r="O14" i="1"/>
  <c r="N13" i="1"/>
  <c r="N8" i="1"/>
  <c r="N14" i="1"/>
  <c r="H9" i="1"/>
  <c r="H11" i="1" s="1"/>
  <c r="K9" i="1"/>
  <c r="K11" i="1" s="1"/>
  <c r="K10" i="1"/>
  <c r="J8" i="1"/>
  <c r="J10" i="1" s="1"/>
  <c r="M13" i="1"/>
  <c r="K14" i="1"/>
  <c r="L14" i="1"/>
  <c r="I12" i="1"/>
  <c r="M12" i="1"/>
  <c r="J12" i="1"/>
  <c r="I8" i="1"/>
  <c r="K12" i="1"/>
  <c r="L8" i="1"/>
  <c r="L10" i="1" s="1"/>
  <c r="L12" i="1"/>
  <c r="M14" i="1"/>
  <c r="J14" i="1"/>
  <c r="K23" i="17" l="1"/>
  <c r="L23" i="17"/>
  <c r="M23" i="17" s="1"/>
  <c r="I23" i="17"/>
  <c r="J23" i="17" s="1"/>
  <c r="H23" i="17"/>
  <c r="P9" i="10"/>
  <c r="R9" i="10" s="1"/>
  <c r="S9" i="10" s="1"/>
  <c r="M10" i="10" s="1"/>
  <c r="Q17" i="10"/>
  <c r="E48" i="13"/>
  <c r="D48" i="13" s="1"/>
  <c r="P9" i="1"/>
  <c r="P11" i="1" s="1"/>
  <c r="P10" i="1"/>
  <c r="N9" i="1"/>
  <c r="N11" i="1" s="1"/>
  <c r="N10" i="1"/>
  <c r="I9" i="1"/>
  <c r="I11" i="1" s="1"/>
  <c r="I10" i="1"/>
  <c r="J9" i="1"/>
  <c r="J11" i="1" s="1"/>
  <c r="I24" i="17" l="1"/>
  <c r="J24" i="17" s="1"/>
  <c r="H24" i="17"/>
  <c r="K24" i="17"/>
  <c r="L24" i="17"/>
  <c r="M24" i="17" s="1"/>
  <c r="O10" i="10"/>
  <c r="N10" i="10"/>
  <c r="Q18" i="10"/>
  <c r="Q19" i="10" s="1"/>
  <c r="Q20" i="10" s="1"/>
  <c r="Q21" i="10" s="1"/>
  <c r="Q22" i="10" s="1"/>
  <c r="R17" i="10"/>
  <c r="E49" i="13"/>
  <c r="D49" i="13" s="1"/>
  <c r="F50" i="13" s="1"/>
  <c r="K25" i="17" l="1"/>
  <c r="L25" i="17"/>
  <c r="M25" i="17" s="1"/>
  <c r="H25" i="17"/>
  <c r="I25" i="17"/>
  <c r="J25" i="17" s="1"/>
  <c r="P10" i="10"/>
  <c r="R10" i="10" s="1"/>
  <c r="S10" i="10" s="1"/>
  <c r="M11" i="10" s="1"/>
  <c r="E50" i="13"/>
  <c r="D50" i="13" s="1"/>
  <c r="F51" i="13" s="1"/>
  <c r="O11" i="10" l="1"/>
  <c r="N11" i="10"/>
  <c r="S17" i="10"/>
  <c r="M18" i="10" s="1"/>
  <c r="E51" i="13"/>
  <c r="D51" i="13" s="1"/>
  <c r="F52" i="13" s="1"/>
  <c r="P11" i="10" l="1"/>
  <c r="R11" i="10" s="1"/>
  <c r="S11" i="10" s="1"/>
  <c r="M12" i="10" s="1"/>
  <c r="N18" i="10"/>
  <c r="O18" i="10"/>
  <c r="E52" i="13"/>
  <c r="D52" i="13" s="1"/>
  <c r="F53" i="13" s="1"/>
  <c r="O12" i="10" l="1"/>
  <c r="N12" i="10"/>
  <c r="P18" i="10"/>
  <c r="E53" i="13"/>
  <c r="D53" i="13" s="1"/>
  <c r="F54" i="13" s="1"/>
  <c r="P12" i="10" l="1"/>
  <c r="R12" i="10" s="1"/>
  <c r="R18" i="10"/>
  <c r="S18" i="10" s="1"/>
  <c r="E54" i="13"/>
  <c r="D54" i="13" s="1"/>
  <c r="F55" i="13" s="1"/>
  <c r="S12" i="10" l="1"/>
  <c r="M13" i="10" s="1"/>
  <c r="M19" i="10"/>
  <c r="O19" i="10" s="1"/>
  <c r="E55" i="13"/>
  <c r="D55" i="13" s="1"/>
  <c r="F56" i="13" s="1"/>
  <c r="N13" i="10" l="1"/>
  <c r="O13" i="10"/>
  <c r="N19" i="10"/>
  <c r="P19" i="10" s="1"/>
  <c r="R19" i="10" s="1"/>
  <c r="E56" i="13"/>
  <c r="D56" i="13" s="1"/>
  <c r="F57" i="13" s="1"/>
  <c r="P13" i="10" l="1"/>
  <c r="R13" i="10" s="1"/>
  <c r="S13" i="10" s="1"/>
  <c r="M14" i="10" s="1"/>
  <c r="G11" i="10" s="1"/>
  <c r="G13" i="10" s="1"/>
  <c r="S19" i="10"/>
  <c r="M20" i="10" s="1"/>
  <c r="E57" i="13"/>
  <c r="D57" i="13" s="1"/>
  <c r="F58" i="13" s="1"/>
  <c r="N14" i="10" l="1"/>
  <c r="O14" i="10"/>
  <c r="N20" i="10"/>
  <c r="O20" i="10"/>
  <c r="E58" i="13"/>
  <c r="D58" i="13" s="1"/>
  <c r="F59" i="13" s="1"/>
  <c r="P14" i="10" l="1"/>
  <c r="R14" i="10" s="1"/>
  <c r="S14" i="10" s="1"/>
  <c r="P20" i="10"/>
  <c r="R20" i="10" s="1"/>
  <c r="S20" i="10" s="1"/>
  <c r="E59" i="13"/>
  <c r="D59" i="13" s="1"/>
  <c r="F60" i="13" s="1"/>
  <c r="M21" i="10" l="1"/>
  <c r="E60" i="13"/>
  <c r="D60" i="13" s="1"/>
  <c r="F61" i="13" s="1"/>
  <c r="O21" i="10" l="1"/>
  <c r="N21" i="10"/>
  <c r="E61" i="13"/>
  <c r="D61" i="13" s="1"/>
  <c r="F62" i="13" s="1"/>
  <c r="P21" i="10" l="1"/>
  <c r="R21" i="10" s="1"/>
  <c r="E62" i="13"/>
  <c r="D62" i="13" s="1"/>
  <c r="F63" i="13" s="1"/>
  <c r="S21" i="10" l="1"/>
  <c r="M22" i="10" s="1"/>
  <c r="E63" i="13"/>
  <c r="D63" i="13" s="1"/>
  <c r="F64" i="13" s="1"/>
  <c r="O22" i="10" l="1"/>
  <c r="J11" i="10"/>
  <c r="J14" i="10" s="1"/>
  <c r="N22" i="10"/>
  <c r="E64" i="13"/>
  <c r="D64" i="13" s="1"/>
  <c r="F65" i="13" s="1"/>
  <c r="P22" i="10" l="1"/>
  <c r="R22" i="10" s="1"/>
  <c r="S22" i="10" s="1"/>
  <c r="E65" i="13"/>
  <c r="D65" i="13" s="1"/>
  <c r="F66" i="13" s="1"/>
  <c r="E66" i="13" l="1"/>
  <c r="D66" i="13" s="1"/>
  <c r="F67" i="13" s="1"/>
  <c r="E67" i="13" l="1"/>
  <c r="D67" i="13" s="1"/>
  <c r="F68" i="13" s="1"/>
  <c r="E68" i="13" l="1"/>
  <c r="D68" i="13" s="1"/>
  <c r="F69" i="13" s="1"/>
  <c r="E69" i="13" l="1"/>
  <c r="D69" i="13" s="1"/>
  <c r="F70" i="13" s="1"/>
  <c r="E70" i="13" l="1"/>
  <c r="D70" i="13" s="1"/>
  <c r="F71" i="13" s="1"/>
  <c r="E71" i="13" l="1"/>
  <c r="D71" i="13" s="1"/>
  <c r="F72" i="13" s="1"/>
  <c r="E72" i="13" l="1"/>
  <c r="D72" i="13" s="1"/>
  <c r="F73" i="13" s="1"/>
  <c r="E73" i="13" l="1"/>
  <c r="D73" i="13" s="1"/>
  <c r="F74" i="13" s="1"/>
  <c r="E74" i="13" l="1"/>
  <c r="D74" i="13" s="1"/>
  <c r="F75" i="13" s="1"/>
  <c r="E75" i="13" l="1"/>
  <c r="D75" i="13" s="1"/>
  <c r="F76" i="13" s="1"/>
  <c r="E76" i="13" l="1"/>
  <c r="D76" i="13" s="1"/>
  <c r="F77" i="13" s="1"/>
  <c r="E77" i="13" l="1"/>
  <c r="D77" i="13" s="1"/>
  <c r="F78" i="13" s="1"/>
  <c r="E78" i="13" l="1"/>
  <c r="D78" i="13" s="1"/>
  <c r="F79" i="13" s="1"/>
  <c r="E79" i="13" l="1"/>
  <c r="D79" i="13" s="1"/>
  <c r="F80" i="13" s="1"/>
  <c r="E80" i="13" l="1"/>
  <c r="D80" i="13" s="1"/>
  <c r="F81" i="13" s="1"/>
  <c r="E81" i="13" l="1"/>
  <c r="D81" i="13" s="1"/>
  <c r="F82" i="13" s="1"/>
  <c r="E82" i="13" l="1"/>
  <c r="D82" i="13" s="1"/>
  <c r="F83" i="13" s="1"/>
  <c r="E83" i="13" l="1"/>
  <c r="D83" i="13" s="1"/>
  <c r="F84" i="13" s="1"/>
  <c r="E84" i="13" l="1"/>
  <c r="D84" i="13" s="1"/>
  <c r="F85" i="13" s="1"/>
  <c r="E85" i="13" l="1"/>
  <c r="D85" i="13" s="1"/>
  <c r="F86" i="13" s="1"/>
  <c r="E86" i="13" l="1"/>
  <c r="D86" i="13" s="1"/>
  <c r="F87" i="13" s="1"/>
  <c r="E87" i="13" l="1"/>
  <c r="D87" i="13" s="1"/>
  <c r="F88" i="13" s="1"/>
  <c r="E88" i="13" l="1"/>
  <c r="D88" i="13" s="1"/>
  <c r="F89" i="13" s="1"/>
  <c r="E89" i="13" l="1"/>
  <c r="D89" i="13" s="1"/>
  <c r="F90" i="13" s="1"/>
  <c r="E90" i="13" l="1"/>
  <c r="D90" i="13" s="1"/>
  <c r="F91" i="13" s="1"/>
  <c r="E91" i="13" l="1"/>
  <c r="D91" i="13" s="1"/>
  <c r="F92" i="13" s="1"/>
  <c r="E92" i="13" l="1"/>
  <c r="D92" i="13" s="1"/>
  <c r="F93" i="13" s="1"/>
  <c r="E93" i="13" l="1"/>
  <c r="D93" i="13" s="1"/>
  <c r="F94" i="13" s="1"/>
  <c r="E94" i="13" l="1"/>
  <c r="D94" i="13" s="1"/>
  <c r="F95" i="13" s="1"/>
  <c r="E95" i="13" l="1"/>
  <c r="D95" i="13" s="1"/>
  <c r="F96" i="13" s="1"/>
  <c r="E96" i="13" l="1"/>
  <c r="D96" i="13" s="1"/>
  <c r="F97" i="13" s="1"/>
  <c r="E97" i="13" l="1"/>
  <c r="D97" i="13" s="1"/>
  <c r="F98" i="13" s="1"/>
  <c r="E98" i="13" l="1"/>
  <c r="D98" i="13" s="1"/>
  <c r="F99" i="13" s="1"/>
  <c r="E99" i="13" l="1"/>
  <c r="D99" i="13" s="1"/>
  <c r="F100" i="13" s="1"/>
  <c r="E100" i="13" l="1"/>
  <c r="D100" i="13" s="1"/>
  <c r="F101" i="13" s="1"/>
  <c r="E101" i="13" l="1"/>
  <c r="D101" i="13" s="1"/>
  <c r="F102" i="13" s="1"/>
  <c r="E102" i="13" l="1"/>
  <c r="D102" i="13" s="1"/>
  <c r="F103" i="13" s="1"/>
  <c r="E103" i="13" l="1"/>
  <c r="D103" i="13" s="1"/>
  <c r="F104" i="13" s="1"/>
  <c r="E104" i="13" l="1"/>
  <c r="D104" i="13" s="1"/>
  <c r="F105" i="13" s="1"/>
  <c r="E105" i="13" l="1"/>
  <c r="D105" i="13" s="1"/>
  <c r="F106" i="13" s="1"/>
  <c r="E106" i="13" l="1"/>
  <c r="D106" i="13" s="1"/>
  <c r="F107" i="13" s="1"/>
  <c r="E107" i="13" l="1"/>
  <c r="D107" i="13" s="1"/>
  <c r="F108" i="13" s="1"/>
  <c r="E108" i="13" l="1"/>
  <c r="D108" i="13" s="1"/>
  <c r="F109" i="13" s="1"/>
  <c r="E109" i="13" l="1"/>
  <c r="D109" i="13" s="1"/>
  <c r="F110" i="13" s="1"/>
  <c r="E110" i="13" l="1"/>
  <c r="D110" i="13" s="1"/>
  <c r="F111" i="13" s="1"/>
  <c r="E111" i="13" l="1"/>
  <c r="D111" i="13" s="1"/>
  <c r="F112" i="13" s="1"/>
  <c r="E112" i="13" l="1"/>
  <c r="D112" i="13" s="1"/>
  <c r="F113" i="13" s="1"/>
  <c r="E113" i="13" l="1"/>
  <c r="D113" i="13" s="1"/>
  <c r="F114" i="13" s="1"/>
  <c r="E114" i="13" l="1"/>
  <c r="D114" i="13" s="1"/>
  <c r="F115" i="13" s="1"/>
  <c r="E115" i="13" l="1"/>
  <c r="D115" i="13" s="1"/>
  <c r="F116" i="13" s="1"/>
  <c r="E116" i="13" l="1"/>
  <c r="D116" i="13" s="1"/>
  <c r="F117" i="13" s="1"/>
  <c r="E117" i="13" l="1"/>
  <c r="D117" i="13" s="1"/>
  <c r="F118" i="13" s="1"/>
  <c r="E118" i="13" l="1"/>
  <c r="D118" i="13" s="1"/>
  <c r="F119" i="13" s="1"/>
  <c r="E119" i="13" l="1"/>
  <c r="D119" i="13" s="1"/>
  <c r="F120" i="13" s="1"/>
  <c r="E120" i="13" l="1"/>
  <c r="D120" i="13" s="1"/>
  <c r="F121" i="13" s="1"/>
  <c r="E121" i="13" l="1"/>
  <c r="D121" i="13" s="1"/>
  <c r="F122" i="13" s="1"/>
  <c r="E122" i="13" l="1"/>
  <c r="D122" i="13" s="1"/>
  <c r="F123" i="13" s="1"/>
  <c r="E123" i="13" l="1"/>
  <c r="D123" i="13" s="1"/>
  <c r="F124" i="13" s="1"/>
  <c r="E124" i="13" l="1"/>
  <c r="D124" i="13" s="1"/>
  <c r="F125" i="13" s="1"/>
  <c r="E125" i="13" l="1"/>
  <c r="D125" i="13" s="1"/>
  <c r="F126" i="13" s="1"/>
  <c r="E126" i="13" l="1"/>
  <c r="D126" i="13" s="1"/>
  <c r="F127" i="13" s="1"/>
  <c r="E127" i="13" l="1"/>
  <c r="D127" i="13" s="1"/>
  <c r="F128" i="13" s="1"/>
  <c r="E128" i="13" l="1"/>
  <c r="D128" i="13" s="1"/>
  <c r="F129" i="13" s="1"/>
  <c r="E129" i="13" l="1"/>
  <c r="D129" i="13" s="1"/>
  <c r="F130" i="13" s="1"/>
  <c r="E130" i="13" l="1"/>
  <c r="D130" i="13" s="1"/>
  <c r="F131" i="13" s="1"/>
  <c r="E131" i="13" l="1"/>
  <c r="D131" i="13" s="1"/>
  <c r="F132" i="13" s="1"/>
  <c r="E132" i="13" l="1"/>
  <c r="D132" i="13" s="1"/>
  <c r="F133" i="13" s="1"/>
  <c r="E133" i="13" l="1"/>
  <c r="D133" i="13" s="1"/>
  <c r="F134" i="13" s="1"/>
  <c r="E134" i="13" l="1"/>
  <c r="D134" i="13" s="1"/>
  <c r="F135" i="13" s="1"/>
  <c r="E135" i="13" l="1"/>
  <c r="D135" i="13" s="1"/>
  <c r="F136" i="13" s="1"/>
  <c r="E136" i="13" l="1"/>
  <c r="D136" i="13" s="1"/>
  <c r="F137" i="13" s="1"/>
  <c r="E137" i="13" l="1"/>
  <c r="D137" i="13" s="1"/>
  <c r="F138" i="13" s="1"/>
  <c r="E138" i="13" l="1"/>
  <c r="D138" i="13" s="1"/>
  <c r="F139" i="13" s="1"/>
  <c r="E139" i="13" l="1"/>
  <c r="D139" i="13" s="1"/>
  <c r="F140" i="13" s="1"/>
  <c r="E140" i="13" l="1"/>
  <c r="D140" i="13" s="1"/>
  <c r="F141" i="13" s="1"/>
  <c r="E141" i="13" l="1"/>
  <c r="D141" i="13" s="1"/>
  <c r="F142" i="13" s="1"/>
  <c r="E142" i="13" l="1"/>
  <c r="D142" i="13" s="1"/>
  <c r="F143" i="13" s="1"/>
  <c r="E143" i="13" l="1"/>
  <c r="D143" i="13" s="1"/>
  <c r="F144" i="13" s="1"/>
  <c r="E144" i="13" l="1"/>
  <c r="D144" i="13" s="1"/>
  <c r="F145" i="13" s="1"/>
  <c r="E145" i="13" l="1"/>
  <c r="D145" i="13" s="1"/>
  <c r="F146" i="13" s="1"/>
  <c r="E146" i="13" l="1"/>
  <c r="D146" i="13" s="1"/>
  <c r="F147" i="13" s="1"/>
  <c r="E147" i="13" l="1"/>
  <c r="D147" i="13" s="1"/>
  <c r="F148" i="13" s="1"/>
  <c r="E148" i="13" l="1"/>
  <c r="D148" i="13" s="1"/>
  <c r="F149" i="13" s="1"/>
  <c r="E149" i="13" l="1"/>
  <c r="D149" i="13" s="1"/>
  <c r="F150" i="13" s="1"/>
  <c r="E150" i="13" l="1"/>
  <c r="D150" i="13" s="1"/>
  <c r="F151" i="13" s="1"/>
  <c r="E151" i="13" l="1"/>
  <c r="D151" i="13" s="1"/>
  <c r="F152" i="13" s="1"/>
  <c r="E152" i="13" l="1"/>
  <c r="D152" i="13" s="1"/>
  <c r="F153" i="13" s="1"/>
  <c r="E153" i="13" l="1"/>
  <c r="D153" i="13" s="1"/>
  <c r="F154" i="13" s="1"/>
  <c r="E154" i="13" l="1"/>
  <c r="D154" i="13" s="1"/>
  <c r="F155" i="13" s="1"/>
  <c r="E155" i="13" l="1"/>
  <c r="D155" i="13" s="1"/>
  <c r="F156" i="13" s="1"/>
  <c r="E156" i="13" l="1"/>
  <c r="D156" i="13" s="1"/>
  <c r="F157" i="13" s="1"/>
  <c r="E157" i="13" l="1"/>
  <c r="D157" i="13" s="1"/>
  <c r="F158" i="13" s="1"/>
  <c r="E158" i="13" l="1"/>
  <c r="D158" i="13" s="1"/>
  <c r="F159" i="13" s="1"/>
  <c r="E159" i="13" l="1"/>
  <c r="D159" i="13" s="1"/>
  <c r="F160" i="13" s="1"/>
  <c r="E160" i="13" l="1"/>
  <c r="D160" i="13" s="1"/>
  <c r="F161" i="13" s="1"/>
  <c r="E161" i="13" l="1"/>
  <c r="D161" i="13" s="1"/>
  <c r="F162" i="13" s="1"/>
  <c r="E162" i="13" l="1"/>
  <c r="D162" i="13" s="1"/>
  <c r="F163" i="13" s="1"/>
  <c r="E163" i="13" l="1"/>
  <c r="D163" i="13" s="1"/>
  <c r="F164" i="13" s="1"/>
  <c r="E164" i="13" l="1"/>
  <c r="D164" i="13" s="1"/>
  <c r="F165" i="13" s="1"/>
  <c r="E165" i="13" l="1"/>
  <c r="D165" i="13" s="1"/>
  <c r="F166" i="13" s="1"/>
  <c r="E166" i="13" l="1"/>
  <c r="D166" i="13" s="1"/>
  <c r="F167" i="13" s="1"/>
  <c r="E167" i="13" l="1"/>
  <c r="D167" i="13" s="1"/>
  <c r="F168" i="13" s="1"/>
  <c r="E168" i="13" l="1"/>
  <c r="D168" i="13" s="1"/>
  <c r="F169" i="13" s="1"/>
  <c r="E169" i="13" l="1"/>
  <c r="D169" i="13" s="1"/>
  <c r="F170" i="13" s="1"/>
  <c r="E170" i="13" l="1"/>
  <c r="D170" i="13" s="1"/>
  <c r="F171" i="13" s="1"/>
  <c r="E171" i="13" l="1"/>
  <c r="D171" i="13" s="1"/>
  <c r="F172" i="13" s="1"/>
  <c r="E172" i="13" l="1"/>
  <c r="D172" i="13" s="1"/>
  <c r="F173" i="13" s="1"/>
  <c r="E173" i="13" l="1"/>
  <c r="D173" i="13" s="1"/>
  <c r="F174" i="13" s="1"/>
  <c r="E174" i="13" l="1"/>
  <c r="D174" i="13" s="1"/>
  <c r="F175" i="13" s="1"/>
  <c r="E175" i="13" l="1"/>
  <c r="D175" i="13" s="1"/>
  <c r="F176" i="13" s="1"/>
  <c r="E176" i="13" l="1"/>
  <c r="D176" i="13" s="1"/>
  <c r="F177" i="13" s="1"/>
  <c r="E177" i="13" l="1"/>
  <c r="D177" i="13" s="1"/>
  <c r="F178" i="13" s="1"/>
  <c r="E178" i="13" l="1"/>
  <c r="D178" i="13" s="1"/>
  <c r="F179" i="13" s="1"/>
  <c r="E179" i="13" l="1"/>
  <c r="D179" i="13" s="1"/>
  <c r="F180" i="13" s="1"/>
  <c r="E180" i="13" l="1"/>
  <c r="D180" i="13" s="1"/>
  <c r="F181" i="13" s="1"/>
  <c r="E181" i="13" l="1"/>
  <c r="D181" i="13" s="1"/>
  <c r="F182" i="13" s="1"/>
  <c r="E182" i="13" l="1"/>
  <c r="D182" i="13" s="1"/>
  <c r="F183" i="13" s="1"/>
  <c r="E183" i="13" l="1"/>
  <c r="D183" i="13" s="1"/>
  <c r="F184" i="13" s="1"/>
  <c r="E184" i="13" l="1"/>
  <c r="D184" i="13" s="1"/>
  <c r="F185" i="13" s="1"/>
  <c r="E185" i="13" l="1"/>
  <c r="D185" i="13" s="1"/>
  <c r="F186" i="13" s="1"/>
  <c r="E186" i="13" l="1"/>
  <c r="D186" i="13" s="1"/>
  <c r="F187" i="13" s="1"/>
  <c r="E187" i="13" l="1"/>
  <c r="D187" i="13" s="1"/>
  <c r="F188" i="13" s="1"/>
  <c r="E188" i="13" l="1"/>
  <c r="D188" i="13" s="1"/>
  <c r="F189" i="13" s="1"/>
  <c r="E189" i="13" l="1"/>
  <c r="D189" i="13" s="1"/>
  <c r="F190" i="13" s="1"/>
  <c r="E190" i="13" l="1"/>
  <c r="D190" i="13" s="1"/>
  <c r="F191" i="13" s="1"/>
  <c r="E191" i="13" l="1"/>
  <c r="D191" i="13" s="1"/>
  <c r="F192" i="13" s="1"/>
  <c r="E192" i="13" l="1"/>
  <c r="D192" i="13" s="1"/>
  <c r="N17" i="13" l="1"/>
  <c r="N16"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Ari Meles-Braverman</author>
  </authors>
  <commentList>
    <comment ref="F6" authorId="0" shapeId="0" xr:uid="{00000000-0006-0000-0400-000001000000}">
      <text>
        <r>
          <rPr>
            <b/>
            <sz val="9"/>
            <color indexed="81"/>
            <rFont val="Tahoma"/>
            <family val="2"/>
          </rPr>
          <t>Ari Meles-Braverman:</t>
        </r>
        <r>
          <rPr>
            <sz val="9"/>
            <color indexed="81"/>
            <rFont val="Tahoma"/>
            <family val="2"/>
          </rPr>
          <t xml:space="preserve">
</t>
        </r>
      </text>
    </comment>
    <comment ref="I6" authorId="0" shapeId="0" xr:uid="{00000000-0006-0000-0400-000002000000}">
      <text>
        <r>
          <rPr>
            <b/>
            <sz val="9"/>
            <color indexed="81"/>
            <rFont val="Tahoma"/>
            <family val="2"/>
          </rPr>
          <t>Ari Meles-Braverman:</t>
        </r>
        <r>
          <rPr>
            <sz val="9"/>
            <color indexed="81"/>
            <rFont val="Tahoma"/>
            <family val="2"/>
          </rPr>
          <t xml:space="preserve">
</t>
        </r>
      </text>
    </comment>
    <comment ref="L6" authorId="0" shapeId="0" xr:uid="{00000000-0006-0000-0400-000003000000}">
      <text>
        <r>
          <rPr>
            <b/>
            <sz val="9"/>
            <color indexed="81"/>
            <rFont val="Tahoma"/>
            <family val="2"/>
          </rPr>
          <t>Ari Meles-Braverman:</t>
        </r>
        <r>
          <rPr>
            <sz val="9"/>
            <color indexed="81"/>
            <rFont val="Tahoma"/>
            <family val="2"/>
          </rPr>
          <t xml:space="preserve">
</t>
        </r>
      </text>
    </comment>
    <comment ref="O6" authorId="0" shapeId="0" xr:uid="{00000000-0006-0000-0400-000004000000}">
      <text>
        <r>
          <rPr>
            <b/>
            <sz val="9"/>
            <color indexed="81"/>
            <rFont val="Tahoma"/>
            <family val="2"/>
          </rPr>
          <t>Ari Meles-Braverman:</t>
        </r>
        <r>
          <rPr>
            <sz val="9"/>
            <color indexed="81"/>
            <rFont val="Tahoma"/>
            <family val="2"/>
          </rPr>
          <t xml:space="preserve">
</t>
        </r>
      </text>
    </comment>
  </commentList>
</comments>
</file>

<file path=xl/sharedStrings.xml><?xml version="1.0" encoding="utf-8"?>
<sst xmlns="http://schemas.openxmlformats.org/spreadsheetml/2006/main" count="2141" uniqueCount="346">
  <si>
    <t>Metric?</t>
  </si>
  <si>
    <t>Free Speed (RPM)</t>
  </si>
  <si>
    <t>Stall Torque (Nm)</t>
  </si>
  <si>
    <t>Free Current (A)</t>
  </si>
  <si>
    <t>Stall Current (A)</t>
  </si>
  <si>
    <t>Power (W)</t>
  </si>
  <si>
    <t>CIM</t>
  </si>
  <si>
    <t>Mini CIM</t>
  </si>
  <si>
    <t>BAG Motor</t>
  </si>
  <si>
    <t>NEO</t>
  </si>
  <si>
    <t>AM 775</t>
  </si>
  <si>
    <t>AM 9015</t>
  </si>
  <si>
    <t>CIM + Mini</t>
  </si>
  <si>
    <t>CIM + 2 Mini</t>
  </si>
  <si>
    <t>2 CIM + Mini</t>
  </si>
  <si>
    <t>Snowblower</t>
  </si>
  <si>
    <t>Throttle Motor</t>
  </si>
  <si>
    <t>Bosch Motor</t>
  </si>
  <si>
    <t>Dynamo</t>
  </si>
  <si>
    <t>Window Motor</t>
  </si>
  <si>
    <t>Chain/Belt Dimensions</t>
  </si>
  <si>
    <t>Pitch</t>
  </si>
  <si>
    <t>Width</t>
  </si>
  <si>
    <t>Thick</t>
  </si>
  <si>
    <t>C-C Add.</t>
  </si>
  <si>
    <t>#25 Chain</t>
  </si>
  <si>
    <t>#35 Chain</t>
  </si>
  <si>
    <t>5mm HTD</t>
  </si>
  <si>
    <t>3mm GT2</t>
  </si>
  <si>
    <t>(Dimensions in mm)</t>
  </si>
  <si>
    <t>Adjusted</t>
  </si>
  <si>
    <t># of Motors</t>
  </si>
  <si>
    <t>Voltage Applied (V)</t>
  </si>
  <si>
    <t>Gearbox Efficiency</t>
  </si>
  <si>
    <t>Gear Ratio</t>
  </si>
  <si>
    <t>Free Rot. Speed (rps)</t>
  </si>
  <si>
    <t>Loaded Rot. Speed (rps)</t>
  </si>
  <si>
    <t>Current Per Motor (A)</t>
  </si>
  <si>
    <t>Stall Voltage (V)</t>
  </si>
  <si>
    <t>By Ratio</t>
  </si>
  <si>
    <t>Max. Power</t>
  </si>
  <si>
    <t>Max. Eff.</t>
  </si>
  <si>
    <t>At Stall</t>
  </si>
  <si>
    <t>Rot. Speed</t>
  </si>
  <si>
    <t>Lin. Speed</t>
  </si>
  <si>
    <t>Current</t>
  </si>
  <si>
    <t>Stall Load</t>
  </si>
  <si>
    <t>Stall Voltage</t>
  </si>
  <si>
    <t>Ratio Tester</t>
  </si>
  <si>
    <t>EXAMPLE USES</t>
  </si>
  <si>
    <r>
      <t>Winch</t>
    </r>
    <r>
      <rPr>
        <b/>
        <sz val="11"/>
        <color rgb="FF000000"/>
        <rFont val="Arial"/>
        <family val="2"/>
      </rPr>
      <t>:</t>
    </r>
    <r>
      <rPr>
        <sz val="11"/>
        <color rgb="FF000000"/>
        <rFont val="Arial"/>
        <family val="2"/>
      </rPr>
      <t xml:space="preserve">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</si>
  <si>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Elevator</t>
    </r>
    <r>
      <rPr>
        <b/>
        <sz val="11"/>
        <color rgb="FF000000"/>
        <rFont val="Arial"/>
        <family val="2"/>
      </rPr>
      <t>:</t>
    </r>
    <r>
      <rPr>
        <sz val="11"/>
        <color rgb="FF000000"/>
        <rFont val="Arial"/>
        <family val="2"/>
      </rPr>
      <t xml:space="preserve"> You need to lift a load with a motor connected to a linear elevator system. For radius, enter the radius of the pulley/sprocket driving the elevator (# teeth * pitch diameter). For load, enter the weight of the load.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</si>
  <si>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Arm</t>
    </r>
    <r>
      <rPr>
        <b/>
        <sz val="11"/>
        <color rgb="FF000000"/>
        <rFont val="Arial"/>
        <family val="2"/>
      </rPr>
      <t>:</t>
    </r>
    <r>
      <rPr>
        <sz val="11"/>
        <color rgb="FF000000"/>
        <rFont val="Arial"/>
        <family val="2"/>
      </rPr>
      <t xml:space="preserve"> You need to lift a load using an arm driven by a motor. For radius, enter the length of the arm (specifically the distance from axis of rotation to arm's center of mass). For load, enter the weight of the arm + load lifted. 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</si>
  <si>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t>Lead Screw Calculator</t>
  </si>
  <si>
    <t># of Starts</t>
  </si>
  <si>
    <t>Thread Angle (°)</t>
  </si>
  <si>
    <t>Screw Material</t>
  </si>
  <si>
    <t>Nut Material</t>
  </si>
  <si>
    <t>Lubricated?</t>
  </si>
  <si>
    <t>Steel</t>
  </si>
  <si>
    <t>Yes</t>
  </si>
  <si>
    <t>Backdrive-able?</t>
  </si>
  <si>
    <t>Efficiency</t>
  </si>
  <si>
    <t>Rotational Speed (rpm)</t>
  </si>
  <si>
    <t>Bronze</t>
  </si>
  <si>
    <t>To use a leadscrew in the Mechanism Gear Ratio Calculator, use the Equivalent Radius for the Radius. For the Load, use the Equivalent Raise/Lower Load, depending on whether you are moving in the same or opposite direction as the applied force.</t>
  </si>
  <si>
    <t>The Mechanism gearbox efficiency should not include the leadscrew efficiency.</t>
  </si>
  <si>
    <t>Raise Torque is the torque needed to move the leadscrew the direction opposing the force (e.g. raising a weight). Lower Torque is the torque needed to move the leadscrew in the same direction as the load (e.g. lowering a weight).</t>
  </si>
  <si>
    <t>If Lower Torque is negative, the leadscrew is backdrive-able (i.e. not self-locking). If positive, it is not backdrive-able.</t>
  </si>
  <si>
    <t>Drivetrain Calculator</t>
  </si>
  <si>
    <t>Drivetrain Efficiency</t>
  </si>
  <si>
    <t>Speed Loss Coeff.</t>
  </si>
  <si>
    <t>% Driven Weight</t>
  </si>
  <si>
    <t>Wheel Friction Coeff.</t>
  </si>
  <si>
    <t>Shifting?</t>
  </si>
  <si>
    <t>Drive Gear</t>
  </si>
  <si>
    <t>Driven Gear</t>
  </si>
  <si>
    <t>dp</t>
  </si>
  <si>
    <t>Final Ratio</t>
  </si>
  <si>
    <t>Wheel Slip Current (A)</t>
  </si>
  <si>
    <t># of Drivetrain Motors</t>
  </si>
  <si>
    <t>Beam Bend Calculator</t>
  </si>
  <si>
    <t>Beam/Axle Type</t>
  </si>
  <si>
    <t>Hex</t>
  </si>
  <si>
    <t>Material</t>
  </si>
  <si>
    <t>┴  Cantilevered Force</t>
  </si>
  <si>
    <t>┴  Force Btwn. Supports</t>
  </si>
  <si>
    <t>║ Buckling Force</t>
  </si>
  <si>
    <t>Twisting Torque</t>
  </si>
  <si>
    <t>Twist Angle (°)</t>
  </si>
  <si>
    <t>I</t>
  </si>
  <si>
    <t>J</t>
  </si>
  <si>
    <t>E</t>
  </si>
  <si>
    <t>G</t>
  </si>
  <si>
    <t>Projectile Trajectory Calculator</t>
  </si>
  <si>
    <t>Forward</t>
  </si>
  <si>
    <t>Release Angle (°)</t>
  </si>
  <si>
    <t>Final Angle (°)</t>
  </si>
  <si>
    <t>Reverse</t>
  </si>
  <si>
    <t>Target Angle (°)</t>
  </si>
  <si>
    <t>2nd Wheel CoF</t>
  </si>
  <si>
    <t>Chain/Belt C-C Calculator</t>
  </si>
  <si>
    <t>Type</t>
  </si>
  <si>
    <t># Teeth 1</t>
  </si>
  <si>
    <t># Teeth 2</t>
  </si>
  <si>
    <t># Links/Teeth</t>
  </si>
  <si>
    <t>Round Type</t>
  </si>
  <si>
    <t>Modulus</t>
  </si>
  <si>
    <t>Nearest</t>
  </si>
  <si>
    <t>Gear Clearance Calculator</t>
  </si>
  <si>
    <t>Gear 1 Teeth</t>
  </si>
  <si>
    <t>Gear 1 dp</t>
  </si>
  <si>
    <t>Gear 2 Teeth</t>
  </si>
  <si>
    <t>Gear 3 Teeth</t>
  </si>
  <si>
    <t>Gear 2/3 dp</t>
  </si>
  <si>
    <t>Axle Type</t>
  </si>
  <si>
    <t>Axle Clearance</t>
  </si>
  <si>
    <t>1/2" Hex</t>
  </si>
  <si>
    <t>Clears?</t>
  </si>
  <si>
    <t>Gear 4 Teeth</t>
  </si>
  <si>
    <t>Gear 4 dp</t>
  </si>
  <si>
    <t>Gear Clearance</t>
  </si>
  <si>
    <t>Ratio &amp; Distance Calculator</t>
  </si>
  <si>
    <t>Gear Pitch (dp)</t>
  </si>
  <si>
    <t>Desired Ratio</t>
  </si>
  <si>
    <t>Driving Gear (teeth)</t>
  </si>
  <si>
    <t>Driven Gear (teeth)</t>
  </si>
  <si>
    <t>GEAR TEETH ARE NOT</t>
  </si>
  <si>
    <t>WHOLE NUMBERS</t>
  </si>
  <si>
    <t>Pneumatics Calculator</t>
  </si>
  <si>
    <t>Push Pressure (psig)</t>
  </si>
  <si>
    <t>Pull Pressure (psig)</t>
  </si>
  <si>
    <t>Start Time (s)</t>
  </si>
  <si>
    <t>End Time (s)</t>
  </si>
  <si>
    <t>Cylinder 1</t>
  </si>
  <si>
    <t>Cylinder 2</t>
  </si>
  <si>
    <t>Cylinder 3</t>
  </si>
  <si>
    <t>Cylinder 4</t>
  </si>
  <si>
    <t>Cylinder 5</t>
  </si>
  <si>
    <t>Cylinder 6</t>
  </si>
  <si>
    <t>Cylinder 7</t>
  </si>
  <si>
    <t>Cylinder 8</t>
  </si>
  <si>
    <t># of Tanks</t>
  </si>
  <si>
    <t>Tank Pressure (psig)</t>
  </si>
  <si>
    <t>Tank 1</t>
  </si>
  <si>
    <t>Tank 3</t>
  </si>
  <si>
    <t>Tank 2</t>
  </si>
  <si>
    <t>Tank 4</t>
  </si>
  <si>
    <t>Compressor Type</t>
  </si>
  <si>
    <t>Initial Pressure (psig)</t>
  </si>
  <si>
    <t>Comp. Triggger (psig)</t>
  </si>
  <si>
    <t>Min. Pressure (psig)</t>
  </si>
  <si>
    <t>Final Pressure (psig)</t>
  </si>
  <si>
    <t>(equivalent volume at 120 psi)</t>
  </si>
  <si>
    <t>1.1 Pump</t>
  </si>
  <si>
    <t>t</t>
  </si>
  <si>
    <t>P</t>
  </si>
  <si>
    <t>comp</t>
  </si>
  <si>
    <t>cyl1</t>
  </si>
  <si>
    <t>cyl2</t>
  </si>
  <si>
    <t>cyl3</t>
  </si>
  <si>
    <t>cyl4</t>
  </si>
  <si>
    <t>cyl5</t>
  </si>
  <si>
    <t>cyl6</t>
  </si>
  <si>
    <t>cyl7</t>
  </si>
  <si>
    <t>cyl8</t>
  </si>
  <si>
    <t>Time Per Cycle (s)</t>
  </si>
  <si>
    <t>A</t>
  </si>
  <si>
    <t>B</t>
  </si>
  <si>
    <t>X</t>
  </si>
  <si>
    <t>Y</t>
  </si>
  <si>
    <t>L (Retracted)</t>
  </si>
  <si>
    <r>
      <rPr>
        <sz val="11"/>
        <color theme="1"/>
        <rFont val="Calibri"/>
        <family val="2"/>
      </rPr>
      <t>ΔL (</t>
    </r>
    <r>
      <rPr>
        <sz val="11"/>
        <color theme="1"/>
        <rFont val="Calibri"/>
        <family val="2"/>
        <scheme val="minor"/>
      </rPr>
      <t>Stroke)</t>
    </r>
  </si>
  <si>
    <r>
      <t xml:space="preserve">Retracted </t>
    </r>
    <r>
      <rPr>
        <sz val="11"/>
        <color theme="1"/>
        <rFont val="Calibri"/>
        <family val="2"/>
      </rPr>
      <t>θ</t>
    </r>
  </si>
  <si>
    <r>
      <t xml:space="preserve">Extended </t>
    </r>
    <r>
      <rPr>
        <sz val="11"/>
        <color theme="1"/>
        <rFont val="Calibri"/>
        <family val="2"/>
      </rPr>
      <t>θ</t>
    </r>
  </si>
  <si>
    <t>θ R</t>
  </si>
  <si>
    <t>θ L</t>
  </si>
  <si>
    <t>Note: any units will work as long as they remain consistent</t>
  </si>
  <si>
    <t>• Black circles represent pivots</t>
  </si>
  <si>
    <t>AMB Design Spreadsheet</t>
  </si>
  <si>
    <t>Made by Ari Meles-Braverman: Mentor, FRC 5987</t>
  </si>
  <si>
    <t>Key</t>
  </si>
  <si>
    <t xml:space="preserve"> = Input Value</t>
  </si>
  <si>
    <t xml:space="preserve"> = Calculated Value</t>
  </si>
  <si>
    <t xml:space="preserve"> = Warning</t>
  </si>
  <si>
    <t xml:space="preserve"> = Invalid Input</t>
  </si>
  <si>
    <t>Drivetrain Calculator:</t>
  </si>
  <si>
    <t>Mechanism Gear Ratio Calculator:</t>
  </si>
  <si>
    <t>Chain/Belt C-C Calculator:</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</si>
  <si>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 Equations partially derived from Clem1640's Chain/Belt Calculator.</t>
  </si>
  <si>
    <t>Pneumatics Calculator:</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</si>
  <si>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</si>
  <si>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Sources:</t>
  </si>
  <si>
    <t>JVN's Mechanical Design Calculator</t>
  </si>
  <si>
    <t>Ether's Simple Motor Calculator</t>
  </si>
  <si>
    <t>Clem1640's Chain/Belt Calculator</t>
  </si>
  <si>
    <t>NickBrickMaster's Pneumatic System Simulator</t>
  </si>
  <si>
    <t>Shigley's Mechanical Engineering Design</t>
  </si>
  <si>
    <t>Mechanism Gear Ratio Calculator</t>
  </si>
  <si>
    <t>Lead Screw Calculator:</t>
  </si>
  <si>
    <t>This sheet calculates the relationship between the angular input and linear output of a lead screw. With a given lead screw, it can calculate whether or not it is backdrive-able, the linear force output given by a certain angular torque input, and the relationship between angluar and linear velocity. It also calculates an equivalent radius and load to use in the Mechanism Gear Ratio Calculator for a system with a lead screw as the final reduction stage.</t>
  </si>
  <si>
    <t>Beam Bend Calculator:</t>
  </si>
  <si>
    <t>This sheet calculates the deflection in a beam or axle under a given load. There are different formulas depending on whether the load is between two supports or cantileivered. It also calculated the maximum force that can be applied to a beam before it buckles, and the twist angle of an axle under torsion.</t>
  </si>
  <si>
    <t>This sheet calculates the final speed and current draw of a given drivetrain setup. Use this sheet to determine the necessary drivetrain setup that meets the characteristics that are desired. Also calculates the C-C distance for gear reductions. Suitable for 1-speed, 2-speed, different-radius wheels, and articulating drives.</t>
  </si>
  <si>
    <t>This sheet calculates the characteristics of a given mechanism, when the user defines one characteristic (e.g. gear ratio, loaded linear velocity, stall load, current per motor, etc). Use this sheet to determine the gear ratio and  number and type of motors needed to give a mechanism certain characteristics.</t>
  </si>
  <si>
    <t>Gear Clearance Calculator:</t>
  </si>
  <si>
    <t>This sheet calculates whether or not two sets of parallel gears will hit each other, and if not, how much clearance they will have. It also calculates whether or not the first gear will clear the second shaft with no gear on it.</t>
  </si>
  <si>
    <t xml:space="preserve">This sheet calculates the gear pair that have a given reduction and C-C distance, and then calculates the pitch and clearance diameter for both gears. </t>
  </si>
  <si>
    <t>Pneumatic Linkage Calculator:</t>
  </si>
  <si>
    <t>This sheet calculates the angle of a linkage controlled by a certain pneumatic cylinder with its mount at a certain position relative to the mount of the linkage. It also does the reverse calculation, computing the relative position of the cylinder mount needed to give the given linkage the desired extended and retracted angles.</t>
  </si>
  <si>
    <t>Pneumatic Linkage Calculator</t>
  </si>
  <si>
    <t>Motor Specs</t>
  </si>
  <si>
    <t>Ratio &amp; Distance Calculator:</t>
  </si>
  <si>
    <t>Click "ADD" to insert an instance of that calculator to the spreadsheet</t>
  </si>
  <si>
    <t>Note: Hover mouse over subtitles to see images explaining beam setup</t>
  </si>
  <si>
    <t>Articulated Drive?</t>
  </si>
  <si>
    <t>Material Properties</t>
  </si>
  <si>
    <t>Stainless</t>
  </si>
  <si>
    <t>Young's Modulus (MPa)</t>
  </si>
  <si>
    <t>Shear Modulus (MPa)</t>
  </si>
  <si>
    <t>K (see chart in image)</t>
  </si>
  <si>
    <t>7075-T6 Al</t>
  </si>
  <si>
    <t>6061-T6 Al</t>
  </si>
  <si>
    <t>L</t>
  </si>
  <si>
    <t>L+ΔL</t>
  </si>
  <si>
    <t>• Gray lines represent the piston</t>
  </si>
  <si>
    <t>• Black lines represent the linkage</t>
  </si>
  <si>
    <t>Note: L is the distance between pivots when the cylinder is retracted (includes mountings, clevises, etc)</t>
  </si>
  <si>
    <t>D</t>
  </si>
  <si>
    <t>a</t>
  </si>
  <si>
    <t># links</t>
  </si>
  <si>
    <t>target</t>
  </si>
  <si>
    <t>y</t>
  </si>
  <si>
    <r>
      <rPr>
        <sz val="11"/>
        <color theme="1"/>
        <rFont val="Symbol"/>
        <family val="1"/>
        <charset val="2"/>
      </rPr>
      <t>D</t>
    </r>
    <r>
      <rPr>
        <sz val="11"/>
        <color theme="1"/>
        <rFont val="Calibri"/>
        <family val="2"/>
        <scheme val="minor"/>
      </rPr>
      <t>y/</t>
    </r>
    <r>
      <rPr>
        <sz val="11"/>
        <color theme="1"/>
        <rFont val="Symbol"/>
        <family val="1"/>
        <charset val="2"/>
      </rPr>
      <t>D</t>
    </r>
    <r>
      <rPr>
        <sz val="11"/>
        <color theme="1"/>
        <rFont val="Calibri"/>
        <family val="2"/>
        <scheme val="minor"/>
      </rPr>
      <t>x</t>
    </r>
  </si>
  <si>
    <t>Note: For beginners there is no need to modify this page. Advanced users can choose to add their own motors, belt/chains, or material properties.</t>
  </si>
  <si>
    <t>Output</t>
  </si>
  <si>
    <t>Motor</t>
  </si>
  <si>
    <t>Stage 1&amp;2</t>
  </si>
  <si>
    <t>Stage 3</t>
  </si>
  <si>
    <t>Lite 3</t>
  </si>
  <si>
    <t>Base</t>
  </si>
  <si>
    <t>217-4973,</t>
  </si>
  <si>
    <t>217-5823,217-2897,</t>
  </si>
  <si>
    <t>1/2" Round</t>
  </si>
  <si>
    <t>217-4975,</t>
  </si>
  <si>
    <t>217-5823,217-2895,</t>
  </si>
  <si>
    <t>3/8" Hex</t>
  </si>
  <si>
    <t>217-4974,</t>
  </si>
  <si>
    <t>217-5823,</t>
  </si>
  <si>
    <t>CIM Motor</t>
  </si>
  <si>
    <t>217-4976,</t>
  </si>
  <si>
    <t>217-5823,217-2893,</t>
  </si>
  <si>
    <t>Female</t>
  </si>
  <si>
    <t>217-6473,</t>
  </si>
  <si>
    <t>217-5995,</t>
  </si>
  <si>
    <t>Motor Plate</t>
  </si>
  <si>
    <t>217-3564,217-4649,</t>
  </si>
  <si>
    <t>BAG</t>
  </si>
  <si>
    <t>217-4018,</t>
  </si>
  <si>
    <t>775pro</t>
  </si>
  <si>
    <t>Stage</t>
  </si>
  <si>
    <t>None</t>
  </si>
  <si>
    <t>3 : 1</t>
  </si>
  <si>
    <t>217-2816,217-2817,</t>
  </si>
  <si>
    <t>217-5832,217-2817,</t>
  </si>
  <si>
    <t>4 : 1</t>
  </si>
  <si>
    <t>217-2816,217-2818,</t>
  </si>
  <si>
    <t>217-5832,217-2818,</t>
  </si>
  <si>
    <t>5 : 1</t>
  </si>
  <si>
    <t>217-2816,217-2819,</t>
  </si>
  <si>
    <t>217-5832,217-2819,</t>
  </si>
  <si>
    <t>7 : 1</t>
  </si>
  <si>
    <t>217-2816,217-3102,</t>
  </si>
  <si>
    <t>217-5832,217-3102,</t>
  </si>
  <si>
    <t>9 : 1</t>
  </si>
  <si>
    <t>217-2816,217-3106,</t>
  </si>
  <si>
    <t>217-5832,217-3106,</t>
  </si>
  <si>
    <t>10 : 1</t>
  </si>
  <si>
    <t>217-2816,217-2820,</t>
  </si>
  <si>
    <t>217-5832,217-2820,</t>
  </si>
  <si>
    <t>Dual Motor</t>
  </si>
  <si>
    <t>DM Nyl 1:1</t>
  </si>
  <si>
    <t>217-6342,217-2701,217-6432,</t>
  </si>
  <si>
    <t>DM Nyl 3.75:1</t>
  </si>
  <si>
    <t>217-6342,217-3210,217-6367,</t>
  </si>
  <si>
    <t>217-6342,217-3210,217-6362,</t>
  </si>
  <si>
    <t>217-6342,217-3210,217-6368,</t>
  </si>
  <si>
    <t>DM Nyl 5.33:1</t>
  </si>
  <si>
    <t>217-6342,217-5455,217-6333,</t>
  </si>
  <si>
    <t>217-6342,217-5455,217-6285,</t>
  </si>
  <si>
    <t>217-6342,217-5455,217-6339,</t>
  </si>
  <si>
    <t>DM Al 1:1</t>
  </si>
  <si>
    <t>217-6417,217-2701,217-6432,</t>
  </si>
  <si>
    <t>DM Al 3.75:1</t>
  </si>
  <si>
    <t>217-6417,217-3210,217-6367,</t>
  </si>
  <si>
    <t>217-6417,217-3210,217-6362,</t>
  </si>
  <si>
    <t>217-6417,217-3210,217-6368,</t>
  </si>
  <si>
    <t>DM Al 5.33:1</t>
  </si>
  <si>
    <t>217-6417,217-5455,217-6333,</t>
  </si>
  <si>
    <t>217-6417,217-5455,217-6285,</t>
  </si>
  <si>
    <t>217-6417,217-5455,217-6339,</t>
  </si>
  <si>
    <t>217-3141,</t>
  </si>
  <si>
    <t>180° Drive Kit</t>
  </si>
  <si>
    <t>217-6011,217-6043,217-5882,217-5875,217-5870,</t>
  </si>
  <si>
    <t>217-6011,217-6043,217-5882,217-5875,217-5871,</t>
  </si>
  <si>
    <t>217-6011,217-6043,217-5882,217-5875,217-5872,</t>
  </si>
  <si>
    <t>No</t>
  </si>
  <si>
    <t>90° Drive</t>
  </si>
  <si>
    <t>217-6293,</t>
  </si>
  <si>
    <t>Ratchet Stage</t>
  </si>
  <si>
    <t>217-6048,</t>
  </si>
  <si>
    <t>Encoder Stage</t>
  </si>
  <si>
    <t>217-5046,</t>
  </si>
  <si>
    <t>Motor Type</t>
  </si>
  <si>
    <t>Note: The 90° Drive, Ratchet Stage, and Encoder Stage can go in any location in the gearbox without changing the results of this calculator.</t>
  </si>
  <si>
    <t>Qty</t>
  </si>
  <si>
    <t>P/N</t>
  </si>
  <si>
    <t>Dual Input</t>
  </si>
  <si>
    <t>Stage 1</t>
  </si>
  <si>
    <t>Stage 2</t>
  </si>
  <si>
    <t>DUAL INPUT NOT AVAILABLE FOR THIS MOTOR SELECTION</t>
  </si>
  <si>
    <t>VP Safe?</t>
  </si>
  <si>
    <t>VP Lite Safe?</t>
  </si>
  <si>
    <t>VP Price</t>
  </si>
  <si>
    <t>VP Lite Price</t>
  </si>
  <si>
    <t>Free Speed (rpm)</t>
  </si>
  <si>
    <t>VersaPlanetary Configuration Calculator</t>
  </si>
  <si>
    <t>VP Parts Needed:</t>
  </si>
  <si>
    <t>VP Lite Parts Needed:</t>
  </si>
  <si>
    <t>180° Drive</t>
  </si>
  <si>
    <t>STAGES SHOULD BE ORDERED WITH DECREASING RATIO FROM INPUT TO OUTPUT</t>
  </si>
  <si>
    <t/>
  </si>
  <si>
    <t>BB RS-550</t>
  </si>
  <si>
    <t>BB RS-775</t>
  </si>
  <si>
    <t>Redline</t>
  </si>
  <si>
    <t>Total Ratio</t>
  </si>
  <si>
    <t>NeveRest</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</si>
  <si>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Use this sheet to get baseline values for designing flywheels, catapults, or other types of shooting mechanisms.</t>
  </si>
  <si>
    <t>This sheet helps visualize the data from the VersaPlanetary Load Ratings Guide, as well as showing the part numbers needed to order for that configuration, the price of the configuration, and the output speed and torque. Inspired by Andrew Schreiber's VersaPlanetary Configuration Tool.</t>
  </si>
  <si>
    <t>Andrew Schreiber's VersaPlanetary Configuration Tool</t>
  </si>
  <si>
    <t>Version 5</t>
  </si>
  <si>
    <t>Note: Vex may change prices or part numbers, and they will not update here automatically.</t>
  </si>
  <si>
    <t>Falcon 500</t>
  </si>
  <si>
    <t>Johnson Motor</t>
  </si>
  <si>
    <t>NEO 550</t>
  </si>
  <si>
    <t>Safety Factor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</si>
</sst>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
    <numFmt numFmtId="165" formatCode="0.00\ \:\ \1"/>
    <numFmt numFmtId="166" formatCode="0.0%"/>
    <numFmt numFmtId="167" formatCode="0.000"/>
    <numFmt numFmtId="168" formatCode="0.00000"/>
    <numFmt numFmtId="169" formatCode="0\°"/>
    <numFmt numFmtId="170" formatCode="&quot;$&quot;#,##0.00"/>
    <numFmt numFmtId="171" formatCode="0\ \:\ \1"/>
  </numFmts>
  <fonts count="32" x14ac:knownFonts="1">
    <font>
      <sz val="11"/>
      <color theme="1"/>
      <name val="Calibri"/>
      <family val="2"/>
      <scheme val="minor"/>
    </font>
    <font>
      <b/>
      <sz val="11"/>
      <color theme="1"/>
      <name val="Calibri"/>
      <family val="2"/>
      <scheme val="minor"/>
    </font>
    <font>
      <sz val="11"/>
      <color theme="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sz val="11"/>
      <color rgb="FF000000"/>
      <name val="Arial"/>
      <family val="2"/>
    </font>
    <font>
      <sz val="11"/>
      <color rgb="FF000000"/>
      <name val="Calibri"/>
      <family val="2"/>
      <scheme val="minor"/>
    </font>
    <font>
      <b/>
      <sz val="14"/>
      <color rgb="FF000000"/>
      <name val="Arial"/>
      <family val="2"/>
    </font>
    <font>
      <b/>
      <u/>
      <sz val="11"/>
      <color rgb="FF000000"/>
      <name val="Arial"/>
      <family val="2"/>
    </font>
    <font>
      <b/>
      <sz val="11"/>
      <color rgb="FF000000"/>
      <name val="Arial"/>
      <family val="2"/>
    </font>
    <font>
      <b/>
      <sz val="14"/>
      <color theme="1"/>
      <name val="Calibri"/>
      <family val="2"/>
      <scheme val="minor"/>
    </font>
    <font>
      <sz val="9"/>
      <color indexed="81"/>
      <name val="Tahoma"/>
      <family val="2"/>
    </font>
    <font>
      <b/>
      <sz val="9"/>
      <color indexed="81"/>
      <name val="Tahoma"/>
      <family val="2"/>
    </font>
    <font>
      <sz val="14"/>
      <color theme="1"/>
      <name val="Calibri"/>
      <family val="2"/>
      <scheme val="minor"/>
    </font>
    <font>
      <sz val="11"/>
      <name val="Calibri"/>
      <family val="2"/>
      <scheme val="minor"/>
    </font>
    <font>
      <b/>
      <sz val="12"/>
      <color rgb="FFFF0000"/>
      <name val="Calibri"/>
      <family val="2"/>
      <scheme val="minor"/>
    </font>
    <font>
      <sz val="11"/>
      <color rgb="FF9C6500"/>
      <name val="Calibri"/>
      <family val="2"/>
      <scheme val="minor"/>
    </font>
    <font>
      <sz val="11"/>
      <color theme="1"/>
      <name val="Calibri"/>
      <family val="2"/>
    </font>
    <font>
      <sz val="24"/>
      <color rgb="FFFF0000"/>
      <name val="Calibri"/>
      <family val="2"/>
      <scheme val="minor"/>
    </font>
    <font>
      <sz val="12"/>
      <color theme="1"/>
      <name val="Calibri"/>
      <family val="2"/>
      <scheme val="minor"/>
    </font>
    <font>
      <u/>
      <sz val="11"/>
      <color theme="1"/>
      <name val="Calibri"/>
      <family val="2"/>
      <scheme val="minor"/>
    </font>
    <font>
      <u/>
      <sz val="11"/>
      <color theme="10"/>
      <name val="Calibri"/>
      <family val="2"/>
      <scheme val="minor"/>
    </font>
    <font>
      <b/>
      <sz val="28"/>
      <color rgb="FF000000"/>
      <name val="Calibri"/>
      <family val="2"/>
    </font>
    <font>
      <sz val="11"/>
      <color rgb="FF663300"/>
      <name val="Calibri"/>
      <family val="2"/>
      <scheme val="minor"/>
    </font>
    <font>
      <sz val="11"/>
      <color rgb="FF800000"/>
      <name val="Calibri"/>
      <family val="2"/>
      <scheme val="minor"/>
    </font>
    <font>
      <b/>
      <sz val="20"/>
      <color rgb="FF000000"/>
      <name val="Calibri"/>
      <family val="2"/>
    </font>
    <font>
      <sz val="8"/>
      <color rgb="FF000000"/>
      <name val="Tahoma"/>
      <family val="2"/>
    </font>
    <font>
      <sz val="11"/>
      <color theme="1"/>
      <name val="Symbol"/>
      <family val="1"/>
      <charset val="2"/>
    </font>
    <font>
      <sz val="11"/>
      <color theme="1"/>
      <name val="Arial"/>
      <family val="2"/>
    </font>
    <font>
      <b/>
      <sz val="11"/>
      <color theme="1"/>
      <name val="Calibri"/>
      <family val="2"/>
    </font>
    <font>
      <b/>
      <sz val="11"/>
      <color rgb="FFFF0000"/>
      <name val="Calibri"/>
      <family val="2"/>
      <scheme val="minor"/>
    </font>
  </fonts>
  <fills count="13">
    <fill>
      <patternFill patternType="none"/>
    </fill>
    <fill>
      <patternFill patternType="gray125"/>
    </fill>
    <fill>
      <patternFill patternType="solid">
        <fgColor rgb="FF9FC5E8"/>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0.59999389629810485"/>
        <bgColor indexed="64"/>
      </patternFill>
    </fill>
    <fill>
      <patternFill patternType="solid">
        <fgColor rgb="FFFFEB9C"/>
        <bgColor indexed="64"/>
      </patternFill>
    </fill>
    <fill>
      <patternFill patternType="solid">
        <fgColor theme="5"/>
        <bgColor indexed="64"/>
      </patternFill>
    </fill>
    <fill>
      <patternFill patternType="solid">
        <fgColor rgb="FFFFCC66"/>
        <bgColor indexed="64"/>
      </patternFill>
    </fill>
    <fill>
      <patternFill patternType="solid">
        <fgColor rgb="FFFF5050"/>
        <bgColor indexed="64"/>
      </patternFill>
    </fill>
    <fill>
      <patternFill patternType="solid">
        <fgColor rgb="FF8DB3E2"/>
        <bgColor rgb="FF8DB3E2"/>
      </patternFill>
    </fill>
    <fill>
      <patternFill patternType="solid">
        <fgColor rgb="FFD8D8D8"/>
        <bgColor rgb="FFD8D8D8"/>
      </patternFill>
    </fill>
    <fill>
      <patternFill patternType="solid">
        <fgColor theme="0" tint="-0.14999847407452621"/>
        <bgColor rgb="FFE60000"/>
      </patternFill>
    </fill>
  </fills>
  <borders count="73">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theme="1" tint="0.499984740745262"/>
      </left>
      <right style="thin">
        <color theme="1" tint="0.499984740745262"/>
      </right>
      <top style="thin">
        <color theme="1" tint="0.499984740745262"/>
      </top>
      <bottom style="thin">
        <color indexed="64"/>
      </bottom>
      <diagonal/>
    </border>
    <border>
      <left/>
      <right style="thin">
        <color indexed="64"/>
      </right>
      <top/>
      <bottom style="thin">
        <color indexed="64"/>
      </bottom>
      <diagonal/>
    </border>
    <border>
      <left style="thin">
        <color theme="1" tint="0.499984740745262"/>
      </left>
      <right style="thin">
        <color indexed="64"/>
      </right>
      <top style="thin">
        <color indexed="64"/>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1" tint="0.499984740745262"/>
      </right>
      <top style="thin">
        <color indexed="64"/>
      </top>
      <bottom/>
      <diagonal/>
    </border>
    <border>
      <left style="thin">
        <color theme="1" tint="0.499984740745262"/>
      </left>
      <right style="thin">
        <color theme="1" tint="0.499984740745262"/>
      </right>
      <top style="thin">
        <color indexed="64"/>
      </top>
      <bottom/>
      <diagonal/>
    </border>
    <border>
      <left style="thin">
        <color theme="1" tint="0.499984740745262"/>
      </left>
      <right style="thin">
        <color indexed="64"/>
      </right>
      <top style="thin">
        <color indexed="64"/>
      </top>
      <bottom/>
      <diagonal/>
    </border>
    <border>
      <left style="thin">
        <color indexed="64"/>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indexed="64"/>
      </right>
      <top style="thin">
        <color indexed="64"/>
      </top>
      <bottom style="thin">
        <color indexed="64"/>
      </bottom>
      <diagonal/>
    </border>
    <border>
      <left/>
      <right style="thin">
        <color theme="1" tint="0.499984740745262"/>
      </right>
      <top style="thin">
        <color indexed="64"/>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theme="1" tint="0.499984740745262"/>
      </top>
      <bottom style="thin">
        <color theme="1" tint="0.499984740745262"/>
      </bottom>
      <diagonal/>
    </border>
    <border>
      <left style="thin">
        <color auto="1"/>
      </left>
      <right style="thin">
        <color auto="1"/>
      </right>
      <top style="thin">
        <color theme="1" tint="0.499984740745262"/>
      </top>
      <bottom style="thin">
        <color auto="1"/>
      </bottom>
      <diagonal/>
    </border>
    <border>
      <left style="thin">
        <color auto="1"/>
      </left>
      <right style="thin">
        <color auto="1"/>
      </right>
      <top/>
      <bottom style="thin">
        <color theme="1" tint="0.499984740745262"/>
      </bottom>
      <diagonal/>
    </border>
    <border>
      <left style="thin">
        <color auto="1"/>
      </left>
      <right style="thin">
        <color theme="0" tint="-0.499984740745262"/>
      </right>
      <top style="thin">
        <color auto="1"/>
      </top>
      <bottom style="thin">
        <color auto="1"/>
      </bottom>
      <diagonal/>
    </border>
    <border>
      <left style="thin">
        <color theme="0" tint="-0.499984740745262"/>
      </left>
      <right style="thin">
        <color auto="1"/>
      </right>
      <top style="thin">
        <color auto="1"/>
      </top>
      <bottom style="thin">
        <color auto="1"/>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indexed="64"/>
      </right>
      <top style="thin">
        <color indexed="64"/>
      </top>
      <bottom/>
      <diagonal/>
    </border>
    <border>
      <left style="medium">
        <color rgb="FF980000"/>
      </left>
      <right/>
      <top/>
      <bottom/>
      <diagonal/>
    </border>
    <border>
      <left style="medium">
        <color rgb="FF980000"/>
      </left>
      <right/>
      <top style="medium">
        <color rgb="FF980000"/>
      </top>
      <bottom/>
      <diagonal/>
    </border>
    <border>
      <left/>
      <right/>
      <top style="medium">
        <color rgb="FF980000"/>
      </top>
      <bottom/>
      <diagonal/>
    </border>
    <border>
      <left/>
      <right style="medium">
        <color rgb="FF980000"/>
      </right>
      <top style="medium">
        <color rgb="FF980000"/>
      </top>
      <bottom/>
      <diagonal/>
    </border>
    <border>
      <left/>
      <right style="medium">
        <color rgb="FF980000"/>
      </right>
      <top/>
      <bottom/>
      <diagonal/>
    </border>
    <border>
      <left style="medium">
        <color rgb="FF980000"/>
      </left>
      <right/>
      <top/>
      <bottom style="medium">
        <color rgb="FF980000"/>
      </bottom>
      <diagonal/>
    </border>
    <border>
      <left/>
      <right/>
      <top/>
      <bottom style="medium">
        <color rgb="FF980000"/>
      </bottom>
      <diagonal/>
    </border>
    <border>
      <left/>
      <right style="medium">
        <color rgb="FF980000"/>
      </right>
      <top/>
      <bottom style="medium">
        <color rgb="FF980000"/>
      </bottom>
      <diagonal/>
    </border>
    <border>
      <left style="thin">
        <color theme="1" tint="0.499984740745262"/>
      </left>
      <right style="thin">
        <color indexed="64"/>
      </right>
      <top style="thin">
        <color theme="1" tint="0.499984740745262"/>
      </top>
      <bottom/>
      <diagonal/>
    </border>
    <border>
      <left/>
      <right/>
      <top/>
      <bottom style="thin">
        <color theme="0"/>
      </bottom>
      <diagonal/>
    </border>
    <border>
      <left/>
      <right/>
      <top style="thin">
        <color theme="0"/>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indexed="64"/>
      </right>
      <top/>
      <bottom/>
      <diagonal/>
    </border>
    <border>
      <left style="thin">
        <color auto="1"/>
      </left>
      <right/>
      <top style="thin">
        <color auto="1"/>
      </top>
      <bottom style="thin">
        <color theme="0"/>
      </bottom>
      <diagonal/>
    </border>
    <border>
      <left/>
      <right/>
      <top style="thin">
        <color auto="1"/>
      </top>
      <bottom style="thin">
        <color theme="0"/>
      </bottom>
      <diagonal/>
    </border>
    <border>
      <left/>
      <right style="thin">
        <color indexed="64"/>
      </right>
      <top style="thin">
        <color auto="1"/>
      </top>
      <bottom style="thin">
        <color theme="0"/>
      </bottom>
      <diagonal/>
    </border>
    <border>
      <left style="thin">
        <color auto="1"/>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rgb="FF000000"/>
      </left>
      <right style="thin">
        <color rgb="FF7F7F7F"/>
      </right>
      <top style="thin">
        <color rgb="FF000000"/>
      </top>
      <bottom style="thin">
        <color rgb="FF000000"/>
      </bottom>
      <diagonal/>
    </border>
    <border>
      <left style="thin">
        <color rgb="FF7F7F7F"/>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medium">
        <color rgb="FFFF0000"/>
      </left>
      <right style="medium">
        <color rgb="FFFF0000"/>
      </right>
      <top style="medium">
        <color rgb="FFFF0000"/>
      </top>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style="thin">
        <color indexed="64"/>
      </left>
      <right style="thin">
        <color auto="1"/>
      </right>
      <top style="thin">
        <color indexed="64"/>
      </top>
      <bottom style="thin">
        <color theme="0"/>
      </bottom>
      <diagonal/>
    </border>
    <border>
      <left style="thin">
        <color indexed="64"/>
      </left>
      <right style="thin">
        <color auto="1"/>
      </right>
      <top style="thin">
        <color theme="0"/>
      </top>
      <bottom style="thin">
        <color theme="0"/>
      </bottom>
      <diagonal/>
    </border>
    <border>
      <left style="thin">
        <color indexed="64"/>
      </left>
      <right style="thin">
        <color auto="1"/>
      </right>
      <top style="thin">
        <color theme="0"/>
      </top>
      <bottom style="thin">
        <color auto="1"/>
      </bottom>
      <diagonal/>
    </border>
    <border>
      <left style="thin">
        <color indexed="64"/>
      </left>
      <right style="thin">
        <color theme="1" tint="0.499984740745262"/>
      </right>
      <top/>
      <bottom style="thin">
        <color theme="1" tint="0.499984740745262"/>
      </bottom>
      <diagonal/>
    </border>
    <border>
      <left style="thin">
        <color theme="1" tint="0.499984740745262"/>
      </left>
      <right style="thin">
        <color indexed="64"/>
      </right>
      <top/>
      <bottom style="thin">
        <color theme="1" tint="0.499984740745262"/>
      </bottom>
      <diagonal/>
    </border>
    <border>
      <left style="thin">
        <color indexed="64"/>
      </left>
      <right style="thin">
        <color theme="1" tint="0.499984740745262"/>
      </right>
      <top/>
      <bottom/>
      <diagonal/>
    </border>
    <border>
      <left style="thin">
        <color theme="1" tint="0.499984740745262"/>
      </left>
      <right style="thin">
        <color indexed="64"/>
      </right>
      <top/>
      <bottom/>
      <diagonal/>
    </border>
    <border>
      <left style="thin">
        <color indexed="64"/>
      </left>
      <right style="thin">
        <color theme="1" tint="0.499984740745262"/>
      </right>
      <top/>
      <bottom style="thin">
        <color indexed="64"/>
      </bottom>
      <diagonal/>
    </border>
    <border>
      <left style="thin">
        <color theme="1" tint="0.499984740745262"/>
      </left>
      <right style="thin">
        <color indexed="64"/>
      </right>
      <top/>
      <bottom style="thin">
        <color indexed="64"/>
      </bottom>
      <diagonal/>
    </border>
  </borders>
  <cellStyleXfs count="7">
    <xf numFmtId="0" fontId="0" fillId="0" borderId="0"/>
    <xf numFmtId="9" fontId="4" fillId="0" borderId="0" applyFont="0" applyFill="0" applyBorder="0" applyAlignment="0" applyProtection="0"/>
    <xf numFmtId="0" fontId="17" fillId="6" borderId="0" applyNumberFormat="0" applyBorder="0" applyAlignment="0" applyProtection="0"/>
    <xf numFmtId="0" fontId="15" fillId="7" borderId="0" applyNumberFormat="0" applyBorder="0" applyAlignment="0" applyProtection="0"/>
    <xf numFmtId="0" fontId="22" fillId="0" borderId="0" applyNumberFormat="0" applyFill="0" applyBorder="0" applyAlignment="0" applyProtection="0"/>
    <xf numFmtId="0" fontId="20" fillId="0" borderId="0"/>
    <xf numFmtId="0" fontId="29" fillId="0" borderId="0"/>
  </cellStyleXfs>
  <cellXfs count="222">
    <xf numFmtId="0" fontId="0" fillId="0" borderId="0" xfId="0"/>
    <xf numFmtId="0" fontId="0" fillId="0" borderId="0" xfId="0" applyAlignment="1" applyProtection="1">
      <alignment vertical="center"/>
    </xf>
    <xf numFmtId="0" fontId="3" fillId="0" borderId="0" xfId="0" applyFont="1" applyAlignment="1" applyProtection="1">
      <alignment vertical="center"/>
    </xf>
    <xf numFmtId="0" fontId="2" fillId="0" borderId="0" xfId="0" applyFont="1" applyAlignment="1" applyProtection="1">
      <alignment vertical="center"/>
    </xf>
    <xf numFmtId="0" fontId="15" fillId="0" borderId="0" xfId="0" applyFont="1" applyAlignment="1" applyProtection="1">
      <alignment vertical="center"/>
    </xf>
    <xf numFmtId="2" fontId="0" fillId="0" borderId="0" xfId="0" applyNumberFormat="1" applyAlignment="1" applyProtection="1">
      <alignment vertical="center"/>
    </xf>
    <xf numFmtId="1" fontId="0" fillId="3" borderId="17" xfId="0" applyNumberFormat="1" applyFill="1" applyBorder="1" applyAlignment="1" applyProtection="1">
      <alignment vertical="center"/>
    </xf>
    <xf numFmtId="167" fontId="0" fillId="3" borderId="17" xfId="0" applyNumberFormat="1" applyFill="1" applyBorder="1" applyAlignment="1" applyProtection="1">
      <alignment vertical="center"/>
    </xf>
    <xf numFmtId="0" fontId="2" fillId="0" borderId="0" xfId="0" applyFont="1" applyAlignment="1" applyProtection="1">
      <alignment vertical="center"/>
      <protection locked="0"/>
    </xf>
    <xf numFmtId="2" fontId="0" fillId="2" borderId="22" xfId="0" applyNumberFormat="1" applyFill="1" applyBorder="1" applyAlignment="1" applyProtection="1">
      <alignment vertical="center"/>
      <protection locked="0"/>
    </xf>
    <xf numFmtId="164" fontId="0" fillId="2" borderId="22" xfId="0" applyNumberFormat="1" applyFill="1" applyBorder="1" applyAlignment="1" applyProtection="1">
      <alignment vertical="center"/>
      <protection locked="0"/>
    </xf>
    <xf numFmtId="0" fontId="0" fillId="2" borderId="17" xfId="0" applyFill="1" applyBorder="1" applyAlignment="1" applyProtection="1">
      <alignment vertical="center"/>
      <protection locked="0"/>
    </xf>
    <xf numFmtId="1" fontId="0" fillId="2" borderId="22" xfId="0" applyNumberFormat="1" applyFill="1" applyBorder="1" applyAlignment="1" applyProtection="1">
      <alignment vertical="center"/>
      <protection locked="0"/>
    </xf>
    <xf numFmtId="164" fontId="0" fillId="2" borderId="23" xfId="0" applyNumberFormat="1" applyFill="1" applyBorder="1" applyAlignment="1" applyProtection="1">
      <alignment vertical="center"/>
      <protection locked="0"/>
    </xf>
    <xf numFmtId="9" fontId="0" fillId="2" borderId="17" xfId="1" applyFont="1" applyFill="1" applyBorder="1" applyAlignment="1" applyProtection="1">
      <alignment vertical="center"/>
      <protection locked="0"/>
    </xf>
    <xf numFmtId="167" fontId="0" fillId="2" borderId="17" xfId="0" applyNumberFormat="1" applyFill="1" applyBorder="1" applyAlignment="1" applyProtection="1">
      <alignment vertical="center"/>
      <protection locked="0"/>
    </xf>
    <xf numFmtId="2" fontId="0" fillId="2" borderId="17" xfId="0" applyNumberFormat="1" applyFill="1" applyBorder="1" applyAlignment="1" applyProtection="1">
      <alignment vertical="center"/>
      <protection locked="0"/>
    </xf>
    <xf numFmtId="0" fontId="0" fillId="2" borderId="25" xfId="0" applyFill="1" applyBorder="1" applyAlignment="1" applyProtection="1">
      <alignment vertical="center"/>
      <protection locked="0"/>
    </xf>
    <xf numFmtId="0" fontId="0" fillId="2" borderId="26" xfId="0" applyFill="1" applyBorder="1" applyAlignment="1" applyProtection="1">
      <alignment vertical="center"/>
      <protection locked="0"/>
    </xf>
    <xf numFmtId="164" fontId="0" fillId="2" borderId="19" xfId="0" applyNumberFormat="1" applyFill="1" applyBorder="1" applyAlignment="1" applyProtection="1">
      <alignment vertical="center"/>
      <protection locked="0"/>
    </xf>
    <xf numFmtId="0" fontId="0" fillId="2" borderId="19" xfId="0" applyFill="1" applyBorder="1" applyAlignment="1" applyProtection="1">
      <alignment vertical="center"/>
      <protection locked="0"/>
    </xf>
    <xf numFmtId="2" fontId="0" fillId="2" borderId="23" xfId="0" applyNumberFormat="1" applyFill="1" applyBorder="1" applyAlignment="1" applyProtection="1">
      <alignment vertical="center"/>
      <protection locked="0"/>
    </xf>
    <xf numFmtId="0" fontId="1" fillId="0" borderId="0" xfId="0" applyFont="1" applyAlignment="1" applyProtection="1">
      <alignment vertical="center"/>
    </xf>
    <xf numFmtId="0" fontId="0" fillId="0" borderId="17" xfId="0" applyBorder="1" applyAlignment="1" applyProtection="1">
      <alignment vertical="center"/>
    </xf>
    <xf numFmtId="0" fontId="0" fillId="0" borderId="4" xfId="0" applyFont="1" applyBorder="1" applyAlignment="1" applyProtection="1">
      <alignment horizontal="left" vertical="center"/>
    </xf>
    <xf numFmtId="1" fontId="0" fillId="0" borderId="3" xfId="0" applyNumberFormat="1" applyBorder="1" applyAlignment="1" applyProtection="1">
      <alignment vertical="center"/>
    </xf>
    <xf numFmtId="1" fontId="0" fillId="0" borderId="8" xfId="0" applyNumberFormat="1" applyBorder="1" applyAlignment="1" applyProtection="1">
      <alignment vertical="center"/>
    </xf>
    <xf numFmtId="0" fontId="0" fillId="2" borderId="15" xfId="0" applyFill="1" applyBorder="1" applyAlignment="1" applyProtection="1">
      <alignment vertical="center"/>
      <protection locked="0"/>
    </xf>
    <xf numFmtId="0" fontId="0" fillId="2" borderId="16" xfId="0" applyFill="1" applyBorder="1" applyAlignment="1" applyProtection="1">
      <alignment vertical="center"/>
      <protection locked="0"/>
    </xf>
    <xf numFmtId="0" fontId="0" fillId="3" borderId="17" xfId="0" applyFill="1" applyBorder="1" applyAlignment="1" applyProtection="1">
      <alignment vertical="center"/>
    </xf>
    <xf numFmtId="0" fontId="0" fillId="0" borderId="2" xfId="0" applyFont="1" applyBorder="1" applyAlignment="1" applyProtection="1">
      <alignment horizontal="left" vertical="center"/>
    </xf>
    <xf numFmtId="2" fontId="0" fillId="0" borderId="1" xfId="0" applyNumberFormat="1" applyBorder="1" applyAlignment="1" applyProtection="1">
      <alignment vertical="center"/>
    </xf>
    <xf numFmtId="2" fontId="0" fillId="0" borderId="9" xfId="0" applyNumberFormat="1" applyBorder="1" applyAlignment="1" applyProtection="1">
      <alignment vertical="center"/>
    </xf>
    <xf numFmtId="164" fontId="0" fillId="0" borderId="1" xfId="0" applyNumberFormat="1" applyBorder="1" applyAlignment="1" applyProtection="1">
      <alignment vertical="center"/>
    </xf>
    <xf numFmtId="164" fontId="0" fillId="0" borderId="9" xfId="0" applyNumberFormat="1" applyBorder="1" applyAlignment="1" applyProtection="1">
      <alignment vertical="center"/>
    </xf>
    <xf numFmtId="1" fontId="0" fillId="0" borderId="1" xfId="0" applyNumberFormat="1" applyBorder="1" applyAlignment="1" applyProtection="1">
      <alignment vertical="center"/>
    </xf>
    <xf numFmtId="1" fontId="0" fillId="0" borderId="9" xfId="0" applyNumberFormat="1" applyBorder="1" applyAlignment="1" applyProtection="1">
      <alignment vertical="center"/>
    </xf>
    <xf numFmtId="0" fontId="0" fillId="0" borderId="5" xfId="0" applyFont="1" applyBorder="1" applyAlignment="1" applyProtection="1">
      <alignment horizontal="left" vertical="center"/>
    </xf>
    <xf numFmtId="164" fontId="0" fillId="0" borderId="6" xfId="0" applyNumberFormat="1" applyBorder="1" applyAlignment="1" applyProtection="1">
      <alignment vertical="center"/>
    </xf>
    <xf numFmtId="164" fontId="0" fillId="0" borderId="10" xfId="0" applyNumberFormat="1" applyBorder="1" applyAlignment="1" applyProtection="1">
      <alignment vertical="center"/>
    </xf>
    <xf numFmtId="165" fontId="0" fillId="3" borderId="17" xfId="0" applyNumberFormat="1" applyFill="1" applyBorder="1" applyAlignment="1" applyProtection="1">
      <alignment vertical="center"/>
    </xf>
    <xf numFmtId="0" fontId="0" fillId="0" borderId="15" xfId="0" applyFont="1" applyFill="1" applyBorder="1" applyAlignment="1" applyProtection="1">
      <alignment horizontal="left" vertical="center"/>
    </xf>
    <xf numFmtId="2" fontId="0" fillId="3" borderId="17" xfId="0" applyNumberFormat="1" applyFill="1" applyBorder="1" applyAlignment="1" applyProtection="1">
      <alignment vertical="center"/>
    </xf>
    <xf numFmtId="1" fontId="0" fillId="0" borderId="0" xfId="0" applyNumberFormat="1" applyAlignment="1" applyProtection="1">
      <alignment vertical="center"/>
    </xf>
    <xf numFmtId="164" fontId="0" fillId="3" borderId="17" xfId="0" applyNumberFormat="1" applyFill="1" applyBorder="1" applyAlignment="1" applyProtection="1">
      <alignment vertical="center"/>
    </xf>
    <xf numFmtId="0" fontId="0" fillId="0" borderId="4" xfId="0" applyBorder="1" applyAlignment="1" applyProtection="1">
      <alignment vertical="center"/>
    </xf>
    <xf numFmtId="0" fontId="0" fillId="0" borderId="8" xfId="0" applyBorder="1" applyAlignment="1" applyProtection="1">
      <alignment vertical="center"/>
    </xf>
    <xf numFmtId="0" fontId="0" fillId="2" borderId="2" xfId="0" applyFill="1" applyBorder="1" applyAlignment="1" applyProtection="1">
      <alignment vertical="center"/>
      <protection locked="0"/>
    </xf>
    <xf numFmtId="0" fontId="0" fillId="2" borderId="9" xfId="0" applyFill="1" applyBorder="1" applyAlignment="1" applyProtection="1">
      <alignment vertical="center"/>
      <protection locked="0"/>
    </xf>
    <xf numFmtId="1" fontId="0" fillId="2" borderId="17" xfId="0" applyNumberFormat="1" applyFill="1" applyBorder="1" applyAlignment="1" applyProtection="1">
      <alignment vertical="center"/>
      <protection locked="0"/>
    </xf>
    <xf numFmtId="0" fontId="0" fillId="0" borderId="2" xfId="0" applyBorder="1" applyAlignment="1" applyProtection="1">
      <alignment vertical="center"/>
    </xf>
    <xf numFmtId="0" fontId="0" fillId="2" borderId="37" xfId="0" applyFill="1" applyBorder="1" applyAlignment="1" applyProtection="1">
      <alignment vertical="center"/>
      <protection locked="0"/>
    </xf>
    <xf numFmtId="164" fontId="0" fillId="2" borderId="17" xfId="0" applyNumberFormat="1" applyFill="1" applyBorder="1" applyAlignment="1" applyProtection="1">
      <alignment vertical="center"/>
      <protection locked="0"/>
    </xf>
    <xf numFmtId="0" fontId="0" fillId="0" borderId="5" xfId="0" applyBorder="1" applyAlignment="1" applyProtection="1">
      <alignment vertical="center"/>
    </xf>
    <xf numFmtId="0" fontId="0" fillId="3" borderId="10" xfId="0" applyFill="1" applyBorder="1" applyAlignment="1" applyProtection="1">
      <alignment vertical="center"/>
    </xf>
    <xf numFmtId="0" fontId="0" fillId="0" borderId="11" xfId="0" applyFont="1" applyFill="1" applyBorder="1" applyAlignment="1" applyProtection="1">
      <alignment horizontal="left" vertical="center"/>
    </xf>
    <xf numFmtId="0" fontId="11" fillId="0" borderId="0" xfId="0" applyFont="1" applyAlignment="1" applyProtection="1">
      <alignment vertical="center"/>
    </xf>
    <xf numFmtId="167" fontId="0" fillId="0" borderId="0" xfId="0" applyNumberFormat="1" applyAlignment="1" applyProtection="1">
      <alignment vertical="center"/>
    </xf>
    <xf numFmtId="164" fontId="0" fillId="0" borderId="0" xfId="0" applyNumberFormat="1" applyAlignment="1" applyProtection="1">
      <alignment vertical="center"/>
    </xf>
    <xf numFmtId="0" fontId="2" fillId="0" borderId="0" xfId="0" applyFont="1" applyAlignment="1" applyProtection="1">
      <alignment horizontal="right" vertical="center"/>
    </xf>
    <xf numFmtId="1" fontId="2" fillId="0" borderId="0" xfId="0" applyNumberFormat="1" applyFont="1" applyAlignment="1" applyProtection="1">
      <alignment vertical="center"/>
    </xf>
    <xf numFmtId="168" fontId="0" fillId="0" borderId="0" xfId="0" applyNumberFormat="1" applyAlignment="1" applyProtection="1">
      <alignment vertical="center"/>
    </xf>
    <xf numFmtId="169" fontId="0" fillId="3" borderId="17" xfId="0" applyNumberFormat="1" applyFill="1" applyBorder="1" applyAlignment="1" applyProtection="1">
      <alignment vertical="center"/>
    </xf>
    <xf numFmtId="0" fontId="0" fillId="0" borderId="11" xfId="0" applyBorder="1" applyAlignment="1" applyProtection="1">
      <alignment vertical="center"/>
    </xf>
    <xf numFmtId="2" fontId="0" fillId="0" borderId="11" xfId="0" applyNumberFormat="1" applyBorder="1" applyAlignment="1" applyProtection="1">
      <alignment vertical="center"/>
    </xf>
    <xf numFmtId="0" fontId="0" fillId="0" borderId="19" xfId="0" applyBorder="1" applyAlignment="1" applyProtection="1">
      <alignment vertical="center"/>
    </xf>
    <xf numFmtId="0" fontId="0" fillId="0" borderId="22" xfId="0" applyBorder="1" applyAlignment="1" applyProtection="1">
      <alignment vertical="center"/>
    </xf>
    <xf numFmtId="0" fontId="0" fillId="0" borderId="23" xfId="0" applyBorder="1" applyAlignment="1" applyProtection="1">
      <alignment vertical="center"/>
    </xf>
    <xf numFmtId="0" fontId="2" fillId="0" borderId="0" xfId="0" applyNumberFormat="1" applyFont="1" applyAlignment="1" applyProtection="1">
      <alignment vertical="center"/>
    </xf>
    <xf numFmtId="0" fontId="0" fillId="2" borderId="22" xfId="0" applyFill="1" applyBorder="1" applyAlignment="1" applyProtection="1">
      <alignment vertical="center"/>
      <protection locked="0"/>
    </xf>
    <xf numFmtId="1" fontId="0" fillId="2" borderId="23" xfId="0" applyNumberFormat="1" applyFill="1" applyBorder="1" applyAlignment="1" applyProtection="1">
      <alignment vertical="center"/>
      <protection locked="0"/>
    </xf>
    <xf numFmtId="0" fontId="0" fillId="2" borderId="23" xfId="0" applyFill="1" applyBorder="1" applyAlignment="1" applyProtection="1">
      <alignment vertical="center"/>
      <protection locked="0"/>
    </xf>
    <xf numFmtId="165" fontId="0" fillId="2" borderId="17" xfId="0" applyNumberFormat="1" applyFill="1" applyBorder="1" applyAlignment="1" applyProtection="1">
      <alignment vertical="center"/>
      <protection locked="0"/>
    </xf>
    <xf numFmtId="0" fontId="0" fillId="2" borderId="17" xfId="0" applyFill="1" applyBorder="1" applyAlignment="1" applyProtection="1">
      <alignment horizontal="center" vertical="center"/>
      <protection locked="0"/>
    </xf>
    <xf numFmtId="169" fontId="0" fillId="2" borderId="17" xfId="0" applyNumberFormat="1" applyFill="1" applyBorder="1" applyAlignment="1" applyProtection="1">
      <alignment vertical="center"/>
      <protection locked="0"/>
    </xf>
    <xf numFmtId="0" fontId="1" fillId="0" borderId="15" xfId="0" applyFont="1" applyBorder="1" applyAlignment="1" applyProtection="1">
      <alignment vertical="center"/>
      <protection locked="0"/>
    </xf>
    <xf numFmtId="0" fontId="0" fillId="0" borderId="16" xfId="0" applyBorder="1" applyAlignment="1" applyProtection="1">
      <alignment horizontal="center" vertical="center"/>
      <protection locked="0"/>
    </xf>
    <xf numFmtId="164" fontId="0" fillId="3" borderId="22" xfId="0" applyNumberFormat="1" applyFill="1" applyBorder="1" applyAlignment="1" applyProtection="1">
      <alignment vertical="center"/>
    </xf>
    <xf numFmtId="167" fontId="0" fillId="2" borderId="22" xfId="0" applyNumberFormat="1" applyFill="1" applyBorder="1" applyAlignment="1" applyProtection="1">
      <alignment vertical="center"/>
      <protection locked="0"/>
    </xf>
    <xf numFmtId="164" fontId="2" fillId="0" borderId="0" xfId="0" applyNumberFormat="1" applyFont="1" applyAlignment="1" applyProtection="1">
      <alignment vertical="center"/>
    </xf>
    <xf numFmtId="0" fontId="0" fillId="2" borderId="11" xfId="0" applyFill="1" applyBorder="1" applyAlignment="1" applyProtection="1">
      <alignment vertical="center"/>
      <protection locked="0"/>
    </xf>
    <xf numFmtId="0" fontId="0" fillId="0" borderId="0" xfId="0" applyAlignment="1"/>
    <xf numFmtId="0" fontId="19" fillId="0" borderId="0" xfId="0" applyFont="1" applyAlignment="1"/>
    <xf numFmtId="0" fontId="20" fillId="0" borderId="0" xfId="0" applyFont="1" applyAlignment="1"/>
    <xf numFmtId="0" fontId="1" fillId="0" borderId="0" xfId="0" applyFont="1" applyAlignment="1"/>
    <xf numFmtId="0" fontId="0" fillId="5" borderId="11" xfId="0" applyFill="1" applyBorder="1" applyAlignment="1">
      <alignment horizontal="center"/>
    </xf>
    <xf numFmtId="0" fontId="0" fillId="0" borderId="0" xfId="0" quotePrefix="1" applyAlignment="1"/>
    <xf numFmtId="0" fontId="21" fillId="4" borderId="28" xfId="0" applyFont="1" applyFill="1" applyBorder="1" applyAlignment="1"/>
    <xf numFmtId="0" fontId="0" fillId="4" borderId="41" xfId="0" applyFill="1" applyBorder="1" applyAlignment="1"/>
    <xf numFmtId="0" fontId="0" fillId="0" borderId="20"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7" xfId="0" applyBorder="1" applyAlignment="1" applyProtection="1">
      <alignment vertical="center"/>
    </xf>
    <xf numFmtId="0" fontId="1" fillId="0" borderId="28" xfId="0" applyFont="1" applyBorder="1" applyAlignment="1" applyProtection="1">
      <alignment vertical="center"/>
    </xf>
    <xf numFmtId="0" fontId="0" fillId="0" borderId="24" xfId="0" applyBorder="1" applyAlignment="1" applyProtection="1">
      <alignment vertical="center"/>
    </xf>
    <xf numFmtId="165" fontId="7" fillId="3" borderId="27" xfId="0" applyNumberFormat="1" applyFont="1" applyFill="1" applyBorder="1" applyAlignment="1" applyProtection="1">
      <alignment vertical="center"/>
    </xf>
    <xf numFmtId="2" fontId="0" fillId="3" borderId="24" xfId="0" applyNumberFormat="1" applyFill="1" applyBorder="1" applyAlignment="1" applyProtection="1">
      <alignment vertical="center"/>
    </xf>
    <xf numFmtId="2" fontId="0" fillId="3" borderId="22" xfId="0" applyNumberFormat="1" applyFill="1" applyBorder="1" applyAlignment="1" applyProtection="1">
      <alignment vertical="center"/>
    </xf>
    <xf numFmtId="1" fontId="0" fillId="3" borderId="22" xfId="0" applyNumberFormat="1" applyFill="1" applyBorder="1" applyAlignment="1" applyProtection="1">
      <alignment vertical="center"/>
    </xf>
    <xf numFmtId="164" fontId="0" fillId="3" borderId="23" xfId="0" applyNumberFormat="1" applyFill="1" applyBorder="1" applyAlignment="1" applyProtection="1">
      <alignment vertical="center"/>
    </xf>
    <xf numFmtId="165" fontId="7" fillId="3" borderId="11" xfId="0" applyNumberFormat="1" applyFont="1" applyFill="1" applyBorder="1" applyAlignment="1" applyProtection="1">
      <alignment vertical="center"/>
    </xf>
    <xf numFmtId="0" fontId="0" fillId="0" borderId="25" xfId="0" applyBorder="1" applyAlignment="1" applyProtection="1">
      <alignment vertical="center"/>
    </xf>
    <xf numFmtId="166" fontId="0" fillId="3" borderId="17" xfId="1" applyNumberFormat="1" applyFont="1" applyFill="1" applyBorder="1" applyAlignment="1" applyProtection="1">
      <alignment vertical="center"/>
    </xf>
    <xf numFmtId="164" fontId="0" fillId="3" borderId="19" xfId="0" applyNumberFormat="1" applyFill="1" applyBorder="1" applyAlignment="1" applyProtection="1">
      <alignment vertical="center"/>
    </xf>
    <xf numFmtId="1" fontId="0" fillId="3" borderId="19" xfId="0" applyNumberFormat="1" applyFill="1" applyBorder="1" applyAlignment="1" applyProtection="1">
      <alignment vertical="center"/>
    </xf>
    <xf numFmtId="0" fontId="0" fillId="3" borderId="26" xfId="0" applyFill="1" applyBorder="1" applyAlignment="1" applyProtection="1">
      <alignment vertical="center"/>
    </xf>
    <xf numFmtId="2" fontId="0" fillId="3" borderId="23" xfId="0" applyNumberFormat="1" applyFill="1" applyBorder="1" applyAlignment="1" applyProtection="1">
      <alignment vertical="center"/>
    </xf>
    <xf numFmtId="167" fontId="0" fillId="2" borderId="26" xfId="0" applyNumberFormat="1" applyFill="1" applyBorder="1" applyAlignment="1" applyProtection="1">
      <alignment vertical="center"/>
      <protection locked="0"/>
    </xf>
    <xf numFmtId="0" fontId="0" fillId="3" borderId="11" xfId="0" applyFill="1" applyBorder="1" applyAlignment="1">
      <alignment horizontal="center"/>
    </xf>
    <xf numFmtId="0" fontId="24" fillId="8" borderId="11" xfId="2" applyFont="1" applyFill="1" applyBorder="1" applyAlignment="1">
      <alignment horizontal="center"/>
    </xf>
    <xf numFmtId="0" fontId="25" fillId="9" borderId="11" xfId="3" applyFont="1" applyFill="1" applyBorder="1" applyAlignment="1">
      <alignment horizontal="center"/>
    </xf>
    <xf numFmtId="0" fontId="2" fillId="0" borderId="54" xfId="0" applyFont="1" applyBorder="1" applyAlignment="1" applyProtection="1">
      <alignment vertical="center"/>
    </xf>
    <xf numFmtId="0" fontId="2" fillId="0" borderId="55" xfId="0" applyFont="1" applyBorder="1" applyAlignment="1" applyProtection="1">
      <alignment vertical="center"/>
    </xf>
    <xf numFmtId="0" fontId="2" fillId="0" borderId="53" xfId="0" applyFont="1" applyBorder="1" applyAlignment="1" applyProtection="1">
      <alignment vertical="center"/>
      <protection locked="0"/>
    </xf>
    <xf numFmtId="0" fontId="2" fillId="0" borderId="54" xfId="0" applyFont="1" applyBorder="1" applyAlignment="1" applyProtection="1">
      <alignment vertical="center"/>
      <protection locked="0"/>
    </xf>
    <xf numFmtId="0" fontId="2" fillId="0" borderId="0" xfId="0" applyFont="1" applyFill="1" applyBorder="1" applyAlignment="1">
      <alignment vertical="center"/>
    </xf>
    <xf numFmtId="0" fontId="0" fillId="0" borderId="0" xfId="0" applyFont="1" applyFill="1" applyBorder="1" applyAlignment="1">
      <alignment horizontal="center" vertical="center"/>
    </xf>
    <xf numFmtId="0" fontId="28" fillId="0" borderId="0" xfId="0" applyFont="1" applyFill="1" applyBorder="1" applyAlignment="1">
      <alignment horizontal="center" vertical="center"/>
    </xf>
    <xf numFmtId="0" fontId="29" fillId="0" borderId="0" xfId="0" applyFont="1" applyFill="1" applyBorder="1" applyAlignment="1">
      <alignment vertical="center"/>
    </xf>
    <xf numFmtId="0" fontId="0" fillId="0" borderId="0" xfId="0" applyFont="1" applyFill="1" applyBorder="1" applyAlignment="1">
      <alignment vertical="center"/>
    </xf>
    <xf numFmtId="2" fontId="0" fillId="0" borderId="0" xfId="0" applyNumberFormat="1" applyFont="1" applyFill="1" applyBorder="1" applyAlignment="1">
      <alignment vertical="center"/>
    </xf>
    <xf numFmtId="0" fontId="0" fillId="0" borderId="0" xfId="0" applyBorder="1" applyAlignment="1" applyProtection="1">
      <alignment vertical="center"/>
    </xf>
    <xf numFmtId="0" fontId="1" fillId="0" borderId="12"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0" borderId="14" xfId="0" applyFont="1" applyBorder="1" applyAlignment="1" applyProtection="1">
      <alignment horizontal="center" vertical="center"/>
    </xf>
    <xf numFmtId="0" fontId="1" fillId="0" borderId="18" xfId="0" applyFont="1" applyBorder="1" applyAlignment="1" applyProtection="1">
      <alignment horizontal="center" vertical="center"/>
    </xf>
    <xf numFmtId="0" fontId="1" fillId="0" borderId="16" xfId="0" applyFont="1" applyBorder="1" applyAlignment="1" applyProtection="1">
      <alignment horizontal="center" vertical="center"/>
    </xf>
    <xf numFmtId="0" fontId="1" fillId="0" borderId="17" xfId="0" applyFont="1" applyBorder="1" applyAlignment="1" applyProtection="1">
      <alignment horizontal="center" vertical="center"/>
    </xf>
    <xf numFmtId="0" fontId="1" fillId="0" borderId="15" xfId="0" applyFont="1" applyBorder="1" applyAlignment="1" applyProtection="1">
      <alignment horizontal="center" vertical="center"/>
    </xf>
    <xf numFmtId="164" fontId="0" fillId="0" borderId="17" xfId="0" applyNumberFormat="1" applyBorder="1" applyAlignment="1" applyProtection="1">
      <alignment horizontal="center" vertical="center"/>
    </xf>
    <xf numFmtId="0" fontId="0" fillId="0" borderId="16" xfId="0" applyBorder="1" applyAlignment="1" applyProtection="1">
      <alignment vertical="center"/>
      <protection locked="0"/>
    </xf>
    <xf numFmtId="0" fontId="0" fillId="0" borderId="17" xfId="0" applyBorder="1" applyAlignment="1" applyProtection="1">
      <alignment vertical="center"/>
      <protection locked="0"/>
    </xf>
    <xf numFmtId="0" fontId="1" fillId="0" borderId="20" xfId="0" applyFont="1" applyBorder="1" applyAlignment="1" applyProtection="1">
      <alignment vertical="center"/>
      <protection locked="0"/>
    </xf>
    <xf numFmtId="0" fontId="0" fillId="0" borderId="17" xfId="0" applyBorder="1" applyAlignment="1" applyProtection="1">
      <alignment horizontal="center" vertical="center"/>
      <protection locked="0"/>
    </xf>
    <xf numFmtId="0" fontId="18" fillId="0" borderId="0" xfId="6" applyFont="1"/>
    <xf numFmtId="0" fontId="29" fillId="0" borderId="0" xfId="6"/>
    <xf numFmtId="0" fontId="30" fillId="0" borderId="0" xfId="6" applyFont="1"/>
    <xf numFmtId="170" fontId="18" fillId="0" borderId="0" xfId="6" applyNumberFormat="1" applyFont="1"/>
    <xf numFmtId="49" fontId="18" fillId="0" borderId="0" xfId="6" applyNumberFormat="1" applyFont="1"/>
    <xf numFmtId="0" fontId="0" fillId="0" borderId="0" xfId="0" applyFont="1" applyAlignment="1" applyProtection="1">
      <alignment vertical="center"/>
    </xf>
    <xf numFmtId="0" fontId="0" fillId="4" borderId="40" xfId="0" applyFill="1" applyBorder="1" applyAlignment="1">
      <alignment vertical="top" wrapText="1"/>
    </xf>
    <xf numFmtId="0" fontId="0" fillId="0" borderId="0" xfId="0" applyBorder="1" applyAlignment="1"/>
    <xf numFmtId="0" fontId="21" fillId="4" borderId="64" xfId="0" applyFont="1" applyFill="1" applyBorder="1" applyAlignment="1"/>
    <xf numFmtId="0" fontId="22" fillId="4" borderId="65" xfId="4" applyFill="1" applyBorder="1" applyAlignment="1"/>
    <xf numFmtId="0" fontId="22" fillId="0" borderId="65" xfId="4" applyBorder="1" applyAlignment="1"/>
    <xf numFmtId="0" fontId="22" fillId="0" borderId="66" xfId="4" applyBorder="1" applyAlignment="1"/>
    <xf numFmtId="0" fontId="0" fillId="0" borderId="0" xfId="6" applyFont="1" applyProtection="1"/>
    <xf numFmtId="0" fontId="0" fillId="0" borderId="56" xfId="6" applyFont="1" applyBorder="1" applyProtection="1"/>
    <xf numFmtId="0" fontId="2" fillId="0" borderId="0" xfId="6" applyFont="1" applyProtection="1"/>
    <xf numFmtId="0" fontId="0" fillId="0" borderId="0" xfId="6" quotePrefix="1" applyFont="1" applyProtection="1"/>
    <xf numFmtId="0" fontId="31" fillId="0" borderId="0" xfId="6" applyFont="1" applyAlignment="1" applyProtection="1">
      <alignment vertical="center" wrapText="1"/>
    </xf>
    <xf numFmtId="0" fontId="0" fillId="0" borderId="0" xfId="6" applyFont="1" applyAlignment="1" applyProtection="1">
      <alignment vertical="center" wrapText="1"/>
    </xf>
    <xf numFmtId="171" fontId="0" fillId="11" borderId="57" xfId="6" applyNumberFormat="1" applyFont="1" applyFill="1" applyBorder="1" applyProtection="1"/>
    <xf numFmtId="1" fontId="0" fillId="11" borderId="57" xfId="6" applyNumberFormat="1" applyFont="1" applyFill="1" applyBorder="1" applyProtection="1"/>
    <xf numFmtId="164" fontId="0" fillId="11" borderId="57" xfId="6" applyNumberFormat="1" applyFont="1" applyFill="1" applyBorder="1" applyProtection="1"/>
    <xf numFmtId="0" fontId="15" fillId="0" borderId="0" xfId="6" applyFont="1" applyBorder="1" applyAlignment="1" applyProtection="1"/>
    <xf numFmtId="170" fontId="0" fillId="11" borderId="57" xfId="6" applyNumberFormat="1" applyFont="1" applyFill="1" applyBorder="1" applyProtection="1"/>
    <xf numFmtId="0" fontId="0" fillId="10" borderId="57" xfId="6" applyFont="1" applyFill="1" applyBorder="1" applyProtection="1">
      <protection locked="0"/>
    </xf>
    <xf numFmtId="49" fontId="0" fillId="10" borderId="57" xfId="6" applyNumberFormat="1" applyFont="1" applyFill="1" applyBorder="1" applyProtection="1">
      <protection locked="0"/>
    </xf>
    <xf numFmtId="167" fontId="0" fillId="12" borderId="57" xfId="6" applyNumberFormat="1" applyFont="1" applyFill="1" applyBorder="1" applyAlignment="1" applyProtection="1">
      <alignment horizontal="center"/>
    </xf>
    <xf numFmtId="0" fontId="16" fillId="0" borderId="49" xfId="0" applyFont="1" applyBorder="1" applyAlignment="1">
      <alignment horizontal="center" vertical="center" wrapText="1"/>
    </xf>
    <xf numFmtId="0" fontId="16" fillId="0" borderId="50" xfId="0" applyFont="1" applyBorder="1" applyAlignment="1">
      <alignment horizontal="center" vertical="center" wrapText="1"/>
    </xf>
    <xf numFmtId="0" fontId="16" fillId="0" borderId="51" xfId="0" applyFont="1" applyBorder="1" applyAlignment="1">
      <alignment horizontal="center" vertical="center" wrapText="1"/>
    </xf>
    <xf numFmtId="0" fontId="16" fillId="0" borderId="42" xfId="0" applyFont="1" applyBorder="1" applyAlignment="1">
      <alignment horizontal="center" vertical="center" wrapText="1"/>
    </xf>
    <xf numFmtId="0" fontId="16" fillId="0" borderId="52" xfId="0" applyFont="1" applyBorder="1" applyAlignment="1">
      <alignment horizontal="center" vertical="center" wrapText="1"/>
    </xf>
    <xf numFmtId="0" fontId="16" fillId="0" borderId="7" xfId="0" applyFont="1" applyBorder="1" applyAlignment="1">
      <alignment horizontal="center" vertical="center" wrapText="1"/>
    </xf>
    <xf numFmtId="0" fontId="9" fillId="0" borderId="34" xfId="0" applyFont="1" applyBorder="1" applyAlignment="1" applyProtection="1">
      <alignment vertical="center" wrapText="1"/>
    </xf>
    <xf numFmtId="0" fontId="9" fillId="0" borderId="35" xfId="0" applyFont="1" applyBorder="1" applyAlignment="1" applyProtection="1">
      <alignment vertical="center" wrapText="1"/>
    </xf>
    <xf numFmtId="0" fontId="9" fillId="0" borderId="36" xfId="0" applyFont="1" applyBorder="1" applyAlignment="1" applyProtection="1">
      <alignment vertical="center" wrapText="1"/>
    </xf>
    <xf numFmtId="0" fontId="8" fillId="0" borderId="30" xfId="0" applyFont="1" applyBorder="1" applyAlignment="1" applyProtection="1">
      <alignment vertical="center" wrapText="1"/>
    </xf>
    <xf numFmtId="0" fontId="8" fillId="0" borderId="31" xfId="0" applyFont="1" applyBorder="1" applyAlignment="1" applyProtection="1">
      <alignment vertical="center" wrapText="1"/>
    </xf>
    <xf numFmtId="0" fontId="8" fillId="0" borderId="32" xfId="0" applyFont="1" applyBorder="1" applyAlignment="1" applyProtection="1">
      <alignment vertical="center" wrapText="1"/>
    </xf>
    <xf numFmtId="0" fontId="9" fillId="0" borderId="29" xfId="0" applyFont="1" applyBorder="1" applyAlignment="1" applyProtection="1">
      <alignment vertical="center" wrapText="1"/>
    </xf>
    <xf numFmtId="0" fontId="9" fillId="0" borderId="0" xfId="0" applyFont="1" applyBorder="1" applyAlignment="1" applyProtection="1">
      <alignment vertical="center" wrapText="1"/>
    </xf>
    <xf numFmtId="0" fontId="9" fillId="0" borderId="33" xfId="0" applyFont="1" applyBorder="1" applyAlignment="1" applyProtection="1">
      <alignment vertical="center" wrapText="1"/>
    </xf>
    <xf numFmtId="0" fontId="0" fillId="2" borderId="20" xfId="0" applyFill="1" applyBorder="1" applyAlignment="1" applyProtection="1">
      <alignment horizontal="left" vertical="center"/>
      <protection locked="0"/>
    </xf>
    <xf numFmtId="0" fontId="0" fillId="2" borderId="21" xfId="0" applyFill="1" applyBorder="1" applyAlignment="1" applyProtection="1">
      <alignment horizontal="left" vertical="center"/>
      <protection locked="0"/>
    </xf>
    <xf numFmtId="0" fontId="5" fillId="0" borderId="43" xfId="0" applyFont="1" applyBorder="1" applyAlignment="1" applyProtection="1">
      <alignment vertical="center" wrapText="1"/>
    </xf>
    <xf numFmtId="0" fontId="5" fillId="0" borderId="44" xfId="0" applyFont="1" applyBorder="1" applyAlignment="1" applyProtection="1">
      <alignment vertical="center" wrapText="1"/>
    </xf>
    <xf numFmtId="0" fontId="5" fillId="0" borderId="45" xfId="0" applyFont="1" applyBorder="1" applyAlignment="1" applyProtection="1">
      <alignment vertical="center" wrapText="1"/>
    </xf>
    <xf numFmtId="0" fontId="5" fillId="0" borderId="46" xfId="0" applyFont="1" applyBorder="1" applyAlignment="1" applyProtection="1">
      <alignment vertical="center" wrapText="1"/>
    </xf>
    <xf numFmtId="0" fontId="5" fillId="0" borderId="47" xfId="0" applyFont="1" applyBorder="1" applyAlignment="1" applyProtection="1">
      <alignment vertical="center" wrapText="1"/>
    </xf>
    <xf numFmtId="0" fontId="5" fillId="0" borderId="48" xfId="0" applyFont="1" applyBorder="1" applyAlignment="1" applyProtection="1">
      <alignment vertical="center" wrapText="1"/>
    </xf>
    <xf numFmtId="0" fontId="0" fillId="0" borderId="20" xfId="0" applyBorder="1" applyAlignment="1" applyProtection="1">
      <alignment vertical="center"/>
    </xf>
    <xf numFmtId="0" fontId="0" fillId="0" borderId="18"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167" fontId="0" fillId="2" borderId="21" xfId="0" applyNumberFormat="1" applyFill="1" applyBorder="1" applyAlignment="1" applyProtection="1">
      <alignment horizontal="left" vertical="center"/>
      <protection locked="0"/>
    </xf>
    <xf numFmtId="0" fontId="0" fillId="0" borderId="20" xfId="0" applyBorder="1" applyAlignment="1" applyProtection="1">
      <alignment horizontal="left" vertical="center"/>
    </xf>
    <xf numFmtId="0" fontId="0" fillId="0" borderId="18" xfId="0" applyBorder="1" applyAlignment="1" applyProtection="1">
      <alignment horizontal="left" vertical="center"/>
    </xf>
    <xf numFmtId="0" fontId="11" fillId="0" borderId="0" xfId="0" applyFont="1" applyAlignment="1" applyProtection="1">
      <alignment horizontal="left" vertical="center"/>
    </xf>
    <xf numFmtId="0" fontId="16" fillId="0" borderId="49" xfId="0" applyFont="1" applyBorder="1" applyAlignment="1" applyProtection="1">
      <alignment horizontal="center" vertical="center" wrapText="1"/>
    </xf>
    <xf numFmtId="0" fontId="16" fillId="0" borderId="50" xfId="0" applyFont="1" applyBorder="1" applyAlignment="1" applyProtection="1">
      <alignment horizontal="center" vertical="center" wrapText="1"/>
    </xf>
    <xf numFmtId="0" fontId="16" fillId="0" borderId="51" xfId="0" applyFont="1" applyBorder="1" applyAlignment="1" applyProtection="1">
      <alignment horizontal="center" vertical="center" wrapText="1"/>
    </xf>
    <xf numFmtId="0" fontId="16" fillId="0" borderId="42" xfId="0" applyFont="1" applyBorder="1" applyAlignment="1" applyProtection="1">
      <alignment horizontal="center" vertical="center" wrapText="1"/>
    </xf>
    <xf numFmtId="0" fontId="16" fillId="0" borderId="52" xfId="0" applyFont="1" applyBorder="1" applyAlignment="1" applyProtection="1">
      <alignment horizontal="center" vertical="center" wrapText="1"/>
    </xf>
    <xf numFmtId="0" fontId="16" fillId="0" borderId="7" xfId="0" applyFont="1" applyBorder="1" applyAlignment="1" applyProtection="1">
      <alignment horizontal="center" vertical="center" wrapText="1"/>
    </xf>
    <xf numFmtId="0" fontId="14" fillId="2" borderId="20" xfId="0" applyFont="1" applyFill="1" applyBorder="1" applyAlignment="1" applyProtection="1">
      <alignment horizontal="left" vertical="center"/>
      <protection locked="0"/>
    </xf>
    <xf numFmtId="0" fontId="14" fillId="2" borderId="21" xfId="0" applyFont="1" applyFill="1" applyBorder="1" applyAlignment="1" applyProtection="1">
      <alignment horizontal="left" vertical="center"/>
      <protection locked="0"/>
    </xf>
    <xf numFmtId="0" fontId="1" fillId="0" borderId="11" xfId="0" applyFont="1" applyBorder="1" applyAlignment="1" applyProtection="1">
      <alignment horizontal="left" vertical="center"/>
    </xf>
    <xf numFmtId="0" fontId="16" fillId="0" borderId="38" xfId="0" applyFont="1" applyBorder="1" applyAlignment="1" applyProtection="1">
      <alignment horizontal="center" vertical="center"/>
    </xf>
    <xf numFmtId="0" fontId="16" fillId="0" borderId="39" xfId="0" applyFont="1" applyBorder="1" applyAlignment="1" applyProtection="1">
      <alignment horizontal="center" vertical="center"/>
    </xf>
    <xf numFmtId="0" fontId="0" fillId="2" borderId="16" xfId="0" applyFill="1" applyBorder="1" applyAlignment="1" applyProtection="1">
      <alignment horizontal="left" vertical="center"/>
      <protection locked="0"/>
    </xf>
    <xf numFmtId="0" fontId="0" fillId="2" borderId="17" xfId="0" applyFill="1" applyBorder="1" applyAlignment="1" applyProtection="1">
      <alignment horizontal="left" vertical="center"/>
      <protection locked="0"/>
    </xf>
    <xf numFmtId="0" fontId="0" fillId="0" borderId="0" xfId="0" applyAlignment="1" applyProtection="1">
      <alignment horizontal="left" vertical="center" wrapText="1"/>
    </xf>
    <xf numFmtId="0" fontId="5" fillId="0" borderId="28" xfId="0" applyFont="1" applyBorder="1" applyAlignment="1" applyProtection="1">
      <alignment horizontal="center" vertical="center" wrapText="1"/>
    </xf>
    <xf numFmtId="0" fontId="5" fillId="0" borderId="40" xfId="0" applyFont="1" applyBorder="1" applyAlignment="1" applyProtection="1">
      <alignment horizontal="center" vertical="center" wrapText="1"/>
    </xf>
    <xf numFmtId="0" fontId="5" fillId="0" borderId="41" xfId="0" applyFont="1" applyBorder="1" applyAlignment="1" applyProtection="1">
      <alignment horizontal="center" vertical="center" wrapText="1"/>
    </xf>
    <xf numFmtId="0" fontId="11" fillId="0" borderId="49" xfId="6" applyFont="1" applyBorder="1" applyAlignment="1" applyProtection="1">
      <alignment horizontal="left" vertical="center"/>
    </xf>
    <xf numFmtId="0" fontId="11" fillId="0" borderId="50" xfId="6" applyFont="1" applyBorder="1" applyAlignment="1" applyProtection="1">
      <alignment horizontal="left" vertical="center"/>
    </xf>
    <xf numFmtId="0" fontId="0" fillId="0" borderId="58" xfId="6" applyFont="1" applyBorder="1" applyAlignment="1" applyProtection="1">
      <alignment horizontal="center" vertical="center" wrapText="1"/>
    </xf>
    <xf numFmtId="0" fontId="15" fillId="0" borderId="59" xfId="6" applyFont="1" applyBorder="1" applyProtection="1"/>
    <xf numFmtId="0" fontId="15" fillId="0" borderId="60" xfId="6" applyFont="1" applyBorder="1" applyProtection="1"/>
    <xf numFmtId="0" fontId="31" fillId="0" borderId="61" xfId="6" applyFont="1" applyBorder="1" applyAlignment="1" applyProtection="1">
      <alignment horizontal="center" vertical="center" wrapText="1"/>
    </xf>
    <xf numFmtId="0" fontId="31" fillId="0" borderId="62" xfId="6" applyFont="1" applyBorder="1" applyAlignment="1" applyProtection="1">
      <alignment horizontal="center" vertical="center" wrapText="1"/>
    </xf>
    <xf numFmtId="0" fontId="31" fillId="0" borderId="63" xfId="6" applyFont="1" applyBorder="1" applyAlignment="1" applyProtection="1">
      <alignment horizontal="center" vertical="center" wrapText="1"/>
    </xf>
    <xf numFmtId="0" fontId="0" fillId="0" borderId="67" xfId="6" applyFont="1" applyBorder="1" applyProtection="1"/>
    <xf numFmtId="0" fontId="0" fillId="0" borderId="68" xfId="6" applyFont="1" applyBorder="1" applyProtection="1"/>
    <xf numFmtId="0" fontId="0" fillId="0" borderId="69" xfId="6" applyFont="1" applyBorder="1" applyAlignment="1" applyProtection="1">
      <alignment horizontal="center"/>
    </xf>
    <xf numFmtId="0" fontId="0" fillId="0" borderId="70" xfId="6" applyFont="1" applyBorder="1" applyProtection="1"/>
    <xf numFmtId="0" fontId="0" fillId="0" borderId="71" xfId="6" applyFont="1" applyBorder="1" applyAlignment="1" applyProtection="1">
      <alignment horizontal="center"/>
    </xf>
    <xf numFmtId="0" fontId="0" fillId="0" borderId="72" xfId="6" applyFont="1" applyBorder="1" applyProtection="1"/>
  </cellXfs>
  <cellStyles count="7">
    <cellStyle name="Bad 2" xfId="3" xr:uid="{00000000-0005-0000-0000-000000000000}"/>
    <cellStyle name="Hyperlink" xfId="4" builtinId="8"/>
    <cellStyle name="Neutral 2" xfId="2" xr:uid="{00000000-0005-0000-0000-000002000000}"/>
    <cellStyle name="Normal" xfId="0" builtinId="0"/>
    <cellStyle name="Normal 2" xfId="5" xr:uid="{00000000-0005-0000-0000-000004000000}"/>
    <cellStyle name="Normal 3" xfId="6" xr:uid="{00000000-0005-0000-0000-000005000000}"/>
    <cellStyle name="Percent" xfId="1" builtinId="5"/>
  </cellStyles>
  <dxfs count="136">
    <dxf>
      <fill>
        <patternFill>
          <bgColor rgb="FF97D997"/>
        </patternFill>
      </fill>
    </dxf>
    <dxf>
      <fill>
        <patternFill>
          <bgColor rgb="FFE18F8F"/>
        </patternFill>
      </fill>
    </dxf>
    <dxf>
      <fill>
        <patternFill>
          <bgColor rgb="FF97D997"/>
        </patternFill>
      </fill>
    </dxf>
    <dxf>
      <fill>
        <patternFill>
          <bgColor rgb="FFE18F8F"/>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ill>
        <patternFill patternType="solid">
          <fgColor rgb="FF04A000"/>
          <bgColor rgb="FF04A000"/>
        </patternFill>
      </fill>
    </dxf>
    <dxf>
      <fill>
        <patternFill>
          <bgColor rgb="FFE6000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border>
        <bottom style="thin">
          <color theme="0" tint="-0.14996795556505021"/>
        </bottom>
        <vertical/>
        <horizontal/>
      </border>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bottom style="thin">
          <color theme="0" tint="-0.14996795556505021"/>
        </bottom>
      </border>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patternType="solid">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ill>
        <patternFill>
          <bgColor rgb="FFE18F8F"/>
        </patternFill>
      </fill>
    </dxf>
    <dxf>
      <fill>
        <patternFill>
          <bgColor rgb="FF97D997"/>
        </patternFill>
      </fill>
    </dxf>
    <dxf>
      <fill>
        <patternFill>
          <bgColor rgb="FFFF8F8F"/>
        </patternFill>
      </fill>
    </dxf>
    <dxf>
      <fill>
        <patternFill>
          <bgColor rgb="FF97D997"/>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ill>
        <patternFill patternType="solid">
          <fgColor rgb="FF04A000"/>
          <bgColor rgb="FF04A000"/>
        </patternFill>
      </fill>
    </dxf>
    <dxf>
      <fill>
        <patternFill>
          <bgColor rgb="FFE60000"/>
        </patternFill>
      </fill>
    </dxf>
    <dxf>
      <fill>
        <patternFill>
          <bgColor rgb="FFE18F8F"/>
        </patternFill>
      </fill>
    </dxf>
    <dxf>
      <fill>
        <patternFill>
          <bgColor rgb="FF97D997"/>
        </patternFill>
      </fill>
    </dxf>
    <dxf>
      <fill>
        <patternFill>
          <bgColor rgb="FFFF8F8F"/>
        </patternFill>
      </fill>
    </dxf>
    <dxf>
      <fill>
        <patternFill>
          <bgColor rgb="FF97D997"/>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ill>
        <patternFill patternType="solid">
          <fgColor rgb="FF04A000"/>
          <bgColor rgb="FF04A000"/>
        </patternFill>
      </fill>
    </dxf>
    <dxf>
      <fill>
        <patternFill>
          <bgColor rgb="FFE60000"/>
        </patternFill>
      </fill>
    </dxf>
    <dxf>
      <fill>
        <patternFill>
          <bgColor rgb="FFE18F8F"/>
        </patternFill>
      </fill>
    </dxf>
    <dxf>
      <fill>
        <patternFill>
          <bgColor rgb="FF97D997"/>
        </patternFill>
      </fill>
    </dxf>
    <dxf>
      <fill>
        <patternFill>
          <bgColor rgb="FF97D997"/>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ill>
        <patternFill patternType="solid">
          <fgColor rgb="FF04A000"/>
          <bgColor rgb="FF04A000"/>
        </patternFill>
      </fill>
    </dxf>
    <dxf>
      <fill>
        <patternFill>
          <bgColor rgb="FFE60000"/>
        </patternFill>
      </fill>
    </dxf>
    <dxf>
      <fill>
        <patternFill>
          <bgColor rgb="FF97D997"/>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ill>
        <patternFill patternType="solid">
          <fgColor rgb="FF04A000"/>
          <bgColor rgb="FF04A000"/>
        </patternFill>
      </fill>
    </dxf>
    <dxf>
      <fill>
        <patternFill>
          <bgColor rgb="FFE60000"/>
        </patternFill>
      </fill>
    </dxf>
    <dxf>
      <fill>
        <patternFill>
          <bgColor rgb="FF97D997"/>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ill>
        <patternFill patternType="solid">
          <fgColor rgb="FF04A000"/>
          <bgColor rgb="FF04A000"/>
        </patternFill>
      </fill>
    </dxf>
    <dxf>
      <fill>
        <patternFill>
          <bgColor rgb="FFE60000"/>
        </patternFill>
      </fill>
    </dxf>
  </dxfs>
  <tableStyles count="0" defaultTableStyle="TableStyleMedium2" defaultPivotStyle="PivotStyleLight16"/>
  <colors>
    <mruColors>
      <color rgb="FFE18F8F"/>
      <color rgb="FFFF8F8F"/>
      <color rgb="FF97D997"/>
      <color rgb="FF83D183"/>
      <color rgb="FF800000"/>
      <color rgb="FFFF5050"/>
      <color rgb="FFE60000"/>
      <color rgb="FF663300"/>
      <color rgb="FFFFCC66"/>
      <color rgb="FF9FC5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´ÖÓÎÉÇØÍÐÉ!$L$35:$L$135</c:f>
              <c:numCache>
                <c:formatCode>General</c:formatCode>
                <c:ptCount val="101"/>
                <c:pt idx="0">
                  <c:v>0</c:v>
                </c:pt>
                <c:pt idx="1">
                  <c:v>1.5239256324291371E-2</c:v>
                </c:pt>
                <c:pt idx="2">
                  <c:v>3.0478512648582742E-2</c:v>
                </c:pt>
                <c:pt idx="3">
                  <c:v>4.5717768972874114E-2</c:v>
                </c:pt>
                <c:pt idx="4">
                  <c:v>6.0957025297165485E-2</c:v>
                </c:pt>
                <c:pt idx="5">
                  <c:v>7.6196281621456863E-2</c:v>
                </c:pt>
                <c:pt idx="6">
                  <c:v>9.1435537945748227E-2</c:v>
                </c:pt>
                <c:pt idx="7">
                  <c:v>0.10667479427003959</c:v>
                </c:pt>
                <c:pt idx="8">
                  <c:v>0.12191405059433097</c:v>
                </c:pt>
                <c:pt idx="9">
                  <c:v>0.13715330691862235</c:v>
                </c:pt>
                <c:pt idx="10">
                  <c:v>0.15239256324291373</c:v>
                </c:pt>
                <c:pt idx="11">
                  <c:v>0.16763181956720508</c:v>
                </c:pt>
                <c:pt idx="12">
                  <c:v>0.18287107589149645</c:v>
                </c:pt>
                <c:pt idx="13">
                  <c:v>0.19811033221578783</c:v>
                </c:pt>
                <c:pt idx="14">
                  <c:v>0.21334958854007918</c:v>
                </c:pt>
                <c:pt idx="15">
                  <c:v>0.22858884486437056</c:v>
                </c:pt>
                <c:pt idx="16">
                  <c:v>0.24382810118866194</c:v>
                </c:pt>
                <c:pt idx="17">
                  <c:v>0.25906735751295329</c:v>
                </c:pt>
                <c:pt idx="18">
                  <c:v>0.27430661383724469</c:v>
                </c:pt>
                <c:pt idx="19">
                  <c:v>0.28954587016153605</c:v>
                </c:pt>
                <c:pt idx="20">
                  <c:v>0.30478512648582745</c:v>
                </c:pt>
                <c:pt idx="21">
                  <c:v>0.3200243828101188</c:v>
                </c:pt>
                <c:pt idx="22">
                  <c:v>0.33526363913441015</c:v>
                </c:pt>
                <c:pt idx="23">
                  <c:v>0.35050289545870156</c:v>
                </c:pt>
                <c:pt idx="24">
                  <c:v>0.36574215178299291</c:v>
                </c:pt>
                <c:pt idx="25">
                  <c:v>0.38098140810728426</c:v>
                </c:pt>
                <c:pt idx="26">
                  <c:v>0.39622066443157566</c:v>
                </c:pt>
                <c:pt idx="27">
                  <c:v>0.41145992075586701</c:v>
                </c:pt>
                <c:pt idx="28">
                  <c:v>0.42669917708015836</c:v>
                </c:pt>
                <c:pt idx="29">
                  <c:v>0.44193843340444977</c:v>
                </c:pt>
                <c:pt idx="30">
                  <c:v>0.45717768972874112</c:v>
                </c:pt>
                <c:pt idx="31">
                  <c:v>0.47241694605303253</c:v>
                </c:pt>
                <c:pt idx="32">
                  <c:v>0.48765620237732388</c:v>
                </c:pt>
                <c:pt idx="33">
                  <c:v>0.50289545870161523</c:v>
                </c:pt>
                <c:pt idx="34">
                  <c:v>0.51813471502590658</c:v>
                </c:pt>
                <c:pt idx="35">
                  <c:v>0.53337397135019804</c:v>
                </c:pt>
                <c:pt idx="36">
                  <c:v>0.54861322767448939</c:v>
                </c:pt>
                <c:pt idx="37">
                  <c:v>0.56385248399878074</c:v>
                </c:pt>
                <c:pt idx="38">
                  <c:v>0.57909174032307209</c:v>
                </c:pt>
                <c:pt idx="39">
                  <c:v>0.59433099664736344</c:v>
                </c:pt>
                <c:pt idx="40">
                  <c:v>0.6095702529716549</c:v>
                </c:pt>
                <c:pt idx="41">
                  <c:v>0.62480950929594625</c:v>
                </c:pt>
                <c:pt idx="42">
                  <c:v>0.6400487656202376</c:v>
                </c:pt>
                <c:pt idx="43">
                  <c:v>0.65528802194452895</c:v>
                </c:pt>
                <c:pt idx="44">
                  <c:v>0.6705272782688203</c:v>
                </c:pt>
                <c:pt idx="45">
                  <c:v>0.68576653459311165</c:v>
                </c:pt>
                <c:pt idx="46">
                  <c:v>0.70100579091740312</c:v>
                </c:pt>
                <c:pt idx="47">
                  <c:v>0.71624504724169447</c:v>
                </c:pt>
                <c:pt idx="48">
                  <c:v>0.73148430356598582</c:v>
                </c:pt>
                <c:pt idx="49">
                  <c:v>0.74672355989027717</c:v>
                </c:pt>
                <c:pt idx="50">
                  <c:v>0.76196281621456852</c:v>
                </c:pt>
                <c:pt idx="51">
                  <c:v>0.77720207253885998</c:v>
                </c:pt>
                <c:pt idx="52">
                  <c:v>0.79244132886315133</c:v>
                </c:pt>
                <c:pt idx="53">
                  <c:v>0.80768058518744268</c:v>
                </c:pt>
                <c:pt idx="54">
                  <c:v>0.82291984151173403</c:v>
                </c:pt>
                <c:pt idx="55">
                  <c:v>0.83815909783602538</c:v>
                </c:pt>
                <c:pt idx="56">
                  <c:v>0.85339835416031673</c:v>
                </c:pt>
                <c:pt idx="57">
                  <c:v>0.86863761048460819</c:v>
                </c:pt>
                <c:pt idx="58">
                  <c:v>0.88387686680889954</c:v>
                </c:pt>
                <c:pt idx="59">
                  <c:v>0.89911612313319089</c:v>
                </c:pt>
                <c:pt idx="60">
                  <c:v>0.91435537945748224</c:v>
                </c:pt>
                <c:pt idx="61">
                  <c:v>0.92959463578177359</c:v>
                </c:pt>
                <c:pt idx="62">
                  <c:v>0.94483389210606505</c:v>
                </c:pt>
                <c:pt idx="63">
                  <c:v>0.9600731484303564</c:v>
                </c:pt>
                <c:pt idx="64">
                  <c:v>0.97531240475464775</c:v>
                </c:pt>
                <c:pt idx="65">
                  <c:v>0.99055166107893911</c:v>
                </c:pt>
                <c:pt idx="66">
                  <c:v>1.0057909174032305</c:v>
                </c:pt>
                <c:pt idx="67">
                  <c:v>1.0210301737275218</c:v>
                </c:pt>
                <c:pt idx="68">
                  <c:v>1.0362694300518132</c:v>
                </c:pt>
                <c:pt idx="69">
                  <c:v>1.0515086863761045</c:v>
                </c:pt>
                <c:pt idx="70">
                  <c:v>1.0667479427003961</c:v>
                </c:pt>
                <c:pt idx="71">
                  <c:v>1.0819871990246874</c:v>
                </c:pt>
                <c:pt idx="72">
                  <c:v>1.0972264553489788</c:v>
                </c:pt>
                <c:pt idx="73">
                  <c:v>1.1124657116732701</c:v>
                </c:pt>
                <c:pt idx="74">
                  <c:v>1.1277049679975615</c:v>
                </c:pt>
                <c:pt idx="75">
                  <c:v>1.1429442243218528</c:v>
                </c:pt>
                <c:pt idx="76">
                  <c:v>1.1581834806461442</c:v>
                </c:pt>
                <c:pt idx="77">
                  <c:v>1.1734227369704355</c:v>
                </c:pt>
                <c:pt idx="78">
                  <c:v>1.1886619932947269</c:v>
                </c:pt>
                <c:pt idx="79">
                  <c:v>1.2039012496190182</c:v>
                </c:pt>
                <c:pt idx="80">
                  <c:v>1.2191405059433098</c:v>
                </c:pt>
                <c:pt idx="81">
                  <c:v>1.2343797622676012</c:v>
                </c:pt>
                <c:pt idx="82">
                  <c:v>1.2496190185918925</c:v>
                </c:pt>
                <c:pt idx="83">
                  <c:v>1.2648582749161839</c:v>
                </c:pt>
                <c:pt idx="84">
                  <c:v>1.2800975312404752</c:v>
                </c:pt>
                <c:pt idx="85">
                  <c:v>1.2953367875647666</c:v>
                </c:pt>
                <c:pt idx="86">
                  <c:v>1.3105760438890579</c:v>
                </c:pt>
                <c:pt idx="87">
                  <c:v>1.3258153002133493</c:v>
                </c:pt>
                <c:pt idx="88">
                  <c:v>1.3410545565376406</c:v>
                </c:pt>
                <c:pt idx="89">
                  <c:v>1.356293812861932</c:v>
                </c:pt>
                <c:pt idx="90">
                  <c:v>1.3715330691862233</c:v>
                </c:pt>
                <c:pt idx="91">
                  <c:v>1.3867723255105149</c:v>
                </c:pt>
                <c:pt idx="92">
                  <c:v>1.4020115818348062</c:v>
                </c:pt>
                <c:pt idx="93">
                  <c:v>1.4172508381590976</c:v>
                </c:pt>
                <c:pt idx="94">
                  <c:v>1.4324900944833889</c:v>
                </c:pt>
                <c:pt idx="95">
                  <c:v>1.4477293508076803</c:v>
                </c:pt>
                <c:pt idx="96">
                  <c:v>1.4629686071319716</c:v>
                </c:pt>
                <c:pt idx="97">
                  <c:v>1.478207863456263</c:v>
                </c:pt>
                <c:pt idx="98">
                  <c:v>1.4934471197805543</c:v>
                </c:pt>
                <c:pt idx="99">
                  <c:v>1.5086863761048457</c:v>
                </c:pt>
                <c:pt idx="100">
                  <c:v>1.523925632429137</c:v>
                </c:pt>
              </c:numCache>
            </c:numRef>
          </c:xVal>
          <c:yVal>
            <c:numRef>
              <c:f>´ÖÓÎÉÇØÍÐÉ!$M$35:$M$135</c:f>
              <c:numCache>
                <c:formatCode>General</c:formatCode>
                <c:ptCount val="101"/>
                <c:pt idx="0">
                  <c:v>0.3047851264858274</c:v>
                </c:pt>
                <c:pt idx="1">
                  <c:v>0.34618888115001428</c:v>
                </c:pt>
                <c:pt idx="2">
                  <c:v>0.38666111986203189</c:v>
                </c:pt>
                <c:pt idx="3">
                  <c:v>0.4262018426218801</c:v>
                </c:pt>
                <c:pt idx="4">
                  <c:v>0.46481104942955898</c:v>
                </c:pt>
                <c:pt idx="5">
                  <c:v>0.50248874028506862</c:v>
                </c:pt>
                <c:pt idx="6">
                  <c:v>0.53923491518840883</c:v>
                </c:pt>
                <c:pt idx="7">
                  <c:v>0.57504957413957958</c:v>
                </c:pt>
                <c:pt idx="8">
                  <c:v>0.6099327171385811</c:v>
                </c:pt>
                <c:pt idx="9">
                  <c:v>0.6438843441854134</c:v>
                </c:pt>
                <c:pt idx="10">
                  <c:v>0.67690445528007626</c:v>
                </c:pt>
                <c:pt idx="11">
                  <c:v>0.70899305042256966</c:v>
                </c:pt>
                <c:pt idx="12">
                  <c:v>0.74015012961289406</c:v>
                </c:pt>
                <c:pt idx="13">
                  <c:v>0.77037569285104879</c:v>
                </c:pt>
                <c:pt idx="14">
                  <c:v>0.79966974013703429</c:v>
                </c:pt>
                <c:pt idx="15">
                  <c:v>0.82803227147085057</c:v>
                </c:pt>
                <c:pt idx="16">
                  <c:v>0.85546328685249717</c:v>
                </c:pt>
                <c:pt idx="17">
                  <c:v>0.88196278628197478</c:v>
                </c:pt>
                <c:pt idx="18">
                  <c:v>0.90753076975928293</c:v>
                </c:pt>
                <c:pt idx="19">
                  <c:v>0.93216723728442163</c:v>
                </c:pt>
                <c:pt idx="20">
                  <c:v>0.95587218885739111</c:v>
                </c:pt>
                <c:pt idx="21">
                  <c:v>0.97864562447819137</c:v>
                </c:pt>
                <c:pt idx="22">
                  <c:v>1.0004875441468219</c:v>
                </c:pt>
                <c:pt idx="23">
                  <c:v>1.0213979478632835</c:v>
                </c:pt>
                <c:pt idx="24">
                  <c:v>1.0413768356275757</c:v>
                </c:pt>
                <c:pt idx="25">
                  <c:v>1.0604242074396986</c:v>
                </c:pt>
                <c:pt idx="26">
                  <c:v>1.0785400632996518</c:v>
                </c:pt>
                <c:pt idx="27">
                  <c:v>1.095724403207436</c:v>
                </c:pt>
                <c:pt idx="28">
                  <c:v>1.1119772271630508</c:v>
                </c:pt>
                <c:pt idx="29">
                  <c:v>1.1272985351664959</c:v>
                </c:pt>
                <c:pt idx="30">
                  <c:v>1.1416883272177722</c:v>
                </c:pt>
                <c:pt idx="31">
                  <c:v>1.1551466033168789</c:v>
                </c:pt>
                <c:pt idx="32">
                  <c:v>1.1676733634638161</c:v>
                </c:pt>
                <c:pt idx="33">
                  <c:v>1.1792686076585845</c:v>
                </c:pt>
                <c:pt idx="34">
                  <c:v>1.1899323359011831</c:v>
                </c:pt>
                <c:pt idx="35">
                  <c:v>1.1996645481916124</c:v>
                </c:pt>
                <c:pt idx="36">
                  <c:v>1.2084652445298725</c:v>
                </c:pt>
                <c:pt idx="37">
                  <c:v>1.2163344249159631</c:v>
                </c:pt>
                <c:pt idx="38">
                  <c:v>1.2232720893498843</c:v>
                </c:pt>
                <c:pt idx="39">
                  <c:v>1.2292782378316365</c:v>
                </c:pt>
                <c:pt idx="40">
                  <c:v>1.2343528703612192</c:v>
                </c:pt>
                <c:pt idx="41">
                  <c:v>1.2384959869386325</c:v>
                </c:pt>
                <c:pt idx="42">
                  <c:v>1.2417075875638766</c:v>
                </c:pt>
                <c:pt idx="43">
                  <c:v>1.2439876722369512</c:v>
                </c:pt>
                <c:pt idx="44">
                  <c:v>1.2453362409578566</c:v>
                </c:pt>
                <c:pt idx="45">
                  <c:v>1.2457532937265925</c:v>
                </c:pt>
                <c:pt idx="46">
                  <c:v>1.2452388305431592</c:v>
                </c:pt>
                <c:pt idx="47">
                  <c:v>1.2437928514075565</c:v>
                </c:pt>
                <c:pt idx="48">
                  <c:v>1.2414153563197847</c:v>
                </c:pt>
                <c:pt idx="49">
                  <c:v>1.2381063452798431</c:v>
                </c:pt>
                <c:pt idx="50">
                  <c:v>1.2338658182877327</c:v>
                </c:pt>
                <c:pt idx="51">
                  <c:v>1.2286937753434524</c:v>
                </c:pt>
                <c:pt idx="52">
                  <c:v>1.2225902164470028</c:v>
                </c:pt>
                <c:pt idx="53">
                  <c:v>1.2155551415983843</c:v>
                </c:pt>
                <c:pt idx="54">
                  <c:v>1.2075885507975963</c:v>
                </c:pt>
                <c:pt idx="55">
                  <c:v>1.1986904440446389</c:v>
                </c:pt>
                <c:pt idx="56">
                  <c:v>1.1888608213395122</c:v>
                </c:pt>
                <c:pt idx="57">
                  <c:v>1.1780996826822159</c:v>
                </c:pt>
                <c:pt idx="58">
                  <c:v>1.1664070280727501</c:v>
                </c:pt>
                <c:pt idx="59">
                  <c:v>1.1537828575111155</c:v>
                </c:pt>
                <c:pt idx="60">
                  <c:v>1.1402271709973117</c:v>
                </c:pt>
                <c:pt idx="61">
                  <c:v>1.1257399685313381</c:v>
                </c:pt>
                <c:pt idx="62">
                  <c:v>1.1103212501131952</c:v>
                </c:pt>
                <c:pt idx="63">
                  <c:v>1.0939710157428832</c:v>
                </c:pt>
                <c:pt idx="64">
                  <c:v>1.0766892654204017</c:v>
                </c:pt>
                <c:pt idx="65">
                  <c:v>1.0584759991457511</c:v>
                </c:pt>
                <c:pt idx="66">
                  <c:v>1.0393312169189315</c:v>
                </c:pt>
                <c:pt idx="67">
                  <c:v>1.0192549187399416</c:v>
                </c:pt>
                <c:pt idx="68">
                  <c:v>0.99824710460878308</c:v>
                </c:pt>
                <c:pt idx="69">
                  <c:v>0.9763077745254547</c:v>
                </c:pt>
                <c:pt idx="70">
                  <c:v>0.95343692848995687</c:v>
                </c:pt>
                <c:pt idx="71">
                  <c:v>0.92963456650229004</c:v>
                </c:pt>
                <c:pt idx="72">
                  <c:v>0.90490068856245376</c:v>
                </c:pt>
                <c:pt idx="73">
                  <c:v>0.87923529467044848</c:v>
                </c:pt>
                <c:pt idx="74">
                  <c:v>0.8526383848262733</c:v>
                </c:pt>
                <c:pt idx="75">
                  <c:v>0.82510995902992956</c:v>
                </c:pt>
                <c:pt idx="76">
                  <c:v>0.79665001728141549</c:v>
                </c:pt>
                <c:pt idx="77">
                  <c:v>0.7672585595807333</c:v>
                </c:pt>
                <c:pt idx="78">
                  <c:v>0.73693558592788078</c:v>
                </c:pt>
                <c:pt idx="79">
                  <c:v>0.70568109632285925</c:v>
                </c:pt>
                <c:pt idx="80">
                  <c:v>0.67349509076566827</c:v>
                </c:pt>
                <c:pt idx="81">
                  <c:v>0.64037756925630784</c:v>
                </c:pt>
                <c:pt idx="82">
                  <c:v>0.60632853179477841</c:v>
                </c:pt>
                <c:pt idx="83">
                  <c:v>0.57134797838107954</c:v>
                </c:pt>
                <c:pt idx="84">
                  <c:v>0.53543590901521121</c:v>
                </c:pt>
                <c:pt idx="85">
                  <c:v>0.49859232369717382</c:v>
                </c:pt>
                <c:pt idx="86">
                  <c:v>0.4608172224269666</c:v>
                </c:pt>
                <c:pt idx="87">
                  <c:v>0.42211060520459082</c:v>
                </c:pt>
                <c:pt idx="88">
                  <c:v>0.38247247203004514</c:v>
                </c:pt>
                <c:pt idx="89">
                  <c:v>0.34190282290333002</c:v>
                </c:pt>
                <c:pt idx="90">
                  <c:v>0.30040165782444633</c:v>
                </c:pt>
                <c:pt idx="91">
                  <c:v>0.25796897679339187</c:v>
                </c:pt>
                <c:pt idx="92">
                  <c:v>0.21460477981016884</c:v>
                </c:pt>
                <c:pt idx="93">
                  <c:v>0.17030906687477682</c:v>
                </c:pt>
                <c:pt idx="94">
                  <c:v>0.12508183798721489</c:v>
                </c:pt>
                <c:pt idx="95">
                  <c:v>7.8923093147483525E-2</c:v>
                </c:pt>
                <c:pt idx="96">
                  <c:v>3.1832832355584484E-2</c:v>
                </c:pt>
                <c:pt idx="97">
                  <c:v>0</c:v>
                </c:pt>
                <c:pt idx="98">
                  <c:v>0</c:v>
                </c:pt>
                <c:pt idx="99">
                  <c:v>0</c:v>
                </c:pt>
                <c:pt idx="100">
                  <c:v>0</c:v>
                </c:pt>
              </c:numCache>
            </c:numRef>
          </c:yVal>
          <c:smooth val="1"/>
          <c:extLst>
            <c:ext xmlns:c16="http://schemas.microsoft.com/office/drawing/2014/chart" uri="{C3380CC4-5D6E-409C-BE32-E72D297353CC}">
              <c16:uniqueId val="{00000000-3FD8-4D76-8725-2632F43E693D}"/>
            </c:ext>
          </c:extLst>
        </c:ser>
        <c:ser>
          <c:idx val="1"/>
          <c:order val="1"/>
          <c:marker>
            <c:symbol val="none"/>
          </c:marker>
          <c:xVal>
            <c:numRef>
              <c:f>´ÖÓÎÉÇØÍÐÉ!$Q$33</c:f>
              <c:numCache>
                <c:formatCode>General</c:formatCode>
                <c:ptCount val="1"/>
                <c:pt idx="0">
                  <c:v>1.523925632429137</c:v>
                </c:pt>
              </c:numCache>
            </c:numRef>
          </c:xVal>
          <c:yVal>
            <c:numRef>
              <c:f>´ÖÓÎÉÇØÍÐÉ!$Q$33</c:f>
              <c:numCache>
                <c:formatCode>General</c:formatCode>
                <c:ptCount val="1"/>
                <c:pt idx="0">
                  <c:v>1.523925632429137</c:v>
                </c:pt>
              </c:numCache>
            </c:numRef>
          </c:yVal>
          <c:smooth val="1"/>
          <c:extLst>
            <c:ext xmlns:c16="http://schemas.microsoft.com/office/drawing/2014/chart" uri="{C3380CC4-5D6E-409C-BE32-E72D297353CC}">
              <c16:uniqueId val="{00000001-3FD8-4D76-8725-2632F43E693D}"/>
            </c:ext>
          </c:extLst>
        </c:ser>
        <c:dLbls>
          <c:showLegendKey val="0"/>
          <c:showVal val="0"/>
          <c:showCatName val="0"/>
          <c:showSerName val="0"/>
          <c:showPercent val="0"/>
          <c:showBubbleSize val="0"/>
        </c:dLbls>
        <c:axId val="102213504"/>
        <c:axId val="115478528"/>
      </c:scatterChart>
      <c:valAx>
        <c:axId val="102213504"/>
        <c:scaling>
          <c:orientation val="minMax"/>
        </c:scaling>
        <c:delete val="0"/>
        <c:axPos val="b"/>
        <c:numFmt formatCode="General" sourceLinked="1"/>
        <c:majorTickMark val="out"/>
        <c:minorTickMark val="none"/>
        <c:tickLblPos val="nextTo"/>
        <c:crossAx val="115478528"/>
        <c:crosses val="autoZero"/>
        <c:crossBetween val="midCat"/>
      </c:valAx>
      <c:valAx>
        <c:axId val="115478528"/>
        <c:scaling>
          <c:orientation val="minMax"/>
        </c:scaling>
        <c:delete val="0"/>
        <c:axPos val="l"/>
        <c:majorGridlines/>
        <c:numFmt formatCode="General" sourceLinked="1"/>
        <c:majorTickMark val="out"/>
        <c:minorTickMark val="none"/>
        <c:tickLblPos val="nextTo"/>
        <c:crossAx val="102213504"/>
        <c:crosses val="autoZero"/>
        <c:crossBetween val="midCat"/>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´ÒÉÙÑÅØÍÇ×!$C$42:$C$192</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´ÒÉÙÑÅØÍÇ×!$D$42:$D$192</c:f>
              <c:numCache>
                <c:formatCode>General</c:formatCode>
                <c:ptCount val="151"/>
                <c:pt idx="0">
                  <c:v>120</c:v>
                </c:pt>
                <c:pt idx="1">
                  <c:v>120</c:v>
                </c:pt>
                <c:pt idx="2">
                  <c:v>120</c:v>
                </c:pt>
                <c:pt idx="3">
                  <c:v>120</c:v>
                </c:pt>
                <c:pt idx="4">
                  <c:v>120</c:v>
                </c:pt>
                <c:pt idx="5">
                  <c:v>120</c:v>
                </c:pt>
                <c:pt idx="6">
                  <c:v>120</c:v>
                </c:pt>
                <c:pt idx="7">
                  <c:v>120</c:v>
                </c:pt>
                <c:pt idx="8">
                  <c:v>109.08156303205513</c:v>
                </c:pt>
                <c:pt idx="9">
                  <c:v>109.08156303205513</c:v>
                </c:pt>
                <c:pt idx="10">
                  <c:v>109.08156303205513</c:v>
                </c:pt>
                <c:pt idx="11">
                  <c:v>109.08156303205513</c:v>
                </c:pt>
                <c:pt idx="12">
                  <c:v>109.08156303205513</c:v>
                </c:pt>
                <c:pt idx="13">
                  <c:v>98.163126064110259</c:v>
                </c:pt>
                <c:pt idx="14">
                  <c:v>98.163126064110259</c:v>
                </c:pt>
                <c:pt idx="15">
                  <c:v>98.163126064110259</c:v>
                </c:pt>
                <c:pt idx="16">
                  <c:v>98.163126064110259</c:v>
                </c:pt>
                <c:pt idx="17">
                  <c:v>98.163126064110259</c:v>
                </c:pt>
                <c:pt idx="18">
                  <c:v>87.244689096165388</c:v>
                </c:pt>
                <c:pt idx="19">
                  <c:v>88.527986924391286</c:v>
                </c:pt>
                <c:pt idx="20">
                  <c:v>89.802301667795874</c:v>
                </c:pt>
                <c:pt idx="21">
                  <c:v>91.068530467660537</c:v>
                </c:pt>
                <c:pt idx="22">
                  <c:v>92.327567235021306</c:v>
                </c:pt>
                <c:pt idx="23">
                  <c:v>82.661867456384414</c:v>
                </c:pt>
                <c:pt idx="24">
                  <c:v>83.9838272434678</c:v>
                </c:pt>
                <c:pt idx="25">
                  <c:v>85.293609684515431</c:v>
                </c:pt>
                <c:pt idx="26">
                  <c:v>86.592136037876287</c:v>
                </c:pt>
                <c:pt idx="27">
                  <c:v>87.880318771454668</c:v>
                </c:pt>
                <c:pt idx="28">
                  <c:v>78.240626079871873</c:v>
                </c:pt>
                <c:pt idx="29">
                  <c:v>79.608993478200574</c:v>
                </c:pt>
                <c:pt idx="30">
                  <c:v>80.962091651381911</c:v>
                </c:pt>
                <c:pt idx="31">
                  <c:v>82.300879990123875</c:v>
                </c:pt>
                <c:pt idx="32">
                  <c:v>83.626304809277485</c:v>
                </c:pt>
                <c:pt idx="33">
                  <c:v>74.020863593186405</c:v>
                </c:pt>
                <c:pt idx="34">
                  <c:v>75.441115513536474</c:v>
                </c:pt>
                <c:pt idx="35">
                  <c:v>76.843121500355622</c:v>
                </c:pt>
                <c:pt idx="36">
                  <c:v>78.227886642792441</c:v>
                </c:pt>
                <c:pt idx="37">
                  <c:v>79.596399891793965</c:v>
                </c:pt>
                <c:pt idx="38">
                  <c:v>70.031198003295373</c:v>
                </c:pt>
                <c:pt idx="39">
                  <c:v>71.506679859895073</c:v>
                </c:pt>
                <c:pt idx="40">
                  <c:v>72.961075839275168</c:v>
                </c:pt>
                <c:pt idx="41">
                  <c:v>74.395438846752256</c:v>
                </c:pt>
                <c:pt idx="42">
                  <c:v>75.810803814385707</c:v>
                </c:pt>
                <c:pt idx="43">
                  <c:v>66.289751279810872</c:v>
                </c:pt>
                <c:pt idx="44">
                  <c:v>67.821941275338204</c:v>
                </c:pt>
                <c:pt idx="45">
                  <c:v>69.33036586279573</c:v>
                </c:pt>
                <c:pt idx="46">
                  <c:v>70.816123583508002</c:v>
                </c:pt>
                <c:pt idx="47">
                  <c:v>72.280294403366881</c:v>
                </c:pt>
                <c:pt idx="48">
                  <c:v>62.805502847263789</c:v>
                </c:pt>
                <c:pt idx="49">
                  <c:v>64.39434001672339</c:v>
                </c:pt>
                <c:pt idx="50">
                  <c:v>65.956913195193408</c:v>
                </c:pt>
                <c:pt idx="51">
                  <c:v>67.494361283289422</c:v>
                </c:pt>
                <c:pt idx="52">
                  <c:v>69.007805210068724</c:v>
                </c:pt>
                <c:pt idx="53">
                  <c:v>59.579910537623476</c:v>
                </c:pt>
                <c:pt idx="54">
                  <c:v>61.224135968549959</c:v>
                </c:pt>
                <c:pt idx="55">
                  <c:v>62.83979414591473</c:v>
                </c:pt>
                <c:pt idx="56">
                  <c:v>64.428057098940442</c:v>
                </c:pt>
                <c:pt idx="57">
                  <c:v>65.990080622392497</c:v>
                </c:pt>
                <c:pt idx="58">
                  <c:v>56.608566270688932</c:v>
                </c:pt>
                <c:pt idx="59">
                  <c:v>58.306042979049145</c:v>
                </c:pt>
                <c:pt idx="60">
                  <c:v>59.972851587740188</c:v>
                </c:pt>
                <c:pt idx="61">
                  <c:v>61.61018906411325</c:v>
                </c:pt>
                <c:pt idx="62">
                  <c:v>63.219238894513779</c:v>
                </c:pt>
                <c:pt idx="63">
                  <c:v>53.882732399419588</c:v>
                </c:pt>
                <c:pt idx="64">
                  <c:v>55.63072428684567</c:v>
                </c:pt>
                <c:pt idx="65">
                  <c:v>57.34614976056384</c:v>
                </c:pt>
                <c:pt idx="66">
                  <c:v>59.030222368791151</c:v>
                </c:pt>
                <c:pt idx="67">
                  <c:v>60.684145798819365</c:v>
                </c:pt>
                <c:pt idx="68">
                  <c:v>51.390674461253397</c:v>
                </c:pt>
                <c:pt idx="69">
                  <c:v>53.186076421693876</c:v>
                </c:pt>
                <c:pt idx="70">
                  <c:v>54.947210441932825</c:v>
                </c:pt>
                <c:pt idx="71">
                  <c:v>56.675298704316916</c:v>
                </c:pt>
                <c:pt idx="72">
                  <c:v>58.371557849184079</c:v>
                </c:pt>
                <c:pt idx="73">
                  <c:v>49.118758794579755</c:v>
                </c:pt>
                <c:pt idx="74">
                  <c:v>50.958277901891968</c:v>
                </c:pt>
                <c:pt idx="75">
                  <c:v>52.762014185779925</c:v>
                </c:pt>
                <c:pt idx="76">
                  <c:v>54.531191303008903</c:v>
                </c:pt>
                <c:pt idx="77">
                  <c:v>56.267032214486051</c:v>
                </c:pt>
                <c:pt idx="78">
                  <c:v>47.052318224798796</c:v>
                </c:pt>
                <c:pt idx="79">
                  <c:v>48.932610501231125</c:v>
                </c:pt>
                <c:pt idx="80">
                  <c:v>50.775778639220896</c:v>
                </c:pt>
                <c:pt idx="81">
                  <c:v>52.583041605187283</c:v>
                </c:pt>
                <c:pt idx="82">
                  <c:v>54.355622879152051</c:v>
                </c:pt>
                <c:pt idx="83">
                  <c:v>45.176308714655498</c:v>
                </c:pt>
                <c:pt idx="84">
                  <c:v>47.094078096955378</c:v>
                </c:pt>
                <c:pt idx="85">
                  <c:v>48.973540877915184</c:v>
                </c:pt>
                <c:pt idx="86">
                  <c:v>50.815906241922846</c:v>
                </c:pt>
                <c:pt idx="87">
                  <c:v>52.622393311405922</c:v>
                </c:pt>
                <c:pt idx="88">
                  <c:v>43.475788641340934</c:v>
                </c:pt>
                <c:pt idx="89">
                  <c:v>45.427855268632982</c:v>
                </c:pt>
                <c:pt idx="90">
                  <c:v>47.340576357748084</c:v>
                </c:pt>
                <c:pt idx="91">
                  <c:v>49.215147278565013</c:v>
                </c:pt>
                <c:pt idx="92">
                  <c:v>51.052778850161666</c:v>
                </c:pt>
                <c:pt idx="93">
                  <c:v>41.936254094944175</c:v>
                </c:pt>
                <c:pt idx="94">
                  <c:v>43.919598620300121</c:v>
                </c:pt>
                <c:pt idx="95">
                  <c:v>45.862687022915424</c:v>
                </c:pt>
                <c:pt idx="96">
                  <c:v>47.766697811567646</c:v>
                </c:pt>
                <c:pt idx="97">
                  <c:v>49.632830435636627</c:v>
                </c:pt>
                <c:pt idx="98">
                  <c:v>40.543861331892707</c:v>
                </c:pt>
                <c:pt idx="99">
                  <c:v>42.555651088029734</c:v>
                </c:pt>
                <c:pt idx="100">
                  <c:v>44.526387988858765</c:v>
                </c:pt>
                <c:pt idx="101">
                  <c:v>46.457231514280011</c:v>
                </c:pt>
                <c:pt idx="102">
                  <c:v>48.349367471416251</c:v>
                </c:pt>
                <c:pt idx="103">
                  <c:v>39.285563372579091</c:v>
                </c:pt>
                <c:pt idx="104">
                  <c:v>41.323165206252149</c:v>
                </c:pt>
                <c:pt idx="105">
                  <c:v>43.319017801176905</c:v>
                </c:pt>
                <c:pt idx="106">
                  <c:v>45.274260197469204</c:v>
                </c:pt>
                <c:pt idx="107">
                  <c:v>47.190062979112234</c:v>
                </c:pt>
                <c:pt idx="108">
                  <c:v>38.149183024940221</c:v>
                </c:pt>
                <c:pt idx="109">
                  <c:v>40.210166627612885</c:v>
                </c:pt>
                <c:pt idx="110">
                  <c:v>42.228792624568044</c:v>
                </c:pt>
                <c:pt idx="111">
                  <c:v>44.206178838206341</c:v>
                </c:pt>
                <c:pt idx="112">
                  <c:v>46.143479633780942</c:v>
                </c:pt>
                <c:pt idx="113">
                  <c:v>37.123440086803178</c:v>
                </c:pt>
                <c:pt idx="114">
                  <c:v>39.205574775794609</c:v>
                </c:pt>
                <c:pt idx="115">
                  <c:v>41.244820409713441</c:v>
                </c:pt>
                <c:pt idx="116">
                  <c:v>43.242273330648146</c:v>
                </c:pt>
                <c:pt idx="117">
                  <c:v>45.199071172085574</c:v>
                </c:pt>
                <c:pt idx="118">
                  <c:v>36.197946486342111</c:v>
                </c:pt>
                <c:pt idx="119">
                  <c:v>38.299193661159563</c:v>
                </c:pt>
                <c:pt idx="120">
                  <c:v>40.357087373113202</c:v>
                </c:pt>
                <c:pt idx="121">
                  <c:v>42.372702629990613</c:v>
                </c:pt>
                <c:pt idx="122">
                  <c:v>44.347160208612969</c:v>
                </c:pt>
                <c:pt idx="123">
                  <c:v>35.363179785075438</c:v>
                </c:pt>
                <c:pt idx="124">
                  <c:v>37.481682698019526</c:v>
                </c:pt>
                <c:pt idx="125">
                  <c:v>39.556426069996085</c:v>
                </c:pt>
                <c:pt idx="126">
                  <c:v>41.588464035482367</c:v>
                </c:pt>
                <c:pt idx="127">
                  <c:v>43.578900694136394</c:v>
                </c:pt>
                <c:pt idx="128">
                  <c:v>34.610442785084189</c:v>
                </c:pt>
                <c:pt idx="129">
                  <c:v>36.744514808607903</c:v>
                </c:pt>
                <c:pt idx="130">
                  <c:v>38.834471908718704</c:v>
                </c:pt>
                <c:pt idx="131">
                  <c:v>40.881348042547742</c:v>
                </c:pt>
                <c:pt idx="132">
                  <c:v>42.886231044238258</c:v>
                </c:pt>
                <c:pt idx="133">
                  <c:v>33.931814882484524</c:v>
                </c:pt>
                <c:pt idx="134">
                  <c:v>36.079927107786659</c:v>
                </c:pt>
                <c:pt idx="135">
                  <c:v>38.183613066830688</c:v>
                </c:pt>
                <c:pt idx="136">
                  <c:v>40.243887403454558</c:v>
                </c:pt>
                <c:pt idx="137">
                  <c:v>42.261822269106005</c:v>
                </c:pt>
                <c:pt idx="138">
                  <c:v>33.320099200506633</c:v>
                </c:pt>
                <c:pt idx="139">
                  <c:v>35.48086794154375</c:v>
                </c:pt>
                <c:pt idx="140">
                  <c:v>37.596937331164874</c:v>
                </c:pt>
                <c:pt idx="141">
                  <c:v>39.669303677205775</c:v>
                </c:pt>
                <c:pt idx="142">
                  <c:v>41.699024151931859</c:v>
                </c:pt>
                <c:pt idx="143">
                  <c:v>43.687205292158055</c:v>
                </c:pt>
                <c:pt idx="144">
                  <c:v>45.634992706170848</c:v>
                </c:pt>
                <c:pt idx="145">
                  <c:v>47.543561919863478</c:v>
                </c:pt>
                <c:pt idx="146">
                  <c:v>49.414110289070159</c:v>
                </c:pt>
                <c:pt idx="147">
                  <c:v>51.247849902263063</c:v>
                </c:pt>
                <c:pt idx="148">
                  <c:v>53.046001397042815</c:v>
                </c:pt>
                <c:pt idx="149">
                  <c:v>54.809788614759931</c:v>
                </c:pt>
                <c:pt idx="150">
                  <c:v>56.540434019763524</c:v>
                </c:pt>
              </c:numCache>
            </c:numRef>
          </c:yVal>
          <c:smooth val="1"/>
          <c:extLst>
            <c:ext xmlns:c16="http://schemas.microsoft.com/office/drawing/2014/chart" uri="{C3380CC4-5D6E-409C-BE32-E72D297353CC}">
              <c16:uniqueId val="{00000000-D476-4711-A018-0628A6869420}"/>
            </c:ext>
          </c:extLst>
        </c:ser>
        <c:ser>
          <c:idx val="1"/>
          <c:order val="1"/>
          <c:spPr>
            <a:ln w="19050">
              <a:prstDash val="sysDash"/>
            </a:ln>
          </c:spPr>
          <c:marker>
            <c:symbol val="none"/>
          </c:marker>
          <c:xVal>
            <c:numLit>
              <c:formatCode>General</c:formatCode>
              <c:ptCount val="2"/>
              <c:pt idx="0">
                <c:v>0</c:v>
              </c:pt>
              <c:pt idx="1">
                <c:v>150</c:v>
              </c:pt>
            </c:numLit>
          </c:xVal>
          <c:yVal>
            <c:numRef>
              <c:f>(´ÒÉÙÑÅØÍÇ×!$I$40,´ÒÉÙÑÅØÍÇ×!$I$40)</c:f>
              <c:numCache>
                <c:formatCode>0</c:formatCode>
                <c:ptCount val="2"/>
                <c:pt idx="0">
                  <c:v>40</c:v>
                </c:pt>
                <c:pt idx="1">
                  <c:v>40</c:v>
                </c:pt>
              </c:numCache>
            </c:numRef>
          </c:yVal>
          <c:smooth val="1"/>
          <c:extLst>
            <c:ext xmlns:c16="http://schemas.microsoft.com/office/drawing/2014/chart" uri="{C3380CC4-5D6E-409C-BE32-E72D297353CC}">
              <c16:uniqueId val="{00000001-D476-4711-A018-0628A6869420}"/>
            </c:ext>
          </c:extLst>
        </c:ser>
        <c:dLbls>
          <c:showLegendKey val="0"/>
          <c:showVal val="0"/>
          <c:showCatName val="0"/>
          <c:showSerName val="0"/>
          <c:showPercent val="0"/>
          <c:showBubbleSize val="0"/>
        </c:dLbls>
        <c:axId val="43672320"/>
        <c:axId val="43674240"/>
      </c:scatterChart>
      <c:valAx>
        <c:axId val="43672320"/>
        <c:scaling>
          <c:orientation val="minMax"/>
        </c:scaling>
        <c:delete val="0"/>
        <c:axPos val="b"/>
        <c:title>
          <c:tx>
            <c:rich>
              <a:bodyPr/>
              <a:lstStyle/>
              <a:p>
                <a:pPr>
                  <a:defRPr/>
                </a:pPr>
                <a:r>
                  <a:rPr lang="en-US"/>
                  <a:t>Time (s)</a:t>
                </a:r>
              </a:p>
            </c:rich>
          </c:tx>
          <c:overlay val="0"/>
        </c:title>
        <c:numFmt formatCode="General" sourceLinked="1"/>
        <c:majorTickMark val="out"/>
        <c:minorTickMark val="none"/>
        <c:tickLblPos val="nextTo"/>
        <c:crossAx val="43674240"/>
        <c:crosses val="autoZero"/>
        <c:crossBetween val="midCat"/>
      </c:valAx>
      <c:valAx>
        <c:axId val="43674240"/>
        <c:scaling>
          <c:orientation val="minMax"/>
        </c:scaling>
        <c:delete val="0"/>
        <c:axPos val="l"/>
        <c:majorGridlines/>
        <c:title>
          <c:tx>
            <c:rich>
              <a:bodyPr rot="-5400000" vert="horz"/>
              <a:lstStyle/>
              <a:p>
                <a:pPr>
                  <a:defRPr/>
                </a:pPr>
                <a:r>
                  <a:rPr lang="en-US"/>
                  <a:t>Pressure (psig)</a:t>
                </a:r>
              </a:p>
            </c:rich>
          </c:tx>
          <c:overlay val="0"/>
        </c:title>
        <c:numFmt formatCode="General" sourceLinked="1"/>
        <c:majorTickMark val="out"/>
        <c:minorTickMark val="none"/>
        <c:tickLblPos val="nextTo"/>
        <c:crossAx val="43672320"/>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0"/>
          <c:order val="0"/>
          <c:spPr>
            <a:ln>
              <a:solidFill>
                <a:schemeClr val="tx1">
                  <a:lumMod val="50000"/>
                  <a:lumOff val="50000"/>
                </a:schemeClr>
              </a:solidFill>
              <a:prstDash val="sysDash"/>
            </a:ln>
          </c:spPr>
          <c:marker>
            <c:symbol val="none"/>
          </c:marker>
          <c:xVal>
            <c:numRef>
              <c:f>(´ÒÉÙ°ÍÒÏÅËÉ!$K$41,´ÒÉÙ°ÍÒÏÅËÉ!$K$41)</c:f>
              <c:numCache>
                <c:formatCode>General</c:formatCode>
                <c:ptCount val="2"/>
                <c:pt idx="0">
                  <c:v>0</c:v>
                </c:pt>
                <c:pt idx="1">
                  <c:v>0</c:v>
                </c:pt>
              </c:numCache>
            </c:numRef>
          </c:xVal>
          <c:yVal>
            <c:numRef>
              <c:f>(´ÒÉÙ°ÍÒÏÅËÉ!$L$41,´ÒÉÙ°ÍÒÏÅËÉ!$M$41)</c:f>
              <c:numCache>
                <c:formatCode>General</c:formatCode>
                <c:ptCount val="2"/>
                <c:pt idx="0">
                  <c:v>-34.382339178052213</c:v>
                </c:pt>
                <c:pt idx="1">
                  <c:v>197.24655022216564</c:v>
                </c:pt>
              </c:numCache>
            </c:numRef>
          </c:yVal>
          <c:smooth val="0"/>
          <c:extLst>
            <c:ext xmlns:c16="http://schemas.microsoft.com/office/drawing/2014/chart" uri="{C3380CC4-5D6E-409C-BE32-E72D297353CC}">
              <c16:uniqueId val="{00000000-FC70-4A5C-AD4D-8730D49AA23E}"/>
            </c:ext>
          </c:extLst>
        </c:ser>
        <c:ser>
          <c:idx val="11"/>
          <c:order val="1"/>
          <c:spPr>
            <a:ln>
              <a:solidFill>
                <a:schemeClr val="tx1">
                  <a:lumMod val="50000"/>
                  <a:lumOff val="50000"/>
                </a:schemeClr>
              </a:solidFill>
              <a:prstDash val="sysDash"/>
            </a:ln>
          </c:spPr>
          <c:marker>
            <c:symbol val="none"/>
          </c:marker>
          <c:xVal>
            <c:numRef>
              <c:f>(´ÒÉÙ°ÍÒÏÅËÉ!$L$41,´ÒÉÙ°ÍÒÏÅËÉ!$M$41)</c:f>
              <c:numCache>
                <c:formatCode>General</c:formatCode>
                <c:ptCount val="2"/>
                <c:pt idx="0">
                  <c:v>-34.382339178052213</c:v>
                </c:pt>
                <c:pt idx="1">
                  <c:v>197.24655022216564</c:v>
                </c:pt>
              </c:numCache>
            </c:numRef>
          </c:xVal>
          <c:yVal>
            <c:numRef>
              <c:f>(´ÒÉÙ°ÍÒÏÅËÉ!$K$41,´ÒÉÙ°ÍÒÏÅËÉ!$K$41)</c:f>
              <c:numCache>
                <c:formatCode>General</c:formatCode>
                <c:ptCount val="2"/>
                <c:pt idx="0">
                  <c:v>0</c:v>
                </c:pt>
                <c:pt idx="1">
                  <c:v>0</c:v>
                </c:pt>
              </c:numCache>
            </c:numRef>
          </c:yVal>
          <c:smooth val="0"/>
          <c:extLst>
            <c:ext xmlns:c16="http://schemas.microsoft.com/office/drawing/2014/chart" uri="{C3380CC4-5D6E-409C-BE32-E72D297353CC}">
              <c16:uniqueId val="{00000001-FC70-4A5C-AD4D-8730D49AA23E}"/>
            </c:ext>
          </c:extLst>
        </c:ser>
        <c:ser>
          <c:idx val="0"/>
          <c:order val="2"/>
          <c:spPr>
            <a:ln>
              <a:solidFill>
                <a:schemeClr val="tx1"/>
              </a:solidFill>
            </a:ln>
          </c:spPr>
          <c:marker>
            <c:symbol val="none"/>
          </c:marker>
          <c:xVal>
            <c:numRef>
              <c:f>(´ÒÉÙ°ÍÒÏÅËÉ!$K$35,´ÒÉÙ°ÍÒÏÅËÉ!$M$35)</c:f>
              <c:numCache>
                <c:formatCode>General</c:formatCode>
                <c:ptCount val="2"/>
                <c:pt idx="0">
                  <c:v>0</c:v>
                </c:pt>
                <c:pt idx="1">
                  <c:v>-15.688033694578483</c:v>
                </c:pt>
              </c:numCache>
            </c:numRef>
          </c:xVal>
          <c:yVal>
            <c:numRef>
              <c:f>(´ÒÉÙ°ÍÒÏÅËÉ!$L$35,´ÒÉÙ°ÍÒÏÅËÉ!$N$35)</c:f>
              <c:numCache>
                <c:formatCode>General</c:formatCode>
                <c:ptCount val="2"/>
                <c:pt idx="0">
                  <c:v>0</c:v>
                </c:pt>
                <c:pt idx="1">
                  <c:v>179.3150456565142</c:v>
                </c:pt>
              </c:numCache>
            </c:numRef>
          </c:yVal>
          <c:smooth val="0"/>
          <c:extLst>
            <c:ext xmlns:c16="http://schemas.microsoft.com/office/drawing/2014/chart" uri="{C3380CC4-5D6E-409C-BE32-E72D297353CC}">
              <c16:uniqueId val="{00000002-FC70-4A5C-AD4D-8730D49AA23E}"/>
            </c:ext>
          </c:extLst>
        </c:ser>
        <c:ser>
          <c:idx val="1"/>
          <c:order val="3"/>
          <c:spPr>
            <a:ln>
              <a:solidFill>
                <a:schemeClr val="tx1"/>
              </a:solidFill>
            </a:ln>
          </c:spPr>
          <c:marker>
            <c:symbol val="none"/>
          </c:marker>
          <c:xVal>
            <c:numRef>
              <c:f>(´ÒÉÙ°ÍÒÏÅËÉ!$K$36,´ÒÉÙ°ÍÒÏÅËÉ!$M$36)</c:f>
              <c:numCache>
                <c:formatCode>General</c:formatCode>
                <c:ptCount val="2"/>
                <c:pt idx="0">
                  <c:v>-10.458689129718989</c:v>
                </c:pt>
                <c:pt idx="1">
                  <c:v>-20.420636110636444</c:v>
                </c:pt>
              </c:numCache>
            </c:numRef>
          </c:xVal>
          <c:yVal>
            <c:numRef>
              <c:f>(´ÒÉÙ°ÍÒÏÅËÉ!$L$36,´ÒÉÙ°ÍÒÏÅËÉ!$N$36)</c:f>
              <c:numCache>
                <c:formatCode>General</c:formatCode>
                <c:ptCount val="2"/>
                <c:pt idx="0">
                  <c:v>119.54336377100947</c:v>
                </c:pt>
                <c:pt idx="1">
                  <c:v>118.67180634353288</c:v>
                </c:pt>
              </c:numCache>
            </c:numRef>
          </c:yVal>
          <c:smooth val="0"/>
          <c:extLst>
            <c:ext xmlns:c16="http://schemas.microsoft.com/office/drawing/2014/chart" uri="{C3380CC4-5D6E-409C-BE32-E72D297353CC}">
              <c16:uniqueId val="{00000003-FC70-4A5C-AD4D-8730D49AA23E}"/>
            </c:ext>
          </c:extLst>
        </c:ser>
        <c:ser>
          <c:idx val="2"/>
          <c:order val="4"/>
          <c:spPr>
            <a:ln w="127000" cap="sq">
              <a:solidFill>
                <a:schemeClr val="tx1"/>
              </a:solidFill>
            </a:ln>
          </c:spPr>
          <c:marker>
            <c:symbol val="none"/>
          </c:marker>
          <c:dPt>
            <c:idx val="1"/>
            <c:bubble3D val="0"/>
            <c:spPr>
              <a:ln w="127000" cap="sq">
                <a:solidFill>
                  <a:schemeClr val="tx1">
                    <a:lumMod val="65000"/>
                    <a:lumOff val="35000"/>
                  </a:schemeClr>
                </a:solidFill>
              </a:ln>
            </c:spPr>
            <c:extLst>
              <c:ext xmlns:c16="http://schemas.microsoft.com/office/drawing/2014/chart" uri="{C3380CC4-5D6E-409C-BE32-E72D297353CC}">
                <c16:uniqueId val="{00000005-FC70-4A5C-AD4D-8730D49AA23E}"/>
              </c:ext>
            </c:extLst>
          </c:dPt>
          <c:xVal>
            <c:numRef>
              <c:f>(´ÒÉÙ°ÍÒÏÅËÉ!$K$37,´ÒÉÙ°ÍÒÏÅËÉ!$M$37)</c:f>
              <c:numCache>
                <c:formatCode>General</c:formatCode>
                <c:ptCount val="2"/>
                <c:pt idx="0" formatCode="0.0">
                  <c:v>-27.079710328018926</c:v>
                </c:pt>
                <c:pt idx="1">
                  <c:v>-21.086543532374691</c:v>
                </c:pt>
              </c:numCache>
            </c:numRef>
          </c:xVal>
          <c:yVal>
            <c:numRef>
              <c:f>(´ÒÉÙ°ÍÒÏÅËÉ!$L$37,´ÒÉÙ°ÍÒÏÅËÉ!$N$37)</c:f>
              <c:numCache>
                <c:formatCode>General</c:formatCode>
                <c:ptCount val="2"/>
                <c:pt idx="0" formatCode="0.0">
                  <c:v>18.893769027862092</c:v>
                </c:pt>
                <c:pt idx="1">
                  <c:v>108.6940026119658</c:v>
                </c:pt>
              </c:numCache>
            </c:numRef>
          </c:yVal>
          <c:smooth val="0"/>
          <c:extLst>
            <c:ext xmlns:c16="http://schemas.microsoft.com/office/drawing/2014/chart" uri="{C3380CC4-5D6E-409C-BE32-E72D297353CC}">
              <c16:uniqueId val="{00000006-FC70-4A5C-AD4D-8730D49AA23E}"/>
            </c:ext>
          </c:extLst>
        </c:ser>
        <c:ser>
          <c:idx val="3"/>
          <c:order val="5"/>
          <c:spPr>
            <a:ln>
              <a:solidFill>
                <a:schemeClr val="tx1"/>
              </a:solidFill>
            </a:ln>
          </c:spPr>
          <c:marker>
            <c:symbol val="none"/>
          </c:marker>
          <c:xVal>
            <c:numRef>
              <c:f>(´ÒÉÙ°ÍÒÏÅËÉ!$K$38,´ÒÉÙ°ÍÒÏÅËÉ!$M$38)</c:f>
              <c:numCache>
                <c:formatCode>General</c:formatCode>
                <c:ptCount val="2"/>
                <c:pt idx="0">
                  <c:v>0</c:v>
                </c:pt>
                <c:pt idx="1">
                  <c:v>177.26539554219744</c:v>
                </c:pt>
              </c:numCache>
            </c:numRef>
          </c:xVal>
          <c:yVal>
            <c:numRef>
              <c:f>(´ÒÉÙ°ÍÒÏÅËÉ!$L$38,´ÒÉÙ°ÍÒÏÅËÉ!$N$38)</c:f>
              <c:numCache>
                <c:formatCode>General</c:formatCode>
                <c:ptCount val="2"/>
                <c:pt idx="0">
                  <c:v>0</c:v>
                </c:pt>
                <c:pt idx="1">
                  <c:v>-31.256671980047461</c:v>
                </c:pt>
              </c:numCache>
            </c:numRef>
          </c:yVal>
          <c:smooth val="0"/>
          <c:extLst>
            <c:ext xmlns:c16="http://schemas.microsoft.com/office/drawing/2014/chart" uri="{C3380CC4-5D6E-409C-BE32-E72D297353CC}">
              <c16:uniqueId val="{00000007-FC70-4A5C-AD4D-8730D49AA23E}"/>
            </c:ext>
          </c:extLst>
        </c:ser>
        <c:ser>
          <c:idx val="4"/>
          <c:order val="6"/>
          <c:spPr>
            <a:ln>
              <a:solidFill>
                <a:schemeClr val="tx1"/>
              </a:solidFill>
            </a:ln>
          </c:spPr>
          <c:marker>
            <c:symbol val="none"/>
          </c:marker>
          <c:xVal>
            <c:numRef>
              <c:f>(´ÒÉÙ°ÍÒÏÅËÉ!$K$39,´ÒÉÙ°ÍÒÏÅËÉ!$M$39)</c:f>
              <c:numCache>
                <c:formatCode>General</c:formatCode>
                <c:ptCount val="2"/>
                <c:pt idx="0">
                  <c:v>118.17693036146497</c:v>
                </c:pt>
                <c:pt idx="1">
                  <c:v>119.91341213813428</c:v>
                </c:pt>
              </c:numCache>
            </c:numRef>
          </c:xVal>
          <c:yVal>
            <c:numRef>
              <c:f>(´ÒÉÙ°ÍÒÏÅËÉ!$L$39,´ÒÉÙ°ÍÒÏÅËÉ!$N$39)</c:f>
              <c:numCache>
                <c:formatCode>General</c:formatCode>
                <c:ptCount val="2"/>
                <c:pt idx="0">
                  <c:v>-20.837781320031638</c:v>
                </c:pt>
                <c:pt idx="1">
                  <c:v>-10.989703789909559</c:v>
                </c:pt>
              </c:numCache>
            </c:numRef>
          </c:yVal>
          <c:smooth val="0"/>
          <c:extLst>
            <c:ext xmlns:c16="http://schemas.microsoft.com/office/drawing/2014/chart" uri="{C3380CC4-5D6E-409C-BE32-E72D297353CC}">
              <c16:uniqueId val="{00000008-FC70-4A5C-AD4D-8730D49AA23E}"/>
            </c:ext>
          </c:extLst>
        </c:ser>
        <c:ser>
          <c:idx val="5"/>
          <c:order val="7"/>
          <c:spPr>
            <a:ln w="127000" cap="sq">
              <a:solidFill>
                <a:schemeClr val="tx1">
                  <a:lumMod val="65000"/>
                  <a:lumOff val="35000"/>
                </a:schemeClr>
              </a:solidFill>
            </a:ln>
          </c:spPr>
          <c:marker>
            <c:symbol val="none"/>
          </c:marker>
          <c:xVal>
            <c:numRef>
              <c:f>(´ÒÉÙ°ÍÒÏÅËÉ!$K$40,´ÒÉÙ°ÍÒÏÅËÉ!$M$40)</c:f>
              <c:numCache>
                <c:formatCode>General</c:formatCode>
                <c:ptCount val="2"/>
                <c:pt idx="0" formatCode="0.0">
                  <c:v>-27.079710328018926</c:v>
                </c:pt>
                <c:pt idx="1">
                  <c:v>61.116163151673</c:v>
                </c:pt>
              </c:numCache>
            </c:numRef>
          </c:xVal>
          <c:yVal>
            <c:numRef>
              <c:f>(´ÒÉÙ°ÍÒÏÅËÉ!$L$40,´ÒÉÙ°ÍÒÏÅËÉ!$N$40)</c:f>
              <c:numCache>
                <c:formatCode>General</c:formatCode>
                <c:ptCount val="2"/>
                <c:pt idx="0" formatCode="0.0">
                  <c:v>18.893769027862092</c:v>
                </c:pt>
                <c:pt idx="1">
                  <c:v>0.96368533719910232</c:v>
                </c:pt>
              </c:numCache>
            </c:numRef>
          </c:yVal>
          <c:smooth val="0"/>
          <c:extLst>
            <c:ext xmlns:c16="http://schemas.microsoft.com/office/drawing/2014/chart" uri="{C3380CC4-5D6E-409C-BE32-E72D297353CC}">
              <c16:uniqueId val="{00000009-FC70-4A5C-AD4D-8730D49AA23E}"/>
            </c:ext>
          </c:extLst>
        </c:ser>
        <c:ser>
          <c:idx val="6"/>
          <c:order val="8"/>
          <c:marker>
            <c:symbol val="circle"/>
            <c:size val="13"/>
            <c:spPr>
              <a:ln>
                <a:noFill/>
              </a:ln>
            </c:spPr>
          </c:marker>
          <c:dPt>
            <c:idx val="0"/>
            <c:marker>
              <c:spPr>
                <a:solidFill>
                  <a:schemeClr val="tx1"/>
                </a:solidFill>
                <a:ln>
                  <a:noFill/>
                </a:ln>
              </c:spPr>
            </c:marker>
            <c:bubble3D val="0"/>
            <c:extLst>
              <c:ext xmlns:c16="http://schemas.microsoft.com/office/drawing/2014/chart" uri="{C3380CC4-5D6E-409C-BE32-E72D297353CC}">
                <c16:uniqueId val="{0000000A-FC70-4A5C-AD4D-8730D49AA23E}"/>
              </c:ext>
            </c:extLst>
          </c:dPt>
          <c:xVal>
            <c:numRef>
              <c:f>´ÒÉÙ°ÍÒÏÅËÉ!$K$35</c:f>
              <c:numCache>
                <c:formatCode>General</c:formatCode>
                <c:ptCount val="1"/>
                <c:pt idx="0">
                  <c:v>0</c:v>
                </c:pt>
              </c:numCache>
            </c:numRef>
          </c:xVal>
          <c:yVal>
            <c:numRef>
              <c:f>´ÒÉÙ°ÍÒÏÅËÉ!$L$35</c:f>
              <c:numCache>
                <c:formatCode>General</c:formatCode>
                <c:ptCount val="1"/>
                <c:pt idx="0">
                  <c:v>0</c:v>
                </c:pt>
              </c:numCache>
            </c:numRef>
          </c:yVal>
          <c:smooth val="0"/>
          <c:extLst>
            <c:ext xmlns:c16="http://schemas.microsoft.com/office/drawing/2014/chart" uri="{C3380CC4-5D6E-409C-BE32-E72D297353CC}">
              <c16:uniqueId val="{0000000B-FC70-4A5C-AD4D-8730D49AA23E}"/>
            </c:ext>
          </c:extLst>
        </c:ser>
        <c:ser>
          <c:idx val="14"/>
          <c:order val="9"/>
          <c:spPr>
            <a:ln w="60325">
              <a:solidFill>
                <a:schemeClr val="tx1">
                  <a:lumMod val="65000"/>
                  <a:lumOff val="35000"/>
                </a:schemeClr>
              </a:solidFill>
            </a:ln>
          </c:spPr>
          <c:marker>
            <c:symbol val="none"/>
          </c:marker>
          <c:xVal>
            <c:numRef>
              <c:f>(´ÒÉÙ°ÍÒÏÅËÉ!$M$37,´ÒÉÙ°ÍÒÏÅËÉ!$M$36)</c:f>
              <c:numCache>
                <c:formatCode>General</c:formatCode>
                <c:ptCount val="2"/>
                <c:pt idx="0">
                  <c:v>-21.086543532374691</c:v>
                </c:pt>
                <c:pt idx="1">
                  <c:v>-20.420636110636444</c:v>
                </c:pt>
              </c:numCache>
            </c:numRef>
          </c:xVal>
          <c:yVal>
            <c:numRef>
              <c:f>(´ÒÉÙ°ÍÒÏÅËÉ!$N$37,´ÒÉÙ°ÍÒÏÅËÉ!$N$36)</c:f>
              <c:numCache>
                <c:formatCode>General</c:formatCode>
                <c:ptCount val="2"/>
                <c:pt idx="0">
                  <c:v>108.6940026119658</c:v>
                </c:pt>
                <c:pt idx="1">
                  <c:v>118.67180634353288</c:v>
                </c:pt>
              </c:numCache>
            </c:numRef>
          </c:yVal>
          <c:smooth val="0"/>
          <c:extLst>
            <c:ext xmlns:c16="http://schemas.microsoft.com/office/drawing/2014/chart" uri="{C3380CC4-5D6E-409C-BE32-E72D297353CC}">
              <c16:uniqueId val="{0000000C-FC70-4A5C-AD4D-8730D49AA23E}"/>
            </c:ext>
          </c:extLst>
        </c:ser>
        <c:ser>
          <c:idx val="7"/>
          <c:order val="10"/>
          <c:spPr>
            <a:ln>
              <a:solidFill>
                <a:schemeClr val="tx1"/>
              </a:solidFill>
            </a:ln>
          </c:spPr>
          <c:marker>
            <c:symbol val="circle"/>
            <c:size val="13"/>
            <c:spPr>
              <a:solidFill>
                <a:schemeClr val="tx1"/>
              </a:solidFill>
              <a:ln>
                <a:noFill/>
              </a:ln>
            </c:spPr>
          </c:marker>
          <c:xVal>
            <c:numRef>
              <c:f>´ÒÉÙ°ÍÒÏÅËÉ!$P$37</c:f>
              <c:numCache>
                <c:formatCode>0.0</c:formatCode>
                <c:ptCount val="1"/>
                <c:pt idx="0">
                  <c:v>-27.079710328018926</c:v>
                </c:pt>
              </c:numCache>
            </c:numRef>
          </c:xVal>
          <c:yVal>
            <c:numRef>
              <c:f>´ÒÉÙ°ÍÒÏÅËÉ!$Q$37</c:f>
              <c:numCache>
                <c:formatCode>0.0</c:formatCode>
                <c:ptCount val="1"/>
                <c:pt idx="0">
                  <c:v>18.893769027862092</c:v>
                </c:pt>
              </c:numCache>
            </c:numRef>
          </c:yVal>
          <c:smooth val="0"/>
          <c:extLst>
            <c:ext xmlns:c16="http://schemas.microsoft.com/office/drawing/2014/chart" uri="{C3380CC4-5D6E-409C-BE32-E72D297353CC}">
              <c16:uniqueId val="{0000000D-FC70-4A5C-AD4D-8730D49AA23E}"/>
            </c:ext>
          </c:extLst>
        </c:ser>
        <c:ser>
          <c:idx val="8"/>
          <c:order val="11"/>
          <c:marker>
            <c:symbol val="circle"/>
            <c:size val="9"/>
          </c:marker>
          <c:dPt>
            <c:idx val="0"/>
            <c:marker>
              <c:spPr>
                <a:solidFill>
                  <a:schemeClr val="tx1"/>
                </a:solidFill>
                <a:ln>
                  <a:noFill/>
                </a:ln>
              </c:spPr>
            </c:marker>
            <c:bubble3D val="0"/>
            <c:extLst>
              <c:ext xmlns:c16="http://schemas.microsoft.com/office/drawing/2014/chart" uri="{C3380CC4-5D6E-409C-BE32-E72D297353CC}">
                <c16:uniqueId val="{0000000E-FC70-4A5C-AD4D-8730D49AA23E}"/>
              </c:ext>
            </c:extLst>
          </c:dPt>
          <c:xVal>
            <c:numRef>
              <c:f>´ÒÉÙ°ÍÒÏÅËÉ!$M$36</c:f>
              <c:numCache>
                <c:formatCode>General</c:formatCode>
                <c:ptCount val="1"/>
                <c:pt idx="0">
                  <c:v>-20.420636110636444</c:v>
                </c:pt>
              </c:numCache>
            </c:numRef>
          </c:xVal>
          <c:yVal>
            <c:numRef>
              <c:f>´ÒÉÙ°ÍÒÏÅËÉ!$N$36</c:f>
              <c:numCache>
                <c:formatCode>General</c:formatCode>
                <c:ptCount val="1"/>
                <c:pt idx="0">
                  <c:v>118.67180634353288</c:v>
                </c:pt>
              </c:numCache>
            </c:numRef>
          </c:yVal>
          <c:smooth val="0"/>
          <c:extLst>
            <c:ext xmlns:c16="http://schemas.microsoft.com/office/drawing/2014/chart" uri="{C3380CC4-5D6E-409C-BE32-E72D297353CC}">
              <c16:uniqueId val="{0000000F-FC70-4A5C-AD4D-8730D49AA23E}"/>
            </c:ext>
          </c:extLst>
        </c:ser>
        <c:ser>
          <c:idx val="13"/>
          <c:order val="12"/>
          <c:spPr>
            <a:ln w="60325">
              <a:solidFill>
                <a:schemeClr val="tx1">
                  <a:lumMod val="65000"/>
                  <a:lumOff val="35000"/>
                </a:schemeClr>
              </a:solidFill>
            </a:ln>
          </c:spPr>
          <c:marker>
            <c:symbol val="none"/>
          </c:marker>
          <c:xVal>
            <c:numRef>
              <c:f>(´ÒÉÙ°ÍÒÏÅËÉ!$M$40,´ÒÉÙ°ÍÒÏÅËÉ!$M$39)</c:f>
              <c:numCache>
                <c:formatCode>General</c:formatCode>
                <c:ptCount val="2"/>
                <c:pt idx="0">
                  <c:v>61.116163151673</c:v>
                </c:pt>
                <c:pt idx="1">
                  <c:v>119.91341213813428</c:v>
                </c:pt>
              </c:numCache>
            </c:numRef>
          </c:xVal>
          <c:yVal>
            <c:numRef>
              <c:f>(´ÒÉÙ°ÍÒÏÅËÉ!$N$40,´ÒÉÙ°ÍÒÏÅËÉ!$N$39)</c:f>
              <c:numCache>
                <c:formatCode>General</c:formatCode>
                <c:ptCount val="2"/>
                <c:pt idx="0">
                  <c:v>0.96368533719910232</c:v>
                </c:pt>
                <c:pt idx="1">
                  <c:v>-10.989703789909559</c:v>
                </c:pt>
              </c:numCache>
            </c:numRef>
          </c:yVal>
          <c:smooth val="0"/>
          <c:extLst>
            <c:ext xmlns:c16="http://schemas.microsoft.com/office/drawing/2014/chart" uri="{C3380CC4-5D6E-409C-BE32-E72D297353CC}">
              <c16:uniqueId val="{00000010-FC70-4A5C-AD4D-8730D49AA23E}"/>
            </c:ext>
          </c:extLst>
        </c:ser>
        <c:ser>
          <c:idx val="9"/>
          <c:order val="13"/>
          <c:marker>
            <c:symbol val="circle"/>
            <c:size val="9"/>
            <c:spPr>
              <a:ln>
                <a:noFill/>
              </a:ln>
            </c:spPr>
          </c:marker>
          <c:dPt>
            <c:idx val="0"/>
            <c:marker>
              <c:spPr>
                <a:solidFill>
                  <a:schemeClr val="tx1"/>
                </a:solidFill>
                <a:ln>
                  <a:noFill/>
                </a:ln>
              </c:spPr>
            </c:marker>
            <c:bubble3D val="0"/>
            <c:extLst>
              <c:ext xmlns:c16="http://schemas.microsoft.com/office/drawing/2014/chart" uri="{C3380CC4-5D6E-409C-BE32-E72D297353CC}">
                <c16:uniqueId val="{00000011-FC70-4A5C-AD4D-8730D49AA23E}"/>
              </c:ext>
            </c:extLst>
          </c:dPt>
          <c:xVal>
            <c:numRef>
              <c:f>´ÒÉÙ°ÍÒÏÅËÉ!$M$39</c:f>
              <c:numCache>
                <c:formatCode>General</c:formatCode>
                <c:ptCount val="1"/>
                <c:pt idx="0">
                  <c:v>119.91341213813428</c:v>
                </c:pt>
              </c:numCache>
            </c:numRef>
          </c:xVal>
          <c:yVal>
            <c:numRef>
              <c:f>´ÒÉÙ°ÍÒÏÅËÉ!$N$39</c:f>
              <c:numCache>
                <c:formatCode>General</c:formatCode>
                <c:ptCount val="1"/>
                <c:pt idx="0">
                  <c:v>-10.989703789909559</c:v>
                </c:pt>
              </c:numCache>
            </c:numRef>
          </c:yVal>
          <c:smooth val="0"/>
          <c:extLst>
            <c:ext xmlns:c16="http://schemas.microsoft.com/office/drawing/2014/chart" uri="{C3380CC4-5D6E-409C-BE32-E72D297353CC}">
              <c16:uniqueId val="{00000012-FC70-4A5C-AD4D-8730D49AA23E}"/>
            </c:ext>
          </c:extLst>
        </c:ser>
        <c:ser>
          <c:idx val="12"/>
          <c:order val="14"/>
          <c:marker>
            <c:symbol val="none"/>
          </c:marker>
          <c:xVal>
            <c:numRef>
              <c:f>´ÒÉÙ°ÍÒÏÅËÉ!$M$41</c:f>
              <c:numCache>
                <c:formatCode>General</c:formatCode>
                <c:ptCount val="1"/>
                <c:pt idx="0">
                  <c:v>197.24655022216564</c:v>
                </c:pt>
              </c:numCache>
            </c:numRef>
          </c:xVal>
          <c:yVal>
            <c:numRef>
              <c:f>´ÒÉÙ°ÍÒÏÅËÉ!$M$41</c:f>
              <c:numCache>
                <c:formatCode>General</c:formatCode>
                <c:ptCount val="1"/>
                <c:pt idx="0">
                  <c:v>197.24655022216564</c:v>
                </c:pt>
              </c:numCache>
            </c:numRef>
          </c:yVal>
          <c:smooth val="0"/>
          <c:extLst>
            <c:ext xmlns:c16="http://schemas.microsoft.com/office/drawing/2014/chart" uri="{C3380CC4-5D6E-409C-BE32-E72D297353CC}">
              <c16:uniqueId val="{00000013-FC70-4A5C-AD4D-8730D49AA23E}"/>
            </c:ext>
          </c:extLst>
        </c:ser>
        <c:dLbls>
          <c:showLegendKey val="0"/>
          <c:showVal val="0"/>
          <c:showCatName val="0"/>
          <c:showSerName val="0"/>
          <c:showPercent val="0"/>
          <c:showBubbleSize val="0"/>
        </c:dLbls>
        <c:axId val="56696192"/>
        <c:axId val="56702080"/>
      </c:scatterChart>
      <c:valAx>
        <c:axId val="56696192"/>
        <c:scaling>
          <c:orientation val="minMax"/>
        </c:scaling>
        <c:delete val="1"/>
        <c:axPos val="b"/>
        <c:numFmt formatCode="General" sourceLinked="1"/>
        <c:majorTickMark val="out"/>
        <c:minorTickMark val="none"/>
        <c:tickLblPos val="nextTo"/>
        <c:crossAx val="56702080"/>
        <c:crosses val="autoZero"/>
        <c:crossBetween val="midCat"/>
      </c:valAx>
      <c:valAx>
        <c:axId val="56702080"/>
        <c:scaling>
          <c:orientation val="minMax"/>
        </c:scaling>
        <c:delete val="1"/>
        <c:axPos val="l"/>
        <c:numFmt formatCode="General" sourceLinked="1"/>
        <c:majorTickMark val="out"/>
        <c:minorTickMark val="none"/>
        <c:tickLblPos val="nextTo"/>
        <c:crossAx val="56696192"/>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fmlaLink="$B$4" lockText="1" noThreeD="1"/>
</file>

<file path=xl/ctrlProps/ctrlProp14.xml><?xml version="1.0" encoding="utf-8"?>
<formControlPr xmlns="http://schemas.microsoft.com/office/spreadsheetml/2009/9/main" objectType="CheckBox" fmlaLink="$B$4" lockText="1" noThreeD="1"/>
</file>

<file path=xl/ctrlProps/ctrlProp15.xml><?xml version="1.0" encoding="utf-8"?>
<formControlPr xmlns="http://schemas.microsoft.com/office/spreadsheetml/2009/9/main" objectType="CheckBox" fmlaLink="$B$4" lockText="1" noThreeD="1"/>
</file>

<file path=xl/ctrlProps/ctrlProp16.xml><?xml version="1.0" encoding="utf-8"?>
<formControlPr xmlns="http://schemas.microsoft.com/office/spreadsheetml/2009/9/main" objectType="CheckBox" fmlaLink="$D$23" lockText="1" noThreeD="1"/>
</file>

<file path=xl/ctrlProps/ctrlProp17.xml><?xml version="1.0" encoding="utf-8"?>
<formControlPr xmlns="http://schemas.microsoft.com/office/spreadsheetml/2009/9/main" objectType="CheckBox" fmlaLink="$D$24" lockText="1" noThreeD="1"/>
</file>

<file path=xl/ctrlProps/ctrlProp18.xml><?xml version="1.0" encoding="utf-8"?>
<formControlPr xmlns="http://schemas.microsoft.com/office/spreadsheetml/2009/9/main" objectType="CheckBox" fmlaLink="$B$4" lockText="1" noThreeD="1"/>
</file>

<file path=xl/ctrlProps/ctrlProp19.xml><?xml version="1.0" encoding="utf-8"?>
<formControlPr xmlns="http://schemas.microsoft.com/office/spreadsheetml/2009/9/main" objectType="CheckBox" checked="Checked" fmlaLink="$B$4" lockText="1" noThreeD="1"/>
</file>

<file path=xl/ctrlProps/ctrlProp20.xml><?xml version="1.0" encoding="utf-8"?>
<formControlPr xmlns="http://schemas.microsoft.com/office/spreadsheetml/2009/9/main" objectType="CheckBox" checked="Checked" fmlaLink="$B$4" lockText="1" noThreeD="1"/>
</file>

<file path=xl/ctrlProps/ctrlProp21.xml><?xml version="1.0" encoding="utf-8"?>
<formControlPr xmlns="http://schemas.microsoft.com/office/spreadsheetml/2009/9/main" objectType="CheckBox" checked="Checked" fmlaLink="$B$4" lockText="1" noThreeD="1"/>
</file>

<file path=xl/ctrlProps/ctrlProp22.xml><?xml version="1.0" encoding="utf-8"?>
<formControlPr xmlns="http://schemas.microsoft.com/office/spreadsheetml/2009/9/main" objectType="CheckBox" fmlaLink="$B$4" lockText="1" noThreeD="1"/>
</file>

<file path=xl/ctrlProps/ctrlProp23.xml><?xml version="1.0" encoding="utf-8"?>
<formControlPr xmlns="http://schemas.microsoft.com/office/spreadsheetml/2009/9/main" objectType="CheckBox" fmlaLink="$B$4" lockText="1" noThreeD="1"/>
</file>

<file path=xl/ctrlProps/ctrlProp24.xml><?xml version="1.0" encoding="utf-8"?>
<formControlPr xmlns="http://schemas.microsoft.com/office/spreadsheetml/2009/9/main" objectType="CheckBox" checked="Checked" fmlaLink="M3" lockText="1" noThreeD="1"/>
</file>

<file path=xl/ctrlProps/ctrlProp25.xml><?xml version="1.0" encoding="utf-8"?>
<formControlPr xmlns="http://schemas.microsoft.com/office/spreadsheetml/2009/9/main" objectType="CheckBox" checked="Checked" fmlaLink="O3" lockText="1" noThreeD="1"/>
</file>

<file path=xl/ctrlProps/ctrlProp26.xml><?xml version="1.0" encoding="utf-8"?>
<formControlPr xmlns="http://schemas.microsoft.com/office/spreadsheetml/2009/9/main" objectType="CheckBox" fmlaLink="$B$4" lockText="1" noThreeD="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6.JPG"/></Relationships>
</file>

<file path=xl/drawings/_rels/vmlDrawing5.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30480</xdr:colOff>
          <xdr:row>11</xdr:row>
          <xdr:rowOff>0</xdr:rowOff>
        </xdr:from>
        <xdr:to>
          <xdr:col>5</xdr:col>
          <xdr:colOff>0</xdr:colOff>
          <xdr:row>14</xdr:row>
          <xdr:rowOff>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000-000001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15</xdr:row>
          <xdr:rowOff>0</xdr:rowOff>
        </xdr:from>
        <xdr:to>
          <xdr:col>5</xdr:col>
          <xdr:colOff>0</xdr:colOff>
          <xdr:row>17</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000-000002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18</xdr:row>
          <xdr:rowOff>0</xdr:rowOff>
        </xdr:from>
        <xdr:to>
          <xdr:col>5</xdr:col>
          <xdr:colOff>0</xdr:colOff>
          <xdr:row>20</xdr:row>
          <xdr:rowOff>0</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000-000003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21</xdr:row>
          <xdr:rowOff>0</xdr:rowOff>
        </xdr:from>
        <xdr:to>
          <xdr:col>5</xdr:col>
          <xdr:colOff>0</xdr:colOff>
          <xdr:row>23</xdr:row>
          <xdr:rowOff>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000-000004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24</xdr:row>
          <xdr:rowOff>0</xdr:rowOff>
        </xdr:from>
        <xdr:to>
          <xdr:col>5</xdr:col>
          <xdr:colOff>0</xdr:colOff>
          <xdr:row>26</xdr:row>
          <xdr:rowOff>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000-000005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27</xdr:row>
          <xdr:rowOff>0</xdr:rowOff>
        </xdr:from>
        <xdr:to>
          <xdr:col>5</xdr:col>
          <xdr:colOff>0</xdr:colOff>
          <xdr:row>29</xdr:row>
          <xdr:rowOff>0</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0000-000006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30</xdr:row>
          <xdr:rowOff>0</xdr:rowOff>
        </xdr:from>
        <xdr:to>
          <xdr:col>5</xdr:col>
          <xdr:colOff>0</xdr:colOff>
          <xdr:row>32</xdr:row>
          <xdr:rowOff>0</xdr:rowOff>
        </xdr:to>
        <xdr:sp macro="" textlink="">
          <xdr:nvSpPr>
            <xdr:cNvPr id="16391" name="Button 7" hidden="1">
              <a:extLst>
                <a:ext uri="{63B3BB69-23CF-44E3-9099-C40C66FF867C}">
                  <a14:compatExt spid="_x0000_s16391"/>
                </a:ext>
                <a:ext uri="{FF2B5EF4-FFF2-40B4-BE49-F238E27FC236}">
                  <a16:creationId xmlns:a16="http://schemas.microsoft.com/office/drawing/2014/main" id="{00000000-0008-0000-0000-000007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33</xdr:row>
          <xdr:rowOff>0</xdr:rowOff>
        </xdr:from>
        <xdr:to>
          <xdr:col>5</xdr:col>
          <xdr:colOff>0</xdr:colOff>
          <xdr:row>35</xdr:row>
          <xdr:rowOff>0</xdr:rowOff>
        </xdr:to>
        <xdr:sp macro="" textlink="">
          <xdr:nvSpPr>
            <xdr:cNvPr id="16392" name="Button 8" hidden="1">
              <a:extLst>
                <a:ext uri="{63B3BB69-23CF-44E3-9099-C40C66FF867C}">
                  <a14:compatExt spid="_x0000_s16392"/>
                </a:ext>
                <a:ext uri="{FF2B5EF4-FFF2-40B4-BE49-F238E27FC236}">
                  <a16:creationId xmlns:a16="http://schemas.microsoft.com/office/drawing/2014/main" id="{00000000-0008-0000-0000-000008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36</xdr:row>
          <xdr:rowOff>0</xdr:rowOff>
        </xdr:from>
        <xdr:to>
          <xdr:col>5</xdr:col>
          <xdr:colOff>0</xdr:colOff>
          <xdr:row>38</xdr:row>
          <xdr:rowOff>0</xdr:rowOff>
        </xdr:to>
        <xdr:sp macro="" textlink="">
          <xdr:nvSpPr>
            <xdr:cNvPr id="16393" name="Button 9" hidden="1">
              <a:extLst>
                <a:ext uri="{63B3BB69-23CF-44E3-9099-C40C66FF867C}">
                  <a14:compatExt spid="_x0000_s16393"/>
                </a:ext>
                <a:ext uri="{FF2B5EF4-FFF2-40B4-BE49-F238E27FC236}">
                  <a16:creationId xmlns:a16="http://schemas.microsoft.com/office/drawing/2014/main" id="{00000000-0008-0000-0000-000009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39</xdr:row>
          <xdr:rowOff>0</xdr:rowOff>
        </xdr:from>
        <xdr:to>
          <xdr:col>5</xdr:col>
          <xdr:colOff>0</xdr:colOff>
          <xdr:row>41</xdr:row>
          <xdr:rowOff>0</xdr:rowOff>
        </xdr:to>
        <xdr:sp macro="" textlink="">
          <xdr:nvSpPr>
            <xdr:cNvPr id="16394" name="Button 10" hidden="1">
              <a:extLst>
                <a:ext uri="{63B3BB69-23CF-44E3-9099-C40C66FF867C}">
                  <a14:compatExt spid="_x0000_s16394"/>
                </a:ext>
                <a:ext uri="{FF2B5EF4-FFF2-40B4-BE49-F238E27FC236}">
                  <a16:creationId xmlns:a16="http://schemas.microsoft.com/office/drawing/2014/main" id="{00000000-0008-0000-0000-00000A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121920</xdr:colOff>
          <xdr:row>5</xdr:row>
          <xdr:rowOff>182880</xdr:rowOff>
        </xdr:from>
        <xdr:to>
          <xdr:col>7</xdr:col>
          <xdr:colOff>518160</xdr:colOff>
          <xdr:row>9</xdr:row>
          <xdr:rowOff>182880</xdr:rowOff>
        </xdr:to>
        <xdr:sp macro="" textlink="">
          <xdr:nvSpPr>
            <xdr:cNvPr id="16395" name="Button 11" hidden="1">
              <a:extLst>
                <a:ext uri="{63B3BB69-23CF-44E3-9099-C40C66FF867C}">
                  <a14:compatExt spid="_x0000_s16395"/>
                </a:ext>
                <a:ext uri="{FF2B5EF4-FFF2-40B4-BE49-F238E27FC236}">
                  <a16:creationId xmlns:a16="http://schemas.microsoft.com/office/drawing/2014/main" id="{00000000-0008-0000-0000-00000B4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Calibri"/>
                  <a:cs typeface="Calibri"/>
                </a:rPr>
                <a:t>ADD ALL</a:t>
              </a:r>
            </a:p>
            <a:p>
              <a:pPr algn="ctr" rtl="0">
                <a:defRPr sz="1000"/>
              </a:pPr>
              <a:r>
                <a:rPr lang="en-US" sz="2000" b="1" i="0" u="none" strike="noStrike" baseline="0">
                  <a:solidFill>
                    <a:srgbClr val="000000"/>
                  </a:solidFill>
                  <a:latin typeface="Calibri"/>
                  <a:cs typeface="Calibri"/>
                </a:rPr>
                <a:t>WORKSHEETS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42</xdr:row>
          <xdr:rowOff>0</xdr:rowOff>
        </xdr:from>
        <xdr:to>
          <xdr:col>5</xdr:col>
          <xdr:colOff>0</xdr:colOff>
          <xdr:row>44</xdr:row>
          <xdr:rowOff>0</xdr:rowOff>
        </xdr:to>
        <xdr:sp macro="" textlink="">
          <xdr:nvSpPr>
            <xdr:cNvPr id="16396" name="Button 12" hidden="1">
              <a:extLst>
                <a:ext uri="{63B3BB69-23CF-44E3-9099-C40C66FF867C}">
                  <a14:compatExt spid="_x0000_s16396"/>
                </a:ext>
                <a:ext uri="{FF2B5EF4-FFF2-40B4-BE49-F238E27FC236}">
                  <a16:creationId xmlns:a16="http://schemas.microsoft.com/office/drawing/2014/main" id="{00000000-0008-0000-0000-00000C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2</xdr:col>
          <xdr:colOff>7620</xdr:colOff>
          <xdr:row>4</xdr:row>
          <xdr:rowOff>7620</xdr:rowOff>
        </xdr:to>
        <xdr:sp macro="" textlink="">
          <xdr:nvSpPr>
            <xdr:cNvPr id="1025" name="Metric"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3073" name="Metric"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175260</xdr:rowOff>
        </xdr:from>
        <xdr:to>
          <xdr:col>2</xdr:col>
          <xdr:colOff>7620</xdr:colOff>
          <xdr:row>4</xdr:row>
          <xdr:rowOff>0</xdr:rowOff>
        </xdr:to>
        <xdr:sp macro="" textlink="">
          <xdr:nvSpPr>
            <xdr:cNvPr id="5121" name="Metric"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182880</xdr:rowOff>
        </xdr:from>
        <xdr:to>
          <xdr:col>3</xdr:col>
          <xdr:colOff>228600</xdr:colOff>
          <xdr:row>22</xdr:row>
          <xdr:rowOff>182880</xdr:rowOff>
        </xdr:to>
        <xdr:sp macro="" textlink="">
          <xdr:nvSpPr>
            <xdr:cNvPr id="5126" name="Shifting"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182880</xdr:rowOff>
        </xdr:from>
        <xdr:to>
          <xdr:col>3</xdr:col>
          <xdr:colOff>228600</xdr:colOff>
          <xdr:row>23</xdr:row>
          <xdr:rowOff>182880</xdr:rowOff>
        </xdr:to>
        <xdr:sp macro="" textlink="">
          <xdr:nvSpPr>
            <xdr:cNvPr id="5127" name="2Wheels"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6145" name="Metric"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7169" name="Metric"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xdr:from>
      <xdr:col>7</xdr:col>
      <xdr:colOff>609598</xdr:colOff>
      <xdr:row>5</xdr:row>
      <xdr:rowOff>238124</xdr:rowOff>
    </xdr:from>
    <xdr:to>
      <xdr:col>16</xdr:col>
      <xdr:colOff>200023</xdr:colOff>
      <xdr:row>29</xdr:row>
      <xdr:rowOff>190499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9217" name="Metric" hidden="1">
              <a:extLst>
                <a:ext uri="{63B3BB69-23CF-44E3-9099-C40C66FF867C}">
                  <a14:compatExt spid="_x0000_s9217"/>
                </a:ext>
                <a:ext uri="{FF2B5EF4-FFF2-40B4-BE49-F238E27FC236}">
                  <a16:creationId xmlns:a16="http://schemas.microsoft.com/office/drawing/2014/main" id="{00000000-0008-0000-06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10241" name="Metric" hidden="1">
              <a:extLst>
                <a:ext uri="{63B3BB69-23CF-44E3-9099-C40C66FF867C}">
                  <a14:compatExt spid="_x0000_s10241"/>
                </a:ext>
                <a:ext uri="{FF2B5EF4-FFF2-40B4-BE49-F238E27FC236}">
                  <a16:creationId xmlns:a16="http://schemas.microsoft.com/office/drawing/2014/main" id="{00000000-0008-0000-0700-000001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editAs="oneCell">
    <xdr:from>
      <xdr:col>5</xdr:col>
      <xdr:colOff>0</xdr:colOff>
      <xdr:row>12</xdr:row>
      <xdr:rowOff>133350</xdr:rowOff>
    </xdr:from>
    <xdr:to>
      <xdr:col>8</xdr:col>
      <xdr:colOff>482882</xdr:colOff>
      <xdr:row>33</xdr:row>
      <xdr:rowOff>133350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52775" y="2676525"/>
          <a:ext cx="2997482" cy="4000500"/>
        </a:xfrm>
        <a:prstGeom prst="rect">
          <a:avLst/>
        </a:prstGeom>
        <a:ln w="19050">
          <a:solidFill>
            <a:sysClr val="windowText" lastClr="000000"/>
          </a:solidFill>
        </a:ln>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12289" name="Metric" hidden="1">
              <a:extLst>
                <a:ext uri="{63B3BB69-23CF-44E3-9099-C40C66FF867C}">
                  <a14:compatExt spid="_x0000_s12289"/>
                </a:ext>
                <a:ext uri="{FF2B5EF4-FFF2-40B4-BE49-F238E27FC236}">
                  <a16:creationId xmlns:a16="http://schemas.microsoft.com/office/drawing/2014/main" id="{00000000-0008-0000-0800-00000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14337" name="Metric" hidden="1">
              <a:extLst>
                <a:ext uri="{63B3BB69-23CF-44E3-9099-C40C66FF867C}">
                  <a14:compatExt spid="_x0000_s14337"/>
                </a:ext>
                <a:ext uri="{FF2B5EF4-FFF2-40B4-BE49-F238E27FC236}">
                  <a16:creationId xmlns:a16="http://schemas.microsoft.com/office/drawing/2014/main" id="{00000000-0008-0000-0900-000001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xdr:from>
      <xdr:col>1</xdr:col>
      <xdr:colOff>219074</xdr:colOff>
      <xdr:row>17</xdr:row>
      <xdr:rowOff>0</xdr:rowOff>
    </xdr:from>
    <xdr:to>
      <xdr:col>10</xdr:col>
      <xdr:colOff>723899</xdr:colOff>
      <xdr:row>38</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9525</xdr:colOff>
      <xdr:row>14</xdr:row>
      <xdr:rowOff>9127</xdr:rowOff>
    </xdr:from>
    <xdr:to>
      <xdr:col>8</xdr:col>
      <xdr:colOff>1276350</xdr:colOff>
      <xdr:row>34</xdr:row>
      <xdr:rowOff>129920</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4850" y="2933302"/>
          <a:ext cx="5391150" cy="3930793"/>
        </a:xfrm>
        <a:prstGeom prst="rect">
          <a:avLst/>
        </a:prstGeom>
      </xdr:spPr>
    </xdr:pic>
    <xdr:clientData/>
  </xdr:twoCellAnchor>
  <xdr:twoCellAnchor>
    <xdr:from>
      <xdr:col>10</xdr:col>
      <xdr:colOff>0</xdr:colOff>
      <xdr:row>3</xdr:row>
      <xdr:rowOff>0</xdr:rowOff>
    </xdr:from>
    <xdr:to>
      <xdr:col>18</xdr:col>
      <xdr:colOff>123825</xdr:colOff>
      <xdr:row>29</xdr:row>
      <xdr:rowOff>0</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7620</xdr:rowOff>
        </xdr:from>
        <xdr:to>
          <xdr:col>13</xdr:col>
          <xdr:colOff>411480</xdr:colOff>
          <xdr:row>2</xdr:row>
          <xdr:rowOff>182880</xdr:rowOff>
        </xdr:to>
        <xdr:sp macro="" textlink="">
          <xdr:nvSpPr>
            <xdr:cNvPr id="26626" name="Check Box 2" hidden="1">
              <a:extLst>
                <a:ext uri="{63B3BB69-23CF-44E3-9099-C40C66FF867C}">
                  <a14:compatExt spid="_x0000_s26626"/>
                </a:ext>
                <a:ext uri="{FF2B5EF4-FFF2-40B4-BE49-F238E27FC236}">
                  <a16:creationId xmlns:a16="http://schemas.microsoft.com/office/drawing/2014/main" id="{00000000-0008-0000-0A00-000002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Show Retracted?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411480</xdr:colOff>
          <xdr:row>2</xdr:row>
          <xdr:rowOff>7620</xdr:rowOff>
        </xdr:from>
        <xdr:to>
          <xdr:col>15</xdr:col>
          <xdr:colOff>213360</xdr:colOff>
          <xdr:row>2</xdr:row>
          <xdr:rowOff>182880</xdr:rowOff>
        </xdr:to>
        <xdr:sp macro="" textlink="">
          <xdr:nvSpPr>
            <xdr:cNvPr id="26627" name="Check Box 3" hidden="1">
              <a:extLst>
                <a:ext uri="{63B3BB69-23CF-44E3-9099-C40C66FF867C}">
                  <a14:compatExt spid="_x0000_s26627"/>
                </a:ext>
                <a:ext uri="{FF2B5EF4-FFF2-40B4-BE49-F238E27FC236}">
                  <a16:creationId xmlns:a16="http://schemas.microsoft.com/office/drawing/2014/main" id="{00000000-0008-0000-0A00-000003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Show Extended?</a:t>
              </a:r>
            </a:p>
          </xdr:txBody>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7620</xdr:colOff>
          <xdr:row>4</xdr:row>
          <xdr:rowOff>7620</xdr:rowOff>
        </xdr:to>
        <xdr:sp macro="" textlink="">
          <xdr:nvSpPr>
            <xdr:cNvPr id="28674" name="Metric" hidden="1">
              <a:extLst>
                <a:ext uri="{63B3BB69-23CF-44E3-9099-C40C66FF867C}">
                  <a14:compatExt spid="_x0000_s28674"/>
                </a:ext>
                <a:ext uri="{FF2B5EF4-FFF2-40B4-BE49-F238E27FC236}">
                  <a16:creationId xmlns:a16="http://schemas.microsoft.com/office/drawing/2014/main" id="{00000000-0008-0000-0C00-00000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MB%20Design%20Spreadsheet%20v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MechanismRatio"/>
      <sheetName val="Leadscrew"/>
      <sheetName val="Drivetrain"/>
      <sheetName val="SprintDistance"/>
      <sheetName val="BeamBend"/>
      <sheetName val="Projectile"/>
      <sheetName val="ChainBelt"/>
      <sheetName val="Gears"/>
      <sheetName val="Pneumatics"/>
      <sheetName val="PneuLinkage"/>
      <sheetName val="UsefulValu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5">
          <cell r="H5" t="str">
            <v>CIM</v>
          </cell>
        </row>
        <row r="6">
          <cell r="H6" t="str">
            <v>Mini CIM</v>
          </cell>
        </row>
        <row r="7">
          <cell r="H7" t="str">
            <v>BAG Motor</v>
          </cell>
        </row>
        <row r="8">
          <cell r="H8" t="str">
            <v>775pro/Redline</v>
          </cell>
        </row>
        <row r="9">
          <cell r="H9" t="str">
            <v>NEO</v>
          </cell>
        </row>
        <row r="10">
          <cell r="H10" t="str">
            <v>AM 775</v>
          </cell>
        </row>
        <row r="11">
          <cell r="H11" t="str">
            <v>AM 9015</v>
          </cell>
        </row>
        <row r="12">
          <cell r="H12" t="str">
            <v>CIM + Mini</v>
          </cell>
        </row>
        <row r="13">
          <cell r="H13" t="str">
            <v>CIM + 2 Mini</v>
          </cell>
        </row>
        <row r="14">
          <cell r="H14" t="str">
            <v>2 CIM + Mini</v>
          </cell>
        </row>
        <row r="15">
          <cell r="H15" t="str">
            <v>BB RS-775-18</v>
          </cell>
        </row>
        <row r="16">
          <cell r="H16" t="str">
            <v xml:space="preserve">Snowblower </v>
          </cell>
        </row>
        <row r="17">
          <cell r="H17" t="str">
            <v>Neverest</v>
          </cell>
        </row>
        <row r="18">
          <cell r="H18" t="str">
            <v>Throttle Motor</v>
          </cell>
        </row>
        <row r="19">
          <cell r="H19" t="str">
            <v>Bosch Motor</v>
          </cell>
        </row>
        <row r="20">
          <cell r="H20" t="str">
            <v>Dynamo</v>
          </cell>
        </row>
        <row r="21">
          <cell r="H21" t="str">
            <v>Window Motor</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www.chiefdelphi.com/t/paper-simple-motor-calculator/108165"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www.chiefdelphi.com/t/paper-chain-belt-calculator/168971"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chiefdelphi.com/t/paper-jvns-mechanical-design-calculator-2016/146281" TargetMode="External"/><Relationship Id="rId6" Type="http://schemas.openxmlformats.org/officeDocument/2006/relationships/hyperlink" Target="https://www.chiefdelphi.com/t/versa-planetary-configuration-tool/335646" TargetMode="External"/><Relationship Id="rId11" Type="http://schemas.openxmlformats.org/officeDocument/2006/relationships/ctrlProp" Target="../ctrlProps/ctrlProp2.xml"/><Relationship Id="rId5" Type="http://schemas.openxmlformats.org/officeDocument/2006/relationships/hyperlink" Target="https://fac.ksu.edu.sa/sites/default/files/mechanical-disgin-shigley.pdf" TargetMode="External"/><Relationship Id="rId15" Type="http://schemas.openxmlformats.org/officeDocument/2006/relationships/ctrlProp" Target="../ctrlProps/ctrlProp6.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chiefdelphi.com/t/paper-pneumatic-system-simulator/168272" TargetMode="External"/><Relationship Id="rId9" Type="http://schemas.openxmlformats.org/officeDocument/2006/relationships/vmlDrawing" Target="../drawings/vmlDrawing1.vml"/><Relationship Id="rId14"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ctrlProp" Target="../ctrlProps/ctrlProp1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2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2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2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2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dimension ref="B2:E52"/>
  <sheetViews>
    <sheetView workbookViewId="0"/>
  </sheetViews>
  <sheetFormatPr defaultColWidth="9.109375" defaultRowHeight="14.4" x14ac:dyDescent="0.3"/>
  <cols>
    <col min="1" max="1" width="9.109375" style="81"/>
    <col min="2" max="2" width="2.6640625" style="81" customWidth="1"/>
    <col min="3" max="3" width="70.6640625" style="81" customWidth="1"/>
    <col min="4" max="4" width="9.109375" style="81"/>
    <col min="5" max="5" width="8.5546875" style="81" customWidth="1"/>
    <col min="6" max="16384" width="9.109375" style="81"/>
  </cols>
  <sheetData>
    <row r="2" spans="2:5" ht="31.2" x14ac:dyDescent="0.6">
      <c r="C2" s="82" t="s">
        <v>179</v>
      </c>
    </row>
    <row r="3" spans="2:5" ht="15.6" x14ac:dyDescent="0.3">
      <c r="C3" s="83" t="s">
        <v>340</v>
      </c>
    </row>
    <row r="4" spans="2:5" ht="15.6" x14ac:dyDescent="0.3">
      <c r="C4" s="83" t="s">
        <v>180</v>
      </c>
    </row>
    <row r="5" spans="2:5" x14ac:dyDescent="0.3">
      <c r="D5" s="160" t="s">
        <v>213</v>
      </c>
      <c r="E5" s="161"/>
    </row>
    <row r="6" spans="2:5" ht="15" customHeight="1" x14ac:dyDescent="0.3">
      <c r="C6" s="84" t="s">
        <v>181</v>
      </c>
      <c r="D6" s="162"/>
      <c r="E6" s="163"/>
    </row>
    <row r="7" spans="2:5" ht="15" customHeight="1" x14ac:dyDescent="0.3">
      <c r="B7" s="85" t="s">
        <v>169</v>
      </c>
      <c r="C7" s="81" t="s">
        <v>182</v>
      </c>
      <c r="D7" s="162"/>
      <c r="E7" s="163"/>
    </row>
    <row r="8" spans="2:5" ht="15" customHeight="1" x14ac:dyDescent="0.3">
      <c r="B8" s="108" t="s">
        <v>169</v>
      </c>
      <c r="C8" s="81" t="s">
        <v>183</v>
      </c>
      <c r="D8" s="162"/>
      <c r="E8" s="163"/>
    </row>
    <row r="9" spans="2:5" ht="15" customHeight="1" x14ac:dyDescent="0.3">
      <c r="B9" s="109" t="s">
        <v>169</v>
      </c>
      <c r="C9" s="81" t="s">
        <v>184</v>
      </c>
      <c r="D9" s="162"/>
      <c r="E9" s="163"/>
    </row>
    <row r="10" spans="2:5" ht="15" customHeight="1" x14ac:dyDescent="0.3">
      <c r="B10" s="110" t="s">
        <v>169</v>
      </c>
      <c r="C10" s="86" t="s">
        <v>185</v>
      </c>
      <c r="D10" s="164"/>
      <c r="E10" s="165"/>
    </row>
    <row r="12" spans="2:5" x14ac:dyDescent="0.3">
      <c r="C12" s="87" t="s">
        <v>187</v>
      </c>
    </row>
    <row r="13" spans="2:5" ht="60.75" customHeight="1" x14ac:dyDescent="0.3">
      <c r="C13" s="140" t="s">
        <v>204</v>
      </c>
    </row>
    <row r="14" spans="2:5" x14ac:dyDescent="0.3">
      <c r="C14" s="88"/>
    </row>
    <row r="15" spans="2:5" x14ac:dyDescent="0.3">
      <c r="C15" s="87" t="s">
        <v>199</v>
      </c>
    </row>
    <row r="16" spans="2:5" ht="86.4" x14ac:dyDescent="0.3">
      <c r="C16" s="140" t="s">
        <v>200</v>
      </c>
    </row>
    <row r="17" spans="3:3" x14ac:dyDescent="0.3">
      <c r="C17" s="88"/>
    </row>
    <row r="18" spans="3:3" x14ac:dyDescent="0.3">
      <c r="C18" s="87" t="s">
        <v>186</v>
      </c>
    </row>
    <row r="19" spans="3:3" ht="72" x14ac:dyDescent="0.3">
      <c r="C19" s="140" t="s">
        <v>203</v>
      </c>
    </row>
    <row r="20" spans="3:3" x14ac:dyDescent="0.3">
      <c r="C20" s="88"/>
    </row>
    <row r="21" spans="3:3" x14ac:dyDescent="0.3">
      <c r="C21" s="87" t="s">
        <v>201</v>
      </c>
    </row>
    <row r="22" spans="3:3" ht="57.6" x14ac:dyDescent="0.3">
      <c r="C22" s="140" t="s">
        <v>202</v>
      </c>
    </row>
    <row r="23" spans="3:3" x14ac:dyDescent="0.3">
      <c r="C23" s="88"/>
    </row>
    <row r="24" spans="3:3" x14ac:dyDescent="0.3">
      <c r="C24" s="87" t="s">
        <v>94</v>
      </c>
    </row>
    <row r="25" spans="3:3" ht="100.8" x14ac:dyDescent="0.3">
      <c r="C25" s="140" t="s">
        <v>337</v>
      </c>
    </row>
    <row r="26" spans="3:3" x14ac:dyDescent="0.3">
      <c r="C26" s="88"/>
    </row>
    <row r="27" spans="3:3" x14ac:dyDescent="0.3">
      <c r="C27" s="87" t="s">
        <v>188</v>
      </c>
    </row>
    <row r="28" spans="3:3" ht="86.4" x14ac:dyDescent="0.3">
      <c r="C28" s="140" t="s">
        <v>189</v>
      </c>
    </row>
    <row r="29" spans="3:3" x14ac:dyDescent="0.3">
      <c r="C29" s="88"/>
    </row>
    <row r="30" spans="3:3" x14ac:dyDescent="0.3">
      <c r="C30" s="87" t="s">
        <v>205</v>
      </c>
    </row>
    <row r="31" spans="3:3" ht="43.2" x14ac:dyDescent="0.3">
      <c r="C31" s="140" t="s">
        <v>206</v>
      </c>
    </row>
    <row r="32" spans="3:3" x14ac:dyDescent="0.3">
      <c r="C32" s="88"/>
    </row>
    <row r="33" spans="3:3" x14ac:dyDescent="0.3">
      <c r="C33" s="87" t="s">
        <v>212</v>
      </c>
    </row>
    <row r="34" spans="3:3" ht="31.5" customHeight="1" x14ac:dyDescent="0.3">
      <c r="C34" s="140" t="s">
        <v>207</v>
      </c>
    </row>
    <row r="35" spans="3:3" x14ac:dyDescent="0.3">
      <c r="C35" s="88"/>
    </row>
    <row r="36" spans="3:3" x14ac:dyDescent="0.3">
      <c r="C36" s="87" t="s">
        <v>190</v>
      </c>
    </row>
    <row r="37" spans="3:3" ht="86.4" x14ac:dyDescent="0.3">
      <c r="C37" s="140" t="s">
        <v>191</v>
      </c>
    </row>
    <row r="38" spans="3:3" x14ac:dyDescent="0.3">
      <c r="C38" s="88"/>
    </row>
    <row r="39" spans="3:3" x14ac:dyDescent="0.3">
      <c r="C39" s="87" t="s">
        <v>208</v>
      </c>
    </row>
    <row r="40" spans="3:3" ht="57.6" x14ac:dyDescent="0.3">
      <c r="C40" s="140" t="s">
        <v>209</v>
      </c>
    </row>
    <row r="41" spans="3:3" x14ac:dyDescent="0.3">
      <c r="C41" s="88"/>
    </row>
    <row r="42" spans="3:3" x14ac:dyDescent="0.3">
      <c r="C42" s="87" t="s">
        <v>326</v>
      </c>
    </row>
    <row r="43" spans="3:3" ht="60" customHeight="1" x14ac:dyDescent="0.3">
      <c r="C43" s="140" t="s">
        <v>338</v>
      </c>
    </row>
    <row r="44" spans="3:3" x14ac:dyDescent="0.3">
      <c r="C44" s="88"/>
    </row>
    <row r="46" spans="3:3" x14ac:dyDescent="0.3">
      <c r="C46" s="142" t="s">
        <v>192</v>
      </c>
    </row>
    <row r="47" spans="3:3" x14ac:dyDescent="0.3">
      <c r="C47" s="143" t="s">
        <v>193</v>
      </c>
    </row>
    <row r="48" spans="3:3" x14ac:dyDescent="0.3">
      <c r="C48" s="143" t="s">
        <v>194</v>
      </c>
    </row>
    <row r="49" spans="2:3" x14ac:dyDescent="0.3">
      <c r="C49" s="143" t="s">
        <v>195</v>
      </c>
    </row>
    <row r="50" spans="2:3" x14ac:dyDescent="0.3">
      <c r="B50" s="141"/>
      <c r="C50" s="144" t="s">
        <v>196</v>
      </c>
    </row>
    <row r="51" spans="2:3" x14ac:dyDescent="0.3">
      <c r="B51" s="141"/>
      <c r="C51" s="144" t="s">
        <v>197</v>
      </c>
    </row>
    <row r="52" spans="2:3" x14ac:dyDescent="0.3">
      <c r="C52" s="145" t="s">
        <v>339</v>
      </c>
    </row>
  </sheetData>
  <sheetProtection sheet="1" objects="1" scenarios="1"/>
  <mergeCells count="1">
    <mergeCell ref="D5:E10"/>
  </mergeCells>
  <hyperlinks>
    <hyperlink ref="C47" r:id="rId1" xr:uid="{00000000-0004-0000-0000-000000000000}"/>
    <hyperlink ref="C49" r:id="rId2" xr:uid="{00000000-0004-0000-0000-000001000000}"/>
    <hyperlink ref="C48" r:id="rId3" xr:uid="{00000000-0004-0000-0000-000002000000}"/>
    <hyperlink ref="C50" r:id="rId4" xr:uid="{00000000-0004-0000-0000-000003000000}"/>
    <hyperlink ref="C51" r:id="rId5" xr:uid="{00000000-0004-0000-0000-000004000000}"/>
    <hyperlink ref="C52" r:id="rId6" xr:uid="{00000000-0004-0000-0000-000005000000}"/>
  </hyperlinks>
  <pageMargins left="0.7" right="0.7" top="0.75" bottom="0.75" header="0.3" footer="0.3"/>
  <pageSetup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16385" r:id="rId10" name="Button 1">
              <controlPr defaultSize="0" print="0" autoFill="0" autoPict="0" macro="[0]!Add_MechanismRatio">
                <anchor moveWithCells="1" sizeWithCells="1">
                  <from>
                    <xdr:col>3</xdr:col>
                    <xdr:colOff>30480</xdr:colOff>
                    <xdr:row>11</xdr:row>
                    <xdr:rowOff>0</xdr:rowOff>
                  </from>
                  <to>
                    <xdr:col>5</xdr:col>
                    <xdr:colOff>0</xdr:colOff>
                    <xdr:row>14</xdr:row>
                    <xdr:rowOff>0</xdr:rowOff>
                  </to>
                </anchor>
              </controlPr>
            </control>
          </mc:Choice>
        </mc:AlternateContent>
        <mc:AlternateContent xmlns:mc="http://schemas.openxmlformats.org/markup-compatibility/2006">
          <mc:Choice Requires="x14">
            <control shapeId="16386" r:id="rId11" name="Button 2">
              <controlPr defaultSize="0" print="0" autoFill="0" autoPict="0" macro="[0]!Add_LeadScrew">
                <anchor moveWithCells="1" sizeWithCells="1">
                  <from>
                    <xdr:col>3</xdr:col>
                    <xdr:colOff>30480</xdr:colOff>
                    <xdr:row>15</xdr:row>
                    <xdr:rowOff>0</xdr:rowOff>
                  </from>
                  <to>
                    <xdr:col>5</xdr:col>
                    <xdr:colOff>0</xdr:colOff>
                    <xdr:row>17</xdr:row>
                    <xdr:rowOff>0</xdr:rowOff>
                  </to>
                </anchor>
              </controlPr>
            </control>
          </mc:Choice>
        </mc:AlternateContent>
        <mc:AlternateContent xmlns:mc="http://schemas.openxmlformats.org/markup-compatibility/2006">
          <mc:Choice Requires="x14">
            <control shapeId="16387" r:id="rId12" name="Button 3">
              <controlPr defaultSize="0" print="0" autoFill="0" autoPict="0" macro="[0]!Add_Drivetrain">
                <anchor moveWithCells="1" sizeWithCells="1">
                  <from>
                    <xdr:col>3</xdr:col>
                    <xdr:colOff>30480</xdr:colOff>
                    <xdr:row>18</xdr:row>
                    <xdr:rowOff>0</xdr:rowOff>
                  </from>
                  <to>
                    <xdr:col>5</xdr:col>
                    <xdr:colOff>0</xdr:colOff>
                    <xdr:row>20</xdr:row>
                    <xdr:rowOff>0</xdr:rowOff>
                  </to>
                </anchor>
              </controlPr>
            </control>
          </mc:Choice>
        </mc:AlternateContent>
        <mc:AlternateContent xmlns:mc="http://schemas.openxmlformats.org/markup-compatibility/2006">
          <mc:Choice Requires="x14">
            <control shapeId="16388" r:id="rId13" name="Button 4">
              <controlPr defaultSize="0" print="0" autoFill="0" autoPict="0" macro="[0]!Add_BeamBend">
                <anchor moveWithCells="1" sizeWithCells="1">
                  <from>
                    <xdr:col>3</xdr:col>
                    <xdr:colOff>30480</xdr:colOff>
                    <xdr:row>21</xdr:row>
                    <xdr:rowOff>0</xdr:rowOff>
                  </from>
                  <to>
                    <xdr:col>5</xdr:col>
                    <xdr:colOff>0</xdr:colOff>
                    <xdr:row>23</xdr:row>
                    <xdr:rowOff>0</xdr:rowOff>
                  </to>
                </anchor>
              </controlPr>
            </control>
          </mc:Choice>
        </mc:AlternateContent>
        <mc:AlternateContent xmlns:mc="http://schemas.openxmlformats.org/markup-compatibility/2006">
          <mc:Choice Requires="x14">
            <control shapeId="16389" r:id="rId14" name="Button 5">
              <controlPr defaultSize="0" print="0" autoFill="0" autoPict="0" macro="[0]!Add_Projectile">
                <anchor moveWithCells="1" sizeWithCells="1">
                  <from>
                    <xdr:col>3</xdr:col>
                    <xdr:colOff>30480</xdr:colOff>
                    <xdr:row>24</xdr:row>
                    <xdr:rowOff>0</xdr:rowOff>
                  </from>
                  <to>
                    <xdr:col>5</xdr:col>
                    <xdr:colOff>0</xdr:colOff>
                    <xdr:row>26</xdr:row>
                    <xdr:rowOff>0</xdr:rowOff>
                  </to>
                </anchor>
              </controlPr>
            </control>
          </mc:Choice>
        </mc:AlternateContent>
        <mc:AlternateContent xmlns:mc="http://schemas.openxmlformats.org/markup-compatibility/2006">
          <mc:Choice Requires="x14">
            <control shapeId="16390" r:id="rId15" name="Button 6">
              <controlPr defaultSize="0" print="0" autoFill="0" autoPict="0" macro="[0]!Add_ChainBelt">
                <anchor moveWithCells="1" sizeWithCells="1">
                  <from>
                    <xdr:col>3</xdr:col>
                    <xdr:colOff>30480</xdr:colOff>
                    <xdr:row>27</xdr:row>
                    <xdr:rowOff>0</xdr:rowOff>
                  </from>
                  <to>
                    <xdr:col>5</xdr:col>
                    <xdr:colOff>0</xdr:colOff>
                    <xdr:row>29</xdr:row>
                    <xdr:rowOff>0</xdr:rowOff>
                  </to>
                </anchor>
              </controlPr>
            </control>
          </mc:Choice>
        </mc:AlternateContent>
        <mc:AlternateContent xmlns:mc="http://schemas.openxmlformats.org/markup-compatibility/2006">
          <mc:Choice Requires="x14">
            <control shapeId="16391" r:id="rId16" name="Button 7">
              <controlPr defaultSize="0" print="0" autoFill="0" autoPict="0" macro="[0]!Add_GearClear">
                <anchor moveWithCells="1" sizeWithCells="1">
                  <from>
                    <xdr:col>3</xdr:col>
                    <xdr:colOff>30480</xdr:colOff>
                    <xdr:row>30</xdr:row>
                    <xdr:rowOff>0</xdr:rowOff>
                  </from>
                  <to>
                    <xdr:col>5</xdr:col>
                    <xdr:colOff>0</xdr:colOff>
                    <xdr:row>32</xdr:row>
                    <xdr:rowOff>0</xdr:rowOff>
                  </to>
                </anchor>
              </controlPr>
            </control>
          </mc:Choice>
        </mc:AlternateContent>
        <mc:AlternateContent xmlns:mc="http://schemas.openxmlformats.org/markup-compatibility/2006">
          <mc:Choice Requires="x14">
            <control shapeId="16392" r:id="rId17" name="Button 8">
              <controlPr defaultSize="0" print="0" autoFill="0" autoPict="0" macro="[0]!Add_RatioDist">
                <anchor moveWithCells="1" sizeWithCells="1">
                  <from>
                    <xdr:col>3</xdr:col>
                    <xdr:colOff>30480</xdr:colOff>
                    <xdr:row>33</xdr:row>
                    <xdr:rowOff>0</xdr:rowOff>
                  </from>
                  <to>
                    <xdr:col>5</xdr:col>
                    <xdr:colOff>0</xdr:colOff>
                    <xdr:row>35</xdr:row>
                    <xdr:rowOff>0</xdr:rowOff>
                  </to>
                </anchor>
              </controlPr>
            </control>
          </mc:Choice>
        </mc:AlternateContent>
        <mc:AlternateContent xmlns:mc="http://schemas.openxmlformats.org/markup-compatibility/2006">
          <mc:Choice Requires="x14">
            <control shapeId="16393" r:id="rId18" name="Button 9">
              <controlPr defaultSize="0" print="0" autoFill="0" autoPict="0" macro="[0]!Add_Pneumatics">
                <anchor moveWithCells="1" sizeWithCells="1">
                  <from>
                    <xdr:col>3</xdr:col>
                    <xdr:colOff>30480</xdr:colOff>
                    <xdr:row>36</xdr:row>
                    <xdr:rowOff>0</xdr:rowOff>
                  </from>
                  <to>
                    <xdr:col>5</xdr:col>
                    <xdr:colOff>0</xdr:colOff>
                    <xdr:row>38</xdr:row>
                    <xdr:rowOff>0</xdr:rowOff>
                  </to>
                </anchor>
              </controlPr>
            </control>
          </mc:Choice>
        </mc:AlternateContent>
        <mc:AlternateContent xmlns:mc="http://schemas.openxmlformats.org/markup-compatibility/2006">
          <mc:Choice Requires="x14">
            <control shapeId="16394" r:id="rId19" name="Button 10">
              <controlPr defaultSize="0" print="0" autoFill="0" autoPict="0" macro="[0]!Add_PneuLinkage">
                <anchor moveWithCells="1" sizeWithCells="1">
                  <from>
                    <xdr:col>3</xdr:col>
                    <xdr:colOff>30480</xdr:colOff>
                    <xdr:row>39</xdr:row>
                    <xdr:rowOff>0</xdr:rowOff>
                  </from>
                  <to>
                    <xdr:col>5</xdr:col>
                    <xdr:colOff>0</xdr:colOff>
                    <xdr:row>41</xdr:row>
                    <xdr:rowOff>0</xdr:rowOff>
                  </to>
                </anchor>
              </controlPr>
            </control>
          </mc:Choice>
        </mc:AlternateContent>
        <mc:AlternateContent xmlns:mc="http://schemas.openxmlformats.org/markup-compatibility/2006">
          <mc:Choice Requires="x14">
            <control shapeId="16395" r:id="rId20" name="Button 11">
              <controlPr defaultSize="0" print="0" autoFill="0" autoPict="0" macro="[0]!Add_All">
                <anchor moveWithCells="1" sizeWithCells="1">
                  <from>
                    <xdr:col>5</xdr:col>
                    <xdr:colOff>121920</xdr:colOff>
                    <xdr:row>5</xdr:row>
                    <xdr:rowOff>182880</xdr:rowOff>
                  </from>
                  <to>
                    <xdr:col>7</xdr:col>
                    <xdr:colOff>518160</xdr:colOff>
                    <xdr:row>9</xdr:row>
                    <xdr:rowOff>182880</xdr:rowOff>
                  </to>
                </anchor>
              </controlPr>
            </control>
          </mc:Choice>
        </mc:AlternateContent>
        <mc:AlternateContent xmlns:mc="http://schemas.openxmlformats.org/markup-compatibility/2006">
          <mc:Choice Requires="x14">
            <control shapeId="16396" r:id="rId21" name="Button 12">
              <controlPr defaultSize="0" print="0" autoFill="0" autoPict="0" macro="[0]!Add_VersaPlanetary">
                <anchor moveWithCells="1" sizeWithCells="1">
                  <from>
                    <xdr:col>3</xdr:col>
                    <xdr:colOff>30480</xdr:colOff>
                    <xdr:row>42</xdr:row>
                    <xdr:rowOff>0</xdr:rowOff>
                  </from>
                  <to>
                    <xdr:col>5</xdr:col>
                    <xdr:colOff>0</xdr:colOff>
                    <xdr:row>44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B2:P27"/>
  <sheetViews>
    <sheetView zoomScaleNormal="100" workbookViewId="0"/>
  </sheetViews>
  <sheetFormatPr defaultColWidth="9.109375" defaultRowHeight="14.4" x14ac:dyDescent="0.3"/>
  <cols>
    <col min="1" max="1" width="7.109375" style="1" customWidth="1"/>
    <col min="2" max="2" width="3.33203125" style="1" customWidth="1"/>
    <col min="3" max="3" width="19.44140625" style="1" customWidth="1"/>
    <col min="4" max="4" width="9.109375" style="1" customWidth="1"/>
    <col min="5" max="6" width="9.109375" style="1"/>
    <col min="7" max="7" width="22" style="1" customWidth="1"/>
    <col min="8" max="15" width="11.44140625" style="1" customWidth="1"/>
    <col min="16" max="16" width="12" style="1" customWidth="1"/>
    <col min="17" max="16384" width="9.109375" style="1"/>
  </cols>
  <sheetData>
    <row r="2" spans="2:16" ht="31.2" x14ac:dyDescent="0.3">
      <c r="C2" s="2" t="s">
        <v>198</v>
      </c>
    </row>
    <row r="4" spans="2:16" x14ac:dyDescent="0.3">
      <c r="B4" s="8" t="b">
        <v>0</v>
      </c>
      <c r="C4" s="1" t="s">
        <v>0</v>
      </c>
    </row>
    <row r="6" spans="2:16" x14ac:dyDescent="0.3">
      <c r="C6" s="175" t="s">
        <v>6</v>
      </c>
      <c r="D6" s="176"/>
      <c r="E6" s="22" t="s">
        <v>30</v>
      </c>
      <c r="G6" s="92"/>
      <c r="H6" s="93" t="s">
        <v>39</v>
      </c>
      <c r="I6" s="93" t="s">
        <v>40</v>
      </c>
      <c r="J6" s="93" t="s">
        <v>41</v>
      </c>
      <c r="K6" s="93" t="s">
        <v>42</v>
      </c>
      <c r="L6" s="93" t="s">
        <v>43</v>
      </c>
      <c r="M6" s="93" t="s">
        <v>44</v>
      </c>
      <c r="N6" s="93" t="s">
        <v>45</v>
      </c>
      <c r="O6" s="93" t="s">
        <v>46</v>
      </c>
      <c r="P6" s="93" t="s">
        <v>47</v>
      </c>
    </row>
    <row r="7" spans="2:16" x14ac:dyDescent="0.3">
      <c r="C7" s="24" t="s">
        <v>1</v>
      </c>
      <c r="D7" s="25">
        <f>VLOOKUP($C$6, MotorSpecs, 2, FALSE)</f>
        <v>5330</v>
      </c>
      <c r="E7" s="26">
        <f>D7*(D14/12)</f>
        <v>4885.833333333333</v>
      </c>
      <c r="G7" s="94" t="s">
        <v>34</v>
      </c>
      <c r="H7" s="95">
        <f>I17</f>
        <v>20</v>
      </c>
      <c r="I7" s="95">
        <f>$E$17*I13*IF($B$4, 2.205, 1)/$E$8*0.113</f>
        <v>11.278687287815917</v>
      </c>
      <c r="J7" s="95">
        <f>$E$17*$E$18/8.8507/((SQRT($E$9)*$E$8)/(SQRT($E$10)+SQRT($E$9)))</f>
        <v>44.914526214849644</v>
      </c>
      <c r="K7" s="95">
        <f>$E$17*K13*IF($B$4, 2.205, 1)/$E$8*0.113</f>
        <v>5.6393436439079583</v>
      </c>
      <c r="L7" s="95">
        <f>($E$7*$E$8+SQRT(($E$7*$E$8)^2-27.119*$E$18*$E$17*L9*$E$7*$E$8))/(120*L9*$E$8)</f>
        <v>75.335154890959018</v>
      </c>
      <c r="M7" s="95">
        <f>($E$7*$E$8+SQRT(($E$7*$E$8)^2-27.119*$E$18*$E$17*M9*$E$7*$E$8))/(120*M9*$E$8)</f>
        <v>35.948632261633549</v>
      </c>
      <c r="N7" s="95">
        <f>($E$10-$E$9)/$E$8*$E$17*$E$18/$D$13/0.2248/39.37/(N12-$E$9/$D$13)</f>
        <v>24.093459457162297</v>
      </c>
      <c r="O7" s="95">
        <f>$E$17*O13*IF($B$4, 2.205, 1)/$E$8*0.113</f>
        <v>19.181440965673325</v>
      </c>
      <c r="P7" s="95">
        <f>12*0.113*$E$17*$E$18/($D$15*$D$8*$D$13*P14)</f>
        <v>6.2032780082987529</v>
      </c>
    </row>
    <row r="8" spans="2:16" x14ac:dyDescent="0.3">
      <c r="C8" s="30" t="s">
        <v>2</v>
      </c>
      <c r="D8" s="31">
        <f>VLOOKUP($C$6, MotorSpecs, 3, FALSE)</f>
        <v>2.41</v>
      </c>
      <c r="E8" s="32">
        <f>D8*D13*(D14/12)*D15</f>
        <v>3.5346666666666664</v>
      </c>
      <c r="G8" s="66" t="s">
        <v>35</v>
      </c>
      <c r="H8" s="96">
        <f t="shared" ref="H8:P8" si="0">$E$7/H7/60</f>
        <v>4.0715277777777779</v>
      </c>
      <c r="I8" s="96">
        <f t="shared" si="0"/>
        <v>7.2198610953176212</v>
      </c>
      <c r="J8" s="96">
        <f t="shared" si="0"/>
        <v>1.8130115670380369</v>
      </c>
      <c r="K8" s="96">
        <f t="shared" si="0"/>
        <v>14.439722190635242</v>
      </c>
      <c r="L8" s="96">
        <f t="shared" si="0"/>
        <v>1.0809104417906765</v>
      </c>
      <c r="M8" s="96">
        <f t="shared" si="0"/>
        <v>2.2651920374301118</v>
      </c>
      <c r="N8" s="96">
        <f t="shared" si="0"/>
        <v>3.3797784705985245</v>
      </c>
      <c r="O8" s="96">
        <f t="shared" si="0"/>
        <v>4.2452783240467618</v>
      </c>
      <c r="P8" s="96">
        <f t="shared" si="0"/>
        <v>13.127020173304768</v>
      </c>
    </row>
    <row r="9" spans="2:16" x14ac:dyDescent="0.3">
      <c r="C9" s="30" t="s">
        <v>3</v>
      </c>
      <c r="D9" s="33">
        <f>VLOOKUP($C$6, MotorSpecs, 4, FALSE)</f>
        <v>2.7</v>
      </c>
      <c r="E9" s="34">
        <f>D9*D13*(D14/12)</f>
        <v>4.95</v>
      </c>
      <c r="G9" s="66" t="s">
        <v>36</v>
      </c>
      <c r="H9" s="97">
        <f>H8*(1-$D$18/H13)</f>
        <v>2.9235967328939667</v>
      </c>
      <c r="I9" s="97">
        <f t="shared" ref="I9:K9" si="1">I8*(1-$D$18/I13)</f>
        <v>3.6099305476588106</v>
      </c>
      <c r="J9" s="97">
        <f t="shared" si="1"/>
        <v>1.5853959025627293</v>
      </c>
      <c r="K9" s="97">
        <f t="shared" si="1"/>
        <v>0</v>
      </c>
      <c r="L9" s="9">
        <v>1</v>
      </c>
      <c r="M9" s="97">
        <f>M11*IF($B$4, 3.281, 1)/$E$17/2/PI()*12</f>
        <v>1.909859317102744</v>
      </c>
      <c r="N9" s="97">
        <f>N8*(1-$D$18/N13)</f>
        <v>2.588776678747966</v>
      </c>
      <c r="O9" s="97">
        <f>O8*(1-$D$18/O13)</f>
        <v>2.9971664967770137</v>
      </c>
      <c r="P9" s="97">
        <f>P8*(1-$D$18/P13)</f>
        <v>1.1944690880851982</v>
      </c>
    </row>
    <row r="10" spans="2:16" x14ac:dyDescent="0.3">
      <c r="C10" s="30" t="s">
        <v>4</v>
      </c>
      <c r="D10" s="35">
        <f>VLOOKUP($C$6, MotorSpecs, 5, FALSE)</f>
        <v>131</v>
      </c>
      <c r="E10" s="36">
        <f>D10*D13*(D14/12)</f>
        <v>240.16666666666666</v>
      </c>
      <c r="G10" s="66" t="str">
        <f>"Free Lin. Speed (" &amp; IF($B$4, "m", "ft") &amp; "/s)"</f>
        <v>Free Lin. Speed (ft/s)</v>
      </c>
      <c r="H10" s="97">
        <f>H8*2*PI()*$E$17/12/IF($B$4, 3.281, 1)</f>
        <v>4.2636939185178129</v>
      </c>
      <c r="I10" s="97">
        <f t="shared" ref="I10:L10" si="2">I8*2*PI()*$E$17/12/IF($B$4, 3.281, 1)</f>
        <v>7.5606208589961961</v>
      </c>
      <c r="J10" s="97">
        <f t="shared" si="2"/>
        <v>1.898581273293338</v>
      </c>
      <c r="K10" s="97">
        <f t="shared" si="2"/>
        <v>15.121241717992392</v>
      </c>
      <c r="L10" s="97">
        <f t="shared" si="2"/>
        <v>1.1319267677060285</v>
      </c>
      <c r="M10" s="97">
        <f t="shared" ref="M10" si="3">M8*2*PI()*$D$17/12/IF($B$4, 3.281, 1)</f>
        <v>2.3721035545868441</v>
      </c>
      <c r="N10" s="97">
        <f t="shared" ref="N10:P11" si="4">N8*2*PI()*$E$17/12/IF($B$4, 3.281, 1)</f>
        <v>3.5392957379977559</v>
      </c>
      <c r="O10" s="97">
        <f t="shared" si="4"/>
        <v>4.4456450650897636</v>
      </c>
      <c r="P10" s="97">
        <f t="shared" si="4"/>
        <v>13.746583379993085</v>
      </c>
    </row>
    <row r="11" spans="2:16" x14ac:dyDescent="0.3">
      <c r="C11" s="37" t="s">
        <v>5</v>
      </c>
      <c r="D11" s="38">
        <f>VLOOKUP($C$6, MotorSpecs, 6, FALSE)</f>
        <v>336.28916760964142</v>
      </c>
      <c r="E11" s="39">
        <f>(E7/60*2*PI())*E8/4</f>
        <v>452.12210311962895</v>
      </c>
      <c r="G11" s="66" t="str">
        <f>"Loaded Lin. Speed (" &amp; IF($B$4, "m", "ft") &amp; "/s)"</f>
        <v>Loaded Lin. Speed (ft/s)</v>
      </c>
      <c r="H11" s="97">
        <f>H9*2*PI()*$E$17/12/IF($B$4, 3.281, 1)</f>
        <v>3.0615833393729344</v>
      </c>
      <c r="I11" s="97">
        <f t="shared" ref="I11:L11" si="5">I9*2*PI()*$E$17/12/IF($B$4, 3.281, 1)</f>
        <v>3.780310429498098</v>
      </c>
      <c r="J11" s="97">
        <f t="shared" si="5"/>
        <v>1.6602227068408093</v>
      </c>
      <c r="K11" s="97">
        <f t="shared" si="5"/>
        <v>0</v>
      </c>
      <c r="L11" s="97">
        <f t="shared" si="5"/>
        <v>1.0471975511965974</v>
      </c>
      <c r="M11" s="9">
        <v>1.9999999999999996</v>
      </c>
      <c r="N11" s="97">
        <f t="shared" si="4"/>
        <v>2.7109605985797303</v>
      </c>
      <c r="O11" s="97">
        <f t="shared" si="4"/>
        <v>3.1386254159533729</v>
      </c>
      <c r="P11" s="97">
        <f t="shared" si="4"/>
        <v>1.2508451040228523</v>
      </c>
    </row>
    <row r="12" spans="2:16" x14ac:dyDescent="0.3">
      <c r="G12" s="66" t="s">
        <v>37</v>
      </c>
      <c r="H12" s="77">
        <f t="shared" ref="H12:M12" si="6">($E$10-$E$9)/$E$8*$E$17*$E$18/H7/$D$13/0.2248/39.37 + $E$9/$D$13</f>
        <v>35.633623577919614</v>
      </c>
      <c r="I12" s="77">
        <f t="shared" si="6"/>
        <v>61.273728489866095</v>
      </c>
      <c r="J12" s="77">
        <f t="shared" si="6"/>
        <v>17.240211334660238</v>
      </c>
      <c r="K12" s="77">
        <f t="shared" si="6"/>
        <v>120.07245697973218</v>
      </c>
      <c r="L12" s="77">
        <f t="shared" si="6"/>
        <v>11.277961545884864</v>
      </c>
      <c r="M12" s="77">
        <f t="shared" si="6"/>
        <v>20.922780342012295</v>
      </c>
      <c r="N12" s="10">
        <v>30</v>
      </c>
      <c r="O12" s="77">
        <f t="shared" ref="O12:P12" si="7">($E$10-$E$9)/$E$8*$E$17*$E$18/O7/$D$13/0.2248/39.37 + $E$9/$D$13</f>
        <v>37.048652352041266</v>
      </c>
      <c r="P12" s="77">
        <f t="shared" si="7"/>
        <v>109.38177907248382</v>
      </c>
    </row>
    <row r="13" spans="2:16" x14ac:dyDescent="0.3">
      <c r="C13" s="41" t="s">
        <v>31</v>
      </c>
      <c r="D13" s="11">
        <v>2</v>
      </c>
      <c r="G13" s="66" t="str">
        <f>"Stall Load (" &amp; IF($B$4, "kgf", "lbf") &amp; ")"</f>
        <v>Stall Load (lbf)</v>
      </c>
      <c r="H13" s="98">
        <f>$E$8*H7*39.37*0.2248/$E$17/IF($B$4, 2.205, 1)</f>
        <v>312.83129034666672</v>
      </c>
      <c r="I13" s="98">
        <f>2*D18</f>
        <v>176.4</v>
      </c>
      <c r="J13" s="98">
        <f>$E$8*J7*39.37*0.2248/$E$17/IF($B$4, 2.205, 1)</f>
        <v>702.53345955503016</v>
      </c>
      <c r="K13" s="98">
        <f>D18</f>
        <v>88.2</v>
      </c>
      <c r="L13" s="98">
        <f>$E$8*L7*39.37*0.2248/$E$17/IF($B$4, 2.205, 1)</f>
        <v>1178.3596856502354</v>
      </c>
      <c r="M13" s="98">
        <f>$E$8*M7*39.37*0.2248/$E$17/IF($B$4, 2.205, 1)</f>
        <v>562.29285083023171</v>
      </c>
      <c r="N13" s="98">
        <f>$E$8*N7*39.37*0.2248/$E$17/IF($B$4, 2.205, 1)</f>
        <v>376.8594005449591</v>
      </c>
      <c r="O13" s="12">
        <v>300</v>
      </c>
      <c r="P13" s="98">
        <f>$E$8*P7*39.37*0.2248/$E$17/IF($B$4, 2.205, 1)</f>
        <v>97.028973185759966</v>
      </c>
    </row>
    <row r="14" spans="2:16" x14ac:dyDescent="0.3">
      <c r="C14" s="41" t="s">
        <v>32</v>
      </c>
      <c r="D14" s="11">
        <v>11</v>
      </c>
      <c r="G14" s="67" t="s">
        <v>38</v>
      </c>
      <c r="H14" s="99">
        <f t="shared" ref="H14:O14" si="8">12*0.113*$E$17*$E$18/($D$15*$D$8*$D$13*H7)</f>
        <v>3.1016390041493764</v>
      </c>
      <c r="I14" s="99">
        <f t="shared" si="8"/>
        <v>5.4999999999999991</v>
      </c>
      <c r="J14" s="99">
        <f t="shared" si="8"/>
        <v>1.3811295656610589</v>
      </c>
      <c r="K14" s="99">
        <f t="shared" si="8"/>
        <v>10.999999999999998</v>
      </c>
      <c r="L14" s="99">
        <f t="shared" si="8"/>
        <v>0.82342407303435561</v>
      </c>
      <c r="M14" s="99">
        <f t="shared" si="8"/>
        <v>1.7255949998740978</v>
      </c>
      <c r="N14" s="99">
        <f t="shared" ref="N14" si="9">12*0.113*$E$17*$E$18/($D$15*$D$8*$D$13*N7)</f>
        <v>2.5746730224972723</v>
      </c>
      <c r="O14" s="99">
        <f t="shared" si="8"/>
        <v>3.234</v>
      </c>
      <c r="P14" s="13">
        <v>10</v>
      </c>
    </row>
    <row r="15" spans="2:16" x14ac:dyDescent="0.3">
      <c r="C15" s="41" t="s">
        <v>33</v>
      </c>
      <c r="D15" s="14">
        <v>0.8</v>
      </c>
    </row>
    <row r="17" spans="3:15" x14ac:dyDescent="0.3">
      <c r="C17" s="41" t="str">
        <f>"Radius (" &amp; IF($B$4, "mm", "in") &amp; ")"</f>
        <v>Radius (in)</v>
      </c>
      <c r="D17" s="15">
        <v>1.9999999999999993</v>
      </c>
      <c r="E17" s="3">
        <f>D17/IF($B$4, 25.4, 1)</f>
        <v>1.9999999999999993</v>
      </c>
      <c r="H17" s="22" t="s">
        <v>48</v>
      </c>
      <c r="I17" s="100">
        <f>IF(PRODUCT(I18:I21)&gt;0,PRODUCT(I18:I21),1)/IF(PRODUCT(H18:H21)&gt;0,PRODUCT(H18:H21), 1)</f>
        <v>20</v>
      </c>
    </row>
    <row r="18" spans="3:15" x14ac:dyDescent="0.3">
      <c r="C18" s="41" t="str">
        <f>"Load (" &amp; IF($B$4, "kgf", "lbf") &amp; ")"</f>
        <v>Load (lbf)</v>
      </c>
      <c r="D18" s="16">
        <v>88.2</v>
      </c>
      <c r="E18" s="3">
        <f>D18*IF($B$4, 2.205, 1)</f>
        <v>88.2</v>
      </c>
      <c r="H18" s="17"/>
      <c r="I18" s="18">
        <v>6</v>
      </c>
    </row>
    <row r="19" spans="3:15" x14ac:dyDescent="0.3">
      <c r="H19" s="17">
        <v>18</v>
      </c>
      <c r="I19" s="18">
        <v>60</v>
      </c>
    </row>
    <row r="20" spans="3:15" x14ac:dyDescent="0.3">
      <c r="H20" s="17"/>
      <c r="I20" s="18"/>
    </row>
    <row r="21" spans="3:15" x14ac:dyDescent="0.3">
      <c r="H21" s="17"/>
      <c r="I21" s="18"/>
    </row>
    <row r="23" spans="3:15" ht="15" thickBot="1" x14ac:dyDescent="0.35"/>
    <row r="24" spans="3:15" ht="18.75" customHeight="1" x14ac:dyDescent="0.3">
      <c r="D24" s="169" t="s">
        <v>49</v>
      </c>
      <c r="E24" s="170"/>
      <c r="F24" s="170"/>
      <c r="G24" s="170"/>
      <c r="H24" s="170"/>
      <c r="I24" s="170"/>
      <c r="J24" s="170"/>
      <c r="K24" s="170"/>
      <c r="L24" s="170"/>
      <c r="M24" s="170"/>
      <c r="N24" s="170"/>
      <c r="O24" s="171"/>
    </row>
    <row r="25" spans="3:15" ht="75" customHeight="1" x14ac:dyDescent="0.3">
      <c r="D25" s="172" t="s">
        <v>50</v>
      </c>
      <c r="E25" s="173"/>
      <c r="F25" s="173"/>
      <c r="G25" s="173"/>
      <c r="H25" s="173"/>
      <c r="I25" s="173"/>
      <c r="J25" s="173"/>
      <c r="K25" s="173"/>
      <c r="L25" s="173"/>
      <c r="M25" s="173"/>
      <c r="N25" s="173"/>
      <c r="O25" s="174"/>
    </row>
    <row r="26" spans="3:15" ht="72" customHeight="1" x14ac:dyDescent="0.3">
      <c r="D26" s="172" t="s">
        <v>51</v>
      </c>
      <c r="E26" s="173"/>
      <c r="F26" s="173"/>
      <c r="G26" s="173"/>
      <c r="H26" s="173"/>
      <c r="I26" s="173"/>
      <c r="J26" s="173"/>
      <c r="K26" s="173"/>
      <c r="L26" s="173"/>
      <c r="M26" s="173"/>
      <c r="N26" s="173"/>
      <c r="O26" s="174"/>
    </row>
    <row r="27" spans="3:15" ht="73.5" customHeight="1" thickBot="1" x14ac:dyDescent="0.35">
      <c r="D27" s="166" t="s">
        <v>52</v>
      </c>
      <c r="E27" s="167"/>
      <c r="F27" s="167"/>
      <c r="G27" s="167"/>
      <c r="H27" s="167"/>
      <c r="I27" s="167"/>
      <c r="J27" s="167"/>
      <c r="K27" s="167"/>
      <c r="L27" s="167"/>
      <c r="M27" s="167"/>
      <c r="N27" s="167"/>
      <c r="O27" s="168"/>
    </row>
  </sheetData>
  <sheetProtection sheet="1" objects="1" scenarios="1" formatCells="0" formatColumns="0" formatRows="0"/>
  <dataConsolidate/>
  <mergeCells count="5">
    <mergeCell ref="D27:O27"/>
    <mergeCell ref="D24:O24"/>
    <mergeCell ref="D25:O25"/>
    <mergeCell ref="D26:O26"/>
    <mergeCell ref="C6:D6"/>
  </mergeCells>
  <conditionalFormatting sqref="P14 O13 N12 M11 L9 D13:D15 D17:D18">
    <cfRule type="containsBlanks" dxfId="82" priority="26">
      <formula>LEN(TRIM(D9))=0</formula>
    </cfRule>
  </conditionalFormatting>
  <conditionalFormatting sqref="H18:I21">
    <cfRule type="expression" dxfId="81" priority="18">
      <formula>$I$17=1</formula>
    </cfRule>
  </conditionalFormatting>
  <conditionalFormatting sqref="D14">
    <cfRule type="cellIs" dxfId="80" priority="17" operator="greaterThan">
      <formula>12</formula>
    </cfRule>
  </conditionalFormatting>
  <conditionalFormatting sqref="P14">
    <cfRule type="cellIs" dxfId="79" priority="16" operator="greaterThan">
      <formula>$D$14</formula>
    </cfRule>
  </conditionalFormatting>
  <conditionalFormatting sqref="D15">
    <cfRule type="cellIs" dxfId="78" priority="15" operator="greaterThan">
      <formula>1</formula>
    </cfRule>
  </conditionalFormatting>
  <conditionalFormatting sqref="D13:D15 D17:D18 L9 M11 N12 O13 P14">
    <cfRule type="cellIs" dxfId="77" priority="14" operator="lessThanOrEqual">
      <formula>0</formula>
    </cfRule>
  </conditionalFormatting>
  <conditionalFormatting sqref="D13:D15 D17:D18 H18:I21 L9 M11 N12 O13 P14">
    <cfRule type="expression" dxfId="76" priority="8">
      <formula>ISTEXT(D9)</formula>
    </cfRule>
  </conditionalFormatting>
  <conditionalFormatting sqref="P7:P13">
    <cfRule type="expression" dxfId="75" priority="7">
      <formula>ISERROR($P$7)</formula>
    </cfRule>
  </conditionalFormatting>
  <conditionalFormatting sqref="O7:O12 O14">
    <cfRule type="expression" dxfId="74" priority="6">
      <formula>ISERROR($O$8)</formula>
    </cfRule>
  </conditionalFormatting>
  <conditionalFormatting sqref="N7:N11 N13:N14">
    <cfRule type="expression" dxfId="73" priority="4">
      <formula>$N$9&lt;0</formula>
    </cfRule>
  </conditionalFormatting>
  <conditionalFormatting sqref="M7:M10 M12:M14">
    <cfRule type="expression" dxfId="72" priority="3">
      <formula>ISERROR($M$7)</formula>
    </cfRule>
  </conditionalFormatting>
  <conditionalFormatting sqref="L7:L8 L10:L14">
    <cfRule type="expression" dxfId="71" priority="2">
      <formula>ISERROR($L$7)</formula>
    </cfRule>
  </conditionalFormatting>
  <conditionalFormatting sqref="H7:H14">
    <cfRule type="expression" dxfId="70" priority="1">
      <formula>$H$9&lt;=0</formula>
    </cfRule>
  </conditionalFormatting>
  <dataValidations count="1">
    <dataValidation type="list" allowBlank="1" showErrorMessage="1" errorTitle="Error" error="Not a valid motor." sqref="C6:D6" xr:uid="{00000000-0002-0000-0100-000000000000}">
      <formula1>Motors</formula1>
    </dataValidation>
  </dataValidations>
  <pageMargins left="0.7" right="0.7" top="0.75" bottom="0.75" header="0.3" footer="0.3"/>
  <pageSetup orientation="portrait" r:id="rId1"/>
  <ignoredErrors>
    <ignoredError sqref="I13 K13 M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Metric">
              <controlPr locked="0" defaultSize="0" autoFill="0" autoLine="0" autoPict="0" macro="[0]!MechanismRatio_Metric">
                <anchor moveWithCells="1">
                  <from>
                    <xdr:col>1</xdr:col>
                    <xdr:colOff>0</xdr:colOff>
                    <xdr:row>2</xdr:row>
                    <xdr:rowOff>182880</xdr:rowOff>
                  </from>
                  <to>
                    <xdr:col>2</xdr:col>
                    <xdr:colOff>7620</xdr:colOff>
                    <xdr:row>4</xdr:row>
                    <xdr:rowOff>7620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2:J23"/>
  <sheetViews>
    <sheetView zoomScaleNormal="100" workbookViewId="0"/>
  </sheetViews>
  <sheetFormatPr defaultColWidth="9.109375" defaultRowHeight="14.4" x14ac:dyDescent="0.3"/>
  <cols>
    <col min="1" max="1" width="7.109375" style="1" customWidth="1"/>
    <col min="2" max="2" width="3.33203125" style="1" customWidth="1"/>
    <col min="3" max="3" width="19.44140625" style="1" customWidth="1"/>
    <col min="4" max="4" width="9.109375" style="1" customWidth="1"/>
    <col min="5" max="6" width="9.109375" style="1"/>
    <col min="7" max="7" width="22.6640625" style="1" customWidth="1"/>
    <col min="8" max="16384" width="9.109375" style="1"/>
  </cols>
  <sheetData>
    <row r="2" spans="2:10" ht="31.2" x14ac:dyDescent="0.3">
      <c r="C2" s="2" t="s">
        <v>53</v>
      </c>
    </row>
    <row r="4" spans="2:10" x14ac:dyDescent="0.3">
      <c r="B4" s="8" t="b">
        <v>0</v>
      </c>
      <c r="C4" s="1" t="s">
        <v>0</v>
      </c>
    </row>
    <row r="6" spans="2:10" x14ac:dyDescent="0.3">
      <c r="C6" s="101" t="str">
        <f>"Diameter (" &amp; IF($B$4,"mm","in") &amp; ")"</f>
        <v>Diameter (in)</v>
      </c>
      <c r="D6" s="107">
        <v>0.375</v>
      </c>
      <c r="G6" s="90" t="s">
        <v>62</v>
      </c>
      <c r="H6" s="102">
        <f>(D7*D8/(PI()*(D6-D7/2)))/((PI()*(D6-D7/2)*D14+D7*D8*COS(0.5*RADIANS(D9)))/(PI()*(D6-D7/2)*COS(0.5*RADIANS(D9))-D14*D7*D8))</f>
        <v>0.41621760320185969</v>
      </c>
    </row>
    <row r="7" spans="2:10" x14ac:dyDescent="0.3">
      <c r="C7" s="101" t="str">
        <f>"Pitch (" &amp; IF($B$4, "mm", "in") &amp; "/rev)"</f>
        <v>Pitch (in/rev)</v>
      </c>
      <c r="D7" s="107">
        <v>0.1</v>
      </c>
      <c r="G7" s="90" t="str">
        <f>"Equivalent Radius (" &amp; IF($B$4, "mm", "in") &amp; ")"</f>
        <v>Equivalent Radius (in)</v>
      </c>
      <c r="H7" s="42">
        <f>D7*D8/(2*PI())</f>
        <v>1.5915494309189534E-2</v>
      </c>
    </row>
    <row r="8" spans="2:10" x14ac:dyDescent="0.3">
      <c r="C8" s="101" t="s">
        <v>54</v>
      </c>
      <c r="D8" s="18">
        <v>1</v>
      </c>
    </row>
    <row r="9" spans="2:10" x14ac:dyDescent="0.3">
      <c r="C9" s="101" t="s">
        <v>55</v>
      </c>
      <c r="D9" s="18">
        <v>29</v>
      </c>
      <c r="G9" s="65" t="str">
        <f>"Applied Force (" &amp; IF($B$4, "N", "lbf") &amp; ")"</f>
        <v>Applied Force (lbf)</v>
      </c>
      <c r="H9" s="19">
        <v>889.60000000000048</v>
      </c>
      <c r="I9" s="103">
        <f>I10/(($D$6-$D$7/2)/2*((PI()*($D$6-$D$7/2)*$D$14+$D$7*$D$8*COS(0.5*RADIANS($D$9)))/(PI()*($D$6-$D$7/2)*COS(0.5*RADIANS($D$9))-$D$14*$D$7*$D$8)))</f>
        <v>46.294429616346761</v>
      </c>
      <c r="J9" s="103">
        <f>J11/(($D$6-$D$7/2)/2*((PI()*$D$14*($D$6-$D$7/2)-$D$7*$D$8*COS(0.5*RADIANS($D$9)))/(PI()*($D$6-$D$7/2)*COS(0.5*RADIANS($D$9))+$D$14*$D$7*$D$8)))</f>
        <v>45.562656592416822</v>
      </c>
    </row>
    <row r="10" spans="2:10" x14ac:dyDescent="0.3">
      <c r="G10" s="66" t="str">
        <f>"Raise Torque (" &amp; IF($B$4, "Nmm", "in-lb") &amp; ")"</f>
        <v>Raise Torque (in-lb)</v>
      </c>
      <c r="H10" s="77">
        <f>H9*($D$6-$D$7/2)/2*((PI()*($D$6-$D$7/2)*$D$14+$D$7*$D$8*COS(0.5*RADIANS($D$9)))/(PI()*($D$6-$D$7/2)*COS(0.5*RADIANS($D$9))-$D$14*$D$7*$D$8))</f>
        <v>34.016878739721115</v>
      </c>
      <c r="I10" s="9">
        <v>1.7702248185519569</v>
      </c>
      <c r="J10" s="77">
        <f>J9*($D$6-$D$7/2)/2*((PI()*($D$6-$D$7/2)*$D$14+$D$7*$D$8*COS(0.5*RADIANS($D$9)))/(PI()*($D$6-$D$7/2)*COS(0.5*RADIANS($D$9))-$D$14*$D$7*$D$8))</f>
        <v>1.7422429905168582</v>
      </c>
    </row>
    <row r="11" spans="2:10" x14ac:dyDescent="0.3">
      <c r="C11" s="101" t="s">
        <v>56</v>
      </c>
      <c r="D11" s="18" t="s">
        <v>59</v>
      </c>
      <c r="G11" s="66" t="str">
        <f>"Lower Torque (" &amp; IF($B$4, "Nmm", "in-lb") &amp; ")"</f>
        <v>Lower Torque (in-lb)</v>
      </c>
      <c r="H11" s="77">
        <f>H9*($D$6-$D$7/2)/2*((PI()*$D$14*($D$6-$D$7/2)-$D$7*$D$8*COS(0.5*RADIANS($D$9)))/(PI()*($D$6-$D$7/2)*COS(0.5*RADIANS($D$9))+$D$14*$D$7*$D$8))</f>
        <v>5.1844825884645189</v>
      </c>
      <c r="I11" s="77">
        <f>I9*($D$6-$D$7/2)/2*((PI()*$D$14*($D$6-$D$7/2)-$D$7*$D$8*COS(0.5*RADIANS($D$9)))/(PI()*($D$6-$D$7/2)*COS(0.5*RADIANS($D$9))+$D$14*$D$7*$D$8))</f>
        <v>0.26979840859807303</v>
      </c>
      <c r="J11" s="9">
        <v>0.26553372278279341</v>
      </c>
    </row>
    <row r="12" spans="2:10" x14ac:dyDescent="0.3">
      <c r="C12" s="101" t="s">
        <v>57</v>
      </c>
      <c r="D12" s="18" t="s">
        <v>64</v>
      </c>
      <c r="G12" s="66" t="str">
        <f>"Eq. Raise Load (" &amp; IF($B$4, "kgf", "lbf") &amp; ")"</f>
        <v>Eq. Raise Load (lbf)</v>
      </c>
      <c r="H12" s="77">
        <f t="shared" ref="H12:J13" si="0">H10/$H$7/9.8</f>
        <v>218.09627825869933</v>
      </c>
      <c r="I12" s="77">
        <f t="shared" si="0"/>
        <v>11.349643439112555</v>
      </c>
      <c r="J12" s="77">
        <f t="shared" si="0"/>
        <v>11.170240366889946</v>
      </c>
    </row>
    <row r="13" spans="2:10" x14ac:dyDescent="0.3">
      <c r="C13" s="101" t="s">
        <v>58</v>
      </c>
      <c r="D13" s="18" t="s">
        <v>60</v>
      </c>
      <c r="G13" s="67" t="str">
        <f>"Eq. Lower Load (" &amp; IF($B$4, "kgf", "lbf") &amp; ")"</f>
        <v>Eq. Lower Load (lbf)</v>
      </c>
      <c r="H13" s="99">
        <f t="shared" si="0"/>
        <v>33.239862066498624</v>
      </c>
      <c r="I13" s="99">
        <f t="shared" si="0"/>
        <v>1.7297891804120888</v>
      </c>
      <c r="J13" s="99">
        <f t="shared" si="0"/>
        <v>1.7024465158668827</v>
      </c>
    </row>
    <row r="14" spans="2:10" x14ac:dyDescent="0.3">
      <c r="D14" s="3">
        <f>IF($D$11="Steel", IF($D$13="No",IF($D$12="Steel",0.2,IF($D$12="Bronze",0.19,IF($D$12="Brass",0.17,0.2))), IF($D$12="Steel",0.14,IF($D$12="Bronze",0.13,IF($D$12="Brass",0.13,0.14)))), IF($D$12="Steel",0.1,IF($D$12="Bronze",0.05,IF($D$12="Brass",0.05,0.08))))</f>
        <v>0.13</v>
      </c>
    </row>
    <row r="15" spans="2:10" x14ac:dyDescent="0.3">
      <c r="G15" s="65" t="s">
        <v>63</v>
      </c>
      <c r="H15" s="20">
        <v>5000</v>
      </c>
      <c r="I15" s="104">
        <f>I16*60/$D$7/$D$8*IF($B$4, 1000, 12)</f>
        <v>7200</v>
      </c>
    </row>
    <row r="16" spans="2:10" x14ac:dyDescent="0.3">
      <c r="C16" s="101" t="s">
        <v>61</v>
      </c>
      <c r="D16" s="105" t="b">
        <f>((PI()*$D$14*($D$6-$D$7/2)-$D$7*$D$8*COS(0.5*RADIANS($D$9)))/(PI()*($D$6-$D$7/2)*COS(0.5*RADIANS($D$9))+$D$14*$D$7*$D$8))&lt;0</f>
        <v>0</v>
      </c>
      <c r="G16" s="67" t="str">
        <f>"Linear Speed (" &amp; IF($B$4, "m", "ft") &amp; "/s)"</f>
        <v>Linear Speed (ft/s)</v>
      </c>
      <c r="H16" s="106">
        <f>H15/60*$D$7*$D$8/IF($B$4, 1000, 12)</f>
        <v>0.69444444444444453</v>
      </c>
      <c r="I16" s="21">
        <v>1</v>
      </c>
    </row>
    <row r="19" spans="3:10" ht="43.5" customHeight="1" x14ac:dyDescent="0.3">
      <c r="C19" s="177" t="s">
        <v>65</v>
      </c>
      <c r="D19" s="178"/>
      <c r="E19" s="178"/>
      <c r="F19" s="178"/>
      <c r="G19" s="178"/>
      <c r="H19" s="178"/>
      <c r="I19" s="178"/>
      <c r="J19" s="179"/>
    </row>
    <row r="20" spans="3:10" x14ac:dyDescent="0.3">
      <c r="C20" s="180" t="s">
        <v>66</v>
      </c>
      <c r="D20" s="181"/>
      <c r="E20" s="181"/>
      <c r="F20" s="181"/>
      <c r="G20" s="181"/>
      <c r="H20" s="181"/>
      <c r="I20" s="181"/>
      <c r="J20" s="182"/>
    </row>
    <row r="22" spans="3:10" ht="43.5" customHeight="1" x14ac:dyDescent="0.3">
      <c r="C22" s="177" t="s">
        <v>67</v>
      </c>
      <c r="D22" s="178"/>
      <c r="E22" s="178"/>
      <c r="F22" s="178"/>
      <c r="G22" s="178"/>
      <c r="H22" s="178"/>
      <c r="I22" s="178"/>
      <c r="J22" s="179"/>
    </row>
    <row r="23" spans="3:10" ht="29.25" customHeight="1" x14ac:dyDescent="0.3">
      <c r="C23" s="180" t="s">
        <v>68</v>
      </c>
      <c r="D23" s="181"/>
      <c r="E23" s="181"/>
      <c r="F23" s="181"/>
      <c r="G23" s="181"/>
      <c r="H23" s="181"/>
      <c r="I23" s="181"/>
      <c r="J23" s="182"/>
    </row>
  </sheetData>
  <sheetProtection sheet="1" objects="1" scenarios="1" formatCells="0" formatColumns="0" formatRows="0"/>
  <mergeCells count="4">
    <mergeCell ref="C19:J19"/>
    <mergeCell ref="C20:J20"/>
    <mergeCell ref="C22:J22"/>
    <mergeCell ref="C23:J23"/>
  </mergeCells>
  <conditionalFormatting sqref="J9:J10 J12:J13">
    <cfRule type="expression" dxfId="69" priority="6">
      <formula>$J$9&lt;0</formula>
    </cfRule>
  </conditionalFormatting>
  <conditionalFormatting sqref="I9 I11:I13">
    <cfRule type="expression" dxfId="68" priority="5">
      <formula>$I$9&lt;0</formula>
    </cfRule>
  </conditionalFormatting>
  <conditionalFormatting sqref="H9 I10 I16 H15 D6:D9">
    <cfRule type="cellIs" dxfId="67" priority="4" operator="lessThan">
      <formula>0</formula>
    </cfRule>
  </conditionalFormatting>
  <conditionalFormatting sqref="J11 I10 H9 I16 H15 D6:D9 D11:D13">
    <cfRule type="containsBlanks" dxfId="66" priority="3">
      <formula>LEN(TRIM(D6))=0</formula>
    </cfRule>
  </conditionalFormatting>
  <conditionalFormatting sqref="D9">
    <cfRule type="cellIs" dxfId="65" priority="2" operator="greaterThan">
      <formula>90</formula>
    </cfRule>
  </conditionalFormatting>
  <conditionalFormatting sqref="D6:D9 H9 I10 J11 H15 I16">
    <cfRule type="expression" dxfId="64" priority="1">
      <formula>ISTEXT(D6)</formula>
    </cfRule>
  </conditionalFormatting>
  <dataValidations count="4">
    <dataValidation type="list" allowBlank="1" showInputMessage="1" prompt="You can choose a common thread angle or enter a custom angle" sqref="D9" xr:uid="{00000000-0002-0000-0200-000000000000}">
      <formula1>"29,30,90"</formula1>
    </dataValidation>
    <dataValidation type="list" allowBlank="1" showInputMessage="1" showErrorMessage="1" sqref="D11" xr:uid="{00000000-0002-0000-0200-000001000000}">
      <formula1>"Steel,Bronze"</formula1>
    </dataValidation>
    <dataValidation type="list" allowBlank="1" showInputMessage="1" showErrorMessage="1" sqref="D12" xr:uid="{00000000-0002-0000-0200-000002000000}">
      <formula1>"Steel,Bronze,Brass,Cast Iron"</formula1>
    </dataValidation>
    <dataValidation type="list" allowBlank="1" showInputMessage="1" showErrorMessage="1" sqref="D13" xr:uid="{00000000-0002-0000-0200-000003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Metric">
              <controlPr locked="0" defaultSize="0" autoFill="0" autoLine="0" autoPict="0" macro="[0]!LeadScrew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2:N27"/>
  <sheetViews>
    <sheetView zoomScaleNormal="100" workbookViewId="0"/>
  </sheetViews>
  <sheetFormatPr defaultColWidth="9.109375" defaultRowHeight="14.4" x14ac:dyDescent="0.3"/>
  <cols>
    <col min="1" max="1" width="7.109375" style="1" customWidth="1"/>
    <col min="2" max="2" width="3.33203125" style="1" customWidth="1"/>
    <col min="3" max="3" width="21.5546875" style="1" customWidth="1"/>
    <col min="4" max="4" width="9.109375" style="1" customWidth="1"/>
    <col min="5" max="5" width="9.109375" style="1"/>
    <col min="6" max="6" width="14.33203125" style="1" customWidth="1"/>
    <col min="7" max="8" width="11.44140625" style="1" customWidth="1"/>
    <col min="9" max="9" width="9.109375" style="1" customWidth="1"/>
    <col min="10" max="10" width="13.33203125" style="1" customWidth="1"/>
    <col min="11" max="11" width="8.109375" style="1" customWidth="1"/>
    <col min="12" max="12" width="9.109375" style="1" customWidth="1"/>
    <col min="13" max="16384" width="9.109375" style="1"/>
  </cols>
  <sheetData>
    <row r="2" spans="2:14" ht="31.2" x14ac:dyDescent="0.3">
      <c r="C2" s="2" t="s">
        <v>69</v>
      </c>
    </row>
    <row r="4" spans="2:14" x14ac:dyDescent="0.3">
      <c r="B4" s="8" t="b">
        <v>0</v>
      </c>
      <c r="C4" s="1" t="s">
        <v>0</v>
      </c>
    </row>
    <row r="6" spans="2:14" x14ac:dyDescent="0.3">
      <c r="C6" s="175" t="s">
        <v>6</v>
      </c>
      <c r="D6" s="187"/>
      <c r="E6" s="22" t="s">
        <v>30</v>
      </c>
      <c r="G6" s="90" t="s">
        <v>75</v>
      </c>
      <c r="H6" s="91" t="s">
        <v>76</v>
      </c>
      <c r="I6" s="91" t="s">
        <v>77</v>
      </c>
      <c r="J6" s="23" t="str">
        <f>"C-C dist. (" &amp; IF($B$4, "mm", "in") &amp; ")"</f>
        <v>C-C dist. (in)</v>
      </c>
    </row>
    <row r="7" spans="2:14" x14ac:dyDescent="0.3">
      <c r="C7" s="24" t="s">
        <v>1</v>
      </c>
      <c r="D7" s="25">
        <f>VLOOKUP($C$6, MotorSpecs, 2, FALSE)</f>
        <v>5330</v>
      </c>
      <c r="E7" s="26">
        <f>D7*(D14/12)</f>
        <v>4885.833333333333</v>
      </c>
      <c r="G7" s="27">
        <v>12</v>
      </c>
      <c r="H7" s="28">
        <v>54</v>
      </c>
      <c r="I7" s="28">
        <v>20</v>
      </c>
      <c r="J7" s="29">
        <f>IF(COUNTBLANK(G7:I7)&gt;0, "", ((G7+H7)/(2*I7)+0.003)*IF($B$4, 25.4, 1))</f>
        <v>1.6529999999999998</v>
      </c>
    </row>
    <row r="8" spans="2:14" x14ac:dyDescent="0.3">
      <c r="C8" s="30" t="s">
        <v>2</v>
      </c>
      <c r="D8" s="31">
        <f>VLOOKUP($C$6, MotorSpecs, 3, FALSE)</f>
        <v>2.41</v>
      </c>
      <c r="E8" s="32">
        <f>D8*D13*(D14/12)*D15</f>
        <v>10.604000000000001</v>
      </c>
      <c r="G8" s="27">
        <v>18</v>
      </c>
      <c r="H8" s="28">
        <v>50</v>
      </c>
      <c r="I8" s="28">
        <v>20</v>
      </c>
      <c r="J8" s="29">
        <f t="shared" ref="J8:J10" si="0">IF(COUNTBLANK(G8:I8)&gt;0, "", ((G8+H8)/(2*I8)+0.003)*IF($B$4, 25.4, 1))</f>
        <v>1.7029999999999998</v>
      </c>
    </row>
    <row r="9" spans="2:14" x14ac:dyDescent="0.3">
      <c r="C9" s="30" t="s">
        <v>3</v>
      </c>
      <c r="D9" s="33">
        <f>VLOOKUP($C$6, MotorSpecs, 4, FALSE)</f>
        <v>2.7</v>
      </c>
      <c r="E9" s="34">
        <f>D9*D13*(D14/12)</f>
        <v>14.850000000000001</v>
      </c>
      <c r="G9" s="27"/>
      <c r="H9" s="28"/>
      <c r="I9" s="28"/>
      <c r="J9" s="29" t="str">
        <f t="shared" si="0"/>
        <v/>
      </c>
    </row>
    <row r="10" spans="2:14" x14ac:dyDescent="0.3">
      <c r="C10" s="30" t="s">
        <v>4</v>
      </c>
      <c r="D10" s="35">
        <f>VLOOKUP($C$6, MotorSpecs, 5, FALSE)</f>
        <v>131</v>
      </c>
      <c r="E10" s="36">
        <f>D10*D13*(D14/12)</f>
        <v>720.5</v>
      </c>
      <c r="G10" s="27"/>
      <c r="H10" s="28"/>
      <c r="I10" s="28"/>
      <c r="J10" s="29" t="str">
        <f t="shared" si="0"/>
        <v/>
      </c>
    </row>
    <row r="11" spans="2:14" x14ac:dyDescent="0.3">
      <c r="C11" s="37" t="s">
        <v>5</v>
      </c>
      <c r="D11" s="38">
        <f>VLOOKUP($C$6, MotorSpecs, 6, FALSE)</f>
        <v>336.28916760964142</v>
      </c>
      <c r="E11" s="39">
        <f>(E7/60*2*PI())*E8/4</f>
        <v>1356.3663093588871</v>
      </c>
    </row>
    <row r="12" spans="2:14" x14ac:dyDescent="0.3">
      <c r="G12" s="185" t="s">
        <v>78</v>
      </c>
      <c r="H12" s="186"/>
      <c r="I12" s="40">
        <f>IF(COUNTBLANK($H$7:$H$10)&lt;4, PRODUCT($H$7:$H$10), 1)/IF(COUNTBLANK($G$7:$G$10)&lt;4, PRODUCT($G$7:$G$10), 1)</f>
        <v>12.5</v>
      </c>
    </row>
    <row r="13" spans="2:14" x14ac:dyDescent="0.3">
      <c r="C13" s="41" t="s">
        <v>80</v>
      </c>
      <c r="D13" s="11">
        <v>6</v>
      </c>
      <c r="G13" s="185" t="str">
        <f>"Adjusted Speed (" &amp; IF($B$4, "m", "ft") &amp; "/s)"</f>
        <v>Adjusted Speed (ft/s)</v>
      </c>
      <c r="H13" s="186"/>
      <c r="I13" s="42">
        <f>I14*$D$16</f>
        <v>6.0715001399693662</v>
      </c>
      <c r="N13" s="43"/>
    </row>
    <row r="14" spans="2:14" x14ac:dyDescent="0.3">
      <c r="C14" s="41" t="s">
        <v>32</v>
      </c>
      <c r="D14" s="11">
        <v>11</v>
      </c>
      <c r="G14" s="185" t="str">
        <f>"Free Speed (" &amp; IF($B$4, "m", "ft") &amp; "/s)"</f>
        <v>Free Speed (ft/s)</v>
      </c>
      <c r="H14" s="186"/>
      <c r="I14" s="42">
        <f>($E$7/60)/I12*((D20/IF($B$4,25.4,1))*PI()/12)/IF($B$4, 3.281, 1)</f>
        <v>6.8219102696285008</v>
      </c>
    </row>
    <row r="15" spans="2:14" x14ac:dyDescent="0.3">
      <c r="C15" s="41" t="s">
        <v>70</v>
      </c>
      <c r="D15" s="14">
        <v>0.8</v>
      </c>
      <c r="G15" s="185" t="s">
        <v>79</v>
      </c>
      <c r="H15" s="186"/>
      <c r="I15" s="44">
        <f>(($E$10-$E$9)/$E$8)*($D$19*IF($B$4,2.205,1))*$D$17*D21/$D$13*((D20/IF($B$4,25.4,1))/2)/I12*4.448*0.0254 + $E$9/$D$13</f>
        <v>33.350043284094035</v>
      </c>
    </row>
    <row r="16" spans="2:14" x14ac:dyDescent="0.3">
      <c r="C16" s="41" t="s">
        <v>71</v>
      </c>
      <c r="D16" s="14">
        <v>0.89</v>
      </c>
    </row>
    <row r="17" spans="3:12" x14ac:dyDescent="0.3">
      <c r="C17" s="41" t="s">
        <v>72</v>
      </c>
      <c r="D17" s="14">
        <v>1</v>
      </c>
      <c r="E17" s="3"/>
      <c r="G17" s="45" t="s">
        <v>75</v>
      </c>
      <c r="H17" s="46" t="s">
        <v>76</v>
      </c>
      <c r="J17" s="188" t="s">
        <v>78</v>
      </c>
      <c r="K17" s="189"/>
      <c r="L17" s="40">
        <f>IF(COUNTBLANK($H$7:$H$10)&lt;4, PRODUCT($H$7:$H$10), 1)*IF(ISBLANK(H18), 1, H18) / (IF(COUNTBLANK($G$7:$G$10)&lt;4, PRODUCT($G$7:$G$10), 1)*IF(ISBLANK(G18), 1, G18))</f>
        <v>15.625</v>
      </c>
    </row>
    <row r="18" spans="3:12" x14ac:dyDescent="0.3">
      <c r="D18" s="5"/>
      <c r="E18" s="3"/>
      <c r="G18" s="47">
        <v>12</v>
      </c>
      <c r="H18" s="48">
        <v>15</v>
      </c>
      <c r="J18" s="188" t="str">
        <f>"Adjusted Speed (" &amp; IF($B$4, "m", "ft") &amp; "/s)"</f>
        <v>Adjusted Speed (ft/s)</v>
      </c>
      <c r="K18" s="189"/>
      <c r="L18" s="42">
        <f>L19*$D$16</f>
        <v>4.8572001119754935</v>
      </c>
    </row>
    <row r="19" spans="3:12" x14ac:dyDescent="0.3">
      <c r="C19" s="41" t="str">
        <f>"Robot Weight  (" &amp; IF($B$4, "kg", "lbs") &amp; ")"</f>
        <v>Robot Weight  (lbs)</v>
      </c>
      <c r="D19" s="49">
        <v>154</v>
      </c>
      <c r="G19" s="50" t="s">
        <v>77</v>
      </c>
      <c r="H19" s="51"/>
      <c r="J19" s="188" t="str">
        <f>"Free Speed (" &amp; IF($B$4, "m", "ft") &amp; "/s)"</f>
        <v>Free Speed (ft/s)</v>
      </c>
      <c r="K19" s="189"/>
      <c r="L19" s="42">
        <f>($E$7/60)/L17*((D20/IF($B$4,25.4,1))*PI()/12)/IF($B$4, 3.281, 1)</f>
        <v>5.4575282157028013</v>
      </c>
    </row>
    <row r="20" spans="3:12" x14ac:dyDescent="0.3">
      <c r="C20" s="41" t="str">
        <f>"Wheel Diam. (" &amp; IF($B$4, "mm", "in") &amp; ")"</f>
        <v>Wheel Diam. (in)</v>
      </c>
      <c r="D20" s="52">
        <v>3.9999999999999987</v>
      </c>
      <c r="G20" s="53" t="str">
        <f>"C-C (" &amp; IF($B$4, "mm", "in") &amp; ")"</f>
        <v>C-C (in)</v>
      </c>
      <c r="H20" s="54" t="str">
        <f>IF(COUNTBLANK(G18:H19)&gt;0, "", ((G18+H18)/(2*H19)+0.003)*IF($B$4, 25.4, 1))</f>
        <v/>
      </c>
      <c r="J20" s="188" t="s">
        <v>79</v>
      </c>
      <c r="K20" s="189"/>
      <c r="L20" s="44">
        <f>(($E$10-$E$9)/$E$8)*($D$19*IF($B$4,2.205,1))*$D$17*D21/$D$13*((D20/IF($B$4,25.4,1))/2)/L17*4.448*0.0254 + $E$9/$D$13</f>
        <v>27.175034627275231</v>
      </c>
    </row>
    <row r="21" spans="3:12" x14ac:dyDescent="0.3">
      <c r="C21" s="41" t="s">
        <v>73</v>
      </c>
      <c r="D21" s="52">
        <v>1</v>
      </c>
    </row>
    <row r="22" spans="3:12" x14ac:dyDescent="0.3">
      <c r="G22" s="45" t="s">
        <v>75</v>
      </c>
      <c r="H22" s="46" t="s">
        <v>76</v>
      </c>
      <c r="J22" s="183" t="s">
        <v>78</v>
      </c>
      <c r="K22" s="184"/>
      <c r="L22" s="40">
        <f>IF(COUNTBLANK($H$7:$H$10)&lt;4, PRODUCT($H$7:$H$10), 1)*IF(ISBLANK(H23), 1, H23) / (IF(COUNTBLANK($G$7:$G$10)&lt;4, PRODUCT($G$7:$G$10), 1)*IF(ISBLANK(G23), 1, G23))</f>
        <v>25</v>
      </c>
    </row>
    <row r="23" spans="3:12" x14ac:dyDescent="0.3">
      <c r="C23" s="55" t="s">
        <v>74</v>
      </c>
      <c r="D23" s="8" t="b">
        <v>0</v>
      </c>
      <c r="G23" s="47"/>
      <c r="H23" s="48">
        <v>2</v>
      </c>
      <c r="J23" s="183" t="str">
        <f>"Adjusted Speed (" &amp; IF($B$4, "m", "ft") &amp; "/s)"</f>
        <v>Adjusted Speed (ft/s)</v>
      </c>
      <c r="K23" s="184"/>
      <c r="L23" s="42">
        <f>L24*$D$16</f>
        <v>3.0357500699846831</v>
      </c>
    </row>
    <row r="24" spans="3:12" x14ac:dyDescent="0.3">
      <c r="C24" s="55" t="s">
        <v>215</v>
      </c>
      <c r="D24" s="8" t="b">
        <v>0</v>
      </c>
      <c r="G24" s="50" t="s">
        <v>77</v>
      </c>
      <c r="H24" s="51"/>
      <c r="J24" s="183" t="str">
        <f>"Free Speed (" &amp; IF($B$4, "m", "ft") &amp; "/s)"</f>
        <v>Free Speed (ft/s)</v>
      </c>
      <c r="K24" s="184"/>
      <c r="L24" s="42">
        <f>($E$7/60)/L22*((IF(D24,D26,D20)/IF($B$4,25.4,1))*PI()/12)/IF($B$4, 3.281, 1)</f>
        <v>3.4109551348142504</v>
      </c>
    </row>
    <row r="25" spans="3:12" x14ac:dyDescent="0.3">
      <c r="G25" s="53" t="str">
        <f>"C-C (" &amp; IF($B$4, "mm", "in") &amp; ")"</f>
        <v>C-C (in)</v>
      </c>
      <c r="H25" s="54" t="str">
        <f>IF(COUNTBLANK(G23:H24)&gt;0, "", ((G23+H23)/(2*H24)+0.003)*IF($B$4, 25.4, 1))</f>
        <v/>
      </c>
      <c r="J25" s="183" t="s">
        <v>79</v>
      </c>
      <c r="K25" s="184"/>
      <c r="L25" s="44">
        <f>(($E$10-$E$9)/$E$8)*($D$19*IF($B$4,2.205,1))*$D$17*IF(D24,D27,D21)/$D$13*((IF(D24,D26,D20)/IF($B$4,25.4,1))/2)/L22*4.448*0.0254 + $E$9/$D$13</f>
        <v>17.912521642047018</v>
      </c>
    </row>
    <row r="26" spans="3:12" x14ac:dyDescent="0.3">
      <c r="C26" s="89" t="str">
        <f>"2nd Wheel Diam. (" &amp; IF($B$4, "mm", "in") &amp; ")"</f>
        <v>2nd Wheel Diam. (in)</v>
      </c>
      <c r="D26" s="52">
        <v>5.9999999999999991</v>
      </c>
    </row>
    <row r="27" spans="3:12" x14ac:dyDescent="0.3">
      <c r="C27" s="89" t="s">
        <v>100</v>
      </c>
      <c r="D27" s="11">
        <v>1.2</v>
      </c>
    </row>
  </sheetData>
  <sheetProtection sheet="1" objects="1" scenarios="1" formatCells="0" formatColumns="0" formatRows="0"/>
  <dataConsolidate/>
  <mergeCells count="13">
    <mergeCell ref="C6:D6"/>
    <mergeCell ref="J20:K20"/>
    <mergeCell ref="G13:H13"/>
    <mergeCell ref="G14:H14"/>
    <mergeCell ref="G15:H15"/>
    <mergeCell ref="J18:K18"/>
    <mergeCell ref="J17:K17"/>
    <mergeCell ref="J19:K19"/>
    <mergeCell ref="J25:K25"/>
    <mergeCell ref="J22:K22"/>
    <mergeCell ref="J24:K24"/>
    <mergeCell ref="G12:H12"/>
    <mergeCell ref="J23:K23"/>
  </mergeCells>
  <conditionalFormatting sqref="D14">
    <cfRule type="cellIs" dxfId="63" priority="23" operator="greaterThan">
      <formula>12</formula>
    </cfRule>
  </conditionalFormatting>
  <conditionalFormatting sqref="D13:D17 D19:D21">
    <cfRule type="cellIs" dxfId="62" priority="20" operator="lessThanOrEqual">
      <formula>0</formula>
    </cfRule>
  </conditionalFormatting>
  <conditionalFormatting sqref="D15:D17">
    <cfRule type="cellIs" dxfId="61" priority="13" operator="greaterThan">
      <formula>1</formula>
    </cfRule>
  </conditionalFormatting>
  <conditionalFormatting sqref="D13:D17 D19:D21">
    <cfRule type="containsBlanks" dxfId="60" priority="9">
      <formula>LEN(TRIM(D13))=0</formula>
    </cfRule>
  </conditionalFormatting>
  <conditionalFormatting sqref="G7:I10 G18:H18 H19 D26:D27 G23:H23 H24">
    <cfRule type="cellIs" dxfId="59" priority="7" operator="lessThan">
      <formula>0</formula>
    </cfRule>
  </conditionalFormatting>
  <conditionalFormatting sqref="C26:D27">
    <cfRule type="expression" dxfId="58" priority="24">
      <formula>NOT($D$24)</formula>
    </cfRule>
  </conditionalFormatting>
  <conditionalFormatting sqref="G17:L25">
    <cfRule type="expression" dxfId="57" priority="25">
      <formula>NOT($D$23)</formula>
    </cfRule>
  </conditionalFormatting>
  <conditionalFormatting sqref="G12:I15">
    <cfRule type="expression" dxfId="56" priority="2">
      <formula>$D$23</formula>
    </cfRule>
  </conditionalFormatting>
  <conditionalFormatting sqref="D13:D17 D19:D21 G7:I10 G18:H18 H19 G23:H23 H24">
    <cfRule type="expression" dxfId="55" priority="1">
      <formula>ISTEXT(D7)</formula>
    </cfRule>
  </conditionalFormatting>
  <dataValidations count="1">
    <dataValidation type="list" allowBlank="1" showErrorMessage="1" errorTitle="Error" error="Not a valid motor." sqref="C6:D6" xr:uid="{00000000-0002-0000-0300-000000000000}">
      <formula1>Motors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Metric">
              <controlPr locked="0" defaultSize="0" autoFill="0" autoLine="0" autoPict="0" macro="[0]!Drivetrain_Metric">
                <anchor moveWithCells="1">
                  <from>
                    <xdr:col>1</xdr:col>
                    <xdr:colOff>0</xdr:colOff>
                    <xdr:row>2</xdr:row>
                    <xdr:rowOff>175260</xdr:rowOff>
                  </from>
                  <to>
                    <xdr:col>2</xdr:col>
                    <xdr:colOff>7620</xdr:colOff>
                    <xdr:row>4</xdr:row>
                    <xdr:rowOff>0</xdr:rowOff>
                  </to>
                </anchor>
              </controlPr>
            </control>
          </mc:Choice>
        </mc:AlternateContent>
        <mc:AlternateContent xmlns:mc="http://schemas.openxmlformats.org/markup-compatibility/2006">
          <mc:Choice Requires="x14">
            <control shapeId="5126" r:id="rId5" name="Shifting">
              <controlPr locked="0" defaultSize="0" autoFill="0" autoLine="0" autoPict="0" macro="[0]!Drivetrain_Shifting">
                <anchor moveWithCells="1">
                  <from>
                    <xdr:col>3</xdr:col>
                    <xdr:colOff>0</xdr:colOff>
                    <xdr:row>21</xdr:row>
                    <xdr:rowOff>182880</xdr:rowOff>
                  </from>
                  <to>
                    <xdr:col>3</xdr:col>
                    <xdr:colOff>228600</xdr:colOff>
                    <xdr:row>22</xdr:row>
                    <xdr:rowOff>182880</xdr:rowOff>
                  </to>
                </anchor>
              </controlPr>
            </control>
          </mc:Choice>
        </mc:AlternateContent>
        <mc:AlternateContent xmlns:mc="http://schemas.openxmlformats.org/markup-compatibility/2006">
          <mc:Choice Requires="x14">
            <control shapeId="5127" r:id="rId6" name="2Wheels">
              <controlPr locked="0" defaultSize="0" autoFill="0" autoLine="0" autoPict="0" macro="[0]!Drivetrain_2Wheels">
                <anchor moveWithCells="1">
                  <from>
                    <xdr:col>3</xdr:col>
                    <xdr:colOff>0</xdr:colOff>
                    <xdr:row>22</xdr:row>
                    <xdr:rowOff>182880</xdr:rowOff>
                  </from>
                  <to>
                    <xdr:col>3</xdr:col>
                    <xdr:colOff>228600</xdr:colOff>
                    <xdr:row>23</xdr:row>
                    <xdr:rowOff>182880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B2:P23"/>
  <sheetViews>
    <sheetView zoomScaleNormal="100" workbookViewId="0"/>
  </sheetViews>
  <sheetFormatPr defaultColWidth="9.109375" defaultRowHeight="14.4" x14ac:dyDescent="0.3"/>
  <cols>
    <col min="1" max="1" width="7.109375" style="1" customWidth="1"/>
    <col min="2" max="2" width="3.33203125" style="1" customWidth="1"/>
    <col min="3" max="3" width="18.88671875" style="1" customWidth="1"/>
    <col min="4" max="4" width="10.6640625" style="1" customWidth="1"/>
    <col min="5" max="5" width="12.88671875" style="1" customWidth="1"/>
    <col min="6" max="6" width="24.33203125" style="1" customWidth="1"/>
    <col min="7" max="7" width="9.109375" style="1"/>
    <col min="8" max="8" width="9.109375" style="1" customWidth="1"/>
    <col min="9" max="9" width="24.33203125" style="1" customWidth="1"/>
    <col min="10" max="10" width="9.109375" style="1"/>
    <col min="11" max="11" width="9.109375" style="1" customWidth="1"/>
    <col min="12" max="12" width="19.88671875" style="1" customWidth="1"/>
    <col min="13" max="13" width="9.109375" style="1"/>
    <col min="14" max="14" width="9.109375" style="1" customWidth="1"/>
    <col min="15" max="15" width="24.33203125" style="1" customWidth="1"/>
    <col min="16" max="16384" width="9.109375" style="1"/>
  </cols>
  <sheetData>
    <row r="2" spans="2:16" ht="31.2" x14ac:dyDescent="0.3">
      <c r="C2" s="2" t="s">
        <v>81</v>
      </c>
    </row>
    <row r="4" spans="2:16" x14ac:dyDescent="0.3">
      <c r="B4" s="8" t="b">
        <v>0</v>
      </c>
      <c r="C4" s="1" t="s">
        <v>0</v>
      </c>
    </row>
    <row r="6" spans="2:16" ht="18" x14ac:dyDescent="0.3">
      <c r="D6" s="5"/>
      <c r="F6" s="190" t="s">
        <v>86</v>
      </c>
      <c r="G6" s="190"/>
      <c r="I6" s="190" t="s">
        <v>85</v>
      </c>
      <c r="J6" s="190"/>
      <c r="L6" s="190" t="s">
        <v>87</v>
      </c>
      <c r="M6" s="190"/>
      <c r="O6" s="56" t="s">
        <v>88</v>
      </c>
      <c r="P6" s="56"/>
    </row>
    <row r="7" spans="2:16" x14ac:dyDescent="0.3">
      <c r="D7" s="5"/>
    </row>
    <row r="8" spans="2:16" x14ac:dyDescent="0.3">
      <c r="C8" s="90" t="s">
        <v>84</v>
      </c>
      <c r="D8" s="11" t="s">
        <v>221</v>
      </c>
      <c r="F8" s="90" t="str">
        <f>"Load Force (" &amp; IF($B$4, "kgf", "lbf") &amp; ")"</f>
        <v>Load Force (lbf)</v>
      </c>
      <c r="G8" s="52">
        <v>160</v>
      </c>
      <c r="I8" s="90" t="str">
        <f>"Load Force (" &amp; IF($B$4, "kgf", "lbf") &amp; ")"</f>
        <v>Load Force (lbf)</v>
      </c>
      <c r="J8" s="52">
        <v>160</v>
      </c>
      <c r="L8" s="90" t="str">
        <f>"Length (" &amp; IF($B$4, "mm", "in") &amp; ")"</f>
        <v>Length (in)</v>
      </c>
      <c r="M8" s="52">
        <v>20</v>
      </c>
      <c r="O8" s="90" t="str">
        <f>"Torque (" &amp; IF($B$4, "Nmm", "in-lbs") &amp; ")"</f>
        <v>Torque (in-lbs)</v>
      </c>
      <c r="P8" s="52">
        <v>1500</v>
      </c>
    </row>
    <row r="9" spans="2:16" x14ac:dyDescent="0.3">
      <c r="D9" s="57"/>
      <c r="F9" s="90" t="str">
        <f>"Distance To Support (" &amp; IF($B$4, "mm", "in") &amp; ")"</f>
        <v>Distance To Support (in)</v>
      </c>
      <c r="G9" s="52">
        <v>8</v>
      </c>
      <c r="H9" s="58"/>
      <c r="I9" s="90" t="str">
        <f>"Distance To Support (" &amp; IF($B$4, "mm", "in") &amp; ")"</f>
        <v>Distance To Support (in)</v>
      </c>
      <c r="J9" s="52">
        <v>3</v>
      </c>
      <c r="K9" s="58"/>
      <c r="L9" s="90" t="s">
        <v>220</v>
      </c>
      <c r="M9" s="16">
        <v>0.8</v>
      </c>
      <c r="N9" s="58"/>
      <c r="O9" s="90" t="str">
        <f>"Distance To Support (" &amp; IF($B$4, "mm", "in") &amp; ")"</f>
        <v>Distance To Support (in)</v>
      </c>
      <c r="P9" s="52">
        <v>3</v>
      </c>
    </row>
    <row r="10" spans="2:16" x14ac:dyDescent="0.3">
      <c r="C10" s="90" t="s">
        <v>82</v>
      </c>
      <c r="D10" s="11" t="s">
        <v>83</v>
      </c>
      <c r="F10" s="90" t="str">
        <f>"Dist. Btwn. Supports (" &amp; IF($B$4, "mm", "in") &amp; ")"</f>
        <v>Dist. Btwn. Supports (in)</v>
      </c>
      <c r="G10" s="52">
        <v>20</v>
      </c>
      <c r="I10" s="90" t="str">
        <f>"Length (" &amp; IF($B$4, "mm", "in") &amp; ")"</f>
        <v>Length (in)</v>
      </c>
      <c r="J10" s="52">
        <v>10</v>
      </c>
    </row>
    <row r="11" spans="2:16" x14ac:dyDescent="0.3">
      <c r="C11" s="90" t="str">
        <f>CHOOSE(MATCH($D$10,{"Hex","Round","Round Tube","Square","Rect. Tube"},0), "Size","Diameter","Outside Diam.","Size","║ Size") &amp; " (" &amp; IF($B$4,"mm","in") &amp; ")"</f>
        <v>Size (in)</v>
      </c>
      <c r="D11" s="15">
        <v>0.49999999999999983</v>
      </c>
    </row>
    <row r="12" spans="2:16" x14ac:dyDescent="0.3">
      <c r="C12" s="90" t="str">
        <f>CHOOSE(MATCH($D$10,{"Hex","Round","Round Tube","Square","Rect. Tube"},0), "","","Wall Thick. ("&amp;IF($B$4,"in","mm")&amp;")","","┴ Size ("&amp;IF($B$4,"mm","in")&amp;")")</f>
        <v/>
      </c>
      <c r="D12" s="15">
        <v>0.11811023622047244</v>
      </c>
    </row>
    <row r="13" spans="2:16" x14ac:dyDescent="0.3">
      <c r="C13" s="90" t="str">
        <f>CHOOSE(MATCH($D$10,{"Hex","Round","Round Tube","Square","Rect. Tube"},0), "","","","","Wall Thick. ("&amp;IF($B$4,"mm","in")&amp;")")</f>
        <v/>
      </c>
      <c r="D13" s="15">
        <v>0</v>
      </c>
      <c r="F13" s="90" t="str">
        <f>"Displacement (" &amp; IF($B$4, "mm", "in") &amp; ")"</f>
        <v>Displacement (in)</v>
      </c>
      <c r="G13" s="7">
        <f>4*G8*IF($B$4, 9.8, 1)*(MAX(G9,G10-G9))^3*(MIN(G9,G10-G9))^2 / (3*D20*D22*(3*MAX(G9,G10-G9)+MIN(G9,G10-G9))^2)</f>
        <v>0.31197632003203801</v>
      </c>
      <c r="I13" s="90" t="str">
        <f>"Displacement (" &amp; IF($B$4, "mm", "in") &amp; ")"</f>
        <v>Displacement (in)</v>
      </c>
      <c r="J13" s="42">
        <f>(J8*IF($B$4, 9.8, 1))*J9^2/(6*D22*D20)*(3*J10-J9)</f>
        <v>0.16588975220453583</v>
      </c>
      <c r="L13" s="90" t="str">
        <f>"Max. Force (" &amp; IF($B$4, "kgf", "lbf") &amp; ")"</f>
        <v>Max. Force (lbf)</v>
      </c>
      <c r="M13" s="6">
        <f>PI()^2*D22*D20/(M8*M9)^2 / IF($B$4, 9.8, 1)</f>
        <v>1505.9662099835457</v>
      </c>
      <c r="O13" s="90" t="s">
        <v>89</v>
      </c>
      <c r="P13" s="42">
        <f>DEGREES(P8*P9/(D23*D21))</f>
        <v>9.162526370559771</v>
      </c>
    </row>
    <row r="14" spans="2:16" x14ac:dyDescent="0.3">
      <c r="G14" s="57"/>
    </row>
    <row r="15" spans="2:16" ht="15" customHeight="1" x14ac:dyDescent="0.3">
      <c r="C15" s="191" t="s">
        <v>214</v>
      </c>
      <c r="D15" s="192"/>
    </row>
    <row r="16" spans="2:16" ht="15" customHeight="1" x14ac:dyDescent="0.3">
      <c r="C16" s="193"/>
      <c r="D16" s="194"/>
    </row>
    <row r="17" spans="3:4" ht="15" customHeight="1" x14ac:dyDescent="0.3">
      <c r="C17" s="193"/>
      <c r="D17" s="194"/>
    </row>
    <row r="18" spans="3:4" x14ac:dyDescent="0.3">
      <c r="C18" s="195"/>
      <c r="D18" s="196"/>
    </row>
    <row r="20" spans="3:4" x14ac:dyDescent="0.3">
      <c r="C20" s="59" t="s">
        <v>90</v>
      </c>
      <c r="D20" s="60">
        <f>CHOOSE(MATCH($D$10,{"Hex","Round","Round Tube","Square","Rect. Tube"},0), 0.0601*$D$11^4, PI()/64*$D$11^4, PI()/8*$D$11^3*$D$12, $D$11^4/12, $D$11^2*$D$12*$D$13/3)</f>
        <v>3.7562499999999948E-3</v>
      </c>
    </row>
    <row r="21" spans="3:4" x14ac:dyDescent="0.3">
      <c r="C21" s="59" t="s">
        <v>91</v>
      </c>
      <c r="D21" s="60">
        <f>CHOOSE(MATCH($D$10,{"Hex","Round","Round Tube","Square","Rect. Tube"},0), 0.1154*$D$11^4, PI()/32*$D$11^4, PI()/4*$D$11^3*$D$12, 9/64*$D$11^4, (2*$D$13^2*($D$12-$D$13)^2*($D$11-$D$13)^2)/($D$11*$D$13+$D$12*$D$13-2*$D$13^2))</f>
        <v>7.2124999999999906E-3</v>
      </c>
    </row>
    <row r="22" spans="3:4" x14ac:dyDescent="0.3">
      <c r="C22" s="59" t="s">
        <v>92</v>
      </c>
      <c r="D22" s="3">
        <f>VLOOKUP($D$8, MaterialSpecs, 2, 0)*IF($B$4, 1, 145.038)</f>
        <v>10399224.600000001</v>
      </c>
    </row>
    <row r="23" spans="3:4" x14ac:dyDescent="0.3">
      <c r="C23" s="59" t="s">
        <v>93</v>
      </c>
      <c r="D23" s="3">
        <f>VLOOKUP($D$8, MaterialSpecs, 3, 0)*IF($B$4, 1, 145.038)</f>
        <v>3901522.2</v>
      </c>
    </row>
  </sheetData>
  <sheetProtection sheet="1" objects="1" scenarios="1" formatCells="0" formatColumns="0" formatRows="0"/>
  <mergeCells count="4">
    <mergeCell ref="L6:M6"/>
    <mergeCell ref="F6:G6"/>
    <mergeCell ref="I6:J6"/>
    <mergeCell ref="C15:D18"/>
  </mergeCells>
  <conditionalFormatting sqref="C13:D13">
    <cfRule type="expression" dxfId="54" priority="4">
      <formula>NOT($D$10="Rect. Tube")</formula>
    </cfRule>
  </conditionalFormatting>
  <conditionalFormatting sqref="C12:D13">
    <cfRule type="expression" dxfId="53" priority="7">
      <formula>NOT(OR($D$10="Round Tube", $D$10="Rect. Tube"))</formula>
    </cfRule>
  </conditionalFormatting>
  <conditionalFormatting sqref="D11:D13 G8:G10 J8:J10 M8:M9 P8:P9">
    <cfRule type="cellIs" dxfId="52" priority="8" operator="lessThanOrEqual">
      <formula>0</formula>
    </cfRule>
  </conditionalFormatting>
  <conditionalFormatting sqref="G9">
    <cfRule type="cellIs" dxfId="51" priority="3" operator="greaterThanOrEqual">
      <formula>$G$10</formula>
    </cfRule>
  </conditionalFormatting>
  <conditionalFormatting sqref="D11 G8:G10 J8:J10 M8:M9 P8:P9">
    <cfRule type="expression" dxfId="50" priority="2">
      <formula>ISTEXT(D8)</formula>
    </cfRule>
  </conditionalFormatting>
  <conditionalFormatting sqref="D11">
    <cfRule type="containsBlanks" dxfId="49" priority="1">
      <formula>LEN(TRIM(D11))=0</formula>
    </cfRule>
  </conditionalFormatting>
  <dataValidations count="3">
    <dataValidation type="list" allowBlank="1" showInputMessage="1" showErrorMessage="1" sqref="D10" xr:uid="{00000000-0002-0000-0400-000000000000}">
      <formula1>"Hex,Round,Round Tube,Square,Rect. Tube"</formula1>
    </dataValidation>
    <dataValidation type="list" allowBlank="1" showInputMessage="1" showErrorMessage="1" sqref="D8" xr:uid="{00000000-0002-0000-0400-000001000000}">
      <formula1>Materials</formula1>
    </dataValidation>
    <dataValidation type="list" allowBlank="1" showInputMessage="1" showErrorMessage="1" prompt="Select a common value from the list or write in a custom value." sqref="M9" xr:uid="{00000000-0002-0000-0400-000002000000}">
      <formula1>"0.65,0.80,1.20,1.00,2.10,2.00"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Metric">
              <controlPr locked="0" defaultSize="0" autoFill="0" autoLine="0" autoPict="0" macro="[0]!BeamBend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2:Q135"/>
  <sheetViews>
    <sheetView zoomScaleNormal="100" workbookViewId="0"/>
  </sheetViews>
  <sheetFormatPr defaultColWidth="9.109375" defaultRowHeight="14.4" x14ac:dyDescent="0.3"/>
  <cols>
    <col min="1" max="1" width="7.109375" style="1" customWidth="1"/>
    <col min="2" max="2" width="3.33203125" style="1" customWidth="1"/>
    <col min="3" max="3" width="21.109375" style="1" customWidth="1"/>
    <col min="4" max="4" width="9.33203125" style="1" customWidth="1"/>
    <col min="5" max="5" width="9.109375" style="1" customWidth="1"/>
    <col min="6" max="6" width="21.109375" style="1" customWidth="1"/>
    <col min="7" max="8" width="9.109375" style="1"/>
    <col min="9" max="9" width="9.109375" style="1" customWidth="1"/>
    <col min="10" max="10" width="1.5546875" style="1" customWidth="1"/>
    <col min="11" max="16384" width="9.109375" style="1"/>
  </cols>
  <sheetData>
    <row r="2" spans="2:16" ht="31.2" x14ac:dyDescent="0.3">
      <c r="C2" s="2" t="s">
        <v>94</v>
      </c>
    </row>
    <row r="4" spans="2:16" x14ac:dyDescent="0.3">
      <c r="B4" s="8" t="b">
        <v>1</v>
      </c>
      <c r="C4" s="1" t="s">
        <v>0</v>
      </c>
    </row>
    <row r="6" spans="2:16" ht="18" x14ac:dyDescent="0.3">
      <c r="C6" s="190" t="s">
        <v>95</v>
      </c>
      <c r="D6" s="190"/>
      <c r="F6" s="190" t="s">
        <v>98</v>
      </c>
      <c r="G6" s="190"/>
      <c r="I6" s="197" t="s">
        <v>95</v>
      </c>
      <c r="J6" s="198"/>
    </row>
    <row r="7" spans="2:16" x14ac:dyDescent="0.3">
      <c r="C7" s="90" t="str">
        <f>"Distance to Target (" &amp; IF($B$4, "m", "ft") &amp; ")"</f>
        <v>Distance to Target (m)</v>
      </c>
      <c r="D7" s="52">
        <v>1.523925632429137</v>
      </c>
      <c r="F7" s="90" t="str">
        <f>"Distance to Target (" &amp; IF($B$4, "m", "ft") &amp; ")"</f>
        <v>Distance to Target (m)</v>
      </c>
      <c r="G7" s="52">
        <v>1.523925632429137</v>
      </c>
    </row>
    <row r="8" spans="2:16" x14ac:dyDescent="0.3">
      <c r="C8" s="90" t="str">
        <f>"Release Height (" &amp; IF($B$4, "m", "ft") &amp; ")"</f>
        <v>Release Height (m)</v>
      </c>
      <c r="D8" s="52">
        <v>0.3047851264858274</v>
      </c>
      <c r="F8" s="90" t="str">
        <f>"Release Height (" &amp; IF($B$4, "m", "ft") &amp; ")"</f>
        <v>Release Height (m)</v>
      </c>
      <c r="G8" s="52">
        <v>0.3047851264858274</v>
      </c>
      <c r="I8" s="58"/>
      <c r="J8" s="58">
        <v>0</v>
      </c>
      <c r="L8" s="58"/>
      <c r="M8" s="58">
        <v>0</v>
      </c>
      <c r="O8" s="58"/>
      <c r="P8" s="58">
        <v>0</v>
      </c>
    </row>
    <row r="9" spans="2:16" x14ac:dyDescent="0.3">
      <c r="C9" s="90" t="str">
        <f>"Release Velocity (" &amp; IF($B$4, "m", "ft") &amp; "/s)"</f>
        <v>Release Velocity (m/s)</v>
      </c>
      <c r="D9" s="52">
        <v>4.5717768972874122</v>
      </c>
      <c r="F9" s="90" t="str">
        <f>"Target Height (" &amp; IF($B$4, "m", "ft") &amp; ")"</f>
        <v>Target Height (m)</v>
      </c>
      <c r="G9" s="52">
        <v>1.2191405059433096</v>
      </c>
      <c r="I9" s="58"/>
      <c r="J9" s="58">
        <v>0</v>
      </c>
      <c r="O9" s="58"/>
      <c r="P9" s="58">
        <v>0</v>
      </c>
    </row>
    <row r="10" spans="2:16" x14ac:dyDescent="0.3">
      <c r="C10" s="90" t="s">
        <v>96</v>
      </c>
      <c r="D10" s="74">
        <v>70</v>
      </c>
      <c r="F10" s="90" t="s">
        <v>99</v>
      </c>
      <c r="G10" s="74">
        <v>-60</v>
      </c>
      <c r="I10" s="61"/>
      <c r="J10" s="58">
        <v>0</v>
      </c>
    </row>
    <row r="11" spans="2:16" x14ac:dyDescent="0.3">
      <c r="D11" s="57"/>
      <c r="G11" s="57"/>
    </row>
    <row r="12" spans="2:16" x14ac:dyDescent="0.3">
      <c r="D12" s="57"/>
      <c r="G12" s="57"/>
    </row>
    <row r="13" spans="2:16" x14ac:dyDescent="0.3">
      <c r="C13" s="90" t="str">
        <f>"Final Height (" &amp; IF($B$4, "m", "ft") &amp; ")"</f>
        <v>Final Height (m)</v>
      </c>
      <c r="D13" s="44">
        <v>10.079807336426413</v>
      </c>
      <c r="F13" s="90" t="str">
        <f>"Release Velocity (" &amp; IF($B$4, "m", "ft") &amp; "/s)"</f>
        <v>Release Velocity (m/s)</v>
      </c>
      <c r="G13" s="44">
        <f>SQRT((IF($B$4, 9.807, 32.174)*G7)/(ABS(TAN(RADIANS(G14))-TAN(RADIANS(G10)))))/COS(RADIANS(G14))</f>
        <v>5.5453881994838294</v>
      </c>
    </row>
    <row r="14" spans="2:16" x14ac:dyDescent="0.3">
      <c r="C14" s="90" t="s">
        <v>97</v>
      </c>
      <c r="D14" s="62">
        <f>DEGREES(ATAN(2*(D13-D8)/D7-TAN(RADIANS(D10))))</f>
        <v>84.335137472670056</v>
      </c>
      <c r="F14" s="90" t="s">
        <v>96</v>
      </c>
      <c r="G14" s="62">
        <f>DEGREES(ATAN(2*(G9-G8)/G7-TAN(RADIANS(G10))))</f>
        <v>71.167636014035594</v>
      </c>
    </row>
    <row r="33" spans="11:17" x14ac:dyDescent="0.3">
      <c r="K33" s="3">
        <f>IF($I$6="Forward", D8, G8)</f>
        <v>0.3047851264858274</v>
      </c>
      <c r="L33" s="3">
        <f>IF($I$6="Forward", D7, G7)</f>
        <v>1.523925632429137</v>
      </c>
      <c r="M33" s="3">
        <f>IF($I$6="Forward", D9, G13)</f>
        <v>4.5717768972874122</v>
      </c>
      <c r="N33" s="3">
        <f>RADIANS(IF($I$6="Forward", D10, G14))</f>
        <v>1.2217304763960306</v>
      </c>
      <c r="O33" s="3">
        <f>IF($B$4, 9.807, 32.174)</f>
        <v>9.8070000000000004</v>
      </c>
      <c r="P33" s="3"/>
      <c r="Q33" s="3">
        <f>MAX(L35:L135, M35:M135)</f>
        <v>1.523925632429137</v>
      </c>
    </row>
    <row r="34" spans="11:17" x14ac:dyDescent="0.3">
      <c r="K34" s="3"/>
      <c r="L34" s="3"/>
      <c r="M34" s="3"/>
      <c r="N34" s="3"/>
      <c r="O34" s="3"/>
      <c r="P34" s="3"/>
      <c r="Q34" s="3"/>
    </row>
    <row r="35" spans="11:17" x14ac:dyDescent="0.3">
      <c r="K35" s="3">
        <v>0</v>
      </c>
      <c r="L35" s="3">
        <f t="shared" ref="L35:L66" si="0">$L$33/100*K35</f>
        <v>0</v>
      </c>
      <c r="M35" s="3">
        <f>MAX(TAN($N$33)*L35 - $O$33*L35^2 / (2*($M$33*COS($N$33))^2) + $K$33, 0)</f>
        <v>0.3047851264858274</v>
      </c>
      <c r="N35" s="3"/>
      <c r="O35" s="3"/>
      <c r="P35" s="3"/>
      <c r="Q35" s="3"/>
    </row>
    <row r="36" spans="11:17" x14ac:dyDescent="0.3">
      <c r="K36" s="3">
        <v>1</v>
      </c>
      <c r="L36" s="3">
        <f t="shared" si="0"/>
        <v>1.5239256324291371E-2</v>
      </c>
      <c r="M36" s="3">
        <f t="shared" ref="M36:M99" si="1">MAX(TAN($N$33)*L36 - $O$33*L36^2 / (2*($M$33*COS($N$33))^2) + $K$33, 0)</f>
        <v>0.34618888115001428</v>
      </c>
      <c r="N36" s="3"/>
      <c r="O36" s="3"/>
      <c r="P36" s="3"/>
      <c r="Q36" s="3"/>
    </row>
    <row r="37" spans="11:17" x14ac:dyDescent="0.3">
      <c r="K37" s="3">
        <v>2</v>
      </c>
      <c r="L37" s="3">
        <f t="shared" si="0"/>
        <v>3.0478512648582742E-2</v>
      </c>
      <c r="M37" s="3">
        <f t="shared" si="1"/>
        <v>0.38666111986203189</v>
      </c>
      <c r="N37" s="3"/>
      <c r="O37" s="3"/>
      <c r="P37" s="3"/>
      <c r="Q37" s="3"/>
    </row>
    <row r="38" spans="11:17" x14ac:dyDescent="0.3">
      <c r="K38" s="3">
        <v>3</v>
      </c>
      <c r="L38" s="3">
        <f t="shared" si="0"/>
        <v>4.5717768972874114E-2</v>
      </c>
      <c r="M38" s="3">
        <f t="shared" si="1"/>
        <v>0.4262018426218801</v>
      </c>
      <c r="N38" s="3"/>
      <c r="O38" s="3"/>
      <c r="P38" s="3"/>
      <c r="Q38" s="3"/>
    </row>
    <row r="39" spans="11:17" x14ac:dyDescent="0.3">
      <c r="K39" s="3">
        <v>4</v>
      </c>
      <c r="L39" s="3">
        <f t="shared" si="0"/>
        <v>6.0957025297165485E-2</v>
      </c>
      <c r="M39" s="3">
        <f t="shared" si="1"/>
        <v>0.46481104942955898</v>
      </c>
      <c r="N39" s="3"/>
      <c r="O39" s="3"/>
      <c r="P39" s="3"/>
      <c r="Q39" s="3"/>
    </row>
    <row r="40" spans="11:17" x14ac:dyDescent="0.3">
      <c r="K40" s="3">
        <v>5</v>
      </c>
      <c r="L40" s="3">
        <f t="shared" si="0"/>
        <v>7.6196281621456863E-2</v>
      </c>
      <c r="M40" s="3">
        <f t="shared" si="1"/>
        <v>0.50248874028506862</v>
      </c>
      <c r="N40" s="3"/>
      <c r="O40" s="3"/>
      <c r="P40" s="3"/>
      <c r="Q40" s="3"/>
    </row>
    <row r="41" spans="11:17" x14ac:dyDescent="0.3">
      <c r="K41" s="3">
        <v>6</v>
      </c>
      <c r="L41" s="3">
        <f t="shared" si="0"/>
        <v>9.1435537945748227E-2</v>
      </c>
      <c r="M41" s="3">
        <f t="shared" si="1"/>
        <v>0.53923491518840883</v>
      </c>
      <c r="N41" s="3"/>
      <c r="O41" s="3"/>
      <c r="P41" s="3"/>
      <c r="Q41" s="3"/>
    </row>
    <row r="42" spans="11:17" x14ac:dyDescent="0.3">
      <c r="K42" s="3">
        <v>7</v>
      </c>
      <c r="L42" s="3">
        <f t="shared" si="0"/>
        <v>0.10667479427003959</v>
      </c>
      <c r="M42" s="3">
        <f t="shared" si="1"/>
        <v>0.57504957413957958</v>
      </c>
      <c r="N42" s="3"/>
      <c r="O42" s="3"/>
      <c r="P42" s="3"/>
      <c r="Q42" s="3"/>
    </row>
    <row r="43" spans="11:17" x14ac:dyDescent="0.3">
      <c r="K43" s="3">
        <v>8</v>
      </c>
      <c r="L43" s="3">
        <f t="shared" si="0"/>
        <v>0.12191405059433097</v>
      </c>
      <c r="M43" s="3">
        <f t="shared" si="1"/>
        <v>0.6099327171385811</v>
      </c>
      <c r="N43" s="3"/>
      <c r="O43" s="3"/>
      <c r="P43" s="3"/>
      <c r="Q43" s="3"/>
    </row>
    <row r="44" spans="11:17" x14ac:dyDescent="0.3">
      <c r="K44" s="3">
        <v>9</v>
      </c>
      <c r="L44" s="3">
        <f t="shared" si="0"/>
        <v>0.13715330691862235</v>
      </c>
      <c r="M44" s="3">
        <f t="shared" si="1"/>
        <v>0.6438843441854134</v>
      </c>
      <c r="N44" s="3"/>
      <c r="O44" s="3"/>
      <c r="P44" s="3"/>
      <c r="Q44" s="3"/>
    </row>
    <row r="45" spans="11:17" x14ac:dyDescent="0.3">
      <c r="K45" s="3">
        <v>10</v>
      </c>
      <c r="L45" s="3">
        <f t="shared" si="0"/>
        <v>0.15239256324291373</v>
      </c>
      <c r="M45" s="3">
        <f t="shared" si="1"/>
        <v>0.67690445528007626</v>
      </c>
      <c r="N45" s="3"/>
      <c r="O45" s="3"/>
      <c r="P45" s="3"/>
      <c r="Q45" s="3"/>
    </row>
    <row r="46" spans="11:17" x14ac:dyDescent="0.3">
      <c r="K46" s="3">
        <v>11</v>
      </c>
      <c r="L46" s="3">
        <f t="shared" si="0"/>
        <v>0.16763181956720508</v>
      </c>
      <c r="M46" s="3">
        <f t="shared" si="1"/>
        <v>0.70899305042256966</v>
      </c>
      <c r="N46" s="3"/>
      <c r="O46" s="3"/>
      <c r="P46" s="3"/>
      <c r="Q46" s="3"/>
    </row>
    <row r="47" spans="11:17" x14ac:dyDescent="0.3">
      <c r="K47" s="3">
        <v>12</v>
      </c>
      <c r="L47" s="3">
        <f t="shared" si="0"/>
        <v>0.18287107589149645</v>
      </c>
      <c r="M47" s="3">
        <f t="shared" si="1"/>
        <v>0.74015012961289406</v>
      </c>
      <c r="N47" s="3"/>
      <c r="O47" s="3"/>
      <c r="P47" s="3"/>
      <c r="Q47" s="3"/>
    </row>
    <row r="48" spans="11:17" x14ac:dyDescent="0.3">
      <c r="K48" s="3">
        <v>13</v>
      </c>
      <c r="L48" s="3">
        <f t="shared" si="0"/>
        <v>0.19811033221578783</v>
      </c>
      <c r="M48" s="3">
        <f t="shared" si="1"/>
        <v>0.77037569285104879</v>
      </c>
      <c r="N48" s="3"/>
      <c r="O48" s="3"/>
      <c r="P48" s="3"/>
      <c r="Q48" s="3"/>
    </row>
    <row r="49" spans="11:17" x14ac:dyDescent="0.3">
      <c r="K49" s="3">
        <v>14</v>
      </c>
      <c r="L49" s="3">
        <f t="shared" si="0"/>
        <v>0.21334958854007918</v>
      </c>
      <c r="M49" s="3">
        <f t="shared" si="1"/>
        <v>0.79966974013703429</v>
      </c>
      <c r="N49" s="3"/>
      <c r="O49" s="3"/>
      <c r="P49" s="3"/>
      <c r="Q49" s="3"/>
    </row>
    <row r="50" spans="11:17" x14ac:dyDescent="0.3">
      <c r="K50" s="3">
        <v>15</v>
      </c>
      <c r="L50" s="3">
        <f t="shared" si="0"/>
        <v>0.22858884486437056</v>
      </c>
      <c r="M50" s="3">
        <f t="shared" si="1"/>
        <v>0.82803227147085057</v>
      </c>
      <c r="N50" s="3"/>
      <c r="O50" s="3"/>
      <c r="P50" s="3"/>
      <c r="Q50" s="3"/>
    </row>
    <row r="51" spans="11:17" x14ac:dyDescent="0.3">
      <c r="K51" s="3">
        <v>16</v>
      </c>
      <c r="L51" s="3">
        <f t="shared" si="0"/>
        <v>0.24382810118866194</v>
      </c>
      <c r="M51" s="3">
        <f t="shared" si="1"/>
        <v>0.85546328685249717</v>
      </c>
      <c r="N51" s="3"/>
      <c r="O51" s="3"/>
      <c r="P51" s="3"/>
      <c r="Q51" s="3"/>
    </row>
    <row r="52" spans="11:17" x14ac:dyDescent="0.3">
      <c r="K52" s="3">
        <v>17</v>
      </c>
      <c r="L52" s="3">
        <f t="shared" si="0"/>
        <v>0.25906735751295329</v>
      </c>
      <c r="M52" s="3">
        <f t="shared" si="1"/>
        <v>0.88196278628197478</v>
      </c>
      <c r="N52" s="3"/>
      <c r="O52" s="3"/>
      <c r="P52" s="3"/>
      <c r="Q52" s="3"/>
    </row>
    <row r="53" spans="11:17" x14ac:dyDescent="0.3">
      <c r="K53" s="3">
        <v>18</v>
      </c>
      <c r="L53" s="3">
        <f t="shared" si="0"/>
        <v>0.27430661383724469</v>
      </c>
      <c r="M53" s="3">
        <f t="shared" si="1"/>
        <v>0.90753076975928293</v>
      </c>
      <c r="N53" s="3"/>
      <c r="O53" s="3"/>
      <c r="P53" s="3"/>
      <c r="Q53" s="3"/>
    </row>
    <row r="54" spans="11:17" x14ac:dyDescent="0.3">
      <c r="K54" s="3">
        <v>19</v>
      </c>
      <c r="L54" s="3">
        <f t="shared" si="0"/>
        <v>0.28954587016153605</v>
      </c>
      <c r="M54" s="3">
        <f t="shared" si="1"/>
        <v>0.93216723728442163</v>
      </c>
      <c r="N54" s="3"/>
      <c r="O54" s="3"/>
      <c r="P54" s="3"/>
      <c r="Q54" s="3"/>
    </row>
    <row r="55" spans="11:17" x14ac:dyDescent="0.3">
      <c r="K55" s="3">
        <v>20</v>
      </c>
      <c r="L55" s="3">
        <f t="shared" si="0"/>
        <v>0.30478512648582745</v>
      </c>
      <c r="M55" s="3">
        <f t="shared" si="1"/>
        <v>0.95587218885739111</v>
      </c>
      <c r="N55" s="3"/>
      <c r="O55" s="3"/>
      <c r="P55" s="3"/>
      <c r="Q55" s="3"/>
    </row>
    <row r="56" spans="11:17" x14ac:dyDescent="0.3">
      <c r="K56" s="3">
        <v>21</v>
      </c>
      <c r="L56" s="3">
        <f t="shared" si="0"/>
        <v>0.3200243828101188</v>
      </c>
      <c r="M56" s="3">
        <f t="shared" si="1"/>
        <v>0.97864562447819137</v>
      </c>
      <c r="N56" s="3"/>
      <c r="O56" s="3"/>
      <c r="P56" s="3"/>
      <c r="Q56" s="3"/>
    </row>
    <row r="57" spans="11:17" x14ac:dyDescent="0.3">
      <c r="K57" s="3">
        <v>22</v>
      </c>
      <c r="L57" s="3">
        <f t="shared" si="0"/>
        <v>0.33526363913441015</v>
      </c>
      <c r="M57" s="3">
        <f t="shared" si="1"/>
        <v>1.0004875441468219</v>
      </c>
      <c r="N57" s="3"/>
      <c r="O57" s="3"/>
      <c r="P57" s="3"/>
      <c r="Q57" s="3"/>
    </row>
    <row r="58" spans="11:17" x14ac:dyDescent="0.3">
      <c r="K58" s="3">
        <v>23</v>
      </c>
      <c r="L58" s="3">
        <f t="shared" si="0"/>
        <v>0.35050289545870156</v>
      </c>
      <c r="M58" s="3">
        <f t="shared" si="1"/>
        <v>1.0213979478632835</v>
      </c>
      <c r="N58" s="3"/>
      <c r="O58" s="3"/>
      <c r="P58" s="3"/>
      <c r="Q58" s="3"/>
    </row>
    <row r="59" spans="11:17" x14ac:dyDescent="0.3">
      <c r="K59" s="3">
        <v>24</v>
      </c>
      <c r="L59" s="3">
        <f t="shared" si="0"/>
        <v>0.36574215178299291</v>
      </c>
      <c r="M59" s="3">
        <f t="shared" si="1"/>
        <v>1.0413768356275757</v>
      </c>
      <c r="N59" s="3"/>
      <c r="O59" s="3"/>
      <c r="P59" s="3"/>
      <c r="Q59" s="3"/>
    </row>
    <row r="60" spans="11:17" x14ac:dyDescent="0.3">
      <c r="K60" s="3">
        <v>25</v>
      </c>
      <c r="L60" s="3">
        <f t="shared" si="0"/>
        <v>0.38098140810728426</v>
      </c>
      <c r="M60" s="3">
        <f t="shared" si="1"/>
        <v>1.0604242074396986</v>
      </c>
      <c r="N60" s="3"/>
      <c r="O60" s="3"/>
      <c r="P60" s="3"/>
      <c r="Q60" s="3"/>
    </row>
    <row r="61" spans="11:17" x14ac:dyDescent="0.3">
      <c r="K61" s="3">
        <v>26</v>
      </c>
      <c r="L61" s="3">
        <f t="shared" si="0"/>
        <v>0.39622066443157566</v>
      </c>
      <c r="M61" s="3">
        <f t="shared" si="1"/>
        <v>1.0785400632996518</v>
      </c>
      <c r="N61" s="3"/>
      <c r="O61" s="3"/>
      <c r="P61" s="3"/>
      <c r="Q61" s="3"/>
    </row>
    <row r="62" spans="11:17" x14ac:dyDescent="0.3">
      <c r="K62" s="3">
        <v>27</v>
      </c>
      <c r="L62" s="3">
        <f t="shared" si="0"/>
        <v>0.41145992075586701</v>
      </c>
      <c r="M62" s="3">
        <f t="shared" si="1"/>
        <v>1.095724403207436</v>
      </c>
      <c r="N62" s="3"/>
      <c r="O62" s="3"/>
      <c r="P62" s="3"/>
      <c r="Q62" s="3"/>
    </row>
    <row r="63" spans="11:17" x14ac:dyDescent="0.3">
      <c r="K63" s="3">
        <v>28</v>
      </c>
      <c r="L63" s="3">
        <f t="shared" si="0"/>
        <v>0.42669917708015836</v>
      </c>
      <c r="M63" s="3">
        <f t="shared" si="1"/>
        <v>1.1119772271630508</v>
      </c>
      <c r="N63" s="3"/>
      <c r="O63" s="3"/>
      <c r="P63" s="3"/>
      <c r="Q63" s="3"/>
    </row>
    <row r="64" spans="11:17" x14ac:dyDescent="0.3">
      <c r="K64" s="3">
        <v>29</v>
      </c>
      <c r="L64" s="3">
        <f t="shared" si="0"/>
        <v>0.44193843340444977</v>
      </c>
      <c r="M64" s="3">
        <f t="shared" si="1"/>
        <v>1.1272985351664959</v>
      </c>
      <c r="N64" s="3"/>
      <c r="O64" s="3"/>
      <c r="P64" s="3"/>
      <c r="Q64" s="3"/>
    </row>
    <row r="65" spans="11:17" x14ac:dyDescent="0.3">
      <c r="K65" s="3">
        <v>30</v>
      </c>
      <c r="L65" s="3">
        <f t="shared" si="0"/>
        <v>0.45717768972874112</v>
      </c>
      <c r="M65" s="3">
        <f t="shared" si="1"/>
        <v>1.1416883272177722</v>
      </c>
      <c r="N65" s="3"/>
      <c r="O65" s="3"/>
      <c r="P65" s="3"/>
      <c r="Q65" s="3"/>
    </row>
    <row r="66" spans="11:17" x14ac:dyDescent="0.3">
      <c r="K66" s="3">
        <v>31</v>
      </c>
      <c r="L66" s="3">
        <f t="shared" si="0"/>
        <v>0.47241694605303253</v>
      </c>
      <c r="M66" s="3">
        <f t="shared" si="1"/>
        <v>1.1551466033168789</v>
      </c>
      <c r="N66" s="3"/>
      <c r="O66" s="3"/>
      <c r="P66" s="3"/>
      <c r="Q66" s="3"/>
    </row>
    <row r="67" spans="11:17" x14ac:dyDescent="0.3">
      <c r="K67" s="3">
        <v>32</v>
      </c>
      <c r="L67" s="3">
        <f t="shared" ref="L67:L98" si="2">$L$33/100*K67</f>
        <v>0.48765620237732388</v>
      </c>
      <c r="M67" s="3">
        <f t="shared" si="1"/>
        <v>1.1676733634638161</v>
      </c>
      <c r="N67" s="3"/>
      <c r="O67" s="3"/>
      <c r="P67" s="3"/>
      <c r="Q67" s="3"/>
    </row>
    <row r="68" spans="11:17" x14ac:dyDescent="0.3">
      <c r="K68" s="3">
        <v>33</v>
      </c>
      <c r="L68" s="3">
        <f t="shared" si="2"/>
        <v>0.50289545870161523</v>
      </c>
      <c r="M68" s="3">
        <f t="shared" si="1"/>
        <v>1.1792686076585845</v>
      </c>
      <c r="N68" s="3"/>
      <c r="O68" s="3"/>
      <c r="P68" s="3"/>
      <c r="Q68" s="3"/>
    </row>
    <row r="69" spans="11:17" x14ac:dyDescent="0.3">
      <c r="K69" s="3">
        <v>34</v>
      </c>
      <c r="L69" s="3">
        <f t="shared" si="2"/>
        <v>0.51813471502590658</v>
      </c>
      <c r="M69" s="3">
        <f t="shared" si="1"/>
        <v>1.1899323359011831</v>
      </c>
      <c r="N69" s="3"/>
      <c r="O69" s="3"/>
      <c r="P69" s="3"/>
      <c r="Q69" s="3"/>
    </row>
    <row r="70" spans="11:17" x14ac:dyDescent="0.3">
      <c r="K70" s="3">
        <v>35</v>
      </c>
      <c r="L70" s="3">
        <f t="shared" si="2"/>
        <v>0.53337397135019804</v>
      </c>
      <c r="M70" s="3">
        <f t="shared" si="1"/>
        <v>1.1996645481916124</v>
      </c>
      <c r="N70" s="3"/>
      <c r="O70" s="3"/>
      <c r="P70" s="3"/>
      <c r="Q70" s="3"/>
    </row>
    <row r="71" spans="11:17" x14ac:dyDescent="0.3">
      <c r="K71" s="3">
        <v>36</v>
      </c>
      <c r="L71" s="3">
        <f t="shared" si="2"/>
        <v>0.54861322767448939</v>
      </c>
      <c r="M71" s="3">
        <f t="shared" si="1"/>
        <v>1.2084652445298725</v>
      </c>
      <c r="N71" s="3"/>
      <c r="O71" s="3"/>
      <c r="P71" s="3"/>
      <c r="Q71" s="3"/>
    </row>
    <row r="72" spans="11:17" x14ac:dyDescent="0.3">
      <c r="K72" s="3">
        <v>37</v>
      </c>
      <c r="L72" s="3">
        <f t="shared" si="2"/>
        <v>0.56385248399878074</v>
      </c>
      <c r="M72" s="3">
        <f t="shared" si="1"/>
        <v>1.2163344249159631</v>
      </c>
      <c r="N72" s="3"/>
      <c r="O72" s="3"/>
      <c r="P72" s="3"/>
      <c r="Q72" s="3"/>
    </row>
    <row r="73" spans="11:17" x14ac:dyDescent="0.3">
      <c r="K73" s="3">
        <v>38</v>
      </c>
      <c r="L73" s="3">
        <f t="shared" si="2"/>
        <v>0.57909174032307209</v>
      </c>
      <c r="M73" s="3">
        <f t="shared" si="1"/>
        <v>1.2232720893498843</v>
      </c>
      <c r="N73" s="3"/>
      <c r="O73" s="3"/>
      <c r="P73" s="3"/>
      <c r="Q73" s="3"/>
    </row>
    <row r="74" spans="11:17" x14ac:dyDescent="0.3">
      <c r="K74" s="3">
        <v>39</v>
      </c>
      <c r="L74" s="3">
        <f t="shared" si="2"/>
        <v>0.59433099664736344</v>
      </c>
      <c r="M74" s="3">
        <f t="shared" si="1"/>
        <v>1.2292782378316365</v>
      </c>
      <c r="N74" s="3"/>
      <c r="O74" s="3"/>
      <c r="P74" s="3"/>
      <c r="Q74" s="3"/>
    </row>
    <row r="75" spans="11:17" x14ac:dyDescent="0.3">
      <c r="K75" s="3">
        <v>40</v>
      </c>
      <c r="L75" s="3">
        <f t="shared" si="2"/>
        <v>0.6095702529716549</v>
      </c>
      <c r="M75" s="3">
        <f t="shared" si="1"/>
        <v>1.2343528703612192</v>
      </c>
      <c r="N75" s="3"/>
      <c r="O75" s="3"/>
      <c r="P75" s="3"/>
      <c r="Q75" s="3"/>
    </row>
    <row r="76" spans="11:17" x14ac:dyDescent="0.3">
      <c r="K76" s="3">
        <v>41</v>
      </c>
      <c r="L76" s="3">
        <f t="shared" si="2"/>
        <v>0.62480950929594625</v>
      </c>
      <c r="M76" s="3">
        <f t="shared" si="1"/>
        <v>1.2384959869386325</v>
      </c>
      <c r="N76" s="3"/>
      <c r="O76" s="3"/>
      <c r="P76" s="3"/>
      <c r="Q76" s="3"/>
    </row>
    <row r="77" spans="11:17" x14ac:dyDescent="0.3">
      <c r="K77" s="3">
        <v>42</v>
      </c>
      <c r="L77" s="3">
        <f t="shared" si="2"/>
        <v>0.6400487656202376</v>
      </c>
      <c r="M77" s="3">
        <f t="shared" si="1"/>
        <v>1.2417075875638766</v>
      </c>
      <c r="N77" s="3"/>
      <c r="O77" s="3"/>
      <c r="P77" s="3"/>
      <c r="Q77" s="3"/>
    </row>
    <row r="78" spans="11:17" x14ac:dyDescent="0.3">
      <c r="K78" s="3">
        <v>43</v>
      </c>
      <c r="L78" s="3">
        <f t="shared" si="2"/>
        <v>0.65528802194452895</v>
      </c>
      <c r="M78" s="3">
        <f t="shared" si="1"/>
        <v>1.2439876722369512</v>
      </c>
      <c r="N78" s="3"/>
      <c r="O78" s="3"/>
      <c r="P78" s="3"/>
      <c r="Q78" s="3"/>
    </row>
    <row r="79" spans="11:17" x14ac:dyDescent="0.3">
      <c r="K79" s="3">
        <v>44</v>
      </c>
      <c r="L79" s="3">
        <f t="shared" si="2"/>
        <v>0.6705272782688203</v>
      </c>
      <c r="M79" s="3">
        <f t="shared" si="1"/>
        <v>1.2453362409578566</v>
      </c>
      <c r="N79" s="3"/>
      <c r="O79" s="3"/>
      <c r="P79" s="3"/>
      <c r="Q79" s="3"/>
    </row>
    <row r="80" spans="11:17" x14ac:dyDescent="0.3">
      <c r="K80" s="3">
        <v>45</v>
      </c>
      <c r="L80" s="3">
        <f t="shared" si="2"/>
        <v>0.68576653459311165</v>
      </c>
      <c r="M80" s="3">
        <f t="shared" si="1"/>
        <v>1.2457532937265925</v>
      </c>
      <c r="N80" s="3"/>
      <c r="O80" s="3"/>
      <c r="P80" s="3"/>
      <c r="Q80" s="3"/>
    </row>
    <row r="81" spans="11:17" x14ac:dyDescent="0.3">
      <c r="K81" s="3">
        <v>46</v>
      </c>
      <c r="L81" s="3">
        <f t="shared" si="2"/>
        <v>0.70100579091740312</v>
      </c>
      <c r="M81" s="3">
        <f t="shared" si="1"/>
        <v>1.2452388305431592</v>
      </c>
      <c r="N81" s="3"/>
      <c r="O81" s="3"/>
      <c r="P81" s="3"/>
      <c r="Q81" s="3"/>
    </row>
    <row r="82" spans="11:17" x14ac:dyDescent="0.3">
      <c r="K82" s="3">
        <v>47</v>
      </c>
      <c r="L82" s="3">
        <f t="shared" si="2"/>
        <v>0.71624504724169447</v>
      </c>
      <c r="M82" s="3">
        <f t="shared" si="1"/>
        <v>1.2437928514075565</v>
      </c>
      <c r="N82" s="3"/>
      <c r="O82" s="3"/>
      <c r="P82" s="3"/>
      <c r="Q82" s="3"/>
    </row>
    <row r="83" spans="11:17" x14ac:dyDescent="0.3">
      <c r="K83" s="3">
        <v>48</v>
      </c>
      <c r="L83" s="3">
        <f t="shared" si="2"/>
        <v>0.73148430356598582</v>
      </c>
      <c r="M83" s="3">
        <f t="shared" si="1"/>
        <v>1.2414153563197847</v>
      </c>
      <c r="N83" s="3"/>
      <c r="O83" s="3"/>
      <c r="P83" s="3"/>
      <c r="Q83" s="3"/>
    </row>
    <row r="84" spans="11:17" x14ac:dyDescent="0.3">
      <c r="K84" s="3">
        <v>49</v>
      </c>
      <c r="L84" s="3">
        <f t="shared" si="2"/>
        <v>0.74672355989027717</v>
      </c>
      <c r="M84" s="3">
        <f t="shared" si="1"/>
        <v>1.2381063452798431</v>
      </c>
      <c r="N84" s="3"/>
      <c r="O84" s="3"/>
      <c r="P84" s="3"/>
      <c r="Q84" s="3"/>
    </row>
    <row r="85" spans="11:17" x14ac:dyDescent="0.3">
      <c r="K85" s="3">
        <v>50</v>
      </c>
      <c r="L85" s="3">
        <f t="shared" si="2"/>
        <v>0.76196281621456852</v>
      </c>
      <c r="M85" s="3">
        <f t="shared" si="1"/>
        <v>1.2338658182877327</v>
      </c>
      <c r="N85" s="3"/>
      <c r="O85" s="3"/>
      <c r="P85" s="3"/>
      <c r="Q85" s="3"/>
    </row>
    <row r="86" spans="11:17" x14ac:dyDescent="0.3">
      <c r="K86" s="3">
        <v>51</v>
      </c>
      <c r="L86" s="3">
        <f t="shared" si="2"/>
        <v>0.77720207253885998</v>
      </c>
      <c r="M86" s="3">
        <f t="shared" si="1"/>
        <v>1.2286937753434524</v>
      </c>
      <c r="N86" s="3"/>
      <c r="O86" s="3"/>
      <c r="P86" s="3"/>
      <c r="Q86" s="3"/>
    </row>
    <row r="87" spans="11:17" x14ac:dyDescent="0.3">
      <c r="K87" s="3">
        <v>52</v>
      </c>
      <c r="L87" s="3">
        <f t="shared" si="2"/>
        <v>0.79244132886315133</v>
      </c>
      <c r="M87" s="3">
        <f t="shared" si="1"/>
        <v>1.2225902164470028</v>
      </c>
      <c r="N87" s="3"/>
      <c r="O87" s="3"/>
      <c r="P87" s="3"/>
      <c r="Q87" s="3"/>
    </row>
    <row r="88" spans="11:17" x14ac:dyDescent="0.3">
      <c r="K88" s="3">
        <v>53</v>
      </c>
      <c r="L88" s="3">
        <f t="shared" si="2"/>
        <v>0.80768058518744268</v>
      </c>
      <c r="M88" s="3">
        <f t="shared" si="1"/>
        <v>1.2155551415983843</v>
      </c>
      <c r="N88" s="3"/>
      <c r="O88" s="3"/>
      <c r="P88" s="3"/>
      <c r="Q88" s="3"/>
    </row>
    <row r="89" spans="11:17" x14ac:dyDescent="0.3">
      <c r="K89" s="3">
        <v>54</v>
      </c>
      <c r="L89" s="3">
        <f t="shared" si="2"/>
        <v>0.82291984151173403</v>
      </c>
      <c r="M89" s="3">
        <f t="shared" si="1"/>
        <v>1.2075885507975963</v>
      </c>
      <c r="N89" s="3"/>
      <c r="O89" s="3"/>
      <c r="P89" s="3"/>
      <c r="Q89" s="3"/>
    </row>
    <row r="90" spans="11:17" x14ac:dyDescent="0.3">
      <c r="K90" s="3">
        <v>55</v>
      </c>
      <c r="L90" s="3">
        <f t="shared" si="2"/>
        <v>0.83815909783602538</v>
      </c>
      <c r="M90" s="3">
        <f t="shared" si="1"/>
        <v>1.1986904440446389</v>
      </c>
      <c r="N90" s="3"/>
      <c r="O90" s="3"/>
      <c r="P90" s="3"/>
      <c r="Q90" s="3"/>
    </row>
    <row r="91" spans="11:17" x14ac:dyDescent="0.3">
      <c r="K91" s="3">
        <v>56</v>
      </c>
      <c r="L91" s="3">
        <f t="shared" si="2"/>
        <v>0.85339835416031673</v>
      </c>
      <c r="M91" s="3">
        <f t="shared" si="1"/>
        <v>1.1888608213395122</v>
      </c>
      <c r="N91" s="3"/>
      <c r="O91" s="3"/>
      <c r="P91" s="3"/>
      <c r="Q91" s="3"/>
    </row>
    <row r="92" spans="11:17" x14ac:dyDescent="0.3">
      <c r="K92" s="3">
        <v>57</v>
      </c>
      <c r="L92" s="3">
        <f t="shared" si="2"/>
        <v>0.86863761048460819</v>
      </c>
      <c r="M92" s="3">
        <f t="shared" si="1"/>
        <v>1.1780996826822159</v>
      </c>
      <c r="N92" s="3"/>
      <c r="O92" s="3"/>
      <c r="P92" s="3"/>
      <c r="Q92" s="3"/>
    </row>
    <row r="93" spans="11:17" x14ac:dyDescent="0.3">
      <c r="K93" s="3">
        <v>58</v>
      </c>
      <c r="L93" s="3">
        <f t="shared" si="2"/>
        <v>0.88387686680889954</v>
      </c>
      <c r="M93" s="3">
        <f t="shared" si="1"/>
        <v>1.1664070280727501</v>
      </c>
      <c r="N93" s="3"/>
      <c r="O93" s="3"/>
      <c r="P93" s="3"/>
      <c r="Q93" s="3"/>
    </row>
    <row r="94" spans="11:17" x14ac:dyDescent="0.3">
      <c r="K94" s="3">
        <v>59</v>
      </c>
      <c r="L94" s="3">
        <f t="shared" si="2"/>
        <v>0.89911612313319089</v>
      </c>
      <c r="M94" s="3">
        <f t="shared" si="1"/>
        <v>1.1537828575111155</v>
      </c>
      <c r="N94" s="3"/>
      <c r="O94" s="3"/>
      <c r="P94" s="3"/>
      <c r="Q94" s="3"/>
    </row>
    <row r="95" spans="11:17" x14ac:dyDescent="0.3">
      <c r="K95" s="3">
        <v>60</v>
      </c>
      <c r="L95" s="3">
        <f t="shared" si="2"/>
        <v>0.91435537945748224</v>
      </c>
      <c r="M95" s="3">
        <f t="shared" si="1"/>
        <v>1.1402271709973117</v>
      </c>
      <c r="N95" s="3"/>
      <c r="O95" s="3"/>
      <c r="P95" s="3"/>
      <c r="Q95" s="3"/>
    </row>
    <row r="96" spans="11:17" x14ac:dyDescent="0.3">
      <c r="K96" s="3">
        <v>61</v>
      </c>
      <c r="L96" s="3">
        <f t="shared" si="2"/>
        <v>0.92959463578177359</v>
      </c>
      <c r="M96" s="3">
        <f t="shared" si="1"/>
        <v>1.1257399685313381</v>
      </c>
      <c r="N96" s="3"/>
      <c r="O96" s="3"/>
      <c r="P96" s="3"/>
      <c r="Q96" s="3"/>
    </row>
    <row r="97" spans="11:17" x14ac:dyDescent="0.3">
      <c r="K97" s="3">
        <v>62</v>
      </c>
      <c r="L97" s="3">
        <f t="shared" si="2"/>
        <v>0.94483389210606505</v>
      </c>
      <c r="M97" s="3">
        <f t="shared" si="1"/>
        <v>1.1103212501131952</v>
      </c>
      <c r="N97" s="3"/>
      <c r="O97" s="3"/>
      <c r="P97" s="3"/>
      <c r="Q97" s="3"/>
    </row>
    <row r="98" spans="11:17" x14ac:dyDescent="0.3">
      <c r="K98" s="3">
        <v>63</v>
      </c>
      <c r="L98" s="3">
        <f t="shared" si="2"/>
        <v>0.9600731484303564</v>
      </c>
      <c r="M98" s="3">
        <f t="shared" si="1"/>
        <v>1.0939710157428832</v>
      </c>
      <c r="N98" s="3"/>
      <c r="O98" s="3"/>
      <c r="P98" s="3"/>
      <c r="Q98" s="3"/>
    </row>
    <row r="99" spans="11:17" x14ac:dyDescent="0.3">
      <c r="K99" s="3">
        <v>64</v>
      </c>
      <c r="L99" s="3">
        <f t="shared" ref="L99:L130" si="3">$L$33/100*K99</f>
        <v>0.97531240475464775</v>
      </c>
      <c r="M99" s="3">
        <f t="shared" si="1"/>
        <v>1.0766892654204017</v>
      </c>
      <c r="N99" s="3"/>
      <c r="O99" s="3"/>
      <c r="P99" s="3"/>
      <c r="Q99" s="3"/>
    </row>
    <row r="100" spans="11:17" x14ac:dyDescent="0.3">
      <c r="K100" s="3">
        <v>65</v>
      </c>
      <c r="L100" s="3">
        <f t="shared" si="3"/>
        <v>0.99055166107893911</v>
      </c>
      <c r="M100" s="3">
        <f t="shared" ref="M100:M135" si="4">MAX(TAN($N$33)*L100 - $O$33*L100^2 / (2*($M$33*COS($N$33))^2) + $K$33, 0)</f>
        <v>1.0584759991457511</v>
      </c>
      <c r="N100" s="3"/>
      <c r="O100" s="3"/>
      <c r="P100" s="3"/>
      <c r="Q100" s="3"/>
    </row>
    <row r="101" spans="11:17" x14ac:dyDescent="0.3">
      <c r="K101" s="3">
        <v>66</v>
      </c>
      <c r="L101" s="3">
        <f t="shared" si="3"/>
        <v>1.0057909174032305</v>
      </c>
      <c r="M101" s="3">
        <f t="shared" si="4"/>
        <v>1.0393312169189315</v>
      </c>
      <c r="N101" s="3"/>
      <c r="O101" s="3"/>
      <c r="P101" s="3"/>
      <c r="Q101" s="3"/>
    </row>
    <row r="102" spans="11:17" x14ac:dyDescent="0.3">
      <c r="K102" s="3">
        <v>67</v>
      </c>
      <c r="L102" s="3">
        <f t="shared" si="3"/>
        <v>1.0210301737275218</v>
      </c>
      <c r="M102" s="3">
        <f t="shared" si="4"/>
        <v>1.0192549187399416</v>
      </c>
      <c r="N102" s="3"/>
      <c r="O102" s="3"/>
      <c r="P102" s="3"/>
      <c r="Q102" s="3"/>
    </row>
    <row r="103" spans="11:17" x14ac:dyDescent="0.3">
      <c r="K103" s="3">
        <v>68</v>
      </c>
      <c r="L103" s="3">
        <f t="shared" si="3"/>
        <v>1.0362694300518132</v>
      </c>
      <c r="M103" s="3">
        <f t="shared" si="4"/>
        <v>0.99824710460878308</v>
      </c>
      <c r="N103" s="3"/>
      <c r="O103" s="3"/>
      <c r="P103" s="3"/>
      <c r="Q103" s="3"/>
    </row>
    <row r="104" spans="11:17" x14ac:dyDescent="0.3">
      <c r="K104" s="3">
        <v>69</v>
      </c>
      <c r="L104" s="3">
        <f t="shared" si="3"/>
        <v>1.0515086863761045</v>
      </c>
      <c r="M104" s="3">
        <f t="shared" si="4"/>
        <v>0.9763077745254547</v>
      </c>
      <c r="N104" s="3"/>
      <c r="O104" s="3"/>
      <c r="P104" s="3"/>
      <c r="Q104" s="3"/>
    </row>
    <row r="105" spans="11:17" x14ac:dyDescent="0.3">
      <c r="K105" s="3">
        <v>70</v>
      </c>
      <c r="L105" s="3">
        <f t="shared" si="3"/>
        <v>1.0667479427003961</v>
      </c>
      <c r="M105" s="3">
        <f t="shared" si="4"/>
        <v>0.95343692848995687</v>
      </c>
      <c r="N105" s="3"/>
      <c r="O105" s="3"/>
      <c r="P105" s="3"/>
      <c r="Q105" s="3"/>
    </row>
    <row r="106" spans="11:17" x14ac:dyDescent="0.3">
      <c r="K106" s="3">
        <v>71</v>
      </c>
      <c r="L106" s="3">
        <f t="shared" si="3"/>
        <v>1.0819871990246874</v>
      </c>
      <c r="M106" s="3">
        <f t="shared" si="4"/>
        <v>0.92963456650229004</v>
      </c>
      <c r="N106" s="3"/>
      <c r="O106" s="3"/>
      <c r="P106" s="3"/>
      <c r="Q106" s="3"/>
    </row>
    <row r="107" spans="11:17" x14ac:dyDescent="0.3">
      <c r="K107" s="3">
        <v>72</v>
      </c>
      <c r="L107" s="3">
        <f t="shared" si="3"/>
        <v>1.0972264553489788</v>
      </c>
      <c r="M107" s="3">
        <f t="shared" si="4"/>
        <v>0.90490068856245376</v>
      </c>
      <c r="N107" s="3"/>
      <c r="O107" s="3"/>
      <c r="P107" s="3"/>
      <c r="Q107" s="3"/>
    </row>
    <row r="108" spans="11:17" x14ac:dyDescent="0.3">
      <c r="K108" s="3">
        <v>73</v>
      </c>
      <c r="L108" s="3">
        <f t="shared" si="3"/>
        <v>1.1124657116732701</v>
      </c>
      <c r="M108" s="3">
        <f t="shared" si="4"/>
        <v>0.87923529467044848</v>
      </c>
      <c r="N108" s="3"/>
      <c r="O108" s="3"/>
      <c r="P108" s="3"/>
      <c r="Q108" s="3"/>
    </row>
    <row r="109" spans="11:17" x14ac:dyDescent="0.3">
      <c r="K109" s="3">
        <v>74</v>
      </c>
      <c r="L109" s="3">
        <f t="shared" si="3"/>
        <v>1.1277049679975615</v>
      </c>
      <c r="M109" s="3">
        <f t="shared" si="4"/>
        <v>0.8526383848262733</v>
      </c>
      <c r="N109" s="3"/>
      <c r="O109" s="3"/>
      <c r="P109" s="3"/>
      <c r="Q109" s="3"/>
    </row>
    <row r="110" spans="11:17" x14ac:dyDescent="0.3">
      <c r="K110" s="3">
        <v>75</v>
      </c>
      <c r="L110" s="3">
        <f t="shared" si="3"/>
        <v>1.1429442243218528</v>
      </c>
      <c r="M110" s="3">
        <f t="shared" si="4"/>
        <v>0.82510995902992956</v>
      </c>
      <c r="N110" s="3"/>
      <c r="O110" s="3"/>
      <c r="P110" s="3"/>
      <c r="Q110" s="3"/>
    </row>
    <row r="111" spans="11:17" x14ac:dyDescent="0.3">
      <c r="K111" s="3">
        <v>76</v>
      </c>
      <c r="L111" s="3">
        <f t="shared" si="3"/>
        <v>1.1581834806461442</v>
      </c>
      <c r="M111" s="3">
        <f t="shared" si="4"/>
        <v>0.79665001728141549</v>
      </c>
      <c r="N111" s="3"/>
      <c r="O111" s="3"/>
      <c r="P111" s="3"/>
      <c r="Q111" s="3"/>
    </row>
    <row r="112" spans="11:17" x14ac:dyDescent="0.3">
      <c r="K112" s="3">
        <v>77</v>
      </c>
      <c r="L112" s="3">
        <f t="shared" si="3"/>
        <v>1.1734227369704355</v>
      </c>
      <c r="M112" s="3">
        <f t="shared" si="4"/>
        <v>0.7672585595807333</v>
      </c>
      <c r="N112" s="3"/>
      <c r="O112" s="3"/>
      <c r="P112" s="3"/>
      <c r="Q112" s="3"/>
    </row>
    <row r="113" spans="11:17" x14ac:dyDescent="0.3">
      <c r="K113" s="3">
        <v>78</v>
      </c>
      <c r="L113" s="3">
        <f t="shared" si="3"/>
        <v>1.1886619932947269</v>
      </c>
      <c r="M113" s="3">
        <f t="shared" si="4"/>
        <v>0.73693558592788078</v>
      </c>
      <c r="N113" s="3"/>
      <c r="O113" s="3"/>
      <c r="P113" s="3"/>
      <c r="Q113" s="3"/>
    </row>
    <row r="114" spans="11:17" x14ac:dyDescent="0.3">
      <c r="K114" s="3">
        <v>79</v>
      </c>
      <c r="L114" s="3">
        <f t="shared" si="3"/>
        <v>1.2039012496190182</v>
      </c>
      <c r="M114" s="3">
        <f t="shared" si="4"/>
        <v>0.70568109632285925</v>
      </c>
      <c r="N114" s="3"/>
      <c r="O114" s="3"/>
      <c r="P114" s="3"/>
      <c r="Q114" s="3"/>
    </row>
    <row r="115" spans="11:17" x14ac:dyDescent="0.3">
      <c r="K115" s="3">
        <v>80</v>
      </c>
      <c r="L115" s="3">
        <f t="shared" si="3"/>
        <v>1.2191405059433098</v>
      </c>
      <c r="M115" s="3">
        <f t="shared" si="4"/>
        <v>0.67349509076566827</v>
      </c>
      <c r="N115" s="3"/>
      <c r="O115" s="3"/>
      <c r="P115" s="3"/>
      <c r="Q115" s="3"/>
    </row>
    <row r="116" spans="11:17" x14ac:dyDescent="0.3">
      <c r="K116" s="3">
        <v>81</v>
      </c>
      <c r="L116" s="3">
        <f t="shared" si="3"/>
        <v>1.2343797622676012</v>
      </c>
      <c r="M116" s="3">
        <f t="shared" si="4"/>
        <v>0.64037756925630784</v>
      </c>
      <c r="N116" s="3"/>
      <c r="O116" s="3"/>
      <c r="P116" s="3"/>
      <c r="Q116" s="3"/>
    </row>
    <row r="117" spans="11:17" x14ac:dyDescent="0.3">
      <c r="K117" s="3">
        <v>82</v>
      </c>
      <c r="L117" s="3">
        <f t="shared" si="3"/>
        <v>1.2496190185918925</v>
      </c>
      <c r="M117" s="3">
        <f t="shared" si="4"/>
        <v>0.60632853179477841</v>
      </c>
      <c r="N117" s="3"/>
      <c r="O117" s="3"/>
      <c r="P117" s="3"/>
      <c r="Q117" s="3"/>
    </row>
    <row r="118" spans="11:17" x14ac:dyDescent="0.3">
      <c r="K118" s="3">
        <v>83</v>
      </c>
      <c r="L118" s="3">
        <f t="shared" si="3"/>
        <v>1.2648582749161839</v>
      </c>
      <c r="M118" s="3">
        <f t="shared" si="4"/>
        <v>0.57134797838107954</v>
      </c>
      <c r="N118" s="3"/>
      <c r="O118" s="3"/>
      <c r="P118" s="3"/>
      <c r="Q118" s="3"/>
    </row>
    <row r="119" spans="11:17" x14ac:dyDescent="0.3">
      <c r="K119" s="3">
        <v>84</v>
      </c>
      <c r="L119" s="3">
        <f t="shared" si="3"/>
        <v>1.2800975312404752</v>
      </c>
      <c r="M119" s="3">
        <f t="shared" si="4"/>
        <v>0.53543590901521121</v>
      </c>
      <c r="N119" s="3"/>
      <c r="O119" s="3"/>
      <c r="P119" s="3"/>
      <c r="Q119" s="3"/>
    </row>
    <row r="120" spans="11:17" x14ac:dyDescent="0.3">
      <c r="K120" s="3">
        <v>85</v>
      </c>
      <c r="L120" s="3">
        <f t="shared" si="3"/>
        <v>1.2953367875647666</v>
      </c>
      <c r="M120" s="3">
        <f t="shared" si="4"/>
        <v>0.49859232369717382</v>
      </c>
      <c r="N120" s="3"/>
      <c r="O120" s="3"/>
      <c r="P120" s="3"/>
      <c r="Q120" s="3"/>
    </row>
    <row r="121" spans="11:17" x14ac:dyDescent="0.3">
      <c r="K121" s="3">
        <v>86</v>
      </c>
      <c r="L121" s="3">
        <f t="shared" si="3"/>
        <v>1.3105760438890579</v>
      </c>
      <c r="M121" s="3">
        <f t="shared" si="4"/>
        <v>0.4608172224269666</v>
      </c>
      <c r="N121" s="3"/>
      <c r="O121" s="3"/>
      <c r="P121" s="3"/>
      <c r="Q121" s="3"/>
    </row>
    <row r="122" spans="11:17" x14ac:dyDescent="0.3">
      <c r="K122" s="3">
        <v>87</v>
      </c>
      <c r="L122" s="3">
        <f t="shared" si="3"/>
        <v>1.3258153002133493</v>
      </c>
      <c r="M122" s="3">
        <f t="shared" si="4"/>
        <v>0.42211060520459082</v>
      </c>
      <c r="N122" s="3"/>
      <c r="O122" s="3"/>
      <c r="P122" s="3"/>
      <c r="Q122" s="3"/>
    </row>
    <row r="123" spans="11:17" x14ac:dyDescent="0.3">
      <c r="K123" s="3">
        <v>88</v>
      </c>
      <c r="L123" s="3">
        <f t="shared" si="3"/>
        <v>1.3410545565376406</v>
      </c>
      <c r="M123" s="3">
        <f t="shared" si="4"/>
        <v>0.38247247203004514</v>
      </c>
      <c r="N123" s="3"/>
      <c r="O123" s="3"/>
      <c r="P123" s="3"/>
      <c r="Q123" s="3"/>
    </row>
    <row r="124" spans="11:17" x14ac:dyDescent="0.3">
      <c r="K124" s="3">
        <v>89</v>
      </c>
      <c r="L124" s="3">
        <f t="shared" si="3"/>
        <v>1.356293812861932</v>
      </c>
      <c r="M124" s="3">
        <f t="shared" si="4"/>
        <v>0.34190282290333002</v>
      </c>
      <c r="N124" s="3"/>
      <c r="O124" s="3"/>
      <c r="P124" s="3"/>
      <c r="Q124" s="3"/>
    </row>
    <row r="125" spans="11:17" x14ac:dyDescent="0.3">
      <c r="K125" s="3">
        <v>90</v>
      </c>
      <c r="L125" s="3">
        <f t="shared" si="3"/>
        <v>1.3715330691862233</v>
      </c>
      <c r="M125" s="3">
        <f t="shared" si="4"/>
        <v>0.30040165782444633</v>
      </c>
      <c r="N125" s="3"/>
      <c r="O125" s="3"/>
      <c r="P125" s="3"/>
      <c r="Q125" s="3"/>
    </row>
    <row r="126" spans="11:17" x14ac:dyDescent="0.3">
      <c r="K126" s="3">
        <v>91</v>
      </c>
      <c r="L126" s="3">
        <f t="shared" si="3"/>
        <v>1.3867723255105149</v>
      </c>
      <c r="M126" s="3">
        <f t="shared" si="4"/>
        <v>0.25796897679339187</v>
      </c>
      <c r="N126" s="3"/>
      <c r="O126" s="3"/>
      <c r="P126" s="3"/>
      <c r="Q126" s="3"/>
    </row>
    <row r="127" spans="11:17" x14ac:dyDescent="0.3">
      <c r="K127" s="3">
        <v>92</v>
      </c>
      <c r="L127" s="3">
        <f t="shared" si="3"/>
        <v>1.4020115818348062</v>
      </c>
      <c r="M127" s="3">
        <f t="shared" si="4"/>
        <v>0.21460477981016884</v>
      </c>
      <c r="N127" s="3"/>
      <c r="O127" s="3"/>
      <c r="P127" s="3"/>
      <c r="Q127" s="3"/>
    </row>
    <row r="128" spans="11:17" x14ac:dyDescent="0.3">
      <c r="K128" s="3">
        <v>93</v>
      </c>
      <c r="L128" s="3">
        <f t="shared" si="3"/>
        <v>1.4172508381590976</v>
      </c>
      <c r="M128" s="3">
        <f t="shared" si="4"/>
        <v>0.17030906687477682</v>
      </c>
      <c r="N128" s="3"/>
      <c r="O128" s="3"/>
      <c r="P128" s="3"/>
      <c r="Q128" s="3"/>
    </row>
    <row r="129" spans="11:17" x14ac:dyDescent="0.3">
      <c r="K129" s="3">
        <v>94</v>
      </c>
      <c r="L129" s="3">
        <f t="shared" si="3"/>
        <v>1.4324900944833889</v>
      </c>
      <c r="M129" s="3">
        <f t="shared" si="4"/>
        <v>0.12508183798721489</v>
      </c>
      <c r="N129" s="3"/>
      <c r="O129" s="3"/>
      <c r="P129" s="3"/>
      <c r="Q129" s="3"/>
    </row>
    <row r="130" spans="11:17" x14ac:dyDescent="0.3">
      <c r="K130" s="3">
        <v>95</v>
      </c>
      <c r="L130" s="3">
        <f t="shared" si="3"/>
        <v>1.4477293508076803</v>
      </c>
      <c r="M130" s="3">
        <f t="shared" si="4"/>
        <v>7.8923093147483525E-2</v>
      </c>
      <c r="N130" s="3"/>
      <c r="O130" s="3"/>
      <c r="P130" s="3"/>
      <c r="Q130" s="3"/>
    </row>
    <row r="131" spans="11:17" x14ac:dyDescent="0.3">
      <c r="K131" s="3">
        <v>96</v>
      </c>
      <c r="L131" s="3">
        <f t="shared" ref="L131:L135" si="5">$L$33/100*K131</f>
        <v>1.4629686071319716</v>
      </c>
      <c r="M131" s="3">
        <f t="shared" si="4"/>
        <v>3.1832832355584484E-2</v>
      </c>
      <c r="N131" s="3"/>
      <c r="O131" s="3"/>
      <c r="P131" s="3"/>
      <c r="Q131" s="3"/>
    </row>
    <row r="132" spans="11:17" x14ac:dyDescent="0.3">
      <c r="K132" s="3">
        <v>97</v>
      </c>
      <c r="L132" s="3">
        <f t="shared" si="5"/>
        <v>1.478207863456263</v>
      </c>
      <c r="M132" s="3">
        <f t="shared" si="4"/>
        <v>0</v>
      </c>
      <c r="N132" s="3"/>
      <c r="O132" s="3"/>
      <c r="P132" s="3"/>
      <c r="Q132" s="3"/>
    </row>
    <row r="133" spans="11:17" x14ac:dyDescent="0.3">
      <c r="K133" s="3">
        <v>98</v>
      </c>
      <c r="L133" s="3">
        <f t="shared" si="5"/>
        <v>1.4934471197805543</v>
      </c>
      <c r="M133" s="3">
        <f t="shared" si="4"/>
        <v>0</v>
      </c>
      <c r="N133" s="3"/>
      <c r="O133" s="3"/>
      <c r="P133" s="3"/>
      <c r="Q133" s="3"/>
    </row>
    <row r="134" spans="11:17" x14ac:dyDescent="0.3">
      <c r="K134" s="3">
        <v>99</v>
      </c>
      <c r="L134" s="3">
        <f t="shared" si="5"/>
        <v>1.5086863761048457</v>
      </c>
      <c r="M134" s="3">
        <f t="shared" si="4"/>
        <v>0</v>
      </c>
      <c r="N134" s="3"/>
      <c r="O134" s="3"/>
      <c r="P134" s="3"/>
      <c r="Q134" s="3"/>
    </row>
    <row r="135" spans="11:17" x14ac:dyDescent="0.3">
      <c r="K135" s="3">
        <v>100</v>
      </c>
      <c r="L135" s="3">
        <f t="shared" si="5"/>
        <v>1.523925632429137</v>
      </c>
      <c r="M135" s="3">
        <f t="shared" si="4"/>
        <v>0</v>
      </c>
      <c r="N135" s="3"/>
      <c r="O135" s="3"/>
      <c r="P135" s="3"/>
      <c r="Q135" s="3"/>
    </row>
  </sheetData>
  <sheetProtection sheet="1" objects="1" scenarios="1" formatCells="0" formatColumns="0" formatRows="0"/>
  <mergeCells count="3">
    <mergeCell ref="C6:D6"/>
    <mergeCell ref="F6:G6"/>
    <mergeCell ref="I6:J6"/>
  </mergeCells>
  <conditionalFormatting sqref="D7 D9 G7">
    <cfRule type="cellIs" dxfId="48" priority="6" operator="lessThanOrEqual">
      <formula>0</formula>
    </cfRule>
  </conditionalFormatting>
  <conditionalFormatting sqref="D8 G8">
    <cfRule type="cellIs" dxfId="47" priority="5" operator="lessThan">
      <formula>0</formula>
    </cfRule>
  </conditionalFormatting>
  <conditionalFormatting sqref="D10 G10">
    <cfRule type="cellIs" dxfId="46" priority="3" operator="lessThanOrEqual">
      <formula>-90</formula>
    </cfRule>
    <cfRule type="cellIs" dxfId="45" priority="4" operator="greaterThanOrEqual">
      <formula>90</formula>
    </cfRule>
  </conditionalFormatting>
  <conditionalFormatting sqref="D7:D10 G7:G10">
    <cfRule type="expression" dxfId="44" priority="2">
      <formula>ISTEXT(D7)</formula>
    </cfRule>
  </conditionalFormatting>
  <conditionalFormatting sqref="D7:D10 G7:G10 I6">
    <cfRule type="containsBlanks" dxfId="43" priority="1">
      <formula>LEN(TRIM(D6))=0</formula>
    </cfRule>
  </conditionalFormatting>
  <dataValidations count="1">
    <dataValidation type="list" allowBlank="1" showInputMessage="1" showErrorMessage="1" sqref="I6" xr:uid="{00000000-0002-0000-0500-000000000000}">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Metric">
              <controlPr locked="0" defaultSize="0" autoFill="0" autoLine="0" autoPict="0" macro="[0]!Projectile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S22"/>
  <sheetViews>
    <sheetView zoomScaleNormal="100" workbookViewId="0"/>
  </sheetViews>
  <sheetFormatPr defaultColWidth="9.109375" defaultRowHeight="14.4" x14ac:dyDescent="0.3"/>
  <cols>
    <col min="1" max="1" width="7.109375" style="1" customWidth="1"/>
    <col min="2" max="2" width="3.33203125" style="1" customWidth="1"/>
    <col min="3" max="3" width="18.88671875" style="1" customWidth="1"/>
    <col min="4" max="4" width="9.44140625" style="1" customWidth="1"/>
    <col min="5" max="5" width="13" style="1" customWidth="1"/>
    <col min="6" max="6" width="17.88671875" style="1" customWidth="1"/>
    <col min="7" max="7" width="9.109375" style="1"/>
    <col min="8" max="8" width="12.5546875" style="1" customWidth="1"/>
    <col min="9" max="9" width="19.44140625" style="1" customWidth="1"/>
    <col min="10" max="12" width="9.109375" style="1"/>
    <col min="13" max="19" width="0" style="1" hidden="1" customWidth="1"/>
    <col min="20" max="16384" width="9.109375" style="1"/>
  </cols>
  <sheetData>
    <row r="2" spans="2:19" ht="31.2" x14ac:dyDescent="0.3">
      <c r="C2" s="2" t="s">
        <v>101</v>
      </c>
    </row>
    <row r="4" spans="2:19" x14ac:dyDescent="0.3">
      <c r="B4" s="8" t="b">
        <v>1</v>
      </c>
      <c r="C4" s="1" t="s">
        <v>0</v>
      </c>
    </row>
    <row r="6" spans="2:19" ht="18" x14ac:dyDescent="0.3">
      <c r="F6" s="190" t="s">
        <v>95</v>
      </c>
      <c r="G6" s="190"/>
      <c r="I6" s="190" t="s">
        <v>98</v>
      </c>
      <c r="J6" s="190"/>
    </row>
    <row r="7" spans="2:19" x14ac:dyDescent="0.3">
      <c r="C7" s="90" t="s">
        <v>102</v>
      </c>
      <c r="D7" s="11" t="s">
        <v>26</v>
      </c>
      <c r="F7" s="90" t="s">
        <v>105</v>
      </c>
      <c r="G7" s="11">
        <v>50</v>
      </c>
      <c r="I7" s="90" t="str">
        <f>"Estimated Dist. (" &amp; IF($B$4, "mm", "in") &amp; ")"</f>
        <v>Estimated Dist. (mm)</v>
      </c>
      <c r="J7" s="52">
        <v>70</v>
      </c>
      <c r="M7" s="116" t="s">
        <v>228</v>
      </c>
      <c r="N7" s="117" t="s">
        <v>229</v>
      </c>
      <c r="O7" s="116" t="s">
        <v>223</v>
      </c>
      <c r="P7" s="116" t="s">
        <v>230</v>
      </c>
      <c r="Q7" s="116" t="s">
        <v>231</v>
      </c>
      <c r="R7" s="116" t="s">
        <v>232</v>
      </c>
      <c r="S7" s="118" t="s">
        <v>233</v>
      </c>
    </row>
    <row r="8" spans="2:19" x14ac:dyDescent="0.3">
      <c r="I8" s="90" t="s">
        <v>106</v>
      </c>
      <c r="J8" s="73" t="s">
        <v>108</v>
      </c>
      <c r="M8" s="119">
        <f>G7*$D$17/2</f>
        <v>238.24999999999997</v>
      </c>
      <c r="N8" s="119">
        <f t="shared" ref="N8:N14" si="0">ACOS((D$13-D$10)/(2*M8))</f>
        <v>1.5516965723780121</v>
      </c>
      <c r="O8" s="119">
        <f t="shared" ref="O8:O14" si="1">SQRT(M8^2-(D$10/2-D$13/2)^2)</f>
        <v>238.20654444736232</v>
      </c>
      <c r="P8" s="119">
        <f t="shared" ref="P8:P14" si="2">(2*O8+D$9*$D$17*N8/PI()+D$12*$D$17*(PI()-N8)/PI())/$D$17</f>
        <v>63.509119183739664</v>
      </c>
      <c r="Q8" s="119">
        <f>G7</f>
        <v>50</v>
      </c>
      <c r="R8" s="119">
        <f t="shared" ref="R8:R14" si="3">P8-Q8</f>
        <v>13.509119183739664</v>
      </c>
      <c r="S8" s="119"/>
    </row>
    <row r="9" spans="2:19" x14ac:dyDescent="0.3">
      <c r="C9" s="90" t="s">
        <v>103</v>
      </c>
      <c r="D9" s="11">
        <v>12</v>
      </c>
      <c r="I9" s="90" t="s">
        <v>107</v>
      </c>
      <c r="J9" s="11">
        <v>2</v>
      </c>
      <c r="M9" s="119">
        <f>IF(Q8&gt;P8, M8+$D$17/10, M8-$D$17/10)</f>
        <v>237.29699999999997</v>
      </c>
      <c r="N9" s="119">
        <f t="shared" si="0"/>
        <v>1.5516198571518878</v>
      </c>
      <c r="O9" s="119">
        <f t="shared" si="1"/>
        <v>237.25336989504109</v>
      </c>
      <c r="P9" s="119">
        <f t="shared" si="2"/>
        <v>63.309155809207809</v>
      </c>
      <c r="Q9" s="119">
        <f t="shared" ref="Q9:Q14" si="4">Q8</f>
        <v>50</v>
      </c>
      <c r="R9" s="119">
        <f t="shared" si="3"/>
        <v>13.309155809207809</v>
      </c>
      <c r="S9" s="119">
        <f t="shared" ref="S9:S14" si="5">(R9-R8)/(M9-M8)</f>
        <v>0.20982515690645764</v>
      </c>
    </row>
    <row r="10" spans="2:19" x14ac:dyDescent="0.3">
      <c r="C10" s="90" t="str">
        <f>"Pitch Diam. 1 (" &amp; IF($B$4, "mm", "in") &amp; ")"</f>
        <v>Pitch Diam. 1 (mm)</v>
      </c>
      <c r="D10" s="42">
        <f>$D$17*D9/PI()</f>
        <v>36.401918583978301</v>
      </c>
      <c r="M10" s="119">
        <f>IF(ABS(R9)&lt;0.000000000001,M9,M9-R9/S9)</f>
        <v>173.86725684893835</v>
      </c>
      <c r="N10" s="119">
        <f t="shared" si="0"/>
        <v>1.544622569398344</v>
      </c>
      <c r="O10" s="119">
        <f t="shared" si="1"/>
        <v>173.80770501254514</v>
      </c>
      <c r="P10" s="119">
        <f t="shared" si="2"/>
        <v>50.000902809185398</v>
      </c>
      <c r="Q10" s="119">
        <f t="shared" si="4"/>
        <v>50</v>
      </c>
      <c r="R10" s="119">
        <f t="shared" si="3"/>
        <v>9.0280918539775712E-4</v>
      </c>
      <c r="S10" s="119">
        <f t="shared" si="5"/>
        <v>0.2098109236912411</v>
      </c>
    </row>
    <row r="11" spans="2:19" x14ac:dyDescent="0.3">
      <c r="F11" s="90" t="str">
        <f>"C-C Dist. (" &amp; IF($B$4, "mm", "in") &amp; ")"</f>
        <v>C-C Dist. (mm)</v>
      </c>
      <c r="G11" s="42">
        <f>M14+D20</f>
        <v>174.27295348917576</v>
      </c>
      <c r="I11" s="90" t="str">
        <f>"Actual Dist. (" &amp; IF($B$4, "mm", "in") &amp; ")"</f>
        <v>Actual Dist. (mm)</v>
      </c>
      <c r="J11" s="42">
        <f>M22+D20</f>
        <v>69.352285889877948</v>
      </c>
      <c r="M11" s="119">
        <f>IF(ABS(R10)&lt;0.000000000001,M10,M10-R10/S10)</f>
        <v>173.86295388334671</v>
      </c>
      <c r="N11" s="119">
        <f t="shared" si="0"/>
        <v>1.5446219214713335</v>
      </c>
      <c r="O11" s="119">
        <f t="shared" si="1"/>
        <v>173.80340057258937</v>
      </c>
      <c r="P11" s="119">
        <f t="shared" si="2"/>
        <v>50.000000082693795</v>
      </c>
      <c r="Q11" s="119">
        <f t="shared" si="4"/>
        <v>50</v>
      </c>
      <c r="R11" s="119">
        <f t="shared" si="3"/>
        <v>8.2693794922761299E-8</v>
      </c>
      <c r="S11" s="119">
        <f t="shared" si="5"/>
        <v>0.20979170583072324</v>
      </c>
    </row>
    <row r="12" spans="2:19" x14ac:dyDescent="0.3">
      <c r="C12" s="90" t="s">
        <v>104</v>
      </c>
      <c r="D12" s="11">
        <v>15</v>
      </c>
      <c r="F12" s="90" t="str">
        <f>"Chain Length (" &amp; IF($B$4, "mm", "in") &amp; ")"</f>
        <v>Chain Length (mm)</v>
      </c>
      <c r="G12" s="42">
        <f>G7*$D$17</f>
        <v>476.49999999999994</v>
      </c>
      <c r="I12" s="90" t="str">
        <f>"Chain Length (" &amp; IF($B$4, "mm", "in") &amp; ")"</f>
        <v>Chain Length (mm)</v>
      </c>
      <c r="J12" s="42">
        <f>J13*D17</f>
        <v>266.83999999999997</v>
      </c>
      <c r="M12" s="119">
        <f>IF(ABS(R11)&lt;0.000000000001,M11,M11-R11/S11)</f>
        <v>173.86295348917577</v>
      </c>
      <c r="N12" s="119">
        <f t="shared" si="0"/>
        <v>1.544621921411979</v>
      </c>
      <c r="O12" s="119">
        <f t="shared" si="1"/>
        <v>173.80340017828334</v>
      </c>
      <c r="P12" s="119">
        <f t="shared" si="2"/>
        <v>49.999999999999993</v>
      </c>
      <c r="Q12" s="119">
        <f t="shared" si="4"/>
        <v>50</v>
      </c>
      <c r="R12" s="119">
        <f t="shared" si="3"/>
        <v>0</v>
      </c>
      <c r="S12" s="119">
        <f t="shared" si="5"/>
        <v>0.20979170874295902</v>
      </c>
    </row>
    <row r="13" spans="2:19" x14ac:dyDescent="0.3">
      <c r="C13" s="90" t="str">
        <f>"Pitch Diam. 2 (" &amp; IF($B$4, "mm", "in") &amp; ")"</f>
        <v>Pitch Diam. 2 (mm)</v>
      </c>
      <c r="D13" s="42">
        <f>$D$17*D12/PI()</f>
        <v>45.502398229972876</v>
      </c>
      <c r="F13" s="90" t="str">
        <f>"Clearance (" &amp; IF($B$4, "mm", "in") &amp; ")"</f>
        <v>Clearance (mm)</v>
      </c>
      <c r="G13" s="42">
        <f>G11 - ($D$10+$D$13)/2</f>
        <v>133.32079508220016</v>
      </c>
      <c r="I13" s="90" t="s">
        <v>105</v>
      </c>
      <c r="J13" s="6">
        <f>Q16</f>
        <v>28</v>
      </c>
      <c r="M13" s="119">
        <f>IF(ABS(R12)&lt;0.000000000001,M12,M12-R12/S12)</f>
        <v>173.86295348917577</v>
      </c>
      <c r="N13" s="119">
        <f t="shared" si="0"/>
        <v>1.544621921411979</v>
      </c>
      <c r="O13" s="119">
        <f t="shared" si="1"/>
        <v>173.80340017828334</v>
      </c>
      <c r="P13" s="119">
        <f t="shared" si="2"/>
        <v>49.999999999999993</v>
      </c>
      <c r="Q13" s="119">
        <f t="shared" si="4"/>
        <v>50</v>
      </c>
      <c r="R13" s="119">
        <f t="shared" si="3"/>
        <v>0</v>
      </c>
      <c r="S13" s="119" t="e">
        <f t="shared" si="5"/>
        <v>#DIV/0!</v>
      </c>
    </row>
    <row r="14" spans="2:19" x14ac:dyDescent="0.3">
      <c r="I14" s="90" t="str">
        <f>"Clearance (" &amp; IF($B$4, "mm", "in") &amp; ")"</f>
        <v>Clearance (mm)</v>
      </c>
      <c r="J14" s="42">
        <f>J11 - ($D$10+$D$13)/2</f>
        <v>28.400127482902363</v>
      </c>
      <c r="M14" s="119">
        <f>IF(ABS(R13)&lt;0.000000000001,M13,M13-R13/S13)</f>
        <v>173.86295348917577</v>
      </c>
      <c r="N14" s="119">
        <f t="shared" si="0"/>
        <v>1.544621921411979</v>
      </c>
      <c r="O14" s="119">
        <f t="shared" si="1"/>
        <v>173.80340017828334</v>
      </c>
      <c r="P14" s="119">
        <f t="shared" si="2"/>
        <v>49.999999999999993</v>
      </c>
      <c r="Q14" s="119">
        <f t="shared" si="4"/>
        <v>50</v>
      </c>
      <c r="R14" s="119">
        <f t="shared" si="3"/>
        <v>0</v>
      </c>
      <c r="S14" s="119" t="e">
        <f t="shared" si="5"/>
        <v>#DIV/0!</v>
      </c>
    </row>
    <row r="15" spans="2:19" x14ac:dyDescent="0.3">
      <c r="M15" s="115"/>
      <c r="N15" s="115"/>
      <c r="O15" s="115"/>
      <c r="P15" s="115"/>
      <c r="Q15" s="115"/>
      <c r="R15" s="115"/>
      <c r="S15" s="115"/>
    </row>
    <row r="16" spans="2:19" x14ac:dyDescent="0.3">
      <c r="C16" s="199" t="s">
        <v>20</v>
      </c>
      <c r="D16" s="199"/>
      <c r="M16" s="120">
        <f>J7-D20</f>
        <v>69.59</v>
      </c>
      <c r="N16" s="119">
        <f t="shared" ref="N16:N22" si="6">ACOS((D$13-D$10)/(2*M16))</f>
        <v>1.5053632414045293</v>
      </c>
      <c r="O16" s="119">
        <f t="shared" ref="O16:O22" si="7">SQRT(M16^2-(D$10/2-D$13/2)^2)</f>
        <v>69.441078747044315</v>
      </c>
      <c r="P16" s="119">
        <f t="shared" ref="P16:P22" si="8">(2*O16+D$9*$D$17*N16/PI()+D$12*$D$17*(PI()-N16)/PI())/$D$17</f>
        <v>28.135637980677682</v>
      </c>
      <c r="Q16" s="119">
        <f>IF(J8="Nearest", MROUND(P16, J9), IF(J8="Up",CEILING(P16, J9),FLOOR(P16, J9)))</f>
        <v>28</v>
      </c>
      <c r="R16" s="119">
        <f t="shared" ref="R16:R22" si="9">P16-Q16</f>
        <v>0.13563798067768218</v>
      </c>
      <c r="S16" s="119"/>
    </row>
    <row r="17" spans="3:19" x14ac:dyDescent="0.3">
      <c r="C17" s="63" t="str">
        <f>"Pitch (" &amp; IF($B$4, "mm", "in") &amp; ")"</f>
        <v>Pitch (mm)</v>
      </c>
      <c r="D17" s="64">
        <f>VLOOKUP($D$7, ChainBeltSpecs, 2, FALSE) / IF($B$4, 1, 25.4)</f>
        <v>9.5299999999999994</v>
      </c>
      <c r="M17" s="119">
        <f>IF(Q16&gt;P16, M16+$D$17/10, M16-$D$17/10)</f>
        <v>68.637</v>
      </c>
      <c r="N17" s="119">
        <f t="shared" si="6"/>
        <v>1.5044534005334584</v>
      </c>
      <c r="O17" s="119">
        <f t="shared" si="7"/>
        <v>68.486006501716901</v>
      </c>
      <c r="P17" s="119">
        <f t="shared" si="8"/>
        <v>27.936071925869019</v>
      </c>
      <c r="Q17" s="119">
        <f t="shared" ref="Q17:Q22" si="10">Q16</f>
        <v>28</v>
      </c>
      <c r="R17" s="119">
        <f t="shared" si="9"/>
        <v>-6.3928074130981116E-2</v>
      </c>
      <c r="S17" s="119">
        <f t="shared" ref="S17:S22" si="11">(R17-R16)/(M17-M16)</f>
        <v>0.20940824219167123</v>
      </c>
    </row>
    <row r="18" spans="3:19" x14ac:dyDescent="0.3">
      <c r="C18" s="63" t="str">
        <f>"Width (" &amp; IF($B$4, "mm", "in") &amp; ")"</f>
        <v>Width (mm)</v>
      </c>
      <c r="D18" s="64">
        <f>VLOOKUP($D$7, ChainBeltSpecs, 3, FALSE) / IF($B$4, 1, 25.4)</f>
        <v>11.76</v>
      </c>
      <c r="M18" s="119">
        <f>IF(ABS(R17)&lt;0.000000000001,M17,M17-R17/S17)</f>
        <v>68.942279646406988</v>
      </c>
      <c r="N18" s="119">
        <f t="shared" si="6"/>
        <v>1.5047475990078809</v>
      </c>
      <c r="O18" s="119">
        <f t="shared" si="7"/>
        <v>68.791956218707668</v>
      </c>
      <c r="P18" s="119">
        <f t="shared" si="8"/>
        <v>27.999998692579737</v>
      </c>
      <c r="Q18" s="119">
        <f t="shared" si="10"/>
        <v>28</v>
      </c>
      <c r="R18" s="119">
        <f t="shared" si="9"/>
        <v>-1.3074202627194609E-6</v>
      </c>
      <c r="S18" s="119">
        <f t="shared" si="11"/>
        <v>0.2094039594945471</v>
      </c>
    </row>
    <row r="19" spans="3:19" x14ac:dyDescent="0.3">
      <c r="C19" s="63" t="str">
        <f>"Thickness (" &amp; IF($B$4, "mm", "in") &amp; ")"</f>
        <v>Thickness (mm)</v>
      </c>
      <c r="D19" s="64">
        <f>VLOOKUP($D$7, ChainBeltSpecs, 4, FALSE) / IF($B$4, 1, 25.4)</f>
        <v>8.94</v>
      </c>
      <c r="M19" s="119">
        <f>IF(ABS(R18)&lt;0.000000000001,M18,M18-R18/S18)</f>
        <v>68.942285889938702</v>
      </c>
      <c r="N19" s="119">
        <f t="shared" si="6"/>
        <v>1.5047476049980801</v>
      </c>
      <c r="O19" s="119">
        <f t="shared" si="7"/>
        <v>68.791962475882684</v>
      </c>
      <c r="P19" s="119">
        <f t="shared" si="8"/>
        <v>28.000000000012722</v>
      </c>
      <c r="Q19" s="119">
        <f t="shared" si="10"/>
        <v>28</v>
      </c>
      <c r="R19" s="119">
        <f t="shared" si="9"/>
        <v>1.2722267683784594E-11</v>
      </c>
      <c r="S19" s="119">
        <f t="shared" si="11"/>
        <v>0.20940599723382855</v>
      </c>
    </row>
    <row r="20" spans="3:19" x14ac:dyDescent="0.3">
      <c r="C20" s="63" t="str">
        <f>"C-C Addition (" &amp; IF($B$4, "mm", "in") &amp; ")"</f>
        <v>C-C Addition (mm)</v>
      </c>
      <c r="D20" s="64">
        <f>VLOOKUP($D$7, ChainBeltSpecs, 5, FALSE) / IF($B$4, 1, 25.4)</f>
        <v>0.41</v>
      </c>
      <c r="M20" s="119">
        <f>IF(ABS(R19)&lt;0.000000000001,M19,M19-R19/S19)</f>
        <v>68.942285889877951</v>
      </c>
      <c r="N20" s="119">
        <f t="shared" si="6"/>
        <v>1.504747604998022</v>
      </c>
      <c r="O20" s="119">
        <f t="shared" si="7"/>
        <v>68.791962475821791</v>
      </c>
      <c r="P20" s="119">
        <f t="shared" si="8"/>
        <v>28</v>
      </c>
      <c r="Q20" s="119">
        <f t="shared" si="10"/>
        <v>28</v>
      </c>
      <c r="R20" s="119">
        <f t="shared" si="9"/>
        <v>0</v>
      </c>
      <c r="S20" s="119">
        <f t="shared" si="11"/>
        <v>0.20941520467836258</v>
      </c>
    </row>
    <row r="21" spans="3:19" x14ac:dyDescent="0.3">
      <c r="M21" s="119">
        <f>IF(ABS(R20)&lt;0.000000000001,M20,M20-R20/S20)</f>
        <v>68.942285889877951</v>
      </c>
      <c r="N21" s="119">
        <f t="shared" si="6"/>
        <v>1.504747604998022</v>
      </c>
      <c r="O21" s="119">
        <f t="shared" si="7"/>
        <v>68.791962475821791</v>
      </c>
      <c r="P21" s="119">
        <f t="shared" si="8"/>
        <v>28</v>
      </c>
      <c r="Q21" s="119">
        <f t="shared" si="10"/>
        <v>28</v>
      </c>
      <c r="R21" s="119">
        <f t="shared" si="9"/>
        <v>0</v>
      </c>
      <c r="S21" s="119" t="e">
        <f t="shared" si="11"/>
        <v>#DIV/0!</v>
      </c>
    </row>
    <row r="22" spans="3:19" x14ac:dyDescent="0.3">
      <c r="M22" s="119">
        <f>IF(ABS(R21)&lt;0.000000000001,M21,M21-R21/S21)</f>
        <v>68.942285889877951</v>
      </c>
      <c r="N22" s="119">
        <f t="shared" si="6"/>
        <v>1.504747604998022</v>
      </c>
      <c r="O22" s="119">
        <f t="shared" si="7"/>
        <v>68.791962475821791</v>
      </c>
      <c r="P22" s="119">
        <f t="shared" si="8"/>
        <v>28</v>
      </c>
      <c r="Q22" s="119">
        <f t="shared" si="10"/>
        <v>28</v>
      </c>
      <c r="R22" s="119">
        <f t="shared" si="9"/>
        <v>0</v>
      </c>
      <c r="S22" s="119" t="e">
        <f t="shared" si="11"/>
        <v>#DIV/0!</v>
      </c>
    </row>
  </sheetData>
  <sheetProtection sheet="1" objects="1" scenarios="1" formatCells="0" formatColumns="0" formatRows="0"/>
  <mergeCells count="3">
    <mergeCell ref="F6:G6"/>
    <mergeCell ref="I6:J6"/>
    <mergeCell ref="C16:D16"/>
  </mergeCells>
  <conditionalFormatting sqref="D9 D12 G7 J7 J9">
    <cfRule type="expression" dxfId="42" priority="3">
      <formula>ISTEXT(D7)</formula>
    </cfRule>
    <cfRule type="cellIs" dxfId="41" priority="8" operator="lessThanOrEqual">
      <formula>0</formula>
    </cfRule>
  </conditionalFormatting>
  <conditionalFormatting sqref="D7 D9 D12 G7 J7:J9">
    <cfRule type="containsBlanks" dxfId="40" priority="4">
      <formula>LEN(TRIM(D7))=0</formula>
    </cfRule>
    <cfRule type="containsBlanks" dxfId="39" priority="7">
      <formula>LEN(TRIM(D7))=0</formula>
    </cfRule>
  </conditionalFormatting>
  <conditionalFormatting sqref="G11:G13">
    <cfRule type="expression" dxfId="38" priority="2">
      <formula>ISERROR($G$11)</formula>
    </cfRule>
    <cfRule type="expression" dxfId="37" priority="6">
      <formula>$G$13&lt;=0</formula>
    </cfRule>
  </conditionalFormatting>
  <conditionalFormatting sqref="J11:J14">
    <cfRule type="expression" dxfId="36" priority="1">
      <formula>ISERROR($J$11)</formula>
    </cfRule>
    <cfRule type="expression" dxfId="35" priority="5">
      <formula>$J$14&lt;=0</formula>
    </cfRule>
  </conditionalFormatting>
  <dataValidations count="2">
    <dataValidation type="list" allowBlank="1" showInputMessage="1" showErrorMessage="1" errorTitle="Error" error="Invalid chain/belt type" sqref="D7" xr:uid="{00000000-0002-0000-0600-000000000000}">
      <formula1>ChainBelts</formula1>
    </dataValidation>
    <dataValidation type="list" allowBlank="1" showInputMessage="1" showErrorMessage="1" sqref="J8" xr:uid="{00000000-0002-0000-0600-000001000000}">
      <formula1>"Nearest,Up,Down"</formula1>
    </dataValidation>
  </dataValidations>
  <pageMargins left="0.7" right="0.7" top="0.75" bottom="0.75" header="0.3" footer="0.3"/>
  <pageSetup orientation="portrait" r:id="rId1"/>
  <ignoredErrors>
    <ignoredError sqref="S13:S14 S22"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9217" r:id="rId4" name="Metric">
              <controlPr locked="0" defaultSize="0" autoFill="0" autoLine="0" autoPict="0" macro="[0]!ChainBelt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2:J20"/>
  <sheetViews>
    <sheetView zoomScaleNormal="100" workbookViewId="0"/>
  </sheetViews>
  <sheetFormatPr defaultColWidth="9.109375" defaultRowHeight="14.4" x14ac:dyDescent="0.3"/>
  <cols>
    <col min="1" max="1" width="7.109375" style="1" customWidth="1"/>
    <col min="2" max="2" width="3.33203125" style="1" customWidth="1"/>
    <col min="3" max="3" width="12.33203125" style="1" customWidth="1"/>
    <col min="4" max="4" width="9.109375" style="1"/>
    <col min="5" max="5" width="15.44140625" style="1" customWidth="1"/>
    <col min="6" max="6" width="14.88671875" style="1" customWidth="1"/>
    <col min="7" max="7" width="9.109375" style="1"/>
    <col min="8" max="8" width="13.6640625" style="1" customWidth="1"/>
    <col min="9" max="9" width="15" style="1" customWidth="1"/>
    <col min="10" max="16384" width="9.109375" style="1"/>
  </cols>
  <sheetData>
    <row r="2" spans="2:10" ht="31.2" x14ac:dyDescent="0.3">
      <c r="C2" s="2" t="s">
        <v>109</v>
      </c>
    </row>
    <row r="4" spans="2:10" x14ac:dyDescent="0.3">
      <c r="B4" s="8" t="b">
        <v>1</v>
      </c>
      <c r="C4" s="1" t="s">
        <v>0</v>
      </c>
    </row>
    <row r="5" spans="2:10" x14ac:dyDescent="0.3">
      <c r="B5" s="4"/>
    </row>
    <row r="6" spans="2:10" ht="18" x14ac:dyDescent="0.3">
      <c r="F6" s="190" t="s">
        <v>116</v>
      </c>
      <c r="G6" s="190"/>
      <c r="I6" s="190" t="s">
        <v>121</v>
      </c>
      <c r="J6" s="190"/>
    </row>
    <row r="7" spans="2:10" x14ac:dyDescent="0.3">
      <c r="C7" s="90" t="s">
        <v>110</v>
      </c>
      <c r="D7" s="11">
        <v>100</v>
      </c>
      <c r="F7" s="90" t="s">
        <v>115</v>
      </c>
      <c r="G7" s="11" t="s">
        <v>117</v>
      </c>
      <c r="I7" s="90" t="s">
        <v>119</v>
      </c>
      <c r="J7" s="11">
        <v>20</v>
      </c>
    </row>
    <row r="8" spans="2:10" x14ac:dyDescent="0.3">
      <c r="C8" s="90" t="s">
        <v>111</v>
      </c>
      <c r="D8" s="11">
        <v>32</v>
      </c>
      <c r="I8" s="90" t="s">
        <v>120</v>
      </c>
      <c r="J8" s="11">
        <v>20</v>
      </c>
    </row>
    <row r="10" spans="2:10" x14ac:dyDescent="0.3">
      <c r="C10" s="90" t="s">
        <v>112</v>
      </c>
      <c r="D10" s="49">
        <v>30</v>
      </c>
      <c r="F10" s="90" t="str">
        <f>"Clearance (" &amp; IF($B$4, "mm", "in") &amp; ")"</f>
        <v>Clearance (mm)</v>
      </c>
      <c r="G10" s="42">
        <f>(($D$10+$D$11)/(2*$D$12) - ($D$7+2)/(2*$D$8) - IFERROR(CHOOSE(MATCH(G7, {"1/2"" Hex","1/2"" Round","3/8"" Hex","3/8"" Round","1/4"" Square"}, 0), 0.577, 0.5, 0.433, 0.375, 0.354), G7/IF($B$4, 25.4, 1))/2) * IF($B$4, 25.4, 1)</f>
        <v>9.3408499999999997</v>
      </c>
      <c r="I10" s="90" t="str">
        <f>"Clearance (" &amp; IF($B$4, "mm", "in") &amp; ")"</f>
        <v>Clearance (mm)</v>
      </c>
      <c r="J10" s="42">
        <f>(($D$10+$D$11)/(2*$D$12) - ($D$7+2)/(2*$D$8) - (J7+2)/(2*J8)) * IF($B$4, 25.4, 1)</f>
        <v>2.6987499999999986</v>
      </c>
    </row>
    <row r="11" spans="2:10" x14ac:dyDescent="0.3">
      <c r="C11" s="90" t="s">
        <v>113</v>
      </c>
      <c r="D11" s="11">
        <v>60</v>
      </c>
      <c r="F11" s="90" t="s">
        <v>118</v>
      </c>
      <c r="G11" s="42" t="b">
        <f>G10&gt;0</f>
        <v>1</v>
      </c>
      <c r="I11" s="90" t="s">
        <v>118</v>
      </c>
      <c r="J11" s="42" t="b">
        <f>J10&gt;0</f>
        <v>1</v>
      </c>
    </row>
    <row r="12" spans="2:10" x14ac:dyDescent="0.3">
      <c r="C12" s="90" t="s">
        <v>114</v>
      </c>
      <c r="D12" s="11">
        <v>20</v>
      </c>
      <c r="G12" s="5"/>
      <c r="J12" s="5"/>
    </row>
    <row r="13" spans="2:10" x14ac:dyDescent="0.3">
      <c r="D13" s="5"/>
      <c r="G13" s="5"/>
    </row>
    <row r="14" spans="2:10" x14ac:dyDescent="0.3">
      <c r="J14" s="5"/>
    </row>
    <row r="17" spans="4:4" x14ac:dyDescent="0.3">
      <c r="D17" s="5"/>
    </row>
    <row r="18" spans="4:4" x14ac:dyDescent="0.3">
      <c r="D18" s="5"/>
    </row>
    <row r="19" spans="4:4" x14ac:dyDescent="0.3">
      <c r="D19" s="5"/>
    </row>
    <row r="20" spans="4:4" x14ac:dyDescent="0.3">
      <c r="D20" s="5"/>
    </row>
  </sheetData>
  <sheetProtection sheet="1" objects="1" scenarios="1" formatCells="0" formatColumns="0" formatRows="0"/>
  <mergeCells count="2">
    <mergeCell ref="F6:G6"/>
    <mergeCell ref="I6:J6"/>
  </mergeCells>
  <conditionalFormatting sqref="D7:D8 D10:D12 G7 J7:J8">
    <cfRule type="containsBlanks" dxfId="34" priority="4">
      <formula>LEN(TRIM(D7))=0</formula>
    </cfRule>
    <cfRule type="cellIs" dxfId="33" priority="5" operator="lessThanOrEqual">
      <formula>0</formula>
    </cfRule>
  </conditionalFormatting>
  <conditionalFormatting sqref="G10:G11">
    <cfRule type="expression" dxfId="32" priority="3">
      <formula>$G$10&lt;=0</formula>
    </cfRule>
  </conditionalFormatting>
  <conditionalFormatting sqref="J10:J11">
    <cfRule type="expression" dxfId="31" priority="2">
      <formula>$J$10&lt;=0</formula>
    </cfRule>
  </conditionalFormatting>
  <conditionalFormatting sqref="D7:D8 D10:D12 J7:J8">
    <cfRule type="expression" dxfId="30" priority="1">
      <formula>ISTEXT(D7)</formula>
    </cfRule>
  </conditionalFormatting>
  <dataValidations count="1">
    <dataValidation type="list" allowBlank="1" showInputMessage="1" prompt="You can select an axle type from the drop-down list or enter a diameter manually." sqref="G7" xr:uid="{00000000-0002-0000-0700-000000000000}">
      <formula1>"1/2"" Hex,1/2"" Round,3/8"" Hex,3/8"" Round,1/4"" Square"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Metric">
              <controlPr locked="0" defaultSize="0" autoFill="0" autoLine="0" autoPict="0" macro="[0]!GearClear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B2:J20"/>
  <sheetViews>
    <sheetView zoomScaleNormal="100" workbookViewId="0"/>
  </sheetViews>
  <sheetFormatPr defaultColWidth="9.109375" defaultRowHeight="14.4" x14ac:dyDescent="0.3"/>
  <cols>
    <col min="1" max="1" width="7.109375" style="1" customWidth="1"/>
    <col min="2" max="2" width="3.33203125" style="1" customWidth="1"/>
    <col min="3" max="3" width="20.109375" style="1" customWidth="1"/>
    <col min="4" max="16384" width="9.109375" style="1"/>
  </cols>
  <sheetData>
    <row r="2" spans="2:10" ht="31.2" x14ac:dyDescent="0.3">
      <c r="C2" s="2" t="s">
        <v>122</v>
      </c>
    </row>
    <row r="4" spans="2:10" x14ac:dyDescent="0.3">
      <c r="B4" s="8" t="b">
        <v>0</v>
      </c>
      <c r="C4" s="1" t="s">
        <v>0</v>
      </c>
    </row>
    <row r="5" spans="2:10" x14ac:dyDescent="0.3">
      <c r="B5" s="4"/>
    </row>
    <row r="6" spans="2:10" x14ac:dyDescent="0.3">
      <c r="C6" s="90" t="s">
        <v>123</v>
      </c>
      <c r="D6" s="49">
        <v>20</v>
      </c>
    </row>
    <row r="8" spans="2:10" x14ac:dyDescent="0.3">
      <c r="C8" s="90" t="s">
        <v>124</v>
      </c>
      <c r="D8" s="72">
        <v>3</v>
      </c>
    </row>
    <row r="9" spans="2:10" x14ac:dyDescent="0.3">
      <c r="C9" s="90" t="str">
        <f>"Desired Distance (" &amp; IF($B$4, "mm", "in") &amp; ")"</f>
        <v>Desired Distance (in)</v>
      </c>
      <c r="D9" s="15">
        <v>2</v>
      </c>
    </row>
    <row r="10" spans="2:10" x14ac:dyDescent="0.3">
      <c r="D10" s="5"/>
      <c r="G10" s="5"/>
      <c r="J10" s="5"/>
    </row>
    <row r="11" spans="2:10" x14ac:dyDescent="0.3">
      <c r="C11" s="90" t="s">
        <v>125</v>
      </c>
      <c r="D11" s="6">
        <f>2*D9/IF($B$4, 25.4, 1)*D6/(D8+1)</f>
        <v>20</v>
      </c>
    </row>
    <row r="12" spans="2:10" x14ac:dyDescent="0.3">
      <c r="C12" s="90" t="str">
        <f>"Pitch Diameter (" &amp; IF($B$4, "mm", "in") &amp; ")"</f>
        <v>Pitch Diameter (in)</v>
      </c>
      <c r="D12" s="7">
        <f>D11/$D$6*IF($B$4, 25.4, 1)</f>
        <v>1</v>
      </c>
    </row>
    <row r="13" spans="2:10" x14ac:dyDescent="0.3">
      <c r="C13" s="90" t="str">
        <f>"Outside Diameter (" &amp; IF($B$4, "mm", "in") &amp; ")"</f>
        <v>Outside Diameter (in)</v>
      </c>
      <c r="D13" s="7">
        <f>(D11+2)/$D$6*IF($B$4, 25.4, 1)</f>
        <v>1.1000000000000001</v>
      </c>
    </row>
    <row r="15" spans="2:10" x14ac:dyDescent="0.3">
      <c r="C15" s="90" t="s">
        <v>126</v>
      </c>
      <c r="D15" s="6">
        <f>D11*D8</f>
        <v>60</v>
      </c>
    </row>
    <row r="16" spans="2:10" x14ac:dyDescent="0.3">
      <c r="C16" s="90" t="str">
        <f>"Pitch Diameter (" &amp; IF($B$4, "mm", "in") &amp; ")"</f>
        <v>Pitch Diameter (in)</v>
      </c>
      <c r="D16" s="7">
        <f>D15/$D$6*IF($B$4, 25.4, 1)</f>
        <v>3</v>
      </c>
    </row>
    <row r="17" spans="3:4" x14ac:dyDescent="0.3">
      <c r="C17" s="90" t="str">
        <f>"Outside Diameter (" &amp; IF($B$4, "mm", "in") &amp; ")"</f>
        <v>Outside Diameter (in)</v>
      </c>
      <c r="D17" s="7">
        <f>(D15+2)/$D$6*IF($B$4, 25.4, 1)</f>
        <v>3.1</v>
      </c>
    </row>
    <row r="19" spans="3:4" ht="14.4" customHeight="1" x14ac:dyDescent="0.3">
      <c r="C19" s="200" t="s">
        <v>127</v>
      </c>
      <c r="D19" s="200"/>
    </row>
    <row r="20" spans="3:4" ht="14.4" customHeight="1" x14ac:dyDescent="0.3">
      <c r="C20" s="201" t="s">
        <v>128</v>
      </c>
      <c r="D20" s="201"/>
    </row>
  </sheetData>
  <sheetProtection sheet="1" objects="1" scenarios="1" formatCells="0" formatColumns="0" formatRows="0"/>
  <mergeCells count="2">
    <mergeCell ref="C19:D19"/>
    <mergeCell ref="C20:D20"/>
  </mergeCells>
  <conditionalFormatting sqref="D11:D13 D15:D17">
    <cfRule type="expression" dxfId="29" priority="5">
      <formula>NOT(AND(INT($D$11)=$D$11, INT($D$15)=$D$15))</formula>
    </cfRule>
  </conditionalFormatting>
  <conditionalFormatting sqref="C19:D20">
    <cfRule type="expression" dxfId="28" priority="4">
      <formula>AND(INT($D$11)=$D$11, INT($D$15)=$D$15)</formula>
    </cfRule>
  </conditionalFormatting>
  <conditionalFormatting sqref="D6 D8:D9">
    <cfRule type="expression" dxfId="27" priority="1">
      <formula>ISTEXT(D6)</formula>
    </cfRule>
    <cfRule type="containsBlanks" dxfId="26" priority="2">
      <formula>LEN(TRIM(D6))=0</formula>
    </cfRule>
    <cfRule type="cellIs" dxfId="25" priority="3"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Metric">
              <controlPr locked="0" defaultSize="0" autoFill="0" autoLine="0" autoPict="0" macro="[0]!RatioDist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B2:Q192"/>
  <sheetViews>
    <sheetView zoomScaleNormal="100" workbookViewId="0"/>
  </sheetViews>
  <sheetFormatPr defaultColWidth="9.109375" defaultRowHeight="14.4" x14ac:dyDescent="0.3"/>
  <cols>
    <col min="1" max="1" width="7.109375" style="1" customWidth="1"/>
    <col min="2" max="2" width="3.33203125" style="1" customWidth="1"/>
    <col min="3" max="3" width="20.109375" style="1" customWidth="1"/>
    <col min="4" max="11" width="10.88671875" style="1" customWidth="1"/>
    <col min="12" max="12" width="9.109375" style="1"/>
    <col min="13" max="13" width="19.6640625" style="1" customWidth="1"/>
    <col min="14" max="16384" width="9.109375" style="1"/>
  </cols>
  <sheetData>
    <row r="2" spans="2:17" ht="31.2" x14ac:dyDescent="0.3">
      <c r="C2" s="2" t="s">
        <v>129</v>
      </c>
    </row>
    <row r="4" spans="2:17" x14ac:dyDescent="0.3">
      <c r="B4" s="8" t="b">
        <v>0</v>
      </c>
      <c r="C4" s="1" t="s">
        <v>0</v>
      </c>
      <c r="G4" s="5"/>
      <c r="H4" s="5"/>
      <c r="I4" s="5"/>
    </row>
    <row r="5" spans="2:17" x14ac:dyDescent="0.3">
      <c r="B5" s="4"/>
      <c r="G5" s="5"/>
      <c r="H5" s="5"/>
      <c r="I5" s="5"/>
    </row>
    <row r="6" spans="2:17" x14ac:dyDescent="0.3">
      <c r="D6" s="65" t="s">
        <v>134</v>
      </c>
      <c r="E6" s="65" t="s">
        <v>135</v>
      </c>
      <c r="F6" s="65" t="s">
        <v>136</v>
      </c>
      <c r="G6" s="65" t="s">
        <v>137</v>
      </c>
      <c r="H6" s="65" t="s">
        <v>138</v>
      </c>
      <c r="I6" s="65" t="s">
        <v>139</v>
      </c>
      <c r="J6" s="65" t="s">
        <v>140</v>
      </c>
      <c r="K6" s="65" t="s">
        <v>141</v>
      </c>
      <c r="N6" s="65" t="s">
        <v>144</v>
      </c>
      <c r="O6" s="65" t="s">
        <v>146</v>
      </c>
      <c r="P6" s="65" t="s">
        <v>145</v>
      </c>
      <c r="Q6" s="65" t="s">
        <v>147</v>
      </c>
    </row>
    <row r="7" spans="2:17" x14ac:dyDescent="0.3">
      <c r="C7" s="65" t="str">
        <f>"Diameter (" &amp; IF($B$4, "mm", "in") &amp; ")"</f>
        <v>Diameter (in)</v>
      </c>
      <c r="D7" s="78">
        <v>1.4999999999999998</v>
      </c>
      <c r="E7" s="9"/>
      <c r="F7" s="9"/>
      <c r="G7" s="9"/>
      <c r="H7" s="9"/>
      <c r="I7" s="9"/>
      <c r="J7" s="9"/>
      <c r="K7" s="9"/>
      <c r="M7" s="65" t="str">
        <f>"Tank Volume (" &amp; IF($B$4, "mL", "in^3") &amp; ")"</f>
        <v>Tank Volume (in^3)</v>
      </c>
      <c r="N7" s="12">
        <v>35.000000000000014</v>
      </c>
      <c r="O7" s="12"/>
      <c r="P7" s="12"/>
      <c r="Q7" s="12"/>
    </row>
    <row r="8" spans="2:17" x14ac:dyDescent="0.3">
      <c r="C8" s="66" t="str">
        <f>"Rod Diameter (" &amp; IF($B$4, "mm", "in") &amp; ")"</f>
        <v>Rod Diameter (in)</v>
      </c>
      <c r="D8" s="78">
        <v>0.37499999999999994</v>
      </c>
      <c r="E8" s="9"/>
      <c r="F8" s="9"/>
      <c r="G8" s="9"/>
      <c r="H8" s="9"/>
      <c r="I8" s="9"/>
      <c r="J8" s="9"/>
      <c r="K8" s="9"/>
      <c r="M8" s="66" t="s">
        <v>142</v>
      </c>
      <c r="N8" s="69">
        <v>3</v>
      </c>
      <c r="O8" s="69"/>
      <c r="P8" s="69"/>
      <c r="Q8" s="69"/>
    </row>
    <row r="9" spans="2:17" x14ac:dyDescent="0.3">
      <c r="C9" s="66" t="str">
        <f>"Stroke Length (" &amp; IF($B$4, "mm", "in") &amp; ")"</f>
        <v>Stroke Length (in)</v>
      </c>
      <c r="D9" s="78">
        <v>11.999999999999998</v>
      </c>
      <c r="E9" s="9"/>
      <c r="F9" s="9"/>
      <c r="G9" s="9"/>
      <c r="H9" s="9"/>
      <c r="I9" s="9"/>
      <c r="J9" s="9"/>
      <c r="K9" s="9"/>
      <c r="M9" s="67" t="s">
        <v>143</v>
      </c>
      <c r="N9" s="71">
        <v>120</v>
      </c>
      <c r="O9" s="71"/>
      <c r="P9" s="71"/>
      <c r="Q9" s="71"/>
    </row>
    <row r="10" spans="2:17" x14ac:dyDescent="0.3">
      <c r="C10" s="66" t="s">
        <v>130</v>
      </c>
      <c r="D10" s="69">
        <v>40</v>
      </c>
      <c r="E10" s="69"/>
      <c r="F10" s="69"/>
      <c r="G10" s="69"/>
      <c r="H10" s="69"/>
      <c r="I10" s="69"/>
      <c r="J10" s="69"/>
      <c r="K10" s="69"/>
      <c r="M10" s="90" t="str">
        <f>"Total Tank Vol. (" &amp; IF($B$4, "mL", "in^3") &amp; ")"</f>
        <v>Total Tank Vol. (in^3)</v>
      </c>
      <c r="N10" s="29">
        <f>SUMPRODUCT(N7:Q7,N8:Q8,N9:Q9)/120</f>
        <v>105.00000000000004</v>
      </c>
      <c r="O10" s="1" t="s">
        <v>153</v>
      </c>
    </row>
    <row r="11" spans="2:17" x14ac:dyDescent="0.3">
      <c r="C11" s="66" t="str">
        <f>"Push Force (" &amp; IF($B$4, "N", "lbf") &amp; ")"</f>
        <v>Push Force (lbf)</v>
      </c>
      <c r="D11" s="77">
        <f>IF(COUNTBLANK(D7:D10)=0, (D$7/2)^2*PI()*D$10/IF($B$4, 145.04, 1), "")</f>
        <v>70.685834705770318</v>
      </c>
      <c r="E11" s="77" t="str">
        <f t="shared" ref="E11:K11" si="0">IF(COUNTBLANK(E7:E10)=0, (E$7/2)^2*PI()*E$10/IF($B$4, 145.04, 1), "")</f>
        <v/>
      </c>
      <c r="F11" s="77" t="str">
        <f t="shared" si="0"/>
        <v/>
      </c>
      <c r="G11" s="77" t="str">
        <f t="shared" si="0"/>
        <v/>
      </c>
      <c r="H11" s="77" t="str">
        <f t="shared" si="0"/>
        <v/>
      </c>
      <c r="I11" s="77" t="str">
        <f t="shared" si="0"/>
        <v/>
      </c>
      <c r="J11" s="77" t="str">
        <f t="shared" si="0"/>
        <v/>
      </c>
      <c r="K11" s="77" t="str">
        <f t="shared" si="0"/>
        <v/>
      </c>
    </row>
    <row r="12" spans="2:17" x14ac:dyDescent="0.3">
      <c r="C12" s="66" t="s">
        <v>131</v>
      </c>
      <c r="D12" s="12">
        <v>15</v>
      </c>
      <c r="E12" s="69"/>
      <c r="F12" s="69"/>
      <c r="G12" s="69"/>
      <c r="H12" s="69"/>
      <c r="I12" s="69"/>
      <c r="J12" s="69"/>
      <c r="K12" s="69"/>
      <c r="M12" s="90" t="s">
        <v>148</v>
      </c>
      <c r="N12" s="202" t="s">
        <v>154</v>
      </c>
      <c r="O12" s="203"/>
    </row>
    <row r="13" spans="2:17" x14ac:dyDescent="0.3">
      <c r="C13" s="66" t="str">
        <f>"Pull Force (" &amp; IF($B$4, "N", "lbf") &amp; ")"</f>
        <v>Pull Force (lbf)</v>
      </c>
      <c r="D13" s="77">
        <f>IF(COUNTBLANK(D9:D12)=0, (D$7^2 - D$8^2)*PI()/4*D$12/IF($B$4, 145.04, 1), "")</f>
        <v>24.850488763747375</v>
      </c>
      <c r="E13" s="77" t="str">
        <f t="shared" ref="E13:K13" si="1">IF(COUNTBLANK(E9:E12)=0, (E$7^2 - E$8^2)*PI()/4*E$12/IF($B$4, 145.04, 1), "")</f>
        <v/>
      </c>
      <c r="F13" s="77" t="str">
        <f t="shared" si="1"/>
        <v/>
      </c>
      <c r="G13" s="77" t="str">
        <f t="shared" si="1"/>
        <v/>
      </c>
      <c r="H13" s="77" t="str">
        <f t="shared" si="1"/>
        <v/>
      </c>
      <c r="I13" s="77" t="str">
        <f t="shared" si="1"/>
        <v/>
      </c>
      <c r="J13" s="77" t="str">
        <f t="shared" si="1"/>
        <v/>
      </c>
      <c r="K13" s="77" t="str">
        <f t="shared" si="1"/>
        <v/>
      </c>
    </row>
    <row r="14" spans="2:17" x14ac:dyDescent="0.3">
      <c r="C14" s="66" t="s">
        <v>166</v>
      </c>
      <c r="D14" s="69">
        <v>5</v>
      </c>
      <c r="E14" s="69"/>
      <c r="F14" s="69"/>
      <c r="G14" s="69"/>
      <c r="H14" s="69"/>
      <c r="I14" s="69"/>
      <c r="J14" s="69"/>
      <c r="K14" s="69"/>
      <c r="M14" s="90" t="s">
        <v>149</v>
      </c>
      <c r="N14" s="11">
        <v>120</v>
      </c>
    </row>
    <row r="15" spans="2:17" x14ac:dyDescent="0.3">
      <c r="C15" s="66" t="s">
        <v>132</v>
      </c>
      <c r="D15" s="69">
        <v>8</v>
      </c>
      <c r="E15" s="69"/>
      <c r="F15" s="69"/>
      <c r="G15" s="69"/>
      <c r="H15" s="69"/>
      <c r="I15" s="69"/>
      <c r="J15" s="69"/>
      <c r="K15" s="69"/>
      <c r="M15" s="90" t="s">
        <v>150</v>
      </c>
      <c r="N15" s="11">
        <v>95</v>
      </c>
    </row>
    <row r="16" spans="2:17" x14ac:dyDescent="0.3">
      <c r="C16" s="67" t="s">
        <v>133</v>
      </c>
      <c r="D16" s="70">
        <v>140</v>
      </c>
      <c r="E16" s="71"/>
      <c r="F16" s="71"/>
      <c r="G16" s="71"/>
      <c r="H16" s="71"/>
      <c r="I16" s="71"/>
      <c r="J16" s="71"/>
      <c r="K16" s="71"/>
      <c r="M16" s="90" t="s">
        <v>151</v>
      </c>
      <c r="N16" s="44">
        <f>MIN(D42:D192)</f>
        <v>33.320099200506633</v>
      </c>
    </row>
    <row r="17" spans="4:14" x14ac:dyDescent="0.3">
      <c r="D17" s="57"/>
      <c r="M17" s="90" t="s">
        <v>152</v>
      </c>
      <c r="N17" s="44">
        <f>D192</f>
        <v>56.540434019763524</v>
      </c>
    </row>
    <row r="39" spans="3:14" x14ac:dyDescent="0.3">
      <c r="C39" s="4"/>
      <c r="D39" s="4"/>
      <c r="E39" s="4"/>
      <c r="F39" s="4"/>
      <c r="G39" s="4"/>
      <c r="H39" s="4"/>
      <c r="I39" s="4"/>
      <c r="J39" s="4"/>
      <c r="K39" s="4"/>
      <c r="L39" s="4"/>
      <c r="M39" s="4"/>
      <c r="N39" s="4"/>
    </row>
    <row r="40" spans="3:14" x14ac:dyDescent="0.3">
      <c r="C40" s="3"/>
      <c r="D40" s="68">
        <f>IFERROR(CHOOSE(MATCH($N$12,{"1.1 Pump","Viair 90C"},0), 0.0000003865, -0.000000437), 0)</f>
        <v>3.8650000000000003E-7</v>
      </c>
      <c r="E40" s="3">
        <f>IFERROR(CHOOSE(MATCH($N$12,{"1.1 Pump","Viair 90C"},0), -0.00003916, 0.000123), 0)</f>
        <v>-3.9159999999999998E-5</v>
      </c>
      <c r="F40" s="3">
        <f>IFERROR(CHOOSE(MATCH($N$12,{"1.1 Pump","Viair 90C"},0), -0.003809, -0.01186), 0)</f>
        <v>-3.8089999999999999E-3</v>
      </c>
      <c r="G40" s="3">
        <f>IFERROR(CHOOSE(MATCH($N$12,{"1.1 Pump","Viair 90C"},0), 0.692, 0.6123), 0)</f>
        <v>0.69199999999999995</v>
      </c>
      <c r="H40" s="3"/>
      <c r="I40" s="60">
        <f>MAX(D10:K10,D12:K12)</f>
        <v>40</v>
      </c>
      <c r="J40" s="3"/>
      <c r="K40" s="3"/>
      <c r="L40" s="3"/>
      <c r="M40" s="3"/>
      <c r="N40" s="4"/>
    </row>
    <row r="41" spans="3:14" x14ac:dyDescent="0.3">
      <c r="C41" s="3" t="s">
        <v>155</v>
      </c>
      <c r="D41" s="3" t="s">
        <v>156</v>
      </c>
      <c r="E41" s="3" t="s">
        <v>157</v>
      </c>
      <c r="F41" s="3" t="s">
        <v>158</v>
      </c>
      <c r="G41" s="3" t="s">
        <v>159</v>
      </c>
      <c r="H41" s="3" t="s">
        <v>160</v>
      </c>
      <c r="I41" s="3" t="s">
        <v>161</v>
      </c>
      <c r="J41" s="3" t="s">
        <v>162</v>
      </c>
      <c r="K41" s="3" t="s">
        <v>163</v>
      </c>
      <c r="L41" s="3" t="s">
        <v>164</v>
      </c>
      <c r="M41" s="3" t="s">
        <v>165</v>
      </c>
      <c r="N41" s="4"/>
    </row>
    <row r="42" spans="3:14" x14ac:dyDescent="0.3">
      <c r="C42" s="3">
        <v>0</v>
      </c>
      <c r="D42" s="3">
        <f>MAX((N14*($N$10/IF($B$4, 16.387, 1))+E42-SUM(F42:M42))/($N$10/IF($B$4, 16.387, 1)), 0)</f>
        <v>120</v>
      </c>
      <c r="E42" s="3">
        <f>IF(N14&lt;$N$15, $D$40*N14^3+$E$40*N14^2+$F$40*N14+$G$40, 0) * 12^3/60*14.7</f>
        <v>0</v>
      </c>
      <c r="F42" s="3">
        <f>IFERROR(IF(AND($C42&gt;=D$15, $C42&lt;=D$16), IF(D$14&gt;1, N(MOD($C42-D$15, D$14)&lt;1), 1/D$14)*PI()*D$9/4*(D$7^2*MIN(D$10, $N$14)+(D$7^2-D$8^2)*MIN(D$12, $N$14))/IF($B$4, 25.4^3, 1), 0), 0)</f>
        <v>0</v>
      </c>
      <c r="G42" s="3">
        <f t="shared" ref="G42:M42" si="2">IFERROR(IF(AND($C42&gt;=E$15, $C42&lt;=E$16), IF(E$14&gt;1, N(MOD($C42-E$15, E$14)&lt;1), 1/E$14)*PI()*E$9/4*(E$7^2*MIN(E$10, $N$14)+(E$7^2-E$8^2)*MIN(E$12, $N$14))/IF($B$4, 25.4^3, 1), 0), 0)</f>
        <v>0</v>
      </c>
      <c r="H42" s="3">
        <f t="shared" si="2"/>
        <v>0</v>
      </c>
      <c r="I42" s="3">
        <f t="shared" si="2"/>
        <v>0</v>
      </c>
      <c r="J42" s="3">
        <f t="shared" si="2"/>
        <v>0</v>
      </c>
      <c r="K42" s="3">
        <f t="shared" si="2"/>
        <v>0</v>
      </c>
      <c r="L42" s="3">
        <f t="shared" si="2"/>
        <v>0</v>
      </c>
      <c r="M42" s="3">
        <f t="shared" si="2"/>
        <v>0</v>
      </c>
      <c r="N42" s="4"/>
    </row>
    <row r="43" spans="3:14" x14ac:dyDescent="0.3">
      <c r="C43" s="3">
        <v>1</v>
      </c>
      <c r="D43" s="3">
        <f>MAX((D42*($N$10/IF($B$4, 16.387, 1))+E43-SUM(F43:M43))/($N$10/IF($B$4, 16.387, 1)), 0)</f>
        <v>120</v>
      </c>
      <c r="E43" s="3">
        <f>IF(D42&lt;$N$15, $D$40*D42^3+$E$40*D42^2+$F$40*D42+$G$40, 0) * 12^3/60*14.7</f>
        <v>0</v>
      </c>
      <c r="F43" s="3">
        <f>IFERROR(IF(AND($C43&gt;=D$15, $C43&lt;=D$16), IF(D$14&gt;1, N(MOD($C43-D$15, D$14)&lt;1), 1/D$14)*PI()*D$9/4*(D$7^2*MIN(D$10, $D42)+(D$7^2-D$8^2)*MIN(D$12, D$42))/IF($B$4, 25.4^3, 1), 0), 0)</f>
        <v>0</v>
      </c>
      <c r="G43" s="3">
        <f t="shared" ref="G43:M43" si="3">IFERROR(IF(AND($C43&gt;=E$15, $C43&lt;=E$16), IF(E$14&gt;1, N(MOD($C43-E$15, E$14)&lt;1), 1/E$14)*PI()*E$9/4*(E$7^2*MIN(E$10, $D42)+(E$7^2-E$8^2)*MIN(E$12, E$42))/IF($B$4, 25.4^3, 1), 0), 0)</f>
        <v>0</v>
      </c>
      <c r="H43" s="3">
        <f t="shared" si="3"/>
        <v>0</v>
      </c>
      <c r="I43" s="3">
        <f t="shared" si="3"/>
        <v>0</v>
      </c>
      <c r="J43" s="3">
        <f t="shared" si="3"/>
        <v>0</v>
      </c>
      <c r="K43" s="3">
        <f t="shared" si="3"/>
        <v>0</v>
      </c>
      <c r="L43" s="3">
        <f t="shared" si="3"/>
        <v>0</v>
      </c>
      <c r="M43" s="3">
        <f t="shared" si="3"/>
        <v>0</v>
      </c>
      <c r="N43" s="4"/>
    </row>
    <row r="44" spans="3:14" x14ac:dyDescent="0.3">
      <c r="C44" s="3">
        <v>2</v>
      </c>
      <c r="D44" s="3">
        <f t="shared" ref="D44:D107" si="4">MAX((D43*($N$10/IF($B$4, 16.387, 1))+E44-SUM(F44:M44))/($N$10/IF($B$4, 16.387, 1)), 0)</f>
        <v>120</v>
      </c>
      <c r="E44" s="3">
        <f t="shared" ref="E44:E107" si="5">IF(D43&lt;$N$15, $D$40*D43^3+$E$40*D43^2+$F$40*D43+$G$40, 0) * 12^3/60*14.7</f>
        <v>0</v>
      </c>
      <c r="F44" s="3">
        <f t="shared" ref="F44:F107" si="6">IFERROR(IF(AND($C44&gt;=D$15, $C44&lt;=D$16), IF(D$14&gt;1, N(MOD($C44-D$15, D$14)&lt;1), 1/D$14)*PI()*D$9/4*(D$7^2*MIN(D$10, $D43)+(D$7^2-D$8^2)*MIN(D$12, D$42))/IF($B$4, 25.4^3, 1), 0), 0)</f>
        <v>0</v>
      </c>
      <c r="G44" s="3">
        <f t="shared" ref="G44:G107" si="7">IFERROR(IF(AND($C44&gt;=E$15, $C44&lt;=E$16), IF(E$14&gt;1, N(MOD($C44-E$15, E$14)&lt;1), 1/E$14)*PI()*E$9/4*(E$7^2*MIN(E$10, $D43)+(E$7^2-E$8^2)*MIN(E$12, E$42))/IF($B$4, 25.4^3, 1), 0), 0)</f>
        <v>0</v>
      </c>
      <c r="H44" s="3">
        <f t="shared" ref="H44:H107" si="8">IFERROR(IF(AND($C44&gt;=F$15, $C44&lt;=F$16), IF(F$14&gt;1, N(MOD($C44-F$15, F$14)&lt;1), 1/F$14)*PI()*F$9/4*(F$7^2*MIN(F$10, $D43)+(F$7^2-F$8^2)*MIN(F$12, F$42))/IF($B$4, 25.4^3, 1), 0), 0)</f>
        <v>0</v>
      </c>
      <c r="I44" s="3">
        <f t="shared" ref="I44:I107" si="9">IFERROR(IF(AND($C44&gt;=G$15, $C44&lt;=G$16), IF(G$14&gt;1, N(MOD($C44-G$15, G$14)&lt;1), 1/G$14)*PI()*G$9/4*(G$7^2*MIN(G$10, $D43)+(G$7^2-G$8^2)*MIN(G$12, G$42))/IF($B$4, 25.4^3, 1), 0), 0)</f>
        <v>0</v>
      </c>
      <c r="J44" s="3">
        <f t="shared" ref="J44:J107" si="10">IFERROR(IF(AND($C44&gt;=H$15, $C44&lt;=H$16), IF(H$14&gt;1, N(MOD($C44-H$15, H$14)&lt;1), 1/H$14)*PI()*H$9/4*(H$7^2*MIN(H$10, $D43)+(H$7^2-H$8^2)*MIN(H$12, H$42))/IF($B$4, 25.4^3, 1), 0), 0)</f>
        <v>0</v>
      </c>
      <c r="K44" s="3">
        <f t="shared" ref="K44:K107" si="11">IFERROR(IF(AND($C44&gt;=I$15, $C44&lt;=I$16), IF(I$14&gt;1, N(MOD($C44-I$15, I$14)&lt;1), 1/I$14)*PI()*I$9/4*(I$7^2*MIN(I$10, $D43)+(I$7^2-I$8^2)*MIN(I$12, I$42))/IF($B$4, 25.4^3, 1), 0), 0)</f>
        <v>0</v>
      </c>
      <c r="L44" s="3">
        <f t="shared" ref="L44:L107" si="12">IFERROR(IF(AND($C44&gt;=J$15, $C44&lt;=J$16), IF(J$14&gt;1, N(MOD($C44-J$15, J$14)&lt;1), 1/J$14)*PI()*J$9/4*(J$7^2*MIN(J$10, $D43)+(J$7^2-J$8^2)*MIN(J$12, J$42))/IF($B$4, 25.4^3, 1), 0), 0)</f>
        <v>0</v>
      </c>
      <c r="M44" s="3">
        <f t="shared" ref="M44:M107" si="13">IFERROR(IF(AND($C44&gt;=K$15, $C44&lt;=K$16), IF(K$14&gt;1, N(MOD($C44-K$15, K$14)&lt;1), 1/K$14)*PI()*K$9/4*(K$7^2*MIN(K$10, $D43)+(K$7^2-K$8^2)*MIN(K$12, K$42))/IF($B$4, 25.4^3, 1), 0), 0)</f>
        <v>0</v>
      </c>
      <c r="N44" s="4"/>
    </row>
    <row r="45" spans="3:14" x14ac:dyDescent="0.3">
      <c r="C45" s="3">
        <v>3</v>
      </c>
      <c r="D45" s="3">
        <f t="shared" si="4"/>
        <v>120</v>
      </c>
      <c r="E45" s="3">
        <f t="shared" si="5"/>
        <v>0</v>
      </c>
      <c r="F45" s="3">
        <f t="shared" si="6"/>
        <v>0</v>
      </c>
      <c r="G45" s="3">
        <f t="shared" si="7"/>
        <v>0</v>
      </c>
      <c r="H45" s="3">
        <f t="shared" si="8"/>
        <v>0</v>
      </c>
      <c r="I45" s="3">
        <f t="shared" si="9"/>
        <v>0</v>
      </c>
      <c r="J45" s="3">
        <f t="shared" si="10"/>
        <v>0</v>
      </c>
      <c r="K45" s="3">
        <f t="shared" si="11"/>
        <v>0</v>
      </c>
      <c r="L45" s="3">
        <f t="shared" si="12"/>
        <v>0</v>
      </c>
      <c r="M45" s="3">
        <f t="shared" si="13"/>
        <v>0</v>
      </c>
      <c r="N45" s="4"/>
    </row>
    <row r="46" spans="3:14" x14ac:dyDescent="0.3">
      <c r="C46" s="3">
        <v>4</v>
      </c>
      <c r="D46" s="3">
        <f t="shared" si="4"/>
        <v>120</v>
      </c>
      <c r="E46" s="3">
        <f t="shared" si="5"/>
        <v>0</v>
      </c>
      <c r="F46" s="3">
        <f t="shared" si="6"/>
        <v>0</v>
      </c>
      <c r="G46" s="3">
        <f t="shared" si="7"/>
        <v>0</v>
      </c>
      <c r="H46" s="3">
        <f t="shared" si="8"/>
        <v>0</v>
      </c>
      <c r="I46" s="3">
        <f t="shared" si="9"/>
        <v>0</v>
      </c>
      <c r="J46" s="3">
        <f t="shared" si="10"/>
        <v>0</v>
      </c>
      <c r="K46" s="3">
        <f t="shared" si="11"/>
        <v>0</v>
      </c>
      <c r="L46" s="3">
        <f t="shared" si="12"/>
        <v>0</v>
      </c>
      <c r="M46" s="3">
        <f t="shared" si="13"/>
        <v>0</v>
      </c>
      <c r="N46" s="4"/>
    </row>
    <row r="47" spans="3:14" x14ac:dyDescent="0.3">
      <c r="C47" s="3">
        <v>5</v>
      </c>
      <c r="D47" s="3">
        <f t="shared" si="4"/>
        <v>120</v>
      </c>
      <c r="E47" s="3">
        <f t="shared" si="5"/>
        <v>0</v>
      </c>
      <c r="F47" s="3">
        <f t="shared" si="6"/>
        <v>0</v>
      </c>
      <c r="G47" s="3">
        <f t="shared" si="7"/>
        <v>0</v>
      </c>
      <c r="H47" s="3">
        <f t="shared" si="8"/>
        <v>0</v>
      </c>
      <c r="I47" s="3">
        <f t="shared" si="9"/>
        <v>0</v>
      </c>
      <c r="J47" s="3">
        <f t="shared" si="10"/>
        <v>0</v>
      </c>
      <c r="K47" s="3">
        <f t="shared" si="11"/>
        <v>0</v>
      </c>
      <c r="L47" s="3">
        <f t="shared" si="12"/>
        <v>0</v>
      </c>
      <c r="M47" s="3">
        <f t="shared" si="13"/>
        <v>0</v>
      </c>
    </row>
    <row r="48" spans="3:14" x14ac:dyDescent="0.3">
      <c r="C48" s="3">
        <v>6</v>
      </c>
      <c r="D48" s="3">
        <f t="shared" si="4"/>
        <v>120</v>
      </c>
      <c r="E48" s="3">
        <f t="shared" si="5"/>
        <v>0</v>
      </c>
      <c r="F48" s="3">
        <f t="shared" si="6"/>
        <v>0</v>
      </c>
      <c r="G48" s="3">
        <f t="shared" si="7"/>
        <v>0</v>
      </c>
      <c r="H48" s="3">
        <f t="shared" si="8"/>
        <v>0</v>
      </c>
      <c r="I48" s="3">
        <f t="shared" si="9"/>
        <v>0</v>
      </c>
      <c r="J48" s="3">
        <f t="shared" si="10"/>
        <v>0</v>
      </c>
      <c r="K48" s="3">
        <f t="shared" si="11"/>
        <v>0</v>
      </c>
      <c r="L48" s="3">
        <f t="shared" si="12"/>
        <v>0</v>
      </c>
      <c r="M48" s="3">
        <f t="shared" si="13"/>
        <v>0</v>
      </c>
    </row>
    <row r="49" spans="3:13" x14ac:dyDescent="0.3">
      <c r="C49" s="3">
        <v>7</v>
      </c>
      <c r="D49" s="3">
        <f t="shared" si="4"/>
        <v>120</v>
      </c>
      <c r="E49" s="3">
        <f t="shared" si="5"/>
        <v>0</v>
      </c>
      <c r="F49" s="3">
        <f t="shared" si="6"/>
        <v>0</v>
      </c>
      <c r="G49" s="3">
        <f t="shared" si="7"/>
        <v>0</v>
      </c>
      <c r="H49" s="3">
        <f t="shared" si="8"/>
        <v>0</v>
      </c>
      <c r="I49" s="3">
        <f t="shared" si="9"/>
        <v>0</v>
      </c>
      <c r="J49" s="3">
        <f t="shared" si="10"/>
        <v>0</v>
      </c>
      <c r="K49" s="3">
        <f t="shared" si="11"/>
        <v>0</v>
      </c>
      <c r="L49" s="3">
        <f t="shared" si="12"/>
        <v>0</v>
      </c>
      <c r="M49" s="3">
        <f t="shared" si="13"/>
        <v>0</v>
      </c>
    </row>
    <row r="50" spans="3:13" x14ac:dyDescent="0.3">
      <c r="C50" s="3">
        <v>8</v>
      </c>
      <c r="D50" s="3">
        <f t="shared" si="4"/>
        <v>109.08156303205513</v>
      </c>
      <c r="E50" s="3">
        <f t="shared" si="5"/>
        <v>0</v>
      </c>
      <c r="F50" s="3">
        <f t="shared" si="6"/>
        <v>1146.4358816342121</v>
      </c>
      <c r="G50" s="3">
        <f t="shared" si="7"/>
        <v>0</v>
      </c>
      <c r="H50" s="3">
        <f t="shared" si="8"/>
        <v>0</v>
      </c>
      <c r="I50" s="3">
        <f t="shared" si="9"/>
        <v>0</v>
      </c>
      <c r="J50" s="3">
        <f t="shared" si="10"/>
        <v>0</v>
      </c>
      <c r="K50" s="3">
        <f t="shared" si="11"/>
        <v>0</v>
      </c>
      <c r="L50" s="3">
        <f t="shared" si="12"/>
        <v>0</v>
      </c>
      <c r="M50" s="3">
        <f t="shared" si="13"/>
        <v>0</v>
      </c>
    </row>
    <row r="51" spans="3:13" x14ac:dyDescent="0.3">
      <c r="C51" s="3">
        <v>9</v>
      </c>
      <c r="D51" s="3">
        <f t="shared" si="4"/>
        <v>109.08156303205513</v>
      </c>
      <c r="E51" s="3">
        <f t="shared" si="5"/>
        <v>0</v>
      </c>
      <c r="F51" s="3">
        <f t="shared" si="6"/>
        <v>0</v>
      </c>
      <c r="G51" s="3">
        <f t="shared" si="7"/>
        <v>0</v>
      </c>
      <c r="H51" s="3">
        <f t="shared" si="8"/>
        <v>0</v>
      </c>
      <c r="I51" s="3">
        <f t="shared" si="9"/>
        <v>0</v>
      </c>
      <c r="J51" s="3">
        <f t="shared" si="10"/>
        <v>0</v>
      </c>
      <c r="K51" s="3">
        <f t="shared" si="11"/>
        <v>0</v>
      </c>
      <c r="L51" s="3">
        <f t="shared" si="12"/>
        <v>0</v>
      </c>
      <c r="M51" s="3">
        <f t="shared" si="13"/>
        <v>0</v>
      </c>
    </row>
    <row r="52" spans="3:13" x14ac:dyDescent="0.3">
      <c r="C52" s="3">
        <v>10</v>
      </c>
      <c r="D52" s="3">
        <f t="shared" si="4"/>
        <v>109.08156303205513</v>
      </c>
      <c r="E52" s="3">
        <f t="shared" si="5"/>
        <v>0</v>
      </c>
      <c r="F52" s="3">
        <f t="shared" si="6"/>
        <v>0</v>
      </c>
      <c r="G52" s="3">
        <f t="shared" si="7"/>
        <v>0</v>
      </c>
      <c r="H52" s="3">
        <f t="shared" si="8"/>
        <v>0</v>
      </c>
      <c r="I52" s="3">
        <f t="shared" si="9"/>
        <v>0</v>
      </c>
      <c r="J52" s="3">
        <f t="shared" si="10"/>
        <v>0</v>
      </c>
      <c r="K52" s="3">
        <f t="shared" si="11"/>
        <v>0</v>
      </c>
      <c r="L52" s="3">
        <f t="shared" si="12"/>
        <v>0</v>
      </c>
      <c r="M52" s="3">
        <f t="shared" si="13"/>
        <v>0</v>
      </c>
    </row>
    <row r="53" spans="3:13" x14ac:dyDescent="0.3">
      <c r="C53" s="3">
        <v>11</v>
      </c>
      <c r="D53" s="3">
        <f t="shared" si="4"/>
        <v>109.08156303205513</v>
      </c>
      <c r="E53" s="3">
        <f t="shared" si="5"/>
        <v>0</v>
      </c>
      <c r="F53" s="3">
        <f t="shared" si="6"/>
        <v>0</v>
      </c>
      <c r="G53" s="3">
        <f t="shared" si="7"/>
        <v>0</v>
      </c>
      <c r="H53" s="3">
        <f t="shared" si="8"/>
        <v>0</v>
      </c>
      <c r="I53" s="3">
        <f t="shared" si="9"/>
        <v>0</v>
      </c>
      <c r="J53" s="3">
        <f t="shared" si="10"/>
        <v>0</v>
      </c>
      <c r="K53" s="3">
        <f t="shared" si="11"/>
        <v>0</v>
      </c>
      <c r="L53" s="3">
        <f t="shared" si="12"/>
        <v>0</v>
      </c>
      <c r="M53" s="3">
        <f t="shared" si="13"/>
        <v>0</v>
      </c>
    </row>
    <row r="54" spans="3:13" x14ac:dyDescent="0.3">
      <c r="C54" s="3">
        <v>12</v>
      </c>
      <c r="D54" s="3">
        <f t="shared" si="4"/>
        <v>109.08156303205513</v>
      </c>
      <c r="E54" s="3">
        <f t="shared" si="5"/>
        <v>0</v>
      </c>
      <c r="F54" s="3">
        <f t="shared" si="6"/>
        <v>0</v>
      </c>
      <c r="G54" s="3">
        <f t="shared" si="7"/>
        <v>0</v>
      </c>
      <c r="H54" s="3">
        <f t="shared" si="8"/>
        <v>0</v>
      </c>
      <c r="I54" s="3">
        <f t="shared" si="9"/>
        <v>0</v>
      </c>
      <c r="J54" s="3">
        <f t="shared" si="10"/>
        <v>0</v>
      </c>
      <c r="K54" s="3">
        <f t="shared" si="11"/>
        <v>0</v>
      </c>
      <c r="L54" s="3">
        <f t="shared" si="12"/>
        <v>0</v>
      </c>
      <c r="M54" s="3">
        <f t="shared" si="13"/>
        <v>0</v>
      </c>
    </row>
    <row r="55" spans="3:13" x14ac:dyDescent="0.3">
      <c r="C55" s="3">
        <v>13</v>
      </c>
      <c r="D55" s="3">
        <f t="shared" si="4"/>
        <v>98.163126064110259</v>
      </c>
      <c r="E55" s="3">
        <f t="shared" si="5"/>
        <v>0</v>
      </c>
      <c r="F55" s="3">
        <f t="shared" si="6"/>
        <v>1146.4358816342121</v>
      </c>
      <c r="G55" s="3">
        <f t="shared" si="7"/>
        <v>0</v>
      </c>
      <c r="H55" s="3">
        <f t="shared" si="8"/>
        <v>0</v>
      </c>
      <c r="I55" s="3">
        <f t="shared" si="9"/>
        <v>0</v>
      </c>
      <c r="J55" s="3">
        <f t="shared" si="10"/>
        <v>0</v>
      </c>
      <c r="K55" s="3">
        <f t="shared" si="11"/>
        <v>0</v>
      </c>
      <c r="L55" s="3">
        <f t="shared" si="12"/>
        <v>0</v>
      </c>
      <c r="M55" s="3">
        <f t="shared" si="13"/>
        <v>0</v>
      </c>
    </row>
    <row r="56" spans="3:13" x14ac:dyDescent="0.3">
      <c r="C56" s="3">
        <v>14</v>
      </c>
      <c r="D56" s="3">
        <f t="shared" si="4"/>
        <v>98.163126064110259</v>
      </c>
      <c r="E56" s="3">
        <f t="shared" si="5"/>
        <v>0</v>
      </c>
      <c r="F56" s="3">
        <f t="shared" si="6"/>
        <v>0</v>
      </c>
      <c r="G56" s="3">
        <f t="shared" si="7"/>
        <v>0</v>
      </c>
      <c r="H56" s="3">
        <f t="shared" si="8"/>
        <v>0</v>
      </c>
      <c r="I56" s="3">
        <f t="shared" si="9"/>
        <v>0</v>
      </c>
      <c r="J56" s="3">
        <f t="shared" si="10"/>
        <v>0</v>
      </c>
      <c r="K56" s="3">
        <f t="shared" si="11"/>
        <v>0</v>
      </c>
      <c r="L56" s="3">
        <f t="shared" si="12"/>
        <v>0</v>
      </c>
      <c r="M56" s="3">
        <f t="shared" si="13"/>
        <v>0</v>
      </c>
    </row>
    <row r="57" spans="3:13" x14ac:dyDescent="0.3">
      <c r="C57" s="3">
        <v>15</v>
      </c>
      <c r="D57" s="3">
        <f t="shared" si="4"/>
        <v>98.163126064110259</v>
      </c>
      <c r="E57" s="3">
        <f t="shared" si="5"/>
        <v>0</v>
      </c>
      <c r="F57" s="3">
        <f t="shared" si="6"/>
        <v>0</v>
      </c>
      <c r="G57" s="3">
        <f t="shared" si="7"/>
        <v>0</v>
      </c>
      <c r="H57" s="3">
        <f t="shared" si="8"/>
        <v>0</v>
      </c>
      <c r="I57" s="3">
        <f t="shared" si="9"/>
        <v>0</v>
      </c>
      <c r="J57" s="3">
        <f t="shared" si="10"/>
        <v>0</v>
      </c>
      <c r="K57" s="3">
        <f t="shared" si="11"/>
        <v>0</v>
      </c>
      <c r="L57" s="3">
        <f t="shared" si="12"/>
        <v>0</v>
      </c>
      <c r="M57" s="3">
        <f t="shared" si="13"/>
        <v>0</v>
      </c>
    </row>
    <row r="58" spans="3:13" x14ac:dyDescent="0.3">
      <c r="C58" s="3">
        <v>16</v>
      </c>
      <c r="D58" s="3">
        <f t="shared" si="4"/>
        <v>98.163126064110259</v>
      </c>
      <c r="E58" s="3">
        <f t="shared" si="5"/>
        <v>0</v>
      </c>
      <c r="F58" s="3">
        <f t="shared" si="6"/>
        <v>0</v>
      </c>
      <c r="G58" s="3">
        <f t="shared" si="7"/>
        <v>0</v>
      </c>
      <c r="H58" s="3">
        <f t="shared" si="8"/>
        <v>0</v>
      </c>
      <c r="I58" s="3">
        <f t="shared" si="9"/>
        <v>0</v>
      </c>
      <c r="J58" s="3">
        <f t="shared" si="10"/>
        <v>0</v>
      </c>
      <c r="K58" s="3">
        <f t="shared" si="11"/>
        <v>0</v>
      </c>
      <c r="L58" s="3">
        <f t="shared" si="12"/>
        <v>0</v>
      </c>
      <c r="M58" s="3">
        <f t="shared" si="13"/>
        <v>0</v>
      </c>
    </row>
    <row r="59" spans="3:13" x14ac:dyDescent="0.3">
      <c r="C59" s="3">
        <v>17</v>
      </c>
      <c r="D59" s="3">
        <f t="shared" si="4"/>
        <v>98.163126064110259</v>
      </c>
      <c r="E59" s="3">
        <f t="shared" si="5"/>
        <v>0</v>
      </c>
      <c r="F59" s="3">
        <f t="shared" si="6"/>
        <v>0</v>
      </c>
      <c r="G59" s="3">
        <f t="shared" si="7"/>
        <v>0</v>
      </c>
      <c r="H59" s="3">
        <f t="shared" si="8"/>
        <v>0</v>
      </c>
      <c r="I59" s="3">
        <f t="shared" si="9"/>
        <v>0</v>
      </c>
      <c r="J59" s="3">
        <f t="shared" si="10"/>
        <v>0</v>
      </c>
      <c r="K59" s="3">
        <f t="shared" si="11"/>
        <v>0</v>
      </c>
      <c r="L59" s="3">
        <f t="shared" si="12"/>
        <v>0</v>
      </c>
      <c r="M59" s="3">
        <f t="shared" si="13"/>
        <v>0</v>
      </c>
    </row>
    <row r="60" spans="3:13" x14ac:dyDescent="0.3">
      <c r="C60" s="3">
        <v>18</v>
      </c>
      <c r="D60" s="3">
        <f t="shared" si="4"/>
        <v>87.244689096165388</v>
      </c>
      <c r="E60" s="3">
        <f t="shared" si="5"/>
        <v>0</v>
      </c>
      <c r="F60" s="3">
        <f t="shared" si="6"/>
        <v>1146.4358816342121</v>
      </c>
      <c r="G60" s="3">
        <f t="shared" si="7"/>
        <v>0</v>
      </c>
      <c r="H60" s="3">
        <f t="shared" si="8"/>
        <v>0</v>
      </c>
      <c r="I60" s="3">
        <f t="shared" si="9"/>
        <v>0</v>
      </c>
      <c r="J60" s="3">
        <f t="shared" si="10"/>
        <v>0</v>
      </c>
      <c r="K60" s="3">
        <f t="shared" si="11"/>
        <v>0</v>
      </c>
      <c r="L60" s="3">
        <f t="shared" si="12"/>
        <v>0</v>
      </c>
      <c r="M60" s="3">
        <f t="shared" si="13"/>
        <v>0</v>
      </c>
    </row>
    <row r="61" spans="3:13" x14ac:dyDescent="0.3">
      <c r="C61" s="3">
        <v>19</v>
      </c>
      <c r="D61" s="3">
        <f t="shared" si="4"/>
        <v>88.527986924391286</v>
      </c>
      <c r="E61" s="3">
        <f t="shared" si="5"/>
        <v>134.74627196371799</v>
      </c>
      <c r="F61" s="3">
        <f t="shared" si="6"/>
        <v>0</v>
      </c>
      <c r="G61" s="3">
        <f t="shared" si="7"/>
        <v>0</v>
      </c>
      <c r="H61" s="3">
        <f t="shared" si="8"/>
        <v>0</v>
      </c>
      <c r="I61" s="3">
        <f t="shared" si="9"/>
        <v>0</v>
      </c>
      <c r="J61" s="3">
        <f t="shared" si="10"/>
        <v>0</v>
      </c>
      <c r="K61" s="3">
        <f t="shared" si="11"/>
        <v>0</v>
      </c>
      <c r="L61" s="3">
        <f t="shared" si="12"/>
        <v>0</v>
      </c>
      <c r="M61" s="3">
        <f t="shared" si="13"/>
        <v>0</v>
      </c>
    </row>
    <row r="62" spans="3:13" x14ac:dyDescent="0.3">
      <c r="C62" s="3">
        <v>20</v>
      </c>
      <c r="D62" s="3">
        <f t="shared" si="4"/>
        <v>89.802301667795874</v>
      </c>
      <c r="E62" s="3">
        <f t="shared" si="5"/>
        <v>133.80304805748227</v>
      </c>
      <c r="F62" s="3">
        <f t="shared" si="6"/>
        <v>0</v>
      </c>
      <c r="G62" s="3">
        <f t="shared" si="7"/>
        <v>0</v>
      </c>
      <c r="H62" s="3">
        <f t="shared" si="8"/>
        <v>0</v>
      </c>
      <c r="I62" s="3">
        <f t="shared" si="9"/>
        <v>0</v>
      </c>
      <c r="J62" s="3">
        <f t="shared" si="10"/>
        <v>0</v>
      </c>
      <c r="K62" s="3">
        <f t="shared" si="11"/>
        <v>0</v>
      </c>
      <c r="L62" s="3">
        <f t="shared" si="12"/>
        <v>0</v>
      </c>
      <c r="M62" s="3">
        <f t="shared" si="13"/>
        <v>0</v>
      </c>
    </row>
    <row r="63" spans="3:13" x14ac:dyDescent="0.3">
      <c r="C63" s="3">
        <v>21</v>
      </c>
      <c r="D63" s="3">
        <f t="shared" si="4"/>
        <v>91.068530467660537</v>
      </c>
      <c r="E63" s="3">
        <f t="shared" si="5"/>
        <v>132.95402398579068</v>
      </c>
      <c r="F63" s="3">
        <f t="shared" si="6"/>
        <v>0</v>
      </c>
      <c r="G63" s="3">
        <f t="shared" si="7"/>
        <v>0</v>
      </c>
      <c r="H63" s="3">
        <f t="shared" si="8"/>
        <v>0</v>
      </c>
      <c r="I63" s="3">
        <f t="shared" si="9"/>
        <v>0</v>
      </c>
      <c r="J63" s="3">
        <f t="shared" si="10"/>
        <v>0</v>
      </c>
      <c r="K63" s="3">
        <f t="shared" si="11"/>
        <v>0</v>
      </c>
      <c r="L63" s="3">
        <f t="shared" si="12"/>
        <v>0</v>
      </c>
      <c r="M63" s="3">
        <f t="shared" si="13"/>
        <v>0</v>
      </c>
    </row>
    <row r="64" spans="3:13" x14ac:dyDescent="0.3">
      <c r="C64" s="3">
        <v>22</v>
      </c>
      <c r="D64" s="3">
        <f t="shared" si="4"/>
        <v>92.327567235021306</v>
      </c>
      <c r="E64" s="3">
        <f t="shared" si="5"/>
        <v>132.19886057288005</v>
      </c>
      <c r="F64" s="3">
        <f t="shared" si="6"/>
        <v>0</v>
      </c>
      <c r="G64" s="3">
        <f t="shared" si="7"/>
        <v>0</v>
      </c>
      <c r="H64" s="3">
        <f t="shared" si="8"/>
        <v>0</v>
      </c>
      <c r="I64" s="3">
        <f t="shared" si="9"/>
        <v>0</v>
      </c>
      <c r="J64" s="3">
        <f t="shared" si="10"/>
        <v>0</v>
      </c>
      <c r="K64" s="3">
        <f t="shared" si="11"/>
        <v>0</v>
      </c>
      <c r="L64" s="3">
        <f t="shared" si="12"/>
        <v>0</v>
      </c>
      <c r="M64" s="3">
        <f t="shared" si="13"/>
        <v>0</v>
      </c>
    </row>
    <row r="65" spans="3:13" x14ac:dyDescent="0.3">
      <c r="C65" s="3">
        <v>23</v>
      </c>
      <c r="D65" s="3">
        <f t="shared" si="4"/>
        <v>82.661867456384414</v>
      </c>
      <c r="E65" s="3">
        <f t="shared" si="5"/>
        <v>131.53740487733668</v>
      </c>
      <c r="F65" s="3">
        <f t="shared" si="6"/>
        <v>1146.4358816342121</v>
      </c>
      <c r="G65" s="3">
        <f t="shared" si="7"/>
        <v>0</v>
      </c>
      <c r="H65" s="3">
        <f t="shared" si="8"/>
        <v>0</v>
      </c>
      <c r="I65" s="3">
        <f t="shared" si="9"/>
        <v>0</v>
      </c>
      <c r="J65" s="3">
        <f t="shared" si="10"/>
        <v>0</v>
      </c>
      <c r="K65" s="3">
        <f t="shared" si="11"/>
        <v>0</v>
      </c>
      <c r="L65" s="3">
        <f t="shared" si="12"/>
        <v>0</v>
      </c>
      <c r="M65" s="3">
        <f t="shared" si="13"/>
        <v>0</v>
      </c>
    </row>
    <row r="66" spans="3:13" x14ac:dyDescent="0.3">
      <c r="C66" s="3">
        <v>24</v>
      </c>
      <c r="D66" s="3">
        <f t="shared" si="4"/>
        <v>83.9838272434678</v>
      </c>
      <c r="E66" s="3">
        <f t="shared" si="5"/>
        <v>138.80577764375587</v>
      </c>
      <c r="F66" s="3">
        <f t="shared" si="6"/>
        <v>0</v>
      </c>
      <c r="G66" s="3">
        <f t="shared" si="7"/>
        <v>0</v>
      </c>
      <c r="H66" s="3">
        <f t="shared" si="8"/>
        <v>0</v>
      </c>
      <c r="I66" s="3">
        <f t="shared" si="9"/>
        <v>0</v>
      </c>
      <c r="J66" s="3">
        <f t="shared" si="10"/>
        <v>0</v>
      </c>
      <c r="K66" s="3">
        <f t="shared" si="11"/>
        <v>0</v>
      </c>
      <c r="L66" s="3">
        <f t="shared" si="12"/>
        <v>0</v>
      </c>
      <c r="M66" s="3">
        <f t="shared" si="13"/>
        <v>0</v>
      </c>
    </row>
    <row r="67" spans="3:13" x14ac:dyDescent="0.3">
      <c r="C67" s="3">
        <v>25</v>
      </c>
      <c r="D67" s="3">
        <f t="shared" si="4"/>
        <v>85.293609684515431</v>
      </c>
      <c r="E67" s="3">
        <f t="shared" si="5"/>
        <v>137.52715631000061</v>
      </c>
      <c r="F67" s="3">
        <f t="shared" si="6"/>
        <v>0</v>
      </c>
      <c r="G67" s="3">
        <f t="shared" si="7"/>
        <v>0</v>
      </c>
      <c r="H67" s="3">
        <f t="shared" si="8"/>
        <v>0</v>
      </c>
      <c r="I67" s="3">
        <f t="shared" si="9"/>
        <v>0</v>
      </c>
      <c r="J67" s="3">
        <f t="shared" si="10"/>
        <v>0</v>
      </c>
      <c r="K67" s="3">
        <f t="shared" si="11"/>
        <v>0</v>
      </c>
      <c r="L67" s="3">
        <f t="shared" si="12"/>
        <v>0</v>
      </c>
      <c r="M67" s="3">
        <f t="shared" si="13"/>
        <v>0</v>
      </c>
    </row>
    <row r="68" spans="3:13" x14ac:dyDescent="0.3">
      <c r="C68" s="3">
        <v>26</v>
      </c>
      <c r="D68" s="3">
        <f t="shared" si="4"/>
        <v>86.592136037876287</v>
      </c>
      <c r="E68" s="3">
        <f t="shared" si="5"/>
        <v>136.3452671028902</v>
      </c>
      <c r="F68" s="3">
        <f t="shared" si="6"/>
        <v>0</v>
      </c>
      <c r="G68" s="3">
        <f t="shared" si="7"/>
        <v>0</v>
      </c>
      <c r="H68" s="3">
        <f t="shared" si="8"/>
        <v>0</v>
      </c>
      <c r="I68" s="3">
        <f t="shared" si="9"/>
        <v>0</v>
      </c>
      <c r="J68" s="3">
        <f t="shared" si="10"/>
        <v>0</v>
      </c>
      <c r="K68" s="3">
        <f t="shared" si="11"/>
        <v>0</v>
      </c>
      <c r="L68" s="3">
        <f t="shared" si="12"/>
        <v>0</v>
      </c>
      <c r="M68" s="3">
        <f t="shared" si="13"/>
        <v>0</v>
      </c>
    </row>
    <row r="69" spans="3:13" x14ac:dyDescent="0.3">
      <c r="C69" s="3">
        <v>27</v>
      </c>
      <c r="D69" s="3">
        <f t="shared" si="4"/>
        <v>87.880318771454668</v>
      </c>
      <c r="E69" s="3">
        <f t="shared" si="5"/>
        <v>135.25918702572926</v>
      </c>
      <c r="F69" s="3">
        <f t="shared" si="6"/>
        <v>0</v>
      </c>
      <c r="G69" s="3">
        <f t="shared" si="7"/>
        <v>0</v>
      </c>
      <c r="H69" s="3">
        <f t="shared" si="8"/>
        <v>0</v>
      </c>
      <c r="I69" s="3">
        <f t="shared" si="9"/>
        <v>0</v>
      </c>
      <c r="J69" s="3">
        <f t="shared" si="10"/>
        <v>0</v>
      </c>
      <c r="K69" s="3">
        <f t="shared" si="11"/>
        <v>0</v>
      </c>
      <c r="L69" s="3">
        <f t="shared" si="12"/>
        <v>0</v>
      </c>
      <c r="M69" s="3">
        <f t="shared" si="13"/>
        <v>0</v>
      </c>
    </row>
    <row r="70" spans="3:13" x14ac:dyDescent="0.3">
      <c r="C70" s="3">
        <v>28</v>
      </c>
      <c r="D70" s="3">
        <f t="shared" si="4"/>
        <v>78.240626079871873</v>
      </c>
      <c r="E70" s="3">
        <f t="shared" si="5"/>
        <v>134.26814901801879</v>
      </c>
      <c r="F70" s="3">
        <f t="shared" si="6"/>
        <v>1146.4358816342121</v>
      </c>
      <c r="G70" s="3">
        <f t="shared" si="7"/>
        <v>0</v>
      </c>
      <c r="H70" s="3">
        <f t="shared" si="8"/>
        <v>0</v>
      </c>
      <c r="I70" s="3">
        <f t="shared" si="9"/>
        <v>0</v>
      </c>
      <c r="J70" s="3">
        <f t="shared" si="10"/>
        <v>0</v>
      </c>
      <c r="K70" s="3">
        <f t="shared" si="11"/>
        <v>0</v>
      </c>
      <c r="L70" s="3">
        <f t="shared" si="12"/>
        <v>0</v>
      </c>
      <c r="M70" s="3">
        <f t="shared" si="13"/>
        <v>0</v>
      </c>
    </row>
    <row r="71" spans="3:13" x14ac:dyDescent="0.3">
      <c r="C71" s="3">
        <v>29</v>
      </c>
      <c r="D71" s="3">
        <f t="shared" si="4"/>
        <v>79.608993478200574</v>
      </c>
      <c r="E71" s="3">
        <f t="shared" si="5"/>
        <v>143.67857682451333</v>
      </c>
      <c r="F71" s="3">
        <f t="shared" si="6"/>
        <v>0</v>
      </c>
      <c r="G71" s="3">
        <f t="shared" si="7"/>
        <v>0</v>
      </c>
      <c r="H71" s="3">
        <f t="shared" si="8"/>
        <v>0</v>
      </c>
      <c r="I71" s="3">
        <f t="shared" si="9"/>
        <v>0</v>
      </c>
      <c r="J71" s="3">
        <f t="shared" si="10"/>
        <v>0</v>
      </c>
      <c r="K71" s="3">
        <f t="shared" si="11"/>
        <v>0</v>
      </c>
      <c r="L71" s="3">
        <f t="shared" si="12"/>
        <v>0</v>
      </c>
      <c r="M71" s="3">
        <f t="shared" si="13"/>
        <v>0</v>
      </c>
    </row>
    <row r="72" spans="3:13" x14ac:dyDescent="0.3">
      <c r="C72" s="3">
        <v>30</v>
      </c>
      <c r="D72" s="3">
        <f t="shared" si="4"/>
        <v>80.962091651381911</v>
      </c>
      <c r="E72" s="3">
        <f t="shared" si="5"/>
        <v>142.07530818404109</v>
      </c>
      <c r="F72" s="3">
        <f t="shared" si="6"/>
        <v>0</v>
      </c>
      <c r="G72" s="3">
        <f t="shared" si="7"/>
        <v>0</v>
      </c>
      <c r="H72" s="3">
        <f t="shared" si="8"/>
        <v>0</v>
      </c>
      <c r="I72" s="3">
        <f t="shared" si="9"/>
        <v>0</v>
      </c>
      <c r="J72" s="3">
        <f t="shared" si="10"/>
        <v>0</v>
      </c>
      <c r="K72" s="3">
        <f t="shared" si="11"/>
        <v>0</v>
      </c>
      <c r="L72" s="3">
        <f t="shared" si="12"/>
        <v>0</v>
      </c>
      <c r="M72" s="3">
        <f t="shared" si="13"/>
        <v>0</v>
      </c>
    </row>
    <row r="73" spans="3:13" x14ac:dyDescent="0.3">
      <c r="C73" s="3">
        <v>31</v>
      </c>
      <c r="D73" s="3">
        <f t="shared" si="4"/>
        <v>82.300879990123875</v>
      </c>
      <c r="E73" s="3">
        <f t="shared" si="5"/>
        <v>140.57277556790513</v>
      </c>
      <c r="F73" s="3">
        <f t="shared" si="6"/>
        <v>0</v>
      </c>
      <c r="G73" s="3">
        <f t="shared" si="7"/>
        <v>0</v>
      </c>
      <c r="H73" s="3">
        <f t="shared" si="8"/>
        <v>0</v>
      </c>
      <c r="I73" s="3">
        <f t="shared" si="9"/>
        <v>0</v>
      </c>
      <c r="J73" s="3">
        <f t="shared" si="10"/>
        <v>0</v>
      </c>
      <c r="K73" s="3">
        <f t="shared" si="11"/>
        <v>0</v>
      </c>
      <c r="L73" s="3">
        <f t="shared" si="12"/>
        <v>0</v>
      </c>
      <c r="M73" s="3">
        <f t="shared" si="13"/>
        <v>0</v>
      </c>
    </row>
    <row r="74" spans="3:13" x14ac:dyDescent="0.3">
      <c r="C74" s="3">
        <v>32</v>
      </c>
      <c r="D74" s="3">
        <f t="shared" si="4"/>
        <v>83.626304809277485</v>
      </c>
      <c r="E74" s="3">
        <f t="shared" si="5"/>
        <v>139.16960601112996</v>
      </c>
      <c r="F74" s="3">
        <f t="shared" si="6"/>
        <v>0</v>
      </c>
      <c r="G74" s="3">
        <f t="shared" si="7"/>
        <v>0</v>
      </c>
      <c r="H74" s="3">
        <f t="shared" si="8"/>
        <v>0</v>
      </c>
      <c r="I74" s="3">
        <f t="shared" si="9"/>
        <v>0</v>
      </c>
      <c r="J74" s="3">
        <f t="shared" si="10"/>
        <v>0</v>
      </c>
      <c r="K74" s="3">
        <f t="shared" si="11"/>
        <v>0</v>
      </c>
      <c r="L74" s="3">
        <f t="shared" si="12"/>
        <v>0</v>
      </c>
      <c r="M74" s="3">
        <f t="shared" si="13"/>
        <v>0</v>
      </c>
    </row>
    <row r="75" spans="3:13" x14ac:dyDescent="0.3">
      <c r="C75" s="3">
        <v>33</v>
      </c>
      <c r="D75" s="3">
        <f t="shared" si="4"/>
        <v>74.020863593186405</v>
      </c>
      <c r="E75" s="3">
        <f t="shared" si="5"/>
        <v>137.86455394464735</v>
      </c>
      <c r="F75" s="3">
        <f t="shared" si="6"/>
        <v>1146.4358816342121</v>
      </c>
      <c r="G75" s="3">
        <f t="shared" si="7"/>
        <v>0</v>
      </c>
      <c r="H75" s="3">
        <f t="shared" si="8"/>
        <v>0</v>
      </c>
      <c r="I75" s="3">
        <f t="shared" si="9"/>
        <v>0</v>
      </c>
      <c r="J75" s="3">
        <f t="shared" si="10"/>
        <v>0</v>
      </c>
      <c r="K75" s="3">
        <f t="shared" si="11"/>
        <v>0</v>
      </c>
      <c r="L75" s="3">
        <f t="shared" si="12"/>
        <v>0</v>
      </c>
      <c r="M75" s="3">
        <f t="shared" si="13"/>
        <v>0</v>
      </c>
    </row>
    <row r="76" spans="3:13" x14ac:dyDescent="0.3">
      <c r="C76" s="3">
        <v>34</v>
      </c>
      <c r="D76" s="3">
        <f t="shared" si="4"/>
        <v>75.441115513536474</v>
      </c>
      <c r="E76" s="3">
        <f t="shared" si="5"/>
        <v>149.12645163675637</v>
      </c>
      <c r="F76" s="3">
        <f t="shared" si="6"/>
        <v>0</v>
      </c>
      <c r="G76" s="3">
        <f t="shared" si="7"/>
        <v>0</v>
      </c>
      <c r="H76" s="3">
        <f t="shared" si="8"/>
        <v>0</v>
      </c>
      <c r="I76" s="3">
        <f t="shared" si="9"/>
        <v>0</v>
      </c>
      <c r="J76" s="3">
        <f t="shared" si="10"/>
        <v>0</v>
      </c>
      <c r="K76" s="3">
        <f t="shared" si="11"/>
        <v>0</v>
      </c>
      <c r="L76" s="3">
        <f t="shared" si="12"/>
        <v>0</v>
      </c>
      <c r="M76" s="3">
        <f t="shared" si="13"/>
        <v>0</v>
      </c>
    </row>
    <row r="77" spans="3:13" x14ac:dyDescent="0.3">
      <c r="C77" s="3">
        <v>35</v>
      </c>
      <c r="D77" s="3">
        <f t="shared" si="4"/>
        <v>76.843121500355622</v>
      </c>
      <c r="E77" s="3">
        <f t="shared" si="5"/>
        <v>147.2106286160101</v>
      </c>
      <c r="F77" s="3">
        <f t="shared" si="6"/>
        <v>0</v>
      </c>
      <c r="G77" s="3">
        <f t="shared" si="7"/>
        <v>0</v>
      </c>
      <c r="H77" s="3">
        <f t="shared" si="8"/>
        <v>0</v>
      </c>
      <c r="I77" s="3">
        <f t="shared" si="9"/>
        <v>0</v>
      </c>
      <c r="J77" s="3">
        <f t="shared" si="10"/>
        <v>0</v>
      </c>
      <c r="K77" s="3">
        <f t="shared" si="11"/>
        <v>0</v>
      </c>
      <c r="L77" s="3">
        <f t="shared" si="12"/>
        <v>0</v>
      </c>
      <c r="M77" s="3">
        <f t="shared" si="13"/>
        <v>0</v>
      </c>
    </row>
    <row r="78" spans="3:13" x14ac:dyDescent="0.3">
      <c r="C78" s="3">
        <v>36</v>
      </c>
      <c r="D78" s="3">
        <f t="shared" si="4"/>
        <v>78.227886642792441</v>
      </c>
      <c r="E78" s="3">
        <f t="shared" si="5"/>
        <v>145.40033995586606</v>
      </c>
      <c r="F78" s="3">
        <f t="shared" si="6"/>
        <v>0</v>
      </c>
      <c r="G78" s="3">
        <f t="shared" si="7"/>
        <v>0</v>
      </c>
      <c r="H78" s="3">
        <f t="shared" si="8"/>
        <v>0</v>
      </c>
      <c r="I78" s="3">
        <f t="shared" si="9"/>
        <v>0</v>
      </c>
      <c r="J78" s="3">
        <f t="shared" si="10"/>
        <v>0</v>
      </c>
      <c r="K78" s="3">
        <f t="shared" si="11"/>
        <v>0</v>
      </c>
      <c r="L78" s="3">
        <f t="shared" si="12"/>
        <v>0</v>
      </c>
      <c r="M78" s="3">
        <f t="shared" si="13"/>
        <v>0</v>
      </c>
    </row>
    <row r="79" spans="3:13" x14ac:dyDescent="0.3">
      <c r="C79" s="3">
        <v>37</v>
      </c>
      <c r="D79" s="3">
        <f t="shared" si="4"/>
        <v>79.596399891793965</v>
      </c>
      <c r="E79" s="3">
        <f t="shared" si="5"/>
        <v>143.69389114515903</v>
      </c>
      <c r="F79" s="3">
        <f t="shared" si="6"/>
        <v>0</v>
      </c>
      <c r="G79" s="3">
        <f t="shared" si="7"/>
        <v>0</v>
      </c>
      <c r="H79" s="3">
        <f t="shared" si="8"/>
        <v>0</v>
      </c>
      <c r="I79" s="3">
        <f t="shared" si="9"/>
        <v>0</v>
      </c>
      <c r="J79" s="3">
        <f t="shared" si="10"/>
        <v>0</v>
      </c>
      <c r="K79" s="3">
        <f t="shared" si="11"/>
        <v>0</v>
      </c>
      <c r="L79" s="3">
        <f t="shared" si="12"/>
        <v>0</v>
      </c>
      <c r="M79" s="3">
        <f t="shared" si="13"/>
        <v>0</v>
      </c>
    </row>
    <row r="80" spans="3:13" x14ac:dyDescent="0.3">
      <c r="C80" s="3">
        <v>38</v>
      </c>
      <c r="D80" s="3">
        <f t="shared" si="4"/>
        <v>70.031198003295373</v>
      </c>
      <c r="E80" s="3">
        <f t="shared" si="5"/>
        <v>142.0896833418594</v>
      </c>
      <c r="F80" s="3">
        <f t="shared" si="6"/>
        <v>1146.4358816342121</v>
      </c>
      <c r="G80" s="3">
        <f t="shared" si="7"/>
        <v>0</v>
      </c>
      <c r="H80" s="3">
        <f t="shared" si="8"/>
        <v>0</v>
      </c>
      <c r="I80" s="3">
        <f t="shared" si="9"/>
        <v>0</v>
      </c>
      <c r="J80" s="3">
        <f t="shared" si="10"/>
        <v>0</v>
      </c>
      <c r="K80" s="3">
        <f t="shared" si="11"/>
        <v>0</v>
      </c>
      <c r="L80" s="3">
        <f t="shared" si="12"/>
        <v>0</v>
      </c>
      <c r="M80" s="3">
        <f t="shared" si="13"/>
        <v>0</v>
      </c>
    </row>
    <row r="81" spans="3:13" x14ac:dyDescent="0.3">
      <c r="C81" s="3">
        <v>39</v>
      </c>
      <c r="D81" s="3">
        <f t="shared" si="4"/>
        <v>71.506679859895073</v>
      </c>
      <c r="E81" s="3">
        <f t="shared" si="5"/>
        <v>154.92559494296785</v>
      </c>
      <c r="F81" s="3">
        <f t="shared" si="6"/>
        <v>0</v>
      </c>
      <c r="G81" s="3">
        <f t="shared" si="7"/>
        <v>0</v>
      </c>
      <c r="H81" s="3">
        <f t="shared" si="8"/>
        <v>0</v>
      </c>
      <c r="I81" s="3">
        <f t="shared" si="9"/>
        <v>0</v>
      </c>
      <c r="J81" s="3">
        <f t="shared" si="10"/>
        <v>0</v>
      </c>
      <c r="K81" s="3">
        <f t="shared" si="11"/>
        <v>0</v>
      </c>
      <c r="L81" s="3">
        <f t="shared" si="12"/>
        <v>0</v>
      </c>
      <c r="M81" s="3">
        <f t="shared" si="13"/>
        <v>0</v>
      </c>
    </row>
    <row r="82" spans="3:13" x14ac:dyDescent="0.3">
      <c r="C82" s="3">
        <v>40</v>
      </c>
      <c r="D82" s="3">
        <f t="shared" si="4"/>
        <v>72.961075839275168</v>
      </c>
      <c r="E82" s="3">
        <f t="shared" si="5"/>
        <v>152.71157783490943</v>
      </c>
      <c r="F82" s="3">
        <f t="shared" si="6"/>
        <v>0</v>
      </c>
      <c r="G82" s="3">
        <f t="shared" si="7"/>
        <v>0</v>
      </c>
      <c r="H82" s="3">
        <f t="shared" si="8"/>
        <v>0</v>
      </c>
      <c r="I82" s="3">
        <f t="shared" si="9"/>
        <v>0</v>
      </c>
      <c r="J82" s="3">
        <f t="shared" si="10"/>
        <v>0</v>
      </c>
      <c r="K82" s="3">
        <f t="shared" si="11"/>
        <v>0</v>
      </c>
      <c r="L82" s="3">
        <f t="shared" si="12"/>
        <v>0</v>
      </c>
      <c r="M82" s="3">
        <f t="shared" si="13"/>
        <v>0</v>
      </c>
    </row>
    <row r="83" spans="3:13" x14ac:dyDescent="0.3">
      <c r="C83" s="3">
        <v>41</v>
      </c>
      <c r="D83" s="3">
        <f t="shared" si="4"/>
        <v>74.395438846752256</v>
      </c>
      <c r="E83" s="3">
        <f t="shared" si="5"/>
        <v>150.60811578509359</v>
      </c>
      <c r="F83" s="3">
        <f t="shared" si="6"/>
        <v>0</v>
      </c>
      <c r="G83" s="3">
        <f t="shared" si="7"/>
        <v>0</v>
      </c>
      <c r="H83" s="3">
        <f t="shared" si="8"/>
        <v>0</v>
      </c>
      <c r="I83" s="3">
        <f t="shared" si="9"/>
        <v>0</v>
      </c>
      <c r="J83" s="3">
        <f t="shared" si="10"/>
        <v>0</v>
      </c>
      <c r="K83" s="3">
        <f t="shared" si="11"/>
        <v>0</v>
      </c>
      <c r="L83" s="3">
        <f t="shared" si="12"/>
        <v>0</v>
      </c>
      <c r="M83" s="3">
        <f t="shared" si="13"/>
        <v>0</v>
      </c>
    </row>
    <row r="84" spans="3:13" x14ac:dyDescent="0.3">
      <c r="C84" s="3">
        <v>42</v>
      </c>
      <c r="D84" s="3">
        <f t="shared" si="4"/>
        <v>75.810803814385707</v>
      </c>
      <c r="E84" s="3">
        <f t="shared" si="5"/>
        <v>148.61332160151346</v>
      </c>
      <c r="F84" s="3">
        <f t="shared" si="6"/>
        <v>0</v>
      </c>
      <c r="G84" s="3">
        <f t="shared" si="7"/>
        <v>0</v>
      </c>
      <c r="H84" s="3">
        <f t="shared" si="8"/>
        <v>0</v>
      </c>
      <c r="I84" s="3">
        <f t="shared" si="9"/>
        <v>0</v>
      </c>
      <c r="J84" s="3">
        <f t="shared" si="10"/>
        <v>0</v>
      </c>
      <c r="K84" s="3">
        <f t="shared" si="11"/>
        <v>0</v>
      </c>
      <c r="L84" s="3">
        <f t="shared" si="12"/>
        <v>0</v>
      </c>
      <c r="M84" s="3">
        <f t="shared" si="13"/>
        <v>0</v>
      </c>
    </row>
    <row r="85" spans="3:13" x14ac:dyDescent="0.3">
      <c r="C85" s="3">
        <v>43</v>
      </c>
      <c r="D85" s="3">
        <f t="shared" si="4"/>
        <v>66.289751279810872</v>
      </c>
      <c r="E85" s="3">
        <f t="shared" si="5"/>
        <v>146.72536550385269</v>
      </c>
      <c r="F85" s="3">
        <f t="shared" si="6"/>
        <v>1146.4358816342121</v>
      </c>
      <c r="G85" s="3">
        <f t="shared" si="7"/>
        <v>0</v>
      </c>
      <c r="H85" s="3">
        <f t="shared" si="8"/>
        <v>0</v>
      </c>
      <c r="I85" s="3">
        <f t="shared" si="9"/>
        <v>0</v>
      </c>
      <c r="J85" s="3">
        <f t="shared" si="10"/>
        <v>0</v>
      </c>
      <c r="K85" s="3">
        <f t="shared" si="11"/>
        <v>0</v>
      </c>
      <c r="L85" s="3">
        <f t="shared" si="12"/>
        <v>0</v>
      </c>
      <c r="M85" s="3">
        <f t="shared" si="13"/>
        <v>0</v>
      </c>
    </row>
    <row r="86" spans="3:13" x14ac:dyDescent="0.3">
      <c r="C86" s="3">
        <v>44</v>
      </c>
      <c r="D86" s="3">
        <f t="shared" si="4"/>
        <v>67.821941275338204</v>
      </c>
      <c r="E86" s="3">
        <f t="shared" si="5"/>
        <v>160.87994953037054</v>
      </c>
      <c r="F86" s="3">
        <f t="shared" si="6"/>
        <v>0</v>
      </c>
      <c r="G86" s="3">
        <f t="shared" si="7"/>
        <v>0</v>
      </c>
      <c r="H86" s="3">
        <f t="shared" si="8"/>
        <v>0</v>
      </c>
      <c r="I86" s="3">
        <f t="shared" si="9"/>
        <v>0</v>
      </c>
      <c r="J86" s="3">
        <f t="shared" si="10"/>
        <v>0</v>
      </c>
      <c r="K86" s="3">
        <f t="shared" si="11"/>
        <v>0</v>
      </c>
      <c r="L86" s="3">
        <f t="shared" si="12"/>
        <v>0</v>
      </c>
      <c r="M86" s="3">
        <f t="shared" si="13"/>
        <v>0</v>
      </c>
    </row>
    <row r="87" spans="3:13" x14ac:dyDescent="0.3">
      <c r="C87" s="3">
        <v>45</v>
      </c>
      <c r="D87" s="3">
        <f t="shared" si="4"/>
        <v>69.33036586279573</v>
      </c>
      <c r="E87" s="3">
        <f t="shared" si="5"/>
        <v>158.38458168304021</v>
      </c>
      <c r="F87" s="3">
        <f t="shared" si="6"/>
        <v>0</v>
      </c>
      <c r="G87" s="3">
        <f t="shared" si="7"/>
        <v>0</v>
      </c>
      <c r="H87" s="3">
        <f t="shared" si="8"/>
        <v>0</v>
      </c>
      <c r="I87" s="3">
        <f t="shared" si="9"/>
        <v>0</v>
      </c>
      <c r="J87" s="3">
        <f t="shared" si="10"/>
        <v>0</v>
      </c>
      <c r="K87" s="3">
        <f t="shared" si="11"/>
        <v>0</v>
      </c>
      <c r="L87" s="3">
        <f t="shared" si="12"/>
        <v>0</v>
      </c>
      <c r="M87" s="3">
        <f t="shared" si="13"/>
        <v>0</v>
      </c>
    </row>
    <row r="88" spans="3:13" x14ac:dyDescent="0.3">
      <c r="C88" s="3">
        <v>46</v>
      </c>
      <c r="D88" s="3">
        <f t="shared" si="4"/>
        <v>70.816123583508002</v>
      </c>
      <c r="E88" s="3">
        <f t="shared" si="5"/>
        <v>156.00456067478862</v>
      </c>
      <c r="F88" s="3">
        <f t="shared" si="6"/>
        <v>0</v>
      </c>
      <c r="G88" s="3">
        <f t="shared" si="7"/>
        <v>0</v>
      </c>
      <c r="H88" s="3">
        <f t="shared" si="8"/>
        <v>0</v>
      </c>
      <c r="I88" s="3">
        <f t="shared" si="9"/>
        <v>0</v>
      </c>
      <c r="J88" s="3">
        <f t="shared" si="10"/>
        <v>0</v>
      </c>
      <c r="K88" s="3">
        <f t="shared" si="11"/>
        <v>0</v>
      </c>
      <c r="L88" s="3">
        <f t="shared" si="12"/>
        <v>0</v>
      </c>
      <c r="M88" s="3">
        <f t="shared" si="13"/>
        <v>0</v>
      </c>
    </row>
    <row r="89" spans="3:13" x14ac:dyDescent="0.3">
      <c r="C89" s="3">
        <v>47</v>
      </c>
      <c r="D89" s="3">
        <f t="shared" si="4"/>
        <v>72.280294403366881</v>
      </c>
      <c r="E89" s="3">
        <f t="shared" si="5"/>
        <v>153.73793608518321</v>
      </c>
      <c r="F89" s="3">
        <f t="shared" si="6"/>
        <v>0</v>
      </c>
      <c r="G89" s="3">
        <f t="shared" si="7"/>
        <v>0</v>
      </c>
      <c r="H89" s="3">
        <f t="shared" si="8"/>
        <v>0</v>
      </c>
      <c r="I89" s="3">
        <f t="shared" si="9"/>
        <v>0</v>
      </c>
      <c r="J89" s="3">
        <f t="shared" si="10"/>
        <v>0</v>
      </c>
      <c r="K89" s="3">
        <f t="shared" si="11"/>
        <v>0</v>
      </c>
      <c r="L89" s="3">
        <f t="shared" si="12"/>
        <v>0</v>
      </c>
      <c r="M89" s="3">
        <f t="shared" si="13"/>
        <v>0</v>
      </c>
    </row>
    <row r="90" spans="3:13" x14ac:dyDescent="0.3">
      <c r="C90" s="3">
        <v>48</v>
      </c>
      <c r="D90" s="3">
        <f t="shared" si="4"/>
        <v>62.805502847263789</v>
      </c>
      <c r="E90" s="3">
        <f t="shared" si="5"/>
        <v>151.58276824338688</v>
      </c>
      <c r="F90" s="3">
        <f t="shared" si="6"/>
        <v>1146.4358816342121</v>
      </c>
      <c r="G90" s="3">
        <f t="shared" si="7"/>
        <v>0</v>
      </c>
      <c r="H90" s="3">
        <f t="shared" si="8"/>
        <v>0</v>
      </c>
      <c r="I90" s="3">
        <f t="shared" si="9"/>
        <v>0</v>
      </c>
      <c r="J90" s="3">
        <f t="shared" si="10"/>
        <v>0</v>
      </c>
      <c r="K90" s="3">
        <f t="shared" si="11"/>
        <v>0</v>
      </c>
      <c r="L90" s="3">
        <f t="shared" si="12"/>
        <v>0</v>
      </c>
      <c r="M90" s="3">
        <f t="shared" si="13"/>
        <v>0</v>
      </c>
    </row>
    <row r="91" spans="3:13" x14ac:dyDescent="0.3">
      <c r="C91" s="3">
        <v>49</v>
      </c>
      <c r="D91" s="3">
        <f t="shared" si="4"/>
        <v>64.39434001672339</v>
      </c>
      <c r="E91" s="3">
        <f t="shared" si="5"/>
        <v>166.82790279325758</v>
      </c>
      <c r="F91" s="3">
        <f t="shared" si="6"/>
        <v>0</v>
      </c>
      <c r="G91" s="3">
        <f t="shared" si="7"/>
        <v>0</v>
      </c>
      <c r="H91" s="3">
        <f t="shared" si="8"/>
        <v>0</v>
      </c>
      <c r="I91" s="3">
        <f t="shared" si="9"/>
        <v>0</v>
      </c>
      <c r="J91" s="3">
        <f t="shared" si="10"/>
        <v>0</v>
      </c>
      <c r="K91" s="3">
        <f t="shared" si="11"/>
        <v>0</v>
      </c>
      <c r="L91" s="3">
        <f t="shared" si="12"/>
        <v>0</v>
      </c>
      <c r="M91" s="3">
        <f t="shared" si="13"/>
        <v>0</v>
      </c>
    </row>
    <row r="92" spans="3:13" x14ac:dyDescent="0.3">
      <c r="C92" s="3">
        <v>50</v>
      </c>
      <c r="D92" s="3">
        <f t="shared" si="4"/>
        <v>65.956913195193408</v>
      </c>
      <c r="E92" s="3">
        <f t="shared" si="5"/>
        <v>164.07018373935199</v>
      </c>
      <c r="F92" s="3">
        <f t="shared" si="6"/>
        <v>0</v>
      </c>
      <c r="G92" s="3">
        <f t="shared" si="7"/>
        <v>0</v>
      </c>
      <c r="H92" s="3">
        <f t="shared" si="8"/>
        <v>0</v>
      </c>
      <c r="I92" s="3">
        <f t="shared" si="9"/>
        <v>0</v>
      </c>
      <c r="J92" s="3">
        <f t="shared" si="10"/>
        <v>0</v>
      </c>
      <c r="K92" s="3">
        <f t="shared" si="11"/>
        <v>0</v>
      </c>
      <c r="L92" s="3">
        <f t="shared" si="12"/>
        <v>0</v>
      </c>
      <c r="M92" s="3">
        <f t="shared" si="13"/>
        <v>0</v>
      </c>
    </row>
    <row r="93" spans="3:13" x14ac:dyDescent="0.3">
      <c r="C93" s="3">
        <v>51</v>
      </c>
      <c r="D93" s="3">
        <f t="shared" si="4"/>
        <v>67.494361283289422</v>
      </c>
      <c r="E93" s="3">
        <f t="shared" si="5"/>
        <v>161.43204925008101</v>
      </c>
      <c r="F93" s="3">
        <f t="shared" si="6"/>
        <v>0</v>
      </c>
      <c r="G93" s="3">
        <f t="shared" si="7"/>
        <v>0</v>
      </c>
      <c r="H93" s="3">
        <f t="shared" si="8"/>
        <v>0</v>
      </c>
      <c r="I93" s="3">
        <f t="shared" si="9"/>
        <v>0</v>
      </c>
      <c r="J93" s="3">
        <f t="shared" si="10"/>
        <v>0</v>
      </c>
      <c r="K93" s="3">
        <f t="shared" si="11"/>
        <v>0</v>
      </c>
      <c r="L93" s="3">
        <f t="shared" si="12"/>
        <v>0</v>
      </c>
      <c r="M93" s="3">
        <f t="shared" si="13"/>
        <v>0</v>
      </c>
    </row>
    <row r="94" spans="3:13" x14ac:dyDescent="0.3">
      <c r="C94" s="3">
        <v>52</v>
      </c>
      <c r="D94" s="3">
        <f t="shared" si="4"/>
        <v>69.007805210068724</v>
      </c>
      <c r="E94" s="3">
        <f t="shared" si="5"/>
        <v>158.91161231182622</v>
      </c>
      <c r="F94" s="3">
        <f t="shared" si="6"/>
        <v>0</v>
      </c>
      <c r="G94" s="3">
        <f t="shared" si="7"/>
        <v>0</v>
      </c>
      <c r="H94" s="3">
        <f t="shared" si="8"/>
        <v>0</v>
      </c>
      <c r="I94" s="3">
        <f t="shared" si="9"/>
        <v>0</v>
      </c>
      <c r="J94" s="3">
        <f t="shared" si="10"/>
        <v>0</v>
      </c>
      <c r="K94" s="3">
        <f t="shared" si="11"/>
        <v>0</v>
      </c>
      <c r="L94" s="3">
        <f t="shared" si="12"/>
        <v>0</v>
      </c>
      <c r="M94" s="3">
        <f t="shared" si="13"/>
        <v>0</v>
      </c>
    </row>
    <row r="95" spans="3:13" x14ac:dyDescent="0.3">
      <c r="C95" s="3">
        <v>53</v>
      </c>
      <c r="D95" s="3">
        <f t="shared" si="4"/>
        <v>59.579910537623476</v>
      </c>
      <c r="E95" s="3">
        <f t="shared" si="5"/>
        <v>156.50694102746004</v>
      </c>
      <c r="F95" s="3">
        <f t="shared" si="6"/>
        <v>1146.4358816342121</v>
      </c>
      <c r="G95" s="3">
        <f t="shared" si="7"/>
        <v>0</v>
      </c>
      <c r="H95" s="3">
        <f t="shared" si="8"/>
        <v>0</v>
      </c>
      <c r="I95" s="3">
        <f t="shared" si="9"/>
        <v>0</v>
      </c>
      <c r="J95" s="3">
        <f t="shared" si="10"/>
        <v>0</v>
      </c>
      <c r="K95" s="3">
        <f t="shared" si="11"/>
        <v>0</v>
      </c>
      <c r="L95" s="3">
        <f t="shared" si="12"/>
        <v>0</v>
      </c>
      <c r="M95" s="3">
        <f t="shared" si="13"/>
        <v>0</v>
      </c>
    </row>
    <row r="96" spans="3:13" x14ac:dyDescent="0.3">
      <c r="C96" s="3">
        <v>54</v>
      </c>
      <c r="D96" s="3">
        <f t="shared" si="4"/>
        <v>61.224135968549959</v>
      </c>
      <c r="E96" s="3">
        <f t="shared" si="5"/>
        <v>172.64367024728074</v>
      </c>
      <c r="F96" s="3">
        <f t="shared" si="6"/>
        <v>0</v>
      </c>
      <c r="G96" s="3">
        <f t="shared" si="7"/>
        <v>0</v>
      </c>
      <c r="H96" s="3">
        <f t="shared" si="8"/>
        <v>0</v>
      </c>
      <c r="I96" s="3">
        <f t="shared" si="9"/>
        <v>0</v>
      </c>
      <c r="J96" s="3">
        <f t="shared" si="10"/>
        <v>0</v>
      </c>
      <c r="K96" s="3">
        <f t="shared" si="11"/>
        <v>0</v>
      </c>
      <c r="L96" s="3">
        <f t="shared" si="12"/>
        <v>0</v>
      </c>
      <c r="M96" s="3">
        <f t="shared" si="13"/>
        <v>0</v>
      </c>
    </row>
    <row r="97" spans="3:13" x14ac:dyDescent="0.3">
      <c r="C97" s="3">
        <v>55</v>
      </c>
      <c r="D97" s="3">
        <f t="shared" si="4"/>
        <v>62.83979414591473</v>
      </c>
      <c r="E97" s="3">
        <f t="shared" si="5"/>
        <v>169.64410862330067</v>
      </c>
      <c r="F97" s="3">
        <f t="shared" si="6"/>
        <v>0</v>
      </c>
      <c r="G97" s="3">
        <f t="shared" si="7"/>
        <v>0</v>
      </c>
      <c r="H97" s="3">
        <f t="shared" si="8"/>
        <v>0</v>
      </c>
      <c r="I97" s="3">
        <f t="shared" si="9"/>
        <v>0</v>
      </c>
      <c r="J97" s="3">
        <f t="shared" si="10"/>
        <v>0</v>
      </c>
      <c r="K97" s="3">
        <f t="shared" si="11"/>
        <v>0</v>
      </c>
      <c r="L97" s="3">
        <f t="shared" si="12"/>
        <v>0</v>
      </c>
      <c r="M97" s="3">
        <f t="shared" si="13"/>
        <v>0</v>
      </c>
    </row>
    <row r="98" spans="3:13" x14ac:dyDescent="0.3">
      <c r="C98" s="3">
        <v>56</v>
      </c>
      <c r="D98" s="3">
        <f t="shared" si="4"/>
        <v>64.428057098940442</v>
      </c>
      <c r="E98" s="3">
        <f t="shared" si="5"/>
        <v>166.76761006769962</v>
      </c>
      <c r="F98" s="3">
        <f t="shared" si="6"/>
        <v>0</v>
      </c>
      <c r="G98" s="3">
        <f t="shared" si="7"/>
        <v>0</v>
      </c>
      <c r="H98" s="3">
        <f t="shared" si="8"/>
        <v>0</v>
      </c>
      <c r="I98" s="3">
        <f t="shared" si="9"/>
        <v>0</v>
      </c>
      <c r="J98" s="3">
        <f t="shared" si="10"/>
        <v>0</v>
      </c>
      <c r="K98" s="3">
        <f t="shared" si="11"/>
        <v>0</v>
      </c>
      <c r="L98" s="3">
        <f t="shared" si="12"/>
        <v>0</v>
      </c>
      <c r="M98" s="3">
        <f t="shared" si="13"/>
        <v>0</v>
      </c>
    </row>
    <row r="99" spans="3:13" x14ac:dyDescent="0.3">
      <c r="C99" s="3">
        <v>57</v>
      </c>
      <c r="D99" s="3">
        <f t="shared" si="4"/>
        <v>65.990080622392497</v>
      </c>
      <c r="E99" s="3">
        <f t="shared" si="5"/>
        <v>164.01246996246581</v>
      </c>
      <c r="F99" s="3">
        <f t="shared" si="6"/>
        <v>0</v>
      </c>
      <c r="G99" s="3">
        <f t="shared" si="7"/>
        <v>0</v>
      </c>
      <c r="H99" s="3">
        <f t="shared" si="8"/>
        <v>0</v>
      </c>
      <c r="I99" s="3">
        <f t="shared" si="9"/>
        <v>0</v>
      </c>
      <c r="J99" s="3">
        <f t="shared" si="10"/>
        <v>0</v>
      </c>
      <c r="K99" s="3">
        <f t="shared" si="11"/>
        <v>0</v>
      </c>
      <c r="L99" s="3">
        <f t="shared" si="12"/>
        <v>0</v>
      </c>
      <c r="M99" s="3">
        <f t="shared" si="13"/>
        <v>0</v>
      </c>
    </row>
    <row r="100" spans="3:13" x14ac:dyDescent="0.3">
      <c r="C100" s="3">
        <v>58</v>
      </c>
      <c r="D100" s="3">
        <f t="shared" si="4"/>
        <v>56.608566270688932</v>
      </c>
      <c r="E100" s="3">
        <f t="shared" si="5"/>
        <v>161.37687470533734</v>
      </c>
      <c r="F100" s="3">
        <f t="shared" si="6"/>
        <v>1146.4358816342121</v>
      </c>
      <c r="G100" s="3">
        <f t="shared" si="7"/>
        <v>0</v>
      </c>
      <c r="H100" s="3">
        <f t="shared" si="8"/>
        <v>0</v>
      </c>
      <c r="I100" s="3">
        <f t="shared" si="9"/>
        <v>0</v>
      </c>
      <c r="J100" s="3">
        <f t="shared" si="10"/>
        <v>0</v>
      </c>
      <c r="K100" s="3">
        <f t="shared" si="11"/>
        <v>0</v>
      </c>
      <c r="L100" s="3">
        <f t="shared" si="12"/>
        <v>0</v>
      </c>
      <c r="M100" s="3">
        <f t="shared" si="13"/>
        <v>0</v>
      </c>
    </row>
    <row r="101" spans="3:13" x14ac:dyDescent="0.3">
      <c r="C101" s="3">
        <v>59</v>
      </c>
      <c r="D101" s="3">
        <f t="shared" si="4"/>
        <v>58.306042979049145</v>
      </c>
      <c r="E101" s="3">
        <f t="shared" si="5"/>
        <v>178.23505437782308</v>
      </c>
      <c r="F101" s="3">
        <f t="shared" si="6"/>
        <v>0</v>
      </c>
      <c r="G101" s="3">
        <f t="shared" si="7"/>
        <v>0</v>
      </c>
      <c r="H101" s="3">
        <f t="shared" si="8"/>
        <v>0</v>
      </c>
      <c r="I101" s="3">
        <f t="shared" si="9"/>
        <v>0</v>
      </c>
      <c r="J101" s="3">
        <f t="shared" si="10"/>
        <v>0</v>
      </c>
      <c r="K101" s="3">
        <f t="shared" si="11"/>
        <v>0</v>
      </c>
      <c r="L101" s="3">
        <f t="shared" si="12"/>
        <v>0</v>
      </c>
      <c r="M101" s="3">
        <f t="shared" si="13"/>
        <v>0</v>
      </c>
    </row>
    <row r="102" spans="3:13" x14ac:dyDescent="0.3">
      <c r="C102" s="3">
        <v>60</v>
      </c>
      <c r="D102" s="3">
        <f t="shared" si="4"/>
        <v>59.972851587740188</v>
      </c>
      <c r="E102" s="3">
        <f t="shared" si="5"/>
        <v>175.01490391255868</v>
      </c>
      <c r="F102" s="3">
        <f t="shared" si="6"/>
        <v>0</v>
      </c>
      <c r="G102" s="3">
        <f t="shared" si="7"/>
        <v>0</v>
      </c>
      <c r="H102" s="3">
        <f t="shared" si="8"/>
        <v>0</v>
      </c>
      <c r="I102" s="3">
        <f t="shared" si="9"/>
        <v>0</v>
      </c>
      <c r="J102" s="3">
        <f t="shared" si="10"/>
        <v>0</v>
      </c>
      <c r="K102" s="3">
        <f t="shared" si="11"/>
        <v>0</v>
      </c>
      <c r="L102" s="3">
        <f t="shared" si="12"/>
        <v>0</v>
      </c>
      <c r="M102" s="3">
        <f t="shared" si="13"/>
        <v>0</v>
      </c>
    </row>
    <row r="103" spans="3:13" x14ac:dyDescent="0.3">
      <c r="C103" s="3">
        <v>61</v>
      </c>
      <c r="D103" s="3">
        <f t="shared" si="4"/>
        <v>61.61018906411325</v>
      </c>
      <c r="E103" s="3">
        <f t="shared" si="5"/>
        <v>171.9204350191726</v>
      </c>
      <c r="F103" s="3">
        <f t="shared" si="6"/>
        <v>0</v>
      </c>
      <c r="G103" s="3">
        <f t="shared" si="7"/>
        <v>0</v>
      </c>
      <c r="H103" s="3">
        <f t="shared" si="8"/>
        <v>0</v>
      </c>
      <c r="I103" s="3">
        <f t="shared" si="9"/>
        <v>0</v>
      </c>
      <c r="J103" s="3">
        <f t="shared" si="10"/>
        <v>0</v>
      </c>
      <c r="K103" s="3">
        <f t="shared" si="11"/>
        <v>0</v>
      </c>
      <c r="L103" s="3">
        <f t="shared" si="12"/>
        <v>0</v>
      </c>
      <c r="M103" s="3">
        <f t="shared" si="13"/>
        <v>0</v>
      </c>
    </row>
    <row r="104" spans="3:13" x14ac:dyDescent="0.3">
      <c r="C104" s="3">
        <v>62</v>
      </c>
      <c r="D104" s="3">
        <f t="shared" si="4"/>
        <v>63.219238894513779</v>
      </c>
      <c r="E104" s="3">
        <f t="shared" si="5"/>
        <v>168.95023219205524</v>
      </c>
      <c r="F104" s="3">
        <f t="shared" si="6"/>
        <v>0</v>
      </c>
      <c r="G104" s="3">
        <f t="shared" si="7"/>
        <v>0</v>
      </c>
      <c r="H104" s="3">
        <f t="shared" si="8"/>
        <v>0</v>
      </c>
      <c r="I104" s="3">
        <f t="shared" si="9"/>
        <v>0</v>
      </c>
      <c r="J104" s="3">
        <f t="shared" si="10"/>
        <v>0</v>
      </c>
      <c r="K104" s="3">
        <f t="shared" si="11"/>
        <v>0</v>
      </c>
      <c r="L104" s="3">
        <f t="shared" si="12"/>
        <v>0</v>
      </c>
      <c r="M104" s="3">
        <f t="shared" si="13"/>
        <v>0</v>
      </c>
    </row>
    <row r="105" spans="3:13" x14ac:dyDescent="0.3">
      <c r="C105" s="3">
        <v>63</v>
      </c>
      <c r="D105" s="3">
        <f t="shared" si="4"/>
        <v>53.882732399419588</v>
      </c>
      <c r="E105" s="3">
        <f t="shared" si="5"/>
        <v>166.10269964932098</v>
      </c>
      <c r="F105" s="3">
        <f t="shared" si="6"/>
        <v>1146.4358816342121</v>
      </c>
      <c r="G105" s="3">
        <f t="shared" si="7"/>
        <v>0</v>
      </c>
      <c r="H105" s="3">
        <f t="shared" si="8"/>
        <v>0</v>
      </c>
      <c r="I105" s="3">
        <f t="shared" si="9"/>
        <v>0</v>
      </c>
      <c r="J105" s="3">
        <f t="shared" si="10"/>
        <v>0</v>
      </c>
      <c r="K105" s="3">
        <f t="shared" si="11"/>
        <v>0</v>
      </c>
      <c r="L105" s="3">
        <f t="shared" si="12"/>
        <v>0</v>
      </c>
      <c r="M105" s="3">
        <f t="shared" si="13"/>
        <v>0</v>
      </c>
    </row>
    <row r="106" spans="3:13" x14ac:dyDescent="0.3">
      <c r="C106" s="3">
        <v>64</v>
      </c>
      <c r="D106" s="3">
        <f t="shared" si="4"/>
        <v>55.63072428684567</v>
      </c>
      <c r="E106" s="3">
        <f t="shared" si="5"/>
        <v>183.53914817973899</v>
      </c>
      <c r="F106" s="3">
        <f t="shared" si="6"/>
        <v>0</v>
      </c>
      <c r="G106" s="3">
        <f t="shared" si="7"/>
        <v>0</v>
      </c>
      <c r="H106" s="3">
        <f t="shared" si="8"/>
        <v>0</v>
      </c>
      <c r="I106" s="3">
        <f t="shared" si="9"/>
        <v>0</v>
      </c>
      <c r="J106" s="3">
        <f t="shared" si="10"/>
        <v>0</v>
      </c>
      <c r="K106" s="3">
        <f t="shared" si="11"/>
        <v>0</v>
      </c>
      <c r="L106" s="3">
        <f t="shared" si="12"/>
        <v>0</v>
      </c>
      <c r="M106" s="3">
        <f t="shared" si="13"/>
        <v>0</v>
      </c>
    </row>
    <row r="107" spans="3:13" x14ac:dyDescent="0.3">
      <c r="C107" s="3">
        <v>65</v>
      </c>
      <c r="D107" s="3">
        <f t="shared" si="4"/>
        <v>57.34614976056384</v>
      </c>
      <c r="E107" s="3">
        <f t="shared" si="5"/>
        <v>180.11967474040799</v>
      </c>
      <c r="F107" s="3">
        <f t="shared" si="6"/>
        <v>0</v>
      </c>
      <c r="G107" s="3">
        <f t="shared" si="7"/>
        <v>0</v>
      </c>
      <c r="H107" s="3">
        <f t="shared" si="8"/>
        <v>0</v>
      </c>
      <c r="I107" s="3">
        <f t="shared" si="9"/>
        <v>0</v>
      </c>
      <c r="J107" s="3">
        <f t="shared" si="10"/>
        <v>0</v>
      </c>
      <c r="K107" s="3">
        <f t="shared" si="11"/>
        <v>0</v>
      </c>
      <c r="L107" s="3">
        <f t="shared" si="12"/>
        <v>0</v>
      </c>
      <c r="M107" s="3">
        <f t="shared" si="13"/>
        <v>0</v>
      </c>
    </row>
    <row r="108" spans="3:13" x14ac:dyDescent="0.3">
      <c r="C108" s="3">
        <v>66</v>
      </c>
      <c r="D108" s="3">
        <f t="shared" ref="D108:D171" si="14">MAX((D107*($N$10/IF($B$4, 16.387, 1))+E108-SUM(F108:M108))/($N$10/IF($B$4, 16.387, 1)), 0)</f>
        <v>59.030222368791151</v>
      </c>
      <c r="E108" s="3">
        <f t="shared" ref="E108:E171" si="15">IF(D107&lt;$N$15, $D$40*D107^3+$E$40*D107^2+$F$40*D107+$G$40, 0) * 12^3/60*14.7</f>
        <v>176.8276238638673</v>
      </c>
      <c r="F108" s="3">
        <f t="shared" ref="F108:F171" si="16">IFERROR(IF(AND($C108&gt;=D$15, $C108&lt;=D$16), IF(D$14&gt;1, N(MOD($C108-D$15, D$14)&lt;1), 1/D$14)*PI()*D$9/4*(D$7^2*MIN(D$10, $D107)+(D$7^2-D$8^2)*MIN(D$12, D$42))/IF($B$4, 25.4^3, 1), 0), 0)</f>
        <v>0</v>
      </c>
      <c r="G108" s="3">
        <f t="shared" ref="G108:G171" si="17">IFERROR(IF(AND($C108&gt;=E$15, $C108&lt;=E$16), IF(E$14&gt;1, N(MOD($C108-E$15, E$14)&lt;1), 1/E$14)*PI()*E$9/4*(E$7^2*MIN(E$10, $D107)+(E$7^2-E$8^2)*MIN(E$12, E$42))/IF($B$4, 25.4^3, 1), 0), 0)</f>
        <v>0</v>
      </c>
      <c r="H108" s="3">
        <f t="shared" ref="H108:H171" si="18">IFERROR(IF(AND($C108&gt;=F$15, $C108&lt;=F$16), IF(F$14&gt;1, N(MOD($C108-F$15, F$14)&lt;1), 1/F$14)*PI()*F$9/4*(F$7^2*MIN(F$10, $D107)+(F$7^2-F$8^2)*MIN(F$12, F$42))/IF($B$4, 25.4^3, 1), 0), 0)</f>
        <v>0</v>
      </c>
      <c r="I108" s="3">
        <f t="shared" ref="I108:I171" si="19">IFERROR(IF(AND($C108&gt;=G$15, $C108&lt;=G$16), IF(G$14&gt;1, N(MOD($C108-G$15, G$14)&lt;1), 1/G$14)*PI()*G$9/4*(G$7^2*MIN(G$10, $D107)+(G$7^2-G$8^2)*MIN(G$12, G$42))/IF($B$4, 25.4^3, 1), 0), 0)</f>
        <v>0</v>
      </c>
      <c r="J108" s="3">
        <f t="shared" ref="J108:J171" si="20">IFERROR(IF(AND($C108&gt;=H$15, $C108&lt;=H$16), IF(H$14&gt;1, N(MOD($C108-H$15, H$14)&lt;1), 1/H$14)*PI()*H$9/4*(H$7^2*MIN(H$10, $D107)+(H$7^2-H$8^2)*MIN(H$12, H$42))/IF($B$4, 25.4^3, 1), 0), 0)</f>
        <v>0</v>
      </c>
      <c r="K108" s="3">
        <f t="shared" ref="K108:K171" si="21">IFERROR(IF(AND($C108&gt;=I$15, $C108&lt;=I$16), IF(I$14&gt;1, N(MOD($C108-I$15, I$14)&lt;1), 1/I$14)*PI()*I$9/4*(I$7^2*MIN(I$10, $D107)+(I$7^2-I$8^2)*MIN(I$12, I$42))/IF($B$4, 25.4^3, 1), 0), 0)</f>
        <v>0</v>
      </c>
      <c r="L108" s="3">
        <f t="shared" ref="L108:L171" si="22">IFERROR(IF(AND($C108&gt;=J$15, $C108&lt;=J$16), IF(J$14&gt;1, N(MOD($C108-J$15, J$14)&lt;1), 1/J$14)*PI()*J$9/4*(J$7^2*MIN(J$10, $D107)+(J$7^2-J$8^2)*MIN(J$12, J$42))/IF($B$4, 25.4^3, 1), 0), 0)</f>
        <v>0</v>
      </c>
      <c r="M108" s="3">
        <f t="shared" ref="M108:M171" si="23">IFERROR(IF(AND($C108&gt;=K$15, $C108&lt;=K$16), IF(K$14&gt;1, N(MOD($C108-K$15, K$14)&lt;1), 1/K$14)*PI()*K$9/4*(K$7^2*MIN(K$10, $D107)+(K$7^2-K$8^2)*MIN(K$12, K$42))/IF($B$4, 25.4^3, 1), 0), 0)</f>
        <v>0</v>
      </c>
    </row>
    <row r="109" spans="3:13" x14ac:dyDescent="0.3">
      <c r="C109" s="3">
        <v>67</v>
      </c>
      <c r="D109" s="3">
        <f t="shared" si="14"/>
        <v>60.684145798819365</v>
      </c>
      <c r="E109" s="3">
        <f t="shared" si="15"/>
        <v>173.66196015296279</v>
      </c>
      <c r="F109" s="3">
        <f t="shared" si="16"/>
        <v>0</v>
      </c>
      <c r="G109" s="3">
        <f t="shared" si="17"/>
        <v>0</v>
      </c>
      <c r="H109" s="3">
        <f t="shared" si="18"/>
        <v>0</v>
      </c>
      <c r="I109" s="3">
        <f t="shared" si="19"/>
        <v>0</v>
      </c>
      <c r="J109" s="3">
        <f t="shared" si="20"/>
        <v>0</v>
      </c>
      <c r="K109" s="3">
        <f t="shared" si="21"/>
        <v>0</v>
      </c>
      <c r="L109" s="3">
        <f t="shared" si="22"/>
        <v>0</v>
      </c>
      <c r="M109" s="3">
        <f t="shared" si="23"/>
        <v>0</v>
      </c>
    </row>
    <row r="110" spans="3:13" x14ac:dyDescent="0.3">
      <c r="C110" s="3">
        <v>68</v>
      </c>
      <c r="D110" s="3">
        <f t="shared" si="14"/>
        <v>51.390674461253397</v>
      </c>
      <c r="E110" s="3">
        <f t="shared" si="15"/>
        <v>170.62139118978453</v>
      </c>
      <c r="F110" s="3">
        <f t="shared" si="16"/>
        <v>1146.4358816342121</v>
      </c>
      <c r="G110" s="3">
        <f t="shared" si="17"/>
        <v>0</v>
      </c>
      <c r="H110" s="3">
        <f t="shared" si="18"/>
        <v>0</v>
      </c>
      <c r="I110" s="3">
        <f t="shared" si="19"/>
        <v>0</v>
      </c>
      <c r="J110" s="3">
        <f t="shared" si="20"/>
        <v>0</v>
      </c>
      <c r="K110" s="3">
        <f t="shared" si="21"/>
        <v>0</v>
      </c>
      <c r="L110" s="3">
        <f t="shared" si="22"/>
        <v>0</v>
      </c>
      <c r="M110" s="3">
        <f t="shared" si="23"/>
        <v>0</v>
      </c>
    </row>
    <row r="111" spans="3:13" x14ac:dyDescent="0.3">
      <c r="C111" s="3">
        <v>69</v>
      </c>
      <c r="D111" s="3">
        <f t="shared" si="14"/>
        <v>53.186076421693876</v>
      </c>
      <c r="E111" s="3">
        <f t="shared" si="15"/>
        <v>188.51720584625002</v>
      </c>
      <c r="F111" s="3">
        <f t="shared" si="16"/>
        <v>0</v>
      </c>
      <c r="G111" s="3">
        <f t="shared" si="17"/>
        <v>0</v>
      </c>
      <c r="H111" s="3">
        <f t="shared" si="18"/>
        <v>0</v>
      </c>
      <c r="I111" s="3">
        <f t="shared" si="19"/>
        <v>0</v>
      </c>
      <c r="J111" s="3">
        <f t="shared" si="20"/>
        <v>0</v>
      </c>
      <c r="K111" s="3">
        <f t="shared" si="21"/>
        <v>0</v>
      </c>
      <c r="L111" s="3">
        <f t="shared" si="22"/>
        <v>0</v>
      </c>
      <c r="M111" s="3">
        <f t="shared" si="23"/>
        <v>0</v>
      </c>
    </row>
    <row r="112" spans="3:13" x14ac:dyDescent="0.3">
      <c r="C112" s="3">
        <v>70</v>
      </c>
      <c r="D112" s="3">
        <f t="shared" si="14"/>
        <v>54.947210441932825</v>
      </c>
      <c r="E112" s="3">
        <f t="shared" si="15"/>
        <v>184.91907212508977</v>
      </c>
      <c r="F112" s="3">
        <f t="shared" si="16"/>
        <v>0</v>
      </c>
      <c r="G112" s="3">
        <f t="shared" si="17"/>
        <v>0</v>
      </c>
      <c r="H112" s="3">
        <f t="shared" si="18"/>
        <v>0</v>
      </c>
      <c r="I112" s="3">
        <f t="shared" si="19"/>
        <v>0</v>
      </c>
      <c r="J112" s="3">
        <f t="shared" si="20"/>
        <v>0</v>
      </c>
      <c r="K112" s="3">
        <f t="shared" si="21"/>
        <v>0</v>
      </c>
      <c r="L112" s="3">
        <f t="shared" si="22"/>
        <v>0</v>
      </c>
      <c r="M112" s="3">
        <f t="shared" si="23"/>
        <v>0</v>
      </c>
    </row>
    <row r="113" spans="3:13" x14ac:dyDescent="0.3">
      <c r="C113" s="3">
        <v>71</v>
      </c>
      <c r="D113" s="3">
        <f t="shared" si="14"/>
        <v>56.675298704316916</v>
      </c>
      <c r="E113" s="3">
        <f t="shared" si="15"/>
        <v>181.44926755032975</v>
      </c>
      <c r="F113" s="3">
        <f t="shared" si="16"/>
        <v>0</v>
      </c>
      <c r="G113" s="3">
        <f t="shared" si="17"/>
        <v>0</v>
      </c>
      <c r="H113" s="3">
        <f t="shared" si="18"/>
        <v>0</v>
      </c>
      <c r="I113" s="3">
        <f t="shared" si="19"/>
        <v>0</v>
      </c>
      <c r="J113" s="3">
        <f t="shared" si="20"/>
        <v>0</v>
      </c>
      <c r="K113" s="3">
        <f t="shared" si="21"/>
        <v>0</v>
      </c>
      <c r="L113" s="3">
        <f t="shared" si="22"/>
        <v>0</v>
      </c>
      <c r="M113" s="3">
        <f t="shared" si="23"/>
        <v>0</v>
      </c>
    </row>
    <row r="114" spans="3:13" x14ac:dyDescent="0.3">
      <c r="C114" s="3">
        <v>72</v>
      </c>
      <c r="D114" s="3">
        <f t="shared" si="14"/>
        <v>58.371557849184079</v>
      </c>
      <c r="E114" s="3">
        <f t="shared" si="15"/>
        <v>178.10721021105235</v>
      </c>
      <c r="F114" s="3">
        <f t="shared" si="16"/>
        <v>0</v>
      </c>
      <c r="G114" s="3">
        <f t="shared" si="17"/>
        <v>0</v>
      </c>
      <c r="H114" s="3">
        <f t="shared" si="18"/>
        <v>0</v>
      </c>
      <c r="I114" s="3">
        <f t="shared" si="19"/>
        <v>0</v>
      </c>
      <c r="J114" s="3">
        <f t="shared" si="20"/>
        <v>0</v>
      </c>
      <c r="K114" s="3">
        <f t="shared" si="21"/>
        <v>0</v>
      </c>
      <c r="L114" s="3">
        <f t="shared" si="22"/>
        <v>0</v>
      </c>
      <c r="M114" s="3">
        <f t="shared" si="23"/>
        <v>0</v>
      </c>
    </row>
    <row r="115" spans="3:13" x14ac:dyDescent="0.3">
      <c r="C115" s="3">
        <v>73</v>
      </c>
      <c r="D115" s="3">
        <f t="shared" si="14"/>
        <v>49.118758794579755</v>
      </c>
      <c r="E115" s="3">
        <f t="shared" si="15"/>
        <v>174.89198090075777</v>
      </c>
      <c r="F115" s="3">
        <f t="shared" si="16"/>
        <v>1146.4358816342121</v>
      </c>
      <c r="G115" s="3">
        <f t="shared" si="17"/>
        <v>0</v>
      </c>
      <c r="H115" s="3">
        <f t="shared" si="18"/>
        <v>0</v>
      </c>
      <c r="I115" s="3">
        <f t="shared" si="19"/>
        <v>0</v>
      </c>
      <c r="J115" s="3">
        <f t="shared" si="20"/>
        <v>0</v>
      </c>
      <c r="K115" s="3">
        <f t="shared" si="21"/>
        <v>0</v>
      </c>
      <c r="L115" s="3">
        <f t="shared" si="22"/>
        <v>0</v>
      </c>
      <c r="M115" s="3">
        <f t="shared" si="23"/>
        <v>0</v>
      </c>
    </row>
    <row r="116" spans="3:13" x14ac:dyDescent="0.3">
      <c r="C116" s="3">
        <v>74</v>
      </c>
      <c r="D116" s="3">
        <f t="shared" si="14"/>
        <v>50.958277901891968</v>
      </c>
      <c r="E116" s="3">
        <f t="shared" si="15"/>
        <v>193.14950626778264</v>
      </c>
      <c r="F116" s="3">
        <f t="shared" si="16"/>
        <v>0</v>
      </c>
      <c r="G116" s="3">
        <f t="shared" si="17"/>
        <v>0</v>
      </c>
      <c r="H116" s="3">
        <f t="shared" si="18"/>
        <v>0</v>
      </c>
      <c r="I116" s="3">
        <f t="shared" si="19"/>
        <v>0</v>
      </c>
      <c r="J116" s="3">
        <f t="shared" si="20"/>
        <v>0</v>
      </c>
      <c r="K116" s="3">
        <f t="shared" si="21"/>
        <v>0</v>
      </c>
      <c r="L116" s="3">
        <f t="shared" si="22"/>
        <v>0</v>
      </c>
      <c r="M116" s="3">
        <f t="shared" si="23"/>
        <v>0</v>
      </c>
    </row>
    <row r="117" spans="3:13" x14ac:dyDescent="0.3">
      <c r="C117" s="3">
        <v>75</v>
      </c>
      <c r="D117" s="3">
        <f t="shared" si="14"/>
        <v>52.762014185779925</v>
      </c>
      <c r="E117" s="3">
        <f t="shared" si="15"/>
        <v>189.39230980823609</v>
      </c>
      <c r="F117" s="3">
        <f t="shared" si="16"/>
        <v>0</v>
      </c>
      <c r="G117" s="3">
        <f t="shared" si="17"/>
        <v>0</v>
      </c>
      <c r="H117" s="3">
        <f t="shared" si="18"/>
        <v>0</v>
      </c>
      <c r="I117" s="3">
        <f t="shared" si="19"/>
        <v>0</v>
      </c>
      <c r="J117" s="3">
        <f t="shared" si="20"/>
        <v>0</v>
      </c>
      <c r="K117" s="3">
        <f t="shared" si="21"/>
        <v>0</v>
      </c>
      <c r="L117" s="3">
        <f t="shared" si="22"/>
        <v>0</v>
      </c>
      <c r="M117" s="3">
        <f t="shared" si="23"/>
        <v>0</v>
      </c>
    </row>
    <row r="118" spans="3:13" x14ac:dyDescent="0.3">
      <c r="C118" s="3">
        <v>76</v>
      </c>
      <c r="D118" s="3">
        <f t="shared" si="14"/>
        <v>54.531191303008903</v>
      </c>
      <c r="E118" s="3">
        <f t="shared" si="15"/>
        <v>185.76359730904298</v>
      </c>
      <c r="F118" s="3">
        <f t="shared" si="16"/>
        <v>0</v>
      </c>
      <c r="G118" s="3">
        <f t="shared" si="17"/>
        <v>0</v>
      </c>
      <c r="H118" s="3">
        <f t="shared" si="18"/>
        <v>0</v>
      </c>
      <c r="I118" s="3">
        <f t="shared" si="19"/>
        <v>0</v>
      </c>
      <c r="J118" s="3">
        <f t="shared" si="20"/>
        <v>0</v>
      </c>
      <c r="K118" s="3">
        <f t="shared" si="21"/>
        <v>0</v>
      </c>
      <c r="L118" s="3">
        <f t="shared" si="22"/>
        <v>0</v>
      </c>
      <c r="M118" s="3">
        <f t="shared" si="23"/>
        <v>0</v>
      </c>
    </row>
    <row r="119" spans="3:13" x14ac:dyDescent="0.3">
      <c r="C119" s="3">
        <v>77</v>
      </c>
      <c r="D119" s="3">
        <f t="shared" si="14"/>
        <v>56.267032214486051</v>
      </c>
      <c r="E119" s="3">
        <f t="shared" si="15"/>
        <v>182.26329570510001</v>
      </c>
      <c r="F119" s="3">
        <f t="shared" si="16"/>
        <v>0</v>
      </c>
      <c r="G119" s="3">
        <f t="shared" si="17"/>
        <v>0</v>
      </c>
      <c r="H119" s="3">
        <f t="shared" si="18"/>
        <v>0</v>
      </c>
      <c r="I119" s="3">
        <f t="shared" si="19"/>
        <v>0</v>
      </c>
      <c r="J119" s="3">
        <f t="shared" si="20"/>
        <v>0</v>
      </c>
      <c r="K119" s="3">
        <f t="shared" si="21"/>
        <v>0</v>
      </c>
      <c r="L119" s="3">
        <f t="shared" si="22"/>
        <v>0</v>
      </c>
      <c r="M119" s="3">
        <f t="shared" si="23"/>
        <v>0</v>
      </c>
    </row>
    <row r="120" spans="3:13" x14ac:dyDescent="0.3">
      <c r="C120" s="3">
        <v>78</v>
      </c>
      <c r="D120" s="3">
        <f t="shared" si="14"/>
        <v>47.052318224798796</v>
      </c>
      <c r="E120" s="3">
        <f t="shared" si="15"/>
        <v>178.89091271704973</v>
      </c>
      <c r="F120" s="3">
        <f t="shared" si="16"/>
        <v>1146.4358816342121</v>
      </c>
      <c r="G120" s="3">
        <f t="shared" si="17"/>
        <v>0</v>
      </c>
      <c r="H120" s="3">
        <f t="shared" si="18"/>
        <v>0</v>
      </c>
      <c r="I120" s="3">
        <f t="shared" si="19"/>
        <v>0</v>
      </c>
      <c r="J120" s="3">
        <f t="shared" si="20"/>
        <v>0</v>
      </c>
      <c r="K120" s="3">
        <f t="shared" si="21"/>
        <v>0</v>
      </c>
      <c r="L120" s="3">
        <f t="shared" si="22"/>
        <v>0</v>
      </c>
      <c r="M120" s="3">
        <f t="shared" si="23"/>
        <v>0</v>
      </c>
    </row>
    <row r="121" spans="3:13" x14ac:dyDescent="0.3">
      <c r="C121" s="3">
        <v>79</v>
      </c>
      <c r="D121" s="3">
        <f t="shared" si="14"/>
        <v>48.932610501231125</v>
      </c>
      <c r="E121" s="3">
        <f t="shared" si="15"/>
        <v>197.43068902539457</v>
      </c>
      <c r="F121" s="3">
        <f t="shared" si="16"/>
        <v>0</v>
      </c>
      <c r="G121" s="3">
        <f t="shared" si="17"/>
        <v>0</v>
      </c>
      <c r="H121" s="3">
        <f t="shared" si="18"/>
        <v>0</v>
      </c>
      <c r="I121" s="3">
        <f t="shared" si="19"/>
        <v>0</v>
      </c>
      <c r="J121" s="3">
        <f t="shared" si="20"/>
        <v>0</v>
      </c>
      <c r="K121" s="3">
        <f t="shared" si="21"/>
        <v>0</v>
      </c>
      <c r="L121" s="3">
        <f t="shared" si="22"/>
        <v>0</v>
      </c>
      <c r="M121" s="3">
        <f t="shared" si="23"/>
        <v>0</v>
      </c>
    </row>
    <row r="122" spans="3:13" x14ac:dyDescent="0.3">
      <c r="C122" s="3">
        <v>80</v>
      </c>
      <c r="D122" s="3">
        <f t="shared" si="14"/>
        <v>50.775778639220896</v>
      </c>
      <c r="E122" s="3">
        <f t="shared" si="15"/>
        <v>193.53265448892535</v>
      </c>
      <c r="F122" s="3">
        <f t="shared" si="16"/>
        <v>0</v>
      </c>
      <c r="G122" s="3">
        <f t="shared" si="17"/>
        <v>0</v>
      </c>
      <c r="H122" s="3">
        <f t="shared" si="18"/>
        <v>0</v>
      </c>
      <c r="I122" s="3">
        <f t="shared" si="19"/>
        <v>0</v>
      </c>
      <c r="J122" s="3">
        <f t="shared" si="20"/>
        <v>0</v>
      </c>
      <c r="K122" s="3">
        <f t="shared" si="21"/>
        <v>0</v>
      </c>
      <c r="L122" s="3">
        <f t="shared" si="22"/>
        <v>0</v>
      </c>
      <c r="M122" s="3">
        <f t="shared" si="23"/>
        <v>0</v>
      </c>
    </row>
    <row r="123" spans="3:13" x14ac:dyDescent="0.3">
      <c r="C123" s="3">
        <v>81</v>
      </c>
      <c r="D123" s="3">
        <f t="shared" si="14"/>
        <v>52.583041605187283</v>
      </c>
      <c r="E123" s="3">
        <f t="shared" si="15"/>
        <v>189.76261142647169</v>
      </c>
      <c r="F123" s="3">
        <f t="shared" si="16"/>
        <v>0</v>
      </c>
      <c r="G123" s="3">
        <f t="shared" si="17"/>
        <v>0</v>
      </c>
      <c r="H123" s="3">
        <f t="shared" si="18"/>
        <v>0</v>
      </c>
      <c r="I123" s="3">
        <f t="shared" si="19"/>
        <v>0</v>
      </c>
      <c r="J123" s="3">
        <f t="shared" si="20"/>
        <v>0</v>
      </c>
      <c r="K123" s="3">
        <f t="shared" si="21"/>
        <v>0</v>
      </c>
      <c r="L123" s="3">
        <f t="shared" si="22"/>
        <v>0</v>
      </c>
      <c r="M123" s="3">
        <f t="shared" si="23"/>
        <v>0</v>
      </c>
    </row>
    <row r="124" spans="3:13" x14ac:dyDescent="0.3">
      <c r="C124" s="3">
        <v>82</v>
      </c>
      <c r="D124" s="3">
        <f t="shared" si="14"/>
        <v>54.355622879152051</v>
      </c>
      <c r="E124" s="3">
        <f t="shared" si="15"/>
        <v>186.12103376630054</v>
      </c>
      <c r="F124" s="3">
        <f t="shared" si="16"/>
        <v>0</v>
      </c>
      <c r="G124" s="3">
        <f t="shared" si="17"/>
        <v>0</v>
      </c>
      <c r="H124" s="3">
        <f t="shared" si="18"/>
        <v>0</v>
      </c>
      <c r="I124" s="3">
        <f t="shared" si="19"/>
        <v>0</v>
      </c>
      <c r="J124" s="3">
        <f t="shared" si="20"/>
        <v>0</v>
      </c>
      <c r="K124" s="3">
        <f t="shared" si="21"/>
        <v>0</v>
      </c>
      <c r="L124" s="3">
        <f t="shared" si="22"/>
        <v>0</v>
      </c>
      <c r="M124" s="3">
        <f t="shared" si="23"/>
        <v>0</v>
      </c>
    </row>
    <row r="125" spans="3:13" x14ac:dyDescent="0.3">
      <c r="C125" s="3">
        <v>83</v>
      </c>
      <c r="D125" s="3">
        <f t="shared" si="14"/>
        <v>45.176308714655498</v>
      </c>
      <c r="E125" s="3">
        <f t="shared" si="15"/>
        <v>182.60789436207361</v>
      </c>
      <c r="F125" s="3">
        <f t="shared" si="16"/>
        <v>1146.4358816342121</v>
      </c>
      <c r="G125" s="3">
        <f t="shared" si="17"/>
        <v>0</v>
      </c>
      <c r="H125" s="3">
        <f t="shared" si="18"/>
        <v>0</v>
      </c>
      <c r="I125" s="3">
        <f t="shared" si="19"/>
        <v>0</v>
      </c>
      <c r="J125" s="3">
        <f t="shared" si="20"/>
        <v>0</v>
      </c>
      <c r="K125" s="3">
        <f t="shared" si="21"/>
        <v>0</v>
      </c>
      <c r="L125" s="3">
        <f t="shared" si="22"/>
        <v>0</v>
      </c>
      <c r="M125" s="3">
        <f t="shared" si="23"/>
        <v>0</v>
      </c>
    </row>
    <row r="126" spans="3:13" x14ac:dyDescent="0.3">
      <c r="C126" s="3">
        <v>84</v>
      </c>
      <c r="D126" s="3">
        <f t="shared" si="14"/>
        <v>47.094078096955378</v>
      </c>
      <c r="E126" s="3">
        <f t="shared" si="15"/>
        <v>201.36578514148769</v>
      </c>
      <c r="F126" s="3">
        <f t="shared" si="16"/>
        <v>0</v>
      </c>
      <c r="G126" s="3">
        <f t="shared" si="17"/>
        <v>0</v>
      </c>
      <c r="H126" s="3">
        <f t="shared" si="18"/>
        <v>0</v>
      </c>
      <c r="I126" s="3">
        <f t="shared" si="19"/>
        <v>0</v>
      </c>
      <c r="J126" s="3">
        <f t="shared" si="20"/>
        <v>0</v>
      </c>
      <c r="K126" s="3">
        <f t="shared" si="21"/>
        <v>0</v>
      </c>
      <c r="L126" s="3">
        <f t="shared" si="22"/>
        <v>0</v>
      </c>
      <c r="M126" s="3">
        <f t="shared" si="23"/>
        <v>0</v>
      </c>
    </row>
    <row r="127" spans="3:13" x14ac:dyDescent="0.3">
      <c r="C127" s="3">
        <v>85</v>
      </c>
      <c r="D127" s="3">
        <f t="shared" si="14"/>
        <v>48.973540877915184</v>
      </c>
      <c r="E127" s="3">
        <f t="shared" si="15"/>
        <v>197.34359200077995</v>
      </c>
      <c r="F127" s="3">
        <f t="shared" si="16"/>
        <v>0</v>
      </c>
      <c r="G127" s="3">
        <f t="shared" si="17"/>
        <v>0</v>
      </c>
      <c r="H127" s="3">
        <f t="shared" si="18"/>
        <v>0</v>
      </c>
      <c r="I127" s="3">
        <f t="shared" si="19"/>
        <v>0</v>
      </c>
      <c r="J127" s="3">
        <f t="shared" si="20"/>
        <v>0</v>
      </c>
      <c r="K127" s="3">
        <f t="shared" si="21"/>
        <v>0</v>
      </c>
      <c r="L127" s="3">
        <f t="shared" si="22"/>
        <v>0</v>
      </c>
      <c r="M127" s="3">
        <f t="shared" si="23"/>
        <v>0</v>
      </c>
    </row>
    <row r="128" spans="3:13" x14ac:dyDescent="0.3">
      <c r="C128" s="3">
        <v>86</v>
      </c>
      <c r="D128" s="3">
        <f t="shared" si="14"/>
        <v>50.815906241922846</v>
      </c>
      <c r="E128" s="3">
        <f t="shared" si="15"/>
        <v>193.44836322080479</v>
      </c>
      <c r="F128" s="3">
        <f t="shared" si="16"/>
        <v>0</v>
      </c>
      <c r="G128" s="3">
        <f t="shared" si="17"/>
        <v>0</v>
      </c>
      <c r="H128" s="3">
        <f t="shared" si="18"/>
        <v>0</v>
      </c>
      <c r="I128" s="3">
        <f t="shared" si="19"/>
        <v>0</v>
      </c>
      <c r="J128" s="3">
        <f t="shared" si="20"/>
        <v>0</v>
      </c>
      <c r="K128" s="3">
        <f t="shared" si="21"/>
        <v>0</v>
      </c>
      <c r="L128" s="3">
        <f t="shared" si="22"/>
        <v>0</v>
      </c>
      <c r="M128" s="3">
        <f t="shared" si="23"/>
        <v>0</v>
      </c>
    </row>
    <row r="129" spans="3:13" x14ac:dyDescent="0.3">
      <c r="C129" s="3">
        <v>87</v>
      </c>
      <c r="D129" s="3">
        <f t="shared" si="14"/>
        <v>52.622393311405922</v>
      </c>
      <c r="E129" s="3">
        <f t="shared" si="15"/>
        <v>189.6811422957235</v>
      </c>
      <c r="F129" s="3">
        <f t="shared" si="16"/>
        <v>0</v>
      </c>
      <c r="G129" s="3">
        <f t="shared" si="17"/>
        <v>0</v>
      </c>
      <c r="H129" s="3">
        <f t="shared" si="18"/>
        <v>0</v>
      </c>
      <c r="I129" s="3">
        <f t="shared" si="19"/>
        <v>0</v>
      </c>
      <c r="J129" s="3">
        <f t="shared" si="20"/>
        <v>0</v>
      </c>
      <c r="K129" s="3">
        <f t="shared" si="21"/>
        <v>0</v>
      </c>
      <c r="L129" s="3">
        <f t="shared" si="22"/>
        <v>0</v>
      </c>
      <c r="M129" s="3">
        <f t="shared" si="23"/>
        <v>0</v>
      </c>
    </row>
    <row r="130" spans="3:13" x14ac:dyDescent="0.3">
      <c r="C130" s="3">
        <v>88</v>
      </c>
      <c r="D130" s="3">
        <f t="shared" si="14"/>
        <v>43.475788641340934</v>
      </c>
      <c r="E130" s="3">
        <f t="shared" si="15"/>
        <v>186.04239127738788</v>
      </c>
      <c r="F130" s="3">
        <f t="shared" si="16"/>
        <v>1146.4358816342121</v>
      </c>
      <c r="G130" s="3">
        <f t="shared" si="17"/>
        <v>0</v>
      </c>
      <c r="H130" s="3">
        <f t="shared" si="18"/>
        <v>0</v>
      </c>
      <c r="I130" s="3">
        <f t="shared" si="19"/>
        <v>0</v>
      </c>
      <c r="J130" s="3">
        <f t="shared" si="20"/>
        <v>0</v>
      </c>
      <c r="K130" s="3">
        <f t="shared" si="21"/>
        <v>0</v>
      </c>
      <c r="L130" s="3">
        <f t="shared" si="22"/>
        <v>0</v>
      </c>
      <c r="M130" s="3">
        <f t="shared" si="23"/>
        <v>0</v>
      </c>
    </row>
    <row r="131" spans="3:13" x14ac:dyDescent="0.3">
      <c r="C131" s="3">
        <v>89</v>
      </c>
      <c r="D131" s="3">
        <f t="shared" si="14"/>
        <v>45.427855268632982</v>
      </c>
      <c r="E131" s="3">
        <f t="shared" si="15"/>
        <v>204.9669958656647</v>
      </c>
      <c r="F131" s="3">
        <f t="shared" si="16"/>
        <v>0</v>
      </c>
      <c r="G131" s="3">
        <f t="shared" si="17"/>
        <v>0</v>
      </c>
      <c r="H131" s="3">
        <f t="shared" si="18"/>
        <v>0</v>
      </c>
      <c r="I131" s="3">
        <f t="shared" si="19"/>
        <v>0</v>
      </c>
      <c r="J131" s="3">
        <f t="shared" si="20"/>
        <v>0</v>
      </c>
      <c r="K131" s="3">
        <f t="shared" si="21"/>
        <v>0</v>
      </c>
      <c r="L131" s="3">
        <f t="shared" si="22"/>
        <v>0</v>
      </c>
      <c r="M131" s="3">
        <f t="shared" si="23"/>
        <v>0</v>
      </c>
    </row>
    <row r="132" spans="3:13" x14ac:dyDescent="0.3">
      <c r="C132" s="3">
        <v>90</v>
      </c>
      <c r="D132" s="3">
        <f t="shared" si="14"/>
        <v>47.340576357748084</v>
      </c>
      <c r="E132" s="3">
        <f t="shared" si="15"/>
        <v>200.83571435708552</v>
      </c>
      <c r="F132" s="3">
        <f t="shared" si="16"/>
        <v>0</v>
      </c>
      <c r="G132" s="3">
        <f t="shared" si="17"/>
        <v>0</v>
      </c>
      <c r="H132" s="3">
        <f t="shared" si="18"/>
        <v>0</v>
      </c>
      <c r="I132" s="3">
        <f t="shared" si="19"/>
        <v>0</v>
      </c>
      <c r="J132" s="3">
        <f t="shared" si="20"/>
        <v>0</v>
      </c>
      <c r="K132" s="3">
        <f t="shared" si="21"/>
        <v>0</v>
      </c>
      <c r="L132" s="3">
        <f t="shared" si="22"/>
        <v>0</v>
      </c>
      <c r="M132" s="3">
        <f t="shared" si="23"/>
        <v>0</v>
      </c>
    </row>
    <row r="133" spans="3:13" x14ac:dyDescent="0.3">
      <c r="C133" s="3">
        <v>91</v>
      </c>
      <c r="D133" s="3">
        <f t="shared" si="14"/>
        <v>49.215147278565013</v>
      </c>
      <c r="E133" s="3">
        <f t="shared" si="15"/>
        <v>196.82994668577777</v>
      </c>
      <c r="F133" s="3">
        <f t="shared" si="16"/>
        <v>0</v>
      </c>
      <c r="G133" s="3">
        <f t="shared" si="17"/>
        <v>0</v>
      </c>
      <c r="H133" s="3">
        <f t="shared" si="18"/>
        <v>0</v>
      </c>
      <c r="I133" s="3">
        <f t="shared" si="19"/>
        <v>0</v>
      </c>
      <c r="J133" s="3">
        <f t="shared" si="20"/>
        <v>0</v>
      </c>
      <c r="K133" s="3">
        <f t="shared" si="21"/>
        <v>0</v>
      </c>
      <c r="L133" s="3">
        <f t="shared" si="22"/>
        <v>0</v>
      </c>
      <c r="M133" s="3">
        <f t="shared" si="23"/>
        <v>0</v>
      </c>
    </row>
    <row r="134" spans="3:13" x14ac:dyDescent="0.3">
      <c r="C134" s="3">
        <v>92</v>
      </c>
      <c r="D134" s="3">
        <f t="shared" si="14"/>
        <v>51.052778850161666</v>
      </c>
      <c r="E134" s="3">
        <f t="shared" si="15"/>
        <v>192.951315017648</v>
      </c>
      <c r="F134" s="3">
        <f t="shared" si="16"/>
        <v>0</v>
      </c>
      <c r="G134" s="3">
        <f t="shared" si="17"/>
        <v>0</v>
      </c>
      <c r="H134" s="3">
        <f t="shared" si="18"/>
        <v>0</v>
      </c>
      <c r="I134" s="3">
        <f t="shared" si="19"/>
        <v>0</v>
      </c>
      <c r="J134" s="3">
        <f t="shared" si="20"/>
        <v>0</v>
      </c>
      <c r="K134" s="3">
        <f t="shared" si="21"/>
        <v>0</v>
      </c>
      <c r="L134" s="3">
        <f t="shared" si="22"/>
        <v>0</v>
      </c>
      <c r="M134" s="3">
        <f t="shared" si="23"/>
        <v>0</v>
      </c>
    </row>
    <row r="135" spans="3:13" x14ac:dyDescent="0.3">
      <c r="C135" s="3">
        <v>93</v>
      </c>
      <c r="D135" s="3">
        <f t="shared" si="14"/>
        <v>41.936254094944175</v>
      </c>
      <c r="E135" s="3">
        <f t="shared" si="15"/>
        <v>189.2007823363758</v>
      </c>
      <c r="F135" s="3">
        <f t="shared" si="16"/>
        <v>1146.4358816342121</v>
      </c>
      <c r="G135" s="3">
        <f t="shared" si="17"/>
        <v>0</v>
      </c>
      <c r="H135" s="3">
        <f t="shared" si="18"/>
        <v>0</v>
      </c>
      <c r="I135" s="3">
        <f t="shared" si="19"/>
        <v>0</v>
      </c>
      <c r="J135" s="3">
        <f t="shared" si="20"/>
        <v>0</v>
      </c>
      <c r="K135" s="3">
        <f t="shared" si="21"/>
        <v>0</v>
      </c>
      <c r="L135" s="3">
        <f t="shared" si="22"/>
        <v>0</v>
      </c>
      <c r="M135" s="3">
        <f t="shared" si="23"/>
        <v>0</v>
      </c>
    </row>
    <row r="136" spans="3:13" x14ac:dyDescent="0.3">
      <c r="C136" s="3">
        <v>94</v>
      </c>
      <c r="D136" s="3">
        <f t="shared" si="14"/>
        <v>43.919598620300121</v>
      </c>
      <c r="E136" s="3">
        <f t="shared" si="15"/>
        <v>208.25117516237404</v>
      </c>
      <c r="F136" s="3">
        <f t="shared" si="16"/>
        <v>0</v>
      </c>
      <c r="G136" s="3">
        <f t="shared" si="17"/>
        <v>0</v>
      </c>
      <c r="H136" s="3">
        <f t="shared" si="18"/>
        <v>0</v>
      </c>
      <c r="I136" s="3">
        <f t="shared" si="19"/>
        <v>0</v>
      </c>
      <c r="J136" s="3">
        <f t="shared" si="20"/>
        <v>0</v>
      </c>
      <c r="K136" s="3">
        <f t="shared" si="21"/>
        <v>0</v>
      </c>
      <c r="L136" s="3">
        <f t="shared" si="22"/>
        <v>0</v>
      </c>
      <c r="M136" s="3">
        <f t="shared" si="23"/>
        <v>0</v>
      </c>
    </row>
    <row r="137" spans="3:13" x14ac:dyDescent="0.3">
      <c r="C137" s="3">
        <v>95</v>
      </c>
      <c r="D137" s="3">
        <f t="shared" si="14"/>
        <v>45.862687022915424</v>
      </c>
      <c r="E137" s="3">
        <f t="shared" si="15"/>
        <v>204.02428227460669</v>
      </c>
      <c r="F137" s="3">
        <f t="shared" si="16"/>
        <v>0</v>
      </c>
      <c r="G137" s="3">
        <f t="shared" si="17"/>
        <v>0</v>
      </c>
      <c r="H137" s="3">
        <f t="shared" si="18"/>
        <v>0</v>
      </c>
      <c r="I137" s="3">
        <f t="shared" si="19"/>
        <v>0</v>
      </c>
      <c r="J137" s="3">
        <f t="shared" si="20"/>
        <v>0</v>
      </c>
      <c r="K137" s="3">
        <f t="shared" si="21"/>
        <v>0</v>
      </c>
      <c r="L137" s="3">
        <f t="shared" si="22"/>
        <v>0</v>
      </c>
      <c r="M137" s="3">
        <f t="shared" si="23"/>
        <v>0</v>
      </c>
    </row>
    <row r="138" spans="3:13" x14ac:dyDescent="0.3">
      <c r="C138" s="3">
        <v>96</v>
      </c>
      <c r="D138" s="3">
        <f t="shared" si="14"/>
        <v>47.766697811567646</v>
      </c>
      <c r="E138" s="3">
        <f t="shared" si="15"/>
        <v>199.92113280848264</v>
      </c>
      <c r="F138" s="3">
        <f t="shared" si="16"/>
        <v>0</v>
      </c>
      <c r="G138" s="3">
        <f t="shared" si="17"/>
        <v>0</v>
      </c>
      <c r="H138" s="3">
        <f t="shared" si="18"/>
        <v>0</v>
      </c>
      <c r="I138" s="3">
        <f t="shared" si="19"/>
        <v>0</v>
      </c>
      <c r="J138" s="3">
        <f t="shared" si="20"/>
        <v>0</v>
      </c>
      <c r="K138" s="3">
        <f t="shared" si="21"/>
        <v>0</v>
      </c>
      <c r="L138" s="3">
        <f t="shared" si="22"/>
        <v>0</v>
      </c>
      <c r="M138" s="3">
        <f t="shared" si="23"/>
        <v>0</v>
      </c>
    </row>
    <row r="139" spans="3:13" x14ac:dyDescent="0.3">
      <c r="C139" s="3">
        <v>97</v>
      </c>
      <c r="D139" s="3">
        <f t="shared" si="14"/>
        <v>49.632830435636627</v>
      </c>
      <c r="E139" s="3">
        <f t="shared" si="15"/>
        <v>195.94392552724347</v>
      </c>
      <c r="F139" s="3">
        <f t="shared" si="16"/>
        <v>0</v>
      </c>
      <c r="G139" s="3">
        <f t="shared" si="17"/>
        <v>0</v>
      </c>
      <c r="H139" s="3">
        <f t="shared" si="18"/>
        <v>0</v>
      </c>
      <c r="I139" s="3">
        <f t="shared" si="19"/>
        <v>0</v>
      </c>
      <c r="J139" s="3">
        <f t="shared" si="20"/>
        <v>0</v>
      </c>
      <c r="K139" s="3">
        <f t="shared" si="21"/>
        <v>0</v>
      </c>
      <c r="L139" s="3">
        <f t="shared" si="22"/>
        <v>0</v>
      </c>
      <c r="M139" s="3">
        <f t="shared" si="23"/>
        <v>0</v>
      </c>
    </row>
    <row r="140" spans="3:13" x14ac:dyDescent="0.3">
      <c r="C140" s="3">
        <v>98</v>
      </c>
      <c r="D140" s="3">
        <f t="shared" si="14"/>
        <v>40.543861331892707</v>
      </c>
      <c r="E140" s="3">
        <f t="shared" si="15"/>
        <v>192.09412574109928</v>
      </c>
      <c r="F140" s="3">
        <f t="shared" si="16"/>
        <v>1146.4358816342121</v>
      </c>
      <c r="G140" s="3">
        <f t="shared" si="17"/>
        <v>0</v>
      </c>
      <c r="H140" s="3">
        <f t="shared" si="18"/>
        <v>0</v>
      </c>
      <c r="I140" s="3">
        <f t="shared" si="19"/>
        <v>0</v>
      </c>
      <c r="J140" s="3">
        <f t="shared" si="20"/>
        <v>0</v>
      </c>
      <c r="K140" s="3">
        <f t="shared" si="21"/>
        <v>0</v>
      </c>
      <c r="L140" s="3">
        <f t="shared" si="22"/>
        <v>0</v>
      </c>
      <c r="M140" s="3">
        <f t="shared" si="23"/>
        <v>0</v>
      </c>
    </row>
    <row r="141" spans="3:13" x14ac:dyDescent="0.3">
      <c r="C141" s="3">
        <v>99</v>
      </c>
      <c r="D141" s="3">
        <f t="shared" si="14"/>
        <v>42.555651088029734</v>
      </c>
      <c r="E141" s="3">
        <f t="shared" si="15"/>
        <v>211.23792439438782</v>
      </c>
      <c r="F141" s="3">
        <f t="shared" si="16"/>
        <v>0</v>
      </c>
      <c r="G141" s="3">
        <f t="shared" si="17"/>
        <v>0</v>
      </c>
      <c r="H141" s="3">
        <f t="shared" si="18"/>
        <v>0</v>
      </c>
      <c r="I141" s="3">
        <f t="shared" si="19"/>
        <v>0</v>
      </c>
      <c r="J141" s="3">
        <f t="shared" si="20"/>
        <v>0</v>
      </c>
      <c r="K141" s="3">
        <f t="shared" si="21"/>
        <v>0</v>
      </c>
      <c r="L141" s="3">
        <f t="shared" si="22"/>
        <v>0</v>
      </c>
      <c r="M141" s="3">
        <f t="shared" si="23"/>
        <v>0</v>
      </c>
    </row>
    <row r="142" spans="3:13" x14ac:dyDescent="0.3">
      <c r="C142" s="3">
        <v>100</v>
      </c>
      <c r="D142" s="3">
        <f t="shared" si="14"/>
        <v>44.526387988858765</v>
      </c>
      <c r="E142" s="3">
        <f t="shared" si="15"/>
        <v>206.92737458704863</v>
      </c>
      <c r="F142" s="3">
        <f t="shared" si="16"/>
        <v>0</v>
      </c>
      <c r="G142" s="3">
        <f t="shared" si="17"/>
        <v>0</v>
      </c>
      <c r="H142" s="3">
        <f t="shared" si="18"/>
        <v>0</v>
      </c>
      <c r="I142" s="3">
        <f t="shared" si="19"/>
        <v>0</v>
      </c>
      <c r="J142" s="3">
        <f t="shared" si="20"/>
        <v>0</v>
      </c>
      <c r="K142" s="3">
        <f t="shared" si="21"/>
        <v>0</v>
      </c>
      <c r="L142" s="3">
        <f t="shared" si="22"/>
        <v>0</v>
      </c>
      <c r="M142" s="3">
        <f t="shared" si="23"/>
        <v>0</v>
      </c>
    </row>
    <row r="143" spans="3:13" x14ac:dyDescent="0.3">
      <c r="C143" s="3">
        <v>101</v>
      </c>
      <c r="D143" s="3">
        <f t="shared" si="14"/>
        <v>46.457231514280011</v>
      </c>
      <c r="E143" s="3">
        <f t="shared" si="15"/>
        <v>202.73857016923105</v>
      </c>
      <c r="F143" s="3">
        <f t="shared" si="16"/>
        <v>0</v>
      </c>
      <c r="G143" s="3">
        <f t="shared" si="17"/>
        <v>0</v>
      </c>
      <c r="H143" s="3">
        <f t="shared" si="18"/>
        <v>0</v>
      </c>
      <c r="I143" s="3">
        <f t="shared" si="19"/>
        <v>0</v>
      </c>
      <c r="J143" s="3">
        <f t="shared" si="20"/>
        <v>0</v>
      </c>
      <c r="K143" s="3">
        <f t="shared" si="21"/>
        <v>0</v>
      </c>
      <c r="L143" s="3">
        <f t="shared" si="22"/>
        <v>0</v>
      </c>
      <c r="M143" s="3">
        <f t="shared" si="23"/>
        <v>0</v>
      </c>
    </row>
    <row r="144" spans="3:13" x14ac:dyDescent="0.3">
      <c r="C144" s="3">
        <v>102</v>
      </c>
      <c r="D144" s="3">
        <f t="shared" si="14"/>
        <v>48.349367471416251</v>
      </c>
      <c r="E144" s="3">
        <f t="shared" si="15"/>
        <v>198.67427549930488</v>
      </c>
      <c r="F144" s="3">
        <f t="shared" si="16"/>
        <v>0</v>
      </c>
      <c r="G144" s="3">
        <f t="shared" si="17"/>
        <v>0</v>
      </c>
      <c r="H144" s="3">
        <f t="shared" si="18"/>
        <v>0</v>
      </c>
      <c r="I144" s="3">
        <f t="shared" si="19"/>
        <v>0</v>
      </c>
      <c r="J144" s="3">
        <f t="shared" si="20"/>
        <v>0</v>
      </c>
      <c r="K144" s="3">
        <f t="shared" si="21"/>
        <v>0</v>
      </c>
      <c r="L144" s="3">
        <f t="shared" si="22"/>
        <v>0</v>
      </c>
      <c r="M144" s="3">
        <f t="shared" si="23"/>
        <v>0</v>
      </c>
    </row>
    <row r="145" spans="3:13" x14ac:dyDescent="0.3">
      <c r="C145" s="3">
        <v>103</v>
      </c>
      <c r="D145" s="3">
        <f t="shared" si="14"/>
        <v>39.285563372579091</v>
      </c>
      <c r="E145" s="3">
        <f t="shared" si="15"/>
        <v>194.73645125630992</v>
      </c>
      <c r="F145" s="3">
        <f t="shared" si="16"/>
        <v>1146.4358816342121</v>
      </c>
      <c r="G145" s="3">
        <f t="shared" si="17"/>
        <v>0</v>
      </c>
      <c r="H145" s="3">
        <f t="shared" si="18"/>
        <v>0</v>
      </c>
      <c r="I145" s="3">
        <f t="shared" si="19"/>
        <v>0</v>
      </c>
      <c r="J145" s="3">
        <f t="shared" si="20"/>
        <v>0</v>
      </c>
      <c r="K145" s="3">
        <f t="shared" si="21"/>
        <v>0</v>
      </c>
      <c r="L145" s="3">
        <f t="shared" si="22"/>
        <v>0</v>
      </c>
      <c r="M145" s="3">
        <f t="shared" si="23"/>
        <v>0</v>
      </c>
    </row>
    <row r="146" spans="3:13" x14ac:dyDescent="0.3">
      <c r="C146" s="3">
        <v>104</v>
      </c>
      <c r="D146" s="3">
        <f t="shared" si="14"/>
        <v>41.323165206252149</v>
      </c>
      <c r="E146" s="3">
        <f t="shared" si="15"/>
        <v>213.94819253567155</v>
      </c>
      <c r="F146" s="3">
        <f t="shared" si="16"/>
        <v>0</v>
      </c>
      <c r="G146" s="3">
        <f t="shared" si="17"/>
        <v>0</v>
      </c>
      <c r="H146" s="3">
        <f t="shared" si="18"/>
        <v>0</v>
      </c>
      <c r="I146" s="3">
        <f t="shared" si="19"/>
        <v>0</v>
      </c>
      <c r="J146" s="3">
        <f t="shared" si="20"/>
        <v>0</v>
      </c>
      <c r="K146" s="3">
        <f t="shared" si="21"/>
        <v>0</v>
      </c>
      <c r="L146" s="3">
        <f t="shared" si="22"/>
        <v>0</v>
      </c>
      <c r="M146" s="3">
        <f t="shared" si="23"/>
        <v>0</v>
      </c>
    </row>
    <row r="147" spans="3:13" x14ac:dyDescent="0.3">
      <c r="C147" s="3">
        <v>105</v>
      </c>
      <c r="D147" s="3">
        <f t="shared" si="14"/>
        <v>43.319017801176905</v>
      </c>
      <c r="E147" s="3">
        <f t="shared" si="15"/>
        <v>209.56452246709966</v>
      </c>
      <c r="F147" s="3">
        <f t="shared" si="16"/>
        <v>0</v>
      </c>
      <c r="G147" s="3">
        <f t="shared" si="17"/>
        <v>0</v>
      </c>
      <c r="H147" s="3">
        <f t="shared" si="18"/>
        <v>0</v>
      </c>
      <c r="I147" s="3">
        <f t="shared" si="19"/>
        <v>0</v>
      </c>
      <c r="J147" s="3">
        <f t="shared" si="20"/>
        <v>0</v>
      </c>
      <c r="K147" s="3">
        <f t="shared" si="21"/>
        <v>0</v>
      </c>
      <c r="L147" s="3">
        <f t="shared" si="22"/>
        <v>0</v>
      </c>
      <c r="M147" s="3">
        <f t="shared" si="23"/>
        <v>0</v>
      </c>
    </row>
    <row r="148" spans="3:13" x14ac:dyDescent="0.3">
      <c r="C148" s="3">
        <v>106</v>
      </c>
      <c r="D148" s="3">
        <f t="shared" si="14"/>
        <v>45.274260197469204</v>
      </c>
      <c r="E148" s="3">
        <f t="shared" si="15"/>
        <v>205.30045161069108</v>
      </c>
      <c r="F148" s="3">
        <f t="shared" si="16"/>
        <v>0</v>
      </c>
      <c r="G148" s="3">
        <f t="shared" si="17"/>
        <v>0</v>
      </c>
      <c r="H148" s="3">
        <f t="shared" si="18"/>
        <v>0</v>
      </c>
      <c r="I148" s="3">
        <f t="shared" si="19"/>
        <v>0</v>
      </c>
      <c r="J148" s="3">
        <f t="shared" si="20"/>
        <v>0</v>
      </c>
      <c r="K148" s="3">
        <f t="shared" si="21"/>
        <v>0</v>
      </c>
      <c r="L148" s="3">
        <f t="shared" si="22"/>
        <v>0</v>
      </c>
      <c r="M148" s="3">
        <f t="shared" si="23"/>
        <v>0</v>
      </c>
    </row>
    <row r="149" spans="3:13" x14ac:dyDescent="0.3">
      <c r="C149" s="3">
        <v>107</v>
      </c>
      <c r="D149" s="3">
        <f t="shared" si="14"/>
        <v>47.190062979112234</v>
      </c>
      <c r="E149" s="3">
        <f t="shared" si="15"/>
        <v>201.15929207251781</v>
      </c>
      <c r="F149" s="3">
        <f t="shared" si="16"/>
        <v>0</v>
      </c>
      <c r="G149" s="3">
        <f t="shared" si="17"/>
        <v>0</v>
      </c>
      <c r="H149" s="3">
        <f t="shared" si="18"/>
        <v>0</v>
      </c>
      <c r="I149" s="3">
        <f t="shared" si="19"/>
        <v>0</v>
      </c>
      <c r="J149" s="3">
        <f t="shared" si="20"/>
        <v>0</v>
      </c>
      <c r="K149" s="3">
        <f t="shared" si="21"/>
        <v>0</v>
      </c>
      <c r="L149" s="3">
        <f t="shared" si="22"/>
        <v>0</v>
      </c>
      <c r="M149" s="3">
        <f t="shared" si="23"/>
        <v>0</v>
      </c>
    </row>
    <row r="150" spans="3:13" x14ac:dyDescent="0.3">
      <c r="C150" s="3">
        <v>108</v>
      </c>
      <c r="D150" s="3">
        <f t="shared" si="14"/>
        <v>38.149183024940221</v>
      </c>
      <c r="E150" s="3">
        <f t="shared" si="15"/>
        <v>197.14348644615038</v>
      </c>
      <c r="F150" s="3">
        <f t="shared" si="16"/>
        <v>1146.4358816342121</v>
      </c>
      <c r="G150" s="3">
        <f t="shared" si="17"/>
        <v>0</v>
      </c>
      <c r="H150" s="3">
        <f t="shared" si="18"/>
        <v>0</v>
      </c>
      <c r="I150" s="3">
        <f t="shared" si="19"/>
        <v>0</v>
      </c>
      <c r="J150" s="3">
        <f t="shared" si="20"/>
        <v>0</v>
      </c>
      <c r="K150" s="3">
        <f t="shared" si="21"/>
        <v>0</v>
      </c>
      <c r="L150" s="3">
        <f t="shared" si="22"/>
        <v>0</v>
      </c>
      <c r="M150" s="3">
        <f t="shared" si="23"/>
        <v>0</v>
      </c>
    </row>
    <row r="151" spans="3:13" x14ac:dyDescent="0.3">
      <c r="C151" s="3">
        <v>109</v>
      </c>
      <c r="D151" s="3">
        <f t="shared" si="14"/>
        <v>40.210166627612885</v>
      </c>
      <c r="E151" s="3">
        <f t="shared" si="15"/>
        <v>216.40327828063005</v>
      </c>
      <c r="F151" s="3">
        <f t="shared" si="16"/>
        <v>0</v>
      </c>
      <c r="G151" s="3">
        <f t="shared" si="17"/>
        <v>0</v>
      </c>
      <c r="H151" s="3">
        <f t="shared" si="18"/>
        <v>0</v>
      </c>
      <c r="I151" s="3">
        <f t="shared" si="19"/>
        <v>0</v>
      </c>
      <c r="J151" s="3">
        <f t="shared" si="20"/>
        <v>0</v>
      </c>
      <c r="K151" s="3">
        <f t="shared" si="21"/>
        <v>0</v>
      </c>
      <c r="L151" s="3">
        <f t="shared" si="22"/>
        <v>0</v>
      </c>
      <c r="M151" s="3">
        <f t="shared" si="23"/>
        <v>0</v>
      </c>
    </row>
    <row r="152" spans="3:13" x14ac:dyDescent="0.3">
      <c r="C152" s="3">
        <v>110</v>
      </c>
      <c r="D152" s="3">
        <f t="shared" si="14"/>
        <v>42.228792624568044</v>
      </c>
      <c r="E152" s="3">
        <f t="shared" si="15"/>
        <v>211.95572968029131</v>
      </c>
      <c r="F152" s="3">
        <f t="shared" si="16"/>
        <v>0</v>
      </c>
      <c r="G152" s="3">
        <f t="shared" si="17"/>
        <v>0</v>
      </c>
      <c r="H152" s="3">
        <f t="shared" si="18"/>
        <v>0</v>
      </c>
      <c r="I152" s="3">
        <f t="shared" si="19"/>
        <v>0</v>
      </c>
      <c r="J152" s="3">
        <f t="shared" si="20"/>
        <v>0</v>
      </c>
      <c r="K152" s="3">
        <f t="shared" si="21"/>
        <v>0</v>
      </c>
      <c r="L152" s="3">
        <f t="shared" si="22"/>
        <v>0</v>
      </c>
      <c r="M152" s="3">
        <f t="shared" si="23"/>
        <v>0</v>
      </c>
    </row>
    <row r="153" spans="3:13" x14ac:dyDescent="0.3">
      <c r="C153" s="3">
        <v>111</v>
      </c>
      <c r="D153" s="3">
        <f t="shared" si="14"/>
        <v>44.206178838206341</v>
      </c>
      <c r="E153" s="3">
        <f t="shared" si="15"/>
        <v>207.62555243202087</v>
      </c>
      <c r="F153" s="3">
        <f t="shared" si="16"/>
        <v>0</v>
      </c>
      <c r="G153" s="3">
        <f t="shared" si="17"/>
        <v>0</v>
      </c>
      <c r="H153" s="3">
        <f t="shared" si="18"/>
        <v>0</v>
      </c>
      <c r="I153" s="3">
        <f t="shared" si="19"/>
        <v>0</v>
      </c>
      <c r="J153" s="3">
        <f t="shared" si="20"/>
        <v>0</v>
      </c>
      <c r="K153" s="3">
        <f t="shared" si="21"/>
        <v>0</v>
      </c>
      <c r="L153" s="3">
        <f t="shared" si="22"/>
        <v>0</v>
      </c>
      <c r="M153" s="3">
        <f t="shared" si="23"/>
        <v>0</v>
      </c>
    </row>
    <row r="154" spans="3:13" x14ac:dyDescent="0.3">
      <c r="C154" s="3">
        <v>112</v>
      </c>
      <c r="D154" s="3">
        <f t="shared" si="14"/>
        <v>46.143479633780942</v>
      </c>
      <c r="E154" s="3">
        <f t="shared" si="15"/>
        <v>203.41658353533333</v>
      </c>
      <c r="F154" s="3">
        <f t="shared" si="16"/>
        <v>0</v>
      </c>
      <c r="G154" s="3">
        <f t="shared" si="17"/>
        <v>0</v>
      </c>
      <c r="H154" s="3">
        <f t="shared" si="18"/>
        <v>0</v>
      </c>
      <c r="I154" s="3">
        <f t="shared" si="19"/>
        <v>0</v>
      </c>
      <c r="J154" s="3">
        <f t="shared" si="20"/>
        <v>0</v>
      </c>
      <c r="K154" s="3">
        <f t="shared" si="21"/>
        <v>0</v>
      </c>
      <c r="L154" s="3">
        <f t="shared" si="22"/>
        <v>0</v>
      </c>
      <c r="M154" s="3">
        <f t="shared" si="23"/>
        <v>0</v>
      </c>
    </row>
    <row r="155" spans="3:13" x14ac:dyDescent="0.3">
      <c r="C155" s="3">
        <v>113</v>
      </c>
      <c r="D155" s="3">
        <f t="shared" si="14"/>
        <v>37.123440086803178</v>
      </c>
      <c r="E155" s="3">
        <f t="shared" si="15"/>
        <v>199.33172920154612</v>
      </c>
      <c r="F155" s="3">
        <f t="shared" si="16"/>
        <v>1146.4358816342121</v>
      </c>
      <c r="G155" s="3">
        <f t="shared" si="17"/>
        <v>0</v>
      </c>
      <c r="H155" s="3">
        <f t="shared" si="18"/>
        <v>0</v>
      </c>
      <c r="I155" s="3">
        <f t="shared" si="19"/>
        <v>0</v>
      </c>
      <c r="J155" s="3">
        <f t="shared" si="20"/>
        <v>0</v>
      </c>
      <c r="K155" s="3">
        <f t="shared" si="21"/>
        <v>0</v>
      </c>
      <c r="L155" s="3">
        <f t="shared" si="22"/>
        <v>0</v>
      </c>
      <c r="M155" s="3">
        <f t="shared" si="23"/>
        <v>0</v>
      </c>
    </row>
    <row r="156" spans="3:13" x14ac:dyDescent="0.3">
      <c r="C156" s="3">
        <v>114</v>
      </c>
      <c r="D156" s="3">
        <f t="shared" si="14"/>
        <v>39.205574775794609</v>
      </c>
      <c r="E156" s="3">
        <f t="shared" si="15"/>
        <v>218.62414234410031</v>
      </c>
      <c r="F156" s="3">
        <f t="shared" si="16"/>
        <v>0</v>
      </c>
      <c r="G156" s="3">
        <f t="shared" si="17"/>
        <v>0</v>
      </c>
      <c r="H156" s="3">
        <f t="shared" si="18"/>
        <v>0</v>
      </c>
      <c r="I156" s="3">
        <f t="shared" si="19"/>
        <v>0</v>
      </c>
      <c r="J156" s="3">
        <f t="shared" si="20"/>
        <v>0</v>
      </c>
      <c r="K156" s="3">
        <f t="shared" si="21"/>
        <v>0</v>
      </c>
      <c r="L156" s="3">
        <f t="shared" si="22"/>
        <v>0</v>
      </c>
      <c r="M156" s="3">
        <f t="shared" si="23"/>
        <v>0</v>
      </c>
    </row>
    <row r="157" spans="3:13" x14ac:dyDescent="0.3">
      <c r="C157" s="3">
        <v>115</v>
      </c>
      <c r="D157" s="3">
        <f t="shared" si="14"/>
        <v>41.244820409713441</v>
      </c>
      <c r="E157" s="3">
        <f t="shared" si="15"/>
        <v>214.12079156147701</v>
      </c>
      <c r="F157" s="3">
        <f t="shared" si="16"/>
        <v>0</v>
      </c>
      <c r="G157" s="3">
        <f t="shared" si="17"/>
        <v>0</v>
      </c>
      <c r="H157" s="3">
        <f t="shared" si="18"/>
        <v>0</v>
      </c>
      <c r="I157" s="3">
        <f t="shared" si="19"/>
        <v>0</v>
      </c>
      <c r="J157" s="3">
        <f t="shared" si="20"/>
        <v>0</v>
      </c>
      <c r="K157" s="3">
        <f t="shared" si="21"/>
        <v>0</v>
      </c>
      <c r="L157" s="3">
        <f t="shared" si="22"/>
        <v>0</v>
      </c>
      <c r="M157" s="3">
        <f t="shared" si="23"/>
        <v>0</v>
      </c>
    </row>
    <row r="158" spans="3:13" x14ac:dyDescent="0.3">
      <c r="C158" s="3">
        <v>116</v>
      </c>
      <c r="D158" s="3">
        <f t="shared" si="14"/>
        <v>43.242273330648146</v>
      </c>
      <c r="E158" s="3">
        <f t="shared" si="15"/>
        <v>209.7325566981448</v>
      </c>
      <c r="F158" s="3">
        <f t="shared" si="16"/>
        <v>0</v>
      </c>
      <c r="G158" s="3">
        <f t="shared" si="17"/>
        <v>0</v>
      </c>
      <c r="H158" s="3">
        <f t="shared" si="18"/>
        <v>0</v>
      </c>
      <c r="I158" s="3">
        <f t="shared" si="19"/>
        <v>0</v>
      </c>
      <c r="J158" s="3">
        <f t="shared" si="20"/>
        <v>0</v>
      </c>
      <c r="K158" s="3">
        <f t="shared" si="21"/>
        <v>0</v>
      </c>
      <c r="L158" s="3">
        <f t="shared" si="22"/>
        <v>0</v>
      </c>
      <c r="M158" s="3">
        <f t="shared" si="23"/>
        <v>0</v>
      </c>
    </row>
    <row r="159" spans="3:13" x14ac:dyDescent="0.3">
      <c r="C159" s="3">
        <v>117</v>
      </c>
      <c r="D159" s="3">
        <f t="shared" si="14"/>
        <v>45.199071172085574</v>
      </c>
      <c r="E159" s="3">
        <f t="shared" si="15"/>
        <v>205.46377335092947</v>
      </c>
      <c r="F159" s="3">
        <f t="shared" si="16"/>
        <v>0</v>
      </c>
      <c r="G159" s="3">
        <f t="shared" si="17"/>
        <v>0</v>
      </c>
      <c r="H159" s="3">
        <f t="shared" si="18"/>
        <v>0</v>
      </c>
      <c r="I159" s="3">
        <f t="shared" si="19"/>
        <v>0</v>
      </c>
      <c r="J159" s="3">
        <f t="shared" si="20"/>
        <v>0</v>
      </c>
      <c r="K159" s="3">
        <f t="shared" si="21"/>
        <v>0</v>
      </c>
      <c r="L159" s="3">
        <f t="shared" si="22"/>
        <v>0</v>
      </c>
      <c r="M159" s="3">
        <f t="shared" si="23"/>
        <v>0</v>
      </c>
    </row>
    <row r="160" spans="3:13" x14ac:dyDescent="0.3">
      <c r="C160" s="3">
        <v>118</v>
      </c>
      <c r="D160" s="3">
        <f t="shared" si="14"/>
        <v>36.197946486342111</v>
      </c>
      <c r="E160" s="3">
        <f t="shared" si="15"/>
        <v>201.31778963114829</v>
      </c>
      <c r="F160" s="3">
        <f t="shared" si="16"/>
        <v>1146.4358816342121</v>
      </c>
      <c r="G160" s="3">
        <f t="shared" si="17"/>
        <v>0</v>
      </c>
      <c r="H160" s="3">
        <f t="shared" si="18"/>
        <v>0</v>
      </c>
      <c r="I160" s="3">
        <f t="shared" si="19"/>
        <v>0</v>
      </c>
      <c r="J160" s="3">
        <f t="shared" si="20"/>
        <v>0</v>
      </c>
      <c r="K160" s="3">
        <f t="shared" si="21"/>
        <v>0</v>
      </c>
      <c r="L160" s="3">
        <f t="shared" si="22"/>
        <v>0</v>
      </c>
      <c r="M160" s="3">
        <f t="shared" si="23"/>
        <v>0</v>
      </c>
    </row>
    <row r="161" spans="3:13" x14ac:dyDescent="0.3">
      <c r="C161" s="3">
        <v>119</v>
      </c>
      <c r="D161" s="3">
        <f t="shared" si="14"/>
        <v>38.299193661159563</v>
      </c>
      <c r="E161" s="3">
        <f t="shared" si="15"/>
        <v>220.63095335583259</v>
      </c>
      <c r="F161" s="3">
        <f t="shared" si="16"/>
        <v>0</v>
      </c>
      <c r="G161" s="3">
        <f t="shared" si="17"/>
        <v>0</v>
      </c>
      <c r="H161" s="3">
        <f t="shared" si="18"/>
        <v>0</v>
      </c>
      <c r="I161" s="3">
        <f t="shared" si="19"/>
        <v>0</v>
      </c>
      <c r="J161" s="3">
        <f t="shared" si="20"/>
        <v>0</v>
      </c>
      <c r="K161" s="3">
        <f t="shared" si="21"/>
        <v>0</v>
      </c>
      <c r="L161" s="3">
        <f t="shared" si="22"/>
        <v>0</v>
      </c>
      <c r="M161" s="3">
        <f t="shared" si="23"/>
        <v>0</v>
      </c>
    </row>
    <row r="162" spans="3:13" x14ac:dyDescent="0.3">
      <c r="C162" s="3">
        <v>120</v>
      </c>
      <c r="D162" s="3">
        <f t="shared" si="14"/>
        <v>40.357087373113202</v>
      </c>
      <c r="E162" s="3">
        <f t="shared" si="15"/>
        <v>216.07883975513275</v>
      </c>
      <c r="F162" s="3">
        <f t="shared" si="16"/>
        <v>0</v>
      </c>
      <c r="G162" s="3">
        <f t="shared" si="17"/>
        <v>0</v>
      </c>
      <c r="H162" s="3">
        <f t="shared" si="18"/>
        <v>0</v>
      </c>
      <c r="I162" s="3">
        <f t="shared" si="19"/>
        <v>0</v>
      </c>
      <c r="J162" s="3">
        <f t="shared" si="20"/>
        <v>0</v>
      </c>
      <c r="K162" s="3">
        <f t="shared" si="21"/>
        <v>0</v>
      </c>
      <c r="L162" s="3">
        <f t="shared" si="22"/>
        <v>0</v>
      </c>
      <c r="M162" s="3">
        <f t="shared" si="23"/>
        <v>0</v>
      </c>
    </row>
    <row r="163" spans="3:13" x14ac:dyDescent="0.3">
      <c r="C163" s="3">
        <v>121</v>
      </c>
      <c r="D163" s="3">
        <f t="shared" si="14"/>
        <v>42.372702629990613</v>
      </c>
      <c r="E163" s="3">
        <f t="shared" si="15"/>
        <v>211.63960197212825</v>
      </c>
      <c r="F163" s="3">
        <f t="shared" si="16"/>
        <v>0</v>
      </c>
      <c r="G163" s="3">
        <f t="shared" si="17"/>
        <v>0</v>
      </c>
      <c r="H163" s="3">
        <f t="shared" si="18"/>
        <v>0</v>
      </c>
      <c r="I163" s="3">
        <f t="shared" si="19"/>
        <v>0</v>
      </c>
      <c r="J163" s="3">
        <f t="shared" si="20"/>
        <v>0</v>
      </c>
      <c r="K163" s="3">
        <f t="shared" si="21"/>
        <v>0</v>
      </c>
      <c r="L163" s="3">
        <f t="shared" si="22"/>
        <v>0</v>
      </c>
      <c r="M163" s="3">
        <f t="shared" si="23"/>
        <v>0</v>
      </c>
    </row>
    <row r="164" spans="3:13" x14ac:dyDescent="0.3">
      <c r="C164" s="3">
        <v>122</v>
      </c>
      <c r="D164" s="3">
        <f t="shared" si="14"/>
        <v>44.347160208612969</v>
      </c>
      <c r="E164" s="3">
        <f t="shared" si="15"/>
        <v>207.31804575534827</v>
      </c>
      <c r="F164" s="3">
        <f t="shared" si="16"/>
        <v>0</v>
      </c>
      <c r="G164" s="3">
        <f t="shared" si="17"/>
        <v>0</v>
      </c>
      <c r="H164" s="3">
        <f t="shared" si="18"/>
        <v>0</v>
      </c>
      <c r="I164" s="3">
        <f t="shared" si="19"/>
        <v>0</v>
      </c>
      <c r="J164" s="3">
        <f t="shared" si="20"/>
        <v>0</v>
      </c>
      <c r="K164" s="3">
        <f t="shared" si="21"/>
        <v>0</v>
      </c>
      <c r="L164" s="3">
        <f t="shared" si="22"/>
        <v>0</v>
      </c>
      <c r="M164" s="3">
        <f t="shared" si="23"/>
        <v>0</v>
      </c>
    </row>
    <row r="165" spans="3:13" x14ac:dyDescent="0.3">
      <c r="C165" s="3">
        <v>123</v>
      </c>
      <c r="D165" s="3">
        <f t="shared" si="14"/>
        <v>35.363179785075438</v>
      </c>
      <c r="E165" s="3">
        <f t="shared" si="15"/>
        <v>203.11793716277069</v>
      </c>
      <c r="F165" s="3">
        <f t="shared" si="16"/>
        <v>1146.4358816342121</v>
      </c>
      <c r="G165" s="3">
        <f t="shared" si="17"/>
        <v>0</v>
      </c>
      <c r="H165" s="3">
        <f t="shared" si="18"/>
        <v>0</v>
      </c>
      <c r="I165" s="3">
        <f t="shared" si="19"/>
        <v>0</v>
      </c>
      <c r="J165" s="3">
        <f t="shared" si="20"/>
        <v>0</v>
      </c>
      <c r="K165" s="3">
        <f t="shared" si="21"/>
        <v>0</v>
      </c>
      <c r="L165" s="3">
        <f t="shared" si="22"/>
        <v>0</v>
      </c>
      <c r="M165" s="3">
        <f t="shared" si="23"/>
        <v>0</v>
      </c>
    </row>
    <row r="166" spans="3:13" x14ac:dyDescent="0.3">
      <c r="C166" s="3">
        <v>124</v>
      </c>
      <c r="D166" s="3">
        <f t="shared" si="14"/>
        <v>37.481682698019526</v>
      </c>
      <c r="E166" s="3">
        <f t="shared" si="15"/>
        <v>222.44280585912946</v>
      </c>
      <c r="F166" s="3">
        <f t="shared" si="16"/>
        <v>0</v>
      </c>
      <c r="G166" s="3">
        <f t="shared" si="17"/>
        <v>0</v>
      </c>
      <c r="H166" s="3">
        <f t="shared" si="18"/>
        <v>0</v>
      </c>
      <c r="I166" s="3">
        <f t="shared" si="19"/>
        <v>0</v>
      </c>
      <c r="J166" s="3">
        <f t="shared" si="20"/>
        <v>0</v>
      </c>
      <c r="K166" s="3">
        <f t="shared" si="21"/>
        <v>0</v>
      </c>
      <c r="L166" s="3">
        <f t="shared" si="22"/>
        <v>0</v>
      </c>
      <c r="M166" s="3">
        <f t="shared" si="23"/>
        <v>0</v>
      </c>
    </row>
    <row r="167" spans="3:13" x14ac:dyDescent="0.3">
      <c r="C167" s="3">
        <v>125</v>
      </c>
      <c r="D167" s="3">
        <f t="shared" si="14"/>
        <v>39.556426069996085</v>
      </c>
      <c r="E167" s="3">
        <f t="shared" si="15"/>
        <v>217.84805405753906</v>
      </c>
      <c r="F167" s="3">
        <f t="shared" si="16"/>
        <v>0</v>
      </c>
      <c r="G167" s="3">
        <f t="shared" si="17"/>
        <v>0</v>
      </c>
      <c r="H167" s="3">
        <f t="shared" si="18"/>
        <v>0</v>
      </c>
      <c r="I167" s="3">
        <f t="shared" si="19"/>
        <v>0</v>
      </c>
      <c r="J167" s="3">
        <f t="shared" si="20"/>
        <v>0</v>
      </c>
      <c r="K167" s="3">
        <f t="shared" si="21"/>
        <v>0</v>
      </c>
      <c r="L167" s="3">
        <f t="shared" si="22"/>
        <v>0</v>
      </c>
      <c r="M167" s="3">
        <f t="shared" si="23"/>
        <v>0</v>
      </c>
    </row>
    <row r="168" spans="3:13" x14ac:dyDescent="0.3">
      <c r="C168" s="3">
        <v>126</v>
      </c>
      <c r="D168" s="3">
        <f t="shared" si="14"/>
        <v>41.588464035482367</v>
      </c>
      <c r="E168" s="3">
        <f t="shared" si="15"/>
        <v>213.36398637605905</v>
      </c>
      <c r="F168" s="3">
        <f t="shared" si="16"/>
        <v>0</v>
      </c>
      <c r="G168" s="3">
        <f t="shared" si="17"/>
        <v>0</v>
      </c>
      <c r="H168" s="3">
        <f t="shared" si="18"/>
        <v>0</v>
      </c>
      <c r="I168" s="3">
        <f t="shared" si="19"/>
        <v>0</v>
      </c>
      <c r="J168" s="3">
        <f t="shared" si="20"/>
        <v>0</v>
      </c>
      <c r="K168" s="3">
        <f t="shared" si="21"/>
        <v>0</v>
      </c>
      <c r="L168" s="3">
        <f t="shared" si="22"/>
        <v>0</v>
      </c>
      <c r="M168" s="3">
        <f t="shared" si="23"/>
        <v>0</v>
      </c>
    </row>
    <row r="169" spans="3:13" x14ac:dyDescent="0.3">
      <c r="C169" s="3">
        <v>127</v>
      </c>
      <c r="D169" s="3">
        <f t="shared" si="14"/>
        <v>43.578900694136394</v>
      </c>
      <c r="E169" s="3">
        <f t="shared" si="15"/>
        <v>208.99584915867351</v>
      </c>
      <c r="F169" s="3">
        <f t="shared" si="16"/>
        <v>0</v>
      </c>
      <c r="G169" s="3">
        <f t="shared" si="17"/>
        <v>0</v>
      </c>
      <c r="H169" s="3">
        <f t="shared" si="18"/>
        <v>0</v>
      </c>
      <c r="I169" s="3">
        <f t="shared" si="19"/>
        <v>0</v>
      </c>
      <c r="J169" s="3">
        <f t="shared" si="20"/>
        <v>0</v>
      </c>
      <c r="K169" s="3">
        <f t="shared" si="21"/>
        <v>0</v>
      </c>
      <c r="L169" s="3">
        <f t="shared" si="22"/>
        <v>0</v>
      </c>
      <c r="M169" s="3">
        <f t="shared" si="23"/>
        <v>0</v>
      </c>
    </row>
    <row r="170" spans="3:13" x14ac:dyDescent="0.3">
      <c r="C170" s="3">
        <v>128</v>
      </c>
      <c r="D170" s="3">
        <f t="shared" si="14"/>
        <v>34.610442785084189</v>
      </c>
      <c r="E170" s="3">
        <f t="shared" si="15"/>
        <v>204.74780118373045</v>
      </c>
      <c r="F170" s="3">
        <f t="shared" si="16"/>
        <v>1146.4358816342121</v>
      </c>
      <c r="G170" s="3">
        <f t="shared" si="17"/>
        <v>0</v>
      </c>
      <c r="H170" s="3">
        <f t="shared" si="18"/>
        <v>0</v>
      </c>
      <c r="I170" s="3">
        <f t="shared" si="19"/>
        <v>0</v>
      </c>
      <c r="J170" s="3">
        <f t="shared" si="20"/>
        <v>0</v>
      </c>
      <c r="K170" s="3">
        <f t="shared" si="21"/>
        <v>0</v>
      </c>
      <c r="L170" s="3">
        <f t="shared" si="22"/>
        <v>0</v>
      </c>
      <c r="M170" s="3">
        <f t="shared" si="23"/>
        <v>0</v>
      </c>
    </row>
    <row r="171" spans="3:13" x14ac:dyDescent="0.3">
      <c r="C171" s="3">
        <v>129</v>
      </c>
      <c r="D171" s="3">
        <f t="shared" si="14"/>
        <v>36.744514808607903</v>
      </c>
      <c r="E171" s="3">
        <f t="shared" si="15"/>
        <v>224.07756246998986</v>
      </c>
      <c r="F171" s="3">
        <f t="shared" si="16"/>
        <v>0</v>
      </c>
      <c r="G171" s="3">
        <f t="shared" si="17"/>
        <v>0</v>
      </c>
      <c r="H171" s="3">
        <f t="shared" si="18"/>
        <v>0</v>
      </c>
      <c r="I171" s="3">
        <f t="shared" si="19"/>
        <v>0</v>
      </c>
      <c r="J171" s="3">
        <f t="shared" si="20"/>
        <v>0</v>
      </c>
      <c r="K171" s="3">
        <f t="shared" si="21"/>
        <v>0</v>
      </c>
      <c r="L171" s="3">
        <f t="shared" si="22"/>
        <v>0</v>
      </c>
      <c r="M171" s="3">
        <f t="shared" si="23"/>
        <v>0</v>
      </c>
    </row>
    <row r="172" spans="3:13" x14ac:dyDescent="0.3">
      <c r="C172" s="3">
        <v>130</v>
      </c>
      <c r="D172" s="3">
        <f t="shared" ref="D172:D192" si="24">MAX((D171*($N$10/IF($B$4, 16.387, 1))+E172-SUM(F172:M172))/($N$10/IF($B$4, 16.387, 1)), 0)</f>
        <v>38.834471908718704</v>
      </c>
      <c r="E172" s="3">
        <f t="shared" ref="E172:E192" si="25">IF(D171&lt;$N$15, $D$40*D171^3+$E$40*D171^2+$F$40*D171+$G$40, 0) * 12^3/60*14.7</f>
        <v>219.44549551163382</v>
      </c>
      <c r="F172" s="3">
        <f t="shared" ref="F172:F192" si="26">IFERROR(IF(AND($C172&gt;=D$15, $C172&lt;=D$16), IF(D$14&gt;1, N(MOD($C172-D$15, D$14)&lt;1), 1/D$14)*PI()*D$9/4*(D$7^2*MIN(D$10, $D171)+(D$7^2-D$8^2)*MIN(D$12, D$42))/IF($B$4, 25.4^3, 1), 0), 0)</f>
        <v>0</v>
      </c>
      <c r="G172" s="3">
        <f t="shared" ref="G172:G192" si="27">IFERROR(IF(AND($C172&gt;=E$15, $C172&lt;=E$16), IF(E$14&gt;1, N(MOD($C172-E$15, E$14)&lt;1), 1/E$14)*PI()*E$9/4*(E$7^2*MIN(E$10, $D171)+(E$7^2-E$8^2)*MIN(E$12, E$42))/IF($B$4, 25.4^3, 1), 0), 0)</f>
        <v>0</v>
      </c>
      <c r="H172" s="3">
        <f t="shared" ref="H172:H192" si="28">IFERROR(IF(AND($C172&gt;=F$15, $C172&lt;=F$16), IF(F$14&gt;1, N(MOD($C172-F$15, F$14)&lt;1), 1/F$14)*PI()*F$9/4*(F$7^2*MIN(F$10, $D171)+(F$7^2-F$8^2)*MIN(F$12, F$42))/IF($B$4, 25.4^3, 1), 0), 0)</f>
        <v>0</v>
      </c>
      <c r="I172" s="3">
        <f t="shared" ref="I172:I192" si="29">IFERROR(IF(AND($C172&gt;=G$15, $C172&lt;=G$16), IF(G$14&gt;1, N(MOD($C172-G$15, G$14)&lt;1), 1/G$14)*PI()*G$9/4*(G$7^2*MIN(G$10, $D171)+(G$7^2-G$8^2)*MIN(G$12, G$42))/IF($B$4, 25.4^3, 1), 0), 0)</f>
        <v>0</v>
      </c>
      <c r="J172" s="3">
        <f t="shared" ref="J172:J192" si="30">IFERROR(IF(AND($C172&gt;=H$15, $C172&lt;=H$16), IF(H$14&gt;1, N(MOD($C172-H$15, H$14)&lt;1), 1/H$14)*PI()*H$9/4*(H$7^2*MIN(H$10, $D171)+(H$7^2-H$8^2)*MIN(H$12, H$42))/IF($B$4, 25.4^3, 1), 0), 0)</f>
        <v>0</v>
      </c>
      <c r="K172" s="3">
        <f t="shared" ref="K172:K192" si="31">IFERROR(IF(AND($C172&gt;=I$15, $C172&lt;=I$16), IF(I$14&gt;1, N(MOD($C172-I$15, I$14)&lt;1), 1/I$14)*PI()*I$9/4*(I$7^2*MIN(I$10, $D171)+(I$7^2-I$8^2)*MIN(I$12, I$42))/IF($B$4, 25.4^3, 1), 0), 0)</f>
        <v>0</v>
      </c>
      <c r="L172" s="3">
        <f t="shared" ref="L172:L192" si="32">IFERROR(IF(AND($C172&gt;=J$15, $C172&lt;=J$16), IF(J$14&gt;1, N(MOD($C172-J$15, J$14)&lt;1), 1/J$14)*PI()*J$9/4*(J$7^2*MIN(J$10, $D171)+(J$7^2-J$8^2)*MIN(J$12, J$42))/IF($B$4, 25.4^3, 1), 0), 0)</f>
        <v>0</v>
      </c>
      <c r="M172" s="3">
        <f t="shared" ref="M172:M192" si="33">IFERROR(IF(AND($C172&gt;=K$15, $C172&lt;=K$16), IF(K$14&gt;1, N(MOD($C172-K$15, K$14)&lt;1), 1/K$14)*PI()*K$9/4*(K$7^2*MIN(K$10, $D171)+(K$7^2-K$8^2)*MIN(K$12, K$42))/IF($B$4, 25.4^3, 1), 0), 0)</f>
        <v>0</v>
      </c>
    </row>
    <row r="173" spans="3:13" x14ac:dyDescent="0.3">
      <c r="C173" s="3">
        <v>131</v>
      </c>
      <c r="D173" s="3">
        <f t="shared" si="24"/>
        <v>40.881348042547742</v>
      </c>
      <c r="E173" s="3">
        <f t="shared" si="25"/>
        <v>214.92199405204914</v>
      </c>
      <c r="F173" s="3">
        <f t="shared" si="26"/>
        <v>0</v>
      </c>
      <c r="G173" s="3">
        <f t="shared" si="27"/>
        <v>0</v>
      </c>
      <c r="H173" s="3">
        <f t="shared" si="28"/>
        <v>0</v>
      </c>
      <c r="I173" s="3">
        <f t="shared" si="29"/>
        <v>0</v>
      </c>
      <c r="J173" s="3">
        <f t="shared" si="30"/>
        <v>0</v>
      </c>
      <c r="K173" s="3">
        <f t="shared" si="31"/>
        <v>0</v>
      </c>
      <c r="L173" s="3">
        <f t="shared" si="32"/>
        <v>0</v>
      </c>
      <c r="M173" s="3">
        <f t="shared" si="33"/>
        <v>0</v>
      </c>
    </row>
    <row r="174" spans="3:13" x14ac:dyDescent="0.3">
      <c r="C174" s="3">
        <v>132</v>
      </c>
      <c r="D174" s="3">
        <f t="shared" si="24"/>
        <v>42.886231044238258</v>
      </c>
      <c r="E174" s="3">
        <f t="shared" si="25"/>
        <v>210.51271517750376</v>
      </c>
      <c r="F174" s="3">
        <f t="shared" si="26"/>
        <v>0</v>
      </c>
      <c r="G174" s="3">
        <f t="shared" si="27"/>
        <v>0</v>
      </c>
      <c r="H174" s="3">
        <f t="shared" si="28"/>
        <v>0</v>
      </c>
      <c r="I174" s="3">
        <f t="shared" si="29"/>
        <v>0</v>
      </c>
      <c r="J174" s="3">
        <f t="shared" si="30"/>
        <v>0</v>
      </c>
      <c r="K174" s="3">
        <f t="shared" si="31"/>
        <v>0</v>
      </c>
      <c r="L174" s="3">
        <f t="shared" si="32"/>
        <v>0</v>
      </c>
      <c r="M174" s="3">
        <f t="shared" si="33"/>
        <v>0</v>
      </c>
    </row>
    <row r="175" spans="3:13" x14ac:dyDescent="0.3">
      <c r="C175" s="3">
        <v>133</v>
      </c>
      <c r="D175" s="3">
        <f t="shared" si="24"/>
        <v>33.931814882484524</v>
      </c>
      <c r="E175" s="3">
        <f t="shared" si="25"/>
        <v>206.22218465006978</v>
      </c>
      <c r="F175" s="3">
        <f t="shared" si="26"/>
        <v>1146.4358816342121</v>
      </c>
      <c r="G175" s="3">
        <f t="shared" si="27"/>
        <v>0</v>
      </c>
      <c r="H175" s="3">
        <f t="shared" si="28"/>
        <v>0</v>
      </c>
      <c r="I175" s="3">
        <f t="shared" si="29"/>
        <v>0</v>
      </c>
      <c r="J175" s="3">
        <f t="shared" si="30"/>
        <v>0</v>
      </c>
      <c r="K175" s="3">
        <f t="shared" si="31"/>
        <v>0</v>
      </c>
      <c r="L175" s="3">
        <f t="shared" si="32"/>
        <v>0</v>
      </c>
      <c r="M175" s="3">
        <f t="shared" si="33"/>
        <v>0</v>
      </c>
    </row>
    <row r="176" spans="3:13" x14ac:dyDescent="0.3">
      <c r="C176" s="3">
        <v>134</v>
      </c>
      <c r="D176" s="3">
        <f t="shared" si="24"/>
        <v>36.079927107786659</v>
      </c>
      <c r="E176" s="3">
        <f t="shared" si="25"/>
        <v>225.55178365672452</v>
      </c>
      <c r="F176" s="3">
        <f t="shared" si="26"/>
        <v>0</v>
      </c>
      <c r="G176" s="3">
        <f t="shared" si="27"/>
        <v>0</v>
      </c>
      <c r="H176" s="3">
        <f t="shared" si="28"/>
        <v>0</v>
      </c>
      <c r="I176" s="3">
        <f t="shared" si="29"/>
        <v>0</v>
      </c>
      <c r="J176" s="3">
        <f t="shared" si="30"/>
        <v>0</v>
      </c>
      <c r="K176" s="3">
        <f t="shared" si="31"/>
        <v>0</v>
      </c>
      <c r="L176" s="3">
        <f t="shared" si="32"/>
        <v>0</v>
      </c>
      <c r="M176" s="3">
        <f t="shared" si="33"/>
        <v>0</v>
      </c>
    </row>
    <row r="177" spans="3:13" x14ac:dyDescent="0.3">
      <c r="C177" s="3">
        <v>135</v>
      </c>
      <c r="D177" s="3">
        <f t="shared" si="24"/>
        <v>38.183613066830688</v>
      </c>
      <c r="E177" s="3">
        <f t="shared" si="25"/>
        <v>220.88702569962274</v>
      </c>
      <c r="F177" s="3">
        <f t="shared" si="26"/>
        <v>0</v>
      </c>
      <c r="G177" s="3">
        <f t="shared" si="27"/>
        <v>0</v>
      </c>
      <c r="H177" s="3">
        <f t="shared" si="28"/>
        <v>0</v>
      </c>
      <c r="I177" s="3">
        <f t="shared" si="29"/>
        <v>0</v>
      </c>
      <c r="J177" s="3">
        <f t="shared" si="30"/>
        <v>0</v>
      </c>
      <c r="K177" s="3">
        <f t="shared" si="31"/>
        <v>0</v>
      </c>
      <c r="L177" s="3">
        <f t="shared" si="32"/>
        <v>0</v>
      </c>
      <c r="M177" s="3">
        <f t="shared" si="33"/>
        <v>0</v>
      </c>
    </row>
    <row r="178" spans="3:13" x14ac:dyDescent="0.3">
      <c r="C178" s="3">
        <v>136</v>
      </c>
      <c r="D178" s="3">
        <f t="shared" si="24"/>
        <v>40.243887403454558</v>
      </c>
      <c r="E178" s="3">
        <f t="shared" si="25"/>
        <v>216.32880534550651</v>
      </c>
      <c r="F178" s="3">
        <f t="shared" si="26"/>
        <v>0</v>
      </c>
      <c r="G178" s="3">
        <f t="shared" si="27"/>
        <v>0</v>
      </c>
      <c r="H178" s="3">
        <f t="shared" si="28"/>
        <v>0</v>
      </c>
      <c r="I178" s="3">
        <f t="shared" si="29"/>
        <v>0</v>
      </c>
      <c r="J178" s="3">
        <f t="shared" si="30"/>
        <v>0</v>
      </c>
      <c r="K178" s="3">
        <f t="shared" si="31"/>
        <v>0</v>
      </c>
      <c r="L178" s="3">
        <f t="shared" si="32"/>
        <v>0</v>
      </c>
      <c r="M178" s="3">
        <f t="shared" si="33"/>
        <v>0</v>
      </c>
    </row>
    <row r="179" spans="3:13" x14ac:dyDescent="0.3">
      <c r="C179" s="3">
        <v>137</v>
      </c>
      <c r="D179" s="3">
        <f t="shared" si="24"/>
        <v>42.261822269106005</v>
      </c>
      <c r="E179" s="3">
        <f t="shared" si="25"/>
        <v>211.88316089340285</v>
      </c>
      <c r="F179" s="3">
        <f t="shared" si="26"/>
        <v>0</v>
      </c>
      <c r="G179" s="3">
        <f t="shared" si="27"/>
        <v>0</v>
      </c>
      <c r="H179" s="3">
        <f t="shared" si="28"/>
        <v>0</v>
      </c>
      <c r="I179" s="3">
        <f t="shared" si="29"/>
        <v>0</v>
      </c>
      <c r="J179" s="3">
        <f t="shared" si="30"/>
        <v>0</v>
      </c>
      <c r="K179" s="3">
        <f t="shared" si="31"/>
        <v>0</v>
      </c>
      <c r="L179" s="3">
        <f t="shared" si="32"/>
        <v>0</v>
      </c>
      <c r="M179" s="3">
        <f t="shared" si="33"/>
        <v>0</v>
      </c>
    </row>
    <row r="180" spans="3:13" x14ac:dyDescent="0.3">
      <c r="C180" s="3">
        <v>138</v>
      </c>
      <c r="D180" s="3">
        <f t="shared" si="24"/>
        <v>33.320099200506633</v>
      </c>
      <c r="E180" s="3">
        <f t="shared" si="25"/>
        <v>207.55495943127673</v>
      </c>
      <c r="F180" s="3">
        <f t="shared" si="26"/>
        <v>1146.4358816342121</v>
      </c>
      <c r="G180" s="3">
        <f t="shared" si="27"/>
        <v>0</v>
      </c>
      <c r="H180" s="3">
        <f t="shared" si="28"/>
        <v>0</v>
      </c>
      <c r="I180" s="3">
        <f t="shared" si="29"/>
        <v>0</v>
      </c>
      <c r="J180" s="3">
        <f t="shared" si="30"/>
        <v>0</v>
      </c>
      <c r="K180" s="3">
        <f t="shared" si="31"/>
        <v>0</v>
      </c>
      <c r="L180" s="3">
        <f t="shared" si="32"/>
        <v>0</v>
      </c>
      <c r="M180" s="3">
        <f t="shared" si="33"/>
        <v>0</v>
      </c>
    </row>
    <row r="181" spans="3:13" x14ac:dyDescent="0.3">
      <c r="C181" s="3">
        <v>139</v>
      </c>
      <c r="D181" s="3">
        <f t="shared" si="24"/>
        <v>35.48086794154375</v>
      </c>
      <c r="E181" s="3">
        <f t="shared" si="25"/>
        <v>226.88071780889749</v>
      </c>
      <c r="F181" s="3">
        <f t="shared" si="26"/>
        <v>0</v>
      </c>
      <c r="G181" s="3">
        <f t="shared" si="27"/>
        <v>0</v>
      </c>
      <c r="H181" s="3">
        <f t="shared" si="28"/>
        <v>0</v>
      </c>
      <c r="I181" s="3">
        <f t="shared" si="29"/>
        <v>0</v>
      </c>
      <c r="J181" s="3">
        <f t="shared" si="30"/>
        <v>0</v>
      </c>
      <c r="K181" s="3">
        <f t="shared" si="31"/>
        <v>0</v>
      </c>
      <c r="L181" s="3">
        <f t="shared" si="32"/>
        <v>0</v>
      </c>
      <c r="M181" s="3">
        <f t="shared" si="33"/>
        <v>0</v>
      </c>
    </row>
    <row r="182" spans="3:13" x14ac:dyDescent="0.3">
      <c r="C182" s="3">
        <v>140</v>
      </c>
      <c r="D182" s="3">
        <f t="shared" si="24"/>
        <v>37.596937331164874</v>
      </c>
      <c r="E182" s="3">
        <f t="shared" si="25"/>
        <v>222.18728591021826</v>
      </c>
      <c r="F182" s="3">
        <f t="shared" si="26"/>
        <v>0</v>
      </c>
      <c r="G182" s="3">
        <f t="shared" si="27"/>
        <v>0</v>
      </c>
      <c r="H182" s="3">
        <f t="shared" si="28"/>
        <v>0</v>
      </c>
      <c r="I182" s="3">
        <f t="shared" si="29"/>
        <v>0</v>
      </c>
      <c r="J182" s="3">
        <f t="shared" si="30"/>
        <v>0</v>
      </c>
      <c r="K182" s="3">
        <f t="shared" si="31"/>
        <v>0</v>
      </c>
      <c r="L182" s="3">
        <f t="shared" si="32"/>
        <v>0</v>
      </c>
      <c r="M182" s="3">
        <f t="shared" si="33"/>
        <v>0</v>
      </c>
    </row>
    <row r="183" spans="3:13" x14ac:dyDescent="0.3">
      <c r="C183" s="3">
        <v>141</v>
      </c>
      <c r="D183" s="3">
        <f t="shared" si="24"/>
        <v>39.669303677205775</v>
      </c>
      <c r="E183" s="3">
        <f t="shared" si="25"/>
        <v>217.59846633429501</v>
      </c>
      <c r="F183" s="3">
        <f t="shared" si="26"/>
        <v>0</v>
      </c>
      <c r="G183" s="3">
        <f t="shared" si="27"/>
        <v>0</v>
      </c>
      <c r="H183" s="3">
        <f t="shared" si="28"/>
        <v>0</v>
      </c>
      <c r="I183" s="3">
        <f t="shared" si="29"/>
        <v>0</v>
      </c>
      <c r="J183" s="3">
        <f t="shared" si="30"/>
        <v>0</v>
      </c>
      <c r="K183" s="3">
        <f t="shared" si="31"/>
        <v>0</v>
      </c>
      <c r="L183" s="3">
        <f t="shared" si="32"/>
        <v>0</v>
      </c>
      <c r="M183" s="3">
        <f t="shared" si="33"/>
        <v>0</v>
      </c>
    </row>
    <row r="184" spans="3:13" x14ac:dyDescent="0.3">
      <c r="C184" s="3">
        <v>142</v>
      </c>
      <c r="D184" s="3">
        <f t="shared" si="24"/>
        <v>41.699024151931859</v>
      </c>
      <c r="E184" s="3">
        <f t="shared" si="25"/>
        <v>213.12064984623908</v>
      </c>
      <c r="F184" s="3">
        <f t="shared" si="26"/>
        <v>0</v>
      </c>
      <c r="G184" s="3">
        <f t="shared" si="27"/>
        <v>0</v>
      </c>
      <c r="H184" s="3">
        <f t="shared" si="28"/>
        <v>0</v>
      </c>
      <c r="I184" s="3">
        <f t="shared" si="29"/>
        <v>0</v>
      </c>
      <c r="J184" s="3">
        <f t="shared" si="30"/>
        <v>0</v>
      </c>
      <c r="K184" s="3">
        <f t="shared" si="31"/>
        <v>0</v>
      </c>
      <c r="L184" s="3">
        <f t="shared" si="32"/>
        <v>0</v>
      </c>
      <c r="M184" s="3">
        <f t="shared" si="33"/>
        <v>0</v>
      </c>
    </row>
    <row r="185" spans="3:13" x14ac:dyDescent="0.3">
      <c r="C185" s="3">
        <v>143</v>
      </c>
      <c r="D185" s="3">
        <f t="shared" si="24"/>
        <v>43.687205292158055</v>
      </c>
      <c r="E185" s="3">
        <f t="shared" si="25"/>
        <v>208.75901972375073</v>
      </c>
      <c r="F185" s="3">
        <f t="shared" si="26"/>
        <v>0</v>
      </c>
      <c r="G185" s="3">
        <f t="shared" si="27"/>
        <v>0</v>
      </c>
      <c r="H185" s="3">
        <f t="shared" si="28"/>
        <v>0</v>
      </c>
      <c r="I185" s="3">
        <f t="shared" si="29"/>
        <v>0</v>
      </c>
      <c r="J185" s="3">
        <f t="shared" si="30"/>
        <v>0</v>
      </c>
      <c r="K185" s="3">
        <f t="shared" si="31"/>
        <v>0</v>
      </c>
      <c r="L185" s="3">
        <f t="shared" si="32"/>
        <v>0</v>
      </c>
      <c r="M185" s="3">
        <f t="shared" si="33"/>
        <v>0</v>
      </c>
    </row>
    <row r="186" spans="3:13" x14ac:dyDescent="0.3">
      <c r="C186" s="3">
        <v>144</v>
      </c>
      <c r="D186" s="3">
        <f t="shared" si="24"/>
        <v>45.634992706170848</v>
      </c>
      <c r="E186" s="3">
        <f t="shared" si="25"/>
        <v>204.51767847134386</v>
      </c>
      <c r="F186" s="3">
        <f t="shared" si="26"/>
        <v>0</v>
      </c>
      <c r="G186" s="3">
        <f t="shared" si="27"/>
        <v>0</v>
      </c>
      <c r="H186" s="3">
        <f t="shared" si="28"/>
        <v>0</v>
      </c>
      <c r="I186" s="3">
        <f t="shared" si="29"/>
        <v>0</v>
      </c>
      <c r="J186" s="3">
        <f t="shared" si="30"/>
        <v>0</v>
      </c>
      <c r="K186" s="3">
        <f t="shared" si="31"/>
        <v>0</v>
      </c>
      <c r="L186" s="3">
        <f t="shared" si="32"/>
        <v>0</v>
      </c>
      <c r="M186" s="3">
        <f t="shared" si="33"/>
        <v>0</v>
      </c>
    </row>
    <row r="187" spans="3:13" x14ac:dyDescent="0.3">
      <c r="C187" s="3">
        <v>145</v>
      </c>
      <c r="D187" s="3">
        <f t="shared" si="24"/>
        <v>47.543561919863478</v>
      </c>
      <c r="E187" s="3">
        <f t="shared" si="25"/>
        <v>200.39976743772598</v>
      </c>
      <c r="F187" s="3">
        <f t="shared" si="26"/>
        <v>0</v>
      </c>
      <c r="G187" s="3">
        <f t="shared" si="27"/>
        <v>0</v>
      </c>
      <c r="H187" s="3">
        <f t="shared" si="28"/>
        <v>0</v>
      </c>
      <c r="I187" s="3">
        <f t="shared" si="29"/>
        <v>0</v>
      </c>
      <c r="J187" s="3">
        <f t="shared" si="30"/>
        <v>0</v>
      </c>
      <c r="K187" s="3">
        <f t="shared" si="31"/>
        <v>0</v>
      </c>
      <c r="L187" s="3">
        <f t="shared" si="32"/>
        <v>0</v>
      </c>
      <c r="M187" s="3">
        <f t="shared" si="33"/>
        <v>0</v>
      </c>
    </row>
    <row r="188" spans="3:13" x14ac:dyDescent="0.3">
      <c r="C188" s="3">
        <v>146</v>
      </c>
      <c r="D188" s="3">
        <f t="shared" si="24"/>
        <v>49.414110289070159</v>
      </c>
      <c r="E188" s="3">
        <f t="shared" si="25"/>
        <v>196.40757876670125</v>
      </c>
      <c r="F188" s="3">
        <f t="shared" si="26"/>
        <v>0</v>
      </c>
      <c r="G188" s="3">
        <f t="shared" si="27"/>
        <v>0</v>
      </c>
      <c r="H188" s="3">
        <f t="shared" si="28"/>
        <v>0</v>
      </c>
      <c r="I188" s="3">
        <f t="shared" si="29"/>
        <v>0</v>
      </c>
      <c r="J188" s="3">
        <f t="shared" si="30"/>
        <v>0</v>
      </c>
      <c r="K188" s="3">
        <f t="shared" si="31"/>
        <v>0</v>
      </c>
      <c r="L188" s="3">
        <f t="shared" si="32"/>
        <v>0</v>
      </c>
      <c r="M188" s="3">
        <f t="shared" si="33"/>
        <v>0</v>
      </c>
    </row>
    <row r="189" spans="3:13" x14ac:dyDescent="0.3">
      <c r="C189" s="3">
        <v>147</v>
      </c>
      <c r="D189" s="3">
        <f t="shared" si="24"/>
        <v>51.247849902263063</v>
      </c>
      <c r="E189" s="3">
        <f t="shared" si="25"/>
        <v>192.54265938525538</v>
      </c>
      <c r="F189" s="3">
        <f t="shared" si="26"/>
        <v>0</v>
      </c>
      <c r="G189" s="3">
        <f t="shared" si="27"/>
        <v>0</v>
      </c>
      <c r="H189" s="3">
        <f t="shared" si="28"/>
        <v>0</v>
      </c>
      <c r="I189" s="3">
        <f t="shared" si="29"/>
        <v>0</v>
      </c>
      <c r="J189" s="3">
        <f t="shared" si="30"/>
        <v>0</v>
      </c>
      <c r="K189" s="3">
        <f t="shared" si="31"/>
        <v>0</v>
      </c>
      <c r="L189" s="3">
        <f t="shared" si="32"/>
        <v>0</v>
      </c>
      <c r="M189" s="3">
        <f t="shared" si="33"/>
        <v>0</v>
      </c>
    </row>
    <row r="190" spans="3:13" x14ac:dyDescent="0.3">
      <c r="C190" s="3">
        <v>148</v>
      </c>
      <c r="D190" s="3">
        <f t="shared" si="24"/>
        <v>53.046001397042815</v>
      </c>
      <c r="E190" s="3">
        <f t="shared" si="25"/>
        <v>188.80590695187402</v>
      </c>
      <c r="F190" s="3">
        <f t="shared" si="26"/>
        <v>0</v>
      </c>
      <c r="G190" s="3">
        <f t="shared" si="27"/>
        <v>0</v>
      </c>
      <c r="H190" s="3">
        <f t="shared" si="28"/>
        <v>0</v>
      </c>
      <c r="I190" s="3">
        <f t="shared" si="29"/>
        <v>0</v>
      </c>
      <c r="J190" s="3">
        <f t="shared" si="30"/>
        <v>0</v>
      </c>
      <c r="K190" s="3">
        <f t="shared" si="31"/>
        <v>0</v>
      </c>
      <c r="L190" s="3">
        <f t="shared" si="32"/>
        <v>0</v>
      </c>
      <c r="M190" s="3">
        <f t="shared" si="33"/>
        <v>0</v>
      </c>
    </row>
    <row r="191" spans="3:13" x14ac:dyDescent="0.3">
      <c r="C191" s="3">
        <v>149</v>
      </c>
      <c r="D191" s="3">
        <f t="shared" si="24"/>
        <v>54.809788614759931</v>
      </c>
      <c r="E191" s="3">
        <f t="shared" si="25"/>
        <v>185.1976578602972</v>
      </c>
      <c r="F191" s="3">
        <f t="shared" si="26"/>
        <v>0</v>
      </c>
      <c r="G191" s="3">
        <f t="shared" si="27"/>
        <v>0</v>
      </c>
      <c r="H191" s="3">
        <f t="shared" si="28"/>
        <v>0</v>
      </c>
      <c r="I191" s="3">
        <f t="shared" si="29"/>
        <v>0</v>
      </c>
      <c r="J191" s="3">
        <f t="shared" si="30"/>
        <v>0</v>
      </c>
      <c r="K191" s="3">
        <f t="shared" si="31"/>
        <v>0</v>
      </c>
      <c r="L191" s="3">
        <f t="shared" si="32"/>
        <v>0</v>
      </c>
      <c r="M191" s="3">
        <f t="shared" si="33"/>
        <v>0</v>
      </c>
    </row>
    <row r="192" spans="3:13" x14ac:dyDescent="0.3">
      <c r="C192" s="3">
        <v>150</v>
      </c>
      <c r="D192" s="3">
        <f t="shared" si="24"/>
        <v>56.540434019763524</v>
      </c>
      <c r="E192" s="3">
        <f t="shared" si="25"/>
        <v>181.71776752537667</v>
      </c>
      <c r="F192" s="3">
        <f t="shared" si="26"/>
        <v>0</v>
      </c>
      <c r="G192" s="3">
        <f t="shared" si="27"/>
        <v>0</v>
      </c>
      <c r="H192" s="3">
        <f t="shared" si="28"/>
        <v>0</v>
      </c>
      <c r="I192" s="3">
        <f t="shared" si="29"/>
        <v>0</v>
      </c>
      <c r="J192" s="3">
        <f t="shared" si="30"/>
        <v>0</v>
      </c>
      <c r="K192" s="3">
        <f t="shared" si="31"/>
        <v>0</v>
      </c>
      <c r="L192" s="3">
        <f t="shared" si="32"/>
        <v>0</v>
      </c>
      <c r="M192" s="3">
        <f t="shared" si="33"/>
        <v>0</v>
      </c>
    </row>
  </sheetData>
  <sheetProtection sheet="1" objects="1" scenarios="1" formatCells="0" formatColumns="0" formatRows="0"/>
  <mergeCells count="1">
    <mergeCell ref="N12:O12"/>
  </mergeCells>
  <conditionalFormatting sqref="D7:K10 D12:K12 D14:K16">
    <cfRule type="expression" dxfId="24" priority="5">
      <formula>AND(COUNTBLANK(D$7:D$16)&lt;10, ISBLANK(D7))</formula>
    </cfRule>
    <cfRule type="cellIs" dxfId="23" priority="8" operator="lessThan">
      <formula>0</formula>
    </cfRule>
  </conditionalFormatting>
  <conditionalFormatting sqref="N16:N17">
    <cfRule type="cellIs" dxfId="22" priority="7" operator="lessThanOrEqual">
      <formula>$I$40</formula>
    </cfRule>
  </conditionalFormatting>
  <conditionalFormatting sqref="N7:Q9">
    <cfRule type="expression" dxfId="21" priority="3">
      <formula>AND(COUNTBLANK(N$7:N$9)&lt;3, ISBLANK(N7))</formula>
    </cfRule>
  </conditionalFormatting>
  <conditionalFormatting sqref="D7:K10 D12:K12 D14:K16 N7:Q9 N14:N15">
    <cfRule type="expression" dxfId="20" priority="4">
      <formula>ISTEXT(D7)</formula>
    </cfRule>
  </conditionalFormatting>
  <conditionalFormatting sqref="D8:K8">
    <cfRule type="cellIs" dxfId="19" priority="1" operator="greaterThan">
      <formula>D7</formula>
    </cfRule>
  </conditionalFormatting>
  <dataValidations count="1">
    <dataValidation type="list" allowBlank="1" showInputMessage="1" showErrorMessage="1" sqref="N12:O12" xr:uid="{00000000-0002-0000-0900-000000000000}">
      <formula1>"No Compressor,1.1 Pump,Viair 90C"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Metric">
              <controlPr locked="0" defaultSize="0" autoFill="0" autoLine="0" autoPict="0" macro="[0]!Pneumatics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C2:R41"/>
  <sheetViews>
    <sheetView zoomScaleNormal="100" workbookViewId="0"/>
  </sheetViews>
  <sheetFormatPr defaultColWidth="9.109375" defaultRowHeight="14.4" x14ac:dyDescent="0.3"/>
  <cols>
    <col min="1" max="1" width="7.109375" style="1" customWidth="1"/>
    <col min="2" max="2" width="3.33203125" style="1" customWidth="1"/>
    <col min="3" max="3" width="12.88671875" style="1" customWidth="1"/>
    <col min="4" max="4" width="9.109375" style="1"/>
    <col min="5" max="5" width="14.6640625" style="1" customWidth="1"/>
    <col min="6" max="6" width="12.88671875" style="1" customWidth="1"/>
    <col min="7" max="7" width="9.109375" style="1"/>
    <col min="8" max="8" width="3.109375" style="1" customWidth="1"/>
    <col min="9" max="9" width="22.44140625" style="1" customWidth="1"/>
    <col min="10" max="10" width="3.109375" style="1" customWidth="1"/>
    <col min="11" max="16384" width="9.109375" style="1"/>
  </cols>
  <sheetData>
    <row r="2" spans="3:16" ht="31.2" x14ac:dyDescent="0.3">
      <c r="C2" s="2" t="s">
        <v>210</v>
      </c>
    </row>
    <row r="3" spans="3:16" x14ac:dyDescent="0.3">
      <c r="K3" s="80" t="s">
        <v>98</v>
      </c>
      <c r="M3" s="113" t="b">
        <v>1</v>
      </c>
      <c r="N3" s="111"/>
      <c r="O3" s="114" t="b">
        <v>1</v>
      </c>
      <c r="P3" s="112"/>
    </row>
    <row r="4" spans="3:16" ht="18" x14ac:dyDescent="0.3">
      <c r="C4" s="190" t="s">
        <v>95</v>
      </c>
      <c r="D4" s="190"/>
      <c r="F4" s="190" t="s">
        <v>98</v>
      </c>
      <c r="G4" s="190"/>
      <c r="I4" s="205" t="s">
        <v>227</v>
      </c>
    </row>
    <row r="5" spans="3:16" ht="15" customHeight="1" x14ac:dyDescent="0.3">
      <c r="C5" s="90" t="s">
        <v>167</v>
      </c>
      <c r="D5" s="52">
        <v>40</v>
      </c>
      <c r="F5" s="90" t="s">
        <v>169</v>
      </c>
      <c r="G5" s="52">
        <v>120</v>
      </c>
      <c r="I5" s="206"/>
    </row>
    <row r="6" spans="3:16" x14ac:dyDescent="0.3">
      <c r="C6" s="90" t="s">
        <v>168</v>
      </c>
      <c r="D6" s="52">
        <v>90</v>
      </c>
      <c r="F6" s="90" t="s">
        <v>170</v>
      </c>
      <c r="G6" s="52">
        <v>10</v>
      </c>
      <c r="I6" s="206"/>
    </row>
    <row r="7" spans="3:16" x14ac:dyDescent="0.3">
      <c r="C7" s="90" t="s">
        <v>169</v>
      </c>
      <c r="D7" s="52">
        <v>100</v>
      </c>
      <c r="F7" s="90" t="s">
        <v>171</v>
      </c>
      <c r="G7" s="52">
        <v>100</v>
      </c>
      <c r="I7" s="206"/>
    </row>
    <row r="8" spans="3:16" x14ac:dyDescent="0.3">
      <c r="C8" s="90" t="s">
        <v>170</v>
      </c>
      <c r="D8" s="52">
        <v>20</v>
      </c>
      <c r="F8" s="90" t="s">
        <v>172</v>
      </c>
      <c r="G8" s="52">
        <v>50</v>
      </c>
      <c r="I8" s="207"/>
    </row>
    <row r="9" spans="3:16" ht="15" customHeight="1" x14ac:dyDescent="0.3">
      <c r="C9" s="90" t="s">
        <v>171</v>
      </c>
      <c r="D9" s="52">
        <v>100</v>
      </c>
      <c r="F9" s="90" t="s">
        <v>173</v>
      </c>
      <c r="G9" s="74">
        <v>95</v>
      </c>
      <c r="H9" s="3">
        <f>RADIANS(G9)</f>
        <v>1.6580627893946132</v>
      </c>
    </row>
    <row r="10" spans="3:16" ht="15" customHeight="1" x14ac:dyDescent="0.3">
      <c r="C10" s="90" t="s">
        <v>172</v>
      </c>
      <c r="D10" s="52">
        <v>50</v>
      </c>
      <c r="F10" s="90" t="s">
        <v>174</v>
      </c>
      <c r="G10" s="74">
        <v>-10</v>
      </c>
      <c r="H10" s="3">
        <f>RADIANS(G10)</f>
        <v>-0.17453292519943295</v>
      </c>
      <c r="I10" s="205" t="s">
        <v>177</v>
      </c>
    </row>
    <row r="11" spans="3:16" x14ac:dyDescent="0.3">
      <c r="I11" s="206"/>
    </row>
    <row r="12" spans="3:16" x14ac:dyDescent="0.3">
      <c r="C12" s="90" t="s">
        <v>173</v>
      </c>
      <c r="D12" s="62">
        <f>DEGREES(ACOS(((-4*D5^3*D7 + 4*D5^2*D6*D8 + SQRT((4*D5^3*D7 - 4*D5^2*D6*D8 + 4*D5*D6^2*D7 - 4*D5*D9^2*D7 + 4*D5*D7^3 + 4*D5*D7*D8^2 - 4*D6^3*D8 + 4*D6*D9^2*D8 - 4*D6*D7^2*D8 - 4*D6*D8^3)^2 - 4*(4*D5^2*D7^2 + 4*D5^2*D8^2 + 4*D6^2*D7^2 + 4*D6^2*D8^2)*(D5^4 + 2*D5^2*D6^2 - 2*D5^2*D9^2 + 2*D5^2*D7^2 - 2*D5^2*D8^2 - 8*D5*D6*D7*D8 + D6^4 - 2*D6^2*D9^2 - 2*D6^2*D7^2 + 2*D6^2*D8^2 + D9^4 - 2*D9^2*D7^2 - 2*D9^2*D8^2 + D7^4 + 2*D7^2*D8^2 + D8^4)) - 4*D5*D6^2*D7 + 4*D5*D9^2*D7 - 4*D5*D7^3 - 4*D5*D7*D8^2 + 4*D6^3*D8 - 4*D6*D9^2*D8 + 4*D6*D7^2*D8 + 4*D6*D8^3)/(2*(4*D5^2*D7^2 + 4*D5^2*D8^2 + 4*D6^2*D7^2 + 4*D6^2*D8^2))))) * IF(D9&gt;SQRT((D6-D8)^2+(D5+D7)^2),-1,1)</f>
        <v>42.837483303602141</v>
      </c>
      <c r="F12" s="90" t="s">
        <v>167</v>
      </c>
      <c r="G12" s="44">
        <f>-G5*COS(H9)+G6*SIN(H9)+(G7*(4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SQRT((-4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2-4*(4*G7^2*G5^2*COS(H9)^2+4*G7^2*G6^2*COS(H9)^2-8*G7^2*G5^2*COS(H9)*COS(H10)-8*G7^2*G6^2*COS(H9)*COS(H10)+4*G7^2*G5^2*COS(H10)^2+4*G7^2*G6^2*COS(H10)^2+4*G7^2*G5^2*SIN(H9)^2+4*G7^2*G6^2*SIN(H9)^2-8*G7^2*G5^2*SIN(H9)*SIN(H10)-8*G7^2*G6^2*SIN(H9)*SIN(H10)+4*G7^2*G5^2*SIN(H10)^2+4*G7^2*G6^2*SIN(H10)^2)*(G7^4-2*G7^2*(G7+G8)^2+(G7+G8)^4+2*G7^2*G5^2*COS(H9)^2-2*(G7+G8)^2*G5^2*COS(H9)^2-2*G7^2*G6^2*COS(H9)^2-2*(G7+G8)^2*G6^2*COS(H9)^2+G5^4*COS(H9)^4+2*G5^2*G6^2*COS(H9)^4+G6^4*COS(H9)^4-4*G7^2*G5^2*COS(H9)*COS(H10)+4*(G7+G8)^2*G5^2*COS(H9)*COS(H10)+4*G7^2*G6^2*COS(H9)*COS(H10)+4*(G7+G8)^2*G6^2*COS(H9)*COS(H10)-4*G5^4*COS(H9)^3*COS(H10)-8*G5^2*G6^2*COS(H9)^3*COS(H10)-4*G6^4*COS(H9)^3*COS(H10)+2*G7^2*G5^2*COS(H10)^2-2*(G7+G8)^2*G5^2*COS(H10)^2-2*G7^2*G6^2*COS(H10)^2-2*(G7+G8)^2*G6^2*COS(H10)^2+6*G5^4*COS(H9)^2*COS(H10)^2+12*G5^2*G6^2*COS(H9)^2*COS(H10)^2+6*G6^4*COS(H9)^2*COS(H10)^2-4*G5^4*COS(H9)*COS(H10)^3-8*G5^2*G6^2*COS(H9)*COS(H10)^3-4*G6^4*COS(H9)*COS(H10)^3+G5^4*COS(H10)^4+2*G5^2*G6^2*COS(H10)^4+G6^4*COS(H10)^4-8*G7^2*G5*G6*COS(H9)*SIN(H9)+8*G7^2*G5*G6*COS(H10)*SIN(H9)-2*G7^2*G5^2*SIN(H9)^2-2*(G7+G8)^2*G5^2*SIN(H9)^2+2*G7^2*G6^2*SIN(H9)^2-2*(G7+G8)^2*G6^2*SIN(H9)^2+2*G5^4*COS(H9)^2*SIN(H9)^2+4*G5^2*G6^2*COS(H9)^2*SIN(H9)^2+2*G6^4*COS(H9)^2*SIN(H9)^2-4*G5^4*COS(H9)*COS(H10)*SIN(H9)^2-8*G5^2*G6^2*COS(H9)*COS(H10)*SIN(H9)^2-4*G6^4*COS(H9)*COS(H10)*SIN(H9)^2+2*G5^4*COS(H10)^2*SIN(H9)^2+4*G5^2*G6^2*COS(H10)^2*SIN(H9)^2+2*G6^4*COS(H10)^2*SIN(H9)^2+G5^4*SIN(H9)^4+2*G5^2*G6^2*SIN(H9)^4+G6^4*SIN(H9)^4+8*G7^2*G5*G6*COS(H9)*SIN(H10)-8*G7^2*G5*G6*COS(H10)*SIN(H10)+4*G7^2*G5^2*SIN(H9)*SIN(H10)+4*(G7+G8)^2*G5^2*SIN(H9)*SIN(H10)-4*G7^2*G6^2*SIN(H9)*SIN(H10)+4*(G7+G8)^2*G6^2*SIN(H9)*SIN(H10)-4*G5^4*COS(H9)^2*SIN(H9)*SIN(H10)-8*G5^2*G6^2*COS(H9)^2*SIN(H9)*SIN(H10)-4*G6^4*COS(H9)^2*SIN(H9)*SIN(H10)+8*G5^4*COS(H9)*COS(H10)*SIN(H9)*SIN(H10)+16*G5^2*G6^2*COS(H9)*COS(H10)*SIN(H9)*SIN(H10)+8*G6^4*COS(H9)*COS(H10)*SIN(H9)*SIN(H10)-4*G5^4*COS(H10)^2*SIN(H9)*SIN(H10)-8*G5^2*G6^2*COS(H10)^2*SIN(H9)*SIN(H10)-4*G6^4*COS(H10)^2*SIN(H9)*SIN(H10)-4*G5^4*SIN(H9)^3*SIN(H10)-8*G5^2*G6^2*SIN(H9)^3*SIN(H10)-4*G6^4*SIN(H9)^3*SIN(H10)-2*G7^2*G5^2*SIN(H10)^2-2*(G7+G8)^2*G5^2*SIN(H10)^2+2*G7^2*G6^2*SIN(H10)^2-2*(G7+G8)^2*G6^2*SIN(H10)^2+2*G5^4*COS(H9)^2*SIN(H10)^2+4*G5^2*G6^2*COS(H9)^2*SIN(H10)^2+2*G6^4*COS(H9)^2*SIN(H10)^2-4*G5^4*COS(H9)*COS(H10)*SIN(H10)^2-8*G5^2*G6^2*COS(H9)*COS(H10)*SIN(H10)^2-4*G6^4*COS(H9)*COS(H10)*SIN(H10)^2+2*G5^4*COS(H10)^2*SIN(H10)^2+4*G5^2*G6^2*COS(H10)^2*SIN(H10)^2+2*G6^4*COS(H10)^2*SIN(H10)^2+6*G5^4*SIN(H9)^2*SIN(H10)^2+12*G5^2*G6^2*SIN(H9)^2*SIN(H10)^2+6*G6^4*SIN(H9)^2*SIN(H10)^2-4*G5^4*SIN(H9)*SIN(H10)^3-8*G5^2*G6^2*SIN(H9)*SIN(H10)^3-4*G6^4*SIN(H9)*SIN(H10)^3+G5^4*SIN(H10)^4+2*G5^2*G6^2*SIN(H10)^4+G6^4*SIN(H10)^4))))/(2*(4*G7^2*G5^2*COS(H9)^2+4*G7^2*G6^2*COS(H9)^2-8*G7^2*G5^2*COS(H9)*COS(H10)-8*G7^2*G6^2*COS(H9)*COS(H10)+4*G7^2*G5^2*COS(H10)^2+4*G7^2*G6^2*COS(H10)^2+4*G7^2*G5^2*SIN(H9)^2+4*G7^2*G6^2*SIN(H9)^2-8*G7^2*G5^2*SIN(H9)*SIN(H10)-8*G7^2*G6^2*SIN(H9)*SIN(H10)+4*G7^2*G5^2*SIN(H10)^2+4*G7^2*G6^2*SIN(H10)^2))</f>
        <v>27.079710328018926</v>
      </c>
      <c r="I12" s="206"/>
    </row>
    <row r="13" spans="3:16" x14ac:dyDescent="0.3">
      <c r="C13" s="90" t="s">
        <v>174</v>
      </c>
      <c r="D13" s="62">
        <f>DEGREES(ACOS(((-4*D5^3*D7 + 4*D5^2*D6*D8 + SQRT((4*D5^3*D7 - 4*D5^2*D6*D8 + 4*D5*D6^2*D7 - 4*D5*(D9+D10)^2*D7 + 4*D5*D7^3 + 4*D5*D7*D8^2 - 4*D6^3*D8 + 4*D6*(D9+D10)^2*D8 - 4*D6*D7^2*D8 - 4*D6*D8^3)^2 - 4*(4*D5^2*D7^2 + 4*D5^2*D8^2 + 4*D6^2*D7^2 + 4*D6^2*D8^2)*(D5^4 + 2*D5^2*D6^2 - 2*D5^2*(D9+D10)^2 + 2*D5^2*D7^2 - 2*D5^2*D8^2 - 8*D5*D6*D7*D8 + D6^4 - 2*D6^2*(D9+D10)^2 - 2*D6^2*D7^2 + 2*D6^2*D8^2 + (D9+D10)^4 - 2*(D9+D10)^2*D7^2 - 2*(D9+D10)^2*D8^2 + D7^4 + 2*D7^2*D8^2 + D8^4)) - 4*D5*D6^2*D7 + 4*D5*(D9+D10)^2*D7 - 4*D5*D7^3 - 4*D5*D7*D8^2 + 4*D6^3*D8 - 4*D6*(D9+D10)^2*D8 + 4*D6*D7^2*D8 + 4*D6*D8^3)/(2*(4*D5^2*D7^2 + 4*D5^2*D8^2 + 4*D6^2*D7^2 + 4*D6^2*D8^2))))) * IF((D9+D10)&gt;SQRT((D6-D8)^2+(D5+D7)^2),-1,1)</f>
        <v>5.7907256701870562</v>
      </c>
      <c r="F13" s="90" t="s">
        <v>168</v>
      </c>
      <c r="G13" s="44">
        <f>G5*SIN(H9)+G6*COS(H9)-SQRT(G7^2-(G12+G5*COS(H9)-G6*SIN(H9))^2)</f>
        <v>18.893769027862092</v>
      </c>
      <c r="I13" s="207"/>
    </row>
    <row r="30" spans="11:18" x14ac:dyDescent="0.3">
      <c r="K30" s="204" t="s">
        <v>225</v>
      </c>
      <c r="L30" s="204"/>
      <c r="M30" s="204"/>
      <c r="N30" s="204"/>
      <c r="O30" s="204"/>
      <c r="P30" s="204"/>
      <c r="Q30" s="204"/>
      <c r="R30" s="204"/>
    </row>
    <row r="31" spans="11:18" x14ac:dyDescent="0.3">
      <c r="K31" s="1" t="s">
        <v>226</v>
      </c>
    </row>
    <row r="32" spans="11:18" x14ac:dyDescent="0.3">
      <c r="K32" s="1" t="s">
        <v>178</v>
      </c>
    </row>
    <row r="33" spans="11:18" x14ac:dyDescent="0.3">
      <c r="K33" s="3" t="s">
        <v>167</v>
      </c>
      <c r="L33" s="3" t="s">
        <v>168</v>
      </c>
      <c r="M33" s="3" t="s">
        <v>169</v>
      </c>
      <c r="N33" s="3" t="s">
        <v>170</v>
      </c>
      <c r="O33" s="3" t="s">
        <v>175</v>
      </c>
      <c r="P33" s="3" t="s">
        <v>176</v>
      </c>
      <c r="Q33" s="3" t="s">
        <v>223</v>
      </c>
      <c r="R33" s="3" t="s">
        <v>224</v>
      </c>
    </row>
    <row r="34" spans="11:18" x14ac:dyDescent="0.3">
      <c r="K34" s="79">
        <f>IF($K$3="Forward", D5, G12)</f>
        <v>27.079710328018926</v>
      </c>
      <c r="L34" s="79">
        <f>IF($K$3="Forward", D6, G13)</f>
        <v>18.893769027862092</v>
      </c>
      <c r="M34" s="79">
        <f>IF($K$3="Forward", D7, G5)</f>
        <v>120</v>
      </c>
      <c r="N34" s="79">
        <f>IF($K$3="Forward", D8, G6)</f>
        <v>10</v>
      </c>
      <c r="O34" s="79">
        <f>RADIANS(IF($K$3="Forward", D12, G9))</f>
        <v>1.6580627893946132</v>
      </c>
      <c r="P34" s="79">
        <f>RADIANS(IF($K$3="Forward", D13, G10))</f>
        <v>-0.17453292519943295</v>
      </c>
      <c r="Q34" s="79">
        <f>IF($K$3="Forward", D9, G7)</f>
        <v>100</v>
      </c>
      <c r="R34" s="79">
        <f>Q34+IF($K$3="Forward", D10, G8)</f>
        <v>150</v>
      </c>
    </row>
    <row r="35" spans="11:18" x14ac:dyDescent="0.3">
      <c r="K35" s="3">
        <v>0</v>
      </c>
      <c r="L35" s="3">
        <v>0</v>
      </c>
      <c r="M35" s="3">
        <f>IF($M$3, 1.5*$M$34*COS(O34), 0)</f>
        <v>-15.688033694578483</v>
      </c>
      <c r="N35" s="3">
        <f>IF($M$3, 1.5*$M$34*SIN(O34), 0)</f>
        <v>179.3150456565142</v>
      </c>
      <c r="O35" s="3"/>
      <c r="P35" s="3"/>
      <c r="Q35" s="3"/>
      <c r="R35" s="3"/>
    </row>
    <row r="36" spans="11:18" x14ac:dyDescent="0.3">
      <c r="K36" s="3">
        <f>IF($M$3, $M$34*COS(O34), 0)</f>
        <v>-10.458689129718989</v>
      </c>
      <c r="L36" s="3">
        <f>IF($M$3, $M$34*SIN(O34), 0)</f>
        <v>119.54336377100947</v>
      </c>
      <c r="M36" s="3">
        <f>IF($M$3, K36-$N$34*SIN(O34), 0)</f>
        <v>-20.420636110636444</v>
      </c>
      <c r="N36" s="3">
        <f>IF($M$3, L36+$N$34*COS(O34), 0)</f>
        <v>118.67180634353288</v>
      </c>
      <c r="O36" s="3"/>
      <c r="P36" s="3"/>
      <c r="Q36" s="3"/>
      <c r="R36" s="3"/>
    </row>
    <row r="37" spans="11:18" x14ac:dyDescent="0.3">
      <c r="K37" s="79">
        <f>IF($M$3, -$K$34, 0)</f>
        <v>-27.079710328018926</v>
      </c>
      <c r="L37" s="79">
        <f>IF($M$3, $L$34, 0)</f>
        <v>18.893769027862092</v>
      </c>
      <c r="M37" s="3">
        <f>IF($M$3, K37+(M36-K37)*0.9, 0)</f>
        <v>-21.086543532374691</v>
      </c>
      <c r="N37" s="3">
        <f>IF($M$3, L37+(N36-L37)*0.9, 0)</f>
        <v>108.6940026119658</v>
      </c>
      <c r="O37" s="3"/>
      <c r="P37" s="79">
        <f>IF(OR($M$3, $O$3), -K34, 0)</f>
        <v>-27.079710328018926</v>
      </c>
      <c r="Q37" s="79">
        <f>IF(OR($M$3, $O$3), L34, 0)</f>
        <v>18.893769027862092</v>
      </c>
      <c r="R37" s="3"/>
    </row>
    <row r="38" spans="11:18" x14ac:dyDescent="0.3">
      <c r="K38" s="3">
        <v>0</v>
      </c>
      <c r="L38" s="3">
        <v>0</v>
      </c>
      <c r="M38" s="3">
        <f>IF($O$3, 1.5*$M$34*COS(P34), 0)</f>
        <v>177.26539554219744</v>
      </c>
      <c r="N38" s="3">
        <f>IF($O$3, 1.5*$M$34*SIN(P34), 0)</f>
        <v>-31.256671980047461</v>
      </c>
      <c r="O38" s="3"/>
      <c r="P38" s="3"/>
      <c r="Q38" s="3"/>
      <c r="R38" s="3"/>
    </row>
    <row r="39" spans="11:18" x14ac:dyDescent="0.3">
      <c r="K39" s="3">
        <f>IF($O$3, $M$34*COS(P34), 0)</f>
        <v>118.17693036146497</v>
      </c>
      <c r="L39" s="3">
        <f>IF($O$3, $M$34*SIN(P34), 0)</f>
        <v>-20.837781320031638</v>
      </c>
      <c r="M39" s="3">
        <f>IF($O$3, K39-$N$34*SIN(P34), 0)</f>
        <v>119.91341213813428</v>
      </c>
      <c r="N39" s="3">
        <f>IF($O$3, L39+$N$34*COS(P34), 0)</f>
        <v>-10.989703789909559</v>
      </c>
      <c r="O39" s="3"/>
      <c r="P39" s="3"/>
      <c r="Q39" s="3"/>
      <c r="R39" s="3"/>
    </row>
    <row r="40" spans="11:18" x14ac:dyDescent="0.3">
      <c r="K40" s="79">
        <f>IF($O$3, -$K$34, 0)</f>
        <v>-27.079710328018926</v>
      </c>
      <c r="L40" s="79">
        <f>IF($O$3, $L$34, 0)</f>
        <v>18.893769027862092</v>
      </c>
      <c r="M40" s="3">
        <f>IF($O$3, K40+(M39-K40)*($Q$34/$R$34)*0.9, 0)</f>
        <v>61.116163151673</v>
      </c>
      <c r="N40" s="3">
        <f>IF($O$3, L40+(N39-L40)*($Q$34/$R$34)*0.9, 0)</f>
        <v>0.96368533719910232</v>
      </c>
      <c r="O40" s="3"/>
      <c r="P40" s="3"/>
      <c r="Q40" s="3"/>
      <c r="R40" s="3"/>
    </row>
    <row r="41" spans="11:18" x14ac:dyDescent="0.3">
      <c r="K41" s="3">
        <v>0</v>
      </c>
      <c r="L41" s="3">
        <f>MIN(K35:N40)*1.1</f>
        <v>-34.382339178052213</v>
      </c>
      <c r="M41" s="3">
        <f>MAX(K35:N40)*1.1</f>
        <v>197.24655022216564</v>
      </c>
      <c r="N41" s="3">
        <f>M41/1.1</f>
        <v>179.3150456565142</v>
      </c>
      <c r="O41" s="3"/>
      <c r="P41" s="3"/>
      <c r="Q41" s="3"/>
      <c r="R41" s="3"/>
    </row>
  </sheetData>
  <sheetProtection sheet="1" objects="1" scenarios="1" formatCells="0" formatColumns="0" formatRows="0"/>
  <mergeCells count="5">
    <mergeCell ref="K30:R30"/>
    <mergeCell ref="C4:D4"/>
    <mergeCell ref="F4:G4"/>
    <mergeCell ref="I10:I13"/>
    <mergeCell ref="I4:I8"/>
  </mergeCells>
  <conditionalFormatting sqref="D5:D10 G5:G8">
    <cfRule type="cellIs" dxfId="18" priority="7" operator="lessThan">
      <formula>0</formula>
    </cfRule>
  </conditionalFormatting>
  <conditionalFormatting sqref="D7 G5">
    <cfRule type="cellIs" dxfId="17" priority="6" operator="equal">
      <formula>0</formula>
    </cfRule>
  </conditionalFormatting>
  <conditionalFormatting sqref="D5:D10 G5:G10">
    <cfRule type="expression" dxfId="16" priority="4">
      <formula>ISTEXT(D5)</formula>
    </cfRule>
  </conditionalFormatting>
  <conditionalFormatting sqref="D5:D10 G5:G10 K3">
    <cfRule type="containsBlanks" dxfId="15" priority="5">
      <formula>LEN(TRIM(D3))=0</formula>
    </cfRule>
  </conditionalFormatting>
  <conditionalFormatting sqref="D5:D10">
    <cfRule type="expression" dxfId="14" priority="3">
      <formula>ISERROR($D$12:$D$13)</formula>
    </cfRule>
  </conditionalFormatting>
  <conditionalFormatting sqref="G9:G10">
    <cfRule type="cellIs" dxfId="13" priority="2" operator="notBetween">
      <formula>180</formula>
      <formula>-90</formula>
    </cfRule>
  </conditionalFormatting>
  <conditionalFormatting sqref="G5:G10">
    <cfRule type="expression" dxfId="12" priority="1">
      <formula>ISERROR($G$12:$G$13)</formula>
    </cfRule>
  </conditionalFormatting>
  <dataValidations count="1">
    <dataValidation type="list" allowBlank="1" showErrorMessage="1" sqref="K3" xr:uid="{00000000-0002-0000-0A00-000000000000}">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Check Box 2">
              <controlPr locked="0" defaultSize="0" autoFill="0" autoLine="0" autoPict="0">
                <anchor moveWithCells="1">
                  <from>
                    <xdr:col>12</xdr:col>
                    <xdr:colOff>0</xdr:colOff>
                    <xdr:row>2</xdr:row>
                    <xdr:rowOff>7620</xdr:rowOff>
                  </from>
                  <to>
                    <xdr:col>13</xdr:col>
                    <xdr:colOff>411480</xdr:colOff>
                    <xdr:row>2</xdr:row>
                    <xdr:rowOff>182880</xdr:rowOff>
                  </to>
                </anchor>
              </controlPr>
            </control>
          </mc:Choice>
        </mc:AlternateContent>
        <mc:AlternateContent xmlns:mc="http://schemas.openxmlformats.org/markup-compatibility/2006">
          <mc:Choice Requires="x14">
            <control shapeId="26627" r:id="rId5" name="Check Box 3">
              <controlPr locked="0" defaultSize="0" autoFill="0" autoLine="0" autoPict="0">
                <anchor moveWithCells="1">
                  <from>
                    <xdr:col>13</xdr:col>
                    <xdr:colOff>411480</xdr:colOff>
                    <xdr:row>2</xdr:row>
                    <xdr:rowOff>7620</xdr:rowOff>
                  </from>
                  <to>
                    <xdr:col>15</xdr:col>
                    <xdr:colOff>213360</xdr:colOff>
                    <xdr:row>2</xdr:row>
                    <xdr:rowOff>182880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N1000"/>
  <sheetViews>
    <sheetView workbookViewId="0">
      <pane ySplit="1" topLeftCell="A2" activePane="bottomLeft" state="frozen"/>
      <selection pane="bottomLeft" activeCell="R15" sqref="R15"/>
    </sheetView>
  </sheetViews>
  <sheetFormatPr defaultColWidth="14" defaultRowHeight="15" customHeight="1" x14ac:dyDescent="0.25"/>
  <cols>
    <col min="1" max="1" width="9.44140625" style="135" customWidth="1"/>
    <col min="2" max="3" width="8.44140625" style="135" customWidth="1"/>
    <col min="4" max="4" width="18.6640625" style="135" customWidth="1"/>
    <col min="5" max="26" width="8.44140625" style="135" customWidth="1"/>
    <col min="27" max="16384" width="14" style="135"/>
  </cols>
  <sheetData>
    <row r="1" spans="1:13" ht="14.25" customHeight="1" x14ac:dyDescent="0.3">
      <c r="A1" s="134" t="s">
        <v>235</v>
      </c>
      <c r="B1" s="134" t="s">
        <v>236</v>
      </c>
      <c r="C1" s="134" t="s">
        <v>237</v>
      </c>
      <c r="E1" s="134" t="s">
        <v>238</v>
      </c>
      <c r="F1" s="134" t="s">
        <v>239</v>
      </c>
    </row>
    <row r="2" spans="1:13" ht="14.25" customHeight="1" x14ac:dyDescent="0.3">
      <c r="A2" s="134" t="s">
        <v>117</v>
      </c>
      <c r="B2" s="134" t="s">
        <v>11</v>
      </c>
      <c r="C2" s="134">
        <v>9</v>
      </c>
      <c r="D2" s="134" t="str">
        <f t="shared" ref="D2:D256" si="0">A2&amp;" "&amp;B2&amp;" "&amp;C2</f>
        <v>1/2" Hex AM 9015 9</v>
      </c>
      <c r="E2" s="134">
        <v>10</v>
      </c>
      <c r="F2" s="134">
        <v>10</v>
      </c>
      <c r="I2" s="136" t="s">
        <v>240</v>
      </c>
      <c r="J2" s="137"/>
      <c r="K2" s="137"/>
    </row>
    <row r="3" spans="1:13" ht="14.25" customHeight="1" x14ac:dyDescent="0.3">
      <c r="A3" s="134" t="s">
        <v>117</v>
      </c>
      <c r="B3" s="134" t="s">
        <v>11</v>
      </c>
      <c r="C3" s="134">
        <v>12</v>
      </c>
      <c r="D3" s="134" t="str">
        <f t="shared" si="0"/>
        <v>1/2" Hex AM 9015 12</v>
      </c>
      <c r="E3" s="134">
        <v>10</v>
      </c>
      <c r="F3" s="134">
        <v>7</v>
      </c>
      <c r="I3" s="134" t="s">
        <v>117</v>
      </c>
      <c r="J3" s="137">
        <v>39.99</v>
      </c>
      <c r="K3" s="137">
        <f>K5+13.99</f>
        <v>31.979999999999997</v>
      </c>
      <c r="L3" s="134" t="s">
        <v>241</v>
      </c>
      <c r="M3" s="134" t="s">
        <v>242</v>
      </c>
    </row>
    <row r="4" spans="1:13" ht="14.25" customHeight="1" x14ac:dyDescent="0.3">
      <c r="A4" s="134" t="s">
        <v>117</v>
      </c>
      <c r="B4" s="134" t="s">
        <v>11</v>
      </c>
      <c r="C4" s="134">
        <v>15</v>
      </c>
      <c r="D4" s="134" t="str">
        <f t="shared" si="0"/>
        <v>1/2" Hex AM 9015 15</v>
      </c>
      <c r="E4" s="134">
        <v>10</v>
      </c>
      <c r="F4" s="134">
        <v>5</v>
      </c>
      <c r="I4" s="134" t="s">
        <v>243</v>
      </c>
      <c r="J4" s="137">
        <v>39.99</v>
      </c>
      <c r="K4" s="137">
        <f>K5+9.99</f>
        <v>27.979999999999997</v>
      </c>
      <c r="L4" s="134" t="s">
        <v>244</v>
      </c>
      <c r="M4" s="134" t="s">
        <v>245</v>
      </c>
    </row>
    <row r="5" spans="1:13" ht="14.25" customHeight="1" x14ac:dyDescent="0.3">
      <c r="A5" s="134" t="s">
        <v>117</v>
      </c>
      <c r="B5" s="134" t="s">
        <v>11</v>
      </c>
      <c r="C5" s="134">
        <v>16</v>
      </c>
      <c r="D5" s="134" t="str">
        <f t="shared" si="0"/>
        <v>1/2" Hex AM 9015 16</v>
      </c>
      <c r="E5" s="134">
        <v>10</v>
      </c>
      <c r="F5" s="134">
        <v>5</v>
      </c>
      <c r="I5" s="134" t="s">
        <v>246</v>
      </c>
      <c r="J5" s="137">
        <v>39.99</v>
      </c>
      <c r="K5" s="137">
        <v>17.989999999999998</v>
      </c>
      <c r="L5" s="134" t="s">
        <v>247</v>
      </c>
      <c r="M5" s="134" t="s">
        <v>248</v>
      </c>
    </row>
    <row r="6" spans="1:13" ht="14.25" customHeight="1" x14ac:dyDescent="0.3">
      <c r="A6" s="134" t="s">
        <v>117</v>
      </c>
      <c r="B6" s="134" t="s">
        <v>11</v>
      </c>
      <c r="C6" s="134">
        <v>20</v>
      </c>
      <c r="D6" s="134" t="str">
        <f t="shared" si="0"/>
        <v>1/2" Hex AM 9015 20</v>
      </c>
      <c r="E6" s="134">
        <v>10</v>
      </c>
      <c r="F6" s="134">
        <v>4</v>
      </c>
      <c r="I6" s="134" t="s">
        <v>249</v>
      </c>
      <c r="J6" s="137">
        <v>39.99</v>
      </c>
      <c r="K6" s="137">
        <f>K5+9.99</f>
        <v>27.979999999999997</v>
      </c>
      <c r="L6" s="134" t="s">
        <v>250</v>
      </c>
      <c r="M6" s="134" t="s">
        <v>251</v>
      </c>
    </row>
    <row r="7" spans="1:13" ht="14.25" customHeight="1" x14ac:dyDescent="0.3">
      <c r="A7" s="134" t="s">
        <v>117</v>
      </c>
      <c r="B7" s="134" t="s">
        <v>11</v>
      </c>
      <c r="C7" s="134">
        <v>21</v>
      </c>
      <c r="D7" s="134" t="str">
        <f t="shared" si="0"/>
        <v>1/2" Hex AM 9015 21</v>
      </c>
      <c r="E7" s="134">
        <v>10</v>
      </c>
      <c r="F7" s="134">
        <v>4</v>
      </c>
      <c r="I7" s="134" t="s">
        <v>252</v>
      </c>
      <c r="J7" s="137">
        <v>44.99</v>
      </c>
      <c r="K7" s="137">
        <v>24.99</v>
      </c>
      <c r="L7" s="134" t="s">
        <v>253</v>
      </c>
      <c r="M7" s="134" t="s">
        <v>254</v>
      </c>
    </row>
    <row r="8" spans="1:13" ht="14.25" customHeight="1" x14ac:dyDescent="0.3">
      <c r="A8" s="134" t="s">
        <v>117</v>
      </c>
      <c r="B8" s="134" t="s">
        <v>11</v>
      </c>
      <c r="C8" s="134">
        <v>25</v>
      </c>
      <c r="D8" s="134" t="str">
        <f t="shared" si="0"/>
        <v>1/2" Hex AM 9015 25</v>
      </c>
      <c r="E8" s="134">
        <v>7</v>
      </c>
      <c r="F8" s="134">
        <v>3</v>
      </c>
      <c r="J8" s="137"/>
      <c r="K8" s="137"/>
    </row>
    <row r="9" spans="1:13" ht="14.25" customHeight="1" x14ac:dyDescent="0.3">
      <c r="A9" s="134" t="s">
        <v>117</v>
      </c>
      <c r="B9" s="134" t="s">
        <v>11</v>
      </c>
      <c r="C9" s="134">
        <v>27</v>
      </c>
      <c r="D9" s="134" t="str">
        <f t="shared" si="0"/>
        <v>1/2" Hex AM 9015 27</v>
      </c>
      <c r="E9" s="134">
        <v>7</v>
      </c>
      <c r="F9" s="134">
        <v>3</v>
      </c>
      <c r="J9" s="137"/>
      <c r="K9" s="137"/>
    </row>
    <row r="10" spans="1:13" ht="14.25" customHeight="1" x14ac:dyDescent="0.3">
      <c r="A10" s="134" t="s">
        <v>117</v>
      </c>
      <c r="B10" s="134" t="s">
        <v>11</v>
      </c>
      <c r="C10" s="134">
        <v>28</v>
      </c>
      <c r="D10" s="134" t="str">
        <f t="shared" si="0"/>
        <v>1/2" Hex AM 9015 28</v>
      </c>
      <c r="E10" s="134">
        <v>7</v>
      </c>
      <c r="F10" s="134">
        <v>3</v>
      </c>
      <c r="I10" s="136" t="s">
        <v>255</v>
      </c>
      <c r="J10" s="137"/>
      <c r="K10" s="137"/>
    </row>
    <row r="11" spans="1:13" ht="14.25" customHeight="1" x14ac:dyDescent="0.3">
      <c r="A11" s="134" t="s">
        <v>117</v>
      </c>
      <c r="B11" s="134" t="s">
        <v>11</v>
      </c>
      <c r="C11" s="134">
        <v>30</v>
      </c>
      <c r="D11" s="134" t="str">
        <f t="shared" si="0"/>
        <v>1/2" Hex AM 9015 30</v>
      </c>
      <c r="E11" s="134">
        <v>7</v>
      </c>
      <c r="F11" s="134">
        <v>3</v>
      </c>
      <c r="I11" s="134" t="s">
        <v>11</v>
      </c>
      <c r="J11" s="137">
        <v>0</v>
      </c>
      <c r="K11" s="137">
        <v>12.98</v>
      </c>
      <c r="M11" s="134" t="s">
        <v>256</v>
      </c>
    </row>
    <row r="12" spans="1:13" ht="14.25" customHeight="1" x14ac:dyDescent="0.3">
      <c r="A12" s="134" t="s">
        <v>117</v>
      </c>
      <c r="B12" s="134" t="s">
        <v>11</v>
      </c>
      <c r="C12" s="134">
        <v>35</v>
      </c>
      <c r="D12" s="134" t="str">
        <f t="shared" si="0"/>
        <v>1/2" Hex AM 9015 35</v>
      </c>
      <c r="E12" s="134">
        <v>5</v>
      </c>
      <c r="F12" s="134">
        <v>1</v>
      </c>
      <c r="I12" s="134" t="s">
        <v>336</v>
      </c>
      <c r="J12" s="137">
        <v>0</v>
      </c>
      <c r="K12" s="137">
        <v>0</v>
      </c>
    </row>
    <row r="13" spans="1:13" ht="14.25" customHeight="1" x14ac:dyDescent="0.3">
      <c r="A13" s="134" t="s">
        <v>117</v>
      </c>
      <c r="B13" s="134" t="s">
        <v>11</v>
      </c>
      <c r="C13" s="134">
        <v>36</v>
      </c>
      <c r="D13" s="134" t="str">
        <f t="shared" si="0"/>
        <v>1/2" Hex AM 9015 36</v>
      </c>
      <c r="E13" s="134">
        <v>5</v>
      </c>
      <c r="F13" s="134">
        <v>1</v>
      </c>
      <c r="I13" s="134" t="s">
        <v>332</v>
      </c>
      <c r="J13" s="137">
        <v>0</v>
      </c>
      <c r="K13" s="137">
        <v>0</v>
      </c>
    </row>
    <row r="14" spans="1:13" ht="14.25" customHeight="1" x14ac:dyDescent="0.3">
      <c r="A14" s="134" t="s">
        <v>117</v>
      </c>
      <c r="B14" s="134" t="s">
        <v>11</v>
      </c>
      <c r="C14" s="134">
        <v>40</v>
      </c>
      <c r="D14" s="134" t="str">
        <f t="shared" si="0"/>
        <v>1/2" Hex AM 9015 40</v>
      </c>
      <c r="E14" s="134">
        <v>5</v>
      </c>
      <c r="F14" s="134">
        <v>1</v>
      </c>
      <c r="I14" s="134" t="s">
        <v>333</v>
      </c>
      <c r="J14" s="137">
        <v>0</v>
      </c>
      <c r="K14" s="137">
        <v>12.98</v>
      </c>
      <c r="M14" s="134" t="s">
        <v>256</v>
      </c>
    </row>
    <row r="15" spans="1:13" ht="14.25" customHeight="1" x14ac:dyDescent="0.3">
      <c r="A15" s="134" t="s">
        <v>117</v>
      </c>
      <c r="B15" s="134" t="s">
        <v>11</v>
      </c>
      <c r="C15" s="134">
        <v>45</v>
      </c>
      <c r="D15" s="134" t="str">
        <f t="shared" si="0"/>
        <v>1/2" Hex AM 9015 45</v>
      </c>
      <c r="E15" s="134">
        <v>5</v>
      </c>
      <c r="F15" s="134">
        <v>1</v>
      </c>
      <c r="I15" s="134" t="s">
        <v>257</v>
      </c>
      <c r="J15" s="137">
        <v>0</v>
      </c>
      <c r="K15" s="137">
        <v>12.98</v>
      </c>
      <c r="M15" s="134" t="s">
        <v>256</v>
      </c>
    </row>
    <row r="16" spans="1:13" ht="14.25" customHeight="1" x14ac:dyDescent="0.3">
      <c r="A16" s="134" t="s">
        <v>117</v>
      </c>
      <c r="B16" s="134" t="s">
        <v>11</v>
      </c>
      <c r="C16" s="134">
        <v>49</v>
      </c>
      <c r="D16" s="134" t="str">
        <f t="shared" si="0"/>
        <v>1/2" Hex AM 9015 49</v>
      </c>
      <c r="E16" s="134">
        <v>5</v>
      </c>
      <c r="F16" s="134">
        <v>1</v>
      </c>
      <c r="I16" s="134" t="s">
        <v>7</v>
      </c>
      <c r="J16" s="137">
        <v>4.99</v>
      </c>
      <c r="K16" s="137">
        <v>11.98</v>
      </c>
      <c r="L16" s="134" t="s">
        <v>258</v>
      </c>
      <c r="M16" s="134" t="s">
        <v>258</v>
      </c>
    </row>
    <row r="17" spans="1:13" ht="14.25" customHeight="1" x14ac:dyDescent="0.3">
      <c r="A17" s="134" t="s">
        <v>117</v>
      </c>
      <c r="B17" s="134" t="s">
        <v>11</v>
      </c>
      <c r="C17" s="134">
        <v>50</v>
      </c>
      <c r="D17" s="134" t="str">
        <f t="shared" si="0"/>
        <v>1/2" Hex AM 9015 50</v>
      </c>
      <c r="E17" s="134">
        <v>5</v>
      </c>
      <c r="F17" s="134">
        <v>1</v>
      </c>
      <c r="I17" s="134" t="s">
        <v>6</v>
      </c>
      <c r="J17" s="137">
        <v>4.99</v>
      </c>
      <c r="K17" s="137">
        <v>11.98</v>
      </c>
      <c r="L17" s="134" t="s">
        <v>258</v>
      </c>
      <c r="M17" s="134" t="s">
        <v>258</v>
      </c>
    </row>
    <row r="18" spans="1:13" ht="14.25" customHeight="1" x14ac:dyDescent="0.3">
      <c r="A18" s="134" t="s">
        <v>117</v>
      </c>
      <c r="B18" s="134" t="s">
        <v>11</v>
      </c>
      <c r="C18" s="134">
        <v>63</v>
      </c>
      <c r="D18" s="134" t="str">
        <f t="shared" si="0"/>
        <v>1/2" Hex AM 9015 63</v>
      </c>
      <c r="E18" s="134">
        <v>5</v>
      </c>
      <c r="F18" s="134">
        <v>1</v>
      </c>
      <c r="I18" s="134" t="s">
        <v>259</v>
      </c>
      <c r="J18" s="137">
        <v>0</v>
      </c>
      <c r="K18" s="137">
        <v>12.98</v>
      </c>
      <c r="M18" s="134" t="s">
        <v>256</v>
      </c>
    </row>
    <row r="19" spans="1:13" ht="14.25" customHeight="1" x14ac:dyDescent="0.3">
      <c r="A19" s="134" t="s">
        <v>117</v>
      </c>
      <c r="B19" s="134" t="s">
        <v>11</v>
      </c>
      <c r="C19" s="134">
        <v>70</v>
      </c>
      <c r="D19" s="134" t="str">
        <f t="shared" si="0"/>
        <v>1/2" Hex AM 9015 70</v>
      </c>
      <c r="E19" s="134">
        <v>4</v>
      </c>
      <c r="F19" s="134">
        <v>1</v>
      </c>
      <c r="J19" s="137"/>
      <c r="K19" s="137"/>
    </row>
    <row r="20" spans="1:13" ht="14.25" customHeight="1" x14ac:dyDescent="0.3">
      <c r="A20" s="134" t="s">
        <v>117</v>
      </c>
      <c r="B20" s="134" t="s">
        <v>11</v>
      </c>
      <c r="C20" s="134">
        <v>81</v>
      </c>
      <c r="D20" s="134" t="str">
        <f t="shared" si="0"/>
        <v>1/2" Hex AM 9015 81</v>
      </c>
      <c r="E20" s="134">
        <v>4</v>
      </c>
      <c r="F20" s="134">
        <v>1</v>
      </c>
      <c r="J20" s="137"/>
      <c r="K20" s="137"/>
    </row>
    <row r="21" spans="1:13" ht="14.25" customHeight="1" x14ac:dyDescent="0.3">
      <c r="A21" s="134" t="s">
        <v>117</v>
      </c>
      <c r="B21" s="134" t="s">
        <v>11</v>
      </c>
      <c r="C21" s="134">
        <v>90</v>
      </c>
      <c r="D21" s="134" t="str">
        <f t="shared" si="0"/>
        <v>1/2" Hex AM 9015 90</v>
      </c>
      <c r="E21" s="134">
        <v>3</v>
      </c>
      <c r="F21" s="134">
        <v>1</v>
      </c>
      <c r="I21" s="136" t="s">
        <v>260</v>
      </c>
      <c r="J21" s="137"/>
      <c r="K21" s="137"/>
    </row>
    <row r="22" spans="1:13" ht="14.25" customHeight="1" x14ac:dyDescent="0.3">
      <c r="A22" s="134" t="s">
        <v>117</v>
      </c>
      <c r="B22" s="134" t="s">
        <v>11</v>
      </c>
      <c r="C22" s="134">
        <v>100</v>
      </c>
      <c r="D22" s="134" t="str">
        <f t="shared" si="0"/>
        <v>1/2" Hex AM 9015 100</v>
      </c>
      <c r="E22" s="134">
        <v>3</v>
      </c>
      <c r="F22" s="134">
        <v>0</v>
      </c>
      <c r="I22" s="134" t="s">
        <v>261</v>
      </c>
      <c r="J22" s="137">
        <v>0</v>
      </c>
      <c r="K22" s="137">
        <v>0</v>
      </c>
    </row>
    <row r="23" spans="1:13" ht="14.25" customHeight="1" x14ac:dyDescent="0.3">
      <c r="A23" s="134" t="s">
        <v>117</v>
      </c>
      <c r="B23" s="134" t="s">
        <v>336</v>
      </c>
      <c r="C23" s="134">
        <v>9</v>
      </c>
      <c r="D23" s="134" t="str">
        <f t="shared" si="0"/>
        <v>1/2" Hex NeveRest 9</v>
      </c>
      <c r="E23" s="134">
        <v>10</v>
      </c>
      <c r="F23" s="134">
        <v>10</v>
      </c>
      <c r="I23" s="138" t="s">
        <v>262</v>
      </c>
      <c r="J23" s="137">
        <v>24.98</v>
      </c>
      <c r="K23" s="137">
        <v>16.98</v>
      </c>
      <c r="L23" s="134" t="s">
        <v>263</v>
      </c>
      <c r="M23" s="134" t="s">
        <v>264</v>
      </c>
    </row>
    <row r="24" spans="1:13" ht="14.25" customHeight="1" x14ac:dyDescent="0.3">
      <c r="A24" s="134" t="s">
        <v>117</v>
      </c>
      <c r="B24" s="134" t="s">
        <v>336</v>
      </c>
      <c r="C24" s="134">
        <v>12</v>
      </c>
      <c r="D24" s="134" t="str">
        <f t="shared" si="0"/>
        <v>1/2" Hex NeveRest 12</v>
      </c>
      <c r="E24" s="134">
        <v>10</v>
      </c>
      <c r="F24" s="134">
        <v>10</v>
      </c>
      <c r="I24" s="138" t="s">
        <v>265</v>
      </c>
      <c r="J24" s="137">
        <v>24.98</v>
      </c>
      <c r="K24" s="137">
        <v>16.98</v>
      </c>
      <c r="L24" s="134" t="s">
        <v>266</v>
      </c>
      <c r="M24" s="134" t="s">
        <v>267</v>
      </c>
    </row>
    <row r="25" spans="1:13" ht="14.25" customHeight="1" x14ac:dyDescent="0.3">
      <c r="A25" s="134" t="s">
        <v>117</v>
      </c>
      <c r="B25" s="134" t="s">
        <v>336</v>
      </c>
      <c r="C25" s="134">
        <v>15</v>
      </c>
      <c r="D25" s="134" t="str">
        <f t="shared" si="0"/>
        <v>1/2" Hex NeveRest 15</v>
      </c>
      <c r="E25" s="134">
        <v>10</v>
      </c>
      <c r="F25" s="134">
        <v>10</v>
      </c>
      <c r="I25" s="138" t="s">
        <v>268</v>
      </c>
      <c r="J25" s="137">
        <v>24.98</v>
      </c>
      <c r="K25" s="137">
        <v>16.98</v>
      </c>
      <c r="L25" s="134" t="s">
        <v>269</v>
      </c>
      <c r="M25" s="134" t="s">
        <v>270</v>
      </c>
    </row>
    <row r="26" spans="1:13" ht="14.25" customHeight="1" x14ac:dyDescent="0.3">
      <c r="A26" s="134" t="s">
        <v>117</v>
      </c>
      <c r="B26" s="134" t="s">
        <v>336</v>
      </c>
      <c r="C26" s="134">
        <v>16</v>
      </c>
      <c r="D26" s="134" t="str">
        <f t="shared" si="0"/>
        <v>1/2" Hex NeveRest 16</v>
      </c>
      <c r="E26" s="134">
        <v>10</v>
      </c>
      <c r="F26" s="134">
        <v>10</v>
      </c>
      <c r="I26" s="138" t="s">
        <v>271</v>
      </c>
      <c r="J26" s="137">
        <v>24.98</v>
      </c>
      <c r="K26" s="137">
        <v>16.98</v>
      </c>
      <c r="L26" s="134" t="s">
        <v>272</v>
      </c>
      <c r="M26" s="134" t="s">
        <v>273</v>
      </c>
    </row>
    <row r="27" spans="1:13" ht="14.25" customHeight="1" x14ac:dyDescent="0.3">
      <c r="A27" s="134" t="s">
        <v>117</v>
      </c>
      <c r="B27" s="134" t="s">
        <v>336</v>
      </c>
      <c r="C27" s="134">
        <v>20</v>
      </c>
      <c r="D27" s="134" t="str">
        <f t="shared" si="0"/>
        <v>1/2" Hex NeveRest 20</v>
      </c>
      <c r="E27" s="134">
        <v>10</v>
      </c>
      <c r="F27" s="134">
        <v>10</v>
      </c>
      <c r="I27" s="138" t="s">
        <v>274</v>
      </c>
      <c r="J27" s="137">
        <v>24.98</v>
      </c>
      <c r="K27" s="137">
        <v>16.98</v>
      </c>
      <c r="L27" s="134" t="s">
        <v>275</v>
      </c>
      <c r="M27" s="134" t="s">
        <v>276</v>
      </c>
    </row>
    <row r="28" spans="1:13" ht="14.25" customHeight="1" x14ac:dyDescent="0.3">
      <c r="A28" s="134" t="s">
        <v>117</v>
      </c>
      <c r="B28" s="134" t="s">
        <v>336</v>
      </c>
      <c r="C28" s="134">
        <v>21</v>
      </c>
      <c r="D28" s="134" t="str">
        <f t="shared" si="0"/>
        <v>1/2" Hex NeveRest 21</v>
      </c>
      <c r="E28" s="134">
        <v>9</v>
      </c>
      <c r="F28" s="134">
        <v>9</v>
      </c>
      <c r="I28" s="138" t="s">
        <v>277</v>
      </c>
      <c r="J28" s="137">
        <v>24.98</v>
      </c>
      <c r="K28" s="137">
        <v>16.98</v>
      </c>
      <c r="L28" s="134" t="s">
        <v>278</v>
      </c>
      <c r="M28" s="134" t="s">
        <v>279</v>
      </c>
    </row>
    <row r="29" spans="1:13" ht="14.25" customHeight="1" x14ac:dyDescent="0.3">
      <c r="A29" s="134" t="s">
        <v>117</v>
      </c>
      <c r="B29" s="134" t="s">
        <v>336</v>
      </c>
      <c r="C29" s="134">
        <v>25</v>
      </c>
      <c r="D29" s="134" t="str">
        <f t="shared" si="0"/>
        <v>1/2" Hex NeveRest 25</v>
      </c>
      <c r="E29" s="134">
        <v>7</v>
      </c>
      <c r="F29" s="134">
        <v>7</v>
      </c>
      <c r="J29" s="137"/>
      <c r="K29" s="137"/>
    </row>
    <row r="30" spans="1:13" ht="14.25" customHeight="1" x14ac:dyDescent="0.3">
      <c r="A30" s="134" t="s">
        <v>117</v>
      </c>
      <c r="B30" s="134" t="s">
        <v>336</v>
      </c>
      <c r="C30" s="134">
        <v>27</v>
      </c>
      <c r="D30" s="134" t="str">
        <f t="shared" si="0"/>
        <v>1/2" Hex NeveRest 27</v>
      </c>
      <c r="E30" s="134">
        <v>7</v>
      </c>
      <c r="F30" s="134">
        <v>7</v>
      </c>
      <c r="J30" s="137"/>
      <c r="K30" s="137"/>
    </row>
    <row r="31" spans="1:13" ht="14.25" customHeight="1" x14ac:dyDescent="0.3">
      <c r="A31" s="134" t="s">
        <v>117</v>
      </c>
      <c r="B31" s="134" t="s">
        <v>336</v>
      </c>
      <c r="C31" s="134">
        <v>28</v>
      </c>
      <c r="D31" s="134" t="str">
        <f t="shared" si="0"/>
        <v>1/2" Hex NeveRest 28</v>
      </c>
      <c r="E31" s="134">
        <v>7</v>
      </c>
      <c r="F31" s="134">
        <v>7</v>
      </c>
      <c r="I31" s="136" t="s">
        <v>280</v>
      </c>
      <c r="J31" s="137"/>
      <c r="K31" s="137"/>
    </row>
    <row r="32" spans="1:13" ht="14.25" customHeight="1" x14ac:dyDescent="0.3">
      <c r="A32" s="134" t="s">
        <v>117</v>
      </c>
      <c r="B32" s="134" t="s">
        <v>336</v>
      </c>
      <c r="C32" s="134">
        <v>30</v>
      </c>
      <c r="D32" s="134" t="str">
        <f t="shared" si="0"/>
        <v>1/2" Hex NeveRest 30</v>
      </c>
      <c r="E32" s="134">
        <v>5</v>
      </c>
      <c r="F32" s="134">
        <v>5</v>
      </c>
      <c r="I32" s="134" t="s">
        <v>261</v>
      </c>
      <c r="J32" s="137">
        <v>0</v>
      </c>
      <c r="K32" s="137"/>
    </row>
    <row r="33" spans="1:14" ht="14.25" customHeight="1" x14ac:dyDescent="0.3">
      <c r="A33" s="134" t="s">
        <v>117</v>
      </c>
      <c r="B33" s="134" t="s">
        <v>336</v>
      </c>
      <c r="C33" s="134">
        <v>35</v>
      </c>
      <c r="D33" s="134" t="str">
        <f t="shared" si="0"/>
        <v>1/2" Hex NeveRest 35</v>
      </c>
      <c r="E33" s="134">
        <v>5</v>
      </c>
      <c r="F33" s="134">
        <v>5</v>
      </c>
      <c r="I33" s="134" t="s">
        <v>281</v>
      </c>
      <c r="J33" s="137">
        <v>41.97</v>
      </c>
      <c r="K33" s="137"/>
      <c r="L33" s="134" t="s">
        <v>282</v>
      </c>
      <c r="M33" s="134" t="s">
        <v>282</v>
      </c>
      <c r="N33" s="134" t="s">
        <v>282</v>
      </c>
    </row>
    <row r="34" spans="1:14" ht="14.25" customHeight="1" x14ac:dyDescent="0.3">
      <c r="A34" s="134" t="s">
        <v>117</v>
      </c>
      <c r="B34" s="134" t="s">
        <v>336</v>
      </c>
      <c r="C34" s="134">
        <v>36</v>
      </c>
      <c r="D34" s="134" t="str">
        <f t="shared" si="0"/>
        <v>1/2" Hex NeveRest 36</v>
      </c>
      <c r="E34" s="134">
        <v>5</v>
      </c>
      <c r="F34" s="134">
        <v>5</v>
      </c>
      <c r="I34" s="134" t="s">
        <v>283</v>
      </c>
      <c r="J34" s="137">
        <v>42.97</v>
      </c>
      <c r="K34" s="137"/>
      <c r="L34" s="134" t="s">
        <v>284</v>
      </c>
      <c r="M34" s="134" t="s">
        <v>285</v>
      </c>
      <c r="N34" s="134" t="s">
        <v>286</v>
      </c>
    </row>
    <row r="35" spans="1:14" ht="14.25" customHeight="1" x14ac:dyDescent="0.3">
      <c r="A35" s="134" t="s">
        <v>117</v>
      </c>
      <c r="B35" s="134" t="s">
        <v>336</v>
      </c>
      <c r="C35" s="134">
        <v>40</v>
      </c>
      <c r="D35" s="134" t="str">
        <f t="shared" si="0"/>
        <v>1/2" Hex NeveRest 40</v>
      </c>
      <c r="E35" s="134">
        <v>5</v>
      </c>
      <c r="F35" s="134">
        <v>5</v>
      </c>
      <c r="I35" s="134" t="s">
        <v>287</v>
      </c>
      <c r="J35" s="137">
        <v>42.97</v>
      </c>
      <c r="K35" s="137"/>
      <c r="L35" s="134" t="s">
        <v>288</v>
      </c>
      <c r="M35" s="134" t="s">
        <v>289</v>
      </c>
      <c r="N35" s="134" t="s">
        <v>290</v>
      </c>
    </row>
    <row r="36" spans="1:14" ht="14.25" customHeight="1" x14ac:dyDescent="0.3">
      <c r="A36" s="134" t="s">
        <v>117</v>
      </c>
      <c r="B36" s="134" t="s">
        <v>336</v>
      </c>
      <c r="C36" s="134">
        <v>45</v>
      </c>
      <c r="D36" s="134" t="str">
        <f t="shared" si="0"/>
        <v>1/2" Hex NeveRest 45</v>
      </c>
      <c r="E36" s="134">
        <v>5</v>
      </c>
      <c r="F36" s="134">
        <v>4</v>
      </c>
      <c r="I36" s="134" t="s">
        <v>291</v>
      </c>
      <c r="J36" s="137">
        <v>56.97</v>
      </c>
      <c r="K36" s="137"/>
      <c r="L36" s="134" t="s">
        <v>292</v>
      </c>
      <c r="M36" s="134" t="s">
        <v>292</v>
      </c>
      <c r="N36" s="134" t="s">
        <v>292</v>
      </c>
    </row>
    <row r="37" spans="1:14" ht="14.25" customHeight="1" x14ac:dyDescent="0.3">
      <c r="A37" s="134" t="s">
        <v>117</v>
      </c>
      <c r="B37" s="134" t="s">
        <v>336</v>
      </c>
      <c r="C37" s="134">
        <v>49</v>
      </c>
      <c r="D37" s="134" t="str">
        <f t="shared" si="0"/>
        <v>1/2" Hex NeveRest 49</v>
      </c>
      <c r="E37" s="134">
        <v>5</v>
      </c>
      <c r="F37" s="134">
        <v>4</v>
      </c>
      <c r="I37" s="134" t="s">
        <v>293</v>
      </c>
      <c r="J37" s="137">
        <v>57.97</v>
      </c>
      <c r="K37" s="137"/>
      <c r="L37" s="134" t="s">
        <v>294</v>
      </c>
      <c r="M37" s="134" t="s">
        <v>295</v>
      </c>
      <c r="N37" s="134" t="s">
        <v>296</v>
      </c>
    </row>
    <row r="38" spans="1:14" ht="14.25" customHeight="1" x14ac:dyDescent="0.3">
      <c r="A38" s="134" t="s">
        <v>117</v>
      </c>
      <c r="B38" s="134" t="s">
        <v>336</v>
      </c>
      <c r="C38" s="134">
        <v>50</v>
      </c>
      <c r="D38" s="134" t="str">
        <f t="shared" si="0"/>
        <v>1/2" Hex NeveRest 50</v>
      </c>
      <c r="E38" s="134">
        <v>5</v>
      </c>
      <c r="F38" s="134">
        <v>4</v>
      </c>
      <c r="I38" s="134" t="s">
        <v>297</v>
      </c>
      <c r="J38" s="137">
        <v>57.97</v>
      </c>
      <c r="K38" s="137"/>
      <c r="L38" s="134" t="s">
        <v>298</v>
      </c>
      <c r="M38" s="134" t="s">
        <v>299</v>
      </c>
      <c r="N38" s="134" t="s">
        <v>300</v>
      </c>
    </row>
    <row r="39" spans="1:14" ht="14.25" customHeight="1" x14ac:dyDescent="0.3">
      <c r="A39" s="134" t="s">
        <v>117</v>
      </c>
      <c r="B39" s="134" t="s">
        <v>336</v>
      </c>
      <c r="C39" s="134">
        <v>63</v>
      </c>
      <c r="D39" s="134" t="str">
        <f t="shared" si="0"/>
        <v>1/2" Hex NeveRest 63</v>
      </c>
      <c r="E39" s="134">
        <v>4</v>
      </c>
      <c r="F39" s="134">
        <v>3</v>
      </c>
      <c r="I39" s="134" t="s">
        <v>280</v>
      </c>
      <c r="J39" s="137">
        <v>14.98</v>
      </c>
      <c r="K39" s="137"/>
      <c r="L39" s="134" t="s">
        <v>301</v>
      </c>
    </row>
    <row r="40" spans="1:14" ht="14.25" customHeight="1" x14ac:dyDescent="0.3">
      <c r="A40" s="134" t="s">
        <v>117</v>
      </c>
      <c r="B40" s="134" t="s">
        <v>336</v>
      </c>
      <c r="C40" s="134">
        <v>70</v>
      </c>
      <c r="D40" s="134" t="str">
        <f t="shared" si="0"/>
        <v>1/2" Hex NeveRest 70</v>
      </c>
      <c r="E40" s="134">
        <v>4</v>
      </c>
      <c r="F40" s="134">
        <v>1</v>
      </c>
      <c r="J40" s="137"/>
      <c r="K40" s="137"/>
    </row>
    <row r="41" spans="1:14" ht="14.25" customHeight="1" x14ac:dyDescent="0.3">
      <c r="A41" s="134" t="s">
        <v>117</v>
      </c>
      <c r="B41" s="134" t="s">
        <v>336</v>
      </c>
      <c r="C41" s="134">
        <v>81</v>
      </c>
      <c r="D41" s="134" t="str">
        <f t="shared" si="0"/>
        <v>1/2" Hex NeveRest 81</v>
      </c>
      <c r="E41" s="134">
        <v>3</v>
      </c>
      <c r="F41" s="134">
        <v>1</v>
      </c>
      <c r="J41" s="137"/>
      <c r="K41" s="137"/>
    </row>
    <row r="42" spans="1:14" ht="14.25" customHeight="1" x14ac:dyDescent="0.3">
      <c r="A42" s="134" t="s">
        <v>117</v>
      </c>
      <c r="B42" s="134" t="s">
        <v>336</v>
      </c>
      <c r="C42" s="134">
        <v>90</v>
      </c>
      <c r="D42" s="134" t="str">
        <f t="shared" si="0"/>
        <v>1/2" Hex NeveRest 90</v>
      </c>
      <c r="E42" s="134">
        <v>3</v>
      </c>
      <c r="F42" s="134">
        <v>1</v>
      </c>
      <c r="I42" s="136" t="s">
        <v>302</v>
      </c>
      <c r="J42" s="137"/>
      <c r="K42" s="137"/>
    </row>
    <row r="43" spans="1:14" ht="14.25" customHeight="1" x14ac:dyDescent="0.3">
      <c r="A43" s="134" t="s">
        <v>117</v>
      </c>
      <c r="B43" s="134" t="s">
        <v>336</v>
      </c>
      <c r="C43" s="134">
        <v>100</v>
      </c>
      <c r="D43" s="134" t="str">
        <f t="shared" si="0"/>
        <v>1/2" Hex NeveRest 100</v>
      </c>
      <c r="E43" s="134">
        <v>3</v>
      </c>
      <c r="F43" s="134">
        <v>1</v>
      </c>
      <c r="I43" s="134" t="s">
        <v>60</v>
      </c>
      <c r="J43" s="137">
        <v>67.95</v>
      </c>
      <c r="K43" s="137"/>
      <c r="L43" s="134" t="s">
        <v>303</v>
      </c>
      <c r="M43" s="134" t="s">
        <v>304</v>
      </c>
      <c r="N43" s="134" t="s">
        <v>305</v>
      </c>
    </row>
    <row r="44" spans="1:14" ht="14.25" customHeight="1" x14ac:dyDescent="0.3">
      <c r="A44" s="134" t="s">
        <v>117</v>
      </c>
      <c r="B44" s="134" t="s">
        <v>332</v>
      </c>
      <c r="C44" s="134">
        <v>9</v>
      </c>
      <c r="D44" s="134" t="str">
        <f t="shared" si="0"/>
        <v>1/2" Hex BB RS-550 9</v>
      </c>
      <c r="E44" s="134">
        <v>10</v>
      </c>
      <c r="F44" s="134">
        <v>10</v>
      </c>
      <c r="I44" s="134" t="s">
        <v>306</v>
      </c>
      <c r="J44" s="137">
        <v>0</v>
      </c>
      <c r="K44" s="137"/>
    </row>
    <row r="45" spans="1:14" ht="14.25" customHeight="1" x14ac:dyDescent="0.3">
      <c r="A45" s="134" t="s">
        <v>117</v>
      </c>
      <c r="B45" s="134" t="s">
        <v>332</v>
      </c>
      <c r="C45" s="134">
        <v>12</v>
      </c>
      <c r="D45" s="134" t="str">
        <f t="shared" si="0"/>
        <v>1/2" Hex BB RS-550 12</v>
      </c>
      <c r="E45" s="134">
        <v>10</v>
      </c>
      <c r="F45" s="134">
        <v>7</v>
      </c>
      <c r="J45" s="137"/>
      <c r="K45" s="137"/>
    </row>
    <row r="46" spans="1:14" ht="14.25" customHeight="1" x14ac:dyDescent="0.3">
      <c r="A46" s="134" t="s">
        <v>117</v>
      </c>
      <c r="B46" s="134" t="s">
        <v>332</v>
      </c>
      <c r="C46" s="134">
        <v>15</v>
      </c>
      <c r="D46" s="134" t="str">
        <f t="shared" si="0"/>
        <v>1/2" Hex BB RS-550 15</v>
      </c>
      <c r="E46" s="134">
        <v>10</v>
      </c>
      <c r="F46" s="134">
        <v>5</v>
      </c>
      <c r="J46" s="137"/>
      <c r="K46" s="137"/>
    </row>
    <row r="47" spans="1:14" ht="14.25" customHeight="1" x14ac:dyDescent="0.3">
      <c r="A47" s="134" t="s">
        <v>117</v>
      </c>
      <c r="B47" s="134" t="s">
        <v>332</v>
      </c>
      <c r="C47" s="134">
        <v>16</v>
      </c>
      <c r="D47" s="134" t="str">
        <f t="shared" si="0"/>
        <v>1/2" Hex BB RS-550 16</v>
      </c>
      <c r="E47" s="134">
        <v>10</v>
      </c>
      <c r="F47" s="134">
        <v>5</v>
      </c>
      <c r="I47" s="136" t="s">
        <v>307</v>
      </c>
      <c r="J47" s="137"/>
      <c r="K47" s="137"/>
    </row>
    <row r="48" spans="1:14" ht="14.25" customHeight="1" x14ac:dyDescent="0.3">
      <c r="A48" s="134" t="s">
        <v>117</v>
      </c>
      <c r="B48" s="134" t="s">
        <v>332</v>
      </c>
      <c r="C48" s="134">
        <v>20</v>
      </c>
      <c r="D48" s="134" t="str">
        <f t="shared" si="0"/>
        <v>1/2" Hex BB RS-550 20</v>
      </c>
      <c r="E48" s="134">
        <v>10</v>
      </c>
      <c r="F48" s="134">
        <v>4</v>
      </c>
      <c r="I48" s="134" t="s">
        <v>60</v>
      </c>
      <c r="J48" s="137">
        <v>84.99</v>
      </c>
      <c r="K48" s="137"/>
      <c r="L48" s="134" t="s">
        <v>308</v>
      </c>
    </row>
    <row r="49" spans="1:12" ht="14.25" customHeight="1" x14ac:dyDescent="0.3">
      <c r="A49" s="134" t="s">
        <v>117</v>
      </c>
      <c r="B49" s="134" t="s">
        <v>332</v>
      </c>
      <c r="C49" s="134">
        <v>21</v>
      </c>
      <c r="D49" s="134" t="str">
        <f t="shared" si="0"/>
        <v>1/2" Hex BB RS-550 21</v>
      </c>
      <c r="E49" s="134">
        <v>9</v>
      </c>
      <c r="F49" s="134">
        <v>4</v>
      </c>
      <c r="I49" s="134" t="s">
        <v>306</v>
      </c>
      <c r="J49" s="137">
        <v>0</v>
      </c>
      <c r="K49" s="137"/>
    </row>
    <row r="50" spans="1:12" ht="14.25" customHeight="1" x14ac:dyDescent="0.3">
      <c r="A50" s="134" t="s">
        <v>117</v>
      </c>
      <c r="B50" s="134" t="s">
        <v>332</v>
      </c>
      <c r="C50" s="134">
        <v>25</v>
      </c>
      <c r="D50" s="134" t="str">
        <f t="shared" si="0"/>
        <v>1/2" Hex BB RS-550 25</v>
      </c>
      <c r="E50" s="134">
        <v>7</v>
      </c>
      <c r="F50" s="134">
        <v>3</v>
      </c>
      <c r="J50" s="137"/>
      <c r="K50" s="137"/>
    </row>
    <row r="51" spans="1:12" ht="14.25" customHeight="1" x14ac:dyDescent="0.3">
      <c r="A51" s="134" t="s">
        <v>117</v>
      </c>
      <c r="B51" s="134" t="s">
        <v>332</v>
      </c>
      <c r="C51" s="134">
        <v>27</v>
      </c>
      <c r="D51" s="134" t="str">
        <f t="shared" si="0"/>
        <v>1/2" Hex BB RS-550 27</v>
      </c>
      <c r="E51" s="134">
        <v>7</v>
      </c>
      <c r="F51" s="134">
        <v>3</v>
      </c>
      <c r="J51" s="137"/>
      <c r="K51" s="137"/>
    </row>
    <row r="52" spans="1:12" ht="14.25" customHeight="1" x14ac:dyDescent="0.3">
      <c r="A52" s="134" t="s">
        <v>117</v>
      </c>
      <c r="B52" s="134" t="s">
        <v>332</v>
      </c>
      <c r="C52" s="134">
        <v>28</v>
      </c>
      <c r="D52" s="134" t="str">
        <f t="shared" si="0"/>
        <v>1/2" Hex BB RS-550 28</v>
      </c>
      <c r="E52" s="134">
        <v>7</v>
      </c>
      <c r="F52" s="134">
        <v>3</v>
      </c>
      <c r="I52" s="136" t="s">
        <v>309</v>
      </c>
      <c r="J52" s="137"/>
      <c r="K52" s="137"/>
    </row>
    <row r="53" spans="1:12" ht="14.25" customHeight="1" x14ac:dyDescent="0.3">
      <c r="A53" s="134" t="s">
        <v>117</v>
      </c>
      <c r="B53" s="134" t="s">
        <v>332</v>
      </c>
      <c r="C53" s="134">
        <v>30</v>
      </c>
      <c r="D53" s="134" t="str">
        <f t="shared" si="0"/>
        <v>1/2" Hex BB RS-550 30</v>
      </c>
      <c r="E53" s="134">
        <v>5</v>
      </c>
      <c r="F53" s="134">
        <v>3</v>
      </c>
      <c r="I53" s="134" t="s">
        <v>60</v>
      </c>
      <c r="J53" s="137">
        <v>14.99</v>
      </c>
      <c r="K53" s="137"/>
      <c r="L53" s="134" t="s">
        <v>310</v>
      </c>
    </row>
    <row r="54" spans="1:12" ht="14.25" customHeight="1" x14ac:dyDescent="0.3">
      <c r="A54" s="134" t="s">
        <v>117</v>
      </c>
      <c r="B54" s="134" t="s">
        <v>332</v>
      </c>
      <c r="C54" s="134">
        <v>35</v>
      </c>
      <c r="D54" s="134" t="str">
        <f t="shared" si="0"/>
        <v>1/2" Hex BB RS-550 35</v>
      </c>
      <c r="E54" s="134">
        <v>5</v>
      </c>
      <c r="F54" s="134">
        <v>1</v>
      </c>
      <c r="I54" s="134" t="s">
        <v>306</v>
      </c>
      <c r="J54" s="137">
        <v>0</v>
      </c>
      <c r="K54" s="137"/>
    </row>
    <row r="55" spans="1:12" ht="14.25" customHeight="1" x14ac:dyDescent="0.3">
      <c r="A55" s="134" t="s">
        <v>117</v>
      </c>
      <c r="B55" s="134" t="s">
        <v>332</v>
      </c>
      <c r="C55" s="134">
        <v>36</v>
      </c>
      <c r="D55" s="134" t="str">
        <f t="shared" si="0"/>
        <v>1/2" Hex BB RS-550 36</v>
      </c>
      <c r="E55" s="134">
        <v>5</v>
      </c>
      <c r="F55" s="134">
        <v>1</v>
      </c>
      <c r="J55" s="137"/>
      <c r="K55" s="137"/>
    </row>
    <row r="56" spans="1:12" ht="14.25" customHeight="1" x14ac:dyDescent="0.3">
      <c r="A56" s="134" t="s">
        <v>117</v>
      </c>
      <c r="B56" s="134" t="s">
        <v>332</v>
      </c>
      <c r="C56" s="134">
        <v>40</v>
      </c>
      <c r="D56" s="134" t="str">
        <f t="shared" si="0"/>
        <v>1/2" Hex BB RS-550 40</v>
      </c>
      <c r="E56" s="134">
        <v>5</v>
      </c>
      <c r="F56" s="134">
        <v>5</v>
      </c>
      <c r="I56" s="136" t="s">
        <v>311</v>
      </c>
      <c r="J56" s="137"/>
      <c r="K56" s="137"/>
    </row>
    <row r="57" spans="1:12" ht="14.25" customHeight="1" x14ac:dyDescent="0.3">
      <c r="A57" s="134" t="s">
        <v>117</v>
      </c>
      <c r="B57" s="134" t="s">
        <v>332</v>
      </c>
      <c r="C57" s="134">
        <v>45</v>
      </c>
      <c r="D57" s="134" t="str">
        <f t="shared" si="0"/>
        <v>1/2" Hex BB RS-550 45</v>
      </c>
      <c r="E57" s="134">
        <v>5</v>
      </c>
      <c r="F57" s="134">
        <v>4</v>
      </c>
      <c r="I57" s="134" t="s">
        <v>60</v>
      </c>
      <c r="J57" s="137">
        <v>49.99</v>
      </c>
      <c r="K57" s="137"/>
      <c r="L57" s="134" t="s">
        <v>312</v>
      </c>
    </row>
    <row r="58" spans="1:12" ht="14.25" customHeight="1" x14ac:dyDescent="0.3">
      <c r="A58" s="134" t="s">
        <v>117</v>
      </c>
      <c r="B58" s="134" t="s">
        <v>332</v>
      </c>
      <c r="C58" s="134">
        <v>49</v>
      </c>
      <c r="D58" s="134" t="str">
        <f t="shared" si="0"/>
        <v>1/2" Hex BB RS-550 49</v>
      </c>
      <c r="E58" s="134">
        <v>5</v>
      </c>
      <c r="F58" s="134">
        <v>4</v>
      </c>
      <c r="I58" s="134" t="s">
        <v>306</v>
      </c>
      <c r="J58" s="137">
        <v>0</v>
      </c>
      <c r="K58" s="137"/>
    </row>
    <row r="59" spans="1:12" ht="14.25" customHeight="1" x14ac:dyDescent="0.3">
      <c r="A59" s="134" t="s">
        <v>117</v>
      </c>
      <c r="B59" s="134" t="s">
        <v>332</v>
      </c>
      <c r="C59" s="134">
        <v>50</v>
      </c>
      <c r="D59" s="134" t="str">
        <f t="shared" si="0"/>
        <v>1/2" Hex BB RS-550 50</v>
      </c>
      <c r="E59" s="134">
        <v>5</v>
      </c>
      <c r="F59" s="134">
        <v>1</v>
      </c>
    </row>
    <row r="60" spans="1:12" ht="14.25" customHeight="1" x14ac:dyDescent="0.3">
      <c r="A60" s="134" t="s">
        <v>117</v>
      </c>
      <c r="B60" s="134" t="s">
        <v>332</v>
      </c>
      <c r="C60" s="134">
        <v>63</v>
      </c>
      <c r="D60" s="134" t="str">
        <f t="shared" si="0"/>
        <v>1/2" Hex BB RS-550 63</v>
      </c>
      <c r="E60" s="134">
        <v>4</v>
      </c>
      <c r="F60" s="134">
        <v>1</v>
      </c>
    </row>
    <row r="61" spans="1:12" ht="14.25" customHeight="1" x14ac:dyDescent="0.3">
      <c r="A61" s="134" t="s">
        <v>117</v>
      </c>
      <c r="B61" s="134" t="s">
        <v>332</v>
      </c>
      <c r="C61" s="134">
        <v>70</v>
      </c>
      <c r="D61" s="134" t="str">
        <f t="shared" si="0"/>
        <v>1/2" Hex BB RS-550 70</v>
      </c>
      <c r="E61" s="134">
        <v>4</v>
      </c>
      <c r="F61" s="134">
        <v>1</v>
      </c>
    </row>
    <row r="62" spans="1:12" ht="14.25" customHeight="1" x14ac:dyDescent="0.3">
      <c r="A62" s="134" t="s">
        <v>117</v>
      </c>
      <c r="B62" s="134" t="s">
        <v>332</v>
      </c>
      <c r="C62" s="134">
        <v>81</v>
      </c>
      <c r="D62" s="134" t="str">
        <f t="shared" si="0"/>
        <v>1/2" Hex BB RS-550 81</v>
      </c>
      <c r="E62" s="134">
        <v>3</v>
      </c>
      <c r="F62" s="134">
        <v>1</v>
      </c>
    </row>
    <row r="63" spans="1:12" ht="14.25" customHeight="1" x14ac:dyDescent="0.3">
      <c r="A63" s="134" t="s">
        <v>117</v>
      </c>
      <c r="B63" s="134" t="s">
        <v>332</v>
      </c>
      <c r="C63" s="134">
        <v>90</v>
      </c>
      <c r="D63" s="134" t="str">
        <f t="shared" si="0"/>
        <v>1/2" Hex BB RS-550 90</v>
      </c>
      <c r="E63" s="134">
        <v>3</v>
      </c>
      <c r="F63" s="134">
        <v>1</v>
      </c>
    </row>
    <row r="64" spans="1:12" ht="14.25" customHeight="1" x14ac:dyDescent="0.3">
      <c r="A64" s="134" t="s">
        <v>117</v>
      </c>
      <c r="B64" s="134" t="s">
        <v>332</v>
      </c>
      <c r="C64" s="134">
        <v>100</v>
      </c>
      <c r="D64" s="134" t="str">
        <f t="shared" si="0"/>
        <v>1/2" Hex BB RS-550 100</v>
      </c>
      <c r="E64" s="134">
        <v>3</v>
      </c>
      <c r="F64" s="134">
        <v>0</v>
      </c>
    </row>
    <row r="65" spans="1:6" ht="14.25" customHeight="1" x14ac:dyDescent="0.3">
      <c r="A65" s="134" t="s">
        <v>117</v>
      </c>
      <c r="B65" s="134" t="s">
        <v>333</v>
      </c>
      <c r="C65" s="134">
        <v>9</v>
      </c>
      <c r="D65" s="134" t="str">
        <f t="shared" si="0"/>
        <v>1/2" Hex BB RS-775 9</v>
      </c>
      <c r="E65" s="134">
        <v>10</v>
      </c>
      <c r="F65" s="134">
        <v>10</v>
      </c>
    </row>
    <row r="66" spans="1:6" ht="14.25" customHeight="1" x14ac:dyDescent="0.3">
      <c r="A66" s="134" t="s">
        <v>117</v>
      </c>
      <c r="B66" s="134" t="s">
        <v>333</v>
      </c>
      <c r="C66" s="134">
        <v>12</v>
      </c>
      <c r="D66" s="134" t="str">
        <f t="shared" si="0"/>
        <v>1/2" Hex BB RS-775 12</v>
      </c>
      <c r="E66" s="134">
        <v>10</v>
      </c>
      <c r="F66" s="134">
        <v>10</v>
      </c>
    </row>
    <row r="67" spans="1:6" ht="14.25" customHeight="1" x14ac:dyDescent="0.3">
      <c r="A67" s="134" t="s">
        <v>117</v>
      </c>
      <c r="B67" s="134" t="s">
        <v>333</v>
      </c>
      <c r="C67" s="134">
        <v>15</v>
      </c>
      <c r="D67" s="134" t="str">
        <f t="shared" si="0"/>
        <v>1/2" Hex BB RS-775 15</v>
      </c>
      <c r="E67" s="134">
        <v>7</v>
      </c>
      <c r="F67" s="134">
        <v>7</v>
      </c>
    </row>
    <row r="68" spans="1:6" ht="14.25" customHeight="1" x14ac:dyDescent="0.3">
      <c r="A68" s="134" t="s">
        <v>117</v>
      </c>
      <c r="B68" s="134" t="s">
        <v>333</v>
      </c>
      <c r="C68" s="134">
        <v>16</v>
      </c>
      <c r="D68" s="134" t="str">
        <f t="shared" si="0"/>
        <v>1/2" Hex BB RS-775 16</v>
      </c>
      <c r="E68" s="134">
        <v>7</v>
      </c>
      <c r="F68" s="134">
        <v>7</v>
      </c>
    </row>
    <row r="69" spans="1:6" ht="14.25" customHeight="1" x14ac:dyDescent="0.3">
      <c r="A69" s="134" t="s">
        <v>117</v>
      </c>
      <c r="B69" s="134" t="s">
        <v>333</v>
      </c>
      <c r="C69" s="134">
        <v>20</v>
      </c>
      <c r="D69" s="134" t="str">
        <f t="shared" si="0"/>
        <v>1/2" Hex BB RS-775 20</v>
      </c>
      <c r="E69" s="134">
        <v>5</v>
      </c>
      <c r="F69" s="134">
        <v>5</v>
      </c>
    </row>
    <row r="70" spans="1:6" ht="14.25" customHeight="1" x14ac:dyDescent="0.3">
      <c r="A70" s="134" t="s">
        <v>117</v>
      </c>
      <c r="B70" s="134" t="s">
        <v>333</v>
      </c>
      <c r="C70" s="134">
        <v>21</v>
      </c>
      <c r="D70" s="134" t="str">
        <f t="shared" si="0"/>
        <v>1/2" Hex BB RS-775 21</v>
      </c>
      <c r="E70" s="134">
        <v>5</v>
      </c>
      <c r="F70" s="134">
        <v>5</v>
      </c>
    </row>
    <row r="71" spans="1:6" ht="14.25" customHeight="1" x14ac:dyDescent="0.3">
      <c r="A71" s="134" t="s">
        <v>117</v>
      </c>
      <c r="B71" s="134" t="s">
        <v>333</v>
      </c>
      <c r="C71" s="134">
        <v>25</v>
      </c>
      <c r="D71" s="134" t="str">
        <f t="shared" si="0"/>
        <v>1/2" Hex BB RS-775 25</v>
      </c>
      <c r="E71" s="134">
        <v>5</v>
      </c>
      <c r="F71" s="134">
        <v>5</v>
      </c>
    </row>
    <row r="72" spans="1:6" ht="14.25" customHeight="1" x14ac:dyDescent="0.3">
      <c r="A72" s="134" t="s">
        <v>117</v>
      </c>
      <c r="B72" s="134" t="s">
        <v>333</v>
      </c>
      <c r="C72" s="134">
        <v>27</v>
      </c>
      <c r="D72" s="134" t="str">
        <f t="shared" si="0"/>
        <v>1/2" Hex BB RS-775 27</v>
      </c>
      <c r="E72" s="134">
        <v>5</v>
      </c>
      <c r="F72" s="134">
        <v>4</v>
      </c>
    </row>
    <row r="73" spans="1:6" ht="14.25" customHeight="1" x14ac:dyDescent="0.3">
      <c r="A73" s="134" t="s">
        <v>117</v>
      </c>
      <c r="B73" s="134" t="s">
        <v>333</v>
      </c>
      <c r="C73" s="134">
        <v>28</v>
      </c>
      <c r="D73" s="134" t="str">
        <f t="shared" si="0"/>
        <v>1/2" Hex BB RS-775 28</v>
      </c>
      <c r="E73" s="134">
        <v>5</v>
      </c>
      <c r="F73" s="134">
        <v>4</v>
      </c>
    </row>
    <row r="74" spans="1:6" ht="14.25" customHeight="1" x14ac:dyDescent="0.3">
      <c r="A74" s="134" t="s">
        <v>117</v>
      </c>
      <c r="B74" s="134" t="s">
        <v>333</v>
      </c>
      <c r="C74" s="134">
        <v>30</v>
      </c>
      <c r="D74" s="134" t="str">
        <f t="shared" si="0"/>
        <v>1/2" Hex BB RS-775 30</v>
      </c>
      <c r="E74" s="134">
        <v>5</v>
      </c>
      <c r="F74" s="134">
        <v>4</v>
      </c>
    </row>
    <row r="75" spans="1:6" ht="14.25" customHeight="1" x14ac:dyDescent="0.3">
      <c r="A75" s="134" t="s">
        <v>117</v>
      </c>
      <c r="B75" s="134" t="s">
        <v>333</v>
      </c>
      <c r="C75" s="134">
        <v>35</v>
      </c>
      <c r="D75" s="134" t="str">
        <f t="shared" si="0"/>
        <v>1/2" Hex BB RS-775 35</v>
      </c>
      <c r="E75" s="134">
        <v>5</v>
      </c>
      <c r="F75" s="134">
        <v>3</v>
      </c>
    </row>
    <row r="76" spans="1:6" ht="14.25" customHeight="1" x14ac:dyDescent="0.3">
      <c r="A76" s="134" t="s">
        <v>117</v>
      </c>
      <c r="B76" s="134" t="s">
        <v>333</v>
      </c>
      <c r="C76" s="134">
        <v>36</v>
      </c>
      <c r="D76" s="134" t="str">
        <f t="shared" si="0"/>
        <v>1/2" Hex BB RS-775 36</v>
      </c>
      <c r="E76" s="134">
        <v>5</v>
      </c>
      <c r="F76" s="134">
        <v>3</v>
      </c>
    </row>
    <row r="77" spans="1:6" ht="14.25" customHeight="1" x14ac:dyDescent="0.3">
      <c r="A77" s="134" t="s">
        <v>117</v>
      </c>
      <c r="B77" s="134" t="s">
        <v>333</v>
      </c>
      <c r="C77" s="134">
        <v>40</v>
      </c>
      <c r="D77" s="134" t="str">
        <f t="shared" si="0"/>
        <v>1/2" Hex BB RS-775 40</v>
      </c>
      <c r="E77" s="134">
        <v>4</v>
      </c>
      <c r="F77" s="134">
        <v>3</v>
      </c>
    </row>
    <row r="78" spans="1:6" ht="14.25" customHeight="1" x14ac:dyDescent="0.3">
      <c r="A78" s="134" t="s">
        <v>117</v>
      </c>
      <c r="B78" s="134" t="s">
        <v>333</v>
      </c>
      <c r="C78" s="134">
        <v>45</v>
      </c>
      <c r="D78" s="134" t="str">
        <f t="shared" si="0"/>
        <v>1/2" Hex BB RS-775 45</v>
      </c>
      <c r="E78" s="134">
        <v>4</v>
      </c>
      <c r="F78" s="134">
        <v>1</v>
      </c>
    </row>
    <row r="79" spans="1:6" ht="14.25" customHeight="1" x14ac:dyDescent="0.3">
      <c r="A79" s="134" t="s">
        <v>117</v>
      </c>
      <c r="B79" s="134" t="s">
        <v>333</v>
      </c>
      <c r="C79" s="134">
        <v>49</v>
      </c>
      <c r="D79" s="134" t="str">
        <f t="shared" si="0"/>
        <v>1/2" Hex BB RS-775 49</v>
      </c>
      <c r="E79" s="134">
        <v>4</v>
      </c>
      <c r="F79" s="134">
        <v>1</v>
      </c>
    </row>
    <row r="80" spans="1:6" ht="14.25" customHeight="1" x14ac:dyDescent="0.3">
      <c r="A80" s="134" t="s">
        <v>117</v>
      </c>
      <c r="B80" s="134" t="s">
        <v>333</v>
      </c>
      <c r="C80" s="134">
        <v>50</v>
      </c>
      <c r="D80" s="134" t="str">
        <f t="shared" si="0"/>
        <v>1/2" Hex BB RS-775 50</v>
      </c>
      <c r="E80" s="134">
        <v>3</v>
      </c>
      <c r="F80" s="134">
        <v>1</v>
      </c>
    </row>
    <row r="81" spans="1:6" ht="14.25" customHeight="1" x14ac:dyDescent="0.3">
      <c r="A81" s="134" t="s">
        <v>117</v>
      </c>
      <c r="B81" s="134" t="s">
        <v>333</v>
      </c>
      <c r="C81" s="134">
        <v>63</v>
      </c>
      <c r="D81" s="134" t="str">
        <f t="shared" si="0"/>
        <v>1/2" Hex BB RS-775 63</v>
      </c>
      <c r="E81" s="134">
        <v>3</v>
      </c>
      <c r="F81" s="134">
        <v>1</v>
      </c>
    </row>
    <row r="82" spans="1:6" ht="14.25" customHeight="1" x14ac:dyDescent="0.3">
      <c r="A82" s="134" t="s">
        <v>117</v>
      </c>
      <c r="B82" s="134" t="s">
        <v>333</v>
      </c>
      <c r="C82" s="134">
        <v>70</v>
      </c>
      <c r="D82" s="134" t="str">
        <f t="shared" si="0"/>
        <v>1/2" Hex BB RS-775 70</v>
      </c>
      <c r="E82" s="134">
        <v>1</v>
      </c>
      <c r="F82" s="134">
        <v>1</v>
      </c>
    </row>
    <row r="83" spans="1:6" ht="14.25" customHeight="1" x14ac:dyDescent="0.3">
      <c r="A83" s="134" t="s">
        <v>117</v>
      </c>
      <c r="B83" s="134" t="s">
        <v>333</v>
      </c>
      <c r="C83" s="134">
        <v>81</v>
      </c>
      <c r="D83" s="134" t="str">
        <f t="shared" si="0"/>
        <v>1/2" Hex BB RS-775 81</v>
      </c>
      <c r="E83" s="134">
        <v>1</v>
      </c>
      <c r="F83" s="134">
        <v>1</v>
      </c>
    </row>
    <row r="84" spans="1:6" ht="14.25" customHeight="1" x14ac:dyDescent="0.3">
      <c r="A84" s="134" t="s">
        <v>117</v>
      </c>
      <c r="B84" s="134" t="s">
        <v>333</v>
      </c>
      <c r="C84" s="134">
        <v>90</v>
      </c>
      <c r="D84" s="134" t="str">
        <f t="shared" si="0"/>
        <v>1/2" Hex BB RS-775 90</v>
      </c>
      <c r="E84" s="134">
        <v>1</v>
      </c>
      <c r="F84" s="134">
        <v>1</v>
      </c>
    </row>
    <row r="85" spans="1:6" ht="14.25" customHeight="1" x14ac:dyDescent="0.3">
      <c r="A85" s="134" t="s">
        <v>117</v>
      </c>
      <c r="B85" s="134" t="s">
        <v>333</v>
      </c>
      <c r="C85" s="134">
        <v>100</v>
      </c>
      <c r="D85" s="134" t="str">
        <f t="shared" si="0"/>
        <v>1/2" Hex BB RS-775 100</v>
      </c>
      <c r="E85" s="134">
        <v>1</v>
      </c>
      <c r="F85" s="134">
        <v>1</v>
      </c>
    </row>
    <row r="86" spans="1:6" ht="14.25" customHeight="1" x14ac:dyDescent="0.3">
      <c r="A86" s="134" t="s">
        <v>117</v>
      </c>
      <c r="B86" s="134" t="s">
        <v>257</v>
      </c>
      <c r="C86" s="134">
        <v>9</v>
      </c>
      <c r="D86" s="134" t="str">
        <f t="shared" si="0"/>
        <v>1/2" Hex BAG 9</v>
      </c>
      <c r="E86" s="134">
        <v>10</v>
      </c>
      <c r="F86" s="134">
        <v>9</v>
      </c>
    </row>
    <row r="87" spans="1:6" ht="14.25" customHeight="1" x14ac:dyDescent="0.3">
      <c r="A87" s="134" t="s">
        <v>117</v>
      </c>
      <c r="B87" s="134" t="s">
        <v>257</v>
      </c>
      <c r="C87" s="134">
        <v>12</v>
      </c>
      <c r="D87" s="134" t="str">
        <f t="shared" si="0"/>
        <v>1/2" Hex BAG 12</v>
      </c>
      <c r="E87" s="134">
        <v>10</v>
      </c>
      <c r="F87" s="134">
        <v>5</v>
      </c>
    </row>
    <row r="88" spans="1:6" ht="14.25" customHeight="1" x14ac:dyDescent="0.3">
      <c r="A88" s="134" t="s">
        <v>117</v>
      </c>
      <c r="B88" s="134" t="s">
        <v>257</v>
      </c>
      <c r="C88" s="134">
        <v>15</v>
      </c>
      <c r="D88" s="134" t="str">
        <f t="shared" si="0"/>
        <v>1/2" Hex BAG 15</v>
      </c>
      <c r="E88" s="134">
        <v>10</v>
      </c>
      <c r="F88" s="134">
        <v>5</v>
      </c>
    </row>
    <row r="89" spans="1:6" ht="14.25" customHeight="1" x14ac:dyDescent="0.3">
      <c r="A89" s="134" t="s">
        <v>117</v>
      </c>
      <c r="B89" s="134" t="s">
        <v>257</v>
      </c>
      <c r="C89" s="134">
        <v>16</v>
      </c>
      <c r="D89" s="134" t="str">
        <f t="shared" si="0"/>
        <v>1/2" Hex BAG 16</v>
      </c>
      <c r="E89" s="134">
        <v>10</v>
      </c>
      <c r="F89" s="134">
        <v>5</v>
      </c>
    </row>
    <row r="90" spans="1:6" ht="14.25" customHeight="1" x14ac:dyDescent="0.3">
      <c r="A90" s="134" t="s">
        <v>117</v>
      </c>
      <c r="B90" s="134" t="s">
        <v>257</v>
      </c>
      <c r="C90" s="134">
        <v>20</v>
      </c>
      <c r="D90" s="134" t="str">
        <f t="shared" si="0"/>
        <v>1/2" Hex BAG 20</v>
      </c>
      <c r="E90" s="134">
        <v>10</v>
      </c>
      <c r="F90" s="134">
        <v>4</v>
      </c>
    </row>
    <row r="91" spans="1:6" ht="14.25" customHeight="1" x14ac:dyDescent="0.3">
      <c r="A91" s="134" t="s">
        <v>117</v>
      </c>
      <c r="B91" s="134" t="s">
        <v>257</v>
      </c>
      <c r="C91" s="134">
        <v>21</v>
      </c>
      <c r="D91" s="134" t="str">
        <f t="shared" si="0"/>
        <v>1/2" Hex BAG 21</v>
      </c>
      <c r="E91" s="134">
        <v>10</v>
      </c>
      <c r="F91" s="134">
        <v>3</v>
      </c>
    </row>
    <row r="92" spans="1:6" ht="14.25" customHeight="1" x14ac:dyDescent="0.3">
      <c r="A92" s="134" t="s">
        <v>117</v>
      </c>
      <c r="B92" s="134" t="s">
        <v>257</v>
      </c>
      <c r="C92" s="134">
        <v>25</v>
      </c>
      <c r="D92" s="134" t="str">
        <f t="shared" si="0"/>
        <v>1/2" Hex BAG 25</v>
      </c>
      <c r="E92" s="134">
        <v>7</v>
      </c>
      <c r="F92" s="134">
        <v>3</v>
      </c>
    </row>
    <row r="93" spans="1:6" ht="14.25" customHeight="1" x14ac:dyDescent="0.3">
      <c r="A93" s="134" t="s">
        <v>117</v>
      </c>
      <c r="B93" s="134" t="s">
        <v>257</v>
      </c>
      <c r="C93" s="134">
        <v>27</v>
      </c>
      <c r="D93" s="134" t="str">
        <f t="shared" si="0"/>
        <v>1/2" Hex BAG 27</v>
      </c>
      <c r="E93" s="134">
        <v>7</v>
      </c>
      <c r="F93" s="134">
        <v>3</v>
      </c>
    </row>
    <row r="94" spans="1:6" ht="14.25" customHeight="1" x14ac:dyDescent="0.3">
      <c r="A94" s="134" t="s">
        <v>117</v>
      </c>
      <c r="B94" s="134" t="s">
        <v>257</v>
      </c>
      <c r="C94" s="134">
        <v>28</v>
      </c>
      <c r="D94" s="134" t="str">
        <f t="shared" si="0"/>
        <v>1/2" Hex BAG 28</v>
      </c>
      <c r="E94" s="134">
        <v>7</v>
      </c>
      <c r="F94" s="134">
        <v>1</v>
      </c>
    </row>
    <row r="95" spans="1:6" ht="14.25" customHeight="1" x14ac:dyDescent="0.3">
      <c r="A95" s="134" t="s">
        <v>117</v>
      </c>
      <c r="B95" s="134" t="s">
        <v>257</v>
      </c>
      <c r="C95" s="134">
        <v>30</v>
      </c>
      <c r="D95" s="134" t="str">
        <f t="shared" si="0"/>
        <v>1/2" Hex BAG 30</v>
      </c>
      <c r="E95" s="134">
        <v>7</v>
      </c>
      <c r="F95" s="134">
        <v>1</v>
      </c>
    </row>
    <row r="96" spans="1:6" ht="14.25" customHeight="1" x14ac:dyDescent="0.3">
      <c r="A96" s="134" t="s">
        <v>117</v>
      </c>
      <c r="B96" s="134" t="s">
        <v>257</v>
      </c>
      <c r="C96" s="134">
        <v>35</v>
      </c>
      <c r="D96" s="134" t="str">
        <f t="shared" si="0"/>
        <v>1/2" Hex BAG 35</v>
      </c>
      <c r="E96" s="134">
        <v>5</v>
      </c>
      <c r="F96" s="134">
        <v>1</v>
      </c>
    </row>
    <row r="97" spans="1:6" ht="14.25" customHeight="1" x14ac:dyDescent="0.3">
      <c r="A97" s="134" t="s">
        <v>117</v>
      </c>
      <c r="B97" s="134" t="s">
        <v>257</v>
      </c>
      <c r="C97" s="134">
        <v>36</v>
      </c>
      <c r="D97" s="134" t="str">
        <f t="shared" si="0"/>
        <v>1/2" Hex BAG 36</v>
      </c>
      <c r="E97" s="134">
        <v>5</v>
      </c>
      <c r="F97" s="134">
        <v>1</v>
      </c>
    </row>
    <row r="98" spans="1:6" ht="14.25" customHeight="1" x14ac:dyDescent="0.3">
      <c r="A98" s="134" t="s">
        <v>117</v>
      </c>
      <c r="B98" s="134" t="s">
        <v>257</v>
      </c>
      <c r="C98" s="134">
        <v>40</v>
      </c>
      <c r="D98" s="134" t="str">
        <f t="shared" si="0"/>
        <v>1/2" Hex BAG 40</v>
      </c>
      <c r="E98" s="134">
        <v>5</v>
      </c>
      <c r="F98" s="134">
        <v>1</v>
      </c>
    </row>
    <row r="99" spans="1:6" ht="14.25" customHeight="1" x14ac:dyDescent="0.3">
      <c r="A99" s="134" t="s">
        <v>117</v>
      </c>
      <c r="B99" s="134" t="s">
        <v>257</v>
      </c>
      <c r="C99" s="134">
        <v>45</v>
      </c>
      <c r="D99" s="134" t="str">
        <f t="shared" si="0"/>
        <v>1/2" Hex BAG 45</v>
      </c>
      <c r="E99" s="134">
        <v>5</v>
      </c>
      <c r="F99" s="134">
        <v>1</v>
      </c>
    </row>
    <row r="100" spans="1:6" ht="14.25" customHeight="1" x14ac:dyDescent="0.3">
      <c r="A100" s="134" t="s">
        <v>117</v>
      </c>
      <c r="B100" s="134" t="s">
        <v>257</v>
      </c>
      <c r="C100" s="134">
        <v>49</v>
      </c>
      <c r="D100" s="134" t="str">
        <f t="shared" si="0"/>
        <v>1/2" Hex BAG 49</v>
      </c>
      <c r="E100" s="134">
        <v>5</v>
      </c>
      <c r="F100" s="134">
        <v>1</v>
      </c>
    </row>
    <row r="101" spans="1:6" ht="14.25" customHeight="1" x14ac:dyDescent="0.3">
      <c r="A101" s="134" t="s">
        <v>117</v>
      </c>
      <c r="B101" s="134" t="s">
        <v>257</v>
      </c>
      <c r="C101" s="134">
        <v>50</v>
      </c>
      <c r="D101" s="134" t="str">
        <f t="shared" si="0"/>
        <v>1/2" Hex BAG 50</v>
      </c>
      <c r="E101" s="134">
        <v>5</v>
      </c>
      <c r="F101" s="134">
        <v>1</v>
      </c>
    </row>
    <row r="102" spans="1:6" ht="14.25" customHeight="1" x14ac:dyDescent="0.3">
      <c r="A102" s="134" t="s">
        <v>117</v>
      </c>
      <c r="B102" s="134" t="s">
        <v>257</v>
      </c>
      <c r="C102" s="134">
        <v>63</v>
      </c>
      <c r="D102" s="134" t="str">
        <f t="shared" si="0"/>
        <v>1/2" Hex BAG 63</v>
      </c>
      <c r="E102" s="134">
        <v>5</v>
      </c>
      <c r="F102" s="134">
        <v>1</v>
      </c>
    </row>
    <row r="103" spans="1:6" ht="14.25" customHeight="1" x14ac:dyDescent="0.3">
      <c r="A103" s="134" t="s">
        <v>117</v>
      </c>
      <c r="B103" s="134" t="s">
        <v>257</v>
      </c>
      <c r="C103" s="134">
        <v>70</v>
      </c>
      <c r="D103" s="134" t="str">
        <f t="shared" si="0"/>
        <v>1/2" Hex BAG 70</v>
      </c>
      <c r="E103" s="134">
        <v>4</v>
      </c>
      <c r="F103" s="134">
        <v>1</v>
      </c>
    </row>
    <row r="104" spans="1:6" ht="14.25" customHeight="1" x14ac:dyDescent="0.3">
      <c r="A104" s="134" t="s">
        <v>117</v>
      </c>
      <c r="B104" s="134" t="s">
        <v>257</v>
      </c>
      <c r="C104" s="134">
        <v>81</v>
      </c>
      <c r="D104" s="134" t="str">
        <f t="shared" si="0"/>
        <v>1/2" Hex BAG 81</v>
      </c>
      <c r="E104" s="134">
        <v>4</v>
      </c>
      <c r="F104" s="134">
        <v>1</v>
      </c>
    </row>
    <row r="105" spans="1:6" ht="14.25" customHeight="1" x14ac:dyDescent="0.3">
      <c r="A105" s="134" t="s">
        <v>117</v>
      </c>
      <c r="B105" s="134" t="s">
        <v>257</v>
      </c>
      <c r="C105" s="134">
        <v>90</v>
      </c>
      <c r="D105" s="134" t="str">
        <f t="shared" si="0"/>
        <v>1/2" Hex BAG 90</v>
      </c>
      <c r="E105" s="134">
        <v>3</v>
      </c>
      <c r="F105" s="134">
        <v>0</v>
      </c>
    </row>
    <row r="106" spans="1:6" ht="14.25" customHeight="1" x14ac:dyDescent="0.3">
      <c r="A106" s="134" t="s">
        <v>117</v>
      </c>
      <c r="B106" s="134" t="s">
        <v>257</v>
      </c>
      <c r="C106" s="134">
        <v>100</v>
      </c>
      <c r="D106" s="134" t="str">
        <f t="shared" si="0"/>
        <v>1/2" Hex BAG 100</v>
      </c>
      <c r="E106" s="134">
        <v>3</v>
      </c>
      <c r="F106" s="134">
        <v>0</v>
      </c>
    </row>
    <row r="107" spans="1:6" ht="14.25" customHeight="1" x14ac:dyDescent="0.3">
      <c r="A107" s="134" t="s">
        <v>117</v>
      </c>
      <c r="B107" s="134" t="s">
        <v>7</v>
      </c>
      <c r="C107" s="134">
        <v>9</v>
      </c>
      <c r="D107" s="134" t="str">
        <f t="shared" si="0"/>
        <v>1/2" Hex Mini CIM 9</v>
      </c>
      <c r="E107" s="134">
        <v>7</v>
      </c>
      <c r="F107" s="134">
        <v>0</v>
      </c>
    </row>
    <row r="108" spans="1:6" ht="14.25" customHeight="1" x14ac:dyDescent="0.3">
      <c r="A108" s="134" t="s">
        <v>117</v>
      </c>
      <c r="B108" s="134" t="s">
        <v>7</v>
      </c>
      <c r="C108" s="134">
        <v>12</v>
      </c>
      <c r="D108" s="134" t="str">
        <f t="shared" si="0"/>
        <v>1/2" Hex Mini CIM 12</v>
      </c>
      <c r="E108" s="134">
        <v>5</v>
      </c>
      <c r="F108" s="134">
        <v>0</v>
      </c>
    </row>
    <row r="109" spans="1:6" ht="14.25" customHeight="1" x14ac:dyDescent="0.3">
      <c r="A109" s="134" t="s">
        <v>117</v>
      </c>
      <c r="B109" s="134" t="s">
        <v>7</v>
      </c>
      <c r="C109" s="134">
        <v>15</v>
      </c>
      <c r="D109" s="134" t="str">
        <f t="shared" si="0"/>
        <v>1/2" Hex Mini CIM 15</v>
      </c>
      <c r="E109" s="134">
        <v>5</v>
      </c>
      <c r="F109" s="134">
        <v>0</v>
      </c>
    </row>
    <row r="110" spans="1:6" ht="14.25" customHeight="1" x14ac:dyDescent="0.3">
      <c r="A110" s="134" t="s">
        <v>117</v>
      </c>
      <c r="B110" s="134" t="s">
        <v>7</v>
      </c>
      <c r="C110" s="134">
        <v>16</v>
      </c>
      <c r="D110" s="134" t="str">
        <f t="shared" si="0"/>
        <v>1/2" Hex Mini CIM 16</v>
      </c>
      <c r="E110" s="134">
        <v>5</v>
      </c>
      <c r="F110" s="134">
        <v>0</v>
      </c>
    </row>
    <row r="111" spans="1:6" ht="14.25" customHeight="1" x14ac:dyDescent="0.3">
      <c r="A111" s="134" t="s">
        <v>117</v>
      </c>
      <c r="B111" s="134" t="s">
        <v>7</v>
      </c>
      <c r="C111" s="134">
        <v>20</v>
      </c>
      <c r="D111" s="134" t="str">
        <f t="shared" si="0"/>
        <v>1/2" Hex Mini CIM 20</v>
      </c>
      <c r="E111" s="134">
        <v>5</v>
      </c>
      <c r="F111" s="134">
        <v>0</v>
      </c>
    </row>
    <row r="112" spans="1:6" ht="14.25" customHeight="1" x14ac:dyDescent="0.3">
      <c r="A112" s="134" t="s">
        <v>117</v>
      </c>
      <c r="B112" s="134" t="s">
        <v>7</v>
      </c>
      <c r="C112" s="134">
        <v>21</v>
      </c>
      <c r="D112" s="134" t="str">
        <f t="shared" si="0"/>
        <v>1/2" Hex Mini CIM 21</v>
      </c>
      <c r="E112" s="134">
        <v>5</v>
      </c>
      <c r="F112" s="134">
        <v>0</v>
      </c>
    </row>
    <row r="113" spans="1:6" ht="14.25" customHeight="1" x14ac:dyDescent="0.3">
      <c r="A113" s="134" t="s">
        <v>117</v>
      </c>
      <c r="B113" s="134" t="s">
        <v>7</v>
      </c>
      <c r="C113" s="134">
        <v>25</v>
      </c>
      <c r="D113" s="134" t="str">
        <f t="shared" si="0"/>
        <v>1/2" Hex Mini CIM 25</v>
      </c>
      <c r="E113" s="134">
        <v>4</v>
      </c>
      <c r="F113" s="134">
        <v>0</v>
      </c>
    </row>
    <row r="114" spans="1:6" ht="14.25" customHeight="1" x14ac:dyDescent="0.3">
      <c r="A114" s="134" t="s">
        <v>117</v>
      </c>
      <c r="B114" s="134" t="s">
        <v>7</v>
      </c>
      <c r="C114" s="134">
        <v>27</v>
      </c>
      <c r="D114" s="134" t="str">
        <f t="shared" si="0"/>
        <v>1/2" Hex Mini CIM 27</v>
      </c>
      <c r="E114" s="134">
        <v>4</v>
      </c>
      <c r="F114" s="134">
        <v>0</v>
      </c>
    </row>
    <row r="115" spans="1:6" ht="14.25" customHeight="1" x14ac:dyDescent="0.3">
      <c r="A115" s="134" t="s">
        <v>117</v>
      </c>
      <c r="B115" s="134" t="s">
        <v>7</v>
      </c>
      <c r="C115" s="134">
        <v>28</v>
      </c>
      <c r="D115" s="134" t="str">
        <f t="shared" si="0"/>
        <v>1/2" Hex Mini CIM 28</v>
      </c>
      <c r="E115" s="134">
        <v>3</v>
      </c>
      <c r="F115" s="134">
        <v>0</v>
      </c>
    </row>
    <row r="116" spans="1:6" ht="14.25" customHeight="1" x14ac:dyDescent="0.3">
      <c r="A116" s="134" t="s">
        <v>117</v>
      </c>
      <c r="B116" s="134" t="s">
        <v>7</v>
      </c>
      <c r="C116" s="134">
        <v>30</v>
      </c>
      <c r="D116" s="134" t="str">
        <f t="shared" si="0"/>
        <v>1/2" Hex Mini CIM 30</v>
      </c>
      <c r="E116" s="134">
        <v>3</v>
      </c>
      <c r="F116" s="134">
        <v>0</v>
      </c>
    </row>
    <row r="117" spans="1:6" ht="14.25" customHeight="1" x14ac:dyDescent="0.3">
      <c r="A117" s="134" t="s">
        <v>117</v>
      </c>
      <c r="B117" s="134" t="s">
        <v>7</v>
      </c>
      <c r="C117" s="134">
        <v>35</v>
      </c>
      <c r="D117" s="134" t="str">
        <f t="shared" si="0"/>
        <v>1/2" Hex Mini CIM 35</v>
      </c>
      <c r="E117" s="134">
        <v>3</v>
      </c>
      <c r="F117" s="134">
        <v>0</v>
      </c>
    </row>
    <row r="118" spans="1:6" ht="14.25" customHeight="1" x14ac:dyDescent="0.3">
      <c r="A118" s="134" t="s">
        <v>117</v>
      </c>
      <c r="B118" s="134" t="s">
        <v>7</v>
      </c>
      <c r="C118" s="134">
        <v>36</v>
      </c>
      <c r="D118" s="134" t="str">
        <f t="shared" si="0"/>
        <v>1/2" Hex Mini CIM 36</v>
      </c>
      <c r="E118" s="134">
        <v>1</v>
      </c>
      <c r="F118" s="134">
        <v>0</v>
      </c>
    </row>
    <row r="119" spans="1:6" ht="14.25" customHeight="1" x14ac:dyDescent="0.3">
      <c r="A119" s="134" t="s">
        <v>117</v>
      </c>
      <c r="B119" s="134" t="s">
        <v>7</v>
      </c>
      <c r="C119" s="134">
        <v>40</v>
      </c>
      <c r="D119" s="134" t="str">
        <f t="shared" si="0"/>
        <v>1/2" Hex Mini CIM 40</v>
      </c>
      <c r="E119" s="134">
        <v>1</v>
      </c>
      <c r="F119" s="134">
        <v>0</v>
      </c>
    </row>
    <row r="120" spans="1:6" ht="14.25" customHeight="1" x14ac:dyDescent="0.3">
      <c r="A120" s="134" t="s">
        <v>117</v>
      </c>
      <c r="B120" s="134" t="s">
        <v>7</v>
      </c>
      <c r="C120" s="134">
        <v>45</v>
      </c>
      <c r="D120" s="134" t="str">
        <f t="shared" si="0"/>
        <v>1/2" Hex Mini CIM 45</v>
      </c>
      <c r="E120" s="134">
        <v>1</v>
      </c>
      <c r="F120" s="134">
        <v>0</v>
      </c>
    </row>
    <row r="121" spans="1:6" ht="14.25" customHeight="1" x14ac:dyDescent="0.3">
      <c r="A121" s="134" t="s">
        <v>117</v>
      </c>
      <c r="B121" s="134" t="s">
        <v>7</v>
      </c>
      <c r="C121" s="134">
        <v>49</v>
      </c>
      <c r="D121" s="134" t="str">
        <f t="shared" si="0"/>
        <v>1/2" Hex Mini CIM 49</v>
      </c>
      <c r="E121" s="134">
        <v>1</v>
      </c>
      <c r="F121" s="134">
        <v>0</v>
      </c>
    </row>
    <row r="122" spans="1:6" ht="14.25" customHeight="1" x14ac:dyDescent="0.3">
      <c r="A122" s="134" t="s">
        <v>117</v>
      </c>
      <c r="B122" s="134" t="s">
        <v>7</v>
      </c>
      <c r="C122" s="134">
        <v>50</v>
      </c>
      <c r="D122" s="134" t="str">
        <f t="shared" si="0"/>
        <v>1/2" Hex Mini CIM 50</v>
      </c>
      <c r="E122" s="134">
        <v>1</v>
      </c>
      <c r="F122" s="134">
        <v>0</v>
      </c>
    </row>
    <row r="123" spans="1:6" ht="14.25" customHeight="1" x14ac:dyDescent="0.3">
      <c r="A123" s="134" t="s">
        <v>117</v>
      </c>
      <c r="B123" s="134" t="s">
        <v>7</v>
      </c>
      <c r="C123" s="134">
        <v>63</v>
      </c>
      <c r="D123" s="134" t="str">
        <f t="shared" si="0"/>
        <v>1/2" Hex Mini CIM 63</v>
      </c>
      <c r="E123" s="134">
        <v>1</v>
      </c>
      <c r="F123" s="134">
        <v>0</v>
      </c>
    </row>
    <row r="124" spans="1:6" ht="14.25" customHeight="1" x14ac:dyDescent="0.3">
      <c r="A124" s="134" t="s">
        <v>117</v>
      </c>
      <c r="B124" s="134" t="s">
        <v>7</v>
      </c>
      <c r="C124" s="134">
        <v>70</v>
      </c>
      <c r="D124" s="134" t="str">
        <f t="shared" si="0"/>
        <v>1/2" Hex Mini CIM 70</v>
      </c>
      <c r="E124" s="134">
        <v>0</v>
      </c>
      <c r="F124" s="134">
        <v>0</v>
      </c>
    </row>
    <row r="125" spans="1:6" ht="14.25" customHeight="1" x14ac:dyDescent="0.3">
      <c r="A125" s="134" t="s">
        <v>117</v>
      </c>
      <c r="B125" s="134" t="s">
        <v>7</v>
      </c>
      <c r="C125" s="134">
        <v>81</v>
      </c>
      <c r="D125" s="134" t="str">
        <f t="shared" si="0"/>
        <v>1/2" Hex Mini CIM 81</v>
      </c>
      <c r="E125" s="134">
        <v>0</v>
      </c>
      <c r="F125" s="134">
        <v>0</v>
      </c>
    </row>
    <row r="126" spans="1:6" ht="14.25" customHeight="1" x14ac:dyDescent="0.3">
      <c r="A126" s="134" t="s">
        <v>117</v>
      </c>
      <c r="B126" s="134" t="s">
        <v>7</v>
      </c>
      <c r="C126" s="134">
        <v>90</v>
      </c>
      <c r="D126" s="134" t="str">
        <f t="shared" si="0"/>
        <v>1/2" Hex Mini CIM 90</v>
      </c>
      <c r="E126" s="134">
        <v>0</v>
      </c>
      <c r="F126" s="134">
        <v>0</v>
      </c>
    </row>
    <row r="127" spans="1:6" ht="14.25" customHeight="1" x14ac:dyDescent="0.3">
      <c r="A127" s="134" t="s">
        <v>117</v>
      </c>
      <c r="B127" s="134" t="s">
        <v>7</v>
      </c>
      <c r="C127" s="134">
        <v>100</v>
      </c>
      <c r="D127" s="134" t="str">
        <f t="shared" si="0"/>
        <v>1/2" Hex Mini CIM 100</v>
      </c>
      <c r="E127" s="134">
        <v>0</v>
      </c>
      <c r="F127" s="134">
        <v>0</v>
      </c>
    </row>
    <row r="128" spans="1:6" ht="14.25" customHeight="1" x14ac:dyDescent="0.3">
      <c r="A128" s="134" t="s">
        <v>117</v>
      </c>
      <c r="B128" s="134" t="s">
        <v>6</v>
      </c>
      <c r="C128" s="134">
        <v>9</v>
      </c>
      <c r="D128" s="134" t="str">
        <f t="shared" si="0"/>
        <v>1/2" Hex CIM 9</v>
      </c>
      <c r="E128" s="134">
        <v>5</v>
      </c>
      <c r="F128" s="134">
        <v>0</v>
      </c>
    </row>
    <row r="129" spans="1:6" ht="14.25" customHeight="1" x14ac:dyDescent="0.3">
      <c r="A129" s="134" t="s">
        <v>117</v>
      </c>
      <c r="B129" s="134" t="s">
        <v>6</v>
      </c>
      <c r="C129" s="134">
        <v>12</v>
      </c>
      <c r="D129" s="134" t="str">
        <f t="shared" si="0"/>
        <v>1/2" Hex CIM 12</v>
      </c>
      <c r="E129" s="134">
        <v>5</v>
      </c>
      <c r="F129" s="134">
        <v>0</v>
      </c>
    </row>
    <row r="130" spans="1:6" ht="14.25" customHeight="1" x14ac:dyDescent="0.3">
      <c r="A130" s="134" t="s">
        <v>117</v>
      </c>
      <c r="B130" s="134" t="s">
        <v>6</v>
      </c>
      <c r="C130" s="134">
        <v>15</v>
      </c>
      <c r="D130" s="134" t="str">
        <f t="shared" si="0"/>
        <v>1/2" Hex CIM 15</v>
      </c>
      <c r="E130" s="134">
        <v>4</v>
      </c>
      <c r="F130" s="134">
        <v>0</v>
      </c>
    </row>
    <row r="131" spans="1:6" ht="14.25" customHeight="1" x14ac:dyDescent="0.3">
      <c r="A131" s="134" t="s">
        <v>117</v>
      </c>
      <c r="B131" s="134" t="s">
        <v>6</v>
      </c>
      <c r="C131" s="134">
        <v>16</v>
      </c>
      <c r="D131" s="134" t="str">
        <f t="shared" si="0"/>
        <v>1/2" Hex CIM 16</v>
      </c>
      <c r="E131" s="134">
        <v>4</v>
      </c>
      <c r="F131" s="134">
        <v>0</v>
      </c>
    </row>
    <row r="132" spans="1:6" ht="14.25" customHeight="1" x14ac:dyDescent="0.3">
      <c r="A132" s="134" t="s">
        <v>117</v>
      </c>
      <c r="B132" s="134" t="s">
        <v>6</v>
      </c>
      <c r="C132" s="134">
        <v>20</v>
      </c>
      <c r="D132" s="134" t="str">
        <f t="shared" si="0"/>
        <v>1/2" Hex CIM 20</v>
      </c>
      <c r="E132" s="134">
        <v>3</v>
      </c>
      <c r="F132" s="134">
        <v>0</v>
      </c>
    </row>
    <row r="133" spans="1:6" ht="14.25" customHeight="1" x14ac:dyDescent="0.3">
      <c r="A133" s="134" t="s">
        <v>117</v>
      </c>
      <c r="B133" s="134" t="s">
        <v>6</v>
      </c>
      <c r="C133" s="134">
        <v>21</v>
      </c>
      <c r="D133" s="134" t="str">
        <f t="shared" si="0"/>
        <v>1/2" Hex CIM 21</v>
      </c>
      <c r="E133" s="134">
        <v>3</v>
      </c>
      <c r="F133" s="134">
        <v>0</v>
      </c>
    </row>
    <row r="134" spans="1:6" ht="14.25" customHeight="1" x14ac:dyDescent="0.3">
      <c r="A134" s="134" t="s">
        <v>117</v>
      </c>
      <c r="B134" s="134" t="s">
        <v>6</v>
      </c>
      <c r="C134" s="134">
        <v>25</v>
      </c>
      <c r="D134" s="134" t="str">
        <f t="shared" si="0"/>
        <v>1/2" Hex CIM 25</v>
      </c>
      <c r="E134" s="134">
        <v>1</v>
      </c>
      <c r="F134" s="134">
        <v>0</v>
      </c>
    </row>
    <row r="135" spans="1:6" ht="14.25" customHeight="1" x14ac:dyDescent="0.3">
      <c r="A135" s="134" t="s">
        <v>117</v>
      </c>
      <c r="B135" s="134" t="s">
        <v>6</v>
      </c>
      <c r="C135" s="134">
        <v>27</v>
      </c>
      <c r="D135" s="134" t="str">
        <f t="shared" si="0"/>
        <v>1/2" Hex CIM 27</v>
      </c>
      <c r="E135" s="134">
        <v>1</v>
      </c>
      <c r="F135" s="134">
        <v>0</v>
      </c>
    </row>
    <row r="136" spans="1:6" ht="14.25" customHeight="1" x14ac:dyDescent="0.3">
      <c r="A136" s="134" t="s">
        <v>117</v>
      </c>
      <c r="B136" s="134" t="s">
        <v>6</v>
      </c>
      <c r="C136" s="134">
        <v>28</v>
      </c>
      <c r="D136" s="134" t="str">
        <f t="shared" si="0"/>
        <v>1/2" Hex CIM 28</v>
      </c>
      <c r="E136" s="134">
        <v>1</v>
      </c>
      <c r="F136" s="134">
        <v>0</v>
      </c>
    </row>
    <row r="137" spans="1:6" ht="14.25" customHeight="1" x14ac:dyDescent="0.3">
      <c r="A137" s="134" t="s">
        <v>117</v>
      </c>
      <c r="B137" s="134" t="s">
        <v>6</v>
      </c>
      <c r="C137" s="134">
        <v>30</v>
      </c>
      <c r="D137" s="134" t="str">
        <f t="shared" si="0"/>
        <v>1/2" Hex CIM 30</v>
      </c>
      <c r="E137" s="134">
        <v>1</v>
      </c>
      <c r="F137" s="134">
        <v>0</v>
      </c>
    </row>
    <row r="138" spans="1:6" ht="14.25" customHeight="1" x14ac:dyDescent="0.3">
      <c r="A138" s="134" t="s">
        <v>117</v>
      </c>
      <c r="B138" s="134" t="s">
        <v>6</v>
      </c>
      <c r="C138" s="134">
        <v>35</v>
      </c>
      <c r="D138" s="134" t="str">
        <f t="shared" si="0"/>
        <v>1/2" Hex CIM 35</v>
      </c>
      <c r="E138" s="134">
        <v>1</v>
      </c>
      <c r="F138" s="134">
        <v>0</v>
      </c>
    </row>
    <row r="139" spans="1:6" ht="14.25" customHeight="1" x14ac:dyDescent="0.3">
      <c r="A139" s="134" t="s">
        <v>117</v>
      </c>
      <c r="B139" s="134" t="s">
        <v>6</v>
      </c>
      <c r="C139" s="134">
        <v>36</v>
      </c>
      <c r="D139" s="134" t="str">
        <f t="shared" si="0"/>
        <v>1/2" Hex CIM 36</v>
      </c>
      <c r="E139" s="134">
        <v>1</v>
      </c>
      <c r="F139" s="134">
        <v>0</v>
      </c>
    </row>
    <row r="140" spans="1:6" ht="14.25" customHeight="1" x14ac:dyDescent="0.3">
      <c r="A140" s="134" t="s">
        <v>117</v>
      </c>
      <c r="B140" s="134" t="s">
        <v>6</v>
      </c>
      <c r="C140" s="134">
        <v>40</v>
      </c>
      <c r="D140" s="134" t="str">
        <f t="shared" si="0"/>
        <v>1/2" Hex CIM 40</v>
      </c>
      <c r="E140" s="134">
        <v>1</v>
      </c>
      <c r="F140" s="134">
        <v>0</v>
      </c>
    </row>
    <row r="141" spans="1:6" ht="14.25" customHeight="1" x14ac:dyDescent="0.3">
      <c r="A141" s="134" t="s">
        <v>117</v>
      </c>
      <c r="B141" s="134" t="s">
        <v>6</v>
      </c>
      <c r="C141" s="134">
        <v>45</v>
      </c>
      <c r="D141" s="134" t="str">
        <f t="shared" si="0"/>
        <v>1/2" Hex CIM 45</v>
      </c>
      <c r="E141" s="134">
        <v>0</v>
      </c>
      <c r="F141" s="134">
        <v>0</v>
      </c>
    </row>
    <row r="142" spans="1:6" ht="14.25" customHeight="1" x14ac:dyDescent="0.3">
      <c r="A142" s="134" t="s">
        <v>117</v>
      </c>
      <c r="B142" s="134" t="s">
        <v>6</v>
      </c>
      <c r="C142" s="134">
        <v>49</v>
      </c>
      <c r="D142" s="134" t="str">
        <f t="shared" si="0"/>
        <v>1/2" Hex CIM 49</v>
      </c>
      <c r="E142" s="134">
        <v>0</v>
      </c>
      <c r="F142" s="134">
        <v>0</v>
      </c>
    </row>
    <row r="143" spans="1:6" ht="14.25" customHeight="1" x14ac:dyDescent="0.3">
      <c r="A143" s="134" t="s">
        <v>117</v>
      </c>
      <c r="B143" s="134" t="s">
        <v>6</v>
      </c>
      <c r="C143" s="134">
        <v>50</v>
      </c>
      <c r="D143" s="134" t="str">
        <f t="shared" si="0"/>
        <v>1/2" Hex CIM 50</v>
      </c>
      <c r="E143" s="134">
        <v>0</v>
      </c>
      <c r="F143" s="134">
        <v>0</v>
      </c>
    </row>
    <row r="144" spans="1:6" ht="14.25" customHeight="1" x14ac:dyDescent="0.3">
      <c r="A144" s="134" t="s">
        <v>117</v>
      </c>
      <c r="B144" s="134" t="s">
        <v>6</v>
      </c>
      <c r="C144" s="134">
        <v>63</v>
      </c>
      <c r="D144" s="134" t="str">
        <f t="shared" si="0"/>
        <v>1/2" Hex CIM 63</v>
      </c>
      <c r="E144" s="134">
        <v>0</v>
      </c>
      <c r="F144" s="134">
        <v>0</v>
      </c>
    </row>
    <row r="145" spans="1:6" ht="14.25" customHeight="1" x14ac:dyDescent="0.3">
      <c r="A145" s="134" t="s">
        <v>117</v>
      </c>
      <c r="B145" s="134" t="s">
        <v>6</v>
      </c>
      <c r="C145" s="134">
        <v>70</v>
      </c>
      <c r="D145" s="134" t="str">
        <f t="shared" si="0"/>
        <v>1/2" Hex CIM 70</v>
      </c>
      <c r="E145" s="134">
        <v>0</v>
      </c>
      <c r="F145" s="134">
        <v>0</v>
      </c>
    </row>
    <row r="146" spans="1:6" ht="14.25" customHeight="1" x14ac:dyDescent="0.3">
      <c r="A146" s="134" t="s">
        <v>117</v>
      </c>
      <c r="B146" s="134" t="s">
        <v>6</v>
      </c>
      <c r="C146" s="134">
        <v>81</v>
      </c>
      <c r="D146" s="134" t="str">
        <f t="shared" si="0"/>
        <v>1/2" Hex CIM 81</v>
      </c>
      <c r="E146" s="134">
        <v>0</v>
      </c>
      <c r="F146" s="134">
        <v>0</v>
      </c>
    </row>
    <row r="147" spans="1:6" ht="14.25" customHeight="1" x14ac:dyDescent="0.3">
      <c r="A147" s="134" t="s">
        <v>117</v>
      </c>
      <c r="B147" s="134" t="s">
        <v>6</v>
      </c>
      <c r="C147" s="134">
        <v>90</v>
      </c>
      <c r="D147" s="134" t="str">
        <f t="shared" si="0"/>
        <v>1/2" Hex CIM 90</v>
      </c>
      <c r="E147" s="134">
        <v>0</v>
      </c>
      <c r="F147" s="134">
        <v>0</v>
      </c>
    </row>
    <row r="148" spans="1:6" ht="14.25" customHeight="1" x14ac:dyDescent="0.3">
      <c r="A148" s="134" t="s">
        <v>117</v>
      </c>
      <c r="B148" s="134" t="s">
        <v>6</v>
      </c>
      <c r="C148" s="134">
        <v>100</v>
      </c>
      <c r="D148" s="134" t="str">
        <f t="shared" si="0"/>
        <v>1/2" Hex CIM 100</v>
      </c>
      <c r="E148" s="134">
        <v>0</v>
      </c>
      <c r="F148" s="134">
        <v>0</v>
      </c>
    </row>
    <row r="149" spans="1:6" ht="14.25" customHeight="1" x14ac:dyDescent="0.3">
      <c r="A149" s="134" t="s">
        <v>117</v>
      </c>
      <c r="B149" s="134" t="s">
        <v>259</v>
      </c>
      <c r="C149" s="134">
        <v>9</v>
      </c>
      <c r="D149" s="134" t="str">
        <f t="shared" si="0"/>
        <v>1/2" Hex 775pro 9</v>
      </c>
      <c r="E149" s="134">
        <v>10</v>
      </c>
      <c r="F149" s="134">
        <v>5</v>
      </c>
    </row>
    <row r="150" spans="1:6" ht="14.25" customHeight="1" x14ac:dyDescent="0.3">
      <c r="A150" s="134" t="s">
        <v>117</v>
      </c>
      <c r="B150" s="134" t="s">
        <v>259</v>
      </c>
      <c r="C150" s="134">
        <v>12</v>
      </c>
      <c r="D150" s="134" t="str">
        <f t="shared" si="0"/>
        <v>1/2" Hex 775pro 12</v>
      </c>
      <c r="E150" s="134">
        <v>10</v>
      </c>
      <c r="F150" s="134">
        <v>4</v>
      </c>
    </row>
    <row r="151" spans="1:6" ht="14.25" customHeight="1" x14ac:dyDescent="0.3">
      <c r="A151" s="134" t="s">
        <v>117</v>
      </c>
      <c r="B151" s="134" t="s">
        <v>259</v>
      </c>
      <c r="C151" s="134">
        <v>15</v>
      </c>
      <c r="D151" s="134" t="str">
        <f t="shared" si="0"/>
        <v>1/2" Hex 775pro 15</v>
      </c>
      <c r="E151" s="134">
        <v>10</v>
      </c>
      <c r="F151" s="134">
        <v>3</v>
      </c>
    </row>
    <row r="152" spans="1:6" ht="14.25" customHeight="1" x14ac:dyDescent="0.3">
      <c r="A152" s="134" t="s">
        <v>117</v>
      </c>
      <c r="B152" s="134" t="s">
        <v>259</v>
      </c>
      <c r="C152" s="134">
        <v>16</v>
      </c>
      <c r="D152" s="134" t="str">
        <f t="shared" si="0"/>
        <v>1/2" Hex 775pro 16</v>
      </c>
      <c r="E152" s="134">
        <v>10</v>
      </c>
      <c r="F152" s="134">
        <v>3</v>
      </c>
    </row>
    <row r="153" spans="1:6" ht="14.25" customHeight="1" x14ac:dyDescent="0.3">
      <c r="A153" s="134" t="s">
        <v>117</v>
      </c>
      <c r="B153" s="134" t="s">
        <v>259</v>
      </c>
      <c r="C153" s="134">
        <v>20</v>
      </c>
      <c r="D153" s="134" t="str">
        <f t="shared" si="0"/>
        <v>1/2" Hex 775pro 20</v>
      </c>
      <c r="E153" s="134">
        <v>10</v>
      </c>
      <c r="F153" s="134">
        <v>1</v>
      </c>
    </row>
    <row r="154" spans="1:6" ht="14.25" customHeight="1" x14ac:dyDescent="0.3">
      <c r="A154" s="134" t="s">
        <v>117</v>
      </c>
      <c r="B154" s="134" t="s">
        <v>259</v>
      </c>
      <c r="C154" s="134">
        <v>21</v>
      </c>
      <c r="D154" s="134" t="str">
        <f t="shared" si="0"/>
        <v>1/2" Hex 775pro 21</v>
      </c>
      <c r="E154" s="134">
        <v>10</v>
      </c>
      <c r="F154" s="134">
        <v>1</v>
      </c>
    </row>
    <row r="155" spans="1:6" ht="14.25" customHeight="1" x14ac:dyDescent="0.3">
      <c r="A155" s="134" t="s">
        <v>117</v>
      </c>
      <c r="B155" s="134" t="s">
        <v>259</v>
      </c>
      <c r="C155" s="134">
        <v>25</v>
      </c>
      <c r="D155" s="134" t="str">
        <f t="shared" si="0"/>
        <v>1/2" Hex 775pro 25</v>
      </c>
      <c r="E155" s="134">
        <v>7</v>
      </c>
      <c r="F155" s="134">
        <v>1</v>
      </c>
    </row>
    <row r="156" spans="1:6" ht="14.25" customHeight="1" x14ac:dyDescent="0.3">
      <c r="A156" s="134" t="s">
        <v>117</v>
      </c>
      <c r="B156" s="134" t="s">
        <v>259</v>
      </c>
      <c r="C156" s="134">
        <v>27</v>
      </c>
      <c r="D156" s="134" t="str">
        <f t="shared" si="0"/>
        <v>1/2" Hex 775pro 27</v>
      </c>
      <c r="E156" s="134">
        <v>7</v>
      </c>
      <c r="F156" s="134">
        <v>1</v>
      </c>
    </row>
    <row r="157" spans="1:6" ht="14.25" customHeight="1" x14ac:dyDescent="0.3">
      <c r="A157" s="134" t="s">
        <v>117</v>
      </c>
      <c r="B157" s="134" t="s">
        <v>259</v>
      </c>
      <c r="C157" s="134">
        <v>28</v>
      </c>
      <c r="D157" s="134" t="str">
        <f t="shared" si="0"/>
        <v>1/2" Hex 775pro 28</v>
      </c>
      <c r="E157" s="134">
        <v>7</v>
      </c>
      <c r="F157" s="134">
        <v>1</v>
      </c>
    </row>
    <row r="158" spans="1:6" ht="14.25" customHeight="1" x14ac:dyDescent="0.3">
      <c r="A158" s="134" t="s">
        <v>117</v>
      </c>
      <c r="B158" s="134" t="s">
        <v>259</v>
      </c>
      <c r="C158" s="134">
        <v>30</v>
      </c>
      <c r="D158" s="134" t="str">
        <f t="shared" si="0"/>
        <v>1/2" Hex 775pro 30</v>
      </c>
      <c r="E158" s="134">
        <v>7</v>
      </c>
      <c r="F158" s="134">
        <v>1</v>
      </c>
    </row>
    <row r="159" spans="1:6" ht="14.25" customHeight="1" x14ac:dyDescent="0.3">
      <c r="A159" s="134" t="s">
        <v>117</v>
      </c>
      <c r="B159" s="134" t="s">
        <v>259</v>
      </c>
      <c r="C159" s="134">
        <v>35</v>
      </c>
      <c r="D159" s="134" t="str">
        <f t="shared" si="0"/>
        <v>1/2" Hex 775pro 35</v>
      </c>
      <c r="E159" s="134">
        <v>5</v>
      </c>
      <c r="F159" s="134">
        <v>1</v>
      </c>
    </row>
    <row r="160" spans="1:6" ht="14.25" customHeight="1" x14ac:dyDescent="0.3">
      <c r="A160" s="134" t="s">
        <v>117</v>
      </c>
      <c r="B160" s="134" t="s">
        <v>259</v>
      </c>
      <c r="C160" s="134">
        <v>36</v>
      </c>
      <c r="D160" s="134" t="str">
        <f t="shared" si="0"/>
        <v>1/2" Hex 775pro 36</v>
      </c>
      <c r="E160" s="134">
        <v>5</v>
      </c>
      <c r="F160" s="134">
        <v>1</v>
      </c>
    </row>
    <row r="161" spans="1:6" ht="14.25" customHeight="1" x14ac:dyDescent="0.3">
      <c r="A161" s="134" t="s">
        <v>117</v>
      </c>
      <c r="B161" s="134" t="s">
        <v>259</v>
      </c>
      <c r="C161" s="134">
        <v>40</v>
      </c>
      <c r="D161" s="134" t="str">
        <f t="shared" si="0"/>
        <v>1/2" Hex 775pro 40</v>
      </c>
      <c r="E161" s="134">
        <v>5</v>
      </c>
      <c r="F161" s="134">
        <v>1</v>
      </c>
    </row>
    <row r="162" spans="1:6" ht="14.25" customHeight="1" x14ac:dyDescent="0.3">
      <c r="A162" s="134" t="s">
        <v>117</v>
      </c>
      <c r="B162" s="134" t="s">
        <v>259</v>
      </c>
      <c r="C162" s="134">
        <v>45</v>
      </c>
      <c r="D162" s="134" t="str">
        <f t="shared" si="0"/>
        <v>1/2" Hex 775pro 45</v>
      </c>
      <c r="E162" s="134">
        <v>4</v>
      </c>
      <c r="F162" s="134">
        <v>1</v>
      </c>
    </row>
    <row r="163" spans="1:6" ht="14.25" customHeight="1" x14ac:dyDescent="0.3">
      <c r="A163" s="134" t="s">
        <v>117</v>
      </c>
      <c r="B163" s="134" t="s">
        <v>259</v>
      </c>
      <c r="C163" s="134">
        <v>49</v>
      </c>
      <c r="D163" s="134" t="str">
        <f t="shared" si="0"/>
        <v>1/2" Hex 775pro 49</v>
      </c>
      <c r="E163" s="134">
        <v>4</v>
      </c>
      <c r="F163" s="134">
        <v>1</v>
      </c>
    </row>
    <row r="164" spans="1:6" ht="14.25" customHeight="1" x14ac:dyDescent="0.3">
      <c r="A164" s="134" t="s">
        <v>117</v>
      </c>
      <c r="B164" s="134" t="s">
        <v>259</v>
      </c>
      <c r="C164" s="134">
        <v>50</v>
      </c>
      <c r="D164" s="134" t="str">
        <f t="shared" si="0"/>
        <v>1/2" Hex 775pro 50</v>
      </c>
      <c r="E164" s="134">
        <v>4</v>
      </c>
      <c r="F164" s="134">
        <v>0</v>
      </c>
    </row>
    <row r="165" spans="1:6" ht="14.25" customHeight="1" x14ac:dyDescent="0.3">
      <c r="A165" s="134" t="s">
        <v>117</v>
      </c>
      <c r="B165" s="134" t="s">
        <v>259</v>
      </c>
      <c r="C165" s="134">
        <v>63</v>
      </c>
      <c r="D165" s="134" t="str">
        <f t="shared" si="0"/>
        <v>1/2" Hex 775pro 63</v>
      </c>
      <c r="E165" s="134">
        <v>3</v>
      </c>
      <c r="F165" s="134">
        <v>0</v>
      </c>
    </row>
    <row r="166" spans="1:6" ht="14.25" customHeight="1" x14ac:dyDescent="0.3">
      <c r="A166" s="134" t="s">
        <v>117</v>
      </c>
      <c r="B166" s="134" t="s">
        <v>259</v>
      </c>
      <c r="C166" s="134">
        <v>70</v>
      </c>
      <c r="D166" s="134" t="str">
        <f t="shared" si="0"/>
        <v>1/2" Hex 775pro 70</v>
      </c>
      <c r="E166" s="134">
        <v>3</v>
      </c>
      <c r="F166" s="134">
        <v>0</v>
      </c>
    </row>
    <row r="167" spans="1:6" ht="14.25" customHeight="1" x14ac:dyDescent="0.3">
      <c r="A167" s="134" t="s">
        <v>117</v>
      </c>
      <c r="B167" s="134" t="s">
        <v>259</v>
      </c>
      <c r="C167" s="134">
        <v>81</v>
      </c>
      <c r="D167" s="134" t="str">
        <f t="shared" si="0"/>
        <v>1/2" Hex 775pro 81</v>
      </c>
      <c r="E167" s="134">
        <v>1</v>
      </c>
      <c r="F167" s="134">
        <v>0</v>
      </c>
    </row>
    <row r="168" spans="1:6" ht="14.25" customHeight="1" x14ac:dyDescent="0.3">
      <c r="A168" s="134" t="s">
        <v>117</v>
      </c>
      <c r="B168" s="134" t="s">
        <v>259</v>
      </c>
      <c r="C168" s="134">
        <v>90</v>
      </c>
      <c r="D168" s="134" t="str">
        <f t="shared" si="0"/>
        <v>1/2" Hex 775pro 90</v>
      </c>
      <c r="E168" s="134">
        <v>1</v>
      </c>
      <c r="F168" s="134">
        <v>0</v>
      </c>
    </row>
    <row r="169" spans="1:6" ht="14.25" customHeight="1" x14ac:dyDescent="0.3">
      <c r="A169" s="134" t="s">
        <v>117</v>
      </c>
      <c r="B169" s="134" t="s">
        <v>259</v>
      </c>
      <c r="C169" s="134">
        <v>100</v>
      </c>
      <c r="D169" s="134" t="str">
        <f t="shared" si="0"/>
        <v>1/2" Hex 775pro 100</v>
      </c>
      <c r="E169" s="134">
        <v>1</v>
      </c>
      <c r="F169" s="134">
        <v>0</v>
      </c>
    </row>
    <row r="170" spans="1:6" ht="14.25" customHeight="1" x14ac:dyDescent="0.3">
      <c r="A170" s="134" t="s">
        <v>243</v>
      </c>
      <c r="B170" s="134" t="s">
        <v>11</v>
      </c>
      <c r="C170" s="134">
        <v>9</v>
      </c>
      <c r="D170" s="134" t="str">
        <f t="shared" si="0"/>
        <v>1/2" Round AM 9015 9</v>
      </c>
      <c r="E170" s="134">
        <v>10</v>
      </c>
      <c r="F170" s="134">
        <v>10</v>
      </c>
    </row>
    <row r="171" spans="1:6" ht="14.25" customHeight="1" x14ac:dyDescent="0.3">
      <c r="A171" s="134" t="s">
        <v>243</v>
      </c>
      <c r="B171" s="134" t="s">
        <v>11</v>
      </c>
      <c r="C171" s="134">
        <v>12</v>
      </c>
      <c r="D171" s="134" t="str">
        <f t="shared" si="0"/>
        <v>1/2" Round AM 9015 12</v>
      </c>
      <c r="E171" s="134">
        <v>10</v>
      </c>
      <c r="F171" s="134">
        <v>7</v>
      </c>
    </row>
    <row r="172" spans="1:6" ht="14.25" customHeight="1" x14ac:dyDescent="0.3">
      <c r="A172" s="134" t="s">
        <v>243</v>
      </c>
      <c r="B172" s="134" t="s">
        <v>11</v>
      </c>
      <c r="C172" s="134">
        <v>15</v>
      </c>
      <c r="D172" s="134" t="str">
        <f t="shared" si="0"/>
        <v>1/2" Round AM 9015 15</v>
      </c>
      <c r="E172" s="134">
        <v>10</v>
      </c>
      <c r="F172" s="134">
        <v>5</v>
      </c>
    </row>
    <row r="173" spans="1:6" ht="14.25" customHeight="1" x14ac:dyDescent="0.3">
      <c r="A173" s="134" t="s">
        <v>243</v>
      </c>
      <c r="B173" s="134" t="s">
        <v>11</v>
      </c>
      <c r="C173" s="134">
        <v>16</v>
      </c>
      <c r="D173" s="134" t="str">
        <f t="shared" si="0"/>
        <v>1/2" Round AM 9015 16</v>
      </c>
      <c r="E173" s="134">
        <v>10</v>
      </c>
      <c r="F173" s="134">
        <v>5</v>
      </c>
    </row>
    <row r="174" spans="1:6" ht="14.25" customHeight="1" x14ac:dyDescent="0.3">
      <c r="A174" s="134" t="s">
        <v>243</v>
      </c>
      <c r="B174" s="134" t="s">
        <v>11</v>
      </c>
      <c r="C174" s="134">
        <v>20</v>
      </c>
      <c r="D174" s="134" t="str">
        <f t="shared" si="0"/>
        <v>1/2" Round AM 9015 20</v>
      </c>
      <c r="E174" s="134">
        <v>10</v>
      </c>
      <c r="F174" s="134">
        <v>4</v>
      </c>
    </row>
    <row r="175" spans="1:6" ht="14.25" customHeight="1" x14ac:dyDescent="0.3">
      <c r="A175" s="134" t="s">
        <v>243</v>
      </c>
      <c r="B175" s="134" t="s">
        <v>11</v>
      </c>
      <c r="C175" s="134">
        <v>21</v>
      </c>
      <c r="D175" s="134" t="str">
        <f t="shared" si="0"/>
        <v>1/2" Round AM 9015 21</v>
      </c>
      <c r="E175" s="134">
        <v>10</v>
      </c>
      <c r="F175" s="134">
        <v>4</v>
      </c>
    </row>
    <row r="176" spans="1:6" ht="14.25" customHeight="1" x14ac:dyDescent="0.3">
      <c r="A176" s="134" t="s">
        <v>243</v>
      </c>
      <c r="B176" s="134" t="s">
        <v>11</v>
      </c>
      <c r="C176" s="134">
        <v>25</v>
      </c>
      <c r="D176" s="134" t="str">
        <f t="shared" si="0"/>
        <v>1/2" Round AM 9015 25</v>
      </c>
      <c r="E176" s="134">
        <v>7</v>
      </c>
      <c r="F176" s="134">
        <v>3</v>
      </c>
    </row>
    <row r="177" spans="1:6" ht="14.25" customHeight="1" x14ac:dyDescent="0.3">
      <c r="A177" s="134" t="s">
        <v>243</v>
      </c>
      <c r="B177" s="134" t="s">
        <v>11</v>
      </c>
      <c r="C177" s="134">
        <v>27</v>
      </c>
      <c r="D177" s="134" t="str">
        <f t="shared" si="0"/>
        <v>1/2" Round AM 9015 27</v>
      </c>
      <c r="E177" s="134">
        <v>7</v>
      </c>
      <c r="F177" s="134">
        <v>3</v>
      </c>
    </row>
    <row r="178" spans="1:6" ht="14.25" customHeight="1" x14ac:dyDescent="0.3">
      <c r="A178" s="134" t="s">
        <v>243</v>
      </c>
      <c r="B178" s="134" t="s">
        <v>11</v>
      </c>
      <c r="C178" s="134">
        <v>28</v>
      </c>
      <c r="D178" s="134" t="str">
        <f t="shared" si="0"/>
        <v>1/2" Round AM 9015 28</v>
      </c>
      <c r="E178" s="134">
        <v>7</v>
      </c>
      <c r="F178" s="134">
        <v>3</v>
      </c>
    </row>
    <row r="179" spans="1:6" ht="14.25" customHeight="1" x14ac:dyDescent="0.3">
      <c r="A179" s="134" t="s">
        <v>243</v>
      </c>
      <c r="B179" s="134" t="s">
        <v>11</v>
      </c>
      <c r="C179" s="134">
        <v>30</v>
      </c>
      <c r="D179" s="134" t="str">
        <f t="shared" si="0"/>
        <v>1/2" Round AM 9015 30</v>
      </c>
      <c r="E179" s="134">
        <v>7</v>
      </c>
      <c r="F179" s="134">
        <v>3</v>
      </c>
    </row>
    <row r="180" spans="1:6" ht="14.25" customHeight="1" x14ac:dyDescent="0.3">
      <c r="A180" s="134" t="s">
        <v>243</v>
      </c>
      <c r="B180" s="134" t="s">
        <v>11</v>
      </c>
      <c r="C180" s="134">
        <v>35</v>
      </c>
      <c r="D180" s="134" t="str">
        <f t="shared" si="0"/>
        <v>1/2" Round AM 9015 35</v>
      </c>
      <c r="E180" s="134">
        <v>5</v>
      </c>
      <c r="F180" s="134">
        <v>1</v>
      </c>
    </row>
    <row r="181" spans="1:6" ht="14.25" customHeight="1" x14ac:dyDescent="0.3">
      <c r="A181" s="134" t="s">
        <v>243</v>
      </c>
      <c r="B181" s="134" t="s">
        <v>11</v>
      </c>
      <c r="C181" s="134">
        <v>36</v>
      </c>
      <c r="D181" s="134" t="str">
        <f t="shared" si="0"/>
        <v>1/2" Round AM 9015 36</v>
      </c>
      <c r="E181" s="134">
        <v>5</v>
      </c>
      <c r="F181" s="134">
        <v>1</v>
      </c>
    </row>
    <row r="182" spans="1:6" ht="14.25" customHeight="1" x14ac:dyDescent="0.3">
      <c r="A182" s="134" t="s">
        <v>243</v>
      </c>
      <c r="B182" s="134" t="s">
        <v>11</v>
      </c>
      <c r="C182" s="134">
        <v>40</v>
      </c>
      <c r="D182" s="134" t="str">
        <f t="shared" si="0"/>
        <v>1/2" Round AM 9015 40</v>
      </c>
      <c r="E182" s="134">
        <v>5</v>
      </c>
      <c r="F182" s="134">
        <v>1</v>
      </c>
    </row>
    <row r="183" spans="1:6" ht="14.25" customHeight="1" x14ac:dyDescent="0.3">
      <c r="A183" s="134" t="s">
        <v>243</v>
      </c>
      <c r="B183" s="134" t="s">
        <v>11</v>
      </c>
      <c r="C183" s="134">
        <v>45</v>
      </c>
      <c r="D183" s="134" t="str">
        <f t="shared" si="0"/>
        <v>1/2" Round AM 9015 45</v>
      </c>
      <c r="E183" s="134">
        <v>5</v>
      </c>
      <c r="F183" s="134">
        <v>1</v>
      </c>
    </row>
    <row r="184" spans="1:6" ht="14.25" customHeight="1" x14ac:dyDescent="0.3">
      <c r="A184" s="134" t="s">
        <v>243</v>
      </c>
      <c r="B184" s="134" t="s">
        <v>11</v>
      </c>
      <c r="C184" s="134">
        <v>49</v>
      </c>
      <c r="D184" s="134" t="str">
        <f t="shared" si="0"/>
        <v>1/2" Round AM 9015 49</v>
      </c>
      <c r="E184" s="134">
        <v>5</v>
      </c>
      <c r="F184" s="134">
        <v>1</v>
      </c>
    </row>
    <row r="185" spans="1:6" ht="14.25" customHeight="1" x14ac:dyDescent="0.3">
      <c r="A185" s="134" t="s">
        <v>243</v>
      </c>
      <c r="B185" s="134" t="s">
        <v>11</v>
      </c>
      <c r="C185" s="134">
        <v>50</v>
      </c>
      <c r="D185" s="134" t="str">
        <f t="shared" si="0"/>
        <v>1/2" Round AM 9015 50</v>
      </c>
      <c r="E185" s="134">
        <v>5</v>
      </c>
      <c r="F185" s="134">
        <v>1</v>
      </c>
    </row>
    <row r="186" spans="1:6" ht="14.25" customHeight="1" x14ac:dyDescent="0.3">
      <c r="A186" s="134" t="s">
        <v>243</v>
      </c>
      <c r="B186" s="134" t="s">
        <v>11</v>
      </c>
      <c r="C186" s="134">
        <v>63</v>
      </c>
      <c r="D186" s="134" t="str">
        <f t="shared" si="0"/>
        <v>1/2" Round AM 9015 63</v>
      </c>
      <c r="E186" s="134">
        <v>4</v>
      </c>
      <c r="F186" s="134">
        <v>1</v>
      </c>
    </row>
    <row r="187" spans="1:6" ht="14.25" customHeight="1" x14ac:dyDescent="0.3">
      <c r="A187" s="134" t="s">
        <v>243</v>
      </c>
      <c r="B187" s="134" t="s">
        <v>11</v>
      </c>
      <c r="C187" s="134">
        <v>70</v>
      </c>
      <c r="D187" s="134" t="str">
        <f t="shared" si="0"/>
        <v>1/2" Round AM 9015 70</v>
      </c>
      <c r="E187" s="134">
        <v>4</v>
      </c>
      <c r="F187" s="134">
        <v>1</v>
      </c>
    </row>
    <row r="188" spans="1:6" ht="14.25" customHeight="1" x14ac:dyDescent="0.3">
      <c r="A188" s="134" t="s">
        <v>243</v>
      </c>
      <c r="B188" s="134" t="s">
        <v>11</v>
      </c>
      <c r="C188" s="134">
        <v>81</v>
      </c>
      <c r="D188" s="134" t="str">
        <f t="shared" si="0"/>
        <v>1/2" Round AM 9015 81</v>
      </c>
      <c r="E188" s="134">
        <v>3</v>
      </c>
      <c r="F188" s="134">
        <v>1</v>
      </c>
    </row>
    <row r="189" spans="1:6" ht="14.25" customHeight="1" x14ac:dyDescent="0.3">
      <c r="A189" s="134" t="s">
        <v>243</v>
      </c>
      <c r="B189" s="134" t="s">
        <v>11</v>
      </c>
      <c r="C189" s="134">
        <v>90</v>
      </c>
      <c r="D189" s="134" t="str">
        <f t="shared" si="0"/>
        <v>1/2" Round AM 9015 90</v>
      </c>
      <c r="E189" s="134">
        <v>3</v>
      </c>
      <c r="F189" s="134">
        <v>1</v>
      </c>
    </row>
    <row r="190" spans="1:6" ht="14.25" customHeight="1" x14ac:dyDescent="0.3">
      <c r="A190" s="134" t="s">
        <v>243</v>
      </c>
      <c r="B190" s="134" t="s">
        <v>11</v>
      </c>
      <c r="C190" s="134">
        <v>100</v>
      </c>
      <c r="D190" s="134" t="str">
        <f t="shared" si="0"/>
        <v>1/2" Round AM 9015 100</v>
      </c>
      <c r="E190" s="134">
        <v>1</v>
      </c>
      <c r="F190" s="134">
        <v>0</v>
      </c>
    </row>
    <row r="191" spans="1:6" ht="14.25" customHeight="1" x14ac:dyDescent="0.3">
      <c r="A191" s="134" t="s">
        <v>243</v>
      </c>
      <c r="B191" s="134" t="s">
        <v>336</v>
      </c>
      <c r="C191" s="134">
        <v>9</v>
      </c>
      <c r="D191" s="134" t="str">
        <f t="shared" si="0"/>
        <v>1/2" Round NeveRest 9</v>
      </c>
      <c r="E191" s="134">
        <v>10</v>
      </c>
      <c r="F191" s="134">
        <v>10</v>
      </c>
    </row>
    <row r="192" spans="1:6" ht="14.25" customHeight="1" x14ac:dyDescent="0.3">
      <c r="A192" s="134" t="s">
        <v>243</v>
      </c>
      <c r="B192" s="134" t="s">
        <v>336</v>
      </c>
      <c r="C192" s="134">
        <v>12</v>
      </c>
      <c r="D192" s="134" t="str">
        <f t="shared" si="0"/>
        <v>1/2" Round NeveRest 12</v>
      </c>
      <c r="E192" s="134">
        <v>10</v>
      </c>
      <c r="F192" s="134">
        <v>10</v>
      </c>
    </row>
    <row r="193" spans="1:6" ht="14.25" customHeight="1" x14ac:dyDescent="0.3">
      <c r="A193" s="134" t="s">
        <v>243</v>
      </c>
      <c r="B193" s="134" t="s">
        <v>336</v>
      </c>
      <c r="C193" s="134">
        <v>15</v>
      </c>
      <c r="D193" s="134" t="str">
        <f t="shared" si="0"/>
        <v>1/2" Round NeveRest 15</v>
      </c>
      <c r="E193" s="134">
        <v>10</v>
      </c>
      <c r="F193" s="134">
        <v>10</v>
      </c>
    </row>
    <row r="194" spans="1:6" ht="14.25" customHeight="1" x14ac:dyDescent="0.3">
      <c r="A194" s="134" t="s">
        <v>243</v>
      </c>
      <c r="B194" s="134" t="s">
        <v>336</v>
      </c>
      <c r="C194" s="134">
        <v>16</v>
      </c>
      <c r="D194" s="134" t="str">
        <f t="shared" si="0"/>
        <v>1/2" Round NeveRest 16</v>
      </c>
      <c r="E194" s="134">
        <v>10</v>
      </c>
      <c r="F194" s="134">
        <v>10</v>
      </c>
    </row>
    <row r="195" spans="1:6" ht="14.25" customHeight="1" x14ac:dyDescent="0.3">
      <c r="A195" s="134" t="s">
        <v>243</v>
      </c>
      <c r="B195" s="134" t="s">
        <v>336</v>
      </c>
      <c r="C195" s="134">
        <v>20</v>
      </c>
      <c r="D195" s="134" t="str">
        <f t="shared" si="0"/>
        <v>1/2" Round NeveRest 20</v>
      </c>
      <c r="E195" s="134">
        <v>10</v>
      </c>
      <c r="F195" s="134">
        <v>10</v>
      </c>
    </row>
    <row r="196" spans="1:6" ht="14.25" customHeight="1" x14ac:dyDescent="0.3">
      <c r="A196" s="134" t="s">
        <v>243</v>
      </c>
      <c r="B196" s="134" t="s">
        <v>336</v>
      </c>
      <c r="C196" s="134">
        <v>21</v>
      </c>
      <c r="D196" s="134" t="str">
        <f t="shared" si="0"/>
        <v>1/2" Round NeveRest 21</v>
      </c>
      <c r="E196" s="134">
        <v>9</v>
      </c>
      <c r="F196" s="134">
        <v>9</v>
      </c>
    </row>
    <row r="197" spans="1:6" ht="14.25" customHeight="1" x14ac:dyDescent="0.3">
      <c r="A197" s="134" t="s">
        <v>243</v>
      </c>
      <c r="B197" s="134" t="s">
        <v>336</v>
      </c>
      <c r="C197" s="134">
        <v>25</v>
      </c>
      <c r="D197" s="134" t="str">
        <f t="shared" si="0"/>
        <v>1/2" Round NeveRest 25</v>
      </c>
      <c r="E197" s="134">
        <v>7</v>
      </c>
      <c r="F197" s="134">
        <v>7</v>
      </c>
    </row>
    <row r="198" spans="1:6" ht="14.25" customHeight="1" x14ac:dyDescent="0.3">
      <c r="A198" s="134" t="s">
        <v>243</v>
      </c>
      <c r="B198" s="134" t="s">
        <v>336</v>
      </c>
      <c r="C198" s="134">
        <v>27</v>
      </c>
      <c r="D198" s="134" t="str">
        <f t="shared" si="0"/>
        <v>1/2" Round NeveRest 27</v>
      </c>
      <c r="E198" s="134">
        <v>7</v>
      </c>
      <c r="F198" s="134">
        <v>7</v>
      </c>
    </row>
    <row r="199" spans="1:6" ht="14.25" customHeight="1" x14ac:dyDescent="0.3">
      <c r="A199" s="134" t="s">
        <v>243</v>
      </c>
      <c r="B199" s="134" t="s">
        <v>336</v>
      </c>
      <c r="C199" s="134">
        <v>28</v>
      </c>
      <c r="D199" s="134" t="str">
        <f t="shared" si="0"/>
        <v>1/2" Round NeveRest 28</v>
      </c>
      <c r="E199" s="134">
        <v>7</v>
      </c>
      <c r="F199" s="134">
        <v>7</v>
      </c>
    </row>
    <row r="200" spans="1:6" ht="14.25" customHeight="1" x14ac:dyDescent="0.3">
      <c r="A200" s="134" t="s">
        <v>243</v>
      </c>
      <c r="B200" s="134" t="s">
        <v>336</v>
      </c>
      <c r="C200" s="134">
        <v>30</v>
      </c>
      <c r="D200" s="134" t="str">
        <f t="shared" si="0"/>
        <v>1/2" Round NeveRest 30</v>
      </c>
      <c r="E200" s="134">
        <v>5</v>
      </c>
      <c r="F200" s="134">
        <v>5</v>
      </c>
    </row>
    <row r="201" spans="1:6" ht="14.25" customHeight="1" x14ac:dyDescent="0.3">
      <c r="A201" s="134" t="s">
        <v>243</v>
      </c>
      <c r="B201" s="134" t="s">
        <v>336</v>
      </c>
      <c r="C201" s="134">
        <v>35</v>
      </c>
      <c r="D201" s="134" t="str">
        <f t="shared" si="0"/>
        <v>1/2" Round NeveRest 35</v>
      </c>
      <c r="E201" s="134">
        <v>5</v>
      </c>
      <c r="F201" s="134">
        <v>5</v>
      </c>
    </row>
    <row r="202" spans="1:6" ht="14.25" customHeight="1" x14ac:dyDescent="0.3">
      <c r="A202" s="134" t="s">
        <v>243</v>
      </c>
      <c r="B202" s="134" t="s">
        <v>336</v>
      </c>
      <c r="C202" s="134">
        <v>36</v>
      </c>
      <c r="D202" s="134" t="str">
        <f t="shared" si="0"/>
        <v>1/2" Round NeveRest 36</v>
      </c>
      <c r="E202" s="134">
        <v>5</v>
      </c>
      <c r="F202" s="134">
        <v>5</v>
      </c>
    </row>
    <row r="203" spans="1:6" ht="14.25" customHeight="1" x14ac:dyDescent="0.3">
      <c r="A203" s="134" t="s">
        <v>243</v>
      </c>
      <c r="B203" s="134" t="s">
        <v>336</v>
      </c>
      <c r="C203" s="134">
        <v>40</v>
      </c>
      <c r="D203" s="134" t="str">
        <f t="shared" si="0"/>
        <v>1/2" Round NeveRest 40</v>
      </c>
      <c r="E203" s="134">
        <v>5</v>
      </c>
      <c r="F203" s="134">
        <v>5</v>
      </c>
    </row>
    <row r="204" spans="1:6" ht="14.25" customHeight="1" x14ac:dyDescent="0.3">
      <c r="A204" s="134" t="s">
        <v>243</v>
      </c>
      <c r="B204" s="134" t="s">
        <v>336</v>
      </c>
      <c r="C204" s="134">
        <v>45</v>
      </c>
      <c r="D204" s="134" t="str">
        <f t="shared" si="0"/>
        <v>1/2" Round NeveRest 45</v>
      </c>
      <c r="E204" s="134">
        <v>5</v>
      </c>
      <c r="F204" s="134">
        <v>4</v>
      </c>
    </row>
    <row r="205" spans="1:6" ht="14.25" customHeight="1" x14ac:dyDescent="0.3">
      <c r="A205" s="134" t="s">
        <v>243</v>
      </c>
      <c r="B205" s="134" t="s">
        <v>336</v>
      </c>
      <c r="C205" s="134">
        <v>49</v>
      </c>
      <c r="D205" s="134" t="str">
        <f t="shared" si="0"/>
        <v>1/2" Round NeveRest 49</v>
      </c>
      <c r="E205" s="134">
        <v>5</v>
      </c>
      <c r="F205" s="134">
        <v>4</v>
      </c>
    </row>
    <row r="206" spans="1:6" ht="14.25" customHeight="1" x14ac:dyDescent="0.3">
      <c r="A206" s="134" t="s">
        <v>243</v>
      </c>
      <c r="B206" s="134" t="s">
        <v>336</v>
      </c>
      <c r="C206" s="134">
        <v>50</v>
      </c>
      <c r="D206" s="134" t="str">
        <f t="shared" si="0"/>
        <v>1/2" Round NeveRest 50</v>
      </c>
      <c r="E206" s="134">
        <v>5</v>
      </c>
      <c r="F206" s="134">
        <v>4</v>
      </c>
    </row>
    <row r="207" spans="1:6" ht="14.25" customHeight="1" x14ac:dyDescent="0.3">
      <c r="A207" s="134" t="s">
        <v>243</v>
      </c>
      <c r="B207" s="134" t="s">
        <v>336</v>
      </c>
      <c r="C207" s="134">
        <v>63</v>
      </c>
      <c r="D207" s="134" t="str">
        <f t="shared" si="0"/>
        <v>1/2" Round NeveRest 63</v>
      </c>
      <c r="E207" s="134">
        <v>4</v>
      </c>
      <c r="F207" s="134">
        <v>3</v>
      </c>
    </row>
    <row r="208" spans="1:6" ht="14.25" customHeight="1" x14ac:dyDescent="0.3">
      <c r="A208" s="134" t="s">
        <v>243</v>
      </c>
      <c r="B208" s="134" t="s">
        <v>336</v>
      </c>
      <c r="C208" s="134">
        <v>70</v>
      </c>
      <c r="D208" s="134" t="str">
        <f t="shared" si="0"/>
        <v>1/2" Round NeveRest 70</v>
      </c>
      <c r="E208" s="134">
        <v>3</v>
      </c>
      <c r="F208" s="134">
        <v>1</v>
      </c>
    </row>
    <row r="209" spans="1:6" ht="14.25" customHeight="1" x14ac:dyDescent="0.3">
      <c r="A209" s="134" t="s">
        <v>243</v>
      </c>
      <c r="B209" s="134" t="s">
        <v>336</v>
      </c>
      <c r="C209" s="134">
        <v>81</v>
      </c>
      <c r="D209" s="134" t="str">
        <f t="shared" si="0"/>
        <v>1/2" Round NeveRest 81</v>
      </c>
      <c r="E209" s="134">
        <v>3</v>
      </c>
      <c r="F209" s="134">
        <v>1</v>
      </c>
    </row>
    <row r="210" spans="1:6" ht="14.25" customHeight="1" x14ac:dyDescent="0.3">
      <c r="A210" s="134" t="s">
        <v>243</v>
      </c>
      <c r="B210" s="134" t="s">
        <v>336</v>
      </c>
      <c r="C210" s="134">
        <v>90</v>
      </c>
      <c r="D210" s="134" t="str">
        <f t="shared" si="0"/>
        <v>1/2" Round NeveRest 90</v>
      </c>
      <c r="E210" s="134">
        <v>1</v>
      </c>
      <c r="F210" s="134">
        <v>1</v>
      </c>
    </row>
    <row r="211" spans="1:6" ht="14.25" customHeight="1" x14ac:dyDescent="0.3">
      <c r="A211" s="134" t="s">
        <v>243</v>
      </c>
      <c r="B211" s="134" t="s">
        <v>336</v>
      </c>
      <c r="C211" s="134">
        <v>100</v>
      </c>
      <c r="D211" s="134" t="str">
        <f t="shared" si="0"/>
        <v>1/2" Round NeveRest 100</v>
      </c>
      <c r="E211" s="134">
        <v>1</v>
      </c>
      <c r="F211" s="134">
        <v>1</v>
      </c>
    </row>
    <row r="212" spans="1:6" ht="14.25" customHeight="1" x14ac:dyDescent="0.3">
      <c r="A212" s="134" t="s">
        <v>243</v>
      </c>
      <c r="B212" s="134" t="s">
        <v>332</v>
      </c>
      <c r="C212" s="134">
        <v>9</v>
      </c>
      <c r="D212" s="134" t="str">
        <f t="shared" si="0"/>
        <v>1/2" Round BB RS-550 9</v>
      </c>
      <c r="E212" s="134">
        <v>10</v>
      </c>
      <c r="F212" s="134">
        <v>10</v>
      </c>
    </row>
    <row r="213" spans="1:6" ht="14.25" customHeight="1" x14ac:dyDescent="0.3">
      <c r="A213" s="134" t="s">
        <v>243</v>
      </c>
      <c r="B213" s="134" t="s">
        <v>332</v>
      </c>
      <c r="C213" s="134">
        <v>12</v>
      </c>
      <c r="D213" s="134" t="str">
        <f t="shared" si="0"/>
        <v>1/2" Round BB RS-550 12</v>
      </c>
      <c r="E213" s="134">
        <v>10</v>
      </c>
      <c r="F213" s="134">
        <v>7</v>
      </c>
    </row>
    <row r="214" spans="1:6" ht="14.25" customHeight="1" x14ac:dyDescent="0.3">
      <c r="A214" s="134" t="s">
        <v>243</v>
      </c>
      <c r="B214" s="134" t="s">
        <v>332</v>
      </c>
      <c r="C214" s="134">
        <v>15</v>
      </c>
      <c r="D214" s="134" t="str">
        <f t="shared" si="0"/>
        <v>1/2" Round BB RS-550 15</v>
      </c>
      <c r="E214" s="134">
        <v>10</v>
      </c>
      <c r="F214" s="134">
        <v>5</v>
      </c>
    </row>
    <row r="215" spans="1:6" ht="14.25" customHeight="1" x14ac:dyDescent="0.3">
      <c r="A215" s="134" t="s">
        <v>243</v>
      </c>
      <c r="B215" s="134" t="s">
        <v>332</v>
      </c>
      <c r="C215" s="134">
        <v>16</v>
      </c>
      <c r="D215" s="134" t="str">
        <f t="shared" si="0"/>
        <v>1/2" Round BB RS-550 16</v>
      </c>
      <c r="E215" s="134">
        <v>10</v>
      </c>
      <c r="F215" s="134">
        <v>5</v>
      </c>
    </row>
    <row r="216" spans="1:6" ht="14.25" customHeight="1" x14ac:dyDescent="0.3">
      <c r="A216" s="134" t="s">
        <v>243</v>
      </c>
      <c r="B216" s="134" t="s">
        <v>332</v>
      </c>
      <c r="C216" s="134">
        <v>20</v>
      </c>
      <c r="D216" s="134" t="str">
        <f t="shared" si="0"/>
        <v>1/2" Round BB RS-550 20</v>
      </c>
      <c r="E216" s="134">
        <v>10</v>
      </c>
      <c r="F216" s="134">
        <v>4</v>
      </c>
    </row>
    <row r="217" spans="1:6" ht="14.25" customHeight="1" x14ac:dyDescent="0.3">
      <c r="A217" s="134" t="s">
        <v>243</v>
      </c>
      <c r="B217" s="134" t="s">
        <v>332</v>
      </c>
      <c r="C217" s="134">
        <v>21</v>
      </c>
      <c r="D217" s="134" t="str">
        <f t="shared" si="0"/>
        <v>1/2" Round BB RS-550 21</v>
      </c>
      <c r="E217" s="134">
        <v>9</v>
      </c>
      <c r="F217" s="134">
        <v>4</v>
      </c>
    </row>
    <row r="218" spans="1:6" ht="14.25" customHeight="1" x14ac:dyDescent="0.3">
      <c r="A218" s="134" t="s">
        <v>243</v>
      </c>
      <c r="B218" s="134" t="s">
        <v>332</v>
      </c>
      <c r="C218" s="134">
        <v>25</v>
      </c>
      <c r="D218" s="134" t="str">
        <f t="shared" si="0"/>
        <v>1/2" Round BB RS-550 25</v>
      </c>
      <c r="E218" s="134">
        <v>7</v>
      </c>
      <c r="F218" s="134">
        <v>3</v>
      </c>
    </row>
    <row r="219" spans="1:6" ht="14.25" customHeight="1" x14ac:dyDescent="0.3">
      <c r="A219" s="134" t="s">
        <v>243</v>
      </c>
      <c r="B219" s="134" t="s">
        <v>332</v>
      </c>
      <c r="C219" s="134">
        <v>27</v>
      </c>
      <c r="D219" s="134" t="str">
        <f t="shared" si="0"/>
        <v>1/2" Round BB RS-550 27</v>
      </c>
      <c r="E219" s="134">
        <v>7</v>
      </c>
      <c r="F219" s="134">
        <v>3</v>
      </c>
    </row>
    <row r="220" spans="1:6" ht="14.25" customHeight="1" x14ac:dyDescent="0.3">
      <c r="A220" s="134" t="s">
        <v>243</v>
      </c>
      <c r="B220" s="134" t="s">
        <v>332</v>
      </c>
      <c r="C220" s="134">
        <v>28</v>
      </c>
      <c r="D220" s="134" t="str">
        <f t="shared" si="0"/>
        <v>1/2" Round BB RS-550 28</v>
      </c>
      <c r="E220" s="134">
        <v>7</v>
      </c>
      <c r="F220" s="134">
        <v>3</v>
      </c>
    </row>
    <row r="221" spans="1:6" ht="14.25" customHeight="1" x14ac:dyDescent="0.3">
      <c r="A221" s="134" t="s">
        <v>243</v>
      </c>
      <c r="B221" s="134" t="s">
        <v>332</v>
      </c>
      <c r="C221" s="134">
        <v>30</v>
      </c>
      <c r="D221" s="134" t="str">
        <f t="shared" si="0"/>
        <v>1/2" Round BB RS-550 30</v>
      </c>
      <c r="E221" s="134">
        <v>5</v>
      </c>
      <c r="F221" s="134">
        <v>3</v>
      </c>
    </row>
    <row r="222" spans="1:6" ht="14.25" customHeight="1" x14ac:dyDescent="0.3">
      <c r="A222" s="134" t="s">
        <v>243</v>
      </c>
      <c r="B222" s="134" t="s">
        <v>332</v>
      </c>
      <c r="C222" s="134">
        <v>35</v>
      </c>
      <c r="D222" s="134" t="str">
        <f t="shared" si="0"/>
        <v>1/2" Round BB RS-550 35</v>
      </c>
      <c r="E222" s="134">
        <v>5</v>
      </c>
      <c r="F222" s="134">
        <v>1</v>
      </c>
    </row>
    <row r="223" spans="1:6" ht="14.25" customHeight="1" x14ac:dyDescent="0.3">
      <c r="A223" s="134" t="s">
        <v>243</v>
      </c>
      <c r="B223" s="134" t="s">
        <v>332</v>
      </c>
      <c r="C223" s="134">
        <v>36</v>
      </c>
      <c r="D223" s="134" t="str">
        <f t="shared" si="0"/>
        <v>1/2" Round BB RS-550 36</v>
      </c>
      <c r="E223" s="134">
        <v>5</v>
      </c>
      <c r="F223" s="134">
        <v>1</v>
      </c>
    </row>
    <row r="224" spans="1:6" ht="14.25" customHeight="1" x14ac:dyDescent="0.3">
      <c r="A224" s="134" t="s">
        <v>243</v>
      </c>
      <c r="B224" s="134" t="s">
        <v>332</v>
      </c>
      <c r="C224" s="134">
        <v>40</v>
      </c>
      <c r="D224" s="134" t="str">
        <f t="shared" si="0"/>
        <v>1/2" Round BB RS-550 40</v>
      </c>
      <c r="E224" s="134">
        <v>5</v>
      </c>
      <c r="F224" s="134">
        <v>1</v>
      </c>
    </row>
    <row r="225" spans="1:6" ht="14.25" customHeight="1" x14ac:dyDescent="0.3">
      <c r="A225" s="134" t="s">
        <v>243</v>
      </c>
      <c r="B225" s="134" t="s">
        <v>332</v>
      </c>
      <c r="C225" s="134">
        <v>45</v>
      </c>
      <c r="D225" s="134" t="str">
        <f t="shared" si="0"/>
        <v>1/2" Round BB RS-550 45</v>
      </c>
      <c r="E225" s="134">
        <v>5</v>
      </c>
      <c r="F225" s="134">
        <v>1</v>
      </c>
    </row>
    <row r="226" spans="1:6" ht="14.25" customHeight="1" x14ac:dyDescent="0.3">
      <c r="A226" s="134" t="s">
        <v>243</v>
      </c>
      <c r="B226" s="134" t="s">
        <v>332</v>
      </c>
      <c r="C226" s="134">
        <v>49</v>
      </c>
      <c r="D226" s="134" t="str">
        <f t="shared" si="0"/>
        <v>1/2" Round BB RS-550 49</v>
      </c>
      <c r="E226" s="134">
        <v>5</v>
      </c>
      <c r="F226" s="134">
        <v>1</v>
      </c>
    </row>
    <row r="227" spans="1:6" ht="14.25" customHeight="1" x14ac:dyDescent="0.3">
      <c r="A227" s="134" t="s">
        <v>243</v>
      </c>
      <c r="B227" s="134" t="s">
        <v>332</v>
      </c>
      <c r="C227" s="134">
        <v>50</v>
      </c>
      <c r="D227" s="134" t="str">
        <f t="shared" si="0"/>
        <v>1/2" Round BB RS-550 50</v>
      </c>
      <c r="E227" s="134">
        <v>5</v>
      </c>
      <c r="F227" s="134">
        <v>1</v>
      </c>
    </row>
    <row r="228" spans="1:6" ht="14.25" customHeight="1" x14ac:dyDescent="0.3">
      <c r="A228" s="134" t="s">
        <v>243</v>
      </c>
      <c r="B228" s="134" t="s">
        <v>332</v>
      </c>
      <c r="C228" s="134">
        <v>63</v>
      </c>
      <c r="D228" s="134" t="str">
        <f t="shared" si="0"/>
        <v>1/2" Round BB RS-550 63</v>
      </c>
      <c r="E228" s="134">
        <v>4</v>
      </c>
      <c r="F228" s="134">
        <v>1</v>
      </c>
    </row>
    <row r="229" spans="1:6" ht="14.25" customHeight="1" x14ac:dyDescent="0.3">
      <c r="A229" s="134" t="s">
        <v>243</v>
      </c>
      <c r="B229" s="134" t="s">
        <v>332</v>
      </c>
      <c r="C229" s="134">
        <v>70</v>
      </c>
      <c r="D229" s="134" t="str">
        <f t="shared" si="0"/>
        <v>1/2" Round BB RS-550 70</v>
      </c>
      <c r="E229" s="134">
        <v>3</v>
      </c>
      <c r="F229" s="134">
        <v>1</v>
      </c>
    </row>
    <row r="230" spans="1:6" ht="14.25" customHeight="1" x14ac:dyDescent="0.3">
      <c r="A230" s="134" t="s">
        <v>243</v>
      </c>
      <c r="B230" s="134" t="s">
        <v>332</v>
      </c>
      <c r="C230" s="134">
        <v>81</v>
      </c>
      <c r="D230" s="134" t="str">
        <f t="shared" si="0"/>
        <v>1/2" Round BB RS-550 81</v>
      </c>
      <c r="E230" s="134">
        <v>3</v>
      </c>
      <c r="F230" s="134">
        <v>1</v>
      </c>
    </row>
    <row r="231" spans="1:6" ht="14.25" customHeight="1" x14ac:dyDescent="0.3">
      <c r="A231" s="134" t="s">
        <v>243</v>
      </c>
      <c r="B231" s="134" t="s">
        <v>332</v>
      </c>
      <c r="C231" s="134">
        <v>90</v>
      </c>
      <c r="D231" s="134" t="str">
        <f t="shared" si="0"/>
        <v>1/2" Round BB RS-550 90</v>
      </c>
      <c r="E231" s="134">
        <v>1</v>
      </c>
      <c r="F231" s="134">
        <v>1</v>
      </c>
    </row>
    <row r="232" spans="1:6" ht="14.25" customHeight="1" x14ac:dyDescent="0.3">
      <c r="A232" s="134" t="s">
        <v>243</v>
      </c>
      <c r="B232" s="134" t="s">
        <v>332</v>
      </c>
      <c r="C232" s="134">
        <v>100</v>
      </c>
      <c r="D232" s="134" t="str">
        <f t="shared" si="0"/>
        <v>1/2" Round BB RS-550 100</v>
      </c>
      <c r="E232" s="134">
        <v>1</v>
      </c>
      <c r="F232" s="134">
        <v>0</v>
      </c>
    </row>
    <row r="233" spans="1:6" ht="14.25" customHeight="1" x14ac:dyDescent="0.3">
      <c r="A233" s="134" t="s">
        <v>243</v>
      </c>
      <c r="B233" s="134" t="s">
        <v>333</v>
      </c>
      <c r="C233" s="134">
        <v>9</v>
      </c>
      <c r="D233" s="134" t="str">
        <f t="shared" si="0"/>
        <v>1/2" Round BB RS-775 9</v>
      </c>
      <c r="E233" s="134">
        <v>10</v>
      </c>
      <c r="F233" s="134">
        <v>10</v>
      </c>
    </row>
    <row r="234" spans="1:6" ht="14.25" customHeight="1" x14ac:dyDescent="0.3">
      <c r="A234" s="134" t="s">
        <v>243</v>
      </c>
      <c r="B234" s="134" t="s">
        <v>333</v>
      </c>
      <c r="C234" s="134">
        <v>12</v>
      </c>
      <c r="D234" s="134" t="str">
        <f t="shared" si="0"/>
        <v>1/2" Round BB RS-775 12</v>
      </c>
      <c r="E234" s="134">
        <v>10</v>
      </c>
      <c r="F234" s="134">
        <v>10</v>
      </c>
    </row>
    <row r="235" spans="1:6" ht="14.25" customHeight="1" x14ac:dyDescent="0.3">
      <c r="A235" s="134" t="s">
        <v>243</v>
      </c>
      <c r="B235" s="134" t="s">
        <v>333</v>
      </c>
      <c r="C235" s="134">
        <v>15</v>
      </c>
      <c r="D235" s="134" t="str">
        <f t="shared" si="0"/>
        <v>1/2" Round BB RS-775 15</v>
      </c>
      <c r="E235" s="134">
        <v>7</v>
      </c>
      <c r="F235" s="134">
        <v>7</v>
      </c>
    </row>
    <row r="236" spans="1:6" ht="14.25" customHeight="1" x14ac:dyDescent="0.3">
      <c r="A236" s="134" t="s">
        <v>243</v>
      </c>
      <c r="B236" s="134" t="s">
        <v>333</v>
      </c>
      <c r="C236" s="134">
        <v>16</v>
      </c>
      <c r="D236" s="134" t="str">
        <f t="shared" si="0"/>
        <v>1/2" Round BB RS-775 16</v>
      </c>
      <c r="E236" s="134">
        <v>7</v>
      </c>
      <c r="F236" s="134">
        <v>7</v>
      </c>
    </row>
    <row r="237" spans="1:6" ht="14.25" customHeight="1" x14ac:dyDescent="0.3">
      <c r="A237" s="134" t="s">
        <v>243</v>
      </c>
      <c r="B237" s="134" t="s">
        <v>333</v>
      </c>
      <c r="C237" s="134">
        <v>20</v>
      </c>
      <c r="D237" s="134" t="str">
        <f t="shared" si="0"/>
        <v>1/2" Round BB RS-775 20</v>
      </c>
      <c r="E237" s="134">
        <v>5</v>
      </c>
      <c r="F237" s="134">
        <v>5</v>
      </c>
    </row>
    <row r="238" spans="1:6" ht="14.25" customHeight="1" x14ac:dyDescent="0.3">
      <c r="A238" s="134" t="s">
        <v>243</v>
      </c>
      <c r="B238" s="134" t="s">
        <v>333</v>
      </c>
      <c r="C238" s="134">
        <v>21</v>
      </c>
      <c r="D238" s="134" t="str">
        <f t="shared" si="0"/>
        <v>1/2" Round BB RS-775 21</v>
      </c>
      <c r="E238" s="134">
        <v>5</v>
      </c>
      <c r="F238" s="134">
        <v>5</v>
      </c>
    </row>
    <row r="239" spans="1:6" ht="14.25" customHeight="1" x14ac:dyDescent="0.3">
      <c r="A239" s="134" t="s">
        <v>243</v>
      </c>
      <c r="B239" s="134" t="s">
        <v>333</v>
      </c>
      <c r="C239" s="134">
        <v>25</v>
      </c>
      <c r="D239" s="134" t="str">
        <f t="shared" si="0"/>
        <v>1/2" Round BB RS-775 25</v>
      </c>
      <c r="E239" s="134">
        <v>5</v>
      </c>
      <c r="F239" s="134">
        <v>5</v>
      </c>
    </row>
    <row r="240" spans="1:6" ht="14.25" customHeight="1" x14ac:dyDescent="0.3">
      <c r="A240" s="134" t="s">
        <v>243</v>
      </c>
      <c r="B240" s="134" t="s">
        <v>333</v>
      </c>
      <c r="C240" s="134">
        <v>27</v>
      </c>
      <c r="D240" s="134" t="str">
        <f t="shared" si="0"/>
        <v>1/2" Round BB RS-775 27</v>
      </c>
      <c r="E240" s="134">
        <v>5</v>
      </c>
      <c r="F240" s="134">
        <v>4</v>
      </c>
    </row>
    <row r="241" spans="1:6" ht="14.25" customHeight="1" x14ac:dyDescent="0.3">
      <c r="A241" s="134" t="s">
        <v>243</v>
      </c>
      <c r="B241" s="134" t="s">
        <v>333</v>
      </c>
      <c r="C241" s="134">
        <v>28</v>
      </c>
      <c r="D241" s="134" t="str">
        <f t="shared" si="0"/>
        <v>1/2" Round BB RS-775 28</v>
      </c>
      <c r="E241" s="134">
        <v>5</v>
      </c>
      <c r="F241" s="134">
        <v>4</v>
      </c>
    </row>
    <row r="242" spans="1:6" ht="14.25" customHeight="1" x14ac:dyDescent="0.3">
      <c r="A242" s="134" t="s">
        <v>243</v>
      </c>
      <c r="B242" s="134" t="s">
        <v>333</v>
      </c>
      <c r="C242" s="134">
        <v>30</v>
      </c>
      <c r="D242" s="134" t="str">
        <f t="shared" si="0"/>
        <v>1/2" Round BB RS-775 30</v>
      </c>
      <c r="E242" s="134">
        <v>5</v>
      </c>
      <c r="F242" s="134">
        <v>4</v>
      </c>
    </row>
    <row r="243" spans="1:6" ht="14.25" customHeight="1" x14ac:dyDescent="0.3">
      <c r="A243" s="134" t="s">
        <v>243</v>
      </c>
      <c r="B243" s="134" t="s">
        <v>333</v>
      </c>
      <c r="C243" s="134">
        <v>35</v>
      </c>
      <c r="D243" s="134" t="str">
        <f t="shared" si="0"/>
        <v>1/2" Round BB RS-775 35</v>
      </c>
      <c r="E243" s="134">
        <v>4</v>
      </c>
      <c r="F243" s="134">
        <v>3</v>
      </c>
    </row>
    <row r="244" spans="1:6" ht="14.25" customHeight="1" x14ac:dyDescent="0.3">
      <c r="A244" s="134" t="s">
        <v>243</v>
      </c>
      <c r="B244" s="134" t="s">
        <v>333</v>
      </c>
      <c r="C244" s="134">
        <v>36</v>
      </c>
      <c r="D244" s="134" t="str">
        <f t="shared" si="0"/>
        <v>1/2" Round BB RS-775 36</v>
      </c>
      <c r="E244" s="134">
        <v>4</v>
      </c>
      <c r="F244" s="134">
        <v>3</v>
      </c>
    </row>
    <row r="245" spans="1:6" ht="14.25" customHeight="1" x14ac:dyDescent="0.3">
      <c r="A245" s="134" t="s">
        <v>243</v>
      </c>
      <c r="B245" s="134" t="s">
        <v>333</v>
      </c>
      <c r="C245" s="134">
        <v>40</v>
      </c>
      <c r="D245" s="134" t="str">
        <f t="shared" si="0"/>
        <v>1/2" Round BB RS-775 40</v>
      </c>
      <c r="E245" s="134">
        <v>4</v>
      </c>
      <c r="F245" s="134">
        <v>3</v>
      </c>
    </row>
    <row r="246" spans="1:6" ht="14.25" customHeight="1" x14ac:dyDescent="0.3">
      <c r="A246" s="134" t="s">
        <v>243</v>
      </c>
      <c r="B246" s="134" t="s">
        <v>333</v>
      </c>
      <c r="C246" s="134">
        <v>45</v>
      </c>
      <c r="D246" s="134" t="str">
        <f t="shared" si="0"/>
        <v>1/2" Round BB RS-775 45</v>
      </c>
      <c r="E246" s="134">
        <v>3</v>
      </c>
      <c r="F246" s="134">
        <v>1</v>
      </c>
    </row>
    <row r="247" spans="1:6" ht="14.25" customHeight="1" x14ac:dyDescent="0.3">
      <c r="A247" s="134" t="s">
        <v>243</v>
      </c>
      <c r="B247" s="134" t="s">
        <v>333</v>
      </c>
      <c r="C247" s="134">
        <v>49</v>
      </c>
      <c r="D247" s="134" t="str">
        <f t="shared" si="0"/>
        <v>1/2" Round BB RS-775 49</v>
      </c>
      <c r="E247" s="134">
        <v>3</v>
      </c>
      <c r="F247" s="134">
        <v>1</v>
      </c>
    </row>
    <row r="248" spans="1:6" ht="14.25" customHeight="1" x14ac:dyDescent="0.3">
      <c r="A248" s="134" t="s">
        <v>243</v>
      </c>
      <c r="B248" s="134" t="s">
        <v>333</v>
      </c>
      <c r="C248" s="134">
        <v>50</v>
      </c>
      <c r="D248" s="134" t="str">
        <f t="shared" si="0"/>
        <v>1/2" Round BB RS-775 50</v>
      </c>
      <c r="E248" s="134">
        <v>3</v>
      </c>
      <c r="F248" s="134">
        <v>1</v>
      </c>
    </row>
    <row r="249" spans="1:6" ht="14.25" customHeight="1" x14ac:dyDescent="0.3">
      <c r="A249" s="134" t="s">
        <v>243</v>
      </c>
      <c r="B249" s="134" t="s">
        <v>333</v>
      </c>
      <c r="C249" s="134">
        <v>63</v>
      </c>
      <c r="D249" s="134" t="str">
        <f t="shared" si="0"/>
        <v>1/2" Round BB RS-775 63</v>
      </c>
      <c r="E249" s="134">
        <v>1</v>
      </c>
      <c r="F249" s="134">
        <v>1</v>
      </c>
    </row>
    <row r="250" spans="1:6" ht="14.25" customHeight="1" x14ac:dyDescent="0.3">
      <c r="A250" s="134" t="s">
        <v>243</v>
      </c>
      <c r="B250" s="134" t="s">
        <v>333</v>
      </c>
      <c r="C250" s="134">
        <v>70</v>
      </c>
      <c r="D250" s="134" t="str">
        <f t="shared" si="0"/>
        <v>1/2" Round BB RS-775 70</v>
      </c>
      <c r="E250" s="134">
        <v>1</v>
      </c>
      <c r="F250" s="134">
        <v>1</v>
      </c>
    </row>
    <row r="251" spans="1:6" ht="14.25" customHeight="1" x14ac:dyDescent="0.3">
      <c r="A251" s="134" t="s">
        <v>243</v>
      </c>
      <c r="B251" s="134" t="s">
        <v>333</v>
      </c>
      <c r="C251" s="134">
        <v>81</v>
      </c>
      <c r="D251" s="134" t="str">
        <f t="shared" si="0"/>
        <v>1/2" Round BB RS-775 81</v>
      </c>
      <c r="E251" s="134">
        <v>1</v>
      </c>
      <c r="F251" s="134">
        <v>1</v>
      </c>
    </row>
    <row r="252" spans="1:6" ht="14.25" customHeight="1" x14ac:dyDescent="0.3">
      <c r="A252" s="134" t="s">
        <v>243</v>
      </c>
      <c r="B252" s="134" t="s">
        <v>333</v>
      </c>
      <c r="C252" s="134">
        <v>90</v>
      </c>
      <c r="D252" s="134" t="str">
        <f t="shared" si="0"/>
        <v>1/2" Round BB RS-775 90</v>
      </c>
      <c r="E252" s="134">
        <v>1</v>
      </c>
      <c r="F252" s="134">
        <v>1</v>
      </c>
    </row>
    <row r="253" spans="1:6" ht="14.25" customHeight="1" x14ac:dyDescent="0.3">
      <c r="A253" s="134" t="s">
        <v>243</v>
      </c>
      <c r="B253" s="134" t="s">
        <v>333</v>
      </c>
      <c r="C253" s="134">
        <v>100</v>
      </c>
      <c r="D253" s="134" t="str">
        <f t="shared" si="0"/>
        <v>1/2" Round BB RS-775 100</v>
      </c>
      <c r="E253" s="134">
        <v>1</v>
      </c>
      <c r="F253" s="134">
        <v>1</v>
      </c>
    </row>
    <row r="254" spans="1:6" ht="14.25" customHeight="1" x14ac:dyDescent="0.3">
      <c r="A254" s="134" t="s">
        <v>243</v>
      </c>
      <c r="B254" s="134" t="s">
        <v>257</v>
      </c>
      <c r="C254" s="134">
        <v>9</v>
      </c>
      <c r="D254" s="134" t="str">
        <f t="shared" si="0"/>
        <v>1/2" Round BAG 9</v>
      </c>
      <c r="E254" s="134">
        <v>10</v>
      </c>
      <c r="F254" s="134">
        <v>9</v>
      </c>
    </row>
    <row r="255" spans="1:6" ht="14.25" customHeight="1" x14ac:dyDescent="0.3">
      <c r="A255" s="134" t="s">
        <v>243</v>
      </c>
      <c r="B255" s="134" t="s">
        <v>257</v>
      </c>
      <c r="C255" s="134">
        <v>12</v>
      </c>
      <c r="D255" s="134" t="str">
        <f t="shared" si="0"/>
        <v>1/2" Round BAG 12</v>
      </c>
      <c r="E255" s="134">
        <v>10</v>
      </c>
      <c r="F255" s="134">
        <v>5</v>
      </c>
    </row>
    <row r="256" spans="1:6" ht="14.25" customHeight="1" x14ac:dyDescent="0.3">
      <c r="A256" s="134" t="s">
        <v>243</v>
      </c>
      <c r="B256" s="134" t="s">
        <v>257</v>
      </c>
      <c r="C256" s="134">
        <v>15</v>
      </c>
      <c r="D256" s="134" t="str">
        <f t="shared" si="0"/>
        <v>1/2" Round BAG 15</v>
      </c>
      <c r="E256" s="134">
        <v>10</v>
      </c>
      <c r="F256" s="134">
        <v>5</v>
      </c>
    </row>
    <row r="257" spans="1:6" ht="14.25" customHeight="1" x14ac:dyDescent="0.3">
      <c r="A257" s="134" t="s">
        <v>243</v>
      </c>
      <c r="B257" s="134" t="s">
        <v>257</v>
      </c>
      <c r="C257" s="134">
        <v>16</v>
      </c>
      <c r="D257" s="134" t="str">
        <f t="shared" ref="D257:D511" si="1">A257&amp;" "&amp;B257&amp;" "&amp;C257</f>
        <v>1/2" Round BAG 16</v>
      </c>
      <c r="E257" s="134">
        <v>10</v>
      </c>
      <c r="F257" s="134">
        <v>5</v>
      </c>
    </row>
    <row r="258" spans="1:6" ht="14.25" customHeight="1" x14ac:dyDescent="0.3">
      <c r="A258" s="134" t="s">
        <v>243</v>
      </c>
      <c r="B258" s="134" t="s">
        <v>257</v>
      </c>
      <c r="C258" s="134">
        <v>20</v>
      </c>
      <c r="D258" s="134" t="str">
        <f t="shared" si="1"/>
        <v>1/2" Round BAG 20</v>
      </c>
      <c r="E258" s="134">
        <v>10</v>
      </c>
      <c r="F258" s="134">
        <v>4</v>
      </c>
    </row>
    <row r="259" spans="1:6" ht="14.25" customHeight="1" x14ac:dyDescent="0.3">
      <c r="A259" s="134" t="s">
        <v>243</v>
      </c>
      <c r="B259" s="134" t="s">
        <v>257</v>
      </c>
      <c r="C259" s="134">
        <v>21</v>
      </c>
      <c r="D259" s="134" t="str">
        <f t="shared" si="1"/>
        <v>1/2" Round BAG 21</v>
      </c>
      <c r="E259" s="134">
        <v>10</v>
      </c>
      <c r="F259" s="134">
        <v>3</v>
      </c>
    </row>
    <row r="260" spans="1:6" ht="14.25" customHeight="1" x14ac:dyDescent="0.3">
      <c r="A260" s="134" t="s">
        <v>243</v>
      </c>
      <c r="B260" s="134" t="s">
        <v>257</v>
      </c>
      <c r="C260" s="134">
        <v>25</v>
      </c>
      <c r="D260" s="134" t="str">
        <f t="shared" si="1"/>
        <v>1/2" Round BAG 25</v>
      </c>
      <c r="E260" s="134">
        <v>7</v>
      </c>
      <c r="F260" s="134">
        <v>3</v>
      </c>
    </row>
    <row r="261" spans="1:6" ht="14.25" customHeight="1" x14ac:dyDescent="0.3">
      <c r="A261" s="134" t="s">
        <v>243</v>
      </c>
      <c r="B261" s="134" t="s">
        <v>257</v>
      </c>
      <c r="C261" s="134">
        <v>27</v>
      </c>
      <c r="D261" s="134" t="str">
        <f t="shared" si="1"/>
        <v>1/2" Round BAG 27</v>
      </c>
      <c r="E261" s="134">
        <v>7</v>
      </c>
      <c r="F261" s="134">
        <v>3</v>
      </c>
    </row>
    <row r="262" spans="1:6" ht="14.25" customHeight="1" x14ac:dyDescent="0.3">
      <c r="A262" s="134" t="s">
        <v>243</v>
      </c>
      <c r="B262" s="134" t="s">
        <v>257</v>
      </c>
      <c r="C262" s="134">
        <v>28</v>
      </c>
      <c r="D262" s="134" t="str">
        <f t="shared" si="1"/>
        <v>1/2" Round BAG 28</v>
      </c>
      <c r="E262" s="134">
        <v>7</v>
      </c>
      <c r="F262" s="134">
        <v>1</v>
      </c>
    </row>
    <row r="263" spans="1:6" ht="14.25" customHeight="1" x14ac:dyDescent="0.3">
      <c r="A263" s="134" t="s">
        <v>243</v>
      </c>
      <c r="B263" s="134" t="s">
        <v>257</v>
      </c>
      <c r="C263" s="134">
        <v>30</v>
      </c>
      <c r="D263" s="134" t="str">
        <f t="shared" si="1"/>
        <v>1/2" Round BAG 30</v>
      </c>
      <c r="E263" s="134">
        <v>7</v>
      </c>
      <c r="F263" s="134">
        <v>1</v>
      </c>
    </row>
    <row r="264" spans="1:6" ht="14.25" customHeight="1" x14ac:dyDescent="0.3">
      <c r="A264" s="134" t="s">
        <v>243</v>
      </c>
      <c r="B264" s="134" t="s">
        <v>257</v>
      </c>
      <c r="C264" s="134">
        <v>35</v>
      </c>
      <c r="D264" s="134" t="str">
        <f t="shared" si="1"/>
        <v>1/2" Round BAG 35</v>
      </c>
      <c r="E264" s="134">
        <v>5</v>
      </c>
      <c r="F264" s="134">
        <v>1</v>
      </c>
    </row>
    <row r="265" spans="1:6" ht="14.25" customHeight="1" x14ac:dyDescent="0.3">
      <c r="A265" s="134" t="s">
        <v>243</v>
      </c>
      <c r="B265" s="134" t="s">
        <v>257</v>
      </c>
      <c r="C265" s="134">
        <v>36</v>
      </c>
      <c r="D265" s="134" t="str">
        <f t="shared" si="1"/>
        <v>1/2" Round BAG 36</v>
      </c>
      <c r="E265" s="134">
        <v>5</v>
      </c>
      <c r="F265" s="134">
        <v>1</v>
      </c>
    </row>
    <row r="266" spans="1:6" ht="14.25" customHeight="1" x14ac:dyDescent="0.3">
      <c r="A266" s="134" t="s">
        <v>243</v>
      </c>
      <c r="B266" s="134" t="s">
        <v>257</v>
      </c>
      <c r="C266" s="134">
        <v>40</v>
      </c>
      <c r="D266" s="134" t="str">
        <f t="shared" si="1"/>
        <v>1/2" Round BAG 40</v>
      </c>
      <c r="E266" s="134">
        <v>5</v>
      </c>
      <c r="F266" s="134">
        <v>1</v>
      </c>
    </row>
    <row r="267" spans="1:6" ht="14.25" customHeight="1" x14ac:dyDescent="0.3">
      <c r="A267" s="134" t="s">
        <v>243</v>
      </c>
      <c r="B267" s="134" t="s">
        <v>257</v>
      </c>
      <c r="C267" s="134">
        <v>45</v>
      </c>
      <c r="D267" s="134" t="str">
        <f t="shared" si="1"/>
        <v>1/2" Round BAG 45</v>
      </c>
      <c r="E267" s="134">
        <v>5</v>
      </c>
      <c r="F267" s="134">
        <v>1</v>
      </c>
    </row>
    <row r="268" spans="1:6" ht="14.25" customHeight="1" x14ac:dyDescent="0.3">
      <c r="A268" s="134" t="s">
        <v>243</v>
      </c>
      <c r="B268" s="134" t="s">
        <v>257</v>
      </c>
      <c r="C268" s="134">
        <v>49</v>
      </c>
      <c r="D268" s="134" t="str">
        <f t="shared" si="1"/>
        <v>1/2" Round BAG 49</v>
      </c>
      <c r="E268" s="134">
        <v>5</v>
      </c>
      <c r="F268" s="134">
        <v>1</v>
      </c>
    </row>
    <row r="269" spans="1:6" ht="14.25" customHeight="1" x14ac:dyDescent="0.3">
      <c r="A269" s="134" t="s">
        <v>243</v>
      </c>
      <c r="B269" s="134" t="s">
        <v>257</v>
      </c>
      <c r="C269" s="134">
        <v>50</v>
      </c>
      <c r="D269" s="134" t="str">
        <f t="shared" si="1"/>
        <v>1/2" Round BAG 50</v>
      </c>
      <c r="E269" s="134">
        <v>5</v>
      </c>
      <c r="F269" s="134">
        <v>1</v>
      </c>
    </row>
    <row r="270" spans="1:6" ht="14.25" customHeight="1" x14ac:dyDescent="0.3">
      <c r="A270" s="134" t="s">
        <v>243</v>
      </c>
      <c r="B270" s="134" t="s">
        <v>257</v>
      </c>
      <c r="C270" s="134">
        <v>63</v>
      </c>
      <c r="D270" s="134" t="str">
        <f t="shared" si="1"/>
        <v>1/2" Round BAG 63</v>
      </c>
      <c r="E270" s="134">
        <v>4</v>
      </c>
      <c r="F270" s="134">
        <v>1</v>
      </c>
    </row>
    <row r="271" spans="1:6" ht="14.25" customHeight="1" x14ac:dyDescent="0.3">
      <c r="A271" s="134" t="s">
        <v>243</v>
      </c>
      <c r="B271" s="134" t="s">
        <v>257</v>
      </c>
      <c r="C271" s="134">
        <v>70</v>
      </c>
      <c r="D271" s="134" t="str">
        <f t="shared" si="1"/>
        <v>1/2" Round BAG 70</v>
      </c>
      <c r="E271" s="134">
        <v>4</v>
      </c>
      <c r="F271" s="134">
        <v>1</v>
      </c>
    </row>
    <row r="272" spans="1:6" ht="14.25" customHeight="1" x14ac:dyDescent="0.3">
      <c r="A272" s="134" t="s">
        <v>243</v>
      </c>
      <c r="B272" s="134" t="s">
        <v>257</v>
      </c>
      <c r="C272" s="134">
        <v>81</v>
      </c>
      <c r="D272" s="134" t="str">
        <f t="shared" si="1"/>
        <v>1/2" Round BAG 81</v>
      </c>
      <c r="E272" s="134">
        <v>3</v>
      </c>
      <c r="F272" s="134">
        <v>1</v>
      </c>
    </row>
    <row r="273" spans="1:6" ht="14.25" customHeight="1" x14ac:dyDescent="0.3">
      <c r="A273" s="134" t="s">
        <v>243</v>
      </c>
      <c r="B273" s="134" t="s">
        <v>257</v>
      </c>
      <c r="C273" s="134">
        <v>90</v>
      </c>
      <c r="D273" s="134" t="str">
        <f t="shared" si="1"/>
        <v>1/2" Round BAG 90</v>
      </c>
      <c r="E273" s="134">
        <v>3</v>
      </c>
      <c r="F273" s="134">
        <v>0</v>
      </c>
    </row>
    <row r="274" spans="1:6" ht="14.25" customHeight="1" x14ac:dyDescent="0.3">
      <c r="A274" s="134" t="s">
        <v>243</v>
      </c>
      <c r="B274" s="134" t="s">
        <v>257</v>
      </c>
      <c r="C274" s="134">
        <v>100</v>
      </c>
      <c r="D274" s="134" t="str">
        <f t="shared" si="1"/>
        <v>1/2" Round BAG 100</v>
      </c>
      <c r="E274" s="134">
        <v>1</v>
      </c>
      <c r="F274" s="134">
        <v>0</v>
      </c>
    </row>
    <row r="275" spans="1:6" ht="14.25" customHeight="1" x14ac:dyDescent="0.3">
      <c r="A275" s="134" t="s">
        <v>243</v>
      </c>
      <c r="B275" s="134" t="s">
        <v>7</v>
      </c>
      <c r="C275" s="134">
        <v>9</v>
      </c>
      <c r="D275" s="134" t="str">
        <f t="shared" si="1"/>
        <v>1/2" Round Mini CIM 9</v>
      </c>
      <c r="E275" s="134">
        <v>7</v>
      </c>
      <c r="F275" s="134">
        <v>0</v>
      </c>
    </row>
    <row r="276" spans="1:6" ht="14.25" customHeight="1" x14ac:dyDescent="0.3">
      <c r="A276" s="134" t="s">
        <v>243</v>
      </c>
      <c r="B276" s="134" t="s">
        <v>7</v>
      </c>
      <c r="C276" s="134">
        <v>12</v>
      </c>
      <c r="D276" s="134" t="str">
        <f t="shared" si="1"/>
        <v>1/2" Round Mini CIM 12</v>
      </c>
      <c r="E276" s="134">
        <v>5</v>
      </c>
      <c r="F276" s="134">
        <v>0</v>
      </c>
    </row>
    <row r="277" spans="1:6" ht="14.25" customHeight="1" x14ac:dyDescent="0.3">
      <c r="A277" s="134" t="s">
        <v>243</v>
      </c>
      <c r="B277" s="134" t="s">
        <v>7</v>
      </c>
      <c r="C277" s="134">
        <v>15</v>
      </c>
      <c r="D277" s="134" t="str">
        <f t="shared" si="1"/>
        <v>1/2" Round Mini CIM 15</v>
      </c>
      <c r="E277" s="134">
        <v>5</v>
      </c>
      <c r="F277" s="134">
        <v>0</v>
      </c>
    </row>
    <row r="278" spans="1:6" ht="14.25" customHeight="1" x14ac:dyDescent="0.3">
      <c r="A278" s="134" t="s">
        <v>243</v>
      </c>
      <c r="B278" s="134" t="s">
        <v>7</v>
      </c>
      <c r="C278" s="134">
        <v>16</v>
      </c>
      <c r="D278" s="134" t="str">
        <f t="shared" si="1"/>
        <v>1/2" Round Mini CIM 16</v>
      </c>
      <c r="E278" s="134">
        <v>5</v>
      </c>
      <c r="F278" s="134">
        <v>0</v>
      </c>
    </row>
    <row r="279" spans="1:6" ht="14.25" customHeight="1" x14ac:dyDescent="0.3">
      <c r="A279" s="134" t="s">
        <v>243</v>
      </c>
      <c r="B279" s="134" t="s">
        <v>7</v>
      </c>
      <c r="C279" s="134">
        <v>20</v>
      </c>
      <c r="D279" s="134" t="str">
        <f t="shared" si="1"/>
        <v>1/2" Round Mini CIM 20</v>
      </c>
      <c r="E279" s="134">
        <v>4</v>
      </c>
      <c r="F279" s="134">
        <v>0</v>
      </c>
    </row>
    <row r="280" spans="1:6" ht="14.25" customHeight="1" x14ac:dyDescent="0.3">
      <c r="A280" s="134" t="s">
        <v>243</v>
      </c>
      <c r="B280" s="134" t="s">
        <v>7</v>
      </c>
      <c r="C280" s="134">
        <v>21</v>
      </c>
      <c r="D280" s="134" t="str">
        <f t="shared" si="1"/>
        <v>1/2" Round Mini CIM 21</v>
      </c>
      <c r="E280" s="134">
        <v>4</v>
      </c>
      <c r="F280" s="134">
        <v>0</v>
      </c>
    </row>
    <row r="281" spans="1:6" ht="14.25" customHeight="1" x14ac:dyDescent="0.3">
      <c r="A281" s="134" t="s">
        <v>243</v>
      </c>
      <c r="B281" s="134" t="s">
        <v>7</v>
      </c>
      <c r="C281" s="134">
        <v>25</v>
      </c>
      <c r="D281" s="134" t="str">
        <f t="shared" si="1"/>
        <v>1/2" Round Mini CIM 25</v>
      </c>
      <c r="E281" s="134">
        <v>3</v>
      </c>
      <c r="F281" s="134">
        <v>0</v>
      </c>
    </row>
    <row r="282" spans="1:6" ht="14.25" customHeight="1" x14ac:dyDescent="0.3">
      <c r="A282" s="134" t="s">
        <v>243</v>
      </c>
      <c r="B282" s="134" t="s">
        <v>7</v>
      </c>
      <c r="C282" s="134">
        <v>27</v>
      </c>
      <c r="D282" s="134" t="str">
        <f t="shared" si="1"/>
        <v>1/2" Round Mini CIM 27</v>
      </c>
      <c r="E282" s="134">
        <v>3</v>
      </c>
      <c r="F282" s="134">
        <v>0</v>
      </c>
    </row>
    <row r="283" spans="1:6" ht="14.25" customHeight="1" x14ac:dyDescent="0.3">
      <c r="A283" s="134" t="s">
        <v>243</v>
      </c>
      <c r="B283" s="134" t="s">
        <v>7</v>
      </c>
      <c r="C283" s="134">
        <v>28</v>
      </c>
      <c r="D283" s="134" t="str">
        <f t="shared" si="1"/>
        <v>1/2" Round Mini CIM 28</v>
      </c>
      <c r="E283" s="134">
        <v>3</v>
      </c>
      <c r="F283" s="134">
        <v>0</v>
      </c>
    </row>
    <row r="284" spans="1:6" ht="14.25" customHeight="1" x14ac:dyDescent="0.3">
      <c r="A284" s="134" t="s">
        <v>243</v>
      </c>
      <c r="B284" s="134" t="s">
        <v>7</v>
      </c>
      <c r="C284" s="134">
        <v>30</v>
      </c>
      <c r="D284" s="134" t="str">
        <f t="shared" si="1"/>
        <v>1/2" Round Mini CIM 30</v>
      </c>
      <c r="E284" s="134">
        <v>3</v>
      </c>
      <c r="F284" s="134">
        <v>0</v>
      </c>
    </row>
    <row r="285" spans="1:6" ht="14.25" customHeight="1" x14ac:dyDescent="0.3">
      <c r="A285" s="134" t="s">
        <v>243</v>
      </c>
      <c r="B285" s="134" t="s">
        <v>7</v>
      </c>
      <c r="C285" s="134">
        <v>35</v>
      </c>
      <c r="D285" s="134" t="str">
        <f t="shared" si="1"/>
        <v>1/2" Round Mini CIM 35</v>
      </c>
      <c r="E285" s="134">
        <v>1</v>
      </c>
      <c r="F285" s="134">
        <v>0</v>
      </c>
    </row>
    <row r="286" spans="1:6" ht="14.25" customHeight="1" x14ac:dyDescent="0.3">
      <c r="A286" s="134" t="s">
        <v>243</v>
      </c>
      <c r="B286" s="134" t="s">
        <v>7</v>
      </c>
      <c r="C286" s="134">
        <v>36</v>
      </c>
      <c r="D286" s="134" t="str">
        <f t="shared" si="1"/>
        <v>1/2" Round Mini CIM 36</v>
      </c>
      <c r="E286" s="134">
        <v>1</v>
      </c>
      <c r="F286" s="134">
        <v>0</v>
      </c>
    </row>
    <row r="287" spans="1:6" ht="14.25" customHeight="1" x14ac:dyDescent="0.3">
      <c r="A287" s="134" t="s">
        <v>243</v>
      </c>
      <c r="B287" s="134" t="s">
        <v>7</v>
      </c>
      <c r="C287" s="134">
        <v>40</v>
      </c>
      <c r="D287" s="134" t="str">
        <f t="shared" si="1"/>
        <v>1/2" Round Mini CIM 40</v>
      </c>
      <c r="E287" s="134">
        <v>1</v>
      </c>
      <c r="F287" s="134">
        <v>0</v>
      </c>
    </row>
    <row r="288" spans="1:6" ht="14.25" customHeight="1" x14ac:dyDescent="0.3">
      <c r="A288" s="134" t="s">
        <v>243</v>
      </c>
      <c r="B288" s="134" t="s">
        <v>7</v>
      </c>
      <c r="C288" s="134">
        <v>45</v>
      </c>
      <c r="D288" s="134" t="str">
        <f t="shared" si="1"/>
        <v>1/2" Round Mini CIM 45</v>
      </c>
      <c r="E288" s="134">
        <v>1</v>
      </c>
      <c r="F288" s="134">
        <v>0</v>
      </c>
    </row>
    <row r="289" spans="1:6" ht="14.25" customHeight="1" x14ac:dyDescent="0.3">
      <c r="A289" s="134" t="s">
        <v>243</v>
      </c>
      <c r="B289" s="134" t="s">
        <v>7</v>
      </c>
      <c r="C289" s="134">
        <v>49</v>
      </c>
      <c r="D289" s="134" t="str">
        <f t="shared" si="1"/>
        <v>1/2" Round Mini CIM 49</v>
      </c>
      <c r="E289" s="134">
        <v>1</v>
      </c>
      <c r="F289" s="134">
        <v>0</v>
      </c>
    </row>
    <row r="290" spans="1:6" ht="14.25" customHeight="1" x14ac:dyDescent="0.3">
      <c r="A290" s="134" t="s">
        <v>243</v>
      </c>
      <c r="B290" s="134" t="s">
        <v>7</v>
      </c>
      <c r="C290" s="134">
        <v>50</v>
      </c>
      <c r="D290" s="134" t="str">
        <f t="shared" si="1"/>
        <v>1/2" Round Mini CIM 50</v>
      </c>
      <c r="E290" s="134">
        <v>1</v>
      </c>
      <c r="F290" s="134">
        <v>0</v>
      </c>
    </row>
    <row r="291" spans="1:6" ht="14.25" customHeight="1" x14ac:dyDescent="0.3">
      <c r="A291" s="134" t="s">
        <v>243</v>
      </c>
      <c r="B291" s="134" t="s">
        <v>7</v>
      </c>
      <c r="C291" s="134">
        <v>63</v>
      </c>
      <c r="D291" s="134" t="str">
        <f t="shared" si="1"/>
        <v>1/2" Round Mini CIM 63</v>
      </c>
      <c r="E291" s="134">
        <v>1</v>
      </c>
      <c r="F291" s="134">
        <v>0</v>
      </c>
    </row>
    <row r="292" spans="1:6" ht="14.25" customHeight="1" x14ac:dyDescent="0.3">
      <c r="A292" s="134" t="s">
        <v>243</v>
      </c>
      <c r="B292" s="134" t="s">
        <v>7</v>
      </c>
      <c r="C292" s="134">
        <v>70</v>
      </c>
      <c r="D292" s="134" t="str">
        <f t="shared" si="1"/>
        <v>1/2" Round Mini CIM 70</v>
      </c>
      <c r="E292" s="134">
        <v>0</v>
      </c>
      <c r="F292" s="134">
        <v>0</v>
      </c>
    </row>
    <row r="293" spans="1:6" ht="14.25" customHeight="1" x14ac:dyDescent="0.3">
      <c r="A293" s="134" t="s">
        <v>243</v>
      </c>
      <c r="B293" s="134" t="s">
        <v>7</v>
      </c>
      <c r="C293" s="134">
        <v>81</v>
      </c>
      <c r="D293" s="134" t="str">
        <f t="shared" si="1"/>
        <v>1/2" Round Mini CIM 81</v>
      </c>
      <c r="E293" s="134">
        <v>0</v>
      </c>
      <c r="F293" s="134">
        <v>0</v>
      </c>
    </row>
    <row r="294" spans="1:6" ht="14.25" customHeight="1" x14ac:dyDescent="0.3">
      <c r="A294" s="134" t="s">
        <v>243</v>
      </c>
      <c r="B294" s="134" t="s">
        <v>7</v>
      </c>
      <c r="C294" s="134">
        <v>90</v>
      </c>
      <c r="D294" s="134" t="str">
        <f t="shared" si="1"/>
        <v>1/2" Round Mini CIM 90</v>
      </c>
      <c r="E294" s="134">
        <v>0</v>
      </c>
      <c r="F294" s="134">
        <v>0</v>
      </c>
    </row>
    <row r="295" spans="1:6" ht="14.25" customHeight="1" x14ac:dyDescent="0.3">
      <c r="A295" s="134" t="s">
        <v>243</v>
      </c>
      <c r="B295" s="134" t="s">
        <v>7</v>
      </c>
      <c r="C295" s="134">
        <v>100</v>
      </c>
      <c r="D295" s="134" t="str">
        <f t="shared" si="1"/>
        <v>1/2" Round Mini CIM 100</v>
      </c>
      <c r="E295" s="134">
        <v>0</v>
      </c>
      <c r="F295" s="134">
        <v>0</v>
      </c>
    </row>
    <row r="296" spans="1:6" ht="14.25" customHeight="1" x14ac:dyDescent="0.3">
      <c r="A296" s="134" t="s">
        <v>243</v>
      </c>
      <c r="B296" s="134" t="s">
        <v>6</v>
      </c>
      <c r="C296" s="134">
        <v>9</v>
      </c>
      <c r="D296" s="134" t="str">
        <f t="shared" si="1"/>
        <v>1/2" Round CIM 9</v>
      </c>
      <c r="E296" s="134">
        <v>5</v>
      </c>
      <c r="F296" s="134">
        <v>0</v>
      </c>
    </row>
    <row r="297" spans="1:6" ht="14.25" customHeight="1" x14ac:dyDescent="0.3">
      <c r="A297" s="134" t="s">
        <v>243</v>
      </c>
      <c r="B297" s="134" t="s">
        <v>6</v>
      </c>
      <c r="C297" s="134">
        <v>12</v>
      </c>
      <c r="D297" s="134" t="str">
        <f t="shared" si="1"/>
        <v>1/2" Round CIM 12</v>
      </c>
      <c r="E297" s="134">
        <v>4</v>
      </c>
      <c r="F297" s="134">
        <v>0</v>
      </c>
    </row>
    <row r="298" spans="1:6" ht="14.25" customHeight="1" x14ac:dyDescent="0.3">
      <c r="A298" s="134" t="s">
        <v>243</v>
      </c>
      <c r="B298" s="134" t="s">
        <v>6</v>
      </c>
      <c r="C298" s="134">
        <v>15</v>
      </c>
      <c r="D298" s="134" t="str">
        <f t="shared" si="1"/>
        <v>1/2" Round CIM 15</v>
      </c>
      <c r="E298" s="134">
        <v>3</v>
      </c>
      <c r="F298" s="134">
        <v>0</v>
      </c>
    </row>
    <row r="299" spans="1:6" ht="14.25" customHeight="1" x14ac:dyDescent="0.3">
      <c r="A299" s="134" t="s">
        <v>243</v>
      </c>
      <c r="B299" s="134" t="s">
        <v>6</v>
      </c>
      <c r="C299" s="134">
        <v>16</v>
      </c>
      <c r="D299" s="134" t="str">
        <f t="shared" si="1"/>
        <v>1/2" Round CIM 16</v>
      </c>
      <c r="E299" s="134">
        <v>3</v>
      </c>
      <c r="F299" s="134">
        <v>0</v>
      </c>
    </row>
    <row r="300" spans="1:6" ht="14.25" customHeight="1" x14ac:dyDescent="0.3">
      <c r="A300" s="134" t="s">
        <v>243</v>
      </c>
      <c r="B300" s="134" t="s">
        <v>6</v>
      </c>
      <c r="C300" s="134">
        <v>20</v>
      </c>
      <c r="D300" s="134" t="str">
        <f t="shared" si="1"/>
        <v>1/2" Round CIM 20</v>
      </c>
      <c r="E300" s="134">
        <v>1</v>
      </c>
      <c r="F300" s="134">
        <v>0</v>
      </c>
    </row>
    <row r="301" spans="1:6" ht="14.25" customHeight="1" x14ac:dyDescent="0.3">
      <c r="A301" s="134" t="s">
        <v>243</v>
      </c>
      <c r="B301" s="134" t="s">
        <v>6</v>
      </c>
      <c r="C301" s="134">
        <v>21</v>
      </c>
      <c r="D301" s="134" t="str">
        <f t="shared" si="1"/>
        <v>1/2" Round CIM 21</v>
      </c>
      <c r="E301" s="134">
        <v>1</v>
      </c>
      <c r="F301" s="134">
        <v>0</v>
      </c>
    </row>
    <row r="302" spans="1:6" ht="14.25" customHeight="1" x14ac:dyDescent="0.3">
      <c r="A302" s="134" t="s">
        <v>243</v>
      </c>
      <c r="B302" s="134" t="s">
        <v>6</v>
      </c>
      <c r="C302" s="134">
        <v>25</v>
      </c>
      <c r="D302" s="134" t="str">
        <f t="shared" si="1"/>
        <v>1/2" Round CIM 25</v>
      </c>
      <c r="E302" s="134">
        <v>1</v>
      </c>
      <c r="F302" s="134">
        <v>0</v>
      </c>
    </row>
    <row r="303" spans="1:6" ht="14.25" customHeight="1" x14ac:dyDescent="0.3">
      <c r="A303" s="134" t="s">
        <v>243</v>
      </c>
      <c r="B303" s="134" t="s">
        <v>6</v>
      </c>
      <c r="C303" s="134">
        <v>27</v>
      </c>
      <c r="D303" s="134" t="str">
        <f t="shared" si="1"/>
        <v>1/2" Round CIM 27</v>
      </c>
      <c r="E303" s="134">
        <v>1</v>
      </c>
      <c r="F303" s="134">
        <v>0</v>
      </c>
    </row>
    <row r="304" spans="1:6" ht="14.25" customHeight="1" x14ac:dyDescent="0.3">
      <c r="A304" s="134" t="s">
        <v>243</v>
      </c>
      <c r="B304" s="134" t="s">
        <v>6</v>
      </c>
      <c r="C304" s="134">
        <v>28</v>
      </c>
      <c r="D304" s="134" t="str">
        <f t="shared" si="1"/>
        <v>1/2" Round CIM 28</v>
      </c>
      <c r="E304" s="134">
        <v>1</v>
      </c>
      <c r="F304" s="134">
        <v>0</v>
      </c>
    </row>
    <row r="305" spans="1:6" ht="14.25" customHeight="1" x14ac:dyDescent="0.3">
      <c r="A305" s="134" t="s">
        <v>243</v>
      </c>
      <c r="B305" s="134" t="s">
        <v>6</v>
      </c>
      <c r="C305" s="134">
        <v>30</v>
      </c>
      <c r="D305" s="134" t="str">
        <f t="shared" si="1"/>
        <v>1/2" Round CIM 30</v>
      </c>
      <c r="E305" s="134">
        <v>1</v>
      </c>
      <c r="F305" s="134">
        <v>0</v>
      </c>
    </row>
    <row r="306" spans="1:6" ht="14.25" customHeight="1" x14ac:dyDescent="0.3">
      <c r="A306" s="134" t="s">
        <v>243</v>
      </c>
      <c r="B306" s="134" t="s">
        <v>6</v>
      </c>
      <c r="C306" s="134">
        <v>35</v>
      </c>
      <c r="D306" s="134" t="str">
        <f t="shared" si="1"/>
        <v>1/2" Round CIM 35</v>
      </c>
      <c r="E306" s="134">
        <v>1</v>
      </c>
      <c r="F306" s="134">
        <v>0</v>
      </c>
    </row>
    <row r="307" spans="1:6" ht="14.25" customHeight="1" x14ac:dyDescent="0.3">
      <c r="A307" s="134" t="s">
        <v>243</v>
      </c>
      <c r="B307" s="134" t="s">
        <v>6</v>
      </c>
      <c r="C307" s="134">
        <v>36</v>
      </c>
      <c r="D307" s="134" t="str">
        <f t="shared" si="1"/>
        <v>1/2" Round CIM 36</v>
      </c>
      <c r="E307" s="134">
        <v>1</v>
      </c>
      <c r="F307" s="134">
        <v>0</v>
      </c>
    </row>
    <row r="308" spans="1:6" ht="14.25" customHeight="1" x14ac:dyDescent="0.3">
      <c r="A308" s="134" t="s">
        <v>243</v>
      </c>
      <c r="B308" s="134" t="s">
        <v>6</v>
      </c>
      <c r="C308" s="134">
        <v>40</v>
      </c>
      <c r="D308" s="134" t="str">
        <f t="shared" si="1"/>
        <v>1/2" Round CIM 40</v>
      </c>
      <c r="E308" s="134">
        <v>1</v>
      </c>
      <c r="F308" s="134">
        <v>0</v>
      </c>
    </row>
    <row r="309" spans="1:6" ht="14.25" customHeight="1" x14ac:dyDescent="0.3">
      <c r="A309" s="134" t="s">
        <v>243</v>
      </c>
      <c r="B309" s="134" t="s">
        <v>6</v>
      </c>
      <c r="C309" s="134">
        <v>45</v>
      </c>
      <c r="D309" s="134" t="str">
        <f t="shared" si="1"/>
        <v>1/2" Round CIM 45</v>
      </c>
      <c r="E309" s="134">
        <v>1</v>
      </c>
      <c r="F309" s="134">
        <v>0</v>
      </c>
    </row>
    <row r="310" spans="1:6" ht="14.25" customHeight="1" x14ac:dyDescent="0.3">
      <c r="A310" s="134" t="s">
        <v>243</v>
      </c>
      <c r="B310" s="134" t="s">
        <v>6</v>
      </c>
      <c r="C310" s="134">
        <v>49</v>
      </c>
      <c r="D310" s="134" t="str">
        <f t="shared" si="1"/>
        <v>1/2" Round CIM 49</v>
      </c>
      <c r="E310" s="134">
        <v>0</v>
      </c>
      <c r="F310" s="134">
        <v>0</v>
      </c>
    </row>
    <row r="311" spans="1:6" ht="14.25" customHeight="1" x14ac:dyDescent="0.3">
      <c r="A311" s="134" t="s">
        <v>243</v>
      </c>
      <c r="B311" s="134" t="s">
        <v>6</v>
      </c>
      <c r="C311" s="134">
        <v>50</v>
      </c>
      <c r="D311" s="134" t="str">
        <f t="shared" si="1"/>
        <v>1/2" Round CIM 50</v>
      </c>
      <c r="E311" s="134">
        <v>1</v>
      </c>
      <c r="F311" s="134">
        <v>0</v>
      </c>
    </row>
    <row r="312" spans="1:6" ht="14.25" customHeight="1" x14ac:dyDescent="0.3">
      <c r="A312" s="134" t="s">
        <v>243</v>
      </c>
      <c r="B312" s="134" t="s">
        <v>6</v>
      </c>
      <c r="C312" s="134">
        <v>63</v>
      </c>
      <c r="D312" s="134" t="str">
        <f t="shared" si="1"/>
        <v>1/2" Round CIM 63</v>
      </c>
      <c r="E312" s="134">
        <v>0</v>
      </c>
      <c r="F312" s="134">
        <v>0</v>
      </c>
    </row>
    <row r="313" spans="1:6" ht="14.25" customHeight="1" x14ac:dyDescent="0.3">
      <c r="A313" s="134" t="s">
        <v>243</v>
      </c>
      <c r="B313" s="134" t="s">
        <v>6</v>
      </c>
      <c r="C313" s="134">
        <v>70</v>
      </c>
      <c r="D313" s="134" t="str">
        <f t="shared" si="1"/>
        <v>1/2" Round CIM 70</v>
      </c>
      <c r="E313" s="134">
        <v>0</v>
      </c>
      <c r="F313" s="134">
        <v>0</v>
      </c>
    </row>
    <row r="314" spans="1:6" ht="14.25" customHeight="1" x14ac:dyDescent="0.3">
      <c r="A314" s="134" t="s">
        <v>243</v>
      </c>
      <c r="B314" s="134" t="s">
        <v>6</v>
      </c>
      <c r="C314" s="134">
        <v>81</v>
      </c>
      <c r="D314" s="134" t="str">
        <f t="shared" si="1"/>
        <v>1/2" Round CIM 81</v>
      </c>
      <c r="E314" s="134">
        <v>0</v>
      </c>
      <c r="F314" s="134">
        <v>0</v>
      </c>
    </row>
    <row r="315" spans="1:6" ht="14.25" customHeight="1" x14ac:dyDescent="0.3">
      <c r="A315" s="134" t="s">
        <v>243</v>
      </c>
      <c r="B315" s="134" t="s">
        <v>6</v>
      </c>
      <c r="C315" s="134">
        <v>90</v>
      </c>
      <c r="D315" s="134" t="str">
        <f t="shared" si="1"/>
        <v>1/2" Round CIM 90</v>
      </c>
      <c r="E315" s="134">
        <v>0</v>
      </c>
      <c r="F315" s="134">
        <v>0</v>
      </c>
    </row>
    <row r="316" spans="1:6" ht="14.25" customHeight="1" x14ac:dyDescent="0.3">
      <c r="A316" s="134" t="s">
        <v>243</v>
      </c>
      <c r="B316" s="134" t="s">
        <v>6</v>
      </c>
      <c r="C316" s="134">
        <v>100</v>
      </c>
      <c r="D316" s="134" t="str">
        <f t="shared" si="1"/>
        <v>1/2" Round CIM 100</v>
      </c>
      <c r="E316" s="134">
        <v>0</v>
      </c>
      <c r="F316" s="134">
        <v>0</v>
      </c>
    </row>
    <row r="317" spans="1:6" ht="14.25" customHeight="1" x14ac:dyDescent="0.3">
      <c r="A317" s="134" t="s">
        <v>243</v>
      </c>
      <c r="B317" s="134" t="s">
        <v>259</v>
      </c>
      <c r="C317" s="134">
        <v>9</v>
      </c>
      <c r="D317" s="134" t="str">
        <f t="shared" si="1"/>
        <v>1/2" Round 775pro 9</v>
      </c>
      <c r="E317" s="134">
        <v>10</v>
      </c>
      <c r="F317" s="134">
        <v>5</v>
      </c>
    </row>
    <row r="318" spans="1:6" ht="14.25" customHeight="1" x14ac:dyDescent="0.3">
      <c r="A318" s="134" t="s">
        <v>243</v>
      </c>
      <c r="B318" s="134" t="s">
        <v>259</v>
      </c>
      <c r="C318" s="134">
        <v>12</v>
      </c>
      <c r="D318" s="134" t="str">
        <f t="shared" si="1"/>
        <v>1/2" Round 775pro 12</v>
      </c>
      <c r="E318" s="134">
        <v>10</v>
      </c>
      <c r="F318" s="134">
        <v>4</v>
      </c>
    </row>
    <row r="319" spans="1:6" ht="14.25" customHeight="1" x14ac:dyDescent="0.3">
      <c r="A319" s="134" t="s">
        <v>243</v>
      </c>
      <c r="B319" s="134" t="s">
        <v>259</v>
      </c>
      <c r="C319" s="134">
        <v>15</v>
      </c>
      <c r="D319" s="134" t="str">
        <f t="shared" si="1"/>
        <v>1/2" Round 775pro 15</v>
      </c>
      <c r="E319" s="134">
        <v>10</v>
      </c>
      <c r="F319" s="134">
        <v>3</v>
      </c>
    </row>
    <row r="320" spans="1:6" ht="14.25" customHeight="1" x14ac:dyDescent="0.3">
      <c r="A320" s="134" t="s">
        <v>243</v>
      </c>
      <c r="B320" s="134" t="s">
        <v>259</v>
      </c>
      <c r="C320" s="134">
        <v>16</v>
      </c>
      <c r="D320" s="134" t="str">
        <f t="shared" si="1"/>
        <v>1/2" Round 775pro 16</v>
      </c>
      <c r="E320" s="134">
        <v>10</v>
      </c>
      <c r="F320" s="134">
        <v>3</v>
      </c>
    </row>
    <row r="321" spans="1:6" ht="14.25" customHeight="1" x14ac:dyDescent="0.3">
      <c r="A321" s="134" t="s">
        <v>243</v>
      </c>
      <c r="B321" s="134" t="s">
        <v>259</v>
      </c>
      <c r="C321" s="134">
        <v>20</v>
      </c>
      <c r="D321" s="134" t="str">
        <f t="shared" si="1"/>
        <v>1/2" Round 775pro 20</v>
      </c>
      <c r="E321" s="134">
        <v>9</v>
      </c>
      <c r="F321" s="134">
        <v>1</v>
      </c>
    </row>
    <row r="322" spans="1:6" ht="14.25" customHeight="1" x14ac:dyDescent="0.3">
      <c r="A322" s="134" t="s">
        <v>243</v>
      </c>
      <c r="B322" s="134" t="s">
        <v>259</v>
      </c>
      <c r="C322" s="134">
        <v>21</v>
      </c>
      <c r="D322" s="134" t="str">
        <f t="shared" si="1"/>
        <v>1/2" Round 775pro 21</v>
      </c>
      <c r="E322" s="134">
        <v>7</v>
      </c>
      <c r="F322" s="134">
        <v>1</v>
      </c>
    </row>
    <row r="323" spans="1:6" ht="14.25" customHeight="1" x14ac:dyDescent="0.3">
      <c r="A323" s="134" t="s">
        <v>243</v>
      </c>
      <c r="B323" s="134" t="s">
        <v>259</v>
      </c>
      <c r="C323" s="134">
        <v>25</v>
      </c>
      <c r="D323" s="134" t="str">
        <f t="shared" si="1"/>
        <v>1/2" Round 775pro 25</v>
      </c>
      <c r="E323" s="134">
        <v>7</v>
      </c>
      <c r="F323" s="134">
        <v>1</v>
      </c>
    </row>
    <row r="324" spans="1:6" ht="14.25" customHeight="1" x14ac:dyDescent="0.3">
      <c r="A324" s="134" t="s">
        <v>243</v>
      </c>
      <c r="B324" s="134" t="s">
        <v>259</v>
      </c>
      <c r="C324" s="134">
        <v>27</v>
      </c>
      <c r="D324" s="134" t="str">
        <f t="shared" si="1"/>
        <v>1/2" Round 775pro 27</v>
      </c>
      <c r="E324" s="134">
        <v>5</v>
      </c>
      <c r="F324" s="134">
        <v>1</v>
      </c>
    </row>
    <row r="325" spans="1:6" ht="14.25" customHeight="1" x14ac:dyDescent="0.3">
      <c r="A325" s="134" t="s">
        <v>243</v>
      </c>
      <c r="B325" s="134" t="s">
        <v>259</v>
      </c>
      <c r="C325" s="134">
        <v>28</v>
      </c>
      <c r="D325" s="134" t="str">
        <f t="shared" si="1"/>
        <v>1/2" Round 775pro 28</v>
      </c>
      <c r="E325" s="134">
        <v>5</v>
      </c>
      <c r="F325" s="134">
        <v>1</v>
      </c>
    </row>
    <row r="326" spans="1:6" ht="14.25" customHeight="1" x14ac:dyDescent="0.3">
      <c r="A326" s="134" t="s">
        <v>243</v>
      </c>
      <c r="B326" s="134" t="s">
        <v>259</v>
      </c>
      <c r="C326" s="134">
        <v>30</v>
      </c>
      <c r="D326" s="134" t="str">
        <f t="shared" si="1"/>
        <v>1/2" Round 775pro 30</v>
      </c>
      <c r="E326" s="134">
        <v>5</v>
      </c>
      <c r="F326" s="134">
        <v>1</v>
      </c>
    </row>
    <row r="327" spans="1:6" ht="14.25" customHeight="1" x14ac:dyDescent="0.3">
      <c r="A327" s="134" t="s">
        <v>243</v>
      </c>
      <c r="B327" s="134" t="s">
        <v>259</v>
      </c>
      <c r="C327" s="134">
        <v>35</v>
      </c>
      <c r="D327" s="134" t="str">
        <f t="shared" si="1"/>
        <v>1/2" Round 775pro 35</v>
      </c>
      <c r="E327" s="134">
        <v>5</v>
      </c>
      <c r="F327" s="134">
        <v>1</v>
      </c>
    </row>
    <row r="328" spans="1:6" ht="14.25" customHeight="1" x14ac:dyDescent="0.3">
      <c r="A328" s="134" t="s">
        <v>243</v>
      </c>
      <c r="B328" s="134" t="s">
        <v>259</v>
      </c>
      <c r="C328" s="134">
        <v>36</v>
      </c>
      <c r="D328" s="134" t="str">
        <f t="shared" si="1"/>
        <v>1/2" Round 775pro 36</v>
      </c>
      <c r="E328" s="134">
        <v>5</v>
      </c>
      <c r="F328" s="134">
        <v>1</v>
      </c>
    </row>
    <row r="329" spans="1:6" ht="14.25" customHeight="1" x14ac:dyDescent="0.3">
      <c r="A329" s="134" t="s">
        <v>243</v>
      </c>
      <c r="B329" s="134" t="s">
        <v>259</v>
      </c>
      <c r="C329" s="134">
        <v>40</v>
      </c>
      <c r="D329" s="134" t="str">
        <f t="shared" si="1"/>
        <v>1/2" Round 775pro 40</v>
      </c>
      <c r="E329" s="134">
        <v>4</v>
      </c>
      <c r="F329" s="134">
        <v>1</v>
      </c>
    </row>
    <row r="330" spans="1:6" ht="14.25" customHeight="1" x14ac:dyDescent="0.3">
      <c r="A330" s="134" t="s">
        <v>243</v>
      </c>
      <c r="B330" s="134" t="s">
        <v>259</v>
      </c>
      <c r="C330" s="134">
        <v>45</v>
      </c>
      <c r="D330" s="134" t="str">
        <f t="shared" si="1"/>
        <v>1/2" Round 775pro 45</v>
      </c>
      <c r="E330" s="134">
        <v>4</v>
      </c>
      <c r="F330" s="134">
        <v>1</v>
      </c>
    </row>
    <row r="331" spans="1:6" ht="14.25" customHeight="1" x14ac:dyDescent="0.3">
      <c r="A331" s="134" t="s">
        <v>243</v>
      </c>
      <c r="B331" s="134" t="s">
        <v>259</v>
      </c>
      <c r="C331" s="134">
        <v>49</v>
      </c>
      <c r="D331" s="134" t="str">
        <f t="shared" si="1"/>
        <v>1/2" Round 775pro 49</v>
      </c>
      <c r="E331" s="134">
        <v>3</v>
      </c>
      <c r="F331" s="134">
        <v>1</v>
      </c>
    </row>
    <row r="332" spans="1:6" ht="14.25" customHeight="1" x14ac:dyDescent="0.3">
      <c r="A332" s="134" t="s">
        <v>243</v>
      </c>
      <c r="B332" s="134" t="s">
        <v>259</v>
      </c>
      <c r="C332" s="134">
        <v>50</v>
      </c>
      <c r="D332" s="134" t="str">
        <f t="shared" si="1"/>
        <v>1/2" Round 775pro 50</v>
      </c>
      <c r="E332" s="134">
        <v>3</v>
      </c>
      <c r="F332" s="134">
        <v>0</v>
      </c>
    </row>
    <row r="333" spans="1:6" ht="14.25" customHeight="1" x14ac:dyDescent="0.3">
      <c r="A333" s="134" t="s">
        <v>243</v>
      </c>
      <c r="B333" s="134" t="s">
        <v>259</v>
      </c>
      <c r="C333" s="134">
        <v>63</v>
      </c>
      <c r="D333" s="134" t="str">
        <f t="shared" si="1"/>
        <v>1/2" Round 775pro 63</v>
      </c>
      <c r="E333" s="134">
        <v>1</v>
      </c>
      <c r="F333" s="134">
        <v>0</v>
      </c>
    </row>
    <row r="334" spans="1:6" ht="14.25" customHeight="1" x14ac:dyDescent="0.3">
      <c r="A334" s="134" t="s">
        <v>243</v>
      </c>
      <c r="B334" s="134" t="s">
        <v>259</v>
      </c>
      <c r="C334" s="134">
        <v>70</v>
      </c>
      <c r="D334" s="134" t="str">
        <f t="shared" si="1"/>
        <v>1/2" Round 775pro 70</v>
      </c>
      <c r="E334" s="134">
        <v>1</v>
      </c>
      <c r="F334" s="134">
        <v>0</v>
      </c>
    </row>
    <row r="335" spans="1:6" ht="14.25" customHeight="1" x14ac:dyDescent="0.3">
      <c r="A335" s="134" t="s">
        <v>243</v>
      </c>
      <c r="B335" s="134" t="s">
        <v>259</v>
      </c>
      <c r="C335" s="134">
        <v>81</v>
      </c>
      <c r="D335" s="134" t="str">
        <f t="shared" si="1"/>
        <v>1/2" Round 775pro 81</v>
      </c>
      <c r="E335" s="134">
        <v>1</v>
      </c>
      <c r="F335" s="134">
        <v>0</v>
      </c>
    </row>
    <row r="336" spans="1:6" ht="14.25" customHeight="1" x14ac:dyDescent="0.3">
      <c r="A336" s="134" t="s">
        <v>243</v>
      </c>
      <c r="B336" s="134" t="s">
        <v>259</v>
      </c>
      <c r="C336" s="134">
        <v>90</v>
      </c>
      <c r="D336" s="134" t="str">
        <f t="shared" si="1"/>
        <v>1/2" Round 775pro 90</v>
      </c>
      <c r="E336" s="134">
        <v>1</v>
      </c>
      <c r="F336" s="134">
        <v>0</v>
      </c>
    </row>
    <row r="337" spans="1:6" ht="14.25" customHeight="1" x14ac:dyDescent="0.3">
      <c r="A337" s="134" t="s">
        <v>243</v>
      </c>
      <c r="B337" s="134" t="s">
        <v>259</v>
      </c>
      <c r="C337" s="134">
        <v>100</v>
      </c>
      <c r="D337" s="134" t="str">
        <f t="shared" si="1"/>
        <v>1/2" Round 775pro 100</v>
      </c>
      <c r="E337" s="134">
        <v>1</v>
      </c>
      <c r="F337" s="134">
        <v>0</v>
      </c>
    </row>
    <row r="338" spans="1:6" ht="14.25" customHeight="1" x14ac:dyDescent="0.3">
      <c r="A338" s="134" t="s">
        <v>246</v>
      </c>
      <c r="B338" s="134" t="s">
        <v>11</v>
      </c>
      <c r="C338" s="134">
        <v>9</v>
      </c>
      <c r="D338" s="134" t="str">
        <f t="shared" si="1"/>
        <v>3/8" Hex AM 9015 9</v>
      </c>
      <c r="E338" s="134">
        <v>10</v>
      </c>
      <c r="F338" s="134">
        <v>10</v>
      </c>
    </row>
    <row r="339" spans="1:6" ht="14.25" customHeight="1" x14ac:dyDescent="0.3">
      <c r="A339" s="134" t="s">
        <v>246</v>
      </c>
      <c r="B339" s="134" t="s">
        <v>11</v>
      </c>
      <c r="C339" s="134">
        <v>12</v>
      </c>
      <c r="D339" s="134" t="str">
        <f t="shared" si="1"/>
        <v>3/8" Hex AM 9015 12</v>
      </c>
      <c r="E339" s="134">
        <v>10</v>
      </c>
      <c r="F339" s="134">
        <v>7</v>
      </c>
    </row>
    <row r="340" spans="1:6" ht="14.25" customHeight="1" x14ac:dyDescent="0.3">
      <c r="A340" s="134" t="s">
        <v>246</v>
      </c>
      <c r="B340" s="134" t="s">
        <v>11</v>
      </c>
      <c r="C340" s="134">
        <v>15</v>
      </c>
      <c r="D340" s="134" t="str">
        <f t="shared" si="1"/>
        <v>3/8" Hex AM 9015 15</v>
      </c>
      <c r="E340" s="134">
        <v>7</v>
      </c>
      <c r="F340" s="134">
        <v>5</v>
      </c>
    </row>
    <row r="341" spans="1:6" ht="14.25" customHeight="1" x14ac:dyDescent="0.3">
      <c r="A341" s="134" t="s">
        <v>246</v>
      </c>
      <c r="B341" s="134" t="s">
        <v>11</v>
      </c>
      <c r="C341" s="134">
        <v>16</v>
      </c>
      <c r="D341" s="134" t="str">
        <f t="shared" si="1"/>
        <v>3/8" Hex AM 9015 16</v>
      </c>
      <c r="E341" s="134">
        <v>7</v>
      </c>
      <c r="F341" s="134">
        <v>5</v>
      </c>
    </row>
    <row r="342" spans="1:6" ht="14.25" customHeight="1" x14ac:dyDescent="0.3">
      <c r="A342" s="134" t="s">
        <v>246</v>
      </c>
      <c r="B342" s="134" t="s">
        <v>11</v>
      </c>
      <c r="C342" s="134">
        <v>20</v>
      </c>
      <c r="D342" s="134" t="str">
        <f t="shared" si="1"/>
        <v>3/8" Hex AM 9015 20</v>
      </c>
      <c r="E342" s="134">
        <v>5</v>
      </c>
      <c r="F342" s="134">
        <v>4</v>
      </c>
    </row>
    <row r="343" spans="1:6" ht="14.25" customHeight="1" x14ac:dyDescent="0.3">
      <c r="A343" s="134" t="s">
        <v>246</v>
      </c>
      <c r="B343" s="134" t="s">
        <v>11</v>
      </c>
      <c r="C343" s="134">
        <v>21</v>
      </c>
      <c r="D343" s="134" t="str">
        <f t="shared" si="1"/>
        <v>3/8" Hex AM 9015 21</v>
      </c>
      <c r="E343" s="134">
        <v>5</v>
      </c>
      <c r="F343" s="134">
        <v>4</v>
      </c>
    </row>
    <row r="344" spans="1:6" ht="14.25" customHeight="1" x14ac:dyDescent="0.3">
      <c r="A344" s="134" t="s">
        <v>246</v>
      </c>
      <c r="B344" s="134" t="s">
        <v>11</v>
      </c>
      <c r="C344" s="134">
        <v>25</v>
      </c>
      <c r="D344" s="134" t="str">
        <f t="shared" si="1"/>
        <v>3/8" Hex AM 9015 25</v>
      </c>
      <c r="E344" s="134">
        <v>5</v>
      </c>
      <c r="F344" s="134">
        <v>3</v>
      </c>
    </row>
    <row r="345" spans="1:6" ht="14.25" customHeight="1" x14ac:dyDescent="0.3">
      <c r="A345" s="134" t="s">
        <v>246</v>
      </c>
      <c r="B345" s="134" t="s">
        <v>11</v>
      </c>
      <c r="C345" s="134">
        <v>27</v>
      </c>
      <c r="D345" s="134" t="str">
        <f t="shared" si="1"/>
        <v>3/8" Hex AM 9015 27</v>
      </c>
      <c r="E345" s="134">
        <v>4</v>
      </c>
      <c r="F345" s="134">
        <v>3</v>
      </c>
    </row>
    <row r="346" spans="1:6" ht="14.25" customHeight="1" x14ac:dyDescent="0.3">
      <c r="A346" s="134" t="s">
        <v>246</v>
      </c>
      <c r="B346" s="134" t="s">
        <v>11</v>
      </c>
      <c r="C346" s="134">
        <v>28</v>
      </c>
      <c r="D346" s="134" t="str">
        <f t="shared" si="1"/>
        <v>3/8" Hex AM 9015 28</v>
      </c>
      <c r="E346" s="134">
        <v>4</v>
      </c>
      <c r="F346" s="134">
        <v>3</v>
      </c>
    </row>
    <row r="347" spans="1:6" ht="14.25" customHeight="1" x14ac:dyDescent="0.3">
      <c r="A347" s="134" t="s">
        <v>246</v>
      </c>
      <c r="B347" s="134" t="s">
        <v>11</v>
      </c>
      <c r="C347" s="134">
        <v>30</v>
      </c>
      <c r="D347" s="134" t="str">
        <f t="shared" si="1"/>
        <v>3/8" Hex AM 9015 30</v>
      </c>
      <c r="E347" s="134">
        <v>4</v>
      </c>
      <c r="F347" s="134">
        <v>3</v>
      </c>
    </row>
    <row r="348" spans="1:6" ht="14.25" customHeight="1" x14ac:dyDescent="0.3">
      <c r="A348" s="134" t="s">
        <v>246</v>
      </c>
      <c r="B348" s="134" t="s">
        <v>11</v>
      </c>
      <c r="C348" s="134">
        <v>35</v>
      </c>
      <c r="D348" s="134" t="str">
        <f t="shared" si="1"/>
        <v>3/8" Hex AM 9015 35</v>
      </c>
      <c r="E348" s="134">
        <v>3</v>
      </c>
      <c r="F348" s="134">
        <v>1</v>
      </c>
    </row>
    <row r="349" spans="1:6" ht="14.25" customHeight="1" x14ac:dyDescent="0.3">
      <c r="A349" s="134" t="s">
        <v>246</v>
      </c>
      <c r="B349" s="134" t="s">
        <v>11</v>
      </c>
      <c r="C349" s="134">
        <v>36</v>
      </c>
      <c r="D349" s="134" t="str">
        <f t="shared" si="1"/>
        <v>3/8" Hex AM 9015 36</v>
      </c>
      <c r="E349" s="134">
        <v>3</v>
      </c>
      <c r="F349" s="134">
        <v>1</v>
      </c>
    </row>
    <row r="350" spans="1:6" ht="14.25" customHeight="1" x14ac:dyDescent="0.3">
      <c r="A350" s="134" t="s">
        <v>246</v>
      </c>
      <c r="B350" s="134" t="s">
        <v>11</v>
      </c>
      <c r="C350" s="134">
        <v>40</v>
      </c>
      <c r="D350" s="134" t="str">
        <f t="shared" si="1"/>
        <v>3/8" Hex AM 9015 40</v>
      </c>
      <c r="E350" s="134">
        <v>3</v>
      </c>
      <c r="F350" s="134">
        <v>1</v>
      </c>
    </row>
    <row r="351" spans="1:6" ht="14.25" customHeight="1" x14ac:dyDescent="0.3">
      <c r="A351" s="134" t="s">
        <v>246</v>
      </c>
      <c r="B351" s="134" t="s">
        <v>11</v>
      </c>
      <c r="C351" s="134">
        <v>45</v>
      </c>
      <c r="D351" s="134" t="str">
        <f t="shared" si="1"/>
        <v>3/8" Hex AM 9015 45</v>
      </c>
      <c r="E351" s="134">
        <v>1</v>
      </c>
      <c r="F351" s="134">
        <v>1</v>
      </c>
    </row>
    <row r="352" spans="1:6" ht="14.25" customHeight="1" x14ac:dyDescent="0.3">
      <c r="A352" s="134" t="s">
        <v>246</v>
      </c>
      <c r="B352" s="134" t="s">
        <v>11</v>
      </c>
      <c r="C352" s="134">
        <v>49</v>
      </c>
      <c r="D352" s="134" t="str">
        <f t="shared" si="1"/>
        <v>3/8" Hex AM 9015 49</v>
      </c>
      <c r="E352" s="134">
        <v>1</v>
      </c>
      <c r="F352" s="134">
        <v>1</v>
      </c>
    </row>
    <row r="353" spans="1:6" ht="14.25" customHeight="1" x14ac:dyDescent="0.3">
      <c r="A353" s="134" t="s">
        <v>246</v>
      </c>
      <c r="B353" s="134" t="s">
        <v>11</v>
      </c>
      <c r="C353" s="134">
        <v>50</v>
      </c>
      <c r="D353" s="134" t="str">
        <f t="shared" si="1"/>
        <v>3/8" Hex AM 9015 50</v>
      </c>
      <c r="E353" s="134">
        <v>1</v>
      </c>
      <c r="F353" s="134">
        <v>1</v>
      </c>
    </row>
    <row r="354" spans="1:6" ht="14.25" customHeight="1" x14ac:dyDescent="0.3">
      <c r="A354" s="134" t="s">
        <v>246</v>
      </c>
      <c r="B354" s="134" t="s">
        <v>11</v>
      </c>
      <c r="C354" s="134">
        <v>63</v>
      </c>
      <c r="D354" s="134" t="str">
        <f t="shared" si="1"/>
        <v>3/8" Hex AM 9015 63</v>
      </c>
      <c r="E354" s="134">
        <v>1</v>
      </c>
      <c r="F354" s="134">
        <v>1</v>
      </c>
    </row>
    <row r="355" spans="1:6" ht="14.25" customHeight="1" x14ac:dyDescent="0.3">
      <c r="A355" s="134" t="s">
        <v>246</v>
      </c>
      <c r="B355" s="134" t="s">
        <v>11</v>
      </c>
      <c r="C355" s="134">
        <v>70</v>
      </c>
      <c r="D355" s="134" t="str">
        <f t="shared" si="1"/>
        <v>3/8" Hex AM 9015 70</v>
      </c>
      <c r="E355" s="134">
        <v>1</v>
      </c>
      <c r="F355" s="134">
        <v>1</v>
      </c>
    </row>
    <row r="356" spans="1:6" ht="14.25" customHeight="1" x14ac:dyDescent="0.3">
      <c r="A356" s="134" t="s">
        <v>246</v>
      </c>
      <c r="B356" s="134" t="s">
        <v>11</v>
      </c>
      <c r="C356" s="134">
        <v>81</v>
      </c>
      <c r="D356" s="134" t="str">
        <f t="shared" si="1"/>
        <v>3/8" Hex AM 9015 81</v>
      </c>
      <c r="E356" s="134">
        <v>1</v>
      </c>
      <c r="F356" s="134">
        <v>1</v>
      </c>
    </row>
    <row r="357" spans="1:6" ht="14.25" customHeight="1" x14ac:dyDescent="0.3">
      <c r="A357" s="134" t="s">
        <v>246</v>
      </c>
      <c r="B357" s="134" t="s">
        <v>11</v>
      </c>
      <c r="C357" s="134">
        <v>90</v>
      </c>
      <c r="D357" s="134" t="str">
        <f t="shared" si="1"/>
        <v>3/8" Hex AM 9015 90</v>
      </c>
      <c r="E357" s="134">
        <v>1</v>
      </c>
      <c r="F357" s="134">
        <v>1</v>
      </c>
    </row>
    <row r="358" spans="1:6" ht="14.25" customHeight="1" x14ac:dyDescent="0.3">
      <c r="A358" s="134" t="s">
        <v>246</v>
      </c>
      <c r="B358" s="134" t="s">
        <v>11</v>
      </c>
      <c r="C358" s="134">
        <v>100</v>
      </c>
      <c r="D358" s="134" t="str">
        <f t="shared" si="1"/>
        <v>3/8" Hex AM 9015 100</v>
      </c>
      <c r="E358" s="134">
        <v>1</v>
      </c>
      <c r="F358" s="134">
        <v>0</v>
      </c>
    </row>
    <row r="359" spans="1:6" ht="14.25" customHeight="1" x14ac:dyDescent="0.3">
      <c r="A359" s="134" t="s">
        <v>246</v>
      </c>
      <c r="B359" s="134" t="s">
        <v>336</v>
      </c>
      <c r="C359" s="134">
        <v>9</v>
      </c>
      <c r="D359" s="134" t="str">
        <f t="shared" si="1"/>
        <v>3/8" Hex NeveRest 9</v>
      </c>
      <c r="E359" s="134">
        <v>10</v>
      </c>
      <c r="F359" s="134">
        <v>10</v>
      </c>
    </row>
    <row r="360" spans="1:6" ht="14.25" customHeight="1" x14ac:dyDescent="0.3">
      <c r="A360" s="134" t="s">
        <v>246</v>
      </c>
      <c r="B360" s="134" t="s">
        <v>336</v>
      </c>
      <c r="C360" s="134">
        <v>12</v>
      </c>
      <c r="D360" s="134" t="str">
        <f t="shared" si="1"/>
        <v>3/8" Hex NeveRest 12</v>
      </c>
      <c r="E360" s="134">
        <v>10</v>
      </c>
      <c r="F360" s="134">
        <v>10</v>
      </c>
    </row>
    <row r="361" spans="1:6" ht="14.25" customHeight="1" x14ac:dyDescent="0.3">
      <c r="A361" s="134" t="s">
        <v>246</v>
      </c>
      <c r="B361" s="134" t="s">
        <v>336</v>
      </c>
      <c r="C361" s="134">
        <v>15</v>
      </c>
      <c r="D361" s="134" t="str">
        <f t="shared" si="1"/>
        <v>3/8" Hex NeveRest 15</v>
      </c>
      <c r="E361" s="134">
        <v>7</v>
      </c>
      <c r="F361" s="134">
        <v>10</v>
      </c>
    </row>
    <row r="362" spans="1:6" ht="14.25" customHeight="1" x14ac:dyDescent="0.3">
      <c r="A362" s="134" t="s">
        <v>246</v>
      </c>
      <c r="B362" s="134" t="s">
        <v>336</v>
      </c>
      <c r="C362" s="134">
        <v>16</v>
      </c>
      <c r="D362" s="134" t="str">
        <f t="shared" si="1"/>
        <v>3/8" Hex NeveRest 16</v>
      </c>
      <c r="E362" s="134">
        <v>7</v>
      </c>
      <c r="F362" s="134">
        <v>10</v>
      </c>
    </row>
    <row r="363" spans="1:6" ht="14.25" customHeight="1" x14ac:dyDescent="0.3">
      <c r="A363" s="134" t="s">
        <v>246</v>
      </c>
      <c r="B363" s="134" t="s">
        <v>336</v>
      </c>
      <c r="C363" s="134">
        <v>20</v>
      </c>
      <c r="D363" s="134" t="str">
        <f t="shared" si="1"/>
        <v>3/8" Hex NeveRest 20</v>
      </c>
      <c r="E363" s="134">
        <v>5</v>
      </c>
      <c r="F363" s="134">
        <v>10</v>
      </c>
    </row>
    <row r="364" spans="1:6" ht="14.25" customHeight="1" x14ac:dyDescent="0.3">
      <c r="A364" s="134" t="s">
        <v>246</v>
      </c>
      <c r="B364" s="134" t="s">
        <v>336</v>
      </c>
      <c r="C364" s="134">
        <v>21</v>
      </c>
      <c r="D364" s="134" t="str">
        <f t="shared" si="1"/>
        <v>3/8" Hex NeveRest 21</v>
      </c>
      <c r="E364" s="134">
        <v>5</v>
      </c>
      <c r="F364" s="134">
        <v>9</v>
      </c>
    </row>
    <row r="365" spans="1:6" ht="14.25" customHeight="1" x14ac:dyDescent="0.3">
      <c r="A365" s="134" t="s">
        <v>246</v>
      </c>
      <c r="B365" s="134" t="s">
        <v>336</v>
      </c>
      <c r="C365" s="134">
        <v>25</v>
      </c>
      <c r="D365" s="134" t="str">
        <f t="shared" si="1"/>
        <v>3/8" Hex NeveRest 25</v>
      </c>
      <c r="E365" s="134">
        <v>5</v>
      </c>
      <c r="F365" s="134">
        <v>7</v>
      </c>
    </row>
    <row r="366" spans="1:6" ht="14.25" customHeight="1" x14ac:dyDescent="0.3">
      <c r="A366" s="134" t="s">
        <v>246</v>
      </c>
      <c r="B366" s="134" t="s">
        <v>336</v>
      </c>
      <c r="C366" s="134">
        <v>27</v>
      </c>
      <c r="D366" s="134" t="str">
        <f t="shared" si="1"/>
        <v>3/8" Hex NeveRest 27</v>
      </c>
      <c r="E366" s="134">
        <v>4</v>
      </c>
      <c r="F366" s="134">
        <v>7</v>
      </c>
    </row>
    <row r="367" spans="1:6" ht="14.25" customHeight="1" x14ac:dyDescent="0.3">
      <c r="A367" s="134" t="s">
        <v>246</v>
      </c>
      <c r="B367" s="134" t="s">
        <v>336</v>
      </c>
      <c r="C367" s="134">
        <v>28</v>
      </c>
      <c r="D367" s="134" t="str">
        <f t="shared" si="1"/>
        <v>3/8" Hex NeveRest 28</v>
      </c>
      <c r="E367" s="134">
        <v>4</v>
      </c>
      <c r="F367" s="134">
        <v>7</v>
      </c>
    </row>
    <row r="368" spans="1:6" ht="14.25" customHeight="1" x14ac:dyDescent="0.3">
      <c r="A368" s="134" t="s">
        <v>246</v>
      </c>
      <c r="B368" s="134" t="s">
        <v>336</v>
      </c>
      <c r="C368" s="134">
        <v>30</v>
      </c>
      <c r="D368" s="134" t="str">
        <f t="shared" si="1"/>
        <v>3/8" Hex NeveRest 30</v>
      </c>
      <c r="E368" s="134">
        <v>4</v>
      </c>
      <c r="F368" s="134">
        <v>5</v>
      </c>
    </row>
    <row r="369" spans="1:6" ht="14.25" customHeight="1" x14ac:dyDescent="0.3">
      <c r="A369" s="134" t="s">
        <v>246</v>
      </c>
      <c r="B369" s="134" t="s">
        <v>336</v>
      </c>
      <c r="C369" s="134">
        <v>35</v>
      </c>
      <c r="D369" s="134" t="str">
        <f t="shared" si="1"/>
        <v>3/8" Hex NeveRest 35</v>
      </c>
      <c r="E369" s="134">
        <v>3</v>
      </c>
      <c r="F369" s="134">
        <v>5</v>
      </c>
    </row>
    <row r="370" spans="1:6" ht="14.25" customHeight="1" x14ac:dyDescent="0.3">
      <c r="A370" s="134" t="s">
        <v>246</v>
      </c>
      <c r="B370" s="134" t="s">
        <v>336</v>
      </c>
      <c r="C370" s="134">
        <v>36</v>
      </c>
      <c r="D370" s="134" t="str">
        <f t="shared" si="1"/>
        <v>3/8" Hex NeveRest 36</v>
      </c>
      <c r="E370" s="134">
        <v>3</v>
      </c>
      <c r="F370" s="134">
        <v>5</v>
      </c>
    </row>
    <row r="371" spans="1:6" ht="14.25" customHeight="1" x14ac:dyDescent="0.3">
      <c r="A371" s="134" t="s">
        <v>246</v>
      </c>
      <c r="B371" s="134" t="s">
        <v>336</v>
      </c>
      <c r="C371" s="134">
        <v>40</v>
      </c>
      <c r="D371" s="134" t="str">
        <f t="shared" si="1"/>
        <v>3/8" Hex NeveRest 40</v>
      </c>
      <c r="E371" s="134">
        <v>3</v>
      </c>
      <c r="F371" s="134">
        <v>5</v>
      </c>
    </row>
    <row r="372" spans="1:6" ht="14.25" customHeight="1" x14ac:dyDescent="0.3">
      <c r="A372" s="134" t="s">
        <v>246</v>
      </c>
      <c r="B372" s="134" t="s">
        <v>336</v>
      </c>
      <c r="C372" s="134">
        <v>45</v>
      </c>
      <c r="D372" s="134" t="str">
        <f t="shared" si="1"/>
        <v>3/8" Hex NeveRest 45</v>
      </c>
      <c r="E372" s="134">
        <v>1</v>
      </c>
      <c r="F372" s="134">
        <v>4</v>
      </c>
    </row>
    <row r="373" spans="1:6" ht="14.25" customHeight="1" x14ac:dyDescent="0.3">
      <c r="A373" s="134" t="s">
        <v>246</v>
      </c>
      <c r="B373" s="134" t="s">
        <v>336</v>
      </c>
      <c r="C373" s="134">
        <v>49</v>
      </c>
      <c r="D373" s="134" t="str">
        <f t="shared" si="1"/>
        <v>3/8" Hex NeveRest 49</v>
      </c>
      <c r="E373" s="134">
        <v>1</v>
      </c>
      <c r="F373" s="134">
        <v>4</v>
      </c>
    </row>
    <row r="374" spans="1:6" ht="14.25" customHeight="1" x14ac:dyDescent="0.3">
      <c r="A374" s="134" t="s">
        <v>246</v>
      </c>
      <c r="B374" s="134" t="s">
        <v>336</v>
      </c>
      <c r="C374" s="134">
        <v>50</v>
      </c>
      <c r="D374" s="134" t="str">
        <f t="shared" si="1"/>
        <v>3/8" Hex NeveRest 50</v>
      </c>
      <c r="E374" s="134">
        <v>1</v>
      </c>
      <c r="F374" s="134">
        <v>4</v>
      </c>
    </row>
    <row r="375" spans="1:6" ht="14.25" customHeight="1" x14ac:dyDescent="0.3">
      <c r="A375" s="134" t="s">
        <v>246</v>
      </c>
      <c r="B375" s="134" t="s">
        <v>336</v>
      </c>
      <c r="C375" s="134">
        <v>63</v>
      </c>
      <c r="D375" s="134" t="str">
        <f t="shared" si="1"/>
        <v>3/8" Hex NeveRest 63</v>
      </c>
      <c r="E375" s="134">
        <v>1</v>
      </c>
      <c r="F375" s="134">
        <v>3</v>
      </c>
    </row>
    <row r="376" spans="1:6" ht="14.25" customHeight="1" x14ac:dyDescent="0.3">
      <c r="A376" s="134" t="s">
        <v>246</v>
      </c>
      <c r="B376" s="134" t="s">
        <v>336</v>
      </c>
      <c r="C376" s="134">
        <v>70</v>
      </c>
      <c r="D376" s="134" t="str">
        <f t="shared" si="1"/>
        <v>3/8" Hex NeveRest 70</v>
      </c>
      <c r="E376" s="134">
        <v>1</v>
      </c>
      <c r="F376" s="134">
        <v>1</v>
      </c>
    </row>
    <row r="377" spans="1:6" ht="14.25" customHeight="1" x14ac:dyDescent="0.3">
      <c r="A377" s="134" t="s">
        <v>246</v>
      </c>
      <c r="B377" s="134" t="s">
        <v>336</v>
      </c>
      <c r="C377" s="134">
        <v>81</v>
      </c>
      <c r="D377" s="134" t="str">
        <f t="shared" si="1"/>
        <v>3/8" Hex NeveRest 81</v>
      </c>
      <c r="E377" s="134">
        <v>1</v>
      </c>
      <c r="F377" s="134">
        <v>1</v>
      </c>
    </row>
    <row r="378" spans="1:6" ht="14.25" customHeight="1" x14ac:dyDescent="0.3">
      <c r="A378" s="134" t="s">
        <v>246</v>
      </c>
      <c r="B378" s="134" t="s">
        <v>336</v>
      </c>
      <c r="C378" s="134">
        <v>90</v>
      </c>
      <c r="D378" s="134" t="str">
        <f t="shared" si="1"/>
        <v>3/8" Hex NeveRest 90</v>
      </c>
      <c r="E378" s="134">
        <v>1</v>
      </c>
      <c r="F378" s="134">
        <v>1</v>
      </c>
    </row>
    <row r="379" spans="1:6" ht="14.25" customHeight="1" x14ac:dyDescent="0.3">
      <c r="A379" s="134" t="s">
        <v>246</v>
      </c>
      <c r="B379" s="134" t="s">
        <v>336</v>
      </c>
      <c r="C379" s="134">
        <v>100</v>
      </c>
      <c r="D379" s="134" t="str">
        <f t="shared" si="1"/>
        <v>3/8" Hex NeveRest 100</v>
      </c>
      <c r="E379" s="134">
        <v>1</v>
      </c>
      <c r="F379" s="134">
        <v>1</v>
      </c>
    </row>
    <row r="380" spans="1:6" ht="14.25" customHeight="1" x14ac:dyDescent="0.3">
      <c r="A380" s="134" t="s">
        <v>246</v>
      </c>
      <c r="B380" s="134" t="s">
        <v>332</v>
      </c>
      <c r="C380" s="134">
        <v>9</v>
      </c>
      <c r="D380" s="134" t="str">
        <f t="shared" si="1"/>
        <v>3/8" Hex BB RS-550 9</v>
      </c>
      <c r="E380" s="134">
        <v>10</v>
      </c>
      <c r="F380" s="134">
        <v>10</v>
      </c>
    </row>
    <row r="381" spans="1:6" ht="14.25" customHeight="1" x14ac:dyDescent="0.3">
      <c r="A381" s="134" t="s">
        <v>246</v>
      </c>
      <c r="B381" s="134" t="s">
        <v>332</v>
      </c>
      <c r="C381" s="134">
        <v>12</v>
      </c>
      <c r="D381" s="134" t="str">
        <f t="shared" si="1"/>
        <v>3/8" Hex BB RS-550 12</v>
      </c>
      <c r="E381" s="134">
        <v>10</v>
      </c>
      <c r="F381" s="134">
        <v>7</v>
      </c>
    </row>
    <row r="382" spans="1:6" ht="14.25" customHeight="1" x14ac:dyDescent="0.3">
      <c r="A382" s="134" t="s">
        <v>246</v>
      </c>
      <c r="B382" s="134" t="s">
        <v>332</v>
      </c>
      <c r="C382" s="134">
        <v>15</v>
      </c>
      <c r="D382" s="134" t="str">
        <f t="shared" si="1"/>
        <v>3/8" Hex BB RS-550 15</v>
      </c>
      <c r="E382" s="134">
        <v>7</v>
      </c>
      <c r="F382" s="134">
        <v>5</v>
      </c>
    </row>
    <row r="383" spans="1:6" ht="14.25" customHeight="1" x14ac:dyDescent="0.3">
      <c r="A383" s="134" t="s">
        <v>246</v>
      </c>
      <c r="B383" s="134" t="s">
        <v>332</v>
      </c>
      <c r="C383" s="134">
        <v>16</v>
      </c>
      <c r="D383" s="134" t="str">
        <f t="shared" si="1"/>
        <v>3/8" Hex BB RS-550 16</v>
      </c>
      <c r="E383" s="134">
        <v>7</v>
      </c>
      <c r="F383" s="134">
        <v>5</v>
      </c>
    </row>
    <row r="384" spans="1:6" ht="14.25" customHeight="1" x14ac:dyDescent="0.3">
      <c r="A384" s="134" t="s">
        <v>246</v>
      </c>
      <c r="B384" s="134" t="s">
        <v>332</v>
      </c>
      <c r="C384" s="134">
        <v>20</v>
      </c>
      <c r="D384" s="134" t="str">
        <f t="shared" si="1"/>
        <v>3/8" Hex BB RS-550 20</v>
      </c>
      <c r="E384" s="134">
        <v>5</v>
      </c>
      <c r="F384" s="134">
        <v>4</v>
      </c>
    </row>
    <row r="385" spans="1:6" ht="14.25" customHeight="1" x14ac:dyDescent="0.3">
      <c r="A385" s="134" t="s">
        <v>246</v>
      </c>
      <c r="B385" s="134" t="s">
        <v>332</v>
      </c>
      <c r="C385" s="134">
        <v>21</v>
      </c>
      <c r="D385" s="134" t="str">
        <f t="shared" si="1"/>
        <v>3/8" Hex BB RS-550 21</v>
      </c>
      <c r="E385" s="134">
        <v>5</v>
      </c>
      <c r="F385" s="134">
        <v>4</v>
      </c>
    </row>
    <row r="386" spans="1:6" ht="14.25" customHeight="1" x14ac:dyDescent="0.3">
      <c r="A386" s="134" t="s">
        <v>246</v>
      </c>
      <c r="B386" s="134" t="s">
        <v>332</v>
      </c>
      <c r="C386" s="134">
        <v>25</v>
      </c>
      <c r="D386" s="134" t="str">
        <f t="shared" si="1"/>
        <v>3/8" Hex BB RS-550 25</v>
      </c>
      <c r="E386" s="134">
        <v>5</v>
      </c>
      <c r="F386" s="134">
        <v>3</v>
      </c>
    </row>
    <row r="387" spans="1:6" ht="14.25" customHeight="1" x14ac:dyDescent="0.3">
      <c r="A387" s="134" t="s">
        <v>246</v>
      </c>
      <c r="B387" s="134" t="s">
        <v>332</v>
      </c>
      <c r="C387" s="134">
        <v>27</v>
      </c>
      <c r="D387" s="134" t="str">
        <f t="shared" si="1"/>
        <v>3/8" Hex BB RS-550 27</v>
      </c>
      <c r="E387" s="134">
        <v>4</v>
      </c>
      <c r="F387" s="134">
        <v>3</v>
      </c>
    </row>
    <row r="388" spans="1:6" ht="14.25" customHeight="1" x14ac:dyDescent="0.3">
      <c r="A388" s="134" t="s">
        <v>246</v>
      </c>
      <c r="B388" s="134" t="s">
        <v>332</v>
      </c>
      <c r="C388" s="134">
        <v>28</v>
      </c>
      <c r="D388" s="134" t="str">
        <f t="shared" si="1"/>
        <v>3/8" Hex BB RS-550 28</v>
      </c>
      <c r="E388" s="134">
        <v>4</v>
      </c>
      <c r="F388" s="134">
        <v>3</v>
      </c>
    </row>
    <row r="389" spans="1:6" ht="14.25" customHeight="1" x14ac:dyDescent="0.3">
      <c r="A389" s="134" t="s">
        <v>246</v>
      </c>
      <c r="B389" s="134" t="s">
        <v>332</v>
      </c>
      <c r="C389" s="134">
        <v>30</v>
      </c>
      <c r="D389" s="134" t="str">
        <f t="shared" si="1"/>
        <v>3/8" Hex BB RS-550 30</v>
      </c>
      <c r="E389" s="134">
        <v>4</v>
      </c>
      <c r="F389" s="134">
        <v>3</v>
      </c>
    </row>
    <row r="390" spans="1:6" ht="14.25" customHeight="1" x14ac:dyDescent="0.3">
      <c r="A390" s="134" t="s">
        <v>246</v>
      </c>
      <c r="B390" s="134" t="s">
        <v>332</v>
      </c>
      <c r="C390" s="134">
        <v>35</v>
      </c>
      <c r="D390" s="134" t="str">
        <f t="shared" si="1"/>
        <v>3/8" Hex BB RS-550 35</v>
      </c>
      <c r="E390" s="134">
        <v>3</v>
      </c>
      <c r="F390" s="134">
        <v>1</v>
      </c>
    </row>
    <row r="391" spans="1:6" ht="14.25" customHeight="1" x14ac:dyDescent="0.3">
      <c r="A391" s="134" t="s">
        <v>246</v>
      </c>
      <c r="B391" s="134" t="s">
        <v>332</v>
      </c>
      <c r="C391" s="134">
        <v>36</v>
      </c>
      <c r="D391" s="134" t="str">
        <f t="shared" si="1"/>
        <v>3/8" Hex BB RS-550 36</v>
      </c>
      <c r="E391" s="134">
        <v>3</v>
      </c>
      <c r="F391" s="134">
        <v>1</v>
      </c>
    </row>
    <row r="392" spans="1:6" ht="14.25" customHeight="1" x14ac:dyDescent="0.3">
      <c r="A392" s="134" t="s">
        <v>246</v>
      </c>
      <c r="B392" s="134" t="s">
        <v>332</v>
      </c>
      <c r="C392" s="134">
        <v>40</v>
      </c>
      <c r="D392" s="134" t="str">
        <f t="shared" si="1"/>
        <v>3/8" Hex BB RS-550 40</v>
      </c>
      <c r="E392" s="134">
        <v>3</v>
      </c>
      <c r="F392" s="134">
        <v>5</v>
      </c>
    </row>
    <row r="393" spans="1:6" ht="14.25" customHeight="1" x14ac:dyDescent="0.3">
      <c r="A393" s="134" t="s">
        <v>246</v>
      </c>
      <c r="B393" s="134" t="s">
        <v>332</v>
      </c>
      <c r="C393" s="134">
        <v>45</v>
      </c>
      <c r="D393" s="134" t="str">
        <f t="shared" si="1"/>
        <v>3/8" Hex BB RS-550 45</v>
      </c>
      <c r="E393" s="134">
        <v>1</v>
      </c>
      <c r="F393" s="134">
        <v>4</v>
      </c>
    </row>
    <row r="394" spans="1:6" ht="14.25" customHeight="1" x14ac:dyDescent="0.3">
      <c r="A394" s="134" t="s">
        <v>246</v>
      </c>
      <c r="B394" s="134" t="s">
        <v>332</v>
      </c>
      <c r="C394" s="134">
        <v>49</v>
      </c>
      <c r="D394" s="134" t="str">
        <f t="shared" si="1"/>
        <v>3/8" Hex BB RS-550 49</v>
      </c>
      <c r="E394" s="134">
        <v>1</v>
      </c>
      <c r="F394" s="134">
        <v>4</v>
      </c>
    </row>
    <row r="395" spans="1:6" ht="14.25" customHeight="1" x14ac:dyDescent="0.3">
      <c r="A395" s="134" t="s">
        <v>246</v>
      </c>
      <c r="B395" s="134" t="s">
        <v>332</v>
      </c>
      <c r="C395" s="134">
        <v>50</v>
      </c>
      <c r="D395" s="134" t="str">
        <f t="shared" si="1"/>
        <v>3/8" Hex BB RS-550 50</v>
      </c>
      <c r="E395" s="134">
        <v>1</v>
      </c>
      <c r="F395" s="134">
        <v>1</v>
      </c>
    </row>
    <row r="396" spans="1:6" ht="14.25" customHeight="1" x14ac:dyDescent="0.3">
      <c r="A396" s="134" t="s">
        <v>246</v>
      </c>
      <c r="B396" s="134" t="s">
        <v>332</v>
      </c>
      <c r="C396" s="134">
        <v>63</v>
      </c>
      <c r="D396" s="134" t="str">
        <f t="shared" si="1"/>
        <v>3/8" Hex BB RS-550 63</v>
      </c>
      <c r="E396" s="134">
        <v>1</v>
      </c>
      <c r="F396" s="134">
        <v>1</v>
      </c>
    </row>
    <row r="397" spans="1:6" ht="14.25" customHeight="1" x14ac:dyDescent="0.3">
      <c r="A397" s="134" t="s">
        <v>246</v>
      </c>
      <c r="B397" s="134" t="s">
        <v>332</v>
      </c>
      <c r="C397" s="134">
        <v>70</v>
      </c>
      <c r="D397" s="134" t="str">
        <f t="shared" si="1"/>
        <v>3/8" Hex BB RS-550 70</v>
      </c>
      <c r="E397" s="134">
        <v>1</v>
      </c>
      <c r="F397" s="134">
        <v>1</v>
      </c>
    </row>
    <row r="398" spans="1:6" ht="14.25" customHeight="1" x14ac:dyDescent="0.3">
      <c r="A398" s="134" t="s">
        <v>246</v>
      </c>
      <c r="B398" s="134" t="s">
        <v>332</v>
      </c>
      <c r="C398" s="134">
        <v>81</v>
      </c>
      <c r="D398" s="134" t="str">
        <f t="shared" si="1"/>
        <v>3/8" Hex BB RS-550 81</v>
      </c>
      <c r="E398" s="134">
        <v>1</v>
      </c>
      <c r="F398" s="134">
        <v>1</v>
      </c>
    </row>
    <row r="399" spans="1:6" ht="14.25" customHeight="1" x14ac:dyDescent="0.3">
      <c r="A399" s="134" t="s">
        <v>246</v>
      </c>
      <c r="B399" s="134" t="s">
        <v>332</v>
      </c>
      <c r="C399" s="134">
        <v>90</v>
      </c>
      <c r="D399" s="134" t="str">
        <f t="shared" si="1"/>
        <v>3/8" Hex BB RS-550 90</v>
      </c>
      <c r="E399" s="134">
        <v>1</v>
      </c>
      <c r="F399" s="134">
        <v>1</v>
      </c>
    </row>
    <row r="400" spans="1:6" ht="14.25" customHeight="1" x14ac:dyDescent="0.3">
      <c r="A400" s="134" t="s">
        <v>246</v>
      </c>
      <c r="B400" s="134" t="s">
        <v>332</v>
      </c>
      <c r="C400" s="134">
        <v>100</v>
      </c>
      <c r="D400" s="134" t="str">
        <f t="shared" si="1"/>
        <v>3/8" Hex BB RS-550 100</v>
      </c>
      <c r="E400" s="134">
        <v>1</v>
      </c>
      <c r="F400" s="134">
        <v>0</v>
      </c>
    </row>
    <row r="401" spans="1:6" ht="14.25" customHeight="1" x14ac:dyDescent="0.3">
      <c r="A401" s="134" t="s">
        <v>246</v>
      </c>
      <c r="B401" s="134" t="s">
        <v>333</v>
      </c>
      <c r="C401" s="134">
        <v>9</v>
      </c>
      <c r="D401" s="134" t="str">
        <f t="shared" si="1"/>
        <v>3/8" Hex BB RS-775 9</v>
      </c>
      <c r="E401" s="134">
        <v>7</v>
      </c>
      <c r="F401" s="134">
        <v>10</v>
      </c>
    </row>
    <row r="402" spans="1:6" ht="14.25" customHeight="1" x14ac:dyDescent="0.3">
      <c r="A402" s="134" t="s">
        <v>246</v>
      </c>
      <c r="B402" s="134" t="s">
        <v>333</v>
      </c>
      <c r="C402" s="134">
        <v>12</v>
      </c>
      <c r="D402" s="134" t="str">
        <f t="shared" si="1"/>
        <v>3/8" Hex BB RS-775 12</v>
      </c>
      <c r="E402" s="134">
        <v>5</v>
      </c>
      <c r="F402" s="134">
        <v>10</v>
      </c>
    </row>
    <row r="403" spans="1:6" ht="14.25" customHeight="1" x14ac:dyDescent="0.3">
      <c r="A403" s="134" t="s">
        <v>246</v>
      </c>
      <c r="B403" s="134" t="s">
        <v>333</v>
      </c>
      <c r="C403" s="134">
        <v>15</v>
      </c>
      <c r="D403" s="134" t="str">
        <f t="shared" si="1"/>
        <v>3/8" Hex BB RS-775 15</v>
      </c>
      <c r="E403" s="134">
        <v>4</v>
      </c>
      <c r="F403" s="134">
        <v>7</v>
      </c>
    </row>
    <row r="404" spans="1:6" ht="14.25" customHeight="1" x14ac:dyDescent="0.3">
      <c r="A404" s="134" t="s">
        <v>246</v>
      </c>
      <c r="B404" s="134" t="s">
        <v>333</v>
      </c>
      <c r="C404" s="134">
        <v>16</v>
      </c>
      <c r="D404" s="134" t="str">
        <f t="shared" si="1"/>
        <v>3/8" Hex BB RS-775 16</v>
      </c>
      <c r="E404" s="134">
        <v>4</v>
      </c>
      <c r="F404" s="134">
        <v>7</v>
      </c>
    </row>
    <row r="405" spans="1:6" ht="14.25" customHeight="1" x14ac:dyDescent="0.3">
      <c r="A405" s="134" t="s">
        <v>246</v>
      </c>
      <c r="B405" s="134" t="s">
        <v>333</v>
      </c>
      <c r="C405" s="134">
        <v>20</v>
      </c>
      <c r="D405" s="134" t="str">
        <f t="shared" si="1"/>
        <v>3/8" Hex BB RS-775 20</v>
      </c>
      <c r="E405" s="134">
        <v>3</v>
      </c>
      <c r="F405" s="134">
        <v>5</v>
      </c>
    </row>
    <row r="406" spans="1:6" ht="14.25" customHeight="1" x14ac:dyDescent="0.3">
      <c r="A406" s="134" t="s">
        <v>246</v>
      </c>
      <c r="B406" s="134" t="s">
        <v>333</v>
      </c>
      <c r="C406" s="134">
        <v>21</v>
      </c>
      <c r="D406" s="134" t="str">
        <f t="shared" si="1"/>
        <v>3/8" Hex BB RS-775 21</v>
      </c>
      <c r="E406" s="134">
        <v>3</v>
      </c>
      <c r="F406" s="134">
        <v>5</v>
      </c>
    </row>
    <row r="407" spans="1:6" ht="14.25" customHeight="1" x14ac:dyDescent="0.3">
      <c r="A407" s="134" t="s">
        <v>246</v>
      </c>
      <c r="B407" s="134" t="s">
        <v>333</v>
      </c>
      <c r="C407" s="134">
        <v>25</v>
      </c>
      <c r="D407" s="134" t="str">
        <f t="shared" si="1"/>
        <v>3/8" Hex BB RS-775 25</v>
      </c>
      <c r="E407" s="134">
        <v>1</v>
      </c>
      <c r="F407" s="134">
        <v>5</v>
      </c>
    </row>
    <row r="408" spans="1:6" ht="14.25" customHeight="1" x14ac:dyDescent="0.3">
      <c r="A408" s="134" t="s">
        <v>246</v>
      </c>
      <c r="B408" s="134" t="s">
        <v>333</v>
      </c>
      <c r="C408" s="134">
        <v>27</v>
      </c>
      <c r="D408" s="134" t="str">
        <f t="shared" si="1"/>
        <v>3/8" Hex BB RS-775 27</v>
      </c>
      <c r="E408" s="134">
        <v>1</v>
      </c>
      <c r="F408" s="134">
        <v>4</v>
      </c>
    </row>
    <row r="409" spans="1:6" ht="14.25" customHeight="1" x14ac:dyDescent="0.3">
      <c r="A409" s="134" t="s">
        <v>246</v>
      </c>
      <c r="B409" s="134" t="s">
        <v>333</v>
      </c>
      <c r="C409" s="134">
        <v>28</v>
      </c>
      <c r="D409" s="134" t="str">
        <f t="shared" si="1"/>
        <v>3/8" Hex BB RS-775 28</v>
      </c>
      <c r="E409" s="134">
        <v>1</v>
      </c>
      <c r="F409" s="134">
        <v>4</v>
      </c>
    </row>
    <row r="410" spans="1:6" ht="14.25" customHeight="1" x14ac:dyDescent="0.3">
      <c r="A410" s="134" t="s">
        <v>246</v>
      </c>
      <c r="B410" s="134" t="s">
        <v>333</v>
      </c>
      <c r="C410" s="134">
        <v>30</v>
      </c>
      <c r="D410" s="134" t="str">
        <f t="shared" si="1"/>
        <v>3/8" Hex BB RS-775 30</v>
      </c>
      <c r="E410" s="134">
        <v>1</v>
      </c>
      <c r="F410" s="134">
        <v>4</v>
      </c>
    </row>
    <row r="411" spans="1:6" ht="14.25" customHeight="1" x14ac:dyDescent="0.3">
      <c r="A411" s="134" t="s">
        <v>246</v>
      </c>
      <c r="B411" s="134" t="s">
        <v>333</v>
      </c>
      <c r="C411" s="134">
        <v>35</v>
      </c>
      <c r="D411" s="134" t="str">
        <f t="shared" si="1"/>
        <v>3/8" Hex BB RS-775 35</v>
      </c>
      <c r="E411" s="134">
        <v>1</v>
      </c>
      <c r="F411" s="134">
        <v>3</v>
      </c>
    </row>
    <row r="412" spans="1:6" ht="14.25" customHeight="1" x14ac:dyDescent="0.3">
      <c r="A412" s="134" t="s">
        <v>246</v>
      </c>
      <c r="B412" s="134" t="s">
        <v>333</v>
      </c>
      <c r="C412" s="134">
        <v>36</v>
      </c>
      <c r="D412" s="134" t="str">
        <f t="shared" si="1"/>
        <v>3/8" Hex BB RS-775 36</v>
      </c>
      <c r="E412" s="134">
        <v>1</v>
      </c>
      <c r="F412" s="134">
        <v>3</v>
      </c>
    </row>
    <row r="413" spans="1:6" ht="14.25" customHeight="1" x14ac:dyDescent="0.3">
      <c r="A413" s="134" t="s">
        <v>246</v>
      </c>
      <c r="B413" s="134" t="s">
        <v>333</v>
      </c>
      <c r="C413" s="134">
        <v>40</v>
      </c>
      <c r="D413" s="134" t="str">
        <f t="shared" si="1"/>
        <v>3/8" Hex BB RS-775 40</v>
      </c>
      <c r="E413" s="134">
        <v>1</v>
      </c>
      <c r="F413" s="134">
        <v>3</v>
      </c>
    </row>
    <row r="414" spans="1:6" ht="14.25" customHeight="1" x14ac:dyDescent="0.3">
      <c r="A414" s="134" t="s">
        <v>246</v>
      </c>
      <c r="B414" s="134" t="s">
        <v>333</v>
      </c>
      <c r="C414" s="134">
        <v>45</v>
      </c>
      <c r="D414" s="134" t="str">
        <f t="shared" si="1"/>
        <v>3/8" Hex BB RS-775 45</v>
      </c>
      <c r="E414" s="134">
        <v>1</v>
      </c>
      <c r="F414" s="134">
        <v>1</v>
      </c>
    </row>
    <row r="415" spans="1:6" ht="14.25" customHeight="1" x14ac:dyDescent="0.3">
      <c r="A415" s="134" t="s">
        <v>246</v>
      </c>
      <c r="B415" s="134" t="s">
        <v>333</v>
      </c>
      <c r="C415" s="134">
        <v>49</v>
      </c>
      <c r="D415" s="134" t="str">
        <f t="shared" si="1"/>
        <v>3/8" Hex BB RS-775 49</v>
      </c>
      <c r="E415" s="134">
        <v>1</v>
      </c>
      <c r="F415" s="134">
        <v>1</v>
      </c>
    </row>
    <row r="416" spans="1:6" ht="14.25" customHeight="1" x14ac:dyDescent="0.3">
      <c r="A416" s="134" t="s">
        <v>246</v>
      </c>
      <c r="B416" s="134" t="s">
        <v>333</v>
      </c>
      <c r="C416" s="134">
        <v>50</v>
      </c>
      <c r="D416" s="134" t="str">
        <f t="shared" si="1"/>
        <v>3/8" Hex BB RS-775 50</v>
      </c>
      <c r="E416" s="134">
        <v>1</v>
      </c>
      <c r="F416" s="134">
        <v>1</v>
      </c>
    </row>
    <row r="417" spans="1:6" ht="14.25" customHeight="1" x14ac:dyDescent="0.3">
      <c r="A417" s="134" t="s">
        <v>246</v>
      </c>
      <c r="B417" s="134" t="s">
        <v>333</v>
      </c>
      <c r="C417" s="134">
        <v>63</v>
      </c>
      <c r="D417" s="134" t="str">
        <f t="shared" si="1"/>
        <v>3/8" Hex BB RS-775 63</v>
      </c>
      <c r="E417" s="134">
        <v>1</v>
      </c>
      <c r="F417" s="134">
        <v>1</v>
      </c>
    </row>
    <row r="418" spans="1:6" ht="14.25" customHeight="1" x14ac:dyDescent="0.3">
      <c r="A418" s="134" t="s">
        <v>246</v>
      </c>
      <c r="B418" s="134" t="s">
        <v>333</v>
      </c>
      <c r="C418" s="134">
        <v>70</v>
      </c>
      <c r="D418" s="134" t="str">
        <f t="shared" si="1"/>
        <v>3/8" Hex BB RS-775 70</v>
      </c>
      <c r="E418" s="134">
        <v>1</v>
      </c>
      <c r="F418" s="134">
        <v>1</v>
      </c>
    </row>
    <row r="419" spans="1:6" ht="14.25" customHeight="1" x14ac:dyDescent="0.3">
      <c r="A419" s="134" t="s">
        <v>246</v>
      </c>
      <c r="B419" s="134" t="s">
        <v>333</v>
      </c>
      <c r="C419" s="134">
        <v>81</v>
      </c>
      <c r="D419" s="134" t="str">
        <f t="shared" si="1"/>
        <v>3/8" Hex BB RS-775 81</v>
      </c>
      <c r="E419" s="134">
        <v>0</v>
      </c>
      <c r="F419" s="134">
        <v>1</v>
      </c>
    </row>
    <row r="420" spans="1:6" ht="14.25" customHeight="1" x14ac:dyDescent="0.3">
      <c r="A420" s="134" t="s">
        <v>246</v>
      </c>
      <c r="B420" s="134" t="s">
        <v>333</v>
      </c>
      <c r="C420" s="134">
        <v>90</v>
      </c>
      <c r="D420" s="134" t="str">
        <f t="shared" si="1"/>
        <v>3/8" Hex BB RS-775 90</v>
      </c>
      <c r="E420" s="134">
        <v>0</v>
      </c>
      <c r="F420" s="134">
        <v>1</v>
      </c>
    </row>
    <row r="421" spans="1:6" ht="14.25" customHeight="1" x14ac:dyDescent="0.3">
      <c r="A421" s="134" t="s">
        <v>246</v>
      </c>
      <c r="B421" s="134" t="s">
        <v>333</v>
      </c>
      <c r="C421" s="134">
        <v>100</v>
      </c>
      <c r="D421" s="134" t="str">
        <f t="shared" si="1"/>
        <v>3/8" Hex BB RS-775 100</v>
      </c>
      <c r="E421" s="134">
        <v>0</v>
      </c>
      <c r="F421" s="134">
        <v>1</v>
      </c>
    </row>
    <row r="422" spans="1:6" ht="14.25" customHeight="1" x14ac:dyDescent="0.3">
      <c r="A422" s="134" t="s">
        <v>246</v>
      </c>
      <c r="B422" s="134" t="s">
        <v>257</v>
      </c>
      <c r="C422" s="134">
        <v>9</v>
      </c>
      <c r="D422" s="134" t="str">
        <f t="shared" si="1"/>
        <v>3/8" Hex BAG 9</v>
      </c>
      <c r="E422" s="134">
        <v>10</v>
      </c>
      <c r="F422" s="134">
        <v>9</v>
      </c>
    </row>
    <row r="423" spans="1:6" ht="14.25" customHeight="1" x14ac:dyDescent="0.3">
      <c r="A423" s="134" t="s">
        <v>246</v>
      </c>
      <c r="B423" s="134" t="s">
        <v>257</v>
      </c>
      <c r="C423" s="134">
        <v>12</v>
      </c>
      <c r="D423" s="134" t="str">
        <f t="shared" si="1"/>
        <v>3/8" Hex BAG 12</v>
      </c>
      <c r="E423" s="134">
        <v>10</v>
      </c>
      <c r="F423" s="134">
        <v>5</v>
      </c>
    </row>
    <row r="424" spans="1:6" ht="14.25" customHeight="1" x14ac:dyDescent="0.3">
      <c r="A424" s="134" t="s">
        <v>246</v>
      </c>
      <c r="B424" s="134" t="s">
        <v>257</v>
      </c>
      <c r="C424" s="134">
        <v>15</v>
      </c>
      <c r="D424" s="134" t="str">
        <f t="shared" si="1"/>
        <v>3/8" Hex BAG 15</v>
      </c>
      <c r="E424" s="134">
        <v>7</v>
      </c>
      <c r="F424" s="134">
        <v>5</v>
      </c>
    </row>
    <row r="425" spans="1:6" ht="14.25" customHeight="1" x14ac:dyDescent="0.3">
      <c r="A425" s="134" t="s">
        <v>246</v>
      </c>
      <c r="B425" s="134" t="s">
        <v>257</v>
      </c>
      <c r="C425" s="134">
        <v>16</v>
      </c>
      <c r="D425" s="134" t="str">
        <f t="shared" si="1"/>
        <v>3/8" Hex BAG 16</v>
      </c>
      <c r="E425" s="134">
        <v>7</v>
      </c>
      <c r="F425" s="134">
        <v>5</v>
      </c>
    </row>
    <row r="426" spans="1:6" ht="14.25" customHeight="1" x14ac:dyDescent="0.3">
      <c r="A426" s="134" t="s">
        <v>246</v>
      </c>
      <c r="B426" s="134" t="s">
        <v>257</v>
      </c>
      <c r="C426" s="134">
        <v>20</v>
      </c>
      <c r="D426" s="134" t="str">
        <f t="shared" si="1"/>
        <v>3/8" Hex BAG 20</v>
      </c>
      <c r="E426" s="134">
        <v>5</v>
      </c>
      <c r="F426" s="134">
        <v>4</v>
      </c>
    </row>
    <row r="427" spans="1:6" ht="14.25" customHeight="1" x14ac:dyDescent="0.3">
      <c r="A427" s="134" t="s">
        <v>246</v>
      </c>
      <c r="B427" s="134" t="s">
        <v>257</v>
      </c>
      <c r="C427" s="134">
        <v>21</v>
      </c>
      <c r="D427" s="134" t="str">
        <f t="shared" si="1"/>
        <v>3/8" Hex BAG 21</v>
      </c>
      <c r="E427" s="134">
        <v>5</v>
      </c>
      <c r="F427" s="134">
        <v>3</v>
      </c>
    </row>
    <row r="428" spans="1:6" ht="14.25" customHeight="1" x14ac:dyDescent="0.3">
      <c r="A428" s="134" t="s">
        <v>246</v>
      </c>
      <c r="B428" s="134" t="s">
        <v>257</v>
      </c>
      <c r="C428" s="134">
        <v>25</v>
      </c>
      <c r="D428" s="134" t="str">
        <f t="shared" si="1"/>
        <v>3/8" Hex BAG 25</v>
      </c>
      <c r="E428" s="134">
        <v>5</v>
      </c>
      <c r="F428" s="134">
        <v>3</v>
      </c>
    </row>
    <row r="429" spans="1:6" ht="14.25" customHeight="1" x14ac:dyDescent="0.3">
      <c r="A429" s="134" t="s">
        <v>246</v>
      </c>
      <c r="B429" s="134" t="s">
        <v>257</v>
      </c>
      <c r="C429" s="134">
        <v>27</v>
      </c>
      <c r="D429" s="134" t="str">
        <f t="shared" si="1"/>
        <v>3/8" Hex BAG 27</v>
      </c>
      <c r="E429" s="134">
        <v>4</v>
      </c>
      <c r="F429" s="134">
        <v>3</v>
      </c>
    </row>
    <row r="430" spans="1:6" ht="14.25" customHeight="1" x14ac:dyDescent="0.3">
      <c r="A430" s="134" t="s">
        <v>246</v>
      </c>
      <c r="B430" s="134" t="s">
        <v>257</v>
      </c>
      <c r="C430" s="134">
        <v>28</v>
      </c>
      <c r="D430" s="134" t="str">
        <f t="shared" si="1"/>
        <v>3/8" Hex BAG 28</v>
      </c>
      <c r="E430" s="134">
        <v>4</v>
      </c>
      <c r="F430" s="134">
        <v>1</v>
      </c>
    </row>
    <row r="431" spans="1:6" ht="14.25" customHeight="1" x14ac:dyDescent="0.3">
      <c r="A431" s="134" t="s">
        <v>246</v>
      </c>
      <c r="B431" s="134" t="s">
        <v>257</v>
      </c>
      <c r="C431" s="134">
        <v>30</v>
      </c>
      <c r="D431" s="134" t="str">
        <f t="shared" si="1"/>
        <v>3/8" Hex BAG 30</v>
      </c>
      <c r="E431" s="134">
        <v>4</v>
      </c>
      <c r="F431" s="134">
        <v>1</v>
      </c>
    </row>
    <row r="432" spans="1:6" ht="14.25" customHeight="1" x14ac:dyDescent="0.3">
      <c r="A432" s="134" t="s">
        <v>246</v>
      </c>
      <c r="B432" s="134" t="s">
        <v>257</v>
      </c>
      <c r="C432" s="134">
        <v>35</v>
      </c>
      <c r="D432" s="134" t="str">
        <f t="shared" si="1"/>
        <v>3/8" Hex BAG 35</v>
      </c>
      <c r="E432" s="134">
        <v>3</v>
      </c>
      <c r="F432" s="134">
        <v>1</v>
      </c>
    </row>
    <row r="433" spans="1:6" ht="14.25" customHeight="1" x14ac:dyDescent="0.3">
      <c r="A433" s="134" t="s">
        <v>246</v>
      </c>
      <c r="B433" s="134" t="s">
        <v>257</v>
      </c>
      <c r="C433" s="134">
        <v>36</v>
      </c>
      <c r="D433" s="134" t="str">
        <f t="shared" si="1"/>
        <v>3/8" Hex BAG 36</v>
      </c>
      <c r="E433" s="134">
        <v>3</v>
      </c>
      <c r="F433" s="134">
        <v>1</v>
      </c>
    </row>
    <row r="434" spans="1:6" ht="14.25" customHeight="1" x14ac:dyDescent="0.3">
      <c r="A434" s="134" t="s">
        <v>246</v>
      </c>
      <c r="B434" s="134" t="s">
        <v>257</v>
      </c>
      <c r="C434" s="134">
        <v>40</v>
      </c>
      <c r="D434" s="134" t="str">
        <f t="shared" si="1"/>
        <v>3/8" Hex BAG 40</v>
      </c>
      <c r="E434" s="134">
        <v>3</v>
      </c>
      <c r="F434" s="134">
        <v>1</v>
      </c>
    </row>
    <row r="435" spans="1:6" ht="14.25" customHeight="1" x14ac:dyDescent="0.3">
      <c r="A435" s="134" t="s">
        <v>246</v>
      </c>
      <c r="B435" s="134" t="s">
        <v>257</v>
      </c>
      <c r="C435" s="134">
        <v>45</v>
      </c>
      <c r="D435" s="134" t="str">
        <f t="shared" si="1"/>
        <v>3/8" Hex BAG 45</v>
      </c>
      <c r="E435" s="134">
        <v>1</v>
      </c>
      <c r="F435" s="134">
        <v>1</v>
      </c>
    </row>
    <row r="436" spans="1:6" ht="14.25" customHeight="1" x14ac:dyDescent="0.3">
      <c r="A436" s="134" t="s">
        <v>246</v>
      </c>
      <c r="B436" s="134" t="s">
        <v>257</v>
      </c>
      <c r="C436" s="134">
        <v>49</v>
      </c>
      <c r="D436" s="134" t="str">
        <f t="shared" si="1"/>
        <v>3/8" Hex BAG 49</v>
      </c>
      <c r="E436" s="134">
        <v>1</v>
      </c>
      <c r="F436" s="134">
        <v>1</v>
      </c>
    </row>
    <row r="437" spans="1:6" ht="14.25" customHeight="1" x14ac:dyDescent="0.3">
      <c r="A437" s="134" t="s">
        <v>246</v>
      </c>
      <c r="B437" s="134" t="s">
        <v>257</v>
      </c>
      <c r="C437" s="134">
        <v>50</v>
      </c>
      <c r="D437" s="134" t="str">
        <f t="shared" si="1"/>
        <v>3/8" Hex BAG 50</v>
      </c>
      <c r="E437" s="134">
        <v>1</v>
      </c>
      <c r="F437" s="134">
        <v>1</v>
      </c>
    </row>
    <row r="438" spans="1:6" ht="14.25" customHeight="1" x14ac:dyDescent="0.3">
      <c r="A438" s="134" t="s">
        <v>246</v>
      </c>
      <c r="B438" s="134" t="s">
        <v>257</v>
      </c>
      <c r="C438" s="134">
        <v>63</v>
      </c>
      <c r="D438" s="134" t="str">
        <f t="shared" si="1"/>
        <v>3/8" Hex BAG 63</v>
      </c>
      <c r="E438" s="134">
        <v>1</v>
      </c>
      <c r="F438" s="134">
        <v>1</v>
      </c>
    </row>
    <row r="439" spans="1:6" ht="14.25" customHeight="1" x14ac:dyDescent="0.3">
      <c r="A439" s="134" t="s">
        <v>246</v>
      </c>
      <c r="B439" s="134" t="s">
        <v>257</v>
      </c>
      <c r="C439" s="134">
        <v>70</v>
      </c>
      <c r="D439" s="134" t="str">
        <f t="shared" si="1"/>
        <v>3/8" Hex BAG 70</v>
      </c>
      <c r="E439" s="134">
        <v>1</v>
      </c>
      <c r="F439" s="134">
        <v>1</v>
      </c>
    </row>
    <row r="440" spans="1:6" ht="14.25" customHeight="1" x14ac:dyDescent="0.3">
      <c r="A440" s="134" t="s">
        <v>246</v>
      </c>
      <c r="B440" s="134" t="s">
        <v>257</v>
      </c>
      <c r="C440" s="134">
        <v>81</v>
      </c>
      <c r="D440" s="134" t="str">
        <f t="shared" si="1"/>
        <v>3/8" Hex BAG 81</v>
      </c>
      <c r="E440" s="134">
        <v>1</v>
      </c>
      <c r="F440" s="134">
        <v>1</v>
      </c>
    </row>
    <row r="441" spans="1:6" ht="14.25" customHeight="1" x14ac:dyDescent="0.3">
      <c r="A441" s="134" t="s">
        <v>246</v>
      </c>
      <c r="B441" s="134" t="s">
        <v>257</v>
      </c>
      <c r="C441" s="134">
        <v>90</v>
      </c>
      <c r="D441" s="134" t="str">
        <f t="shared" si="1"/>
        <v>3/8" Hex BAG 90</v>
      </c>
      <c r="E441" s="134">
        <v>1</v>
      </c>
      <c r="F441" s="134">
        <v>0</v>
      </c>
    </row>
    <row r="442" spans="1:6" ht="14.25" customHeight="1" x14ac:dyDescent="0.3">
      <c r="A442" s="134" t="s">
        <v>246</v>
      </c>
      <c r="B442" s="134" t="s">
        <v>257</v>
      </c>
      <c r="C442" s="134">
        <v>100</v>
      </c>
      <c r="D442" s="134" t="str">
        <f t="shared" si="1"/>
        <v>3/8" Hex BAG 100</v>
      </c>
      <c r="E442" s="134">
        <v>1</v>
      </c>
      <c r="F442" s="134">
        <v>0</v>
      </c>
    </row>
    <row r="443" spans="1:6" ht="14.25" customHeight="1" x14ac:dyDescent="0.3">
      <c r="A443" s="134" t="s">
        <v>246</v>
      </c>
      <c r="B443" s="134" t="s">
        <v>7</v>
      </c>
      <c r="C443" s="134">
        <v>9</v>
      </c>
      <c r="D443" s="134" t="str">
        <f t="shared" si="1"/>
        <v>3/8" Hex Mini CIM 9</v>
      </c>
      <c r="E443" s="134">
        <v>4</v>
      </c>
      <c r="F443" s="134">
        <v>0</v>
      </c>
    </row>
    <row r="444" spans="1:6" ht="14.25" customHeight="1" x14ac:dyDescent="0.3">
      <c r="A444" s="134" t="s">
        <v>246</v>
      </c>
      <c r="B444" s="134" t="s">
        <v>7</v>
      </c>
      <c r="C444" s="134">
        <v>12</v>
      </c>
      <c r="D444" s="134" t="str">
        <f t="shared" si="1"/>
        <v>3/8" Hex Mini CIM 12</v>
      </c>
      <c r="E444" s="134">
        <v>3</v>
      </c>
      <c r="F444" s="134">
        <v>0</v>
      </c>
    </row>
    <row r="445" spans="1:6" ht="14.25" customHeight="1" x14ac:dyDescent="0.3">
      <c r="A445" s="134" t="s">
        <v>246</v>
      </c>
      <c r="B445" s="134" t="s">
        <v>7</v>
      </c>
      <c r="C445" s="134">
        <v>15</v>
      </c>
      <c r="D445" s="134" t="str">
        <f t="shared" si="1"/>
        <v>3/8" Hex Mini CIM 15</v>
      </c>
      <c r="E445" s="134">
        <v>1</v>
      </c>
      <c r="F445" s="134">
        <v>0</v>
      </c>
    </row>
    <row r="446" spans="1:6" ht="14.25" customHeight="1" x14ac:dyDescent="0.3">
      <c r="A446" s="134" t="s">
        <v>246</v>
      </c>
      <c r="B446" s="134" t="s">
        <v>7</v>
      </c>
      <c r="C446" s="134">
        <v>16</v>
      </c>
      <c r="D446" s="134" t="str">
        <f t="shared" si="1"/>
        <v>3/8" Hex Mini CIM 16</v>
      </c>
      <c r="E446" s="134">
        <v>1</v>
      </c>
      <c r="F446" s="134">
        <v>0</v>
      </c>
    </row>
    <row r="447" spans="1:6" ht="14.25" customHeight="1" x14ac:dyDescent="0.3">
      <c r="A447" s="134" t="s">
        <v>246</v>
      </c>
      <c r="B447" s="134" t="s">
        <v>7</v>
      </c>
      <c r="C447" s="134">
        <v>20</v>
      </c>
      <c r="D447" s="134" t="str">
        <f t="shared" si="1"/>
        <v>3/8" Hex Mini CIM 20</v>
      </c>
      <c r="E447" s="134">
        <v>1</v>
      </c>
      <c r="F447" s="134">
        <v>0</v>
      </c>
    </row>
    <row r="448" spans="1:6" ht="14.25" customHeight="1" x14ac:dyDescent="0.3">
      <c r="A448" s="134" t="s">
        <v>246</v>
      </c>
      <c r="B448" s="134" t="s">
        <v>7</v>
      </c>
      <c r="C448" s="134">
        <v>21</v>
      </c>
      <c r="D448" s="134" t="str">
        <f t="shared" si="1"/>
        <v>3/8" Hex Mini CIM 21</v>
      </c>
      <c r="E448" s="134">
        <v>1</v>
      </c>
      <c r="F448" s="134">
        <v>0</v>
      </c>
    </row>
    <row r="449" spans="1:6" ht="14.25" customHeight="1" x14ac:dyDescent="0.3">
      <c r="A449" s="134" t="s">
        <v>246</v>
      </c>
      <c r="B449" s="134" t="s">
        <v>7</v>
      </c>
      <c r="C449" s="134">
        <v>25</v>
      </c>
      <c r="D449" s="134" t="str">
        <f t="shared" si="1"/>
        <v>3/8" Hex Mini CIM 25</v>
      </c>
      <c r="E449" s="134">
        <v>1</v>
      </c>
      <c r="F449" s="134">
        <v>0</v>
      </c>
    </row>
    <row r="450" spans="1:6" ht="14.25" customHeight="1" x14ac:dyDescent="0.3">
      <c r="A450" s="134" t="s">
        <v>246</v>
      </c>
      <c r="B450" s="134" t="s">
        <v>7</v>
      </c>
      <c r="C450" s="134">
        <v>27</v>
      </c>
      <c r="D450" s="134" t="str">
        <f t="shared" si="1"/>
        <v>3/8" Hex Mini CIM 27</v>
      </c>
      <c r="E450" s="134">
        <v>1</v>
      </c>
      <c r="F450" s="134">
        <v>0</v>
      </c>
    </row>
    <row r="451" spans="1:6" ht="14.25" customHeight="1" x14ac:dyDescent="0.3">
      <c r="A451" s="134" t="s">
        <v>246</v>
      </c>
      <c r="B451" s="134" t="s">
        <v>7</v>
      </c>
      <c r="C451" s="134">
        <v>28</v>
      </c>
      <c r="D451" s="134" t="str">
        <f t="shared" si="1"/>
        <v>3/8" Hex Mini CIM 28</v>
      </c>
      <c r="E451" s="134">
        <v>1</v>
      </c>
      <c r="F451" s="134">
        <v>0</v>
      </c>
    </row>
    <row r="452" spans="1:6" ht="14.25" customHeight="1" x14ac:dyDescent="0.3">
      <c r="A452" s="134" t="s">
        <v>246</v>
      </c>
      <c r="B452" s="134" t="s">
        <v>7</v>
      </c>
      <c r="C452" s="134">
        <v>30</v>
      </c>
      <c r="D452" s="134" t="str">
        <f t="shared" si="1"/>
        <v>3/8" Hex Mini CIM 30</v>
      </c>
      <c r="E452" s="134">
        <v>1</v>
      </c>
      <c r="F452" s="134">
        <v>0</v>
      </c>
    </row>
    <row r="453" spans="1:6" ht="14.25" customHeight="1" x14ac:dyDescent="0.3">
      <c r="A453" s="134" t="s">
        <v>246</v>
      </c>
      <c r="B453" s="134" t="s">
        <v>7</v>
      </c>
      <c r="C453" s="134">
        <v>35</v>
      </c>
      <c r="D453" s="134" t="str">
        <f t="shared" si="1"/>
        <v>3/8" Hex Mini CIM 35</v>
      </c>
      <c r="E453" s="134">
        <v>1</v>
      </c>
      <c r="F453" s="134">
        <v>0</v>
      </c>
    </row>
    <row r="454" spans="1:6" ht="14.25" customHeight="1" x14ac:dyDescent="0.3">
      <c r="A454" s="134" t="s">
        <v>246</v>
      </c>
      <c r="B454" s="134" t="s">
        <v>7</v>
      </c>
      <c r="C454" s="134">
        <v>36</v>
      </c>
      <c r="D454" s="134" t="str">
        <f t="shared" si="1"/>
        <v>3/8" Hex Mini CIM 36</v>
      </c>
      <c r="E454" s="134">
        <v>1</v>
      </c>
      <c r="F454" s="134">
        <v>0</v>
      </c>
    </row>
    <row r="455" spans="1:6" ht="14.25" customHeight="1" x14ac:dyDescent="0.3">
      <c r="A455" s="134" t="s">
        <v>246</v>
      </c>
      <c r="B455" s="134" t="s">
        <v>7</v>
      </c>
      <c r="C455" s="134">
        <v>40</v>
      </c>
      <c r="D455" s="134" t="str">
        <f t="shared" si="1"/>
        <v>3/8" Hex Mini CIM 40</v>
      </c>
      <c r="E455" s="134">
        <v>1</v>
      </c>
      <c r="F455" s="134">
        <v>0</v>
      </c>
    </row>
    <row r="456" spans="1:6" ht="14.25" customHeight="1" x14ac:dyDescent="0.3">
      <c r="A456" s="134" t="s">
        <v>246</v>
      </c>
      <c r="B456" s="134" t="s">
        <v>7</v>
      </c>
      <c r="C456" s="134">
        <v>45</v>
      </c>
      <c r="D456" s="134" t="str">
        <f t="shared" si="1"/>
        <v>3/8" Hex Mini CIM 45</v>
      </c>
      <c r="E456" s="134">
        <v>0</v>
      </c>
      <c r="F456" s="134">
        <v>0</v>
      </c>
    </row>
    <row r="457" spans="1:6" ht="14.25" customHeight="1" x14ac:dyDescent="0.3">
      <c r="A457" s="134" t="s">
        <v>246</v>
      </c>
      <c r="B457" s="134" t="s">
        <v>7</v>
      </c>
      <c r="C457" s="134">
        <v>49</v>
      </c>
      <c r="D457" s="134" t="str">
        <f t="shared" si="1"/>
        <v>3/8" Hex Mini CIM 49</v>
      </c>
      <c r="E457" s="134">
        <v>0</v>
      </c>
      <c r="F457" s="134">
        <v>0</v>
      </c>
    </row>
    <row r="458" spans="1:6" ht="14.25" customHeight="1" x14ac:dyDescent="0.3">
      <c r="A458" s="134" t="s">
        <v>246</v>
      </c>
      <c r="B458" s="134" t="s">
        <v>7</v>
      </c>
      <c r="C458" s="134">
        <v>50</v>
      </c>
      <c r="D458" s="134" t="str">
        <f t="shared" si="1"/>
        <v>3/8" Hex Mini CIM 50</v>
      </c>
      <c r="E458" s="134">
        <v>0</v>
      </c>
      <c r="F458" s="134">
        <v>0</v>
      </c>
    </row>
    <row r="459" spans="1:6" ht="14.25" customHeight="1" x14ac:dyDescent="0.3">
      <c r="A459" s="134" t="s">
        <v>246</v>
      </c>
      <c r="B459" s="134" t="s">
        <v>7</v>
      </c>
      <c r="C459" s="134">
        <v>63</v>
      </c>
      <c r="D459" s="134" t="str">
        <f t="shared" si="1"/>
        <v>3/8" Hex Mini CIM 63</v>
      </c>
      <c r="E459" s="134">
        <v>0</v>
      </c>
      <c r="F459" s="134">
        <v>0</v>
      </c>
    </row>
    <row r="460" spans="1:6" ht="14.25" customHeight="1" x14ac:dyDescent="0.3">
      <c r="A460" s="134" t="s">
        <v>246</v>
      </c>
      <c r="B460" s="134" t="s">
        <v>7</v>
      </c>
      <c r="C460" s="134">
        <v>70</v>
      </c>
      <c r="D460" s="134" t="str">
        <f t="shared" si="1"/>
        <v>3/8" Hex Mini CIM 70</v>
      </c>
      <c r="E460" s="134">
        <v>0</v>
      </c>
      <c r="F460" s="134">
        <v>0</v>
      </c>
    </row>
    <row r="461" spans="1:6" ht="14.25" customHeight="1" x14ac:dyDescent="0.3">
      <c r="A461" s="134" t="s">
        <v>246</v>
      </c>
      <c r="B461" s="134" t="s">
        <v>7</v>
      </c>
      <c r="C461" s="134">
        <v>81</v>
      </c>
      <c r="D461" s="134" t="str">
        <f t="shared" si="1"/>
        <v>3/8" Hex Mini CIM 81</v>
      </c>
      <c r="E461" s="134">
        <v>0</v>
      </c>
      <c r="F461" s="134">
        <v>0</v>
      </c>
    </row>
    <row r="462" spans="1:6" ht="14.25" customHeight="1" x14ac:dyDescent="0.3">
      <c r="A462" s="134" t="s">
        <v>246</v>
      </c>
      <c r="B462" s="134" t="s">
        <v>7</v>
      </c>
      <c r="C462" s="134">
        <v>90</v>
      </c>
      <c r="D462" s="134" t="str">
        <f t="shared" si="1"/>
        <v>3/8" Hex Mini CIM 90</v>
      </c>
      <c r="E462" s="134">
        <v>0</v>
      </c>
      <c r="F462" s="134">
        <v>0</v>
      </c>
    </row>
    <row r="463" spans="1:6" ht="14.25" customHeight="1" x14ac:dyDescent="0.3">
      <c r="A463" s="134" t="s">
        <v>246</v>
      </c>
      <c r="B463" s="134" t="s">
        <v>7</v>
      </c>
      <c r="C463" s="134">
        <v>100</v>
      </c>
      <c r="D463" s="134" t="str">
        <f t="shared" si="1"/>
        <v>3/8" Hex Mini CIM 100</v>
      </c>
      <c r="E463" s="134">
        <v>0</v>
      </c>
      <c r="F463" s="134">
        <v>0</v>
      </c>
    </row>
    <row r="464" spans="1:6" ht="14.25" customHeight="1" x14ac:dyDescent="0.3">
      <c r="A464" s="134" t="s">
        <v>246</v>
      </c>
      <c r="B464" s="134" t="s">
        <v>6</v>
      </c>
      <c r="C464" s="134">
        <v>9</v>
      </c>
      <c r="D464" s="134" t="str">
        <f t="shared" si="1"/>
        <v>3/8" Hex CIM 9</v>
      </c>
      <c r="E464" s="134">
        <v>1</v>
      </c>
      <c r="F464" s="134">
        <v>0</v>
      </c>
    </row>
    <row r="465" spans="1:6" ht="14.25" customHeight="1" x14ac:dyDescent="0.3">
      <c r="A465" s="134" t="s">
        <v>246</v>
      </c>
      <c r="B465" s="134" t="s">
        <v>6</v>
      </c>
      <c r="C465" s="134">
        <v>12</v>
      </c>
      <c r="D465" s="134" t="str">
        <f t="shared" si="1"/>
        <v>3/8" Hex CIM 12</v>
      </c>
      <c r="E465" s="134">
        <v>1</v>
      </c>
      <c r="F465" s="134">
        <v>0</v>
      </c>
    </row>
    <row r="466" spans="1:6" ht="14.25" customHeight="1" x14ac:dyDescent="0.3">
      <c r="A466" s="134" t="s">
        <v>246</v>
      </c>
      <c r="B466" s="134" t="s">
        <v>6</v>
      </c>
      <c r="C466" s="134">
        <v>15</v>
      </c>
      <c r="D466" s="134" t="str">
        <f t="shared" si="1"/>
        <v>3/8" Hex CIM 15</v>
      </c>
      <c r="E466" s="134">
        <v>1</v>
      </c>
      <c r="F466" s="134">
        <v>0</v>
      </c>
    </row>
    <row r="467" spans="1:6" ht="14.25" customHeight="1" x14ac:dyDescent="0.3">
      <c r="A467" s="134" t="s">
        <v>246</v>
      </c>
      <c r="B467" s="134" t="s">
        <v>6</v>
      </c>
      <c r="C467" s="134">
        <v>16</v>
      </c>
      <c r="D467" s="134" t="str">
        <f t="shared" si="1"/>
        <v>3/8" Hex CIM 16</v>
      </c>
      <c r="E467" s="134">
        <v>1</v>
      </c>
      <c r="F467" s="134">
        <v>0</v>
      </c>
    </row>
    <row r="468" spans="1:6" ht="14.25" customHeight="1" x14ac:dyDescent="0.3">
      <c r="A468" s="134" t="s">
        <v>246</v>
      </c>
      <c r="B468" s="134" t="s">
        <v>6</v>
      </c>
      <c r="C468" s="134">
        <v>20</v>
      </c>
      <c r="D468" s="134" t="str">
        <f t="shared" si="1"/>
        <v>3/8" Hex CIM 20</v>
      </c>
      <c r="E468" s="134">
        <v>1</v>
      </c>
      <c r="F468" s="134">
        <v>0</v>
      </c>
    </row>
    <row r="469" spans="1:6" ht="14.25" customHeight="1" x14ac:dyDescent="0.3">
      <c r="A469" s="134" t="s">
        <v>246</v>
      </c>
      <c r="B469" s="134" t="s">
        <v>6</v>
      </c>
      <c r="C469" s="134">
        <v>21</v>
      </c>
      <c r="D469" s="134" t="str">
        <f t="shared" si="1"/>
        <v>3/8" Hex CIM 21</v>
      </c>
      <c r="E469" s="134">
        <v>1</v>
      </c>
      <c r="F469" s="134">
        <v>0</v>
      </c>
    </row>
    <row r="470" spans="1:6" ht="14.25" customHeight="1" x14ac:dyDescent="0.3">
      <c r="A470" s="134" t="s">
        <v>246</v>
      </c>
      <c r="B470" s="134" t="s">
        <v>6</v>
      </c>
      <c r="C470" s="134">
        <v>25</v>
      </c>
      <c r="D470" s="134" t="str">
        <f t="shared" si="1"/>
        <v>3/8" Hex CIM 25</v>
      </c>
      <c r="E470" s="134">
        <v>0</v>
      </c>
      <c r="F470" s="134">
        <v>0</v>
      </c>
    </row>
    <row r="471" spans="1:6" ht="14.25" customHeight="1" x14ac:dyDescent="0.3">
      <c r="A471" s="134" t="s">
        <v>246</v>
      </c>
      <c r="B471" s="134" t="s">
        <v>6</v>
      </c>
      <c r="C471" s="134">
        <v>27</v>
      </c>
      <c r="D471" s="134" t="str">
        <f t="shared" si="1"/>
        <v>3/8" Hex CIM 27</v>
      </c>
      <c r="E471" s="134">
        <v>0</v>
      </c>
      <c r="F471" s="134">
        <v>0</v>
      </c>
    </row>
    <row r="472" spans="1:6" ht="14.25" customHeight="1" x14ac:dyDescent="0.3">
      <c r="A472" s="134" t="s">
        <v>246</v>
      </c>
      <c r="B472" s="134" t="s">
        <v>6</v>
      </c>
      <c r="C472" s="134">
        <v>28</v>
      </c>
      <c r="D472" s="134" t="str">
        <f t="shared" si="1"/>
        <v>3/8" Hex CIM 28</v>
      </c>
      <c r="E472" s="134">
        <v>0</v>
      </c>
      <c r="F472" s="134">
        <v>0</v>
      </c>
    </row>
    <row r="473" spans="1:6" ht="14.25" customHeight="1" x14ac:dyDescent="0.3">
      <c r="A473" s="134" t="s">
        <v>246</v>
      </c>
      <c r="B473" s="134" t="s">
        <v>6</v>
      </c>
      <c r="C473" s="134">
        <v>30</v>
      </c>
      <c r="D473" s="134" t="str">
        <f t="shared" si="1"/>
        <v>3/8" Hex CIM 30</v>
      </c>
      <c r="E473" s="134">
        <v>0</v>
      </c>
      <c r="F473" s="134">
        <v>0</v>
      </c>
    </row>
    <row r="474" spans="1:6" ht="14.25" customHeight="1" x14ac:dyDescent="0.3">
      <c r="A474" s="134" t="s">
        <v>246</v>
      </c>
      <c r="B474" s="134" t="s">
        <v>6</v>
      </c>
      <c r="C474" s="134">
        <v>35</v>
      </c>
      <c r="D474" s="134" t="str">
        <f t="shared" si="1"/>
        <v>3/8" Hex CIM 35</v>
      </c>
      <c r="E474" s="134">
        <v>0</v>
      </c>
      <c r="F474" s="134">
        <v>0</v>
      </c>
    </row>
    <row r="475" spans="1:6" ht="14.25" customHeight="1" x14ac:dyDescent="0.3">
      <c r="A475" s="134" t="s">
        <v>246</v>
      </c>
      <c r="B475" s="134" t="s">
        <v>6</v>
      </c>
      <c r="C475" s="134">
        <v>36</v>
      </c>
      <c r="D475" s="134" t="str">
        <f t="shared" si="1"/>
        <v>3/8" Hex CIM 36</v>
      </c>
      <c r="E475" s="134">
        <v>0</v>
      </c>
      <c r="F475" s="134">
        <v>0</v>
      </c>
    </row>
    <row r="476" spans="1:6" ht="14.25" customHeight="1" x14ac:dyDescent="0.3">
      <c r="A476" s="134" t="s">
        <v>246</v>
      </c>
      <c r="B476" s="134" t="s">
        <v>6</v>
      </c>
      <c r="C476" s="134">
        <v>40</v>
      </c>
      <c r="D476" s="134" t="str">
        <f t="shared" si="1"/>
        <v>3/8" Hex CIM 40</v>
      </c>
      <c r="E476" s="134">
        <v>0</v>
      </c>
      <c r="F476" s="134">
        <v>0</v>
      </c>
    </row>
    <row r="477" spans="1:6" ht="14.25" customHeight="1" x14ac:dyDescent="0.3">
      <c r="A477" s="134" t="s">
        <v>246</v>
      </c>
      <c r="B477" s="134" t="s">
        <v>6</v>
      </c>
      <c r="C477" s="134">
        <v>45</v>
      </c>
      <c r="D477" s="134" t="str">
        <f t="shared" si="1"/>
        <v>3/8" Hex CIM 45</v>
      </c>
      <c r="E477" s="134">
        <v>0</v>
      </c>
      <c r="F477" s="134">
        <v>0</v>
      </c>
    </row>
    <row r="478" spans="1:6" ht="14.25" customHeight="1" x14ac:dyDescent="0.3">
      <c r="A478" s="134" t="s">
        <v>246</v>
      </c>
      <c r="B478" s="134" t="s">
        <v>6</v>
      </c>
      <c r="C478" s="134">
        <v>49</v>
      </c>
      <c r="D478" s="134" t="str">
        <f t="shared" si="1"/>
        <v>3/8" Hex CIM 49</v>
      </c>
      <c r="E478" s="134">
        <v>0</v>
      </c>
      <c r="F478" s="134">
        <v>0</v>
      </c>
    </row>
    <row r="479" spans="1:6" ht="14.25" customHeight="1" x14ac:dyDescent="0.3">
      <c r="A479" s="134" t="s">
        <v>246</v>
      </c>
      <c r="B479" s="134" t="s">
        <v>6</v>
      </c>
      <c r="C479" s="134">
        <v>50</v>
      </c>
      <c r="D479" s="134" t="str">
        <f t="shared" si="1"/>
        <v>3/8" Hex CIM 50</v>
      </c>
      <c r="E479" s="134">
        <v>0</v>
      </c>
      <c r="F479" s="134">
        <v>0</v>
      </c>
    </row>
    <row r="480" spans="1:6" ht="14.25" customHeight="1" x14ac:dyDescent="0.3">
      <c r="A480" s="134" t="s">
        <v>246</v>
      </c>
      <c r="B480" s="134" t="s">
        <v>6</v>
      </c>
      <c r="C480" s="134">
        <v>63</v>
      </c>
      <c r="D480" s="134" t="str">
        <f t="shared" si="1"/>
        <v>3/8" Hex CIM 63</v>
      </c>
      <c r="E480" s="134">
        <v>0</v>
      </c>
      <c r="F480" s="134">
        <v>0</v>
      </c>
    </row>
    <row r="481" spans="1:6" ht="14.25" customHeight="1" x14ac:dyDescent="0.3">
      <c r="A481" s="134" t="s">
        <v>246</v>
      </c>
      <c r="B481" s="134" t="s">
        <v>6</v>
      </c>
      <c r="C481" s="134">
        <v>70</v>
      </c>
      <c r="D481" s="134" t="str">
        <f t="shared" si="1"/>
        <v>3/8" Hex CIM 70</v>
      </c>
      <c r="E481" s="134">
        <v>0</v>
      </c>
      <c r="F481" s="134">
        <v>0</v>
      </c>
    </row>
    <row r="482" spans="1:6" ht="14.25" customHeight="1" x14ac:dyDescent="0.3">
      <c r="A482" s="134" t="s">
        <v>246</v>
      </c>
      <c r="B482" s="134" t="s">
        <v>6</v>
      </c>
      <c r="C482" s="134">
        <v>81</v>
      </c>
      <c r="D482" s="134" t="str">
        <f t="shared" si="1"/>
        <v>3/8" Hex CIM 81</v>
      </c>
      <c r="E482" s="134">
        <v>0</v>
      </c>
      <c r="F482" s="134">
        <v>0</v>
      </c>
    </row>
    <row r="483" spans="1:6" ht="14.25" customHeight="1" x14ac:dyDescent="0.3">
      <c r="A483" s="134" t="s">
        <v>246</v>
      </c>
      <c r="B483" s="134" t="s">
        <v>6</v>
      </c>
      <c r="C483" s="134">
        <v>90</v>
      </c>
      <c r="D483" s="134" t="str">
        <f t="shared" si="1"/>
        <v>3/8" Hex CIM 90</v>
      </c>
      <c r="E483" s="134">
        <v>0</v>
      </c>
      <c r="F483" s="134">
        <v>0</v>
      </c>
    </row>
    <row r="484" spans="1:6" ht="14.25" customHeight="1" x14ac:dyDescent="0.3">
      <c r="A484" s="134" t="s">
        <v>246</v>
      </c>
      <c r="B484" s="134" t="s">
        <v>6</v>
      </c>
      <c r="C484" s="134">
        <v>100</v>
      </c>
      <c r="D484" s="134" t="str">
        <f t="shared" si="1"/>
        <v>3/8" Hex CIM 100</v>
      </c>
      <c r="E484" s="134">
        <v>0</v>
      </c>
      <c r="F484" s="134">
        <v>0</v>
      </c>
    </row>
    <row r="485" spans="1:6" ht="14.25" customHeight="1" x14ac:dyDescent="0.3">
      <c r="A485" s="134" t="s">
        <v>246</v>
      </c>
      <c r="B485" s="134" t="s">
        <v>259</v>
      </c>
      <c r="C485" s="134">
        <v>9</v>
      </c>
      <c r="D485" s="134" t="str">
        <f t="shared" si="1"/>
        <v>3/8" Hex 775pro 9</v>
      </c>
      <c r="E485" s="134">
        <v>7</v>
      </c>
      <c r="F485" s="134">
        <v>5</v>
      </c>
    </row>
    <row r="486" spans="1:6" ht="14.25" customHeight="1" x14ac:dyDescent="0.3">
      <c r="A486" s="134" t="s">
        <v>246</v>
      </c>
      <c r="B486" s="134" t="s">
        <v>259</v>
      </c>
      <c r="C486" s="134">
        <v>12</v>
      </c>
      <c r="D486" s="134" t="str">
        <f t="shared" si="1"/>
        <v>3/8" Hex 775pro 12</v>
      </c>
      <c r="E486" s="134">
        <v>5</v>
      </c>
      <c r="F486" s="134">
        <v>4</v>
      </c>
    </row>
    <row r="487" spans="1:6" ht="14.25" customHeight="1" x14ac:dyDescent="0.3">
      <c r="A487" s="134" t="s">
        <v>246</v>
      </c>
      <c r="B487" s="134" t="s">
        <v>259</v>
      </c>
      <c r="C487" s="134">
        <v>15</v>
      </c>
      <c r="D487" s="134" t="str">
        <f t="shared" si="1"/>
        <v>3/8" Hex 775pro 15</v>
      </c>
      <c r="E487" s="134">
        <v>5</v>
      </c>
      <c r="F487" s="134">
        <v>3</v>
      </c>
    </row>
    <row r="488" spans="1:6" ht="14.25" customHeight="1" x14ac:dyDescent="0.3">
      <c r="A488" s="134" t="s">
        <v>246</v>
      </c>
      <c r="B488" s="134" t="s">
        <v>259</v>
      </c>
      <c r="C488" s="134">
        <v>16</v>
      </c>
      <c r="D488" s="134" t="str">
        <f t="shared" si="1"/>
        <v>3/8" Hex 775pro 16</v>
      </c>
      <c r="E488" s="134">
        <v>4</v>
      </c>
      <c r="F488" s="134">
        <v>3</v>
      </c>
    </row>
    <row r="489" spans="1:6" ht="14.25" customHeight="1" x14ac:dyDescent="0.3">
      <c r="A489" s="134" t="s">
        <v>246</v>
      </c>
      <c r="B489" s="134" t="s">
        <v>259</v>
      </c>
      <c r="C489" s="134">
        <v>20</v>
      </c>
      <c r="D489" s="134" t="str">
        <f t="shared" si="1"/>
        <v>3/8" Hex 775pro 20</v>
      </c>
      <c r="E489" s="134">
        <v>3</v>
      </c>
      <c r="F489" s="134">
        <v>1</v>
      </c>
    </row>
    <row r="490" spans="1:6" ht="14.25" customHeight="1" x14ac:dyDescent="0.3">
      <c r="A490" s="134" t="s">
        <v>246</v>
      </c>
      <c r="B490" s="134" t="s">
        <v>259</v>
      </c>
      <c r="C490" s="134">
        <v>21</v>
      </c>
      <c r="D490" s="134" t="str">
        <f t="shared" si="1"/>
        <v>3/8" Hex 775pro 21</v>
      </c>
      <c r="E490" s="134">
        <v>3</v>
      </c>
      <c r="F490" s="134">
        <v>1</v>
      </c>
    </row>
    <row r="491" spans="1:6" ht="14.25" customHeight="1" x14ac:dyDescent="0.3">
      <c r="A491" s="134" t="s">
        <v>246</v>
      </c>
      <c r="B491" s="134" t="s">
        <v>259</v>
      </c>
      <c r="C491" s="134">
        <v>25</v>
      </c>
      <c r="D491" s="134" t="str">
        <f t="shared" si="1"/>
        <v>3/8" Hex 775pro 25</v>
      </c>
      <c r="E491" s="134">
        <v>3</v>
      </c>
      <c r="F491" s="134">
        <v>1</v>
      </c>
    </row>
    <row r="492" spans="1:6" ht="14.25" customHeight="1" x14ac:dyDescent="0.3">
      <c r="A492" s="134" t="s">
        <v>246</v>
      </c>
      <c r="B492" s="134" t="s">
        <v>259</v>
      </c>
      <c r="C492" s="134">
        <v>27</v>
      </c>
      <c r="D492" s="134" t="str">
        <f t="shared" si="1"/>
        <v>3/8" Hex 775pro 27</v>
      </c>
      <c r="E492" s="134">
        <v>1</v>
      </c>
      <c r="F492" s="134">
        <v>1</v>
      </c>
    </row>
    <row r="493" spans="1:6" ht="14.25" customHeight="1" x14ac:dyDescent="0.3">
      <c r="A493" s="134" t="s">
        <v>246</v>
      </c>
      <c r="B493" s="134" t="s">
        <v>259</v>
      </c>
      <c r="C493" s="134">
        <v>28</v>
      </c>
      <c r="D493" s="134" t="str">
        <f t="shared" si="1"/>
        <v>3/8" Hex 775pro 28</v>
      </c>
      <c r="E493" s="134">
        <v>1</v>
      </c>
      <c r="F493" s="134">
        <v>1</v>
      </c>
    </row>
    <row r="494" spans="1:6" ht="14.25" customHeight="1" x14ac:dyDescent="0.3">
      <c r="A494" s="134" t="s">
        <v>246</v>
      </c>
      <c r="B494" s="134" t="s">
        <v>259</v>
      </c>
      <c r="C494" s="134">
        <v>30</v>
      </c>
      <c r="D494" s="134" t="str">
        <f t="shared" si="1"/>
        <v>3/8" Hex 775pro 30</v>
      </c>
      <c r="E494" s="134">
        <v>1</v>
      </c>
      <c r="F494" s="134">
        <v>1</v>
      </c>
    </row>
    <row r="495" spans="1:6" ht="14.25" customHeight="1" x14ac:dyDescent="0.3">
      <c r="A495" s="134" t="s">
        <v>246</v>
      </c>
      <c r="B495" s="134" t="s">
        <v>259</v>
      </c>
      <c r="C495" s="134">
        <v>35</v>
      </c>
      <c r="D495" s="134" t="str">
        <f t="shared" si="1"/>
        <v>3/8" Hex 775pro 35</v>
      </c>
      <c r="E495" s="134">
        <v>1</v>
      </c>
      <c r="F495" s="134">
        <v>1</v>
      </c>
    </row>
    <row r="496" spans="1:6" ht="14.25" customHeight="1" x14ac:dyDescent="0.3">
      <c r="A496" s="134" t="s">
        <v>246</v>
      </c>
      <c r="B496" s="134" t="s">
        <v>259</v>
      </c>
      <c r="C496" s="134">
        <v>36</v>
      </c>
      <c r="D496" s="134" t="str">
        <f t="shared" si="1"/>
        <v>3/8" Hex 775pro 36</v>
      </c>
      <c r="E496" s="134">
        <v>1</v>
      </c>
      <c r="F496" s="134">
        <v>1</v>
      </c>
    </row>
    <row r="497" spans="1:6" ht="14.25" customHeight="1" x14ac:dyDescent="0.3">
      <c r="A497" s="134" t="s">
        <v>246</v>
      </c>
      <c r="B497" s="134" t="s">
        <v>259</v>
      </c>
      <c r="C497" s="134">
        <v>40</v>
      </c>
      <c r="D497" s="134" t="str">
        <f t="shared" si="1"/>
        <v>3/8" Hex 775pro 40</v>
      </c>
      <c r="E497" s="134">
        <v>1</v>
      </c>
      <c r="F497" s="134">
        <v>1</v>
      </c>
    </row>
    <row r="498" spans="1:6" ht="14.25" customHeight="1" x14ac:dyDescent="0.3">
      <c r="A498" s="134" t="s">
        <v>246</v>
      </c>
      <c r="B498" s="134" t="s">
        <v>259</v>
      </c>
      <c r="C498" s="134">
        <v>45</v>
      </c>
      <c r="D498" s="134" t="str">
        <f t="shared" si="1"/>
        <v>3/8" Hex 775pro 45</v>
      </c>
      <c r="E498" s="134">
        <v>1</v>
      </c>
      <c r="F498" s="134">
        <v>1</v>
      </c>
    </row>
    <row r="499" spans="1:6" ht="14.25" customHeight="1" x14ac:dyDescent="0.3">
      <c r="A499" s="134" t="s">
        <v>246</v>
      </c>
      <c r="B499" s="134" t="s">
        <v>259</v>
      </c>
      <c r="C499" s="134">
        <v>49</v>
      </c>
      <c r="D499" s="134" t="str">
        <f t="shared" si="1"/>
        <v>3/8" Hex 775pro 49</v>
      </c>
      <c r="E499" s="134">
        <v>1</v>
      </c>
      <c r="F499" s="134">
        <v>1</v>
      </c>
    </row>
    <row r="500" spans="1:6" ht="14.25" customHeight="1" x14ac:dyDescent="0.3">
      <c r="A500" s="134" t="s">
        <v>246</v>
      </c>
      <c r="B500" s="134" t="s">
        <v>259</v>
      </c>
      <c r="C500" s="134">
        <v>50</v>
      </c>
      <c r="D500" s="134" t="str">
        <f t="shared" si="1"/>
        <v>3/8" Hex 775pro 50</v>
      </c>
      <c r="E500" s="134">
        <v>1</v>
      </c>
      <c r="F500" s="134">
        <v>0</v>
      </c>
    </row>
    <row r="501" spans="1:6" ht="14.25" customHeight="1" x14ac:dyDescent="0.3">
      <c r="A501" s="134" t="s">
        <v>246</v>
      </c>
      <c r="B501" s="134" t="s">
        <v>259</v>
      </c>
      <c r="C501" s="134">
        <v>63</v>
      </c>
      <c r="D501" s="134" t="str">
        <f t="shared" si="1"/>
        <v>3/8" Hex 775pro 63</v>
      </c>
      <c r="E501" s="134">
        <v>1</v>
      </c>
      <c r="F501" s="134">
        <v>0</v>
      </c>
    </row>
    <row r="502" spans="1:6" ht="14.25" customHeight="1" x14ac:dyDescent="0.3">
      <c r="A502" s="134" t="s">
        <v>246</v>
      </c>
      <c r="B502" s="134" t="s">
        <v>259</v>
      </c>
      <c r="C502" s="134">
        <v>70</v>
      </c>
      <c r="D502" s="134" t="str">
        <f t="shared" si="1"/>
        <v>3/8" Hex 775pro 70</v>
      </c>
      <c r="E502" s="134">
        <v>1</v>
      </c>
      <c r="F502" s="134">
        <v>0</v>
      </c>
    </row>
    <row r="503" spans="1:6" ht="14.25" customHeight="1" x14ac:dyDescent="0.3">
      <c r="A503" s="134" t="s">
        <v>246</v>
      </c>
      <c r="B503" s="134" t="s">
        <v>259</v>
      </c>
      <c r="C503" s="134">
        <v>81</v>
      </c>
      <c r="D503" s="134" t="str">
        <f t="shared" si="1"/>
        <v>3/8" Hex 775pro 81</v>
      </c>
      <c r="E503" s="134">
        <v>0</v>
      </c>
      <c r="F503" s="134">
        <v>0</v>
      </c>
    </row>
    <row r="504" spans="1:6" ht="14.25" customHeight="1" x14ac:dyDescent="0.3">
      <c r="A504" s="134" t="s">
        <v>246</v>
      </c>
      <c r="B504" s="134" t="s">
        <v>259</v>
      </c>
      <c r="C504" s="134">
        <v>90</v>
      </c>
      <c r="D504" s="134" t="str">
        <f t="shared" si="1"/>
        <v>3/8" Hex 775pro 90</v>
      </c>
      <c r="E504" s="134">
        <v>0</v>
      </c>
      <c r="F504" s="134">
        <v>0</v>
      </c>
    </row>
    <row r="505" spans="1:6" ht="14.25" customHeight="1" x14ac:dyDescent="0.3">
      <c r="A505" s="134" t="s">
        <v>246</v>
      </c>
      <c r="B505" s="134" t="s">
        <v>259</v>
      </c>
      <c r="C505" s="134">
        <v>100</v>
      </c>
      <c r="D505" s="134" t="str">
        <f t="shared" si="1"/>
        <v>3/8" Hex 775pro 100</v>
      </c>
      <c r="E505" s="134">
        <v>0</v>
      </c>
      <c r="F505" s="134">
        <v>0</v>
      </c>
    </row>
    <row r="506" spans="1:6" ht="14.25" customHeight="1" x14ac:dyDescent="0.3">
      <c r="A506" s="134" t="s">
        <v>249</v>
      </c>
      <c r="B506" s="134" t="s">
        <v>11</v>
      </c>
      <c r="C506" s="134">
        <v>9</v>
      </c>
      <c r="D506" s="134" t="str">
        <f t="shared" si="1"/>
        <v>CIM Motor AM 9015 9</v>
      </c>
      <c r="E506" s="134">
        <v>7</v>
      </c>
      <c r="F506" s="134">
        <v>7</v>
      </c>
    </row>
    <row r="507" spans="1:6" ht="14.25" customHeight="1" x14ac:dyDescent="0.3">
      <c r="A507" s="134" t="s">
        <v>249</v>
      </c>
      <c r="B507" s="134" t="s">
        <v>11</v>
      </c>
      <c r="C507" s="134">
        <v>12</v>
      </c>
      <c r="D507" s="134" t="str">
        <f t="shared" si="1"/>
        <v>CIM Motor AM 9015 12</v>
      </c>
      <c r="E507" s="134">
        <v>5</v>
      </c>
      <c r="F507" s="134">
        <v>5</v>
      </c>
    </row>
    <row r="508" spans="1:6" ht="14.25" customHeight="1" x14ac:dyDescent="0.3">
      <c r="A508" s="134" t="s">
        <v>249</v>
      </c>
      <c r="B508" s="134" t="s">
        <v>11</v>
      </c>
      <c r="C508" s="134">
        <v>15</v>
      </c>
      <c r="D508" s="134" t="str">
        <f t="shared" si="1"/>
        <v>CIM Motor AM 9015 15</v>
      </c>
      <c r="E508" s="134">
        <v>4</v>
      </c>
      <c r="F508" s="134">
        <v>5</v>
      </c>
    </row>
    <row r="509" spans="1:6" ht="14.25" customHeight="1" x14ac:dyDescent="0.3">
      <c r="A509" s="134" t="s">
        <v>249</v>
      </c>
      <c r="B509" s="134" t="s">
        <v>11</v>
      </c>
      <c r="C509" s="134">
        <v>16</v>
      </c>
      <c r="D509" s="134" t="str">
        <f t="shared" si="1"/>
        <v>CIM Motor AM 9015 16</v>
      </c>
      <c r="E509" s="134">
        <v>4</v>
      </c>
      <c r="F509" s="134">
        <v>5</v>
      </c>
    </row>
    <row r="510" spans="1:6" ht="14.25" customHeight="1" x14ac:dyDescent="0.3">
      <c r="A510" s="134" t="s">
        <v>249</v>
      </c>
      <c r="B510" s="134" t="s">
        <v>11</v>
      </c>
      <c r="C510" s="134">
        <v>20</v>
      </c>
      <c r="D510" s="134" t="str">
        <f t="shared" si="1"/>
        <v>CIM Motor AM 9015 20</v>
      </c>
      <c r="E510" s="134">
        <v>3</v>
      </c>
      <c r="F510" s="134">
        <v>4</v>
      </c>
    </row>
    <row r="511" spans="1:6" ht="14.25" customHeight="1" x14ac:dyDescent="0.3">
      <c r="A511" s="134" t="s">
        <v>249</v>
      </c>
      <c r="B511" s="134" t="s">
        <v>11</v>
      </c>
      <c r="C511" s="134">
        <v>21</v>
      </c>
      <c r="D511" s="134" t="str">
        <f t="shared" si="1"/>
        <v>CIM Motor AM 9015 21</v>
      </c>
      <c r="E511" s="134">
        <v>3</v>
      </c>
      <c r="F511" s="134">
        <v>3</v>
      </c>
    </row>
    <row r="512" spans="1:6" ht="14.25" customHeight="1" x14ac:dyDescent="0.3">
      <c r="A512" s="134" t="s">
        <v>249</v>
      </c>
      <c r="B512" s="134" t="s">
        <v>11</v>
      </c>
      <c r="C512" s="134">
        <v>25</v>
      </c>
      <c r="D512" s="134" t="str">
        <f t="shared" ref="D512:D766" si="2">A512&amp;" "&amp;B512&amp;" "&amp;C512</f>
        <v>CIM Motor AM 9015 25</v>
      </c>
      <c r="E512" s="134">
        <v>1</v>
      </c>
      <c r="F512" s="134">
        <v>3</v>
      </c>
    </row>
    <row r="513" spans="1:6" ht="14.25" customHeight="1" x14ac:dyDescent="0.3">
      <c r="A513" s="134" t="s">
        <v>249</v>
      </c>
      <c r="B513" s="134" t="s">
        <v>11</v>
      </c>
      <c r="C513" s="134">
        <v>27</v>
      </c>
      <c r="D513" s="134" t="str">
        <f t="shared" si="2"/>
        <v>CIM Motor AM 9015 27</v>
      </c>
      <c r="E513" s="134">
        <v>1</v>
      </c>
      <c r="F513" s="134">
        <v>1</v>
      </c>
    </row>
    <row r="514" spans="1:6" ht="14.25" customHeight="1" x14ac:dyDescent="0.3">
      <c r="A514" s="134" t="s">
        <v>249</v>
      </c>
      <c r="B514" s="134" t="s">
        <v>11</v>
      </c>
      <c r="C514" s="134">
        <v>28</v>
      </c>
      <c r="D514" s="134" t="str">
        <f t="shared" si="2"/>
        <v>CIM Motor AM 9015 28</v>
      </c>
      <c r="E514" s="134">
        <v>1</v>
      </c>
      <c r="F514" s="134">
        <v>1</v>
      </c>
    </row>
    <row r="515" spans="1:6" ht="14.25" customHeight="1" x14ac:dyDescent="0.3">
      <c r="A515" s="134" t="s">
        <v>249</v>
      </c>
      <c r="B515" s="134" t="s">
        <v>11</v>
      </c>
      <c r="C515" s="134">
        <v>30</v>
      </c>
      <c r="D515" s="134" t="str">
        <f t="shared" si="2"/>
        <v>CIM Motor AM 9015 30</v>
      </c>
      <c r="E515" s="134">
        <v>1</v>
      </c>
      <c r="F515" s="134">
        <v>1</v>
      </c>
    </row>
    <row r="516" spans="1:6" ht="14.25" customHeight="1" x14ac:dyDescent="0.3">
      <c r="A516" s="134" t="s">
        <v>249</v>
      </c>
      <c r="B516" s="134" t="s">
        <v>11</v>
      </c>
      <c r="C516" s="134">
        <v>35</v>
      </c>
      <c r="D516" s="134" t="str">
        <f t="shared" si="2"/>
        <v>CIM Motor AM 9015 35</v>
      </c>
      <c r="E516" s="134">
        <v>1</v>
      </c>
      <c r="F516" s="134">
        <v>1</v>
      </c>
    </row>
    <row r="517" spans="1:6" ht="14.25" customHeight="1" x14ac:dyDescent="0.3">
      <c r="A517" s="134" t="s">
        <v>249</v>
      </c>
      <c r="B517" s="134" t="s">
        <v>11</v>
      </c>
      <c r="C517" s="134">
        <v>36</v>
      </c>
      <c r="D517" s="134" t="str">
        <f t="shared" si="2"/>
        <v>CIM Motor AM 9015 36</v>
      </c>
      <c r="E517" s="134">
        <v>1</v>
      </c>
      <c r="F517" s="134">
        <v>1</v>
      </c>
    </row>
    <row r="518" spans="1:6" ht="14.25" customHeight="1" x14ac:dyDescent="0.3">
      <c r="A518" s="134" t="s">
        <v>249</v>
      </c>
      <c r="B518" s="134" t="s">
        <v>11</v>
      </c>
      <c r="C518" s="134">
        <v>40</v>
      </c>
      <c r="D518" s="134" t="str">
        <f t="shared" si="2"/>
        <v>CIM Motor AM 9015 40</v>
      </c>
      <c r="E518" s="134">
        <v>1</v>
      </c>
      <c r="F518" s="134">
        <v>1</v>
      </c>
    </row>
    <row r="519" spans="1:6" ht="14.25" customHeight="1" x14ac:dyDescent="0.3">
      <c r="A519" s="134" t="s">
        <v>249</v>
      </c>
      <c r="B519" s="134" t="s">
        <v>11</v>
      </c>
      <c r="C519" s="134">
        <v>45</v>
      </c>
      <c r="D519" s="134" t="str">
        <f t="shared" si="2"/>
        <v>CIM Motor AM 9015 45</v>
      </c>
      <c r="E519" s="134">
        <v>1</v>
      </c>
      <c r="F519" s="134">
        <v>1</v>
      </c>
    </row>
    <row r="520" spans="1:6" ht="14.25" customHeight="1" x14ac:dyDescent="0.3">
      <c r="A520" s="134" t="s">
        <v>249</v>
      </c>
      <c r="B520" s="134" t="s">
        <v>11</v>
      </c>
      <c r="C520" s="134">
        <v>49</v>
      </c>
      <c r="D520" s="134" t="str">
        <f t="shared" si="2"/>
        <v>CIM Motor AM 9015 49</v>
      </c>
      <c r="E520" s="134">
        <v>1</v>
      </c>
      <c r="F520" s="134">
        <v>1</v>
      </c>
    </row>
    <row r="521" spans="1:6" ht="14.25" customHeight="1" x14ac:dyDescent="0.3">
      <c r="A521" s="134" t="s">
        <v>249</v>
      </c>
      <c r="B521" s="134" t="s">
        <v>11</v>
      </c>
      <c r="C521" s="134">
        <v>50</v>
      </c>
      <c r="D521" s="134" t="str">
        <f t="shared" si="2"/>
        <v>CIM Motor AM 9015 50</v>
      </c>
      <c r="E521" s="134">
        <v>1</v>
      </c>
      <c r="F521" s="134">
        <v>1</v>
      </c>
    </row>
    <row r="522" spans="1:6" ht="14.25" customHeight="1" x14ac:dyDescent="0.3">
      <c r="A522" s="134" t="s">
        <v>249</v>
      </c>
      <c r="B522" s="134" t="s">
        <v>11</v>
      </c>
      <c r="C522" s="134">
        <v>63</v>
      </c>
      <c r="D522" s="134" t="str">
        <f t="shared" si="2"/>
        <v>CIM Motor AM 9015 63</v>
      </c>
      <c r="E522" s="134">
        <v>1</v>
      </c>
      <c r="F522" s="134">
        <v>1</v>
      </c>
    </row>
    <row r="523" spans="1:6" ht="14.25" customHeight="1" x14ac:dyDescent="0.3">
      <c r="A523" s="134" t="s">
        <v>249</v>
      </c>
      <c r="B523" s="134" t="s">
        <v>11</v>
      </c>
      <c r="C523" s="134">
        <v>70</v>
      </c>
      <c r="D523" s="134" t="str">
        <f t="shared" si="2"/>
        <v>CIM Motor AM 9015 70</v>
      </c>
      <c r="E523" s="134">
        <v>0</v>
      </c>
      <c r="F523" s="134">
        <v>1</v>
      </c>
    </row>
    <row r="524" spans="1:6" ht="14.25" customHeight="1" x14ac:dyDescent="0.3">
      <c r="A524" s="134" t="s">
        <v>249</v>
      </c>
      <c r="B524" s="134" t="s">
        <v>11</v>
      </c>
      <c r="C524" s="134">
        <v>81</v>
      </c>
      <c r="D524" s="134" t="str">
        <f t="shared" si="2"/>
        <v>CIM Motor AM 9015 81</v>
      </c>
      <c r="E524" s="134">
        <v>0</v>
      </c>
      <c r="F524" s="134">
        <v>0</v>
      </c>
    </row>
    <row r="525" spans="1:6" ht="14.25" customHeight="1" x14ac:dyDescent="0.3">
      <c r="A525" s="134" t="s">
        <v>249</v>
      </c>
      <c r="B525" s="134" t="s">
        <v>11</v>
      </c>
      <c r="C525" s="134">
        <v>90</v>
      </c>
      <c r="D525" s="134" t="str">
        <f t="shared" si="2"/>
        <v>CIM Motor AM 9015 90</v>
      </c>
      <c r="E525" s="134">
        <v>0</v>
      </c>
      <c r="F525" s="134">
        <v>0</v>
      </c>
    </row>
    <row r="526" spans="1:6" ht="14.25" customHeight="1" x14ac:dyDescent="0.3">
      <c r="A526" s="134" t="s">
        <v>249</v>
      </c>
      <c r="B526" s="134" t="s">
        <v>11</v>
      </c>
      <c r="C526" s="134">
        <v>100</v>
      </c>
      <c r="D526" s="134" t="str">
        <f t="shared" si="2"/>
        <v>CIM Motor AM 9015 100</v>
      </c>
      <c r="E526" s="134">
        <v>0</v>
      </c>
      <c r="F526" s="134">
        <v>0</v>
      </c>
    </row>
    <row r="527" spans="1:6" ht="14.25" customHeight="1" x14ac:dyDescent="0.3">
      <c r="A527" s="134" t="s">
        <v>249</v>
      </c>
      <c r="B527" s="134" t="s">
        <v>336</v>
      </c>
      <c r="C527" s="134">
        <v>9</v>
      </c>
      <c r="D527" s="134" t="str">
        <f t="shared" si="2"/>
        <v>CIM Motor NeveRest 9</v>
      </c>
      <c r="E527" s="134">
        <v>5</v>
      </c>
      <c r="F527" s="134">
        <v>10</v>
      </c>
    </row>
    <row r="528" spans="1:6" ht="14.25" customHeight="1" x14ac:dyDescent="0.3">
      <c r="A528" s="134" t="s">
        <v>249</v>
      </c>
      <c r="B528" s="134" t="s">
        <v>336</v>
      </c>
      <c r="C528" s="134">
        <v>12</v>
      </c>
      <c r="D528" s="134" t="str">
        <f t="shared" si="2"/>
        <v>CIM Motor NeveRest 12</v>
      </c>
      <c r="E528" s="134">
        <v>4</v>
      </c>
      <c r="F528" s="134">
        <v>10</v>
      </c>
    </row>
    <row r="529" spans="1:6" ht="14.25" customHeight="1" x14ac:dyDescent="0.3">
      <c r="A529" s="134" t="s">
        <v>249</v>
      </c>
      <c r="B529" s="134" t="s">
        <v>336</v>
      </c>
      <c r="C529" s="134">
        <v>15</v>
      </c>
      <c r="D529" s="134" t="str">
        <f t="shared" si="2"/>
        <v>CIM Motor NeveRest 15</v>
      </c>
      <c r="E529" s="134">
        <v>3</v>
      </c>
      <c r="F529" s="134">
        <v>10</v>
      </c>
    </row>
    <row r="530" spans="1:6" ht="14.25" customHeight="1" x14ac:dyDescent="0.3">
      <c r="A530" s="134" t="s">
        <v>249</v>
      </c>
      <c r="B530" s="134" t="s">
        <v>336</v>
      </c>
      <c r="C530" s="134">
        <v>16</v>
      </c>
      <c r="D530" s="134" t="str">
        <f t="shared" si="2"/>
        <v>CIM Motor NeveRest 16</v>
      </c>
      <c r="E530" s="134">
        <v>3</v>
      </c>
      <c r="F530" s="134">
        <v>10</v>
      </c>
    </row>
    <row r="531" spans="1:6" ht="14.25" customHeight="1" x14ac:dyDescent="0.3">
      <c r="A531" s="134" t="s">
        <v>249</v>
      </c>
      <c r="B531" s="134" t="s">
        <v>336</v>
      </c>
      <c r="C531" s="134">
        <v>20</v>
      </c>
      <c r="D531" s="134" t="str">
        <f t="shared" si="2"/>
        <v>CIM Motor NeveRest 20</v>
      </c>
      <c r="E531" s="134">
        <v>1</v>
      </c>
      <c r="F531" s="134">
        <v>7</v>
      </c>
    </row>
    <row r="532" spans="1:6" ht="14.25" customHeight="1" x14ac:dyDescent="0.3">
      <c r="A532" s="134" t="s">
        <v>249</v>
      </c>
      <c r="B532" s="134" t="s">
        <v>336</v>
      </c>
      <c r="C532" s="134">
        <v>21</v>
      </c>
      <c r="D532" s="134" t="str">
        <f t="shared" si="2"/>
        <v>CIM Motor NeveRest 21</v>
      </c>
      <c r="E532" s="134">
        <v>1</v>
      </c>
      <c r="F532" s="134">
        <v>7</v>
      </c>
    </row>
    <row r="533" spans="1:6" ht="14.25" customHeight="1" x14ac:dyDescent="0.3">
      <c r="A533" s="134" t="s">
        <v>249</v>
      </c>
      <c r="B533" s="134" t="s">
        <v>336</v>
      </c>
      <c r="C533" s="134">
        <v>25</v>
      </c>
      <c r="D533" s="134" t="str">
        <f t="shared" si="2"/>
        <v>CIM Motor NeveRest 25</v>
      </c>
      <c r="E533" s="134">
        <v>1</v>
      </c>
      <c r="F533" s="134">
        <v>5</v>
      </c>
    </row>
    <row r="534" spans="1:6" ht="14.25" customHeight="1" x14ac:dyDescent="0.3">
      <c r="A534" s="134" t="s">
        <v>249</v>
      </c>
      <c r="B534" s="134" t="s">
        <v>336</v>
      </c>
      <c r="C534" s="134">
        <v>27</v>
      </c>
      <c r="D534" s="134" t="str">
        <f t="shared" si="2"/>
        <v>CIM Motor NeveRest 27</v>
      </c>
      <c r="E534" s="134">
        <v>1</v>
      </c>
      <c r="F534" s="134">
        <v>5</v>
      </c>
    </row>
    <row r="535" spans="1:6" ht="14.25" customHeight="1" x14ac:dyDescent="0.3">
      <c r="A535" s="134" t="s">
        <v>249</v>
      </c>
      <c r="B535" s="134" t="s">
        <v>336</v>
      </c>
      <c r="C535" s="134">
        <v>28</v>
      </c>
      <c r="D535" s="134" t="str">
        <f t="shared" si="2"/>
        <v>CIM Motor NeveRest 28</v>
      </c>
      <c r="E535" s="134">
        <v>1</v>
      </c>
      <c r="F535" s="134">
        <v>5</v>
      </c>
    </row>
    <row r="536" spans="1:6" ht="14.25" customHeight="1" x14ac:dyDescent="0.3">
      <c r="A536" s="134" t="s">
        <v>249</v>
      </c>
      <c r="B536" s="134" t="s">
        <v>336</v>
      </c>
      <c r="C536" s="134">
        <v>30</v>
      </c>
      <c r="D536" s="134" t="str">
        <f t="shared" si="2"/>
        <v>CIM Motor NeveRest 30</v>
      </c>
      <c r="E536" s="134">
        <v>1</v>
      </c>
      <c r="F536" s="134">
        <v>5</v>
      </c>
    </row>
    <row r="537" spans="1:6" ht="14.25" customHeight="1" x14ac:dyDescent="0.3">
      <c r="A537" s="134" t="s">
        <v>249</v>
      </c>
      <c r="B537" s="134" t="s">
        <v>336</v>
      </c>
      <c r="C537" s="134">
        <v>35</v>
      </c>
      <c r="D537" s="134" t="str">
        <f t="shared" si="2"/>
        <v>CIM Motor NeveRest 35</v>
      </c>
      <c r="E537" s="134">
        <v>1</v>
      </c>
      <c r="F537" s="134">
        <v>4</v>
      </c>
    </row>
    <row r="538" spans="1:6" ht="14.25" customHeight="1" x14ac:dyDescent="0.3">
      <c r="A538" s="134" t="s">
        <v>249</v>
      </c>
      <c r="B538" s="134" t="s">
        <v>336</v>
      </c>
      <c r="C538" s="134">
        <v>36</v>
      </c>
      <c r="D538" s="134" t="str">
        <f t="shared" si="2"/>
        <v>CIM Motor NeveRest 36</v>
      </c>
      <c r="E538" s="134">
        <v>1</v>
      </c>
      <c r="F538" s="134">
        <v>4</v>
      </c>
    </row>
    <row r="539" spans="1:6" ht="14.25" customHeight="1" x14ac:dyDescent="0.3">
      <c r="A539" s="134" t="s">
        <v>249</v>
      </c>
      <c r="B539" s="134" t="s">
        <v>336</v>
      </c>
      <c r="C539" s="134">
        <v>40</v>
      </c>
      <c r="D539" s="134" t="str">
        <f t="shared" si="2"/>
        <v>CIM Motor NeveRest 40</v>
      </c>
      <c r="E539" s="134">
        <v>1</v>
      </c>
      <c r="F539" s="134">
        <v>4</v>
      </c>
    </row>
    <row r="540" spans="1:6" ht="14.25" customHeight="1" x14ac:dyDescent="0.3">
      <c r="A540" s="134" t="s">
        <v>249</v>
      </c>
      <c r="B540" s="134" t="s">
        <v>336</v>
      </c>
      <c r="C540" s="134">
        <v>45</v>
      </c>
      <c r="D540" s="134" t="str">
        <f t="shared" si="2"/>
        <v>CIM Motor NeveRest 45</v>
      </c>
      <c r="E540" s="134">
        <v>1</v>
      </c>
      <c r="F540" s="134">
        <v>3</v>
      </c>
    </row>
    <row r="541" spans="1:6" ht="14.25" customHeight="1" x14ac:dyDescent="0.3">
      <c r="A541" s="134" t="s">
        <v>249</v>
      </c>
      <c r="B541" s="134" t="s">
        <v>336</v>
      </c>
      <c r="C541" s="134">
        <v>49</v>
      </c>
      <c r="D541" s="134" t="str">
        <f t="shared" si="2"/>
        <v>CIM Motor NeveRest 49</v>
      </c>
      <c r="E541" s="134">
        <v>1</v>
      </c>
      <c r="F541" s="134">
        <v>3</v>
      </c>
    </row>
    <row r="542" spans="1:6" ht="14.25" customHeight="1" x14ac:dyDescent="0.3">
      <c r="A542" s="134" t="s">
        <v>249</v>
      </c>
      <c r="B542" s="134" t="s">
        <v>336</v>
      </c>
      <c r="C542" s="134">
        <v>50</v>
      </c>
      <c r="D542" s="134" t="str">
        <f t="shared" si="2"/>
        <v>CIM Motor NeveRest 50</v>
      </c>
      <c r="E542" s="134">
        <v>1</v>
      </c>
      <c r="F542" s="134">
        <v>3</v>
      </c>
    </row>
    <row r="543" spans="1:6" ht="14.25" customHeight="1" x14ac:dyDescent="0.3">
      <c r="A543" s="134" t="s">
        <v>249</v>
      </c>
      <c r="B543" s="134" t="s">
        <v>336</v>
      </c>
      <c r="C543" s="134">
        <v>63</v>
      </c>
      <c r="D543" s="134" t="str">
        <f t="shared" si="2"/>
        <v>CIM Motor NeveRest 63</v>
      </c>
      <c r="E543" s="134">
        <v>0</v>
      </c>
      <c r="F543" s="134">
        <v>1</v>
      </c>
    </row>
    <row r="544" spans="1:6" ht="14.25" customHeight="1" x14ac:dyDescent="0.3">
      <c r="A544" s="134" t="s">
        <v>249</v>
      </c>
      <c r="B544" s="134" t="s">
        <v>336</v>
      </c>
      <c r="C544" s="134">
        <v>70</v>
      </c>
      <c r="D544" s="134" t="str">
        <f t="shared" si="2"/>
        <v>CIM Motor NeveRest 70</v>
      </c>
      <c r="E544" s="134">
        <v>0</v>
      </c>
      <c r="F544" s="134">
        <v>1</v>
      </c>
    </row>
    <row r="545" spans="1:6" ht="14.25" customHeight="1" x14ac:dyDescent="0.3">
      <c r="A545" s="134" t="s">
        <v>249</v>
      </c>
      <c r="B545" s="134" t="s">
        <v>336</v>
      </c>
      <c r="C545" s="134">
        <v>81</v>
      </c>
      <c r="D545" s="134" t="str">
        <f t="shared" si="2"/>
        <v>CIM Motor NeveRest 81</v>
      </c>
      <c r="E545" s="134">
        <v>0</v>
      </c>
      <c r="F545" s="134">
        <v>1</v>
      </c>
    </row>
    <row r="546" spans="1:6" ht="14.25" customHeight="1" x14ac:dyDescent="0.3">
      <c r="A546" s="134" t="s">
        <v>249</v>
      </c>
      <c r="B546" s="134" t="s">
        <v>336</v>
      </c>
      <c r="C546" s="134">
        <v>90</v>
      </c>
      <c r="D546" s="134" t="str">
        <f t="shared" si="2"/>
        <v>CIM Motor NeveRest 90</v>
      </c>
      <c r="E546" s="134">
        <v>0</v>
      </c>
      <c r="F546" s="134">
        <v>1</v>
      </c>
    </row>
    <row r="547" spans="1:6" ht="14.25" customHeight="1" x14ac:dyDescent="0.3">
      <c r="A547" s="134" t="s">
        <v>249</v>
      </c>
      <c r="B547" s="134" t="s">
        <v>336</v>
      </c>
      <c r="C547" s="134">
        <v>100</v>
      </c>
      <c r="D547" s="134" t="str">
        <f t="shared" si="2"/>
        <v>CIM Motor NeveRest 100</v>
      </c>
      <c r="E547" s="134">
        <v>0</v>
      </c>
      <c r="F547" s="134">
        <v>1</v>
      </c>
    </row>
    <row r="548" spans="1:6" ht="14.25" customHeight="1" x14ac:dyDescent="0.3">
      <c r="A548" s="134" t="s">
        <v>249</v>
      </c>
      <c r="B548" s="134" t="s">
        <v>332</v>
      </c>
      <c r="C548" s="134">
        <v>9</v>
      </c>
      <c r="D548" s="134" t="str">
        <f t="shared" si="2"/>
        <v>CIM Motor BB RS-550 9</v>
      </c>
      <c r="E548" s="134">
        <v>5</v>
      </c>
      <c r="F548" s="134">
        <v>7</v>
      </c>
    </row>
    <row r="549" spans="1:6" ht="14.25" customHeight="1" x14ac:dyDescent="0.3">
      <c r="A549" s="134" t="s">
        <v>249</v>
      </c>
      <c r="B549" s="134" t="s">
        <v>332</v>
      </c>
      <c r="C549" s="134">
        <v>12</v>
      </c>
      <c r="D549" s="134" t="str">
        <f t="shared" si="2"/>
        <v>CIM Motor BB RS-550 12</v>
      </c>
      <c r="E549" s="134">
        <v>4</v>
      </c>
      <c r="F549" s="134">
        <v>5</v>
      </c>
    </row>
    <row r="550" spans="1:6" ht="14.25" customHeight="1" x14ac:dyDescent="0.3">
      <c r="A550" s="134" t="s">
        <v>249</v>
      </c>
      <c r="B550" s="134" t="s">
        <v>332</v>
      </c>
      <c r="C550" s="134">
        <v>15</v>
      </c>
      <c r="D550" s="134" t="str">
        <f t="shared" si="2"/>
        <v>CIM Motor BB RS-550 15</v>
      </c>
      <c r="E550" s="134">
        <v>3</v>
      </c>
      <c r="F550" s="134">
        <v>5</v>
      </c>
    </row>
    <row r="551" spans="1:6" ht="14.25" customHeight="1" x14ac:dyDescent="0.3">
      <c r="A551" s="134" t="s">
        <v>249</v>
      </c>
      <c r="B551" s="134" t="s">
        <v>332</v>
      </c>
      <c r="C551" s="134">
        <v>16</v>
      </c>
      <c r="D551" s="134" t="str">
        <f t="shared" si="2"/>
        <v>CIM Motor BB RS-550 16</v>
      </c>
      <c r="E551" s="134">
        <v>3</v>
      </c>
      <c r="F551" s="134">
        <v>5</v>
      </c>
    </row>
    <row r="552" spans="1:6" ht="14.25" customHeight="1" x14ac:dyDescent="0.3">
      <c r="A552" s="134" t="s">
        <v>249</v>
      </c>
      <c r="B552" s="134" t="s">
        <v>332</v>
      </c>
      <c r="C552" s="134">
        <v>20</v>
      </c>
      <c r="D552" s="134" t="str">
        <f t="shared" si="2"/>
        <v>CIM Motor BB RS-550 20</v>
      </c>
      <c r="E552" s="134">
        <v>1</v>
      </c>
      <c r="F552" s="134">
        <v>4</v>
      </c>
    </row>
    <row r="553" spans="1:6" ht="14.25" customHeight="1" x14ac:dyDescent="0.3">
      <c r="A553" s="134" t="s">
        <v>249</v>
      </c>
      <c r="B553" s="134" t="s">
        <v>332</v>
      </c>
      <c r="C553" s="134">
        <v>21</v>
      </c>
      <c r="D553" s="134" t="str">
        <f t="shared" si="2"/>
        <v>CIM Motor BB RS-550 21</v>
      </c>
      <c r="E553" s="134">
        <v>1</v>
      </c>
      <c r="F553" s="134">
        <v>3</v>
      </c>
    </row>
    <row r="554" spans="1:6" ht="14.25" customHeight="1" x14ac:dyDescent="0.3">
      <c r="A554" s="134" t="s">
        <v>249</v>
      </c>
      <c r="B554" s="134" t="s">
        <v>332</v>
      </c>
      <c r="C554" s="134">
        <v>25</v>
      </c>
      <c r="D554" s="134" t="str">
        <f t="shared" si="2"/>
        <v>CIM Motor BB RS-550 25</v>
      </c>
      <c r="E554" s="134">
        <v>1</v>
      </c>
      <c r="F554" s="134">
        <v>3</v>
      </c>
    </row>
    <row r="555" spans="1:6" ht="14.25" customHeight="1" x14ac:dyDescent="0.3">
      <c r="A555" s="134" t="s">
        <v>249</v>
      </c>
      <c r="B555" s="134" t="s">
        <v>332</v>
      </c>
      <c r="C555" s="134">
        <v>27</v>
      </c>
      <c r="D555" s="134" t="str">
        <f t="shared" si="2"/>
        <v>CIM Motor BB RS-550 27</v>
      </c>
      <c r="E555" s="134">
        <v>1</v>
      </c>
      <c r="F555" s="134">
        <v>1</v>
      </c>
    </row>
    <row r="556" spans="1:6" ht="14.25" customHeight="1" x14ac:dyDescent="0.3">
      <c r="A556" s="134" t="s">
        <v>249</v>
      </c>
      <c r="B556" s="134" t="s">
        <v>332</v>
      </c>
      <c r="C556" s="134">
        <v>28</v>
      </c>
      <c r="D556" s="134" t="str">
        <f t="shared" si="2"/>
        <v>CIM Motor BB RS-550 28</v>
      </c>
      <c r="E556" s="134">
        <v>1</v>
      </c>
      <c r="F556" s="134">
        <v>1</v>
      </c>
    </row>
    <row r="557" spans="1:6" ht="14.25" customHeight="1" x14ac:dyDescent="0.3">
      <c r="A557" s="134" t="s">
        <v>249</v>
      </c>
      <c r="B557" s="134" t="s">
        <v>332</v>
      </c>
      <c r="C557" s="134">
        <v>30</v>
      </c>
      <c r="D557" s="134" t="str">
        <f t="shared" si="2"/>
        <v>CIM Motor BB RS-550 30</v>
      </c>
      <c r="E557" s="134">
        <v>1</v>
      </c>
      <c r="F557" s="134">
        <v>1</v>
      </c>
    </row>
    <row r="558" spans="1:6" ht="14.25" customHeight="1" x14ac:dyDescent="0.3">
      <c r="A558" s="134" t="s">
        <v>249</v>
      </c>
      <c r="B558" s="134" t="s">
        <v>332</v>
      </c>
      <c r="C558" s="134">
        <v>35</v>
      </c>
      <c r="D558" s="134" t="str">
        <f t="shared" si="2"/>
        <v>CIM Motor BB RS-550 35</v>
      </c>
      <c r="E558" s="134">
        <v>1</v>
      </c>
      <c r="F558" s="134">
        <v>1</v>
      </c>
    </row>
    <row r="559" spans="1:6" ht="14.25" customHeight="1" x14ac:dyDescent="0.3">
      <c r="A559" s="134" t="s">
        <v>249</v>
      </c>
      <c r="B559" s="134" t="s">
        <v>332</v>
      </c>
      <c r="C559" s="134">
        <v>36</v>
      </c>
      <c r="D559" s="134" t="str">
        <f t="shared" si="2"/>
        <v>CIM Motor BB RS-550 36</v>
      </c>
      <c r="E559" s="134">
        <v>1</v>
      </c>
      <c r="F559" s="134">
        <v>1</v>
      </c>
    </row>
    <row r="560" spans="1:6" ht="14.25" customHeight="1" x14ac:dyDescent="0.3">
      <c r="A560" s="134" t="s">
        <v>249</v>
      </c>
      <c r="B560" s="134" t="s">
        <v>332</v>
      </c>
      <c r="C560" s="134">
        <v>40</v>
      </c>
      <c r="D560" s="134" t="str">
        <f t="shared" si="2"/>
        <v>CIM Motor BB RS-550 40</v>
      </c>
      <c r="E560" s="134">
        <v>1</v>
      </c>
      <c r="F560" s="134">
        <v>1</v>
      </c>
    </row>
    <row r="561" spans="1:6" ht="14.25" customHeight="1" x14ac:dyDescent="0.3">
      <c r="A561" s="134" t="s">
        <v>249</v>
      </c>
      <c r="B561" s="134" t="s">
        <v>332</v>
      </c>
      <c r="C561" s="134">
        <v>45</v>
      </c>
      <c r="D561" s="134" t="str">
        <f t="shared" si="2"/>
        <v>CIM Motor BB RS-550 45</v>
      </c>
      <c r="E561" s="134">
        <v>1</v>
      </c>
      <c r="F561" s="134">
        <v>1</v>
      </c>
    </row>
    <row r="562" spans="1:6" ht="14.25" customHeight="1" x14ac:dyDescent="0.3">
      <c r="A562" s="134" t="s">
        <v>249</v>
      </c>
      <c r="B562" s="134" t="s">
        <v>332</v>
      </c>
      <c r="C562" s="134">
        <v>49</v>
      </c>
      <c r="D562" s="134" t="str">
        <f t="shared" si="2"/>
        <v>CIM Motor BB RS-550 49</v>
      </c>
      <c r="E562" s="134">
        <v>1</v>
      </c>
      <c r="F562" s="134">
        <v>1</v>
      </c>
    </row>
    <row r="563" spans="1:6" ht="14.25" customHeight="1" x14ac:dyDescent="0.3">
      <c r="A563" s="134" t="s">
        <v>249</v>
      </c>
      <c r="B563" s="134" t="s">
        <v>332</v>
      </c>
      <c r="C563" s="134">
        <v>50</v>
      </c>
      <c r="D563" s="134" t="str">
        <f t="shared" si="2"/>
        <v>CIM Motor BB RS-550 50</v>
      </c>
      <c r="E563" s="134">
        <v>1</v>
      </c>
      <c r="F563" s="134">
        <v>1</v>
      </c>
    </row>
    <row r="564" spans="1:6" ht="14.25" customHeight="1" x14ac:dyDescent="0.3">
      <c r="A564" s="134" t="s">
        <v>249</v>
      </c>
      <c r="B564" s="134" t="s">
        <v>332</v>
      </c>
      <c r="C564" s="134">
        <v>63</v>
      </c>
      <c r="D564" s="134" t="str">
        <f t="shared" si="2"/>
        <v>CIM Motor BB RS-550 63</v>
      </c>
      <c r="E564" s="134">
        <v>0</v>
      </c>
      <c r="F564" s="134">
        <v>1</v>
      </c>
    </row>
    <row r="565" spans="1:6" ht="14.25" customHeight="1" x14ac:dyDescent="0.3">
      <c r="A565" s="134" t="s">
        <v>249</v>
      </c>
      <c r="B565" s="134" t="s">
        <v>332</v>
      </c>
      <c r="C565" s="134">
        <v>70</v>
      </c>
      <c r="D565" s="134" t="str">
        <f t="shared" si="2"/>
        <v>CIM Motor BB RS-550 70</v>
      </c>
      <c r="E565" s="134">
        <v>0</v>
      </c>
      <c r="F565" s="134">
        <v>1</v>
      </c>
    </row>
    <row r="566" spans="1:6" ht="14.25" customHeight="1" x14ac:dyDescent="0.3">
      <c r="A566" s="134" t="s">
        <v>249</v>
      </c>
      <c r="B566" s="134" t="s">
        <v>332</v>
      </c>
      <c r="C566" s="134">
        <v>81</v>
      </c>
      <c r="D566" s="134" t="str">
        <f t="shared" si="2"/>
        <v>CIM Motor BB RS-550 81</v>
      </c>
      <c r="E566" s="134">
        <v>0</v>
      </c>
      <c r="F566" s="134">
        <v>0</v>
      </c>
    </row>
    <row r="567" spans="1:6" ht="14.25" customHeight="1" x14ac:dyDescent="0.3">
      <c r="A567" s="134" t="s">
        <v>249</v>
      </c>
      <c r="B567" s="134" t="s">
        <v>332</v>
      </c>
      <c r="C567" s="134">
        <v>90</v>
      </c>
      <c r="D567" s="134" t="str">
        <f t="shared" si="2"/>
        <v>CIM Motor BB RS-550 90</v>
      </c>
      <c r="E567" s="134">
        <v>0</v>
      </c>
      <c r="F567" s="134">
        <v>0</v>
      </c>
    </row>
    <row r="568" spans="1:6" ht="14.25" customHeight="1" x14ac:dyDescent="0.3">
      <c r="A568" s="134" t="s">
        <v>249</v>
      </c>
      <c r="B568" s="134" t="s">
        <v>332</v>
      </c>
      <c r="C568" s="134">
        <v>100</v>
      </c>
      <c r="D568" s="134" t="str">
        <f t="shared" si="2"/>
        <v>CIM Motor BB RS-550 100</v>
      </c>
      <c r="E568" s="134">
        <v>0</v>
      </c>
      <c r="F568" s="134">
        <v>0</v>
      </c>
    </row>
    <row r="569" spans="1:6" ht="14.25" customHeight="1" x14ac:dyDescent="0.3">
      <c r="A569" s="134" t="s">
        <v>249</v>
      </c>
      <c r="B569" s="134" t="s">
        <v>333</v>
      </c>
      <c r="C569" s="134">
        <v>9</v>
      </c>
      <c r="D569" s="134" t="str">
        <f t="shared" si="2"/>
        <v>CIM Motor BB RS-775 9</v>
      </c>
      <c r="E569" s="134">
        <v>4</v>
      </c>
      <c r="F569" s="134">
        <v>7</v>
      </c>
    </row>
    <row r="570" spans="1:6" ht="14.25" customHeight="1" x14ac:dyDescent="0.3">
      <c r="A570" s="134" t="s">
        <v>249</v>
      </c>
      <c r="B570" s="134" t="s">
        <v>333</v>
      </c>
      <c r="C570" s="134">
        <v>12</v>
      </c>
      <c r="D570" s="134" t="str">
        <f t="shared" si="2"/>
        <v>CIM Motor BB RS-775 12</v>
      </c>
      <c r="E570" s="134">
        <v>3</v>
      </c>
      <c r="F570" s="134">
        <v>5</v>
      </c>
    </row>
    <row r="571" spans="1:6" ht="14.25" customHeight="1" x14ac:dyDescent="0.3">
      <c r="A571" s="134" t="s">
        <v>249</v>
      </c>
      <c r="B571" s="134" t="s">
        <v>333</v>
      </c>
      <c r="C571" s="134">
        <v>15</v>
      </c>
      <c r="D571" s="134" t="str">
        <f t="shared" si="2"/>
        <v>CIM Motor BB RS-775 15</v>
      </c>
      <c r="E571" s="134">
        <v>1</v>
      </c>
      <c r="F571" s="134">
        <v>5</v>
      </c>
    </row>
    <row r="572" spans="1:6" ht="14.25" customHeight="1" x14ac:dyDescent="0.3">
      <c r="A572" s="134" t="s">
        <v>249</v>
      </c>
      <c r="B572" s="134" t="s">
        <v>333</v>
      </c>
      <c r="C572" s="134">
        <v>16</v>
      </c>
      <c r="D572" s="134" t="str">
        <f t="shared" si="2"/>
        <v>CIM Motor BB RS-775 16</v>
      </c>
      <c r="E572" s="134">
        <v>1</v>
      </c>
      <c r="F572" s="134">
        <v>5</v>
      </c>
    </row>
    <row r="573" spans="1:6" ht="14.25" customHeight="1" x14ac:dyDescent="0.3">
      <c r="A573" s="134" t="s">
        <v>249</v>
      </c>
      <c r="B573" s="134" t="s">
        <v>333</v>
      </c>
      <c r="C573" s="134">
        <v>20</v>
      </c>
      <c r="D573" s="134" t="str">
        <f t="shared" si="2"/>
        <v>CIM Motor BB RS-775 20</v>
      </c>
      <c r="E573" s="134">
        <v>1</v>
      </c>
      <c r="F573" s="134">
        <v>4</v>
      </c>
    </row>
    <row r="574" spans="1:6" ht="14.25" customHeight="1" x14ac:dyDescent="0.3">
      <c r="A574" s="134" t="s">
        <v>249</v>
      </c>
      <c r="B574" s="134" t="s">
        <v>333</v>
      </c>
      <c r="C574" s="134">
        <v>21</v>
      </c>
      <c r="D574" s="134" t="str">
        <f t="shared" si="2"/>
        <v>CIM Motor BB RS-775 21</v>
      </c>
      <c r="E574" s="134">
        <v>1</v>
      </c>
      <c r="F574" s="134">
        <v>3</v>
      </c>
    </row>
    <row r="575" spans="1:6" ht="14.25" customHeight="1" x14ac:dyDescent="0.3">
      <c r="A575" s="134" t="s">
        <v>249</v>
      </c>
      <c r="B575" s="134" t="s">
        <v>333</v>
      </c>
      <c r="C575" s="134">
        <v>25</v>
      </c>
      <c r="D575" s="134" t="str">
        <f t="shared" si="2"/>
        <v>CIM Motor BB RS-775 25</v>
      </c>
      <c r="E575" s="134">
        <v>1</v>
      </c>
      <c r="F575" s="134">
        <v>3</v>
      </c>
    </row>
    <row r="576" spans="1:6" ht="14.25" customHeight="1" x14ac:dyDescent="0.3">
      <c r="A576" s="134" t="s">
        <v>249</v>
      </c>
      <c r="B576" s="134" t="s">
        <v>333</v>
      </c>
      <c r="C576" s="134">
        <v>27</v>
      </c>
      <c r="D576" s="134" t="str">
        <f t="shared" si="2"/>
        <v>CIM Motor BB RS-775 27</v>
      </c>
      <c r="E576" s="134">
        <v>1</v>
      </c>
      <c r="F576" s="134">
        <v>1</v>
      </c>
    </row>
    <row r="577" spans="1:6" ht="14.25" customHeight="1" x14ac:dyDescent="0.3">
      <c r="A577" s="134" t="s">
        <v>249</v>
      </c>
      <c r="B577" s="134" t="s">
        <v>333</v>
      </c>
      <c r="C577" s="134">
        <v>28</v>
      </c>
      <c r="D577" s="134" t="str">
        <f t="shared" si="2"/>
        <v>CIM Motor BB RS-775 28</v>
      </c>
      <c r="E577" s="134">
        <v>1</v>
      </c>
      <c r="F577" s="134">
        <v>1</v>
      </c>
    </row>
    <row r="578" spans="1:6" ht="14.25" customHeight="1" x14ac:dyDescent="0.3">
      <c r="A578" s="134" t="s">
        <v>249</v>
      </c>
      <c r="B578" s="134" t="s">
        <v>333</v>
      </c>
      <c r="C578" s="134">
        <v>30</v>
      </c>
      <c r="D578" s="134" t="str">
        <f t="shared" si="2"/>
        <v>CIM Motor BB RS-775 30</v>
      </c>
      <c r="E578" s="134">
        <v>1</v>
      </c>
      <c r="F578" s="134">
        <v>1</v>
      </c>
    </row>
    <row r="579" spans="1:6" ht="14.25" customHeight="1" x14ac:dyDescent="0.3">
      <c r="A579" s="134" t="s">
        <v>249</v>
      </c>
      <c r="B579" s="134" t="s">
        <v>333</v>
      </c>
      <c r="C579" s="134">
        <v>35</v>
      </c>
      <c r="D579" s="134" t="str">
        <f t="shared" si="2"/>
        <v>CIM Motor BB RS-775 35</v>
      </c>
      <c r="E579" s="134">
        <v>1</v>
      </c>
      <c r="F579" s="134">
        <v>1</v>
      </c>
    </row>
    <row r="580" spans="1:6" ht="14.25" customHeight="1" x14ac:dyDescent="0.3">
      <c r="A580" s="134" t="s">
        <v>249</v>
      </c>
      <c r="B580" s="134" t="s">
        <v>333</v>
      </c>
      <c r="C580" s="134">
        <v>36</v>
      </c>
      <c r="D580" s="134" t="str">
        <f t="shared" si="2"/>
        <v>CIM Motor BB RS-775 36</v>
      </c>
      <c r="E580" s="134">
        <v>1</v>
      </c>
      <c r="F580" s="134">
        <v>1</v>
      </c>
    </row>
    <row r="581" spans="1:6" ht="14.25" customHeight="1" x14ac:dyDescent="0.3">
      <c r="A581" s="134" t="s">
        <v>249</v>
      </c>
      <c r="B581" s="134" t="s">
        <v>333</v>
      </c>
      <c r="C581" s="134">
        <v>40</v>
      </c>
      <c r="D581" s="134" t="str">
        <f t="shared" si="2"/>
        <v>CIM Motor BB RS-775 40</v>
      </c>
      <c r="E581" s="134">
        <v>0</v>
      </c>
      <c r="F581" s="134">
        <v>1</v>
      </c>
    </row>
    <row r="582" spans="1:6" ht="14.25" customHeight="1" x14ac:dyDescent="0.3">
      <c r="A582" s="134" t="s">
        <v>249</v>
      </c>
      <c r="B582" s="134" t="s">
        <v>333</v>
      </c>
      <c r="C582" s="134">
        <v>45</v>
      </c>
      <c r="D582" s="134" t="str">
        <f t="shared" si="2"/>
        <v>CIM Motor BB RS-775 45</v>
      </c>
      <c r="E582" s="134">
        <v>0</v>
      </c>
      <c r="F582" s="134">
        <v>1</v>
      </c>
    </row>
    <row r="583" spans="1:6" ht="14.25" customHeight="1" x14ac:dyDescent="0.3">
      <c r="A583" s="134" t="s">
        <v>249</v>
      </c>
      <c r="B583" s="134" t="s">
        <v>333</v>
      </c>
      <c r="C583" s="134">
        <v>49</v>
      </c>
      <c r="D583" s="134" t="str">
        <f t="shared" si="2"/>
        <v>CIM Motor BB RS-775 49</v>
      </c>
      <c r="E583" s="134">
        <v>0</v>
      </c>
      <c r="F583" s="134">
        <v>1</v>
      </c>
    </row>
    <row r="584" spans="1:6" ht="14.25" customHeight="1" x14ac:dyDescent="0.3">
      <c r="A584" s="134" t="s">
        <v>249</v>
      </c>
      <c r="B584" s="134" t="s">
        <v>333</v>
      </c>
      <c r="C584" s="134">
        <v>50</v>
      </c>
      <c r="D584" s="134" t="str">
        <f t="shared" si="2"/>
        <v>CIM Motor BB RS-775 50</v>
      </c>
      <c r="E584" s="134">
        <v>0</v>
      </c>
      <c r="F584" s="134">
        <v>1</v>
      </c>
    </row>
    <row r="585" spans="1:6" ht="14.25" customHeight="1" x14ac:dyDescent="0.3">
      <c r="A585" s="134" t="s">
        <v>249</v>
      </c>
      <c r="B585" s="134" t="s">
        <v>333</v>
      </c>
      <c r="C585" s="134">
        <v>63</v>
      </c>
      <c r="D585" s="134" t="str">
        <f t="shared" si="2"/>
        <v>CIM Motor BB RS-775 63</v>
      </c>
      <c r="E585" s="134">
        <v>0</v>
      </c>
      <c r="F585" s="134">
        <v>1</v>
      </c>
    </row>
    <row r="586" spans="1:6" ht="14.25" customHeight="1" x14ac:dyDescent="0.3">
      <c r="A586" s="134" t="s">
        <v>249</v>
      </c>
      <c r="B586" s="134" t="s">
        <v>333</v>
      </c>
      <c r="C586" s="134">
        <v>70</v>
      </c>
      <c r="D586" s="134" t="str">
        <f t="shared" si="2"/>
        <v>CIM Motor BB RS-775 70</v>
      </c>
      <c r="E586" s="134">
        <v>0</v>
      </c>
      <c r="F586" s="134">
        <v>1</v>
      </c>
    </row>
    <row r="587" spans="1:6" ht="14.25" customHeight="1" x14ac:dyDescent="0.3">
      <c r="A587" s="134" t="s">
        <v>249</v>
      </c>
      <c r="B587" s="134" t="s">
        <v>333</v>
      </c>
      <c r="C587" s="134">
        <v>81</v>
      </c>
      <c r="D587" s="134" t="str">
        <f t="shared" si="2"/>
        <v>CIM Motor BB RS-775 81</v>
      </c>
      <c r="E587" s="134">
        <v>0</v>
      </c>
      <c r="F587" s="134">
        <v>1</v>
      </c>
    </row>
    <row r="588" spans="1:6" ht="14.25" customHeight="1" x14ac:dyDescent="0.3">
      <c r="A588" s="134" t="s">
        <v>249</v>
      </c>
      <c r="B588" s="134" t="s">
        <v>333</v>
      </c>
      <c r="C588" s="134">
        <v>90</v>
      </c>
      <c r="D588" s="134" t="str">
        <f t="shared" si="2"/>
        <v>CIM Motor BB RS-775 90</v>
      </c>
      <c r="E588" s="134">
        <v>0</v>
      </c>
      <c r="F588" s="134">
        <v>1</v>
      </c>
    </row>
    <row r="589" spans="1:6" ht="14.25" customHeight="1" x14ac:dyDescent="0.3">
      <c r="A589" s="134" t="s">
        <v>249</v>
      </c>
      <c r="B589" s="134" t="s">
        <v>333</v>
      </c>
      <c r="C589" s="134">
        <v>100</v>
      </c>
      <c r="D589" s="134" t="str">
        <f t="shared" si="2"/>
        <v>CIM Motor BB RS-775 100</v>
      </c>
      <c r="E589" s="134">
        <v>0</v>
      </c>
      <c r="F589" s="134">
        <v>1</v>
      </c>
    </row>
    <row r="590" spans="1:6" ht="14.25" customHeight="1" x14ac:dyDescent="0.3">
      <c r="A590" s="134" t="s">
        <v>249</v>
      </c>
      <c r="B590" s="134" t="s">
        <v>257</v>
      </c>
      <c r="C590" s="134">
        <v>9</v>
      </c>
      <c r="D590" s="134" t="str">
        <f t="shared" si="2"/>
        <v>CIM Motor BAG 9</v>
      </c>
      <c r="E590" s="134">
        <v>7</v>
      </c>
      <c r="F590" s="134">
        <v>7</v>
      </c>
    </row>
    <row r="591" spans="1:6" ht="14.25" customHeight="1" x14ac:dyDescent="0.3">
      <c r="A591" s="134" t="s">
        <v>249</v>
      </c>
      <c r="B591" s="134" t="s">
        <v>257</v>
      </c>
      <c r="C591" s="134">
        <v>12</v>
      </c>
      <c r="D591" s="134" t="str">
        <f t="shared" si="2"/>
        <v>CIM Motor BAG 12</v>
      </c>
      <c r="E591" s="134">
        <v>5</v>
      </c>
      <c r="F591" s="134">
        <v>5</v>
      </c>
    </row>
    <row r="592" spans="1:6" ht="14.25" customHeight="1" x14ac:dyDescent="0.3">
      <c r="A592" s="134" t="s">
        <v>249</v>
      </c>
      <c r="B592" s="134" t="s">
        <v>257</v>
      </c>
      <c r="C592" s="134">
        <v>15</v>
      </c>
      <c r="D592" s="134" t="str">
        <f t="shared" si="2"/>
        <v>CIM Motor BAG 15</v>
      </c>
      <c r="E592" s="134">
        <v>4</v>
      </c>
      <c r="F592" s="134">
        <v>4</v>
      </c>
    </row>
    <row r="593" spans="1:6" ht="14.25" customHeight="1" x14ac:dyDescent="0.3">
      <c r="A593" s="134" t="s">
        <v>249</v>
      </c>
      <c r="B593" s="134" t="s">
        <v>257</v>
      </c>
      <c r="C593" s="134">
        <v>16</v>
      </c>
      <c r="D593" s="134" t="str">
        <f t="shared" si="2"/>
        <v>CIM Motor BAG 16</v>
      </c>
      <c r="E593" s="134">
        <v>4</v>
      </c>
      <c r="F593" s="134">
        <v>4</v>
      </c>
    </row>
    <row r="594" spans="1:6" ht="14.25" customHeight="1" x14ac:dyDescent="0.3">
      <c r="A594" s="134" t="s">
        <v>249</v>
      </c>
      <c r="B594" s="134" t="s">
        <v>257</v>
      </c>
      <c r="C594" s="134">
        <v>20</v>
      </c>
      <c r="D594" s="134" t="str">
        <f t="shared" si="2"/>
        <v>CIM Motor BAG 20</v>
      </c>
      <c r="E594" s="134">
        <v>3</v>
      </c>
      <c r="F594" s="134">
        <v>3</v>
      </c>
    </row>
    <row r="595" spans="1:6" ht="14.25" customHeight="1" x14ac:dyDescent="0.3">
      <c r="A595" s="134" t="s">
        <v>249</v>
      </c>
      <c r="B595" s="134" t="s">
        <v>257</v>
      </c>
      <c r="C595" s="134">
        <v>21</v>
      </c>
      <c r="D595" s="134" t="str">
        <f t="shared" si="2"/>
        <v>CIM Motor BAG 21</v>
      </c>
      <c r="E595" s="134">
        <v>3</v>
      </c>
      <c r="F595" s="134">
        <v>3</v>
      </c>
    </row>
    <row r="596" spans="1:6" ht="14.25" customHeight="1" x14ac:dyDescent="0.3">
      <c r="A596" s="134" t="s">
        <v>249</v>
      </c>
      <c r="B596" s="134" t="s">
        <v>257</v>
      </c>
      <c r="C596" s="134">
        <v>25</v>
      </c>
      <c r="D596" s="134" t="str">
        <f t="shared" si="2"/>
        <v>CIM Motor BAG 25</v>
      </c>
      <c r="E596" s="134">
        <v>1</v>
      </c>
      <c r="F596" s="134">
        <v>1</v>
      </c>
    </row>
    <row r="597" spans="1:6" ht="14.25" customHeight="1" x14ac:dyDescent="0.3">
      <c r="A597" s="134" t="s">
        <v>249</v>
      </c>
      <c r="B597" s="134" t="s">
        <v>257</v>
      </c>
      <c r="C597" s="134">
        <v>27</v>
      </c>
      <c r="D597" s="134" t="str">
        <f t="shared" si="2"/>
        <v>CIM Motor BAG 27</v>
      </c>
      <c r="E597" s="134">
        <v>1</v>
      </c>
      <c r="F597" s="134">
        <v>1</v>
      </c>
    </row>
    <row r="598" spans="1:6" ht="14.25" customHeight="1" x14ac:dyDescent="0.3">
      <c r="A598" s="134" t="s">
        <v>249</v>
      </c>
      <c r="B598" s="134" t="s">
        <v>257</v>
      </c>
      <c r="C598" s="134">
        <v>28</v>
      </c>
      <c r="D598" s="134" t="str">
        <f t="shared" si="2"/>
        <v>CIM Motor BAG 28</v>
      </c>
      <c r="E598" s="134">
        <v>1</v>
      </c>
      <c r="F598" s="134">
        <v>1</v>
      </c>
    </row>
    <row r="599" spans="1:6" ht="14.25" customHeight="1" x14ac:dyDescent="0.3">
      <c r="A599" s="134" t="s">
        <v>249</v>
      </c>
      <c r="B599" s="134" t="s">
        <v>257</v>
      </c>
      <c r="C599" s="134">
        <v>30</v>
      </c>
      <c r="D599" s="134" t="str">
        <f t="shared" si="2"/>
        <v>CIM Motor BAG 30</v>
      </c>
      <c r="E599" s="134">
        <v>1</v>
      </c>
      <c r="F599" s="134">
        <v>1</v>
      </c>
    </row>
    <row r="600" spans="1:6" ht="14.25" customHeight="1" x14ac:dyDescent="0.3">
      <c r="A600" s="134" t="s">
        <v>249</v>
      </c>
      <c r="B600" s="134" t="s">
        <v>257</v>
      </c>
      <c r="C600" s="134">
        <v>35</v>
      </c>
      <c r="D600" s="134" t="str">
        <f t="shared" si="2"/>
        <v>CIM Motor BAG 35</v>
      </c>
      <c r="E600" s="134">
        <v>1</v>
      </c>
      <c r="F600" s="134">
        <v>1</v>
      </c>
    </row>
    <row r="601" spans="1:6" ht="14.25" customHeight="1" x14ac:dyDescent="0.3">
      <c r="A601" s="134" t="s">
        <v>249</v>
      </c>
      <c r="B601" s="134" t="s">
        <v>257</v>
      </c>
      <c r="C601" s="134">
        <v>36</v>
      </c>
      <c r="D601" s="134" t="str">
        <f t="shared" si="2"/>
        <v>CIM Motor BAG 36</v>
      </c>
      <c r="E601" s="134">
        <v>1</v>
      </c>
      <c r="F601" s="134">
        <v>1</v>
      </c>
    </row>
    <row r="602" spans="1:6" ht="14.25" customHeight="1" x14ac:dyDescent="0.3">
      <c r="A602" s="134" t="s">
        <v>249</v>
      </c>
      <c r="B602" s="134" t="s">
        <v>257</v>
      </c>
      <c r="C602" s="134">
        <v>40</v>
      </c>
      <c r="D602" s="134" t="str">
        <f t="shared" si="2"/>
        <v>CIM Motor BAG 40</v>
      </c>
      <c r="E602" s="134">
        <v>1</v>
      </c>
      <c r="F602" s="134">
        <v>1</v>
      </c>
    </row>
    <row r="603" spans="1:6" ht="14.25" customHeight="1" x14ac:dyDescent="0.3">
      <c r="A603" s="134" t="s">
        <v>249</v>
      </c>
      <c r="B603" s="134" t="s">
        <v>257</v>
      </c>
      <c r="C603" s="134">
        <v>45</v>
      </c>
      <c r="D603" s="134" t="str">
        <f t="shared" si="2"/>
        <v>CIM Motor BAG 45</v>
      </c>
      <c r="E603" s="134">
        <v>1</v>
      </c>
      <c r="F603" s="134">
        <v>1</v>
      </c>
    </row>
    <row r="604" spans="1:6" ht="14.25" customHeight="1" x14ac:dyDescent="0.3">
      <c r="A604" s="134" t="s">
        <v>249</v>
      </c>
      <c r="B604" s="134" t="s">
        <v>257</v>
      </c>
      <c r="C604" s="134">
        <v>49</v>
      </c>
      <c r="D604" s="134" t="str">
        <f t="shared" si="2"/>
        <v>CIM Motor BAG 49</v>
      </c>
      <c r="E604" s="134">
        <v>1</v>
      </c>
      <c r="F604" s="134">
        <v>1</v>
      </c>
    </row>
    <row r="605" spans="1:6" ht="14.25" customHeight="1" x14ac:dyDescent="0.3">
      <c r="A605" s="134" t="s">
        <v>249</v>
      </c>
      <c r="B605" s="134" t="s">
        <v>257</v>
      </c>
      <c r="C605" s="134">
        <v>50</v>
      </c>
      <c r="D605" s="134" t="str">
        <f t="shared" si="2"/>
        <v>CIM Motor BAG 50</v>
      </c>
      <c r="E605" s="134">
        <v>1</v>
      </c>
      <c r="F605" s="134">
        <v>1</v>
      </c>
    </row>
    <row r="606" spans="1:6" ht="14.25" customHeight="1" x14ac:dyDescent="0.3">
      <c r="A606" s="134" t="s">
        <v>249</v>
      </c>
      <c r="B606" s="134" t="s">
        <v>257</v>
      </c>
      <c r="C606" s="134">
        <v>63</v>
      </c>
      <c r="D606" s="134" t="str">
        <f t="shared" si="2"/>
        <v>CIM Motor BAG 63</v>
      </c>
      <c r="E606" s="134">
        <v>1</v>
      </c>
      <c r="F606" s="134">
        <v>1</v>
      </c>
    </row>
    <row r="607" spans="1:6" ht="14.25" customHeight="1" x14ac:dyDescent="0.3">
      <c r="A607" s="134" t="s">
        <v>249</v>
      </c>
      <c r="B607" s="134" t="s">
        <v>257</v>
      </c>
      <c r="C607" s="134">
        <v>70</v>
      </c>
      <c r="D607" s="134" t="str">
        <f t="shared" si="2"/>
        <v>CIM Motor BAG 70</v>
      </c>
      <c r="E607" s="134">
        <v>1</v>
      </c>
      <c r="F607" s="134">
        <v>0</v>
      </c>
    </row>
    <row r="608" spans="1:6" ht="14.25" customHeight="1" x14ac:dyDescent="0.3">
      <c r="A608" s="134" t="s">
        <v>249</v>
      </c>
      <c r="B608" s="134" t="s">
        <v>257</v>
      </c>
      <c r="C608" s="134">
        <v>81</v>
      </c>
      <c r="D608" s="134" t="str">
        <f t="shared" si="2"/>
        <v>CIM Motor BAG 81</v>
      </c>
      <c r="E608" s="134">
        <v>1</v>
      </c>
      <c r="F608" s="134">
        <v>0</v>
      </c>
    </row>
    <row r="609" spans="1:6" ht="14.25" customHeight="1" x14ac:dyDescent="0.3">
      <c r="A609" s="134" t="s">
        <v>249</v>
      </c>
      <c r="B609" s="134" t="s">
        <v>257</v>
      </c>
      <c r="C609" s="134">
        <v>90</v>
      </c>
      <c r="D609" s="134" t="str">
        <f t="shared" si="2"/>
        <v>CIM Motor BAG 90</v>
      </c>
      <c r="E609" s="134">
        <v>1</v>
      </c>
      <c r="F609" s="134">
        <v>0</v>
      </c>
    </row>
    <row r="610" spans="1:6" ht="14.25" customHeight="1" x14ac:dyDescent="0.3">
      <c r="A610" s="134" t="s">
        <v>249</v>
      </c>
      <c r="B610" s="134" t="s">
        <v>257</v>
      </c>
      <c r="C610" s="134">
        <v>100</v>
      </c>
      <c r="D610" s="134" t="str">
        <f t="shared" si="2"/>
        <v>CIM Motor BAG 100</v>
      </c>
      <c r="E610" s="134">
        <v>1</v>
      </c>
      <c r="F610" s="134">
        <v>0</v>
      </c>
    </row>
    <row r="611" spans="1:6" ht="14.25" customHeight="1" x14ac:dyDescent="0.3">
      <c r="A611" s="134" t="s">
        <v>249</v>
      </c>
      <c r="B611" s="134" t="s">
        <v>7</v>
      </c>
      <c r="C611" s="134">
        <v>9</v>
      </c>
      <c r="D611" s="134" t="str">
        <f t="shared" si="2"/>
        <v>CIM Motor Mini CIM 9</v>
      </c>
      <c r="E611" s="134">
        <v>1</v>
      </c>
      <c r="F611" s="134">
        <v>0</v>
      </c>
    </row>
    <row r="612" spans="1:6" ht="14.25" customHeight="1" x14ac:dyDescent="0.3">
      <c r="A612" s="134" t="s">
        <v>249</v>
      </c>
      <c r="B612" s="134" t="s">
        <v>7</v>
      </c>
      <c r="C612" s="134">
        <v>12</v>
      </c>
      <c r="D612" s="134" t="str">
        <f t="shared" si="2"/>
        <v>CIM Motor Mini CIM 12</v>
      </c>
      <c r="E612" s="134">
        <v>1</v>
      </c>
      <c r="F612" s="134">
        <v>0</v>
      </c>
    </row>
    <row r="613" spans="1:6" ht="14.25" customHeight="1" x14ac:dyDescent="0.3">
      <c r="A613" s="134" t="s">
        <v>249</v>
      </c>
      <c r="B613" s="134" t="s">
        <v>7</v>
      </c>
      <c r="C613" s="134">
        <v>15</v>
      </c>
      <c r="D613" s="134" t="str">
        <f t="shared" si="2"/>
        <v>CIM Motor Mini CIM 15</v>
      </c>
      <c r="E613" s="134">
        <v>1</v>
      </c>
      <c r="F613" s="134">
        <v>0</v>
      </c>
    </row>
    <row r="614" spans="1:6" ht="14.25" customHeight="1" x14ac:dyDescent="0.3">
      <c r="A614" s="134" t="s">
        <v>249</v>
      </c>
      <c r="B614" s="134" t="s">
        <v>7</v>
      </c>
      <c r="C614" s="134">
        <v>16</v>
      </c>
      <c r="D614" s="134" t="str">
        <f t="shared" si="2"/>
        <v>CIM Motor Mini CIM 16</v>
      </c>
      <c r="E614" s="134">
        <v>1</v>
      </c>
      <c r="F614" s="134">
        <v>0</v>
      </c>
    </row>
    <row r="615" spans="1:6" ht="14.25" customHeight="1" x14ac:dyDescent="0.3">
      <c r="A615" s="134" t="s">
        <v>249</v>
      </c>
      <c r="B615" s="134" t="s">
        <v>7</v>
      </c>
      <c r="C615" s="134">
        <v>20</v>
      </c>
      <c r="D615" s="134" t="str">
        <f t="shared" si="2"/>
        <v>CIM Motor Mini CIM 20</v>
      </c>
      <c r="E615" s="134">
        <v>1</v>
      </c>
      <c r="F615" s="134">
        <v>0</v>
      </c>
    </row>
    <row r="616" spans="1:6" ht="14.25" customHeight="1" x14ac:dyDescent="0.3">
      <c r="A616" s="134" t="s">
        <v>249</v>
      </c>
      <c r="B616" s="134" t="s">
        <v>7</v>
      </c>
      <c r="C616" s="134">
        <v>21</v>
      </c>
      <c r="D616" s="134" t="str">
        <f t="shared" si="2"/>
        <v>CIM Motor Mini CIM 21</v>
      </c>
      <c r="E616" s="134">
        <v>1</v>
      </c>
      <c r="F616" s="134">
        <v>0</v>
      </c>
    </row>
    <row r="617" spans="1:6" ht="14.25" customHeight="1" x14ac:dyDescent="0.3">
      <c r="A617" s="134" t="s">
        <v>249</v>
      </c>
      <c r="B617" s="134" t="s">
        <v>7</v>
      </c>
      <c r="C617" s="134">
        <v>25</v>
      </c>
      <c r="D617" s="134" t="str">
        <f t="shared" si="2"/>
        <v>CIM Motor Mini CIM 25</v>
      </c>
      <c r="E617" s="134">
        <v>1</v>
      </c>
      <c r="F617" s="134">
        <v>0</v>
      </c>
    </row>
    <row r="618" spans="1:6" ht="14.25" customHeight="1" x14ac:dyDescent="0.3">
      <c r="A618" s="134" t="s">
        <v>249</v>
      </c>
      <c r="B618" s="134" t="s">
        <v>7</v>
      </c>
      <c r="C618" s="134">
        <v>27</v>
      </c>
      <c r="D618" s="134" t="str">
        <f t="shared" si="2"/>
        <v>CIM Motor Mini CIM 27</v>
      </c>
      <c r="E618" s="134">
        <v>1</v>
      </c>
      <c r="F618" s="134">
        <v>0</v>
      </c>
    </row>
    <row r="619" spans="1:6" ht="14.25" customHeight="1" x14ac:dyDescent="0.3">
      <c r="A619" s="134" t="s">
        <v>249</v>
      </c>
      <c r="B619" s="134" t="s">
        <v>7</v>
      </c>
      <c r="C619" s="134">
        <v>28</v>
      </c>
      <c r="D619" s="134" t="str">
        <f t="shared" si="2"/>
        <v>CIM Motor Mini CIM 28</v>
      </c>
      <c r="E619" s="134">
        <v>1</v>
      </c>
      <c r="F619" s="134">
        <v>0</v>
      </c>
    </row>
    <row r="620" spans="1:6" ht="14.25" customHeight="1" x14ac:dyDescent="0.3">
      <c r="A620" s="134" t="s">
        <v>249</v>
      </c>
      <c r="B620" s="134" t="s">
        <v>7</v>
      </c>
      <c r="C620" s="134">
        <v>30</v>
      </c>
      <c r="D620" s="134" t="str">
        <f t="shared" si="2"/>
        <v>CIM Motor Mini CIM 30</v>
      </c>
      <c r="E620" s="134">
        <v>1</v>
      </c>
      <c r="F620" s="134">
        <v>0</v>
      </c>
    </row>
    <row r="621" spans="1:6" ht="14.25" customHeight="1" x14ac:dyDescent="0.3">
      <c r="A621" s="134" t="s">
        <v>249</v>
      </c>
      <c r="B621" s="134" t="s">
        <v>7</v>
      </c>
      <c r="C621" s="134">
        <v>35</v>
      </c>
      <c r="D621" s="134" t="str">
        <f t="shared" si="2"/>
        <v>CIM Motor Mini CIM 35</v>
      </c>
      <c r="E621" s="134">
        <v>0</v>
      </c>
      <c r="F621" s="134">
        <v>0</v>
      </c>
    </row>
    <row r="622" spans="1:6" ht="14.25" customHeight="1" x14ac:dyDescent="0.3">
      <c r="A622" s="134" t="s">
        <v>249</v>
      </c>
      <c r="B622" s="134" t="s">
        <v>7</v>
      </c>
      <c r="C622" s="134">
        <v>36</v>
      </c>
      <c r="D622" s="134" t="str">
        <f t="shared" si="2"/>
        <v>CIM Motor Mini CIM 36</v>
      </c>
      <c r="E622" s="134">
        <v>0</v>
      </c>
      <c r="F622" s="134">
        <v>0</v>
      </c>
    </row>
    <row r="623" spans="1:6" ht="14.25" customHeight="1" x14ac:dyDescent="0.3">
      <c r="A623" s="134" t="s">
        <v>249</v>
      </c>
      <c r="B623" s="134" t="s">
        <v>7</v>
      </c>
      <c r="C623" s="134">
        <v>40</v>
      </c>
      <c r="D623" s="134" t="str">
        <f t="shared" si="2"/>
        <v>CIM Motor Mini CIM 40</v>
      </c>
      <c r="E623" s="134">
        <v>0</v>
      </c>
      <c r="F623" s="134">
        <v>0</v>
      </c>
    </row>
    <row r="624" spans="1:6" ht="14.25" customHeight="1" x14ac:dyDescent="0.3">
      <c r="A624" s="134" t="s">
        <v>249</v>
      </c>
      <c r="B624" s="134" t="s">
        <v>7</v>
      </c>
      <c r="C624" s="134">
        <v>45</v>
      </c>
      <c r="D624" s="134" t="str">
        <f t="shared" si="2"/>
        <v>CIM Motor Mini CIM 45</v>
      </c>
      <c r="E624" s="134">
        <v>0</v>
      </c>
      <c r="F624" s="134">
        <v>0</v>
      </c>
    </row>
    <row r="625" spans="1:6" ht="14.25" customHeight="1" x14ac:dyDescent="0.3">
      <c r="A625" s="134" t="s">
        <v>249</v>
      </c>
      <c r="B625" s="134" t="s">
        <v>7</v>
      </c>
      <c r="C625" s="134">
        <v>49</v>
      </c>
      <c r="D625" s="134" t="str">
        <f t="shared" si="2"/>
        <v>CIM Motor Mini CIM 49</v>
      </c>
      <c r="E625" s="134">
        <v>0</v>
      </c>
      <c r="F625" s="134">
        <v>0</v>
      </c>
    </row>
    <row r="626" spans="1:6" ht="14.25" customHeight="1" x14ac:dyDescent="0.3">
      <c r="A626" s="134" t="s">
        <v>249</v>
      </c>
      <c r="B626" s="134" t="s">
        <v>7</v>
      </c>
      <c r="C626" s="134">
        <v>50</v>
      </c>
      <c r="D626" s="134" t="str">
        <f t="shared" si="2"/>
        <v>CIM Motor Mini CIM 50</v>
      </c>
      <c r="E626" s="134">
        <v>0</v>
      </c>
      <c r="F626" s="134">
        <v>0</v>
      </c>
    </row>
    <row r="627" spans="1:6" ht="14.25" customHeight="1" x14ac:dyDescent="0.3">
      <c r="A627" s="134" t="s">
        <v>249</v>
      </c>
      <c r="B627" s="134" t="s">
        <v>7</v>
      </c>
      <c r="C627" s="134">
        <v>63</v>
      </c>
      <c r="D627" s="134" t="str">
        <f t="shared" si="2"/>
        <v>CIM Motor Mini CIM 63</v>
      </c>
      <c r="E627" s="134">
        <v>0</v>
      </c>
      <c r="F627" s="134">
        <v>0</v>
      </c>
    </row>
    <row r="628" spans="1:6" ht="14.25" customHeight="1" x14ac:dyDescent="0.3">
      <c r="A628" s="134" t="s">
        <v>249</v>
      </c>
      <c r="B628" s="134" t="s">
        <v>7</v>
      </c>
      <c r="C628" s="134">
        <v>70</v>
      </c>
      <c r="D628" s="134" t="str">
        <f t="shared" si="2"/>
        <v>CIM Motor Mini CIM 70</v>
      </c>
      <c r="E628" s="134">
        <v>0</v>
      </c>
      <c r="F628" s="134">
        <v>0</v>
      </c>
    </row>
    <row r="629" spans="1:6" ht="14.25" customHeight="1" x14ac:dyDescent="0.3">
      <c r="A629" s="134" t="s">
        <v>249</v>
      </c>
      <c r="B629" s="134" t="s">
        <v>7</v>
      </c>
      <c r="C629" s="134">
        <v>81</v>
      </c>
      <c r="D629" s="134" t="str">
        <f t="shared" si="2"/>
        <v>CIM Motor Mini CIM 81</v>
      </c>
      <c r="E629" s="134">
        <v>0</v>
      </c>
      <c r="F629" s="134">
        <v>0</v>
      </c>
    </row>
    <row r="630" spans="1:6" ht="14.25" customHeight="1" x14ac:dyDescent="0.3">
      <c r="A630" s="134" t="s">
        <v>249</v>
      </c>
      <c r="B630" s="134" t="s">
        <v>7</v>
      </c>
      <c r="C630" s="134">
        <v>90</v>
      </c>
      <c r="D630" s="134" t="str">
        <f t="shared" si="2"/>
        <v>CIM Motor Mini CIM 90</v>
      </c>
      <c r="E630" s="134">
        <v>0</v>
      </c>
      <c r="F630" s="134">
        <v>0</v>
      </c>
    </row>
    <row r="631" spans="1:6" ht="14.25" customHeight="1" x14ac:dyDescent="0.3">
      <c r="A631" s="134" t="s">
        <v>249</v>
      </c>
      <c r="B631" s="134" t="s">
        <v>7</v>
      </c>
      <c r="C631" s="134">
        <v>100</v>
      </c>
      <c r="D631" s="134" t="str">
        <f t="shared" si="2"/>
        <v>CIM Motor Mini CIM 100</v>
      </c>
      <c r="E631" s="134">
        <v>0</v>
      </c>
      <c r="F631" s="134">
        <v>0</v>
      </c>
    </row>
    <row r="632" spans="1:6" ht="14.25" customHeight="1" x14ac:dyDescent="0.3">
      <c r="A632" s="134" t="s">
        <v>249</v>
      </c>
      <c r="B632" s="134" t="s">
        <v>6</v>
      </c>
      <c r="C632" s="134">
        <v>9</v>
      </c>
      <c r="D632" s="134" t="str">
        <f t="shared" si="2"/>
        <v>CIM Motor CIM 9</v>
      </c>
      <c r="E632" s="134">
        <v>1</v>
      </c>
      <c r="F632" s="134">
        <v>0</v>
      </c>
    </row>
    <row r="633" spans="1:6" ht="14.25" customHeight="1" x14ac:dyDescent="0.3">
      <c r="A633" s="134" t="s">
        <v>249</v>
      </c>
      <c r="B633" s="134" t="s">
        <v>6</v>
      </c>
      <c r="C633" s="134">
        <v>12</v>
      </c>
      <c r="D633" s="134" t="str">
        <f t="shared" si="2"/>
        <v>CIM Motor CIM 12</v>
      </c>
      <c r="E633" s="134">
        <v>1</v>
      </c>
      <c r="F633" s="134">
        <v>0</v>
      </c>
    </row>
    <row r="634" spans="1:6" ht="14.25" customHeight="1" x14ac:dyDescent="0.3">
      <c r="A634" s="134" t="s">
        <v>249</v>
      </c>
      <c r="B634" s="134" t="s">
        <v>6</v>
      </c>
      <c r="C634" s="134">
        <v>15</v>
      </c>
      <c r="D634" s="134" t="str">
        <f t="shared" si="2"/>
        <v>CIM Motor CIM 15</v>
      </c>
      <c r="E634" s="134">
        <v>0</v>
      </c>
      <c r="F634" s="134">
        <v>0</v>
      </c>
    </row>
    <row r="635" spans="1:6" ht="14.25" customHeight="1" x14ac:dyDescent="0.3">
      <c r="A635" s="134" t="s">
        <v>249</v>
      </c>
      <c r="B635" s="134" t="s">
        <v>6</v>
      </c>
      <c r="C635" s="134">
        <v>16</v>
      </c>
      <c r="D635" s="134" t="str">
        <f t="shared" si="2"/>
        <v>CIM Motor CIM 16</v>
      </c>
      <c r="E635" s="134">
        <v>0</v>
      </c>
      <c r="F635" s="134">
        <v>0</v>
      </c>
    </row>
    <row r="636" spans="1:6" ht="14.25" customHeight="1" x14ac:dyDescent="0.3">
      <c r="A636" s="134" t="s">
        <v>249</v>
      </c>
      <c r="B636" s="134" t="s">
        <v>6</v>
      </c>
      <c r="C636" s="134">
        <v>20</v>
      </c>
      <c r="D636" s="134" t="str">
        <f t="shared" si="2"/>
        <v>CIM Motor CIM 20</v>
      </c>
      <c r="E636" s="134">
        <v>0</v>
      </c>
      <c r="F636" s="134">
        <v>0</v>
      </c>
    </row>
    <row r="637" spans="1:6" ht="14.25" customHeight="1" x14ac:dyDescent="0.3">
      <c r="A637" s="134" t="s">
        <v>249</v>
      </c>
      <c r="B637" s="134" t="s">
        <v>6</v>
      </c>
      <c r="C637" s="134">
        <v>21</v>
      </c>
      <c r="D637" s="134" t="str">
        <f t="shared" si="2"/>
        <v>CIM Motor CIM 21</v>
      </c>
      <c r="E637" s="134">
        <v>0</v>
      </c>
      <c r="F637" s="134">
        <v>0</v>
      </c>
    </row>
    <row r="638" spans="1:6" ht="14.25" customHeight="1" x14ac:dyDescent="0.3">
      <c r="A638" s="134" t="s">
        <v>249</v>
      </c>
      <c r="B638" s="134" t="s">
        <v>6</v>
      </c>
      <c r="C638" s="134">
        <v>25</v>
      </c>
      <c r="D638" s="134" t="str">
        <f t="shared" si="2"/>
        <v>CIM Motor CIM 25</v>
      </c>
      <c r="E638" s="134">
        <v>0</v>
      </c>
      <c r="F638" s="134">
        <v>0</v>
      </c>
    </row>
    <row r="639" spans="1:6" ht="14.25" customHeight="1" x14ac:dyDescent="0.3">
      <c r="A639" s="134" t="s">
        <v>249</v>
      </c>
      <c r="B639" s="134" t="s">
        <v>6</v>
      </c>
      <c r="C639" s="134">
        <v>27</v>
      </c>
      <c r="D639" s="134" t="str">
        <f t="shared" si="2"/>
        <v>CIM Motor CIM 27</v>
      </c>
      <c r="E639" s="134">
        <v>0</v>
      </c>
      <c r="F639" s="134">
        <v>0</v>
      </c>
    </row>
    <row r="640" spans="1:6" ht="14.25" customHeight="1" x14ac:dyDescent="0.3">
      <c r="A640" s="134" t="s">
        <v>249</v>
      </c>
      <c r="B640" s="134" t="s">
        <v>6</v>
      </c>
      <c r="C640" s="134">
        <v>28</v>
      </c>
      <c r="D640" s="134" t="str">
        <f t="shared" si="2"/>
        <v>CIM Motor CIM 28</v>
      </c>
      <c r="E640" s="134">
        <v>0</v>
      </c>
      <c r="F640" s="134">
        <v>0</v>
      </c>
    </row>
    <row r="641" spans="1:6" ht="14.25" customHeight="1" x14ac:dyDescent="0.3">
      <c r="A641" s="134" t="s">
        <v>249</v>
      </c>
      <c r="B641" s="134" t="s">
        <v>6</v>
      </c>
      <c r="C641" s="134">
        <v>30</v>
      </c>
      <c r="D641" s="134" t="str">
        <f t="shared" si="2"/>
        <v>CIM Motor CIM 30</v>
      </c>
      <c r="E641" s="134">
        <v>0</v>
      </c>
      <c r="F641" s="134">
        <v>0</v>
      </c>
    </row>
    <row r="642" spans="1:6" ht="14.25" customHeight="1" x14ac:dyDescent="0.3">
      <c r="A642" s="134" t="s">
        <v>249</v>
      </c>
      <c r="B642" s="134" t="s">
        <v>6</v>
      </c>
      <c r="C642" s="134">
        <v>35</v>
      </c>
      <c r="D642" s="134" t="str">
        <f t="shared" si="2"/>
        <v>CIM Motor CIM 35</v>
      </c>
      <c r="E642" s="134">
        <v>0</v>
      </c>
      <c r="F642" s="134">
        <v>0</v>
      </c>
    </row>
    <row r="643" spans="1:6" ht="14.25" customHeight="1" x14ac:dyDescent="0.3">
      <c r="A643" s="134" t="s">
        <v>249</v>
      </c>
      <c r="B643" s="134" t="s">
        <v>6</v>
      </c>
      <c r="C643" s="134">
        <v>36</v>
      </c>
      <c r="D643" s="134" t="str">
        <f t="shared" si="2"/>
        <v>CIM Motor CIM 36</v>
      </c>
      <c r="E643" s="134">
        <v>0</v>
      </c>
      <c r="F643" s="134">
        <v>0</v>
      </c>
    </row>
    <row r="644" spans="1:6" ht="14.25" customHeight="1" x14ac:dyDescent="0.3">
      <c r="A644" s="134" t="s">
        <v>249</v>
      </c>
      <c r="B644" s="134" t="s">
        <v>6</v>
      </c>
      <c r="C644" s="134">
        <v>40</v>
      </c>
      <c r="D644" s="134" t="str">
        <f t="shared" si="2"/>
        <v>CIM Motor CIM 40</v>
      </c>
      <c r="E644" s="134">
        <v>0</v>
      </c>
      <c r="F644" s="134">
        <v>0</v>
      </c>
    </row>
    <row r="645" spans="1:6" ht="14.25" customHeight="1" x14ac:dyDescent="0.3">
      <c r="A645" s="134" t="s">
        <v>249</v>
      </c>
      <c r="B645" s="134" t="s">
        <v>6</v>
      </c>
      <c r="C645" s="134">
        <v>45</v>
      </c>
      <c r="D645" s="134" t="str">
        <f t="shared" si="2"/>
        <v>CIM Motor CIM 45</v>
      </c>
      <c r="E645" s="134">
        <v>0</v>
      </c>
      <c r="F645" s="134">
        <v>0</v>
      </c>
    </row>
    <row r="646" spans="1:6" ht="14.25" customHeight="1" x14ac:dyDescent="0.3">
      <c r="A646" s="134" t="s">
        <v>249</v>
      </c>
      <c r="B646" s="134" t="s">
        <v>6</v>
      </c>
      <c r="C646" s="134">
        <v>49</v>
      </c>
      <c r="D646" s="134" t="str">
        <f t="shared" si="2"/>
        <v>CIM Motor CIM 49</v>
      </c>
      <c r="E646" s="134">
        <v>0</v>
      </c>
      <c r="F646" s="134">
        <v>0</v>
      </c>
    </row>
    <row r="647" spans="1:6" ht="14.25" customHeight="1" x14ac:dyDescent="0.3">
      <c r="A647" s="134" t="s">
        <v>249</v>
      </c>
      <c r="B647" s="134" t="s">
        <v>6</v>
      </c>
      <c r="C647" s="134">
        <v>50</v>
      </c>
      <c r="D647" s="134" t="str">
        <f t="shared" si="2"/>
        <v>CIM Motor CIM 50</v>
      </c>
      <c r="E647" s="134">
        <v>0</v>
      </c>
      <c r="F647" s="134">
        <v>0</v>
      </c>
    </row>
    <row r="648" spans="1:6" ht="14.25" customHeight="1" x14ac:dyDescent="0.3">
      <c r="A648" s="134" t="s">
        <v>249</v>
      </c>
      <c r="B648" s="134" t="s">
        <v>6</v>
      </c>
      <c r="C648" s="134">
        <v>63</v>
      </c>
      <c r="D648" s="134" t="str">
        <f t="shared" si="2"/>
        <v>CIM Motor CIM 63</v>
      </c>
      <c r="E648" s="134">
        <v>0</v>
      </c>
      <c r="F648" s="134">
        <v>0</v>
      </c>
    </row>
    <row r="649" spans="1:6" ht="14.25" customHeight="1" x14ac:dyDescent="0.3">
      <c r="A649" s="134" t="s">
        <v>249</v>
      </c>
      <c r="B649" s="134" t="s">
        <v>6</v>
      </c>
      <c r="C649" s="134">
        <v>70</v>
      </c>
      <c r="D649" s="134" t="str">
        <f t="shared" si="2"/>
        <v>CIM Motor CIM 70</v>
      </c>
      <c r="E649" s="134">
        <v>0</v>
      </c>
      <c r="F649" s="134">
        <v>0</v>
      </c>
    </row>
    <row r="650" spans="1:6" ht="14.25" customHeight="1" x14ac:dyDescent="0.3">
      <c r="A650" s="134" t="s">
        <v>249</v>
      </c>
      <c r="B650" s="134" t="s">
        <v>6</v>
      </c>
      <c r="C650" s="134">
        <v>81</v>
      </c>
      <c r="D650" s="134" t="str">
        <f t="shared" si="2"/>
        <v>CIM Motor CIM 81</v>
      </c>
      <c r="E650" s="134">
        <v>0</v>
      </c>
      <c r="F650" s="134">
        <v>0</v>
      </c>
    </row>
    <row r="651" spans="1:6" ht="14.25" customHeight="1" x14ac:dyDescent="0.3">
      <c r="A651" s="134" t="s">
        <v>249</v>
      </c>
      <c r="B651" s="134" t="s">
        <v>6</v>
      </c>
      <c r="C651" s="134">
        <v>90</v>
      </c>
      <c r="D651" s="134" t="str">
        <f t="shared" si="2"/>
        <v>CIM Motor CIM 90</v>
      </c>
      <c r="E651" s="134">
        <v>0</v>
      </c>
      <c r="F651" s="134">
        <v>0</v>
      </c>
    </row>
    <row r="652" spans="1:6" ht="14.25" customHeight="1" x14ac:dyDescent="0.3">
      <c r="A652" s="134" t="s">
        <v>249</v>
      </c>
      <c r="B652" s="134" t="s">
        <v>6</v>
      </c>
      <c r="C652" s="134">
        <v>100</v>
      </c>
      <c r="D652" s="134" t="str">
        <f t="shared" si="2"/>
        <v>CIM Motor CIM 100</v>
      </c>
      <c r="E652" s="134">
        <v>0</v>
      </c>
      <c r="F652" s="134">
        <v>0</v>
      </c>
    </row>
    <row r="653" spans="1:6" ht="14.25" customHeight="1" x14ac:dyDescent="0.3">
      <c r="A653" s="134" t="s">
        <v>249</v>
      </c>
      <c r="B653" s="134" t="s">
        <v>259</v>
      </c>
      <c r="C653" s="134">
        <v>9</v>
      </c>
      <c r="D653" s="134" t="str">
        <f t="shared" si="2"/>
        <v>CIM Motor 775pro 9</v>
      </c>
      <c r="E653" s="134">
        <v>4</v>
      </c>
      <c r="F653" s="134">
        <v>4</v>
      </c>
    </row>
    <row r="654" spans="1:6" ht="14.25" customHeight="1" x14ac:dyDescent="0.3">
      <c r="A654" s="134" t="s">
        <v>249</v>
      </c>
      <c r="B654" s="134" t="s">
        <v>259</v>
      </c>
      <c r="C654" s="134">
        <v>12</v>
      </c>
      <c r="D654" s="134" t="str">
        <f t="shared" si="2"/>
        <v>CIM Motor 775pro 12</v>
      </c>
      <c r="E654" s="134">
        <v>3</v>
      </c>
      <c r="F654" s="134">
        <v>3</v>
      </c>
    </row>
    <row r="655" spans="1:6" ht="14.25" customHeight="1" x14ac:dyDescent="0.3">
      <c r="A655" s="134" t="s">
        <v>249</v>
      </c>
      <c r="B655" s="134" t="s">
        <v>259</v>
      </c>
      <c r="C655" s="134">
        <v>15</v>
      </c>
      <c r="D655" s="134" t="str">
        <f t="shared" si="2"/>
        <v>CIM Motor 775pro 15</v>
      </c>
      <c r="E655" s="134">
        <v>1</v>
      </c>
      <c r="F655" s="134">
        <v>1</v>
      </c>
    </row>
    <row r="656" spans="1:6" ht="14.25" customHeight="1" x14ac:dyDescent="0.3">
      <c r="A656" s="134" t="s">
        <v>249</v>
      </c>
      <c r="B656" s="134" t="s">
        <v>259</v>
      </c>
      <c r="C656" s="134">
        <v>16</v>
      </c>
      <c r="D656" s="134" t="str">
        <f t="shared" si="2"/>
        <v>CIM Motor 775pro 16</v>
      </c>
      <c r="E656" s="134">
        <v>1</v>
      </c>
      <c r="F656" s="134">
        <v>1</v>
      </c>
    </row>
    <row r="657" spans="1:6" ht="14.25" customHeight="1" x14ac:dyDescent="0.3">
      <c r="A657" s="134" t="s">
        <v>249</v>
      </c>
      <c r="B657" s="134" t="s">
        <v>259</v>
      </c>
      <c r="C657" s="134">
        <v>20</v>
      </c>
      <c r="D657" s="134" t="str">
        <f t="shared" si="2"/>
        <v>CIM Motor 775pro 20</v>
      </c>
      <c r="E657" s="134">
        <v>1</v>
      </c>
      <c r="F657" s="134">
        <v>1</v>
      </c>
    </row>
    <row r="658" spans="1:6" ht="14.25" customHeight="1" x14ac:dyDescent="0.3">
      <c r="A658" s="134" t="s">
        <v>249</v>
      </c>
      <c r="B658" s="134" t="s">
        <v>259</v>
      </c>
      <c r="C658" s="134">
        <v>21</v>
      </c>
      <c r="D658" s="134" t="str">
        <f t="shared" si="2"/>
        <v>CIM Motor 775pro 21</v>
      </c>
      <c r="E658" s="134">
        <v>1</v>
      </c>
      <c r="F658" s="134">
        <v>1</v>
      </c>
    </row>
    <row r="659" spans="1:6" ht="14.25" customHeight="1" x14ac:dyDescent="0.3">
      <c r="A659" s="134" t="s">
        <v>249</v>
      </c>
      <c r="B659" s="134" t="s">
        <v>259</v>
      </c>
      <c r="C659" s="134">
        <v>25</v>
      </c>
      <c r="D659" s="134" t="str">
        <f t="shared" si="2"/>
        <v>CIM Motor 775pro 25</v>
      </c>
      <c r="E659" s="134">
        <v>1</v>
      </c>
      <c r="F659" s="134">
        <v>1</v>
      </c>
    </row>
    <row r="660" spans="1:6" ht="14.25" customHeight="1" x14ac:dyDescent="0.3">
      <c r="A660" s="134" t="s">
        <v>249</v>
      </c>
      <c r="B660" s="134" t="s">
        <v>259</v>
      </c>
      <c r="C660" s="134">
        <v>27</v>
      </c>
      <c r="D660" s="134" t="str">
        <f t="shared" si="2"/>
        <v>CIM Motor 775pro 27</v>
      </c>
      <c r="E660" s="134">
        <v>1</v>
      </c>
      <c r="F660" s="134">
        <v>1</v>
      </c>
    </row>
    <row r="661" spans="1:6" ht="14.25" customHeight="1" x14ac:dyDescent="0.3">
      <c r="A661" s="134" t="s">
        <v>249</v>
      </c>
      <c r="B661" s="134" t="s">
        <v>259</v>
      </c>
      <c r="C661" s="134">
        <v>28</v>
      </c>
      <c r="D661" s="134" t="str">
        <f t="shared" si="2"/>
        <v>CIM Motor 775pro 28</v>
      </c>
      <c r="E661" s="134">
        <v>1</v>
      </c>
      <c r="F661" s="134">
        <v>1</v>
      </c>
    </row>
    <row r="662" spans="1:6" ht="14.25" customHeight="1" x14ac:dyDescent="0.3">
      <c r="A662" s="134" t="s">
        <v>249</v>
      </c>
      <c r="B662" s="134" t="s">
        <v>259</v>
      </c>
      <c r="C662" s="134">
        <v>30</v>
      </c>
      <c r="D662" s="134" t="str">
        <f t="shared" si="2"/>
        <v>CIM Motor 775pro 30</v>
      </c>
      <c r="E662" s="134">
        <v>1</v>
      </c>
      <c r="F662" s="134">
        <v>1</v>
      </c>
    </row>
    <row r="663" spans="1:6" ht="14.25" customHeight="1" x14ac:dyDescent="0.3">
      <c r="A663" s="134" t="s">
        <v>249</v>
      </c>
      <c r="B663" s="134" t="s">
        <v>259</v>
      </c>
      <c r="C663" s="134">
        <v>35</v>
      </c>
      <c r="D663" s="134" t="str">
        <f t="shared" si="2"/>
        <v>CIM Motor 775pro 35</v>
      </c>
      <c r="E663" s="134">
        <v>1</v>
      </c>
      <c r="F663" s="134">
        <v>1</v>
      </c>
    </row>
    <row r="664" spans="1:6" ht="14.25" customHeight="1" x14ac:dyDescent="0.3">
      <c r="A664" s="134" t="s">
        <v>249</v>
      </c>
      <c r="B664" s="134" t="s">
        <v>259</v>
      </c>
      <c r="C664" s="134">
        <v>36</v>
      </c>
      <c r="D664" s="134" t="str">
        <f t="shared" si="2"/>
        <v>CIM Motor 775pro 36</v>
      </c>
      <c r="E664" s="134">
        <v>1</v>
      </c>
      <c r="F664" s="134">
        <v>1</v>
      </c>
    </row>
    <row r="665" spans="1:6" ht="14.25" customHeight="1" x14ac:dyDescent="0.3">
      <c r="A665" s="134" t="s">
        <v>249</v>
      </c>
      <c r="B665" s="134" t="s">
        <v>259</v>
      </c>
      <c r="C665" s="134">
        <v>40</v>
      </c>
      <c r="D665" s="134" t="str">
        <f t="shared" si="2"/>
        <v>CIM Motor 775pro 40</v>
      </c>
      <c r="E665" s="134">
        <v>1</v>
      </c>
      <c r="F665" s="134">
        <v>1</v>
      </c>
    </row>
    <row r="666" spans="1:6" ht="14.25" customHeight="1" x14ac:dyDescent="0.3">
      <c r="A666" s="134" t="s">
        <v>249</v>
      </c>
      <c r="B666" s="134" t="s">
        <v>259</v>
      </c>
      <c r="C666" s="134">
        <v>45</v>
      </c>
      <c r="D666" s="134" t="str">
        <f t="shared" si="2"/>
        <v>CIM Motor 775pro 45</v>
      </c>
      <c r="E666" s="134">
        <v>0</v>
      </c>
      <c r="F666" s="134">
        <v>0</v>
      </c>
    </row>
    <row r="667" spans="1:6" ht="14.25" customHeight="1" x14ac:dyDescent="0.3">
      <c r="A667" s="134" t="s">
        <v>249</v>
      </c>
      <c r="B667" s="134" t="s">
        <v>259</v>
      </c>
      <c r="C667" s="134">
        <v>49</v>
      </c>
      <c r="D667" s="134" t="str">
        <f t="shared" si="2"/>
        <v>CIM Motor 775pro 49</v>
      </c>
      <c r="E667" s="134">
        <v>0</v>
      </c>
      <c r="F667" s="134">
        <v>0</v>
      </c>
    </row>
    <row r="668" spans="1:6" ht="14.25" customHeight="1" x14ac:dyDescent="0.3">
      <c r="A668" s="134" t="s">
        <v>249</v>
      </c>
      <c r="B668" s="134" t="s">
        <v>259</v>
      </c>
      <c r="C668" s="134">
        <v>50</v>
      </c>
      <c r="D668" s="134" t="str">
        <f t="shared" si="2"/>
        <v>CIM Motor 775pro 50</v>
      </c>
      <c r="E668" s="134">
        <v>0</v>
      </c>
      <c r="F668" s="134">
        <v>0</v>
      </c>
    </row>
    <row r="669" spans="1:6" ht="14.25" customHeight="1" x14ac:dyDescent="0.3">
      <c r="A669" s="134" t="s">
        <v>249</v>
      </c>
      <c r="B669" s="134" t="s">
        <v>259</v>
      </c>
      <c r="C669" s="134">
        <v>63</v>
      </c>
      <c r="D669" s="134" t="str">
        <f t="shared" si="2"/>
        <v>CIM Motor 775pro 63</v>
      </c>
      <c r="E669" s="134">
        <v>0</v>
      </c>
      <c r="F669" s="134">
        <v>0</v>
      </c>
    </row>
    <row r="670" spans="1:6" ht="14.25" customHeight="1" x14ac:dyDescent="0.3">
      <c r="A670" s="134" t="s">
        <v>249</v>
      </c>
      <c r="B670" s="134" t="s">
        <v>259</v>
      </c>
      <c r="C670" s="134">
        <v>70</v>
      </c>
      <c r="D670" s="134" t="str">
        <f t="shared" si="2"/>
        <v>CIM Motor 775pro 70</v>
      </c>
      <c r="E670" s="134">
        <v>0</v>
      </c>
      <c r="F670" s="134">
        <v>0</v>
      </c>
    </row>
    <row r="671" spans="1:6" ht="14.25" customHeight="1" x14ac:dyDescent="0.3">
      <c r="A671" s="134" t="s">
        <v>249</v>
      </c>
      <c r="B671" s="134" t="s">
        <v>259</v>
      </c>
      <c r="C671" s="134">
        <v>81</v>
      </c>
      <c r="D671" s="134" t="str">
        <f t="shared" si="2"/>
        <v>CIM Motor 775pro 81</v>
      </c>
      <c r="E671" s="134">
        <v>0</v>
      </c>
      <c r="F671" s="134">
        <v>0</v>
      </c>
    </row>
    <row r="672" spans="1:6" ht="14.25" customHeight="1" x14ac:dyDescent="0.3">
      <c r="A672" s="134" t="s">
        <v>249</v>
      </c>
      <c r="B672" s="134" t="s">
        <v>259</v>
      </c>
      <c r="C672" s="134">
        <v>90</v>
      </c>
      <c r="D672" s="134" t="str">
        <f t="shared" si="2"/>
        <v>CIM Motor 775pro 90</v>
      </c>
      <c r="E672" s="134">
        <v>0</v>
      </c>
      <c r="F672" s="134">
        <v>0</v>
      </c>
    </row>
    <row r="673" spans="1:6" ht="14.25" customHeight="1" x14ac:dyDescent="0.3">
      <c r="A673" s="134" t="s">
        <v>249</v>
      </c>
      <c r="B673" s="134" t="s">
        <v>259</v>
      </c>
      <c r="C673" s="134">
        <v>100</v>
      </c>
      <c r="D673" s="134" t="str">
        <f t="shared" si="2"/>
        <v>CIM Motor 775pro 100</v>
      </c>
      <c r="E673" s="134">
        <v>0</v>
      </c>
      <c r="F673" s="134">
        <v>0</v>
      </c>
    </row>
    <row r="674" spans="1:6" ht="14.25" customHeight="1" x14ac:dyDescent="0.3">
      <c r="A674" s="134" t="s">
        <v>252</v>
      </c>
      <c r="B674" s="134" t="s">
        <v>11</v>
      </c>
      <c r="C674" s="134">
        <v>9</v>
      </c>
      <c r="D674" s="134" t="str">
        <f t="shared" si="2"/>
        <v>Female AM 9015 9</v>
      </c>
      <c r="E674" s="134">
        <v>10</v>
      </c>
      <c r="F674" s="134">
        <v>10</v>
      </c>
    </row>
    <row r="675" spans="1:6" ht="14.25" customHeight="1" x14ac:dyDescent="0.3">
      <c r="A675" s="134" t="s">
        <v>252</v>
      </c>
      <c r="B675" s="134" t="s">
        <v>11</v>
      </c>
      <c r="C675" s="134">
        <v>12</v>
      </c>
      <c r="D675" s="134" t="str">
        <f t="shared" si="2"/>
        <v>Female AM 9015 12</v>
      </c>
      <c r="E675" s="134">
        <v>10</v>
      </c>
      <c r="F675" s="134">
        <v>7</v>
      </c>
    </row>
    <row r="676" spans="1:6" ht="14.25" customHeight="1" x14ac:dyDescent="0.3">
      <c r="A676" s="134" t="s">
        <v>252</v>
      </c>
      <c r="B676" s="134" t="s">
        <v>11</v>
      </c>
      <c r="C676" s="134">
        <v>15</v>
      </c>
      <c r="D676" s="134" t="str">
        <f t="shared" si="2"/>
        <v>Female AM 9015 15</v>
      </c>
      <c r="E676" s="134">
        <v>10</v>
      </c>
      <c r="F676" s="134">
        <v>5</v>
      </c>
    </row>
    <row r="677" spans="1:6" ht="14.25" customHeight="1" x14ac:dyDescent="0.3">
      <c r="A677" s="134" t="s">
        <v>252</v>
      </c>
      <c r="B677" s="134" t="s">
        <v>11</v>
      </c>
      <c r="C677" s="134">
        <v>16</v>
      </c>
      <c r="D677" s="134" t="str">
        <f t="shared" si="2"/>
        <v>Female AM 9015 16</v>
      </c>
      <c r="E677" s="134">
        <v>10</v>
      </c>
      <c r="F677" s="134">
        <v>5</v>
      </c>
    </row>
    <row r="678" spans="1:6" ht="14.25" customHeight="1" x14ac:dyDescent="0.3">
      <c r="A678" s="134" t="s">
        <v>252</v>
      </c>
      <c r="B678" s="134" t="s">
        <v>11</v>
      </c>
      <c r="C678" s="134">
        <v>20</v>
      </c>
      <c r="D678" s="134" t="str">
        <f t="shared" si="2"/>
        <v>Female AM 9015 20</v>
      </c>
      <c r="E678" s="134">
        <v>10</v>
      </c>
      <c r="F678" s="134">
        <v>4</v>
      </c>
    </row>
    <row r="679" spans="1:6" ht="14.25" customHeight="1" x14ac:dyDescent="0.3">
      <c r="A679" s="134" t="s">
        <v>252</v>
      </c>
      <c r="B679" s="134" t="s">
        <v>11</v>
      </c>
      <c r="C679" s="134">
        <v>21</v>
      </c>
      <c r="D679" s="134" t="str">
        <f t="shared" si="2"/>
        <v>Female AM 9015 21</v>
      </c>
      <c r="E679" s="134">
        <v>10</v>
      </c>
      <c r="F679" s="134">
        <v>4</v>
      </c>
    </row>
    <row r="680" spans="1:6" ht="14.25" customHeight="1" x14ac:dyDescent="0.3">
      <c r="A680" s="134" t="s">
        <v>252</v>
      </c>
      <c r="B680" s="134" t="s">
        <v>11</v>
      </c>
      <c r="C680" s="134">
        <v>25</v>
      </c>
      <c r="D680" s="134" t="str">
        <f t="shared" si="2"/>
        <v>Female AM 9015 25</v>
      </c>
      <c r="E680" s="134">
        <v>7</v>
      </c>
      <c r="F680" s="134">
        <v>3</v>
      </c>
    </row>
    <row r="681" spans="1:6" ht="14.25" customHeight="1" x14ac:dyDescent="0.3">
      <c r="A681" s="134" t="s">
        <v>252</v>
      </c>
      <c r="B681" s="134" t="s">
        <v>11</v>
      </c>
      <c r="C681" s="134">
        <v>27</v>
      </c>
      <c r="D681" s="134" t="str">
        <f t="shared" si="2"/>
        <v>Female AM 9015 27</v>
      </c>
      <c r="E681" s="134">
        <v>7</v>
      </c>
      <c r="F681" s="134">
        <v>3</v>
      </c>
    </row>
    <row r="682" spans="1:6" ht="14.25" customHeight="1" x14ac:dyDescent="0.3">
      <c r="A682" s="134" t="s">
        <v>252</v>
      </c>
      <c r="B682" s="134" t="s">
        <v>11</v>
      </c>
      <c r="C682" s="134">
        <v>28</v>
      </c>
      <c r="D682" s="134" t="str">
        <f t="shared" si="2"/>
        <v>Female AM 9015 28</v>
      </c>
      <c r="E682" s="134">
        <v>7</v>
      </c>
      <c r="F682" s="134">
        <v>3</v>
      </c>
    </row>
    <row r="683" spans="1:6" ht="14.25" customHeight="1" x14ac:dyDescent="0.3">
      <c r="A683" s="134" t="s">
        <v>252</v>
      </c>
      <c r="B683" s="134" t="s">
        <v>11</v>
      </c>
      <c r="C683" s="134">
        <v>30</v>
      </c>
      <c r="D683" s="134" t="str">
        <f t="shared" si="2"/>
        <v>Female AM 9015 30</v>
      </c>
      <c r="E683" s="134">
        <v>7</v>
      </c>
      <c r="F683" s="134">
        <v>3</v>
      </c>
    </row>
    <row r="684" spans="1:6" ht="14.25" customHeight="1" x14ac:dyDescent="0.3">
      <c r="A684" s="134" t="s">
        <v>252</v>
      </c>
      <c r="B684" s="134" t="s">
        <v>11</v>
      </c>
      <c r="C684" s="134">
        <v>35</v>
      </c>
      <c r="D684" s="134" t="str">
        <f t="shared" si="2"/>
        <v>Female AM 9015 35</v>
      </c>
      <c r="E684" s="134">
        <v>5</v>
      </c>
      <c r="F684" s="134">
        <v>1</v>
      </c>
    </row>
    <row r="685" spans="1:6" ht="14.25" customHeight="1" x14ac:dyDescent="0.3">
      <c r="A685" s="134" t="s">
        <v>252</v>
      </c>
      <c r="B685" s="134" t="s">
        <v>11</v>
      </c>
      <c r="C685" s="134">
        <v>36</v>
      </c>
      <c r="D685" s="134" t="str">
        <f t="shared" si="2"/>
        <v>Female AM 9015 36</v>
      </c>
      <c r="E685" s="134">
        <v>5</v>
      </c>
      <c r="F685" s="134">
        <v>1</v>
      </c>
    </row>
    <row r="686" spans="1:6" ht="14.25" customHeight="1" x14ac:dyDescent="0.3">
      <c r="A686" s="134" t="s">
        <v>252</v>
      </c>
      <c r="B686" s="134" t="s">
        <v>11</v>
      </c>
      <c r="C686" s="134">
        <v>40</v>
      </c>
      <c r="D686" s="134" t="str">
        <f t="shared" si="2"/>
        <v>Female AM 9015 40</v>
      </c>
      <c r="E686" s="134">
        <v>5</v>
      </c>
      <c r="F686" s="134">
        <v>1</v>
      </c>
    </row>
    <row r="687" spans="1:6" ht="14.25" customHeight="1" x14ac:dyDescent="0.3">
      <c r="A687" s="134" t="s">
        <v>252</v>
      </c>
      <c r="B687" s="134" t="s">
        <v>11</v>
      </c>
      <c r="C687" s="134">
        <v>45</v>
      </c>
      <c r="D687" s="134" t="str">
        <f t="shared" si="2"/>
        <v>Female AM 9015 45</v>
      </c>
      <c r="E687" s="134">
        <v>5</v>
      </c>
      <c r="F687" s="134">
        <v>1</v>
      </c>
    </row>
    <row r="688" spans="1:6" ht="14.25" customHeight="1" x14ac:dyDescent="0.3">
      <c r="A688" s="134" t="s">
        <v>252</v>
      </c>
      <c r="B688" s="134" t="s">
        <v>11</v>
      </c>
      <c r="C688" s="134">
        <v>49</v>
      </c>
      <c r="D688" s="134" t="str">
        <f t="shared" si="2"/>
        <v>Female AM 9015 49</v>
      </c>
      <c r="E688" s="134">
        <v>5</v>
      </c>
      <c r="F688" s="134">
        <v>1</v>
      </c>
    </row>
    <row r="689" spans="1:6" ht="14.25" customHeight="1" x14ac:dyDescent="0.3">
      <c r="A689" s="134" t="s">
        <v>252</v>
      </c>
      <c r="B689" s="134" t="s">
        <v>11</v>
      </c>
      <c r="C689" s="134">
        <v>50</v>
      </c>
      <c r="D689" s="134" t="str">
        <f t="shared" si="2"/>
        <v>Female AM 9015 50</v>
      </c>
      <c r="E689" s="134">
        <v>5</v>
      </c>
      <c r="F689" s="134">
        <v>1</v>
      </c>
    </row>
    <row r="690" spans="1:6" ht="14.25" customHeight="1" x14ac:dyDescent="0.3">
      <c r="A690" s="134" t="s">
        <v>252</v>
      </c>
      <c r="B690" s="134" t="s">
        <v>11</v>
      </c>
      <c r="C690" s="134">
        <v>63</v>
      </c>
      <c r="D690" s="134" t="str">
        <f t="shared" si="2"/>
        <v>Female AM 9015 63</v>
      </c>
      <c r="E690" s="134">
        <v>5</v>
      </c>
      <c r="F690" s="134">
        <v>1</v>
      </c>
    </row>
    <row r="691" spans="1:6" ht="14.25" customHeight="1" x14ac:dyDescent="0.3">
      <c r="A691" s="134" t="s">
        <v>252</v>
      </c>
      <c r="B691" s="134" t="s">
        <v>11</v>
      </c>
      <c r="C691" s="134">
        <v>70</v>
      </c>
      <c r="D691" s="134" t="str">
        <f t="shared" si="2"/>
        <v>Female AM 9015 70</v>
      </c>
      <c r="E691" s="134">
        <v>4</v>
      </c>
      <c r="F691" s="134">
        <v>1</v>
      </c>
    </row>
    <row r="692" spans="1:6" ht="14.25" customHeight="1" x14ac:dyDescent="0.3">
      <c r="A692" s="134" t="s">
        <v>252</v>
      </c>
      <c r="B692" s="134" t="s">
        <v>11</v>
      </c>
      <c r="C692" s="134">
        <v>81</v>
      </c>
      <c r="D692" s="134" t="str">
        <f t="shared" si="2"/>
        <v>Female AM 9015 81</v>
      </c>
      <c r="E692" s="134">
        <v>4</v>
      </c>
      <c r="F692" s="134">
        <v>1</v>
      </c>
    </row>
    <row r="693" spans="1:6" ht="14.25" customHeight="1" x14ac:dyDescent="0.3">
      <c r="A693" s="134" t="s">
        <v>252</v>
      </c>
      <c r="B693" s="134" t="s">
        <v>11</v>
      </c>
      <c r="C693" s="134">
        <v>90</v>
      </c>
      <c r="D693" s="134" t="str">
        <f t="shared" si="2"/>
        <v>Female AM 9015 90</v>
      </c>
      <c r="E693" s="134">
        <v>3</v>
      </c>
      <c r="F693" s="134">
        <v>1</v>
      </c>
    </row>
    <row r="694" spans="1:6" ht="14.25" customHeight="1" x14ac:dyDescent="0.3">
      <c r="A694" s="134" t="s">
        <v>252</v>
      </c>
      <c r="B694" s="134" t="s">
        <v>11</v>
      </c>
      <c r="C694" s="134">
        <v>100</v>
      </c>
      <c r="D694" s="134" t="str">
        <f t="shared" si="2"/>
        <v>Female AM 9015 100</v>
      </c>
      <c r="E694" s="134">
        <v>3</v>
      </c>
      <c r="F694" s="134">
        <v>0</v>
      </c>
    </row>
    <row r="695" spans="1:6" ht="14.25" customHeight="1" x14ac:dyDescent="0.3">
      <c r="A695" s="134" t="s">
        <v>252</v>
      </c>
      <c r="B695" s="134" t="s">
        <v>336</v>
      </c>
      <c r="C695" s="134">
        <v>9</v>
      </c>
      <c r="D695" s="134" t="str">
        <f t="shared" si="2"/>
        <v>Female NeveRest 9</v>
      </c>
      <c r="E695" s="134">
        <v>10</v>
      </c>
      <c r="F695" s="134">
        <v>10</v>
      </c>
    </row>
    <row r="696" spans="1:6" ht="14.25" customHeight="1" x14ac:dyDescent="0.3">
      <c r="A696" s="134" t="s">
        <v>252</v>
      </c>
      <c r="B696" s="134" t="s">
        <v>336</v>
      </c>
      <c r="C696" s="134">
        <v>12</v>
      </c>
      <c r="D696" s="134" t="str">
        <f t="shared" si="2"/>
        <v>Female NeveRest 12</v>
      </c>
      <c r="E696" s="134">
        <v>10</v>
      </c>
      <c r="F696" s="134">
        <v>10</v>
      </c>
    </row>
    <row r="697" spans="1:6" ht="14.25" customHeight="1" x14ac:dyDescent="0.3">
      <c r="A697" s="134" t="s">
        <v>252</v>
      </c>
      <c r="B697" s="134" t="s">
        <v>336</v>
      </c>
      <c r="C697" s="134">
        <v>15</v>
      </c>
      <c r="D697" s="134" t="str">
        <f t="shared" si="2"/>
        <v>Female NeveRest 15</v>
      </c>
      <c r="E697" s="134">
        <v>10</v>
      </c>
      <c r="F697" s="134">
        <v>10</v>
      </c>
    </row>
    <row r="698" spans="1:6" ht="14.25" customHeight="1" x14ac:dyDescent="0.3">
      <c r="A698" s="134" t="s">
        <v>252</v>
      </c>
      <c r="B698" s="134" t="s">
        <v>336</v>
      </c>
      <c r="C698" s="134">
        <v>16</v>
      </c>
      <c r="D698" s="134" t="str">
        <f t="shared" si="2"/>
        <v>Female NeveRest 16</v>
      </c>
      <c r="E698" s="134">
        <v>10</v>
      </c>
      <c r="F698" s="134">
        <v>10</v>
      </c>
    </row>
    <row r="699" spans="1:6" ht="14.25" customHeight="1" x14ac:dyDescent="0.3">
      <c r="A699" s="134" t="s">
        <v>252</v>
      </c>
      <c r="B699" s="134" t="s">
        <v>336</v>
      </c>
      <c r="C699" s="134">
        <v>20</v>
      </c>
      <c r="D699" s="134" t="str">
        <f t="shared" si="2"/>
        <v>Female NeveRest 20</v>
      </c>
      <c r="E699" s="134">
        <v>10</v>
      </c>
      <c r="F699" s="134">
        <v>10</v>
      </c>
    </row>
    <row r="700" spans="1:6" ht="14.25" customHeight="1" x14ac:dyDescent="0.3">
      <c r="A700" s="134" t="s">
        <v>252</v>
      </c>
      <c r="B700" s="134" t="s">
        <v>336</v>
      </c>
      <c r="C700" s="134">
        <v>21</v>
      </c>
      <c r="D700" s="134" t="str">
        <f t="shared" si="2"/>
        <v>Female NeveRest 21</v>
      </c>
      <c r="E700" s="134">
        <v>9</v>
      </c>
      <c r="F700" s="134">
        <v>9</v>
      </c>
    </row>
    <row r="701" spans="1:6" ht="14.25" customHeight="1" x14ac:dyDescent="0.3">
      <c r="A701" s="134" t="s">
        <v>252</v>
      </c>
      <c r="B701" s="134" t="s">
        <v>336</v>
      </c>
      <c r="C701" s="134">
        <v>25</v>
      </c>
      <c r="D701" s="134" t="str">
        <f t="shared" si="2"/>
        <v>Female NeveRest 25</v>
      </c>
      <c r="E701" s="134">
        <v>7</v>
      </c>
      <c r="F701" s="134">
        <v>7</v>
      </c>
    </row>
    <row r="702" spans="1:6" ht="14.25" customHeight="1" x14ac:dyDescent="0.3">
      <c r="A702" s="134" t="s">
        <v>252</v>
      </c>
      <c r="B702" s="134" t="s">
        <v>336</v>
      </c>
      <c r="C702" s="134">
        <v>27</v>
      </c>
      <c r="D702" s="134" t="str">
        <f t="shared" si="2"/>
        <v>Female NeveRest 27</v>
      </c>
      <c r="E702" s="134">
        <v>7</v>
      </c>
      <c r="F702" s="134">
        <v>7</v>
      </c>
    </row>
    <row r="703" spans="1:6" ht="14.25" customHeight="1" x14ac:dyDescent="0.3">
      <c r="A703" s="134" t="s">
        <v>252</v>
      </c>
      <c r="B703" s="134" t="s">
        <v>336</v>
      </c>
      <c r="C703" s="134">
        <v>28</v>
      </c>
      <c r="D703" s="134" t="str">
        <f t="shared" si="2"/>
        <v>Female NeveRest 28</v>
      </c>
      <c r="E703" s="134">
        <v>7</v>
      </c>
      <c r="F703" s="134">
        <v>7</v>
      </c>
    </row>
    <row r="704" spans="1:6" ht="14.25" customHeight="1" x14ac:dyDescent="0.3">
      <c r="A704" s="134" t="s">
        <v>252</v>
      </c>
      <c r="B704" s="134" t="s">
        <v>336</v>
      </c>
      <c r="C704" s="134">
        <v>30</v>
      </c>
      <c r="D704" s="134" t="str">
        <f t="shared" si="2"/>
        <v>Female NeveRest 30</v>
      </c>
      <c r="E704" s="134">
        <v>5</v>
      </c>
      <c r="F704" s="134">
        <v>5</v>
      </c>
    </row>
    <row r="705" spans="1:6" ht="14.25" customHeight="1" x14ac:dyDescent="0.3">
      <c r="A705" s="134" t="s">
        <v>252</v>
      </c>
      <c r="B705" s="134" t="s">
        <v>336</v>
      </c>
      <c r="C705" s="134">
        <v>35</v>
      </c>
      <c r="D705" s="134" t="str">
        <f t="shared" si="2"/>
        <v>Female NeveRest 35</v>
      </c>
      <c r="E705" s="134">
        <v>5</v>
      </c>
      <c r="F705" s="134">
        <v>5</v>
      </c>
    </row>
    <row r="706" spans="1:6" ht="14.25" customHeight="1" x14ac:dyDescent="0.3">
      <c r="A706" s="134" t="s">
        <v>252</v>
      </c>
      <c r="B706" s="134" t="s">
        <v>336</v>
      </c>
      <c r="C706" s="134">
        <v>36</v>
      </c>
      <c r="D706" s="134" t="str">
        <f t="shared" si="2"/>
        <v>Female NeveRest 36</v>
      </c>
      <c r="E706" s="134">
        <v>5</v>
      </c>
      <c r="F706" s="134">
        <v>5</v>
      </c>
    </row>
    <row r="707" spans="1:6" ht="14.25" customHeight="1" x14ac:dyDescent="0.3">
      <c r="A707" s="134" t="s">
        <v>252</v>
      </c>
      <c r="B707" s="134" t="s">
        <v>336</v>
      </c>
      <c r="C707" s="134">
        <v>40</v>
      </c>
      <c r="D707" s="134" t="str">
        <f t="shared" si="2"/>
        <v>Female NeveRest 40</v>
      </c>
      <c r="E707" s="134">
        <v>5</v>
      </c>
      <c r="F707" s="134">
        <v>5</v>
      </c>
    </row>
    <row r="708" spans="1:6" ht="14.25" customHeight="1" x14ac:dyDescent="0.3">
      <c r="A708" s="134" t="s">
        <v>252</v>
      </c>
      <c r="B708" s="134" t="s">
        <v>336</v>
      </c>
      <c r="C708" s="134">
        <v>45</v>
      </c>
      <c r="D708" s="134" t="str">
        <f t="shared" si="2"/>
        <v>Female NeveRest 45</v>
      </c>
      <c r="E708" s="134">
        <v>5</v>
      </c>
      <c r="F708" s="134">
        <v>4</v>
      </c>
    </row>
    <row r="709" spans="1:6" ht="14.25" customHeight="1" x14ac:dyDescent="0.3">
      <c r="A709" s="134" t="s">
        <v>252</v>
      </c>
      <c r="B709" s="134" t="s">
        <v>336</v>
      </c>
      <c r="C709" s="134">
        <v>49</v>
      </c>
      <c r="D709" s="134" t="str">
        <f t="shared" si="2"/>
        <v>Female NeveRest 49</v>
      </c>
      <c r="E709" s="134">
        <v>5</v>
      </c>
      <c r="F709" s="134">
        <v>4</v>
      </c>
    </row>
    <row r="710" spans="1:6" ht="14.25" customHeight="1" x14ac:dyDescent="0.3">
      <c r="A710" s="134" t="s">
        <v>252</v>
      </c>
      <c r="B710" s="134" t="s">
        <v>336</v>
      </c>
      <c r="C710" s="134">
        <v>50</v>
      </c>
      <c r="D710" s="134" t="str">
        <f t="shared" si="2"/>
        <v>Female NeveRest 50</v>
      </c>
      <c r="E710" s="134">
        <v>5</v>
      </c>
      <c r="F710" s="134">
        <v>4</v>
      </c>
    </row>
    <row r="711" spans="1:6" ht="14.25" customHeight="1" x14ac:dyDescent="0.3">
      <c r="A711" s="134" t="s">
        <v>252</v>
      </c>
      <c r="B711" s="134" t="s">
        <v>336</v>
      </c>
      <c r="C711" s="134">
        <v>63</v>
      </c>
      <c r="D711" s="134" t="str">
        <f t="shared" si="2"/>
        <v>Female NeveRest 63</v>
      </c>
      <c r="E711" s="134">
        <v>4</v>
      </c>
      <c r="F711" s="134">
        <v>3</v>
      </c>
    </row>
    <row r="712" spans="1:6" ht="14.25" customHeight="1" x14ac:dyDescent="0.3">
      <c r="A712" s="134" t="s">
        <v>252</v>
      </c>
      <c r="B712" s="134" t="s">
        <v>336</v>
      </c>
      <c r="C712" s="134">
        <v>70</v>
      </c>
      <c r="D712" s="134" t="str">
        <f t="shared" si="2"/>
        <v>Female NeveRest 70</v>
      </c>
      <c r="E712" s="134">
        <v>4</v>
      </c>
      <c r="F712" s="134">
        <v>1</v>
      </c>
    </row>
    <row r="713" spans="1:6" ht="14.25" customHeight="1" x14ac:dyDescent="0.3">
      <c r="A713" s="134" t="s">
        <v>252</v>
      </c>
      <c r="B713" s="134" t="s">
        <v>336</v>
      </c>
      <c r="C713" s="134">
        <v>81</v>
      </c>
      <c r="D713" s="134" t="str">
        <f t="shared" si="2"/>
        <v>Female NeveRest 81</v>
      </c>
      <c r="E713" s="134">
        <v>3</v>
      </c>
      <c r="F713" s="134">
        <v>1</v>
      </c>
    </row>
    <row r="714" spans="1:6" ht="14.25" customHeight="1" x14ac:dyDescent="0.3">
      <c r="A714" s="134" t="s">
        <v>252</v>
      </c>
      <c r="B714" s="134" t="s">
        <v>336</v>
      </c>
      <c r="C714" s="134">
        <v>90</v>
      </c>
      <c r="D714" s="134" t="str">
        <f t="shared" si="2"/>
        <v>Female NeveRest 90</v>
      </c>
      <c r="E714" s="134">
        <v>3</v>
      </c>
      <c r="F714" s="134">
        <v>1</v>
      </c>
    </row>
    <row r="715" spans="1:6" ht="14.25" customHeight="1" x14ac:dyDescent="0.3">
      <c r="A715" s="134" t="s">
        <v>252</v>
      </c>
      <c r="B715" s="134" t="s">
        <v>336</v>
      </c>
      <c r="C715" s="134">
        <v>100</v>
      </c>
      <c r="D715" s="134" t="str">
        <f t="shared" si="2"/>
        <v>Female NeveRest 100</v>
      </c>
      <c r="E715" s="134">
        <v>3</v>
      </c>
      <c r="F715" s="134">
        <v>1</v>
      </c>
    </row>
    <row r="716" spans="1:6" ht="14.25" customHeight="1" x14ac:dyDescent="0.3">
      <c r="A716" s="134" t="s">
        <v>252</v>
      </c>
      <c r="B716" s="134" t="s">
        <v>332</v>
      </c>
      <c r="C716" s="134">
        <v>9</v>
      </c>
      <c r="D716" s="134" t="str">
        <f t="shared" si="2"/>
        <v>Female BB RS-550 9</v>
      </c>
      <c r="E716" s="134">
        <v>10</v>
      </c>
      <c r="F716" s="134">
        <v>10</v>
      </c>
    </row>
    <row r="717" spans="1:6" ht="14.25" customHeight="1" x14ac:dyDescent="0.3">
      <c r="A717" s="134" t="s">
        <v>252</v>
      </c>
      <c r="B717" s="134" t="s">
        <v>332</v>
      </c>
      <c r="C717" s="134">
        <v>12</v>
      </c>
      <c r="D717" s="134" t="str">
        <f t="shared" si="2"/>
        <v>Female BB RS-550 12</v>
      </c>
      <c r="E717" s="134">
        <v>10</v>
      </c>
      <c r="F717" s="134">
        <v>7</v>
      </c>
    </row>
    <row r="718" spans="1:6" ht="14.25" customHeight="1" x14ac:dyDescent="0.3">
      <c r="A718" s="134" t="s">
        <v>252</v>
      </c>
      <c r="B718" s="134" t="s">
        <v>332</v>
      </c>
      <c r="C718" s="134">
        <v>15</v>
      </c>
      <c r="D718" s="134" t="str">
        <f t="shared" si="2"/>
        <v>Female BB RS-550 15</v>
      </c>
      <c r="E718" s="134">
        <v>10</v>
      </c>
      <c r="F718" s="134">
        <v>5</v>
      </c>
    </row>
    <row r="719" spans="1:6" ht="14.25" customHeight="1" x14ac:dyDescent="0.3">
      <c r="A719" s="134" t="s">
        <v>252</v>
      </c>
      <c r="B719" s="134" t="s">
        <v>332</v>
      </c>
      <c r="C719" s="134">
        <v>16</v>
      </c>
      <c r="D719" s="134" t="str">
        <f t="shared" si="2"/>
        <v>Female BB RS-550 16</v>
      </c>
      <c r="E719" s="134">
        <v>10</v>
      </c>
      <c r="F719" s="134">
        <v>5</v>
      </c>
    </row>
    <row r="720" spans="1:6" ht="14.25" customHeight="1" x14ac:dyDescent="0.3">
      <c r="A720" s="134" t="s">
        <v>252</v>
      </c>
      <c r="B720" s="134" t="s">
        <v>332</v>
      </c>
      <c r="C720" s="134">
        <v>20</v>
      </c>
      <c r="D720" s="134" t="str">
        <f t="shared" si="2"/>
        <v>Female BB RS-550 20</v>
      </c>
      <c r="E720" s="134">
        <v>10</v>
      </c>
      <c r="F720" s="134">
        <v>4</v>
      </c>
    </row>
    <row r="721" spans="1:6" ht="14.25" customHeight="1" x14ac:dyDescent="0.3">
      <c r="A721" s="134" t="s">
        <v>252</v>
      </c>
      <c r="B721" s="134" t="s">
        <v>332</v>
      </c>
      <c r="C721" s="134">
        <v>21</v>
      </c>
      <c r="D721" s="134" t="str">
        <f t="shared" si="2"/>
        <v>Female BB RS-550 21</v>
      </c>
      <c r="E721" s="134">
        <v>9</v>
      </c>
      <c r="F721" s="134">
        <v>4</v>
      </c>
    </row>
    <row r="722" spans="1:6" ht="14.25" customHeight="1" x14ac:dyDescent="0.3">
      <c r="A722" s="134" t="s">
        <v>252</v>
      </c>
      <c r="B722" s="134" t="s">
        <v>332</v>
      </c>
      <c r="C722" s="134">
        <v>25</v>
      </c>
      <c r="D722" s="134" t="str">
        <f t="shared" si="2"/>
        <v>Female BB RS-550 25</v>
      </c>
      <c r="E722" s="134">
        <v>7</v>
      </c>
      <c r="F722" s="134">
        <v>3</v>
      </c>
    </row>
    <row r="723" spans="1:6" ht="14.25" customHeight="1" x14ac:dyDescent="0.3">
      <c r="A723" s="134" t="s">
        <v>252</v>
      </c>
      <c r="B723" s="134" t="s">
        <v>332</v>
      </c>
      <c r="C723" s="134">
        <v>27</v>
      </c>
      <c r="D723" s="134" t="str">
        <f t="shared" si="2"/>
        <v>Female BB RS-550 27</v>
      </c>
      <c r="E723" s="134">
        <v>7</v>
      </c>
      <c r="F723" s="134">
        <v>3</v>
      </c>
    </row>
    <row r="724" spans="1:6" ht="14.25" customHeight="1" x14ac:dyDescent="0.3">
      <c r="A724" s="134" t="s">
        <v>252</v>
      </c>
      <c r="B724" s="134" t="s">
        <v>332</v>
      </c>
      <c r="C724" s="134">
        <v>28</v>
      </c>
      <c r="D724" s="134" t="str">
        <f t="shared" si="2"/>
        <v>Female BB RS-550 28</v>
      </c>
      <c r="E724" s="134">
        <v>7</v>
      </c>
      <c r="F724" s="134">
        <v>3</v>
      </c>
    </row>
    <row r="725" spans="1:6" ht="14.25" customHeight="1" x14ac:dyDescent="0.3">
      <c r="A725" s="134" t="s">
        <v>252</v>
      </c>
      <c r="B725" s="134" t="s">
        <v>332</v>
      </c>
      <c r="C725" s="134">
        <v>30</v>
      </c>
      <c r="D725" s="134" t="str">
        <f t="shared" si="2"/>
        <v>Female BB RS-550 30</v>
      </c>
      <c r="E725" s="134">
        <v>5</v>
      </c>
      <c r="F725" s="134">
        <v>3</v>
      </c>
    </row>
    <row r="726" spans="1:6" ht="14.25" customHeight="1" x14ac:dyDescent="0.3">
      <c r="A726" s="134" t="s">
        <v>252</v>
      </c>
      <c r="B726" s="134" t="s">
        <v>332</v>
      </c>
      <c r="C726" s="134">
        <v>35</v>
      </c>
      <c r="D726" s="134" t="str">
        <f t="shared" si="2"/>
        <v>Female BB RS-550 35</v>
      </c>
      <c r="E726" s="134">
        <v>5</v>
      </c>
      <c r="F726" s="134">
        <v>1</v>
      </c>
    </row>
    <row r="727" spans="1:6" ht="14.25" customHeight="1" x14ac:dyDescent="0.3">
      <c r="A727" s="134" t="s">
        <v>252</v>
      </c>
      <c r="B727" s="134" t="s">
        <v>332</v>
      </c>
      <c r="C727" s="134">
        <v>36</v>
      </c>
      <c r="D727" s="134" t="str">
        <f t="shared" si="2"/>
        <v>Female BB RS-550 36</v>
      </c>
      <c r="E727" s="134">
        <v>5</v>
      </c>
      <c r="F727" s="134">
        <v>1</v>
      </c>
    </row>
    <row r="728" spans="1:6" ht="14.25" customHeight="1" x14ac:dyDescent="0.3">
      <c r="A728" s="134" t="s">
        <v>252</v>
      </c>
      <c r="B728" s="134" t="s">
        <v>332</v>
      </c>
      <c r="C728" s="134">
        <v>40</v>
      </c>
      <c r="D728" s="134" t="str">
        <f t="shared" si="2"/>
        <v>Female BB RS-550 40</v>
      </c>
      <c r="E728" s="134">
        <v>5</v>
      </c>
      <c r="F728" s="134">
        <v>1</v>
      </c>
    </row>
    <row r="729" spans="1:6" ht="14.25" customHeight="1" x14ac:dyDescent="0.3">
      <c r="A729" s="134" t="s">
        <v>252</v>
      </c>
      <c r="B729" s="134" t="s">
        <v>332</v>
      </c>
      <c r="C729" s="134">
        <v>45</v>
      </c>
      <c r="D729" s="134" t="str">
        <f t="shared" si="2"/>
        <v>Female BB RS-550 45</v>
      </c>
      <c r="E729" s="134">
        <v>5</v>
      </c>
      <c r="F729" s="134">
        <v>1</v>
      </c>
    </row>
    <row r="730" spans="1:6" ht="14.25" customHeight="1" x14ac:dyDescent="0.3">
      <c r="A730" s="134" t="s">
        <v>252</v>
      </c>
      <c r="B730" s="134" t="s">
        <v>332</v>
      </c>
      <c r="C730" s="134">
        <v>49</v>
      </c>
      <c r="D730" s="134" t="str">
        <f t="shared" si="2"/>
        <v>Female BB RS-550 49</v>
      </c>
      <c r="E730" s="134">
        <v>5</v>
      </c>
      <c r="F730" s="134">
        <v>1</v>
      </c>
    </row>
    <row r="731" spans="1:6" ht="14.25" customHeight="1" x14ac:dyDescent="0.3">
      <c r="A731" s="134" t="s">
        <v>252</v>
      </c>
      <c r="B731" s="134" t="s">
        <v>332</v>
      </c>
      <c r="C731" s="134">
        <v>50</v>
      </c>
      <c r="D731" s="134" t="str">
        <f t="shared" si="2"/>
        <v>Female BB RS-550 50</v>
      </c>
      <c r="E731" s="134">
        <v>5</v>
      </c>
      <c r="F731" s="134">
        <v>1</v>
      </c>
    </row>
    <row r="732" spans="1:6" ht="14.25" customHeight="1" x14ac:dyDescent="0.3">
      <c r="A732" s="134" t="s">
        <v>252</v>
      </c>
      <c r="B732" s="134" t="s">
        <v>332</v>
      </c>
      <c r="C732" s="134">
        <v>63</v>
      </c>
      <c r="D732" s="134" t="str">
        <f t="shared" si="2"/>
        <v>Female BB RS-550 63</v>
      </c>
      <c r="E732" s="134">
        <v>4</v>
      </c>
      <c r="F732" s="134">
        <v>1</v>
      </c>
    </row>
    <row r="733" spans="1:6" ht="14.25" customHeight="1" x14ac:dyDescent="0.3">
      <c r="A733" s="134" t="s">
        <v>252</v>
      </c>
      <c r="B733" s="134" t="s">
        <v>332</v>
      </c>
      <c r="C733" s="134">
        <v>70</v>
      </c>
      <c r="D733" s="134" t="str">
        <f t="shared" si="2"/>
        <v>Female BB RS-550 70</v>
      </c>
      <c r="E733" s="134">
        <v>4</v>
      </c>
      <c r="F733" s="134">
        <v>1</v>
      </c>
    </row>
    <row r="734" spans="1:6" ht="14.25" customHeight="1" x14ac:dyDescent="0.3">
      <c r="A734" s="134" t="s">
        <v>252</v>
      </c>
      <c r="B734" s="134" t="s">
        <v>332</v>
      </c>
      <c r="C734" s="134">
        <v>81</v>
      </c>
      <c r="D734" s="134" t="str">
        <f t="shared" si="2"/>
        <v>Female BB RS-550 81</v>
      </c>
      <c r="E734" s="134">
        <v>3</v>
      </c>
      <c r="F734" s="134">
        <v>1</v>
      </c>
    </row>
    <row r="735" spans="1:6" ht="14.25" customHeight="1" x14ac:dyDescent="0.3">
      <c r="A735" s="134" t="s">
        <v>252</v>
      </c>
      <c r="B735" s="134" t="s">
        <v>332</v>
      </c>
      <c r="C735" s="134">
        <v>90</v>
      </c>
      <c r="D735" s="134" t="str">
        <f t="shared" si="2"/>
        <v>Female BB RS-550 90</v>
      </c>
      <c r="E735" s="134">
        <v>3</v>
      </c>
      <c r="F735" s="134">
        <v>1</v>
      </c>
    </row>
    <row r="736" spans="1:6" ht="14.25" customHeight="1" x14ac:dyDescent="0.3">
      <c r="A736" s="134" t="s">
        <v>252</v>
      </c>
      <c r="B736" s="134" t="s">
        <v>332</v>
      </c>
      <c r="C736" s="134">
        <v>100</v>
      </c>
      <c r="D736" s="134" t="str">
        <f t="shared" si="2"/>
        <v>Female BB RS-550 100</v>
      </c>
      <c r="E736" s="134">
        <v>3</v>
      </c>
      <c r="F736" s="134">
        <v>0</v>
      </c>
    </row>
    <row r="737" spans="1:6" ht="14.25" customHeight="1" x14ac:dyDescent="0.3">
      <c r="A737" s="134" t="s">
        <v>252</v>
      </c>
      <c r="B737" s="134" t="s">
        <v>333</v>
      </c>
      <c r="C737" s="134">
        <v>9</v>
      </c>
      <c r="D737" s="134" t="str">
        <f t="shared" si="2"/>
        <v>Female BB RS-775 9</v>
      </c>
      <c r="E737" s="134">
        <v>10</v>
      </c>
      <c r="F737" s="134">
        <v>10</v>
      </c>
    </row>
    <row r="738" spans="1:6" ht="14.25" customHeight="1" x14ac:dyDescent="0.3">
      <c r="A738" s="134" t="s">
        <v>252</v>
      </c>
      <c r="B738" s="134" t="s">
        <v>333</v>
      </c>
      <c r="C738" s="134">
        <v>12</v>
      </c>
      <c r="D738" s="134" t="str">
        <f t="shared" si="2"/>
        <v>Female BB RS-775 12</v>
      </c>
      <c r="E738" s="134">
        <v>10</v>
      </c>
      <c r="F738" s="134">
        <v>10</v>
      </c>
    </row>
    <row r="739" spans="1:6" ht="14.25" customHeight="1" x14ac:dyDescent="0.3">
      <c r="A739" s="134" t="s">
        <v>252</v>
      </c>
      <c r="B739" s="134" t="s">
        <v>333</v>
      </c>
      <c r="C739" s="134">
        <v>15</v>
      </c>
      <c r="D739" s="134" t="str">
        <f t="shared" si="2"/>
        <v>Female BB RS-775 15</v>
      </c>
      <c r="E739" s="134">
        <v>7</v>
      </c>
      <c r="F739" s="134">
        <v>7</v>
      </c>
    </row>
    <row r="740" spans="1:6" ht="14.25" customHeight="1" x14ac:dyDescent="0.3">
      <c r="A740" s="134" t="s">
        <v>252</v>
      </c>
      <c r="B740" s="134" t="s">
        <v>333</v>
      </c>
      <c r="C740" s="134">
        <v>16</v>
      </c>
      <c r="D740" s="134" t="str">
        <f t="shared" si="2"/>
        <v>Female BB RS-775 16</v>
      </c>
      <c r="E740" s="134">
        <v>7</v>
      </c>
      <c r="F740" s="134">
        <v>7</v>
      </c>
    </row>
    <row r="741" spans="1:6" ht="14.25" customHeight="1" x14ac:dyDescent="0.3">
      <c r="A741" s="134" t="s">
        <v>252</v>
      </c>
      <c r="B741" s="134" t="s">
        <v>333</v>
      </c>
      <c r="C741" s="134">
        <v>20</v>
      </c>
      <c r="D741" s="134" t="str">
        <f t="shared" si="2"/>
        <v>Female BB RS-775 20</v>
      </c>
      <c r="E741" s="134">
        <v>5</v>
      </c>
      <c r="F741" s="134">
        <v>5</v>
      </c>
    </row>
    <row r="742" spans="1:6" ht="14.25" customHeight="1" x14ac:dyDescent="0.3">
      <c r="A742" s="134" t="s">
        <v>252</v>
      </c>
      <c r="B742" s="134" t="s">
        <v>333</v>
      </c>
      <c r="C742" s="134">
        <v>21</v>
      </c>
      <c r="D742" s="134" t="str">
        <f t="shared" si="2"/>
        <v>Female BB RS-775 21</v>
      </c>
      <c r="E742" s="134">
        <v>5</v>
      </c>
      <c r="F742" s="134">
        <v>5</v>
      </c>
    </row>
    <row r="743" spans="1:6" ht="14.25" customHeight="1" x14ac:dyDescent="0.3">
      <c r="A743" s="134" t="s">
        <v>252</v>
      </c>
      <c r="B743" s="134" t="s">
        <v>333</v>
      </c>
      <c r="C743" s="134">
        <v>25</v>
      </c>
      <c r="D743" s="134" t="str">
        <f t="shared" si="2"/>
        <v>Female BB RS-775 25</v>
      </c>
      <c r="E743" s="134">
        <v>5</v>
      </c>
      <c r="F743" s="134">
        <v>5</v>
      </c>
    </row>
    <row r="744" spans="1:6" ht="14.25" customHeight="1" x14ac:dyDescent="0.3">
      <c r="A744" s="134" t="s">
        <v>252</v>
      </c>
      <c r="B744" s="134" t="s">
        <v>333</v>
      </c>
      <c r="C744" s="134">
        <v>27</v>
      </c>
      <c r="D744" s="134" t="str">
        <f t="shared" si="2"/>
        <v>Female BB RS-775 27</v>
      </c>
      <c r="E744" s="134">
        <v>5</v>
      </c>
      <c r="F744" s="134">
        <v>4</v>
      </c>
    </row>
    <row r="745" spans="1:6" ht="14.25" customHeight="1" x14ac:dyDescent="0.3">
      <c r="A745" s="134" t="s">
        <v>252</v>
      </c>
      <c r="B745" s="134" t="s">
        <v>333</v>
      </c>
      <c r="C745" s="134">
        <v>28</v>
      </c>
      <c r="D745" s="134" t="str">
        <f t="shared" si="2"/>
        <v>Female BB RS-775 28</v>
      </c>
      <c r="E745" s="134">
        <v>5</v>
      </c>
      <c r="F745" s="134">
        <v>4</v>
      </c>
    </row>
    <row r="746" spans="1:6" ht="14.25" customHeight="1" x14ac:dyDescent="0.3">
      <c r="A746" s="134" t="s">
        <v>252</v>
      </c>
      <c r="B746" s="134" t="s">
        <v>333</v>
      </c>
      <c r="C746" s="134">
        <v>30</v>
      </c>
      <c r="D746" s="134" t="str">
        <f t="shared" si="2"/>
        <v>Female BB RS-775 30</v>
      </c>
      <c r="E746" s="134">
        <v>5</v>
      </c>
      <c r="F746" s="134">
        <v>4</v>
      </c>
    </row>
    <row r="747" spans="1:6" ht="14.25" customHeight="1" x14ac:dyDescent="0.3">
      <c r="A747" s="134" t="s">
        <v>252</v>
      </c>
      <c r="B747" s="134" t="s">
        <v>333</v>
      </c>
      <c r="C747" s="134">
        <v>35</v>
      </c>
      <c r="D747" s="134" t="str">
        <f t="shared" si="2"/>
        <v>Female BB RS-775 35</v>
      </c>
      <c r="E747" s="134">
        <v>5</v>
      </c>
      <c r="F747" s="134">
        <v>3</v>
      </c>
    </row>
    <row r="748" spans="1:6" ht="14.25" customHeight="1" x14ac:dyDescent="0.3">
      <c r="A748" s="134" t="s">
        <v>252</v>
      </c>
      <c r="B748" s="134" t="s">
        <v>333</v>
      </c>
      <c r="C748" s="134">
        <v>36</v>
      </c>
      <c r="D748" s="134" t="str">
        <f t="shared" si="2"/>
        <v>Female BB RS-775 36</v>
      </c>
      <c r="E748" s="134">
        <v>5</v>
      </c>
      <c r="F748" s="134">
        <v>3</v>
      </c>
    </row>
    <row r="749" spans="1:6" ht="14.25" customHeight="1" x14ac:dyDescent="0.3">
      <c r="A749" s="134" t="s">
        <v>252</v>
      </c>
      <c r="B749" s="134" t="s">
        <v>333</v>
      </c>
      <c r="C749" s="134">
        <v>40</v>
      </c>
      <c r="D749" s="134" t="str">
        <f t="shared" si="2"/>
        <v>Female BB RS-775 40</v>
      </c>
      <c r="E749" s="134">
        <v>4</v>
      </c>
      <c r="F749" s="134">
        <v>3</v>
      </c>
    </row>
    <row r="750" spans="1:6" ht="14.25" customHeight="1" x14ac:dyDescent="0.3">
      <c r="A750" s="134" t="s">
        <v>252</v>
      </c>
      <c r="B750" s="134" t="s">
        <v>333</v>
      </c>
      <c r="C750" s="134">
        <v>45</v>
      </c>
      <c r="D750" s="134" t="str">
        <f t="shared" si="2"/>
        <v>Female BB RS-775 45</v>
      </c>
      <c r="E750" s="134">
        <v>4</v>
      </c>
      <c r="F750" s="134">
        <v>1</v>
      </c>
    </row>
    <row r="751" spans="1:6" ht="14.25" customHeight="1" x14ac:dyDescent="0.3">
      <c r="A751" s="134" t="s">
        <v>252</v>
      </c>
      <c r="B751" s="134" t="s">
        <v>333</v>
      </c>
      <c r="C751" s="134">
        <v>49</v>
      </c>
      <c r="D751" s="134" t="str">
        <f t="shared" si="2"/>
        <v>Female BB RS-775 49</v>
      </c>
      <c r="E751" s="134">
        <v>4</v>
      </c>
      <c r="F751" s="134">
        <v>1</v>
      </c>
    </row>
    <row r="752" spans="1:6" ht="14.25" customHeight="1" x14ac:dyDescent="0.3">
      <c r="A752" s="134" t="s">
        <v>252</v>
      </c>
      <c r="B752" s="134" t="s">
        <v>333</v>
      </c>
      <c r="C752" s="134">
        <v>50</v>
      </c>
      <c r="D752" s="134" t="str">
        <f t="shared" si="2"/>
        <v>Female BB RS-775 50</v>
      </c>
      <c r="E752" s="134">
        <v>3</v>
      </c>
      <c r="F752" s="134">
        <v>1</v>
      </c>
    </row>
    <row r="753" spans="1:6" ht="14.25" customHeight="1" x14ac:dyDescent="0.3">
      <c r="A753" s="134" t="s">
        <v>252</v>
      </c>
      <c r="B753" s="134" t="s">
        <v>333</v>
      </c>
      <c r="C753" s="134">
        <v>63</v>
      </c>
      <c r="D753" s="134" t="str">
        <f t="shared" si="2"/>
        <v>Female BB RS-775 63</v>
      </c>
      <c r="E753" s="134">
        <v>3</v>
      </c>
      <c r="F753" s="134">
        <v>1</v>
      </c>
    </row>
    <row r="754" spans="1:6" ht="14.25" customHeight="1" x14ac:dyDescent="0.3">
      <c r="A754" s="134" t="s">
        <v>252</v>
      </c>
      <c r="B754" s="134" t="s">
        <v>333</v>
      </c>
      <c r="C754" s="134">
        <v>70</v>
      </c>
      <c r="D754" s="134" t="str">
        <f t="shared" si="2"/>
        <v>Female BB RS-775 70</v>
      </c>
      <c r="E754" s="134">
        <v>1</v>
      </c>
      <c r="F754" s="134">
        <v>1</v>
      </c>
    </row>
    <row r="755" spans="1:6" ht="14.25" customHeight="1" x14ac:dyDescent="0.3">
      <c r="A755" s="134" t="s">
        <v>252</v>
      </c>
      <c r="B755" s="134" t="s">
        <v>333</v>
      </c>
      <c r="C755" s="134">
        <v>81</v>
      </c>
      <c r="D755" s="134" t="str">
        <f t="shared" si="2"/>
        <v>Female BB RS-775 81</v>
      </c>
      <c r="E755" s="134">
        <v>1</v>
      </c>
      <c r="F755" s="134">
        <v>1</v>
      </c>
    </row>
    <row r="756" spans="1:6" ht="14.25" customHeight="1" x14ac:dyDescent="0.3">
      <c r="A756" s="134" t="s">
        <v>252</v>
      </c>
      <c r="B756" s="134" t="s">
        <v>333</v>
      </c>
      <c r="C756" s="134">
        <v>90</v>
      </c>
      <c r="D756" s="134" t="str">
        <f t="shared" si="2"/>
        <v>Female BB RS-775 90</v>
      </c>
      <c r="E756" s="134">
        <v>1</v>
      </c>
      <c r="F756" s="134">
        <v>1</v>
      </c>
    </row>
    <row r="757" spans="1:6" ht="14.25" customHeight="1" x14ac:dyDescent="0.3">
      <c r="A757" s="134" t="s">
        <v>252</v>
      </c>
      <c r="B757" s="134" t="s">
        <v>333</v>
      </c>
      <c r="C757" s="134">
        <v>100</v>
      </c>
      <c r="D757" s="134" t="str">
        <f t="shared" si="2"/>
        <v>Female BB RS-775 100</v>
      </c>
      <c r="E757" s="134">
        <v>1</v>
      </c>
      <c r="F757" s="134">
        <v>1</v>
      </c>
    </row>
    <row r="758" spans="1:6" ht="14.25" customHeight="1" x14ac:dyDescent="0.3">
      <c r="A758" s="134" t="s">
        <v>252</v>
      </c>
      <c r="B758" s="134" t="s">
        <v>257</v>
      </c>
      <c r="C758" s="134">
        <v>9</v>
      </c>
      <c r="D758" s="134" t="str">
        <f t="shared" si="2"/>
        <v>Female BAG 9</v>
      </c>
      <c r="E758" s="134">
        <v>10</v>
      </c>
      <c r="F758" s="134">
        <v>9</v>
      </c>
    </row>
    <row r="759" spans="1:6" ht="14.25" customHeight="1" x14ac:dyDescent="0.3">
      <c r="A759" s="134" t="s">
        <v>252</v>
      </c>
      <c r="B759" s="134" t="s">
        <v>257</v>
      </c>
      <c r="C759" s="134">
        <v>12</v>
      </c>
      <c r="D759" s="134" t="str">
        <f t="shared" si="2"/>
        <v>Female BAG 12</v>
      </c>
      <c r="E759" s="134">
        <v>10</v>
      </c>
      <c r="F759" s="134">
        <v>5</v>
      </c>
    </row>
    <row r="760" spans="1:6" ht="14.25" customHeight="1" x14ac:dyDescent="0.3">
      <c r="A760" s="134" t="s">
        <v>252</v>
      </c>
      <c r="B760" s="134" t="s">
        <v>257</v>
      </c>
      <c r="C760" s="134">
        <v>15</v>
      </c>
      <c r="D760" s="134" t="str">
        <f t="shared" si="2"/>
        <v>Female BAG 15</v>
      </c>
      <c r="E760" s="134">
        <v>10</v>
      </c>
      <c r="F760" s="134">
        <v>5</v>
      </c>
    </row>
    <row r="761" spans="1:6" ht="14.25" customHeight="1" x14ac:dyDescent="0.3">
      <c r="A761" s="134" t="s">
        <v>252</v>
      </c>
      <c r="B761" s="134" t="s">
        <v>257</v>
      </c>
      <c r="C761" s="134">
        <v>16</v>
      </c>
      <c r="D761" s="134" t="str">
        <f t="shared" si="2"/>
        <v>Female BAG 16</v>
      </c>
      <c r="E761" s="134">
        <v>10</v>
      </c>
      <c r="F761" s="134">
        <v>5</v>
      </c>
    </row>
    <row r="762" spans="1:6" ht="14.25" customHeight="1" x14ac:dyDescent="0.3">
      <c r="A762" s="134" t="s">
        <v>252</v>
      </c>
      <c r="B762" s="134" t="s">
        <v>257</v>
      </c>
      <c r="C762" s="134">
        <v>20</v>
      </c>
      <c r="D762" s="134" t="str">
        <f t="shared" si="2"/>
        <v>Female BAG 20</v>
      </c>
      <c r="E762" s="134">
        <v>10</v>
      </c>
      <c r="F762" s="134">
        <v>4</v>
      </c>
    </row>
    <row r="763" spans="1:6" ht="14.25" customHeight="1" x14ac:dyDescent="0.3">
      <c r="A763" s="134" t="s">
        <v>252</v>
      </c>
      <c r="B763" s="134" t="s">
        <v>257</v>
      </c>
      <c r="C763" s="134">
        <v>21</v>
      </c>
      <c r="D763" s="134" t="str">
        <f t="shared" si="2"/>
        <v>Female BAG 21</v>
      </c>
      <c r="E763" s="134">
        <v>10</v>
      </c>
      <c r="F763" s="134">
        <v>3</v>
      </c>
    </row>
    <row r="764" spans="1:6" ht="14.25" customHeight="1" x14ac:dyDescent="0.3">
      <c r="A764" s="134" t="s">
        <v>252</v>
      </c>
      <c r="B764" s="134" t="s">
        <v>257</v>
      </c>
      <c r="C764" s="134">
        <v>25</v>
      </c>
      <c r="D764" s="134" t="str">
        <f t="shared" si="2"/>
        <v>Female BAG 25</v>
      </c>
      <c r="E764" s="134">
        <v>7</v>
      </c>
      <c r="F764" s="134">
        <v>3</v>
      </c>
    </row>
    <row r="765" spans="1:6" ht="14.25" customHeight="1" x14ac:dyDescent="0.3">
      <c r="A765" s="134" t="s">
        <v>252</v>
      </c>
      <c r="B765" s="134" t="s">
        <v>257</v>
      </c>
      <c r="C765" s="134">
        <v>27</v>
      </c>
      <c r="D765" s="134" t="str">
        <f t="shared" si="2"/>
        <v>Female BAG 27</v>
      </c>
      <c r="E765" s="134">
        <v>7</v>
      </c>
      <c r="F765" s="134">
        <v>3</v>
      </c>
    </row>
    <row r="766" spans="1:6" ht="14.25" customHeight="1" x14ac:dyDescent="0.3">
      <c r="A766" s="134" t="s">
        <v>252</v>
      </c>
      <c r="B766" s="134" t="s">
        <v>257</v>
      </c>
      <c r="C766" s="134">
        <v>28</v>
      </c>
      <c r="D766" s="134" t="str">
        <f t="shared" si="2"/>
        <v>Female BAG 28</v>
      </c>
      <c r="E766" s="134">
        <v>7</v>
      </c>
      <c r="F766" s="134">
        <v>1</v>
      </c>
    </row>
    <row r="767" spans="1:6" ht="14.25" customHeight="1" x14ac:dyDescent="0.3">
      <c r="A767" s="134" t="s">
        <v>252</v>
      </c>
      <c r="B767" s="134" t="s">
        <v>257</v>
      </c>
      <c r="C767" s="134">
        <v>30</v>
      </c>
      <c r="D767" s="134" t="str">
        <f t="shared" ref="D767:D841" si="3">A767&amp;" "&amp;B767&amp;" "&amp;C767</f>
        <v>Female BAG 30</v>
      </c>
      <c r="E767" s="134">
        <v>7</v>
      </c>
      <c r="F767" s="134">
        <v>1</v>
      </c>
    </row>
    <row r="768" spans="1:6" ht="14.25" customHeight="1" x14ac:dyDescent="0.3">
      <c r="A768" s="134" t="s">
        <v>252</v>
      </c>
      <c r="B768" s="134" t="s">
        <v>257</v>
      </c>
      <c r="C768" s="134">
        <v>35</v>
      </c>
      <c r="D768" s="134" t="str">
        <f t="shared" si="3"/>
        <v>Female BAG 35</v>
      </c>
      <c r="E768" s="134">
        <v>5</v>
      </c>
      <c r="F768" s="134">
        <v>1</v>
      </c>
    </row>
    <row r="769" spans="1:6" ht="14.25" customHeight="1" x14ac:dyDescent="0.3">
      <c r="A769" s="134" t="s">
        <v>252</v>
      </c>
      <c r="B769" s="134" t="s">
        <v>257</v>
      </c>
      <c r="C769" s="134">
        <v>36</v>
      </c>
      <c r="D769" s="134" t="str">
        <f t="shared" si="3"/>
        <v>Female BAG 36</v>
      </c>
      <c r="E769" s="134">
        <v>5</v>
      </c>
      <c r="F769" s="134">
        <v>1</v>
      </c>
    </row>
    <row r="770" spans="1:6" ht="14.25" customHeight="1" x14ac:dyDescent="0.3">
      <c r="A770" s="134" t="s">
        <v>252</v>
      </c>
      <c r="B770" s="134" t="s">
        <v>257</v>
      </c>
      <c r="C770" s="134">
        <v>40</v>
      </c>
      <c r="D770" s="134" t="str">
        <f t="shared" si="3"/>
        <v>Female BAG 40</v>
      </c>
      <c r="E770" s="134">
        <v>5</v>
      </c>
      <c r="F770" s="134">
        <v>1</v>
      </c>
    </row>
    <row r="771" spans="1:6" ht="14.25" customHeight="1" x14ac:dyDescent="0.3">
      <c r="A771" s="134" t="s">
        <v>252</v>
      </c>
      <c r="B771" s="134" t="s">
        <v>257</v>
      </c>
      <c r="C771" s="134">
        <v>45</v>
      </c>
      <c r="D771" s="134" t="str">
        <f t="shared" si="3"/>
        <v>Female BAG 45</v>
      </c>
      <c r="E771" s="134">
        <v>5</v>
      </c>
      <c r="F771" s="134">
        <v>1</v>
      </c>
    </row>
    <row r="772" spans="1:6" ht="14.25" customHeight="1" x14ac:dyDescent="0.3">
      <c r="A772" s="134" t="s">
        <v>252</v>
      </c>
      <c r="B772" s="134" t="s">
        <v>257</v>
      </c>
      <c r="C772" s="134">
        <v>49</v>
      </c>
      <c r="D772" s="134" t="str">
        <f t="shared" si="3"/>
        <v>Female BAG 49</v>
      </c>
      <c r="E772" s="134">
        <v>5</v>
      </c>
      <c r="F772" s="134">
        <v>1</v>
      </c>
    </row>
    <row r="773" spans="1:6" ht="14.25" customHeight="1" x14ac:dyDescent="0.3">
      <c r="A773" s="134" t="s">
        <v>252</v>
      </c>
      <c r="B773" s="134" t="s">
        <v>257</v>
      </c>
      <c r="C773" s="134">
        <v>50</v>
      </c>
      <c r="D773" s="134" t="str">
        <f t="shared" si="3"/>
        <v>Female BAG 50</v>
      </c>
      <c r="E773" s="134">
        <v>5</v>
      </c>
      <c r="F773" s="134">
        <v>1</v>
      </c>
    </row>
    <row r="774" spans="1:6" ht="14.25" customHeight="1" x14ac:dyDescent="0.3">
      <c r="A774" s="134" t="s">
        <v>252</v>
      </c>
      <c r="B774" s="134" t="s">
        <v>257</v>
      </c>
      <c r="C774" s="134">
        <v>63</v>
      </c>
      <c r="D774" s="134" t="str">
        <f t="shared" si="3"/>
        <v>Female BAG 63</v>
      </c>
      <c r="E774" s="134">
        <v>5</v>
      </c>
      <c r="F774" s="134">
        <v>1</v>
      </c>
    </row>
    <row r="775" spans="1:6" ht="14.25" customHeight="1" x14ac:dyDescent="0.3">
      <c r="A775" s="134" t="s">
        <v>252</v>
      </c>
      <c r="B775" s="134" t="s">
        <v>257</v>
      </c>
      <c r="C775" s="134">
        <v>70</v>
      </c>
      <c r="D775" s="134" t="str">
        <f t="shared" si="3"/>
        <v>Female BAG 70</v>
      </c>
      <c r="E775" s="134">
        <v>4</v>
      </c>
      <c r="F775" s="134">
        <v>1</v>
      </c>
    </row>
    <row r="776" spans="1:6" ht="14.25" customHeight="1" x14ac:dyDescent="0.3">
      <c r="A776" s="134" t="s">
        <v>252</v>
      </c>
      <c r="B776" s="134" t="s">
        <v>257</v>
      </c>
      <c r="C776" s="134">
        <v>81</v>
      </c>
      <c r="D776" s="134" t="str">
        <f t="shared" si="3"/>
        <v>Female BAG 81</v>
      </c>
      <c r="E776" s="134">
        <v>4</v>
      </c>
      <c r="F776" s="134">
        <v>1</v>
      </c>
    </row>
    <row r="777" spans="1:6" ht="14.25" customHeight="1" x14ac:dyDescent="0.3">
      <c r="A777" s="134" t="s">
        <v>252</v>
      </c>
      <c r="B777" s="134" t="s">
        <v>257</v>
      </c>
      <c r="C777" s="134">
        <v>90</v>
      </c>
      <c r="D777" s="134" t="str">
        <f t="shared" si="3"/>
        <v>Female BAG 90</v>
      </c>
      <c r="E777" s="134">
        <v>3</v>
      </c>
      <c r="F777" s="134">
        <v>0</v>
      </c>
    </row>
    <row r="778" spans="1:6" ht="14.25" customHeight="1" x14ac:dyDescent="0.3">
      <c r="A778" s="134" t="s">
        <v>252</v>
      </c>
      <c r="B778" s="134" t="s">
        <v>257</v>
      </c>
      <c r="C778" s="134">
        <v>100</v>
      </c>
      <c r="D778" s="134" t="str">
        <f t="shared" si="3"/>
        <v>Female BAG 100</v>
      </c>
      <c r="E778" s="134">
        <v>3</v>
      </c>
      <c r="F778" s="134">
        <v>0</v>
      </c>
    </row>
    <row r="779" spans="1:6" ht="14.25" customHeight="1" x14ac:dyDescent="0.3">
      <c r="A779" s="134" t="s">
        <v>252</v>
      </c>
      <c r="B779" s="134" t="s">
        <v>7</v>
      </c>
      <c r="C779" s="134">
        <v>9</v>
      </c>
      <c r="D779" s="134" t="str">
        <f t="shared" si="3"/>
        <v>Female Mini CIM 9</v>
      </c>
      <c r="E779" s="134">
        <v>7</v>
      </c>
      <c r="F779" s="134">
        <v>0</v>
      </c>
    </row>
    <row r="780" spans="1:6" ht="14.25" customHeight="1" x14ac:dyDescent="0.3">
      <c r="A780" s="134" t="s">
        <v>252</v>
      </c>
      <c r="B780" s="134" t="s">
        <v>7</v>
      </c>
      <c r="C780" s="134">
        <v>12</v>
      </c>
      <c r="D780" s="134" t="str">
        <f t="shared" si="3"/>
        <v>Female Mini CIM 12</v>
      </c>
      <c r="E780" s="134">
        <v>5</v>
      </c>
      <c r="F780" s="134">
        <v>0</v>
      </c>
    </row>
    <row r="781" spans="1:6" ht="14.25" customHeight="1" x14ac:dyDescent="0.3">
      <c r="A781" s="134" t="s">
        <v>252</v>
      </c>
      <c r="B781" s="134" t="s">
        <v>7</v>
      </c>
      <c r="C781" s="134">
        <v>15</v>
      </c>
      <c r="D781" s="134" t="str">
        <f t="shared" si="3"/>
        <v>Female Mini CIM 15</v>
      </c>
      <c r="E781" s="134">
        <v>5</v>
      </c>
      <c r="F781" s="134">
        <v>0</v>
      </c>
    </row>
    <row r="782" spans="1:6" ht="14.25" customHeight="1" x14ac:dyDescent="0.3">
      <c r="A782" s="134" t="s">
        <v>252</v>
      </c>
      <c r="B782" s="134" t="s">
        <v>7</v>
      </c>
      <c r="C782" s="134">
        <v>16</v>
      </c>
      <c r="D782" s="134" t="str">
        <f t="shared" si="3"/>
        <v>Female Mini CIM 16</v>
      </c>
      <c r="E782" s="134">
        <v>5</v>
      </c>
      <c r="F782" s="134">
        <v>0</v>
      </c>
    </row>
    <row r="783" spans="1:6" ht="14.25" customHeight="1" x14ac:dyDescent="0.3">
      <c r="A783" s="134" t="s">
        <v>252</v>
      </c>
      <c r="B783" s="134" t="s">
        <v>7</v>
      </c>
      <c r="C783" s="134">
        <v>20</v>
      </c>
      <c r="D783" s="134" t="str">
        <f t="shared" si="3"/>
        <v>Female Mini CIM 20</v>
      </c>
      <c r="E783" s="134">
        <v>5</v>
      </c>
      <c r="F783" s="134">
        <v>0</v>
      </c>
    </row>
    <row r="784" spans="1:6" ht="14.25" customHeight="1" x14ac:dyDescent="0.3">
      <c r="A784" s="134" t="s">
        <v>252</v>
      </c>
      <c r="B784" s="134" t="s">
        <v>7</v>
      </c>
      <c r="C784" s="134">
        <v>21</v>
      </c>
      <c r="D784" s="134" t="str">
        <f t="shared" si="3"/>
        <v>Female Mini CIM 21</v>
      </c>
      <c r="E784" s="134">
        <v>5</v>
      </c>
      <c r="F784" s="134">
        <v>0</v>
      </c>
    </row>
    <row r="785" spans="1:6" ht="14.25" customHeight="1" x14ac:dyDescent="0.3">
      <c r="A785" s="134" t="s">
        <v>252</v>
      </c>
      <c r="B785" s="134" t="s">
        <v>7</v>
      </c>
      <c r="C785" s="134">
        <v>25</v>
      </c>
      <c r="D785" s="134" t="str">
        <f t="shared" si="3"/>
        <v>Female Mini CIM 25</v>
      </c>
      <c r="E785" s="134">
        <v>4</v>
      </c>
      <c r="F785" s="134">
        <v>0</v>
      </c>
    </row>
    <row r="786" spans="1:6" ht="14.25" customHeight="1" x14ac:dyDescent="0.3">
      <c r="A786" s="134" t="s">
        <v>252</v>
      </c>
      <c r="B786" s="134" t="s">
        <v>7</v>
      </c>
      <c r="C786" s="134">
        <v>27</v>
      </c>
      <c r="D786" s="134" t="str">
        <f t="shared" si="3"/>
        <v>Female Mini CIM 27</v>
      </c>
      <c r="E786" s="134">
        <v>4</v>
      </c>
      <c r="F786" s="134">
        <v>0</v>
      </c>
    </row>
    <row r="787" spans="1:6" ht="14.25" customHeight="1" x14ac:dyDescent="0.3">
      <c r="A787" s="134" t="s">
        <v>252</v>
      </c>
      <c r="B787" s="134" t="s">
        <v>7</v>
      </c>
      <c r="C787" s="134">
        <v>28</v>
      </c>
      <c r="D787" s="134" t="str">
        <f t="shared" si="3"/>
        <v>Female Mini CIM 28</v>
      </c>
      <c r="E787" s="134">
        <v>3</v>
      </c>
      <c r="F787" s="134">
        <v>0</v>
      </c>
    </row>
    <row r="788" spans="1:6" ht="14.25" customHeight="1" x14ac:dyDescent="0.3">
      <c r="A788" s="134" t="s">
        <v>252</v>
      </c>
      <c r="B788" s="134" t="s">
        <v>7</v>
      </c>
      <c r="C788" s="134">
        <v>30</v>
      </c>
      <c r="D788" s="134" t="str">
        <f t="shared" si="3"/>
        <v>Female Mini CIM 30</v>
      </c>
      <c r="E788" s="134">
        <v>3</v>
      </c>
      <c r="F788" s="134">
        <v>0</v>
      </c>
    </row>
    <row r="789" spans="1:6" ht="14.25" customHeight="1" x14ac:dyDescent="0.3">
      <c r="A789" s="134" t="s">
        <v>252</v>
      </c>
      <c r="B789" s="134" t="s">
        <v>7</v>
      </c>
      <c r="C789" s="134">
        <v>35</v>
      </c>
      <c r="D789" s="134" t="str">
        <f t="shared" si="3"/>
        <v>Female Mini CIM 35</v>
      </c>
      <c r="E789" s="134">
        <v>3</v>
      </c>
      <c r="F789" s="134">
        <v>0</v>
      </c>
    </row>
    <row r="790" spans="1:6" ht="14.25" customHeight="1" x14ac:dyDescent="0.3">
      <c r="A790" s="134" t="s">
        <v>252</v>
      </c>
      <c r="B790" s="134" t="s">
        <v>7</v>
      </c>
      <c r="C790" s="134">
        <v>36</v>
      </c>
      <c r="D790" s="134" t="str">
        <f t="shared" si="3"/>
        <v>Female Mini CIM 36</v>
      </c>
      <c r="E790" s="134">
        <v>1</v>
      </c>
      <c r="F790" s="134">
        <v>0</v>
      </c>
    </row>
    <row r="791" spans="1:6" ht="14.25" customHeight="1" x14ac:dyDescent="0.3">
      <c r="A791" s="134" t="s">
        <v>252</v>
      </c>
      <c r="B791" s="134" t="s">
        <v>7</v>
      </c>
      <c r="C791" s="134">
        <v>40</v>
      </c>
      <c r="D791" s="134" t="str">
        <f t="shared" si="3"/>
        <v>Female Mini CIM 40</v>
      </c>
      <c r="E791" s="134">
        <v>1</v>
      </c>
      <c r="F791" s="134">
        <v>0</v>
      </c>
    </row>
    <row r="792" spans="1:6" ht="14.25" customHeight="1" x14ac:dyDescent="0.3">
      <c r="A792" s="134" t="s">
        <v>252</v>
      </c>
      <c r="B792" s="134" t="s">
        <v>7</v>
      </c>
      <c r="C792" s="134">
        <v>45</v>
      </c>
      <c r="D792" s="134" t="str">
        <f t="shared" si="3"/>
        <v>Female Mini CIM 45</v>
      </c>
      <c r="E792" s="134">
        <v>1</v>
      </c>
      <c r="F792" s="134">
        <v>0</v>
      </c>
    </row>
    <row r="793" spans="1:6" ht="14.25" customHeight="1" x14ac:dyDescent="0.3">
      <c r="A793" s="134" t="s">
        <v>252</v>
      </c>
      <c r="B793" s="134" t="s">
        <v>7</v>
      </c>
      <c r="C793" s="134">
        <v>49</v>
      </c>
      <c r="D793" s="134" t="str">
        <f t="shared" si="3"/>
        <v>Female Mini CIM 49</v>
      </c>
      <c r="E793" s="134">
        <v>1</v>
      </c>
      <c r="F793" s="134">
        <v>0</v>
      </c>
    </row>
    <row r="794" spans="1:6" ht="14.25" customHeight="1" x14ac:dyDescent="0.3">
      <c r="A794" s="134" t="s">
        <v>252</v>
      </c>
      <c r="B794" s="134" t="s">
        <v>7</v>
      </c>
      <c r="C794" s="134">
        <v>50</v>
      </c>
      <c r="D794" s="134" t="str">
        <f t="shared" si="3"/>
        <v>Female Mini CIM 50</v>
      </c>
      <c r="E794" s="134">
        <v>1</v>
      </c>
      <c r="F794" s="134">
        <v>0</v>
      </c>
    </row>
    <row r="795" spans="1:6" ht="14.25" customHeight="1" x14ac:dyDescent="0.3">
      <c r="A795" s="134" t="s">
        <v>252</v>
      </c>
      <c r="B795" s="134" t="s">
        <v>7</v>
      </c>
      <c r="C795" s="134">
        <v>63</v>
      </c>
      <c r="D795" s="134" t="str">
        <f t="shared" si="3"/>
        <v>Female Mini CIM 63</v>
      </c>
      <c r="E795" s="134">
        <v>1</v>
      </c>
      <c r="F795" s="134">
        <v>0</v>
      </c>
    </row>
    <row r="796" spans="1:6" ht="14.25" customHeight="1" x14ac:dyDescent="0.3">
      <c r="A796" s="134" t="s">
        <v>252</v>
      </c>
      <c r="B796" s="134" t="s">
        <v>7</v>
      </c>
      <c r="C796" s="134">
        <v>70</v>
      </c>
      <c r="D796" s="134" t="str">
        <f t="shared" si="3"/>
        <v>Female Mini CIM 70</v>
      </c>
      <c r="E796" s="134">
        <v>0</v>
      </c>
      <c r="F796" s="134">
        <v>0</v>
      </c>
    </row>
    <row r="797" spans="1:6" ht="14.25" customHeight="1" x14ac:dyDescent="0.3">
      <c r="A797" s="134" t="s">
        <v>252</v>
      </c>
      <c r="B797" s="134" t="s">
        <v>7</v>
      </c>
      <c r="C797" s="134">
        <v>81</v>
      </c>
      <c r="D797" s="134" t="str">
        <f t="shared" si="3"/>
        <v>Female Mini CIM 81</v>
      </c>
      <c r="E797" s="134">
        <v>0</v>
      </c>
      <c r="F797" s="134">
        <v>0</v>
      </c>
    </row>
    <row r="798" spans="1:6" ht="14.25" customHeight="1" x14ac:dyDescent="0.3">
      <c r="A798" s="134" t="s">
        <v>252</v>
      </c>
      <c r="B798" s="134" t="s">
        <v>7</v>
      </c>
      <c r="C798" s="134">
        <v>90</v>
      </c>
      <c r="D798" s="134" t="str">
        <f t="shared" si="3"/>
        <v>Female Mini CIM 90</v>
      </c>
      <c r="E798" s="134">
        <v>0</v>
      </c>
      <c r="F798" s="134">
        <v>0</v>
      </c>
    </row>
    <row r="799" spans="1:6" ht="14.25" customHeight="1" x14ac:dyDescent="0.3">
      <c r="A799" s="134" t="s">
        <v>252</v>
      </c>
      <c r="B799" s="134" t="s">
        <v>7</v>
      </c>
      <c r="C799" s="134">
        <v>100</v>
      </c>
      <c r="D799" s="134" t="str">
        <f t="shared" si="3"/>
        <v>Female Mini CIM 100</v>
      </c>
      <c r="E799" s="134">
        <v>0</v>
      </c>
      <c r="F799" s="134">
        <v>0</v>
      </c>
    </row>
    <row r="800" spans="1:6" ht="14.25" customHeight="1" x14ac:dyDescent="0.3">
      <c r="A800" s="134" t="s">
        <v>252</v>
      </c>
      <c r="B800" s="134" t="s">
        <v>6</v>
      </c>
      <c r="C800" s="134">
        <v>9</v>
      </c>
      <c r="D800" s="134" t="str">
        <f t="shared" si="3"/>
        <v>Female CIM 9</v>
      </c>
      <c r="E800" s="134">
        <v>5</v>
      </c>
      <c r="F800" s="134">
        <v>0</v>
      </c>
    </row>
    <row r="801" spans="1:6" ht="14.25" customHeight="1" x14ac:dyDescent="0.3">
      <c r="A801" s="134" t="s">
        <v>252</v>
      </c>
      <c r="B801" s="134" t="s">
        <v>6</v>
      </c>
      <c r="C801" s="134">
        <v>12</v>
      </c>
      <c r="D801" s="134" t="str">
        <f t="shared" si="3"/>
        <v>Female CIM 12</v>
      </c>
      <c r="E801" s="134">
        <v>5</v>
      </c>
      <c r="F801" s="134">
        <v>0</v>
      </c>
    </row>
    <row r="802" spans="1:6" ht="14.25" customHeight="1" x14ac:dyDescent="0.3">
      <c r="A802" s="134" t="s">
        <v>252</v>
      </c>
      <c r="B802" s="134" t="s">
        <v>6</v>
      </c>
      <c r="C802" s="134">
        <v>15</v>
      </c>
      <c r="D802" s="134" t="str">
        <f t="shared" si="3"/>
        <v>Female CIM 15</v>
      </c>
      <c r="E802" s="134">
        <v>4</v>
      </c>
      <c r="F802" s="134">
        <v>0</v>
      </c>
    </row>
    <row r="803" spans="1:6" ht="14.25" customHeight="1" x14ac:dyDescent="0.3">
      <c r="A803" s="134" t="s">
        <v>252</v>
      </c>
      <c r="B803" s="134" t="s">
        <v>6</v>
      </c>
      <c r="C803" s="134">
        <v>16</v>
      </c>
      <c r="D803" s="134" t="str">
        <f t="shared" si="3"/>
        <v>Female CIM 16</v>
      </c>
      <c r="E803" s="134">
        <v>4</v>
      </c>
      <c r="F803" s="134">
        <v>0</v>
      </c>
    </row>
    <row r="804" spans="1:6" ht="14.25" customHeight="1" x14ac:dyDescent="0.3">
      <c r="A804" s="134" t="s">
        <v>252</v>
      </c>
      <c r="B804" s="134" t="s">
        <v>6</v>
      </c>
      <c r="C804" s="134">
        <v>20</v>
      </c>
      <c r="D804" s="134" t="str">
        <f t="shared" si="3"/>
        <v>Female CIM 20</v>
      </c>
      <c r="E804" s="134">
        <v>3</v>
      </c>
      <c r="F804" s="134">
        <v>0</v>
      </c>
    </row>
    <row r="805" spans="1:6" ht="14.25" customHeight="1" x14ac:dyDescent="0.3">
      <c r="A805" s="134" t="s">
        <v>252</v>
      </c>
      <c r="B805" s="134" t="s">
        <v>6</v>
      </c>
      <c r="C805" s="134">
        <v>21</v>
      </c>
      <c r="D805" s="134" t="str">
        <f t="shared" si="3"/>
        <v>Female CIM 21</v>
      </c>
      <c r="E805" s="134">
        <v>3</v>
      </c>
      <c r="F805" s="134">
        <v>0</v>
      </c>
    </row>
    <row r="806" spans="1:6" ht="14.25" customHeight="1" x14ac:dyDescent="0.3">
      <c r="A806" s="134" t="s">
        <v>252</v>
      </c>
      <c r="B806" s="134" t="s">
        <v>6</v>
      </c>
      <c r="C806" s="134">
        <v>25</v>
      </c>
      <c r="D806" s="134" t="str">
        <f t="shared" si="3"/>
        <v>Female CIM 25</v>
      </c>
      <c r="E806" s="134">
        <v>1</v>
      </c>
      <c r="F806" s="134">
        <v>0</v>
      </c>
    </row>
    <row r="807" spans="1:6" ht="14.25" customHeight="1" x14ac:dyDescent="0.3">
      <c r="A807" s="134" t="s">
        <v>252</v>
      </c>
      <c r="B807" s="134" t="s">
        <v>6</v>
      </c>
      <c r="C807" s="134">
        <v>27</v>
      </c>
      <c r="D807" s="134" t="str">
        <f t="shared" si="3"/>
        <v>Female CIM 27</v>
      </c>
      <c r="E807" s="134">
        <v>1</v>
      </c>
      <c r="F807" s="134">
        <v>0</v>
      </c>
    </row>
    <row r="808" spans="1:6" ht="14.25" customHeight="1" x14ac:dyDescent="0.3">
      <c r="A808" s="134" t="s">
        <v>252</v>
      </c>
      <c r="B808" s="134" t="s">
        <v>6</v>
      </c>
      <c r="C808" s="134">
        <v>28</v>
      </c>
      <c r="D808" s="134" t="str">
        <f t="shared" si="3"/>
        <v>Female CIM 28</v>
      </c>
      <c r="E808" s="134">
        <v>1</v>
      </c>
      <c r="F808" s="134">
        <v>0</v>
      </c>
    </row>
    <row r="809" spans="1:6" ht="14.25" customHeight="1" x14ac:dyDescent="0.3">
      <c r="A809" s="134" t="s">
        <v>252</v>
      </c>
      <c r="B809" s="134" t="s">
        <v>6</v>
      </c>
      <c r="C809" s="134">
        <v>30</v>
      </c>
      <c r="D809" s="134" t="str">
        <f t="shared" si="3"/>
        <v>Female CIM 30</v>
      </c>
      <c r="E809" s="134">
        <v>1</v>
      </c>
      <c r="F809" s="134">
        <v>0</v>
      </c>
    </row>
    <row r="810" spans="1:6" ht="14.25" customHeight="1" x14ac:dyDescent="0.3">
      <c r="A810" s="134" t="s">
        <v>252</v>
      </c>
      <c r="B810" s="134" t="s">
        <v>6</v>
      </c>
      <c r="C810" s="134">
        <v>35</v>
      </c>
      <c r="D810" s="134" t="str">
        <f t="shared" si="3"/>
        <v>Female CIM 35</v>
      </c>
      <c r="E810" s="134">
        <v>1</v>
      </c>
      <c r="F810" s="134">
        <v>0</v>
      </c>
    </row>
    <row r="811" spans="1:6" ht="14.25" customHeight="1" x14ac:dyDescent="0.3">
      <c r="A811" s="134" t="s">
        <v>252</v>
      </c>
      <c r="B811" s="134" t="s">
        <v>6</v>
      </c>
      <c r="C811" s="134">
        <v>36</v>
      </c>
      <c r="D811" s="134" t="str">
        <f t="shared" si="3"/>
        <v>Female CIM 36</v>
      </c>
      <c r="E811" s="134">
        <v>1</v>
      </c>
      <c r="F811" s="134">
        <v>0</v>
      </c>
    </row>
    <row r="812" spans="1:6" ht="14.25" customHeight="1" x14ac:dyDescent="0.3">
      <c r="A812" s="134" t="s">
        <v>252</v>
      </c>
      <c r="B812" s="134" t="s">
        <v>6</v>
      </c>
      <c r="C812" s="134">
        <v>40</v>
      </c>
      <c r="D812" s="134" t="str">
        <f t="shared" si="3"/>
        <v>Female CIM 40</v>
      </c>
      <c r="E812" s="134">
        <v>1</v>
      </c>
      <c r="F812" s="134">
        <v>0</v>
      </c>
    </row>
    <row r="813" spans="1:6" ht="14.25" customHeight="1" x14ac:dyDescent="0.3">
      <c r="A813" s="134" t="s">
        <v>252</v>
      </c>
      <c r="B813" s="134" t="s">
        <v>6</v>
      </c>
      <c r="C813" s="134">
        <v>45</v>
      </c>
      <c r="D813" s="134" t="str">
        <f t="shared" si="3"/>
        <v>Female CIM 45</v>
      </c>
      <c r="E813" s="134">
        <v>0</v>
      </c>
      <c r="F813" s="134">
        <v>0</v>
      </c>
    </row>
    <row r="814" spans="1:6" ht="14.25" customHeight="1" x14ac:dyDescent="0.3">
      <c r="A814" s="134" t="s">
        <v>252</v>
      </c>
      <c r="B814" s="134" t="s">
        <v>6</v>
      </c>
      <c r="C814" s="134">
        <v>49</v>
      </c>
      <c r="D814" s="134" t="str">
        <f t="shared" si="3"/>
        <v>Female CIM 49</v>
      </c>
      <c r="E814" s="134">
        <v>0</v>
      </c>
      <c r="F814" s="134">
        <v>0</v>
      </c>
    </row>
    <row r="815" spans="1:6" ht="14.25" customHeight="1" x14ac:dyDescent="0.3">
      <c r="A815" s="134" t="s">
        <v>252</v>
      </c>
      <c r="B815" s="134" t="s">
        <v>6</v>
      </c>
      <c r="C815" s="134">
        <v>50</v>
      </c>
      <c r="D815" s="134" t="str">
        <f t="shared" si="3"/>
        <v>Female CIM 50</v>
      </c>
      <c r="E815" s="134">
        <v>0</v>
      </c>
      <c r="F815" s="134">
        <v>0</v>
      </c>
    </row>
    <row r="816" spans="1:6" ht="14.25" customHeight="1" x14ac:dyDescent="0.3">
      <c r="A816" s="134" t="s">
        <v>252</v>
      </c>
      <c r="B816" s="134" t="s">
        <v>6</v>
      </c>
      <c r="C816" s="134">
        <v>63</v>
      </c>
      <c r="D816" s="134" t="str">
        <f t="shared" si="3"/>
        <v>Female CIM 63</v>
      </c>
      <c r="E816" s="134">
        <v>0</v>
      </c>
      <c r="F816" s="134">
        <v>0</v>
      </c>
    </row>
    <row r="817" spans="1:6" ht="14.25" customHeight="1" x14ac:dyDescent="0.3">
      <c r="A817" s="134" t="s">
        <v>252</v>
      </c>
      <c r="B817" s="134" t="s">
        <v>6</v>
      </c>
      <c r="C817" s="134">
        <v>70</v>
      </c>
      <c r="D817" s="134" t="str">
        <f t="shared" si="3"/>
        <v>Female CIM 70</v>
      </c>
      <c r="E817" s="134">
        <v>0</v>
      </c>
      <c r="F817" s="134">
        <v>0</v>
      </c>
    </row>
    <row r="818" spans="1:6" ht="14.25" customHeight="1" x14ac:dyDescent="0.3">
      <c r="A818" s="134" t="s">
        <v>252</v>
      </c>
      <c r="B818" s="134" t="s">
        <v>6</v>
      </c>
      <c r="C818" s="134">
        <v>81</v>
      </c>
      <c r="D818" s="134" t="str">
        <f t="shared" si="3"/>
        <v>Female CIM 81</v>
      </c>
      <c r="E818" s="134">
        <v>0</v>
      </c>
      <c r="F818" s="134">
        <v>0</v>
      </c>
    </row>
    <row r="819" spans="1:6" ht="14.25" customHeight="1" x14ac:dyDescent="0.3">
      <c r="A819" s="134" t="s">
        <v>252</v>
      </c>
      <c r="B819" s="134" t="s">
        <v>6</v>
      </c>
      <c r="C819" s="134">
        <v>90</v>
      </c>
      <c r="D819" s="134" t="str">
        <f t="shared" si="3"/>
        <v>Female CIM 90</v>
      </c>
      <c r="E819" s="134">
        <v>0</v>
      </c>
      <c r="F819" s="134">
        <v>0</v>
      </c>
    </row>
    <row r="820" spans="1:6" ht="14.25" customHeight="1" x14ac:dyDescent="0.3">
      <c r="A820" s="134" t="s">
        <v>252</v>
      </c>
      <c r="B820" s="134" t="s">
        <v>6</v>
      </c>
      <c r="C820" s="134">
        <v>100</v>
      </c>
      <c r="D820" s="134" t="str">
        <f t="shared" si="3"/>
        <v>Female CIM 100</v>
      </c>
      <c r="E820" s="134">
        <v>0</v>
      </c>
      <c r="F820" s="134">
        <v>0</v>
      </c>
    </row>
    <row r="821" spans="1:6" ht="14.25" customHeight="1" x14ac:dyDescent="0.3">
      <c r="A821" s="134" t="s">
        <v>252</v>
      </c>
      <c r="B821" s="134" t="s">
        <v>259</v>
      </c>
      <c r="C821" s="134">
        <v>9</v>
      </c>
      <c r="D821" s="134" t="str">
        <f t="shared" si="3"/>
        <v>Female 775pro 9</v>
      </c>
      <c r="E821" s="134">
        <v>10</v>
      </c>
      <c r="F821" s="134">
        <v>5</v>
      </c>
    </row>
    <row r="822" spans="1:6" ht="14.25" customHeight="1" x14ac:dyDescent="0.3">
      <c r="A822" s="134" t="s">
        <v>252</v>
      </c>
      <c r="B822" s="134" t="s">
        <v>259</v>
      </c>
      <c r="C822" s="134">
        <v>12</v>
      </c>
      <c r="D822" s="134" t="str">
        <f t="shared" si="3"/>
        <v>Female 775pro 12</v>
      </c>
      <c r="E822" s="134">
        <v>10</v>
      </c>
      <c r="F822" s="134">
        <v>4</v>
      </c>
    </row>
    <row r="823" spans="1:6" ht="14.25" customHeight="1" x14ac:dyDescent="0.3">
      <c r="A823" s="134" t="s">
        <v>252</v>
      </c>
      <c r="B823" s="134" t="s">
        <v>259</v>
      </c>
      <c r="C823" s="134">
        <v>15</v>
      </c>
      <c r="D823" s="134" t="str">
        <f t="shared" si="3"/>
        <v>Female 775pro 15</v>
      </c>
      <c r="E823" s="134">
        <v>10</v>
      </c>
      <c r="F823" s="134">
        <v>3</v>
      </c>
    </row>
    <row r="824" spans="1:6" ht="14.25" customHeight="1" x14ac:dyDescent="0.3">
      <c r="A824" s="134" t="s">
        <v>252</v>
      </c>
      <c r="B824" s="134" t="s">
        <v>259</v>
      </c>
      <c r="C824" s="134">
        <v>16</v>
      </c>
      <c r="D824" s="134" t="str">
        <f t="shared" si="3"/>
        <v>Female 775pro 16</v>
      </c>
      <c r="E824" s="134">
        <v>10</v>
      </c>
      <c r="F824" s="134">
        <v>3</v>
      </c>
    </row>
    <row r="825" spans="1:6" ht="14.25" customHeight="1" x14ac:dyDescent="0.3">
      <c r="A825" s="134" t="s">
        <v>252</v>
      </c>
      <c r="B825" s="134" t="s">
        <v>259</v>
      </c>
      <c r="C825" s="134">
        <v>20</v>
      </c>
      <c r="D825" s="134" t="str">
        <f t="shared" si="3"/>
        <v>Female 775pro 20</v>
      </c>
      <c r="E825" s="134">
        <v>10</v>
      </c>
      <c r="F825" s="134">
        <v>1</v>
      </c>
    </row>
    <row r="826" spans="1:6" ht="14.25" customHeight="1" x14ac:dyDescent="0.3">
      <c r="A826" s="134" t="s">
        <v>252</v>
      </c>
      <c r="B826" s="134" t="s">
        <v>259</v>
      </c>
      <c r="C826" s="134">
        <v>21</v>
      </c>
      <c r="D826" s="134" t="str">
        <f t="shared" si="3"/>
        <v>Female 775pro 21</v>
      </c>
      <c r="E826" s="134">
        <v>10</v>
      </c>
      <c r="F826" s="134">
        <v>1</v>
      </c>
    </row>
    <row r="827" spans="1:6" ht="14.25" customHeight="1" x14ac:dyDescent="0.3">
      <c r="A827" s="134" t="s">
        <v>252</v>
      </c>
      <c r="B827" s="134" t="s">
        <v>259</v>
      </c>
      <c r="C827" s="134">
        <v>25</v>
      </c>
      <c r="D827" s="134" t="str">
        <f t="shared" si="3"/>
        <v>Female 775pro 25</v>
      </c>
      <c r="E827" s="134">
        <v>7</v>
      </c>
      <c r="F827" s="134">
        <v>1</v>
      </c>
    </row>
    <row r="828" spans="1:6" ht="14.25" customHeight="1" x14ac:dyDescent="0.3">
      <c r="A828" s="134" t="s">
        <v>252</v>
      </c>
      <c r="B828" s="134" t="s">
        <v>259</v>
      </c>
      <c r="C828" s="134">
        <v>27</v>
      </c>
      <c r="D828" s="134" t="str">
        <f t="shared" si="3"/>
        <v>Female 775pro 27</v>
      </c>
      <c r="E828" s="134">
        <v>7</v>
      </c>
      <c r="F828" s="134">
        <v>1</v>
      </c>
    </row>
    <row r="829" spans="1:6" ht="14.25" customHeight="1" x14ac:dyDescent="0.3">
      <c r="A829" s="134" t="s">
        <v>252</v>
      </c>
      <c r="B829" s="134" t="s">
        <v>259</v>
      </c>
      <c r="C829" s="134">
        <v>28</v>
      </c>
      <c r="D829" s="134" t="str">
        <f t="shared" si="3"/>
        <v>Female 775pro 28</v>
      </c>
      <c r="E829" s="134">
        <v>7</v>
      </c>
      <c r="F829" s="134">
        <v>1</v>
      </c>
    </row>
    <row r="830" spans="1:6" ht="14.25" customHeight="1" x14ac:dyDescent="0.3">
      <c r="A830" s="134" t="s">
        <v>252</v>
      </c>
      <c r="B830" s="134" t="s">
        <v>259</v>
      </c>
      <c r="C830" s="134">
        <v>30</v>
      </c>
      <c r="D830" s="134" t="str">
        <f t="shared" si="3"/>
        <v>Female 775pro 30</v>
      </c>
      <c r="E830" s="134">
        <v>7</v>
      </c>
      <c r="F830" s="134">
        <v>1</v>
      </c>
    </row>
    <row r="831" spans="1:6" ht="14.25" customHeight="1" x14ac:dyDescent="0.3">
      <c r="A831" s="134" t="s">
        <v>252</v>
      </c>
      <c r="B831" s="134" t="s">
        <v>259</v>
      </c>
      <c r="C831" s="134">
        <v>35</v>
      </c>
      <c r="D831" s="134" t="str">
        <f t="shared" si="3"/>
        <v>Female 775pro 35</v>
      </c>
      <c r="E831" s="134">
        <v>5</v>
      </c>
      <c r="F831" s="134">
        <v>1</v>
      </c>
    </row>
    <row r="832" spans="1:6" ht="14.25" customHeight="1" x14ac:dyDescent="0.3">
      <c r="A832" s="134" t="s">
        <v>252</v>
      </c>
      <c r="B832" s="134" t="s">
        <v>259</v>
      </c>
      <c r="C832" s="134">
        <v>36</v>
      </c>
      <c r="D832" s="134" t="str">
        <f t="shared" si="3"/>
        <v>Female 775pro 36</v>
      </c>
      <c r="E832" s="134">
        <v>5</v>
      </c>
      <c r="F832" s="134">
        <v>1</v>
      </c>
    </row>
    <row r="833" spans="1:6" ht="14.25" customHeight="1" x14ac:dyDescent="0.3">
      <c r="A833" s="134" t="s">
        <v>252</v>
      </c>
      <c r="B833" s="134" t="s">
        <v>259</v>
      </c>
      <c r="C833" s="134">
        <v>40</v>
      </c>
      <c r="D833" s="134" t="str">
        <f t="shared" si="3"/>
        <v>Female 775pro 40</v>
      </c>
      <c r="E833" s="134">
        <v>5</v>
      </c>
      <c r="F833" s="134">
        <v>1</v>
      </c>
    </row>
    <row r="834" spans="1:6" ht="14.25" customHeight="1" x14ac:dyDescent="0.3">
      <c r="A834" s="134" t="s">
        <v>252</v>
      </c>
      <c r="B834" s="134" t="s">
        <v>259</v>
      </c>
      <c r="C834" s="134">
        <v>45</v>
      </c>
      <c r="D834" s="134" t="str">
        <f t="shared" si="3"/>
        <v>Female 775pro 45</v>
      </c>
      <c r="E834" s="134">
        <v>4</v>
      </c>
      <c r="F834" s="134">
        <v>1</v>
      </c>
    </row>
    <row r="835" spans="1:6" ht="14.25" customHeight="1" x14ac:dyDescent="0.3">
      <c r="A835" s="134" t="s">
        <v>252</v>
      </c>
      <c r="B835" s="134" t="s">
        <v>259</v>
      </c>
      <c r="C835" s="134">
        <v>49</v>
      </c>
      <c r="D835" s="134" t="str">
        <f t="shared" si="3"/>
        <v>Female 775pro 49</v>
      </c>
      <c r="E835" s="134">
        <v>4</v>
      </c>
      <c r="F835" s="134">
        <v>1</v>
      </c>
    </row>
    <row r="836" spans="1:6" ht="14.25" customHeight="1" x14ac:dyDescent="0.3">
      <c r="A836" s="134" t="s">
        <v>252</v>
      </c>
      <c r="B836" s="134" t="s">
        <v>259</v>
      </c>
      <c r="C836" s="134">
        <v>50</v>
      </c>
      <c r="D836" s="134" t="str">
        <f t="shared" si="3"/>
        <v>Female 775pro 50</v>
      </c>
      <c r="E836" s="134">
        <v>4</v>
      </c>
      <c r="F836" s="134">
        <v>0</v>
      </c>
    </row>
    <row r="837" spans="1:6" ht="14.25" customHeight="1" x14ac:dyDescent="0.3">
      <c r="A837" s="134" t="s">
        <v>252</v>
      </c>
      <c r="B837" s="134" t="s">
        <v>259</v>
      </c>
      <c r="C837" s="134">
        <v>63</v>
      </c>
      <c r="D837" s="134" t="str">
        <f t="shared" si="3"/>
        <v>Female 775pro 63</v>
      </c>
      <c r="E837" s="134">
        <v>3</v>
      </c>
      <c r="F837" s="134">
        <v>0</v>
      </c>
    </row>
    <row r="838" spans="1:6" ht="14.25" customHeight="1" x14ac:dyDescent="0.3">
      <c r="A838" s="134" t="s">
        <v>252</v>
      </c>
      <c r="B838" s="134" t="s">
        <v>259</v>
      </c>
      <c r="C838" s="134">
        <v>70</v>
      </c>
      <c r="D838" s="134" t="str">
        <f t="shared" si="3"/>
        <v>Female 775pro 70</v>
      </c>
      <c r="E838" s="134">
        <v>3</v>
      </c>
      <c r="F838" s="134">
        <v>0</v>
      </c>
    </row>
    <row r="839" spans="1:6" ht="14.25" customHeight="1" x14ac:dyDescent="0.3">
      <c r="A839" s="134" t="s">
        <v>252</v>
      </c>
      <c r="B839" s="134" t="s">
        <v>259</v>
      </c>
      <c r="C839" s="134">
        <v>81</v>
      </c>
      <c r="D839" s="134" t="str">
        <f t="shared" si="3"/>
        <v>Female 775pro 81</v>
      </c>
      <c r="E839" s="134">
        <v>1</v>
      </c>
      <c r="F839" s="134">
        <v>0</v>
      </c>
    </row>
    <row r="840" spans="1:6" ht="14.25" customHeight="1" x14ac:dyDescent="0.3">
      <c r="A840" s="134" t="s">
        <v>252</v>
      </c>
      <c r="B840" s="134" t="s">
        <v>259</v>
      </c>
      <c r="C840" s="134">
        <v>90</v>
      </c>
      <c r="D840" s="134" t="str">
        <f t="shared" si="3"/>
        <v>Female 775pro 90</v>
      </c>
      <c r="E840" s="134">
        <v>1</v>
      </c>
      <c r="F840" s="134">
        <v>0</v>
      </c>
    </row>
    <row r="841" spans="1:6" ht="14.25" customHeight="1" x14ac:dyDescent="0.3">
      <c r="A841" s="134" t="s">
        <v>252</v>
      </c>
      <c r="B841" s="134" t="s">
        <v>259</v>
      </c>
      <c r="C841" s="134">
        <v>100</v>
      </c>
      <c r="D841" s="134" t="str">
        <f t="shared" si="3"/>
        <v>Female 775pro 100</v>
      </c>
      <c r="E841" s="134">
        <v>1</v>
      </c>
      <c r="F841" s="134">
        <v>0</v>
      </c>
    </row>
    <row r="842" spans="1:6" ht="14.25" customHeight="1" x14ac:dyDescent="0.25"/>
    <row r="843" spans="1:6" ht="14.25" customHeight="1" x14ac:dyDescent="0.25"/>
    <row r="844" spans="1:6" ht="14.25" customHeight="1" x14ac:dyDescent="0.25"/>
    <row r="845" spans="1:6" ht="14.25" customHeight="1" x14ac:dyDescent="0.25"/>
    <row r="846" spans="1:6" ht="14.25" customHeight="1" x14ac:dyDescent="0.25"/>
    <row r="847" spans="1:6" ht="14.25" customHeight="1" x14ac:dyDescent="0.25"/>
    <row r="848" spans="1:6" ht="14.25" customHeight="1" x14ac:dyDescent="0.25"/>
    <row r="849" ht="14.25" customHeight="1" x14ac:dyDescent="0.25"/>
    <row r="850" ht="14.25" customHeight="1" x14ac:dyDescent="0.25"/>
    <row r="851" ht="14.25" customHeight="1" x14ac:dyDescent="0.25"/>
    <row r="852" ht="14.25" customHeight="1" x14ac:dyDescent="0.25"/>
    <row r="853" ht="14.25" customHeight="1" x14ac:dyDescent="0.25"/>
    <row r="854" ht="14.25" customHeight="1" x14ac:dyDescent="0.25"/>
    <row r="855" ht="14.25" customHeight="1" x14ac:dyDescent="0.25"/>
    <row r="856" ht="14.25" customHeight="1" x14ac:dyDescent="0.25"/>
    <row r="857" ht="14.25" customHeight="1" x14ac:dyDescent="0.25"/>
    <row r="858" ht="14.25" customHeight="1" x14ac:dyDescent="0.25"/>
    <row r="859" ht="14.25" customHeight="1" x14ac:dyDescent="0.25"/>
    <row r="860" ht="14.25" customHeight="1" x14ac:dyDescent="0.25"/>
    <row r="861" ht="14.25" customHeight="1" x14ac:dyDescent="0.25"/>
    <row r="862" ht="14.25" customHeight="1" x14ac:dyDescent="0.25"/>
    <row r="863" ht="14.25" customHeight="1" x14ac:dyDescent="0.25"/>
    <row r="864" ht="14.25" customHeight="1" x14ac:dyDescent="0.25"/>
    <row r="865" ht="14.25" customHeight="1" x14ac:dyDescent="0.25"/>
    <row r="866" ht="14.25" customHeight="1" x14ac:dyDescent="0.25"/>
    <row r="867" ht="14.25" customHeight="1" x14ac:dyDescent="0.25"/>
    <row r="868" ht="14.25" customHeight="1" x14ac:dyDescent="0.25"/>
    <row r="869" ht="14.25" customHeight="1" x14ac:dyDescent="0.25"/>
    <row r="870" ht="14.25" customHeight="1" x14ac:dyDescent="0.25"/>
    <row r="871" ht="14.25" customHeight="1" x14ac:dyDescent="0.25"/>
    <row r="872" ht="14.25" customHeight="1" x14ac:dyDescent="0.25"/>
    <row r="873" ht="14.25" customHeight="1" x14ac:dyDescent="0.25"/>
    <row r="874" ht="14.25" customHeight="1" x14ac:dyDescent="0.25"/>
    <row r="875" ht="14.25" customHeight="1" x14ac:dyDescent="0.25"/>
    <row r="876" ht="14.25" customHeight="1" x14ac:dyDescent="0.25"/>
    <row r="877" ht="14.25" customHeight="1" x14ac:dyDescent="0.25"/>
    <row r="878" ht="14.25" customHeight="1" x14ac:dyDescent="0.25"/>
    <row r="879" ht="14.25" customHeight="1" x14ac:dyDescent="0.25"/>
    <row r="880" ht="14.25" customHeight="1" x14ac:dyDescent="0.25"/>
    <row r="881" ht="14.25" customHeight="1" x14ac:dyDescent="0.25"/>
    <row r="882" ht="14.25" customHeight="1" x14ac:dyDescent="0.25"/>
    <row r="883" ht="14.25" customHeight="1" x14ac:dyDescent="0.25"/>
    <row r="884" ht="14.25" customHeight="1" x14ac:dyDescent="0.25"/>
    <row r="885" ht="14.25" customHeight="1" x14ac:dyDescent="0.25"/>
    <row r="886" ht="14.25" customHeight="1" x14ac:dyDescent="0.25"/>
    <row r="887" ht="14.25" customHeight="1" x14ac:dyDescent="0.25"/>
    <row r="888" ht="14.25" customHeight="1" x14ac:dyDescent="0.25"/>
    <row r="889" ht="14.25" customHeight="1" x14ac:dyDescent="0.25"/>
    <row r="890" ht="14.25" customHeight="1" x14ac:dyDescent="0.25"/>
    <row r="891" ht="14.25" customHeight="1" x14ac:dyDescent="0.25"/>
    <row r="892" ht="14.25" customHeight="1" x14ac:dyDescent="0.25"/>
    <row r="893" ht="14.25" customHeight="1" x14ac:dyDescent="0.25"/>
    <row r="894" ht="14.25" customHeight="1" x14ac:dyDescent="0.25"/>
    <row r="895" ht="14.25" customHeight="1" x14ac:dyDescent="0.25"/>
    <row r="896" ht="14.25" customHeight="1" x14ac:dyDescent="0.25"/>
    <row r="897" ht="14.25" customHeight="1" x14ac:dyDescent="0.25"/>
    <row r="898" ht="14.25" customHeight="1" x14ac:dyDescent="0.25"/>
    <row r="899" ht="14.25" customHeight="1" x14ac:dyDescent="0.25"/>
    <row r="900" ht="14.25" customHeight="1" x14ac:dyDescent="0.25"/>
    <row r="901" ht="14.25" customHeight="1" x14ac:dyDescent="0.25"/>
    <row r="902" ht="14.25" customHeight="1" x14ac:dyDescent="0.25"/>
    <row r="903" ht="14.25" customHeight="1" x14ac:dyDescent="0.25"/>
    <row r="904" ht="14.25" customHeight="1" x14ac:dyDescent="0.25"/>
    <row r="905" ht="14.25" customHeight="1" x14ac:dyDescent="0.25"/>
    <row r="906" ht="14.25" customHeight="1" x14ac:dyDescent="0.25"/>
    <row r="907" ht="14.25" customHeight="1" x14ac:dyDescent="0.25"/>
    <row r="908" ht="14.25" customHeight="1" x14ac:dyDescent="0.25"/>
    <row r="909" ht="14.25" customHeight="1" x14ac:dyDescent="0.25"/>
    <row r="910" ht="14.25" customHeight="1" x14ac:dyDescent="0.25"/>
    <row r="911" ht="14.25" customHeight="1" x14ac:dyDescent="0.25"/>
    <row r="912" ht="14.25" customHeight="1" x14ac:dyDescent="0.25"/>
    <row r="913" ht="14.25" customHeight="1" x14ac:dyDescent="0.25"/>
    <row r="914" ht="14.25" customHeight="1" x14ac:dyDescent="0.25"/>
    <row r="915" ht="14.25" customHeight="1" x14ac:dyDescent="0.25"/>
    <row r="916" ht="14.25" customHeight="1" x14ac:dyDescent="0.25"/>
    <row r="917" ht="14.25" customHeight="1" x14ac:dyDescent="0.25"/>
    <row r="918" ht="14.25" customHeight="1" x14ac:dyDescent="0.25"/>
    <row r="919" ht="14.25" customHeight="1" x14ac:dyDescent="0.25"/>
    <row r="920" ht="14.25" customHeight="1" x14ac:dyDescent="0.25"/>
    <row r="921" ht="14.25" customHeight="1" x14ac:dyDescent="0.25"/>
    <row r="922" ht="14.25" customHeight="1" x14ac:dyDescent="0.25"/>
    <row r="923" ht="14.25" customHeight="1" x14ac:dyDescent="0.25"/>
    <row r="924" ht="14.25" customHeight="1" x14ac:dyDescent="0.25"/>
    <row r="925" ht="14.25" customHeight="1" x14ac:dyDescent="0.25"/>
    <row r="926" ht="14.25" customHeight="1" x14ac:dyDescent="0.25"/>
    <row r="927" ht="14.25" customHeight="1" x14ac:dyDescent="0.25"/>
    <row r="928" ht="14.25" customHeight="1" x14ac:dyDescent="0.25"/>
    <row r="929" ht="14.25" customHeight="1" x14ac:dyDescent="0.25"/>
    <row r="930" ht="14.25" customHeight="1" x14ac:dyDescent="0.25"/>
    <row r="931" ht="14.25" customHeight="1" x14ac:dyDescent="0.25"/>
    <row r="932" ht="14.25" customHeight="1" x14ac:dyDescent="0.25"/>
    <row r="933" ht="14.25" customHeight="1" x14ac:dyDescent="0.25"/>
    <row r="934" ht="14.25" customHeight="1" x14ac:dyDescent="0.25"/>
    <row r="935" ht="14.25" customHeight="1" x14ac:dyDescent="0.25"/>
    <row r="936" ht="14.25" customHeight="1" x14ac:dyDescent="0.25"/>
    <row r="937" ht="14.25" customHeight="1" x14ac:dyDescent="0.25"/>
    <row r="938" ht="14.25" customHeight="1" x14ac:dyDescent="0.25"/>
    <row r="939" ht="14.25" customHeight="1" x14ac:dyDescent="0.25"/>
    <row r="940" ht="14.25" customHeight="1" x14ac:dyDescent="0.25"/>
    <row r="941" ht="14.25" customHeight="1" x14ac:dyDescent="0.25"/>
    <row r="942" ht="14.25" customHeight="1" x14ac:dyDescent="0.25"/>
    <row r="943" ht="14.25" customHeight="1" x14ac:dyDescent="0.25"/>
    <row r="944" ht="14.25" customHeight="1" x14ac:dyDescent="0.25"/>
    <row r="945" ht="14.25" customHeight="1" x14ac:dyDescent="0.25"/>
    <row r="946" ht="14.25" customHeight="1" x14ac:dyDescent="0.25"/>
    <row r="947" ht="14.25" customHeight="1" x14ac:dyDescent="0.25"/>
    <row r="948" ht="14.25" customHeight="1" x14ac:dyDescent="0.25"/>
    <row r="949" ht="14.25" customHeight="1" x14ac:dyDescent="0.25"/>
    <row r="950" ht="14.25" customHeight="1" x14ac:dyDescent="0.25"/>
    <row r="951" ht="14.25" customHeight="1" x14ac:dyDescent="0.25"/>
    <row r="952" ht="14.25" customHeight="1" x14ac:dyDescent="0.25"/>
    <row r="953" ht="14.25" customHeight="1" x14ac:dyDescent="0.25"/>
    <row r="954" ht="14.25" customHeight="1" x14ac:dyDescent="0.25"/>
    <row r="955" ht="14.25" customHeight="1" x14ac:dyDescent="0.25"/>
    <row r="956" ht="14.25" customHeight="1" x14ac:dyDescent="0.25"/>
    <row r="957" ht="14.25" customHeight="1" x14ac:dyDescent="0.25"/>
    <row r="958" ht="14.25" customHeight="1" x14ac:dyDescent="0.25"/>
    <row r="959" ht="14.25" customHeight="1" x14ac:dyDescent="0.25"/>
    <row r="960" ht="14.25" customHeight="1" x14ac:dyDescent="0.25"/>
    <row r="961" ht="14.25" customHeight="1" x14ac:dyDescent="0.25"/>
    <row r="962" ht="14.25" customHeight="1" x14ac:dyDescent="0.25"/>
    <row r="963" ht="14.25" customHeight="1" x14ac:dyDescent="0.25"/>
    <row r="964" ht="14.25" customHeight="1" x14ac:dyDescent="0.25"/>
    <row r="965" ht="14.25" customHeight="1" x14ac:dyDescent="0.25"/>
    <row r="966" ht="14.25" customHeight="1" x14ac:dyDescent="0.25"/>
    <row r="967" ht="14.25" customHeight="1" x14ac:dyDescent="0.25"/>
    <row r="968" ht="14.25" customHeight="1" x14ac:dyDescent="0.25"/>
    <row r="969" ht="14.25" customHeight="1" x14ac:dyDescent="0.25"/>
    <row r="970" ht="14.25" customHeight="1" x14ac:dyDescent="0.25"/>
    <row r="971" ht="14.25" customHeight="1" x14ac:dyDescent="0.25"/>
    <row r="972" ht="14.25" customHeight="1" x14ac:dyDescent="0.25"/>
    <row r="973" ht="14.25" customHeight="1" x14ac:dyDescent="0.25"/>
    <row r="974" ht="14.25" customHeight="1" x14ac:dyDescent="0.25"/>
    <row r="975" ht="14.25" customHeight="1" x14ac:dyDescent="0.25"/>
    <row r="976" ht="14.25" customHeight="1" x14ac:dyDescent="0.25"/>
    <row r="977" ht="14.25" customHeight="1" x14ac:dyDescent="0.25"/>
    <row r="978" ht="14.25" customHeight="1" x14ac:dyDescent="0.25"/>
    <row r="979" ht="14.25" customHeight="1" x14ac:dyDescent="0.25"/>
    <row r="980" ht="14.25" customHeight="1" x14ac:dyDescent="0.25"/>
    <row r="981" ht="14.25" customHeight="1" x14ac:dyDescent="0.25"/>
    <row r="982" ht="14.25" customHeight="1" x14ac:dyDescent="0.25"/>
    <row r="983" ht="14.25" customHeight="1" x14ac:dyDescent="0.25"/>
    <row r="984" ht="14.25" customHeight="1" x14ac:dyDescent="0.25"/>
    <row r="985" ht="14.25" customHeight="1" x14ac:dyDescent="0.25"/>
    <row r="986" ht="14.25" customHeight="1" x14ac:dyDescent="0.25"/>
    <row r="987" ht="14.25" customHeight="1" x14ac:dyDescent="0.25"/>
    <row r="988" ht="14.25" customHeight="1" x14ac:dyDescent="0.25"/>
    <row r="989" ht="14.25" customHeight="1" x14ac:dyDescent="0.25"/>
    <row r="990" ht="14.25" customHeight="1" x14ac:dyDescent="0.25"/>
    <row r="991" ht="14.25" customHeight="1" x14ac:dyDescent="0.25"/>
    <row r="992" ht="14.25" customHeight="1" x14ac:dyDescent="0.25"/>
    <row r="993" ht="14.25" customHeight="1" x14ac:dyDescent="0.25"/>
    <row r="994" ht="14.25" customHeight="1" x14ac:dyDescent="0.25"/>
    <row r="995" ht="14.25" customHeight="1" x14ac:dyDescent="0.25"/>
    <row r="996" ht="14.25" customHeight="1" x14ac:dyDescent="0.25"/>
    <row r="997" ht="14.25" customHeight="1" x14ac:dyDescent="0.25"/>
    <row r="998" ht="14.25" customHeight="1" x14ac:dyDescent="0.25"/>
    <row r="999" ht="14.25" customHeight="1" x14ac:dyDescent="0.25"/>
    <row r="1000" ht="14.25" customHeight="1" x14ac:dyDescent="0.25"/>
  </sheetData>
  <sheetProtection sheet="1" objects="1" scenarios="1"/>
  <pageMargins left="0.7" right="0.7" top="0.75" bottom="0.75" header="0" footer="0"/>
  <pageSetup orientation="landscape"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B1:N27"/>
  <sheetViews>
    <sheetView tabSelected="1" workbookViewId="0">
      <selection activeCell="A24" sqref="A24"/>
    </sheetView>
  </sheetViews>
  <sheetFormatPr defaultColWidth="14" defaultRowHeight="14.25" customHeight="1" x14ac:dyDescent="0.3"/>
  <cols>
    <col min="1" max="1" width="7.109375" style="146" customWidth="1"/>
    <col min="2" max="2" width="3.33203125" style="146" customWidth="1"/>
    <col min="3" max="3" width="18.109375" style="146" customWidth="1"/>
    <col min="4" max="4" width="12.44140625" style="146" customWidth="1"/>
    <col min="5" max="5" width="8.44140625" style="146" customWidth="1"/>
    <col min="6" max="6" width="26.109375" style="146" customWidth="1"/>
    <col min="7" max="7" width="8.44140625" style="146" customWidth="1"/>
    <col min="8" max="8" width="4.44140625" style="146" customWidth="1"/>
    <col min="9" max="9" width="16.33203125" style="146" customWidth="1"/>
    <col min="10" max="10" width="6.44140625" style="146" customWidth="1"/>
    <col min="11" max="11" width="3.6640625" style="146" customWidth="1"/>
    <col min="12" max="12" width="21.21875" style="146" customWidth="1"/>
    <col min="13" max="27" width="8.44140625" style="146" customWidth="1"/>
    <col min="28" max="16384" width="14" style="146"/>
  </cols>
  <sheetData>
    <row r="1" spans="2:14" s="139" customFormat="1" ht="14.25" customHeight="1" x14ac:dyDescent="0.3"/>
    <row r="2" spans="2:14" s="139" customFormat="1" ht="31.2" customHeight="1" x14ac:dyDescent="0.3">
      <c r="C2" s="2" t="s">
        <v>326</v>
      </c>
    </row>
    <row r="3" spans="2:14" s="139" customFormat="1" ht="14.25" customHeight="1" x14ac:dyDescent="0.3"/>
    <row r="4" spans="2:14" s="139" customFormat="1" ht="14.25" customHeight="1" x14ac:dyDescent="0.3">
      <c r="B4" s="8" t="b">
        <v>0</v>
      </c>
      <c r="C4" s="139" t="s">
        <v>0</v>
      </c>
    </row>
    <row r="5" spans="2:14" ht="18" customHeight="1" x14ac:dyDescent="0.3">
      <c r="H5" s="208" t="s">
        <v>327</v>
      </c>
      <c r="I5" s="209"/>
      <c r="K5" s="208" t="s">
        <v>328</v>
      </c>
      <c r="L5" s="209"/>
    </row>
    <row r="6" spans="2:14" ht="14.25" customHeight="1" x14ac:dyDescent="0.3">
      <c r="C6" s="147" t="s">
        <v>313</v>
      </c>
      <c r="D6" s="157" t="s">
        <v>259</v>
      </c>
      <c r="F6" s="210" t="s">
        <v>314</v>
      </c>
      <c r="H6" s="216" t="s">
        <v>315</v>
      </c>
      <c r="I6" s="217" t="s">
        <v>316</v>
      </c>
      <c r="J6" s="148" t="str">
        <f>VLOOKUP($D$15, VP_Base, 4, FALSE) &amp; IF($D$7="None",VLOOKUP($D$6, VP_Motor, 4, FALSE), "") &amp; VLOOKUP($D$7, VP_DualMotor, CHOOSE(MATCH($D$6, {"775pro","CIM","Mini CIM","BAG","BB RS-775","BB RS-550","AM 9015","NeverRest"}),5,3,36,5,4,5,3), FALSE) &amp; VLOOKUP($D$9, VP_Stage, 4, FALSE) &amp; VLOOKUP($D$10, VP_Stage, 4, FALSE) &amp; VLOOKUP($D$11, VP_Stage, 4, FALSE) &amp; VLOOKUP($D$8, VP_180, CHOOSE(MATCH($D$6, {"775pro","CIM","Mini CIM","BAG","BB RS-775","BB RS-550","AM 9015","NeverRest"}),5,3,36,5,4,5,3), FALSE) &amp; VLOOKUP($D$12, VP_90, 4, FALSE) &amp; VLOOKUP($D$13, VP_Ratchet, 4, FALSE) &amp; VLOOKUP($D$14, VP_Encoder, 4, FALSE)</f>
        <v>217-4973,217-2816,217-2820,217-2816,217-2820,217-5046,</v>
      </c>
      <c r="K6" s="216" t="s">
        <v>315</v>
      </c>
      <c r="L6" s="217" t="s">
        <v>316</v>
      </c>
      <c r="M6" s="148" t="str">
        <f>VLOOKUP($D$15, VP_Base, 5, FALSE) &amp; IF($D$7="None",VLOOKUP($D$6, VP_Motor, 5, FALSE), "") &amp; VLOOKUP($D$7, VP_DualMotor, CHOOSE(MATCH($D$6, {"775pro","CIM","Mini CIM","BAG","BB RS-775","BB RS-550","AM 9015","NeverRest"}),5,3,36,5,4,5,3), FALSE) &amp; VLOOKUP($D$9, VP_Stage, 5, FALSE) &amp; VLOOKUP($D$10, VP_Stage, 5, FALSE) &amp; VLOOKUP($D$11, VP_Stage, 5, FALSE) &amp; VLOOKUP($D$8, VP_180, CHOOSE(MATCH($D$6, {"775pro","CIM","Mini CIM","BAG","BB RS-775","BB RS-550","AM 9015","NeverRest"}),5,3,36,5,4,5,3), FALSE) &amp; VLOOKUP($D$12, VP_90, 4, FALSE) &amp; VLOOKUP($D$13, VP_Ratchet, 4, FALSE) &amp; VLOOKUP($D$14, VP_Encoder, 4, FALSE)</f>
        <v>217-5823,217-2897,217-3564,217-4649,217-5832,217-2820,217-5832,217-2820,217-5046,</v>
      </c>
      <c r="N6" s="149" t="s">
        <v>331</v>
      </c>
    </row>
    <row r="7" spans="2:14" ht="14.25" customHeight="1" x14ac:dyDescent="0.3">
      <c r="C7" s="147" t="s">
        <v>317</v>
      </c>
      <c r="D7" s="157" t="s">
        <v>261</v>
      </c>
      <c r="E7" s="148">
        <f>IF(D7="None",1,2*IF(D7="Dual Motor",1,VALUE(LEFT(RIGHT(D7, LEN(D7)-FIND("~",SUBSTITUTE(D7," ","~",2))), LEN(D7)-FIND("~",SUBSTITUTE(D7," ","~",2))-2))))</f>
        <v>1</v>
      </c>
      <c r="F7" s="211"/>
      <c r="H7" s="218">
        <f t="shared" ref="H7:H24" si="0">IF(LEN(J6)&gt;0, (LEN(J6)-LEN(J7))/9, "")</f>
        <v>1</v>
      </c>
      <c r="I7" s="219" t="str">
        <f t="shared" ref="I7:I24" si="1">LEFT(J6, 8)</f>
        <v>217-4973</v>
      </c>
      <c r="J7" s="148" t="str">
        <f t="shared" ref="J7:J24" si="2">SUBSTITUTE(J6, I7&amp;",", "")</f>
        <v>217-2816,217-2820,217-2816,217-2820,217-5046,</v>
      </c>
      <c r="K7" s="218">
        <f t="shared" ref="K7:K24" si="3">IF(LEN(M6)&gt;0, (LEN(M6)-LEN(M7))/9, "")</f>
        <v>1</v>
      </c>
      <c r="L7" s="219" t="str">
        <f t="shared" ref="L7:L24" si="4">LEFT(M6, 8)</f>
        <v>217-5823</v>
      </c>
      <c r="M7" s="148" t="str">
        <f t="shared" ref="M7:M24" si="5">SUBSTITUTE(M6, L7&amp;",", "")</f>
        <v>217-2897,217-3564,217-4649,217-5832,217-2820,217-5832,217-2820,217-5046,</v>
      </c>
      <c r="N7" s="149" t="s">
        <v>331</v>
      </c>
    </row>
    <row r="8" spans="2:14" ht="14.25" customHeight="1" x14ac:dyDescent="0.3">
      <c r="C8" s="147" t="s">
        <v>329</v>
      </c>
      <c r="D8" s="157" t="s">
        <v>306</v>
      </c>
      <c r="F8" s="211"/>
      <c r="H8" s="218">
        <f t="shared" si="0"/>
        <v>2</v>
      </c>
      <c r="I8" s="219" t="str">
        <f t="shared" si="1"/>
        <v>217-2816</v>
      </c>
      <c r="J8" s="148" t="str">
        <f t="shared" si="2"/>
        <v>217-2820,217-2820,217-5046,</v>
      </c>
      <c r="K8" s="218">
        <f t="shared" si="3"/>
        <v>1</v>
      </c>
      <c r="L8" s="219" t="str">
        <f t="shared" si="4"/>
        <v>217-2897</v>
      </c>
      <c r="M8" s="148" t="str">
        <f t="shared" si="5"/>
        <v>217-3564,217-4649,217-5832,217-2820,217-5832,217-2820,217-5046,</v>
      </c>
      <c r="N8" s="149" t="s">
        <v>331</v>
      </c>
    </row>
    <row r="9" spans="2:14" ht="14.25" customHeight="1" x14ac:dyDescent="0.3">
      <c r="C9" s="147" t="s">
        <v>318</v>
      </c>
      <c r="D9" s="158" t="s">
        <v>277</v>
      </c>
      <c r="F9" s="211"/>
      <c r="H9" s="218">
        <f t="shared" si="0"/>
        <v>2</v>
      </c>
      <c r="I9" s="219" t="str">
        <f t="shared" si="1"/>
        <v>217-2820</v>
      </c>
      <c r="J9" s="148" t="str">
        <f t="shared" si="2"/>
        <v>217-5046,</v>
      </c>
      <c r="K9" s="218">
        <f t="shared" si="3"/>
        <v>1</v>
      </c>
      <c r="L9" s="219" t="str">
        <f t="shared" si="4"/>
        <v>217-3564</v>
      </c>
      <c r="M9" s="148" t="str">
        <f t="shared" si="5"/>
        <v>217-4649,217-5832,217-2820,217-5832,217-2820,217-5046,</v>
      </c>
      <c r="N9" s="149" t="s">
        <v>331</v>
      </c>
    </row>
    <row r="10" spans="2:14" ht="14.25" customHeight="1" x14ac:dyDescent="0.3">
      <c r="C10" s="147" t="s">
        <v>319</v>
      </c>
      <c r="D10" s="158" t="s">
        <v>277</v>
      </c>
      <c r="F10" s="212"/>
      <c r="H10" s="218">
        <f t="shared" si="0"/>
        <v>1</v>
      </c>
      <c r="I10" s="219" t="str">
        <f t="shared" si="1"/>
        <v>217-5046</v>
      </c>
      <c r="J10" s="148" t="str">
        <f t="shared" si="2"/>
        <v/>
      </c>
      <c r="K10" s="218">
        <f t="shared" si="3"/>
        <v>1</v>
      </c>
      <c r="L10" s="219" t="str">
        <f t="shared" si="4"/>
        <v>217-4649</v>
      </c>
      <c r="M10" s="148" t="str">
        <f t="shared" si="5"/>
        <v>217-5832,217-2820,217-5832,217-2820,217-5046,</v>
      </c>
      <c r="N10" s="149" t="s">
        <v>331</v>
      </c>
    </row>
    <row r="11" spans="2:14" ht="14.25" customHeight="1" x14ac:dyDescent="0.3">
      <c r="C11" s="147" t="s">
        <v>238</v>
      </c>
      <c r="D11" s="158" t="s">
        <v>261</v>
      </c>
      <c r="H11" s="218" t="str">
        <f t="shared" si="0"/>
        <v/>
      </c>
      <c r="I11" s="219" t="str">
        <f t="shared" si="1"/>
        <v/>
      </c>
      <c r="J11" s="148" t="str">
        <f t="shared" si="2"/>
        <v/>
      </c>
      <c r="K11" s="218">
        <f t="shared" si="3"/>
        <v>2</v>
      </c>
      <c r="L11" s="219" t="str">
        <f t="shared" si="4"/>
        <v>217-5832</v>
      </c>
      <c r="M11" s="148" t="str">
        <f t="shared" si="5"/>
        <v>217-2820,217-2820,217-5046,</v>
      </c>
      <c r="N11" s="149" t="s">
        <v>331</v>
      </c>
    </row>
    <row r="12" spans="2:14" ht="14.25" customHeight="1" x14ac:dyDescent="0.3">
      <c r="C12" s="147" t="s">
        <v>307</v>
      </c>
      <c r="D12" s="157" t="s">
        <v>306</v>
      </c>
      <c r="F12" s="210" t="s">
        <v>341</v>
      </c>
      <c r="G12" s="150"/>
      <c r="H12" s="218" t="str">
        <f t="shared" si="0"/>
        <v/>
      </c>
      <c r="I12" s="219" t="str">
        <f t="shared" si="1"/>
        <v/>
      </c>
      <c r="J12" s="148" t="str">
        <f t="shared" si="2"/>
        <v/>
      </c>
      <c r="K12" s="218">
        <f t="shared" si="3"/>
        <v>2</v>
      </c>
      <c r="L12" s="219" t="str">
        <f t="shared" si="4"/>
        <v>217-2820</v>
      </c>
      <c r="M12" s="148" t="str">
        <f t="shared" si="5"/>
        <v>217-5046,</v>
      </c>
    </row>
    <row r="13" spans="2:14" ht="14.25" customHeight="1" x14ac:dyDescent="0.3">
      <c r="C13" s="147" t="s">
        <v>309</v>
      </c>
      <c r="D13" s="157" t="s">
        <v>306</v>
      </c>
      <c r="F13" s="211"/>
      <c r="G13" s="150"/>
      <c r="H13" s="218" t="str">
        <f t="shared" si="0"/>
        <v/>
      </c>
      <c r="I13" s="219" t="str">
        <f t="shared" si="1"/>
        <v/>
      </c>
      <c r="J13" s="148" t="str">
        <f t="shared" si="2"/>
        <v/>
      </c>
      <c r="K13" s="218">
        <f t="shared" si="3"/>
        <v>1</v>
      </c>
      <c r="L13" s="219" t="str">
        <f t="shared" si="4"/>
        <v>217-5046</v>
      </c>
      <c r="M13" s="148" t="str">
        <f t="shared" si="5"/>
        <v/>
      </c>
    </row>
    <row r="14" spans="2:14" ht="14.25" customHeight="1" x14ac:dyDescent="0.3">
      <c r="C14" s="147" t="s">
        <v>311</v>
      </c>
      <c r="D14" s="157" t="s">
        <v>60</v>
      </c>
      <c r="F14" s="212"/>
      <c r="G14" s="150"/>
      <c r="H14" s="218" t="str">
        <f t="shared" si="0"/>
        <v/>
      </c>
      <c r="I14" s="219" t="str">
        <f t="shared" si="1"/>
        <v/>
      </c>
      <c r="J14" s="148" t="str">
        <f t="shared" si="2"/>
        <v/>
      </c>
      <c r="K14" s="218" t="str">
        <f t="shared" si="3"/>
        <v/>
      </c>
      <c r="L14" s="219" t="str">
        <f t="shared" si="4"/>
        <v/>
      </c>
      <c r="M14" s="148" t="str">
        <f t="shared" si="5"/>
        <v/>
      </c>
    </row>
    <row r="15" spans="2:14" ht="14.25" customHeight="1" thickBot="1" x14ac:dyDescent="0.35">
      <c r="C15" s="147" t="s">
        <v>235</v>
      </c>
      <c r="D15" s="157" t="s">
        <v>117</v>
      </c>
      <c r="F15" s="151"/>
      <c r="G15" s="150"/>
      <c r="H15" s="218" t="str">
        <f t="shared" si="0"/>
        <v/>
      </c>
      <c r="I15" s="219" t="str">
        <f t="shared" si="1"/>
        <v/>
      </c>
      <c r="J15" s="148" t="str">
        <f t="shared" si="2"/>
        <v/>
      </c>
      <c r="K15" s="218" t="str">
        <f t="shared" si="3"/>
        <v/>
      </c>
      <c r="L15" s="219" t="str">
        <f t="shared" si="4"/>
        <v/>
      </c>
      <c r="M15" s="148" t="str">
        <f t="shared" si="5"/>
        <v/>
      </c>
    </row>
    <row r="16" spans="2:14" ht="14.25" customHeight="1" x14ac:dyDescent="0.3">
      <c r="F16" s="213" t="s">
        <v>320</v>
      </c>
      <c r="H16" s="218" t="str">
        <f t="shared" si="0"/>
        <v/>
      </c>
      <c r="I16" s="219" t="str">
        <f t="shared" si="1"/>
        <v/>
      </c>
      <c r="J16" s="148" t="str">
        <f t="shared" si="2"/>
        <v/>
      </c>
      <c r="K16" s="218" t="str">
        <f t="shared" si="3"/>
        <v/>
      </c>
      <c r="L16" s="219" t="str">
        <f t="shared" si="4"/>
        <v/>
      </c>
      <c r="M16" s="148" t="str">
        <f t="shared" si="5"/>
        <v/>
      </c>
    </row>
    <row r="17" spans="3:13" ht="14.25" customHeight="1" x14ac:dyDescent="0.3">
      <c r="C17" s="147" t="s">
        <v>335</v>
      </c>
      <c r="D17" s="152">
        <f>VALUE(IF($D$9="None", 1, LEFT($D$9, 2)))*VALUE(IF($D$10="None", 1, LEFT($D$10, 2)))*VALUE(IF($D$11="None", 1, LEFT($D$11, 2)))</f>
        <v>100</v>
      </c>
      <c r="F17" s="214"/>
      <c r="H17" s="218" t="str">
        <f t="shared" si="0"/>
        <v/>
      </c>
      <c r="I17" s="219" t="str">
        <f t="shared" si="1"/>
        <v/>
      </c>
      <c r="J17" s="148" t="str">
        <f t="shared" si="2"/>
        <v/>
      </c>
      <c r="K17" s="218" t="str">
        <f t="shared" si="3"/>
        <v/>
      </c>
      <c r="L17" s="219" t="str">
        <f t="shared" si="4"/>
        <v/>
      </c>
      <c r="M17" s="148" t="str">
        <f t="shared" si="5"/>
        <v/>
      </c>
    </row>
    <row r="18" spans="3:13" ht="14.25" customHeight="1" thickBot="1" x14ac:dyDescent="0.35">
      <c r="C18" s="147" t="s">
        <v>325</v>
      </c>
      <c r="D18" s="153">
        <f>VLOOKUP($D$6, MotorSpecs, 2, FALSE)/D17</f>
        <v>187.3</v>
      </c>
      <c r="F18" s="215"/>
      <c r="H18" s="218" t="str">
        <f t="shared" si="0"/>
        <v/>
      </c>
      <c r="I18" s="219" t="str">
        <f t="shared" si="1"/>
        <v/>
      </c>
      <c r="J18" s="148" t="str">
        <f t="shared" si="2"/>
        <v/>
      </c>
      <c r="K18" s="218" t="str">
        <f t="shared" si="3"/>
        <v/>
      </c>
      <c r="L18" s="219" t="str">
        <f t="shared" si="4"/>
        <v/>
      </c>
      <c r="M18" s="148" t="str">
        <f t="shared" si="5"/>
        <v/>
      </c>
    </row>
    <row r="19" spans="3:13" ht="14.25" customHeight="1" thickBot="1" x14ac:dyDescent="0.35">
      <c r="C19" s="147" t="str">
        <f>"Stall Torque ("&amp;IF($B$4,"Nm","ft-lbs")&amp;")"</f>
        <v>Stall Torque (ft-lbs)</v>
      </c>
      <c r="D19" s="154">
        <f>VLOOKUP($D$6,MotorSpecs,3,FALSE)*D17*IF($B$4,1,0.73756)</f>
        <v>52.366759999999999</v>
      </c>
      <c r="F19" s="155"/>
      <c r="H19" s="218" t="str">
        <f t="shared" si="0"/>
        <v/>
      </c>
      <c r="I19" s="219" t="str">
        <f t="shared" si="1"/>
        <v/>
      </c>
      <c r="J19" s="148" t="str">
        <f t="shared" si="2"/>
        <v/>
      </c>
      <c r="K19" s="218" t="str">
        <f t="shared" si="3"/>
        <v/>
      </c>
      <c r="L19" s="219" t="str">
        <f t="shared" si="4"/>
        <v/>
      </c>
      <c r="M19" s="148" t="str">
        <f t="shared" si="5"/>
        <v/>
      </c>
    </row>
    <row r="20" spans="3:13" ht="14.25" customHeight="1" x14ac:dyDescent="0.3">
      <c r="F20" s="213" t="s">
        <v>330</v>
      </c>
      <c r="H20" s="218" t="str">
        <f t="shared" si="0"/>
        <v/>
      </c>
      <c r="I20" s="219" t="str">
        <f t="shared" si="1"/>
        <v/>
      </c>
      <c r="J20" s="148" t="str">
        <f t="shared" si="2"/>
        <v/>
      </c>
      <c r="K20" s="218" t="str">
        <f t="shared" si="3"/>
        <v/>
      </c>
      <c r="L20" s="219" t="str">
        <f t="shared" si="4"/>
        <v/>
      </c>
      <c r="M20" s="148" t="str">
        <f t="shared" si="5"/>
        <v/>
      </c>
    </row>
    <row r="21" spans="3:13" ht="14.25" customHeight="1" x14ac:dyDescent="0.3">
      <c r="C21" s="147" t="s">
        <v>321</v>
      </c>
      <c r="D21" s="159" t="b">
        <f>IF(OR(VALUE(IF($D$10="None", 1, LEFT($D$10, 2)))&gt;VALUE(IF($D$9="None", 1, LEFT($D$9, 2))), VALUE(IF($D$11="None", 1, LEFT($D$11, 2)))&gt;VALUE(IF($D$10="None", 1, LEFT($D$10, 2))), VALUE(IF($D$11="None", 1, LEFT($D$11, 2)))&gt;VALUE(IF($D$9="None", 1, LEFT($D$9, 2)))), "----&gt;", IF(AND(D10="None", D11="None"), TRUE, VLOOKUP($D$15&amp;" "&amp;$D$6&amp;" "&amp;VALUE(IF($D$9="None", 1, LEFT($D$9, 2)))*VALUE(IF($D$10="None", 1, LEFT($D$10, 2))), VP_Load, 2, FALSE)/($E$7*IF($D$8="Yes",2,1))&gt;=VALUE(IF($D$11="None", 1, LEFT($D$11, 2)))))</f>
        <v>1</v>
      </c>
      <c r="F21" s="214"/>
      <c r="H21" s="218" t="str">
        <f t="shared" si="0"/>
        <v/>
      </c>
      <c r="I21" s="219" t="str">
        <f t="shared" si="1"/>
        <v/>
      </c>
      <c r="J21" s="148" t="str">
        <f t="shared" si="2"/>
        <v/>
      </c>
      <c r="K21" s="218" t="str">
        <f t="shared" si="3"/>
        <v/>
      </c>
      <c r="L21" s="219" t="str">
        <f t="shared" si="4"/>
        <v/>
      </c>
      <c r="M21" s="148" t="str">
        <f t="shared" si="5"/>
        <v/>
      </c>
    </row>
    <row r="22" spans="3:13" ht="14.25" customHeight="1" x14ac:dyDescent="0.3">
      <c r="C22" s="147" t="s">
        <v>345</v>
      </c>
      <c r="D22" s="153"/>
      <c r="F22" s="214"/>
      <c r="H22" s="218" t="str">
        <f t="shared" si="0"/>
        <v/>
      </c>
      <c r="I22" s="219" t="str">
        <f t="shared" si="1"/>
        <v/>
      </c>
      <c r="J22" s="148" t="str">
        <f t="shared" si="2"/>
        <v/>
      </c>
      <c r="K22" s="218" t="str">
        <f t="shared" si="3"/>
        <v/>
      </c>
      <c r="L22" s="219" t="str">
        <f t="shared" si="4"/>
        <v/>
      </c>
      <c r="M22" s="148" t="str">
        <f t="shared" si="5"/>
        <v/>
      </c>
    </row>
    <row r="23" spans="3:13" ht="14.25" customHeight="1" thickBot="1" x14ac:dyDescent="0.35">
      <c r="C23" s="147" t="s">
        <v>323</v>
      </c>
      <c r="D23" s="156">
        <f>VLOOKUP($D$15, VP_Base, 2, FALSE)+VLOOKUP($D$6, VP_Motor, 2, FALSE)+VLOOKUP($D$9, VP_Stage, 2, FALSE)+VLOOKUP($D$10, VP_Stage, 2, FALSE)+VLOOKUP($D$11, VP_Stage, 2, FALSE)+VLOOKUP($D$7, VP_DualMotor, 2, FALSE)+VLOOKUP($D$8, VP_180, 2, FALSE)+VLOOKUP($D$12, VP_90, 2, FALSE)+VLOOKUP($D$13, VP_Ratchet, 2, FALSE)+VLOOKUP($D$14, VP_Encoder, 2, FALSE)</f>
        <v>139.94</v>
      </c>
      <c r="F23" s="215"/>
      <c r="H23" s="218" t="str">
        <f t="shared" si="0"/>
        <v/>
      </c>
      <c r="I23" s="219" t="str">
        <f t="shared" si="1"/>
        <v/>
      </c>
      <c r="J23" s="148" t="str">
        <f t="shared" si="2"/>
        <v/>
      </c>
      <c r="K23" s="218" t="str">
        <f t="shared" si="3"/>
        <v/>
      </c>
      <c r="L23" s="219" t="str">
        <f t="shared" si="4"/>
        <v/>
      </c>
      <c r="M23" s="148" t="str">
        <f t="shared" si="5"/>
        <v/>
      </c>
    </row>
    <row r="24" spans="3:13" ht="14.25" customHeight="1" x14ac:dyDescent="0.3">
      <c r="H24" s="218" t="str">
        <f t="shared" si="0"/>
        <v/>
      </c>
      <c r="I24" s="219" t="str">
        <f t="shared" si="1"/>
        <v/>
      </c>
      <c r="J24" s="148" t="str">
        <f t="shared" si="2"/>
        <v/>
      </c>
      <c r="K24" s="218" t="str">
        <f t="shared" si="3"/>
        <v/>
      </c>
      <c r="L24" s="219" t="str">
        <f t="shared" si="4"/>
        <v/>
      </c>
      <c r="M24" s="148" t="str">
        <f t="shared" si="5"/>
        <v/>
      </c>
    </row>
    <row r="25" spans="3:13" ht="14.25" customHeight="1" x14ac:dyDescent="0.3">
      <c r="C25" s="147" t="s">
        <v>322</v>
      </c>
      <c r="D25" s="159" t="b">
        <f>IF(OR(VALUE(IF($D$10="None", 1, LEFT($D$10, 2)))&gt;VALUE(IF($D$9="None", 1, LEFT($D$9, 2))), VALUE(IF($D$11="None", 1, LEFT($D$11, 2)))&gt;VALUE(IF($D$10="None", 1, LEFT($D$10, 2))), VALUE(IF($D$11="None", 1, LEFT($D$11, 2)))&gt;VALUE(IF($D$9="None", 1, LEFT($D$9, 2)))), "----&gt;", IF(OR(D6="CIM", D6="Mini CIM"), FALSE, IF(AND(D10="None", D11="None"), TRUE, VLOOKUP($D$15&amp;" "&amp;$D$6&amp;" "&amp;VALUE(IF($D$9="None", 1, LEFT($D$9, 2)))*VALUE(IF($D$10="None", 1, LEFT($D$10, 2))), VP_Load, 3, FALSE)/($E$7*IF($D$8="Yes",2,1))&gt;=VALUE(IF($D$11="None", 1, LEFT($D$11, 2))))))</f>
        <v>0</v>
      </c>
      <c r="H25" s="220" t="str">
        <f t="shared" ref="H25" si="6">IF(LEN(J24)&gt;0, (LEN(J24)-LEN(J25))/9, "")</f>
        <v/>
      </c>
      <c r="I25" s="221" t="str">
        <f t="shared" ref="I25" si="7">LEFT(J24, 8)</f>
        <v/>
      </c>
      <c r="J25" s="148" t="str">
        <f t="shared" ref="J25" si="8">SUBSTITUTE(J24, I25&amp;",", "")</f>
        <v/>
      </c>
      <c r="K25" s="220" t="str">
        <f t="shared" ref="K25" si="9">IF(LEN(M24)&gt;0, (LEN(M24)-LEN(M25))/9, "")</f>
        <v/>
      </c>
      <c r="L25" s="221" t="str">
        <f t="shared" ref="L25" si="10">LEFT(M24, 8)</f>
        <v/>
      </c>
      <c r="M25" s="148" t="str">
        <f t="shared" ref="M25" si="11">SUBSTITUTE(M24, L25&amp;",", "")</f>
        <v/>
      </c>
    </row>
    <row r="26" spans="3:13" ht="14.25" customHeight="1" x14ac:dyDescent="0.3">
      <c r="C26" s="147" t="s">
        <v>345</v>
      </c>
      <c r="D26" s="153"/>
    </row>
    <row r="27" spans="3:13" ht="14.25" customHeight="1" x14ac:dyDescent="0.3">
      <c r="C27" s="147" t="s">
        <v>324</v>
      </c>
      <c r="D27" s="156">
        <f>VLOOKUP($D$15, VP_Base, 3, FALSE)+VLOOKUP($D$6, VP_Motor, 3, FALSE)+VLOOKUP($D$9, VP_Stage, 3, FALSE)+VLOOKUP($D$10, VP_Stage, 3, FALSE)+VLOOKUP($D$11, VP_Stage, 3, FALSE)+VLOOKUP($D$7, VP_DualMotor, 2, FALSE)+VLOOKUP($D$8, VP_180, 2, FALSE)+VLOOKUP($D$12, VP_90, 2, FALSE)+VLOOKUP($D$13, VP_Ratchet, 2, FALSE)+VLOOKUP($D$14, VP_Encoder, 2, FALSE)</f>
        <v>128.91</v>
      </c>
    </row>
  </sheetData>
  <mergeCells count="6">
    <mergeCell ref="K5:L5"/>
    <mergeCell ref="F6:F10"/>
    <mergeCell ref="F12:F14"/>
    <mergeCell ref="F16:F18"/>
    <mergeCell ref="F20:F23"/>
    <mergeCell ref="H5:I5"/>
  </mergeCells>
  <conditionalFormatting sqref="D21 D25">
    <cfRule type="cellIs" dxfId="11" priority="5" operator="equal">
      <formula>FALSE</formula>
    </cfRule>
    <cfRule type="cellIs" dxfId="10" priority="10" operator="equal">
      <formula>TRUE</formula>
    </cfRule>
  </conditionalFormatting>
  <conditionalFormatting sqref="F20:F23">
    <cfRule type="expression" dxfId="9" priority="11">
      <formula>NOT(OR(VALUE(IF($D$10="None", 1, LEFT($D$10, 2)))&gt;VALUE(IF($D$9="None", 1, LEFT($D$9, 2))), VALUE(IF($D$11="None", 1, LEFT($D$11, 2)))&gt;VALUE(IF($D$10="None", 1, LEFT($D$10, 2))), VALUE(IF($D$11="None", 1, LEFT($D$11, 2)))&gt;VALUE(IF($D$9="None", 1, LEFT($D$9, 2)))))</formula>
    </cfRule>
  </conditionalFormatting>
  <conditionalFormatting sqref="F16:F18">
    <cfRule type="expression" dxfId="8" priority="12">
      <formula>OR($D$7="None", OR($D$6="775pro", $D$6="BB RS-775", $D$6="BB RS-550", $D$6="BAG"))</formula>
    </cfRule>
  </conditionalFormatting>
  <conditionalFormatting sqref="D6:D7">
    <cfRule type="expression" dxfId="7" priority="9">
      <formula>NOT(OR($D$7="None", OR($D$6="775pro", $D$6="BB RS-775", $D$6="BB RS-550", $D$6="BAG")))</formula>
    </cfRule>
  </conditionalFormatting>
  <conditionalFormatting sqref="D9:D10">
    <cfRule type="expression" dxfId="6" priority="8">
      <formula>VALUE(IF($D$10="None", 1, LEFT($D$10, 2)))&gt;VALUE(IF($D$9="None", 1, LEFT($D$9, 2)))</formula>
    </cfRule>
  </conditionalFormatting>
  <conditionalFormatting sqref="D10:D11">
    <cfRule type="expression" dxfId="5" priority="7">
      <formula>VALUE(IF($D$11="None", 1, LEFT($D$11, 2)))&gt;VALUE(IF($D$10="None", 1, LEFT($D$10, 2)))</formula>
    </cfRule>
  </conditionalFormatting>
  <conditionalFormatting sqref="D9 D11">
    <cfRule type="expression" dxfId="4" priority="6">
      <formula>VALUE(IF($D$11="None", 1, LEFT($D$11, 2)))&gt;VALUE(IF($D$9="None", 1, LEFT($D$9, 2)))</formula>
    </cfRule>
  </conditionalFormatting>
  <conditionalFormatting sqref="H5:I25">
    <cfRule type="expression" dxfId="3" priority="1">
      <formula>NOT($D$21)</formula>
    </cfRule>
    <cfRule type="expression" dxfId="2" priority="4">
      <formula>$D$21</formula>
    </cfRule>
  </conditionalFormatting>
  <conditionalFormatting sqref="K5:L25">
    <cfRule type="expression" dxfId="1" priority="33">
      <formula>NOT($D$25)</formula>
    </cfRule>
    <cfRule type="expression" dxfId="0" priority="34">
      <formula>$D$25</formula>
    </cfRule>
  </conditionalFormatting>
  <dataValidations count="5">
    <dataValidation type="list" allowBlank="1" showErrorMessage="1" sqref="D15" xr:uid="{00000000-0002-0000-0C00-000000000000}">
      <formula1>"1/2"" Hex,1/2"" Round,3/8"" Hex,CIM Motor,Female"</formula1>
    </dataValidation>
    <dataValidation type="list" allowBlank="1" showErrorMessage="1" sqref="D6" xr:uid="{00000000-0002-0000-0C00-000001000000}">
      <formula1>"775pro,CIM,Mini CIM,BAG,BB RS-775,BB RS-550,AM 9015,NeveRest"</formula1>
    </dataValidation>
    <dataValidation type="list" allowBlank="1" showErrorMessage="1" sqref="D9:D11" xr:uid="{00000000-0002-0000-0C00-000002000000}">
      <formula1>"None,3 : 1,4 : 1,5 : 1,7 : 1,9 : 1,10 : 1"</formula1>
    </dataValidation>
    <dataValidation type="list" allowBlank="1" showErrorMessage="1" sqref="D8 D12:D14" xr:uid="{00000000-0002-0000-0C00-000003000000}">
      <formula1>"Yes,No"</formula1>
    </dataValidation>
    <dataValidation type="list" allowBlank="1" showErrorMessage="1" sqref="D7" xr:uid="{00000000-0002-0000-0C00-000004000000}">
      <formula1>"None,DM Nyl 1:1,DM Nyl 3.75:1,DM Nyl 5.33:1,DM Al 1:1,DM Al 3.75:1,DM Al 5.33:1,Dual Motor"</formula1>
    </dataValidation>
  </dataValidations>
  <pageMargins left="0.7" right="0.7" top="0.75" bottom="0.75" header="0" footer="0"/>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4" r:id="rId4" name="Metric">
              <controlPr locked="0" defaultSize="0" autoFill="0" autoLine="0" autoPict="0">
                <anchor moveWithCells="1">
                  <from>
                    <xdr:col>1</xdr:col>
                    <xdr:colOff>0</xdr:colOff>
                    <xdr:row>3</xdr:row>
                    <xdr:rowOff>0</xdr:rowOff>
                  </from>
                  <to>
                    <xdr:col>2</xdr:col>
                    <xdr:colOff>7620</xdr:colOff>
                    <xdr:row>4</xdr:row>
                    <xdr:rowOff>7620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2:S32"/>
  <sheetViews>
    <sheetView topLeftCell="A2" workbookViewId="0">
      <selection activeCell="E12" sqref="E12"/>
    </sheetView>
  </sheetViews>
  <sheetFormatPr defaultColWidth="9.109375" defaultRowHeight="14.4" x14ac:dyDescent="0.3"/>
  <cols>
    <col min="1" max="1" width="9.109375" style="1"/>
    <col min="2" max="2" width="18.6640625" style="1" customWidth="1"/>
    <col min="3" max="3" width="16.88671875" style="1" customWidth="1"/>
    <col min="4" max="4" width="17" style="1" customWidth="1"/>
    <col min="5" max="5" width="15.109375" style="1" customWidth="1"/>
    <col min="6" max="6" width="15" style="1" customWidth="1"/>
    <col min="7" max="7" width="12.33203125" style="1" customWidth="1"/>
    <col min="8" max="9" width="9.109375" style="1"/>
    <col min="10" max="10" width="9.88671875" style="1" customWidth="1"/>
    <col min="11" max="16" width="9.109375" style="1"/>
    <col min="17" max="17" width="11.33203125" style="1" customWidth="1"/>
    <col min="18" max="19" width="22.33203125" style="1" customWidth="1"/>
    <col min="20" max="16384" width="9.109375" style="1"/>
  </cols>
  <sheetData>
    <row r="2" spans="1:19" ht="31.2" x14ac:dyDescent="0.3">
      <c r="B2" s="2" t="s">
        <v>211</v>
      </c>
      <c r="J2" s="2" t="s">
        <v>20</v>
      </c>
      <c r="Q2" s="2" t="s">
        <v>216</v>
      </c>
    </row>
    <row r="3" spans="1:19" x14ac:dyDescent="0.3">
      <c r="B3" s="121"/>
    </row>
    <row r="4" spans="1:19" x14ac:dyDescent="0.3">
      <c r="A4" s="121"/>
      <c r="B4" s="121"/>
      <c r="C4" s="122" t="s">
        <v>1</v>
      </c>
      <c r="D4" s="123" t="s">
        <v>2</v>
      </c>
      <c r="E4" s="123" t="s">
        <v>3</v>
      </c>
      <c r="F4" s="123" t="s">
        <v>4</v>
      </c>
      <c r="G4" s="124" t="s">
        <v>5</v>
      </c>
      <c r="J4" s="92"/>
      <c r="K4" s="125" t="s">
        <v>21</v>
      </c>
      <c r="L4" s="126" t="s">
        <v>22</v>
      </c>
      <c r="M4" s="126" t="s">
        <v>23</v>
      </c>
      <c r="N4" s="127" t="s">
        <v>24</v>
      </c>
      <c r="R4" s="128" t="s">
        <v>218</v>
      </c>
      <c r="S4" s="127" t="s">
        <v>219</v>
      </c>
    </row>
    <row r="5" spans="1:19" x14ac:dyDescent="0.3">
      <c r="B5" s="75" t="s">
        <v>6</v>
      </c>
      <c r="C5" s="76">
        <v>5330</v>
      </c>
      <c r="D5" s="76">
        <v>2.41</v>
      </c>
      <c r="E5" s="76">
        <v>2.7</v>
      </c>
      <c r="F5" s="76">
        <v>131</v>
      </c>
      <c r="G5" s="129">
        <f>IF(ISBLANK(B5), "", (C5/60*2*PI())*D5/4)</f>
        <v>336.28916760964142</v>
      </c>
      <c r="J5" s="75" t="s">
        <v>25</v>
      </c>
      <c r="K5" s="130">
        <v>6.35</v>
      </c>
      <c r="L5" s="130">
        <v>9</v>
      </c>
      <c r="M5" s="130">
        <v>5.9</v>
      </c>
      <c r="N5" s="131">
        <v>0.31</v>
      </c>
      <c r="Q5" s="132" t="s">
        <v>221</v>
      </c>
      <c r="R5" s="76">
        <v>71700</v>
      </c>
      <c r="S5" s="133">
        <v>26900</v>
      </c>
    </row>
    <row r="6" spans="1:19" x14ac:dyDescent="0.3">
      <c r="B6" s="75" t="s">
        <v>7</v>
      </c>
      <c r="C6" s="76">
        <v>5840</v>
      </c>
      <c r="D6" s="76">
        <v>1.41</v>
      </c>
      <c r="E6" s="76">
        <v>3</v>
      </c>
      <c r="F6" s="76">
        <v>89</v>
      </c>
      <c r="G6" s="129">
        <f t="shared" ref="G6:G28" si="0">IF(ISBLANK(B6), "", (C6/60*2*PI())*D6/4)</f>
        <v>215.57608788933157</v>
      </c>
      <c r="J6" s="75" t="s">
        <v>26</v>
      </c>
      <c r="K6" s="130">
        <v>9.5299999999999994</v>
      </c>
      <c r="L6" s="130">
        <v>11.76</v>
      </c>
      <c r="M6" s="130">
        <v>8.94</v>
      </c>
      <c r="N6" s="131">
        <v>0.41</v>
      </c>
      <c r="Q6" s="132" t="s">
        <v>222</v>
      </c>
      <c r="R6" s="76">
        <v>68900</v>
      </c>
      <c r="S6" s="133">
        <v>26000</v>
      </c>
    </row>
    <row r="7" spans="1:19" x14ac:dyDescent="0.3">
      <c r="B7" s="75" t="s">
        <v>9</v>
      </c>
      <c r="C7" s="76">
        <v>5676</v>
      </c>
      <c r="D7" s="76">
        <v>2.6</v>
      </c>
      <c r="E7" s="76">
        <v>1.8</v>
      </c>
      <c r="F7" s="76">
        <v>105</v>
      </c>
      <c r="G7" s="129">
        <f t="shared" si="0"/>
        <v>386.35306453847278</v>
      </c>
      <c r="J7" s="75" t="s">
        <v>27</v>
      </c>
      <c r="K7" s="130">
        <v>5</v>
      </c>
      <c r="L7" s="130">
        <v>15</v>
      </c>
      <c r="M7" s="130">
        <v>3</v>
      </c>
      <c r="N7" s="131">
        <v>0</v>
      </c>
      <c r="Q7" s="132" t="s">
        <v>59</v>
      </c>
      <c r="R7" s="76">
        <v>206000</v>
      </c>
      <c r="S7" s="133">
        <v>70000</v>
      </c>
    </row>
    <row r="8" spans="1:19" x14ac:dyDescent="0.3">
      <c r="B8" s="75" t="s">
        <v>342</v>
      </c>
      <c r="C8" s="76">
        <v>6380</v>
      </c>
      <c r="D8" s="76">
        <v>4.6900000000000004</v>
      </c>
      <c r="E8" s="76">
        <v>1.5</v>
      </c>
      <c r="F8" s="76">
        <v>257</v>
      </c>
      <c r="G8" s="129">
        <f t="shared" ref="G8:G26" si="1">IF(ISBLANK(B8), "", (C8/60*2*PI())*D8/4)</f>
        <v>783.36136416037095</v>
      </c>
      <c r="J8" s="75" t="s">
        <v>28</v>
      </c>
      <c r="K8" s="130">
        <v>3</v>
      </c>
      <c r="L8" s="130">
        <v>9</v>
      </c>
      <c r="M8" s="130">
        <v>3</v>
      </c>
      <c r="N8" s="131">
        <v>0</v>
      </c>
      <c r="Q8" s="132" t="s">
        <v>217</v>
      </c>
      <c r="R8" s="76">
        <v>193000</v>
      </c>
      <c r="S8" s="133">
        <v>77000</v>
      </c>
    </row>
    <row r="9" spans="1:19" x14ac:dyDescent="0.3">
      <c r="B9" s="75" t="s">
        <v>259</v>
      </c>
      <c r="C9" s="76">
        <v>18730</v>
      </c>
      <c r="D9" s="76">
        <v>0.71</v>
      </c>
      <c r="E9" s="76">
        <v>0.7</v>
      </c>
      <c r="F9" s="76">
        <v>134</v>
      </c>
      <c r="G9" s="129">
        <f t="shared" si="1"/>
        <v>348.14867987694288</v>
      </c>
      <c r="J9" s="75"/>
      <c r="K9" s="130"/>
      <c r="L9" s="130"/>
      <c r="M9" s="130"/>
      <c r="N9" s="131"/>
      <c r="Q9" s="132"/>
      <c r="R9" s="76"/>
      <c r="S9" s="133"/>
    </row>
    <row r="10" spans="1:19" x14ac:dyDescent="0.3">
      <c r="B10" s="75" t="s">
        <v>334</v>
      </c>
      <c r="C10" s="76">
        <v>21020</v>
      </c>
      <c r="D10" s="76">
        <v>0.7</v>
      </c>
      <c r="E10" s="76">
        <v>3.8</v>
      </c>
      <c r="F10" s="76">
        <v>130</v>
      </c>
      <c r="G10" s="129">
        <f t="shared" si="1"/>
        <v>385.21161920766843</v>
      </c>
      <c r="J10" s="75"/>
      <c r="K10" s="130"/>
      <c r="L10" s="130"/>
      <c r="M10" s="130"/>
      <c r="N10" s="131"/>
      <c r="Q10" s="132"/>
      <c r="R10" s="76"/>
      <c r="S10" s="133"/>
    </row>
    <row r="11" spans="1:19" x14ac:dyDescent="0.3">
      <c r="B11" s="75" t="s">
        <v>344</v>
      </c>
      <c r="C11" s="76"/>
      <c r="D11" s="76"/>
      <c r="E11" s="76"/>
      <c r="F11" s="76"/>
      <c r="G11" s="129">
        <f t="shared" si="1"/>
        <v>0</v>
      </c>
      <c r="J11" s="75"/>
      <c r="K11" s="130"/>
      <c r="L11" s="130"/>
      <c r="M11" s="130"/>
      <c r="N11" s="131"/>
      <c r="Q11" s="132"/>
      <c r="R11" s="76"/>
      <c r="S11" s="133"/>
    </row>
    <row r="12" spans="1:19" x14ac:dyDescent="0.3">
      <c r="B12" s="75" t="s">
        <v>8</v>
      </c>
      <c r="C12" s="76">
        <v>13180</v>
      </c>
      <c r="D12" s="76">
        <v>0.43</v>
      </c>
      <c r="E12" s="76">
        <v>1.8</v>
      </c>
      <c r="F12" s="76">
        <v>53</v>
      </c>
      <c r="G12" s="129">
        <f t="shared" si="1"/>
        <v>148.37218504128995</v>
      </c>
    </row>
    <row r="13" spans="1:19" x14ac:dyDescent="0.3">
      <c r="B13" s="75" t="s">
        <v>10</v>
      </c>
      <c r="C13" s="76">
        <v>5800</v>
      </c>
      <c r="D13" s="76">
        <v>0.28000000000000003</v>
      </c>
      <c r="E13" s="76">
        <v>1.6</v>
      </c>
      <c r="F13" s="76">
        <v>18</v>
      </c>
      <c r="G13" s="129">
        <f t="shared" si="1"/>
        <v>42.516220578581873</v>
      </c>
      <c r="J13" s="1" t="s">
        <v>29</v>
      </c>
    </row>
    <row r="14" spans="1:19" x14ac:dyDescent="0.3">
      <c r="B14" s="75" t="s">
        <v>11</v>
      </c>
      <c r="C14" s="76">
        <v>14270</v>
      </c>
      <c r="D14" s="76">
        <v>0.36</v>
      </c>
      <c r="E14" s="76">
        <v>3.7</v>
      </c>
      <c r="F14" s="76">
        <v>71</v>
      </c>
      <c r="G14" s="129">
        <f t="shared" si="1"/>
        <v>134.49158150017905</v>
      </c>
    </row>
    <row r="15" spans="1:19" x14ac:dyDescent="0.3">
      <c r="B15" s="75" t="s">
        <v>333</v>
      </c>
      <c r="C15" s="76">
        <v>13050</v>
      </c>
      <c r="D15" s="76">
        <v>0.72</v>
      </c>
      <c r="E15" s="76">
        <v>2.7</v>
      </c>
      <c r="F15" s="76">
        <v>97</v>
      </c>
      <c r="G15" s="129">
        <f t="shared" si="1"/>
        <v>245.98670477608078</v>
      </c>
    </row>
    <row r="16" spans="1:19" x14ac:dyDescent="0.3">
      <c r="B16" s="75" t="s">
        <v>332</v>
      </c>
      <c r="C16" s="76">
        <v>19000</v>
      </c>
      <c r="D16" s="76">
        <v>0.38</v>
      </c>
      <c r="E16" s="76">
        <v>0.4</v>
      </c>
      <c r="F16" s="76">
        <v>84</v>
      </c>
      <c r="G16" s="129">
        <f t="shared" si="1"/>
        <v>189.01915799098592</v>
      </c>
    </row>
    <row r="17" spans="2:13" x14ac:dyDescent="0.3">
      <c r="B17" s="75" t="s">
        <v>343</v>
      </c>
      <c r="C17" s="76">
        <v>410</v>
      </c>
      <c r="D17" s="76">
        <v>4.4000000000000004</v>
      </c>
      <c r="E17" s="76"/>
      <c r="F17" s="76">
        <v>26</v>
      </c>
      <c r="G17" s="129">
        <f t="shared" si="1"/>
        <v>47.228609558966561</v>
      </c>
    </row>
    <row r="18" spans="2:13" x14ac:dyDescent="0.3">
      <c r="B18" s="75" t="s">
        <v>15</v>
      </c>
      <c r="C18" s="76">
        <v>100</v>
      </c>
      <c r="D18" s="76">
        <v>7.91</v>
      </c>
      <c r="E18" s="76">
        <v>5</v>
      </c>
      <c r="F18" s="76">
        <v>24</v>
      </c>
      <c r="G18" s="129">
        <f t="shared" si="1"/>
        <v>20.708331574912719</v>
      </c>
      <c r="M18" s="4"/>
    </row>
    <row r="19" spans="2:13" x14ac:dyDescent="0.3">
      <c r="B19" s="75" t="s">
        <v>336</v>
      </c>
      <c r="C19" s="76">
        <v>6600</v>
      </c>
      <c r="D19" s="76">
        <v>6.1800000000000001E-2</v>
      </c>
      <c r="E19" s="76">
        <v>2</v>
      </c>
      <c r="F19" s="76">
        <v>11.5</v>
      </c>
      <c r="G19" s="129">
        <f t="shared" si="1"/>
        <v>10.678273429551707</v>
      </c>
      <c r="M19" s="4"/>
    </row>
    <row r="20" spans="2:13" x14ac:dyDescent="0.3">
      <c r="B20" s="75" t="s">
        <v>16</v>
      </c>
      <c r="C20" s="76">
        <v>5300</v>
      </c>
      <c r="D20" s="76">
        <v>0.13</v>
      </c>
      <c r="E20" s="76">
        <v>1</v>
      </c>
      <c r="F20" s="76">
        <v>7</v>
      </c>
      <c r="G20" s="129">
        <f t="shared" si="1"/>
        <v>18.037977819361398</v>
      </c>
    </row>
    <row r="21" spans="2:13" x14ac:dyDescent="0.3">
      <c r="B21" s="75" t="s">
        <v>17</v>
      </c>
      <c r="C21" s="76">
        <v>24</v>
      </c>
      <c r="D21" s="76">
        <v>22</v>
      </c>
      <c r="E21" s="76">
        <v>3</v>
      </c>
      <c r="F21" s="76">
        <v>12</v>
      </c>
      <c r="G21" s="129">
        <f t="shared" si="1"/>
        <v>13.82300767579509</v>
      </c>
    </row>
    <row r="22" spans="2:13" x14ac:dyDescent="0.3">
      <c r="B22" s="75" t="s">
        <v>18</v>
      </c>
      <c r="C22" s="76">
        <v>3084</v>
      </c>
      <c r="D22" s="76">
        <v>0.32</v>
      </c>
      <c r="E22" s="76">
        <v>0.28000000000000003</v>
      </c>
      <c r="F22" s="76">
        <v>6.5</v>
      </c>
      <c r="G22" s="129">
        <f t="shared" si="1"/>
        <v>25.836457983122461</v>
      </c>
    </row>
    <row r="23" spans="2:13" x14ac:dyDescent="0.3">
      <c r="B23" s="75" t="s">
        <v>19</v>
      </c>
      <c r="C23" s="76">
        <v>90</v>
      </c>
      <c r="D23" s="76">
        <v>9.24</v>
      </c>
      <c r="E23" s="76">
        <v>1.5</v>
      </c>
      <c r="F23" s="76">
        <v>16.25</v>
      </c>
      <c r="G23" s="129">
        <f t="shared" si="1"/>
        <v>21.771237089377266</v>
      </c>
    </row>
    <row r="24" spans="2:13" x14ac:dyDescent="0.3">
      <c r="B24" s="75" t="s">
        <v>12</v>
      </c>
      <c r="C24" s="76">
        <v>5508</v>
      </c>
      <c r="D24" s="76">
        <v>3.82</v>
      </c>
      <c r="E24" s="76">
        <v>8.16</v>
      </c>
      <c r="F24" s="76">
        <v>220</v>
      </c>
      <c r="G24" s="129">
        <f t="shared" si="1"/>
        <v>550.84057269512709</v>
      </c>
    </row>
    <row r="25" spans="2:13" x14ac:dyDescent="0.3">
      <c r="B25" s="75" t="s">
        <v>13</v>
      </c>
      <c r="C25" s="76">
        <v>5593</v>
      </c>
      <c r="D25" s="76">
        <v>5.23</v>
      </c>
      <c r="E25" s="76">
        <v>9.6199999999999992</v>
      </c>
      <c r="F25" s="76">
        <v>309</v>
      </c>
      <c r="G25" s="129">
        <f t="shared" si="1"/>
        <v>765.79959942741618</v>
      </c>
    </row>
    <row r="26" spans="2:13" x14ac:dyDescent="0.3">
      <c r="B26" s="75" t="s">
        <v>14</v>
      </c>
      <c r="C26" s="76">
        <v>5437</v>
      </c>
      <c r="D26" s="76">
        <v>6.23</v>
      </c>
      <c r="E26" s="76">
        <v>9.15</v>
      </c>
      <c r="F26" s="76">
        <v>351</v>
      </c>
      <c r="G26" s="129">
        <f t="shared" si="1"/>
        <v>886.78023812205663</v>
      </c>
    </row>
    <row r="27" spans="2:13" x14ac:dyDescent="0.3">
      <c r="B27" s="75"/>
      <c r="C27" s="76"/>
      <c r="D27" s="76"/>
      <c r="E27" s="76"/>
      <c r="F27" s="76"/>
      <c r="G27" s="129" t="str">
        <f t="shared" ref="G27" si="2">IF(ISBLANK(B27), "", (C27/60*2*PI())*D27/4)</f>
        <v/>
      </c>
    </row>
    <row r="28" spans="2:13" x14ac:dyDescent="0.3">
      <c r="B28" s="75"/>
      <c r="C28" s="76"/>
      <c r="D28" s="76"/>
      <c r="E28" s="76"/>
      <c r="F28" s="76"/>
      <c r="G28" s="129" t="str">
        <f t="shared" si="0"/>
        <v/>
      </c>
    </row>
    <row r="29" spans="2:13" x14ac:dyDescent="0.3">
      <c r="B29" s="75"/>
      <c r="C29" s="76"/>
      <c r="D29" s="76"/>
      <c r="E29" s="76"/>
      <c r="F29" s="76"/>
      <c r="G29" s="129" t="str">
        <f t="shared" ref="G29:G30" si="3">IF(ISBLANK(B29), "", (C29/60*2*PI())*D29/4)</f>
        <v/>
      </c>
    </row>
    <row r="30" spans="2:13" x14ac:dyDescent="0.3">
      <c r="B30" s="75"/>
      <c r="C30" s="76"/>
      <c r="D30" s="76"/>
      <c r="E30" s="76"/>
      <c r="F30" s="76"/>
      <c r="G30" s="129" t="str">
        <f t="shared" si="3"/>
        <v/>
      </c>
    </row>
    <row r="32" spans="2:13" x14ac:dyDescent="0.3">
      <c r="B32" s="1" t="s">
        <v>234</v>
      </c>
    </row>
  </sheetData>
  <sheetProtection formatCells="0" formatColumns="0" formatRows="0"/>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15</vt:i4>
      </vt:variant>
    </vt:vector>
  </HeadingPairs>
  <TitlesOfParts>
    <vt:vector size="29" baseType="lpstr">
      <vt:lpstr>HOME</vt:lpstr>
      <vt:lpstr>±ÉÇÌÅÒÍ×Ñ¶ÅØÍÓ</vt:lpstr>
      <vt:lpstr>°ÉÅÈ·ÇÖÉÛ</vt:lpstr>
      <vt:lpstr>¨ÖÍÚÉØÖÅÍÒ</vt:lpstr>
      <vt:lpstr>¦ÉÅÑ¦ÉÒÈ</vt:lpstr>
      <vt:lpstr>´ÖÓÎÉÇØÍÐÉ</vt:lpstr>
      <vt:lpstr>§ÌÅÍÒ¦ÉÐØ</vt:lpstr>
      <vt:lpstr>«ÉÅÖ§ÐÉÅÖ</vt:lpstr>
      <vt:lpstr>¶ÅØÍÓ¨Í×Ø</vt:lpstr>
      <vt:lpstr>´ÒÉÙÑÅØÍÇ×</vt:lpstr>
      <vt:lpstr>´ÒÉÙ°ÍÒÏÅËÉ</vt:lpstr>
      <vt:lpstr>º´¨ÅØÅ</vt:lpstr>
      <vt:lpstr>ºÉÖ×Å´ÐÅÒÉØÅÖÝ</vt:lpstr>
      <vt:lpstr>Specs</vt:lpstr>
      <vt:lpstr>ChainBelts</vt:lpstr>
      <vt:lpstr>ChainBeltSpecs</vt:lpstr>
      <vt:lpstr>Materials</vt:lpstr>
      <vt:lpstr>MaterialSpecs</vt:lpstr>
      <vt:lpstr>Motors</vt:lpstr>
      <vt:lpstr>MotorSpecs</vt:lpstr>
      <vt:lpstr>VP_180</vt:lpstr>
      <vt:lpstr>VP_90</vt:lpstr>
      <vt:lpstr>VP_Base</vt:lpstr>
      <vt:lpstr>VP_DualMotor</vt:lpstr>
      <vt:lpstr>VP_Encoder</vt:lpstr>
      <vt:lpstr>VP_Load</vt:lpstr>
      <vt:lpstr>VP_Motor</vt:lpstr>
      <vt:lpstr>VP_Ratchet</vt:lpstr>
      <vt:lpstr>VP_Stage</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2019-06-08T20:43:41Z</dcterms:created>
  <dcterms:modified xsi:type="dcterms:W3CDTF">2019-11-02T12:26:29Z</dcterms:modified>
</cp:coreProperties>
</file>