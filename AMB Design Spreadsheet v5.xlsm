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showInkAnnotation="0"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4ED21834-C65A-4FD8-9D4F-27E6250DC5A5}" xr6:coauthVersionLast="45" xr6:coauthVersionMax="45" xr10:uidLastSave="{00000000-0000-0000-0000-000000000000}"/>
  <workbookProtection lockStructure="1"/>
  <bookViews>
    <workbookView xWindow="-108" yWindow="-108" windowWidth="23256" windowHeight="13176" xr2:uid="{00000000-000D-0000-FFFF-FFFF0000000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18"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6" state="hidden" r:id="rId12"/>
    <sheet name="ºÉÖ×Å´ÐÅÒÉØÅÖÝ" sheetId="17" state="hidden" r:id="rId13"/>
    <sheet name="Specs" sheetId="3" r:id="rId14"/>
  </sheets>
  <externalReferences>
    <externalReference r:id="rId15"/>
    <externalReference r:id="rId16"/>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5">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º´¨ÅØÅ!$I$43:$N$44</definedName>
    <definedName name="VP_90">º´¨ÅØÅ!$I$48:$N$49</definedName>
    <definedName name="VP_Base">º´¨ÅØÅ!$I$3:$N$7</definedName>
    <definedName name="VP_DualMotor">º´¨ÅØÅ!$I$32:$N$39</definedName>
    <definedName name="VP_Encoder">º´¨ÅØÅ!$I$57:$N$58</definedName>
    <definedName name="VP_Load">º´¨ÅØÅ!$D$2:$F$841</definedName>
    <definedName name="VP_Motor">º´¨ÅØÅ!$I$11:$N$18</definedName>
    <definedName name="VP_Ratchet">º´¨ÅØÅ!$I$53:$N$54</definedName>
    <definedName name="VP_Stage">º´¨ÅØÅ!$I$22:$N$28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T119" i="18" l="1"/>
  <c r="AS119" i="18"/>
  <c r="AR119" i="18"/>
  <c r="AQ119" i="18"/>
  <c r="AP119" i="18"/>
  <c r="AO119" i="18"/>
  <c r="AN119" i="18"/>
  <c r="AM119" i="18"/>
  <c r="AL119" i="18"/>
  <c r="AK119" i="18"/>
  <c r="AJ119" i="18"/>
  <c r="AI119" i="18"/>
  <c r="AH119" i="18"/>
  <c r="AG119" i="18"/>
  <c r="AF119" i="18"/>
  <c r="AE119" i="18"/>
  <c r="AD119" i="18"/>
  <c r="AC119" i="18"/>
  <c r="AB119" i="18"/>
  <c r="AA119" i="18"/>
  <c r="Z119" i="18"/>
  <c r="Y119" i="18"/>
  <c r="X119" i="18"/>
  <c r="W119" i="18"/>
  <c r="V119" i="18"/>
  <c r="U119" i="18"/>
  <c r="T119" i="18"/>
  <c r="AT118" i="18"/>
  <c r="AS118" i="18"/>
  <c r="AR118" i="18"/>
  <c r="AQ118" i="18"/>
  <c r="AP118" i="18"/>
  <c r="AO118" i="18"/>
  <c r="AN118" i="18"/>
  <c r="AM118" i="18"/>
  <c r="AL118" i="18"/>
  <c r="AK118" i="18"/>
  <c r="AJ118" i="18"/>
  <c r="AI118" i="18"/>
  <c r="AH118" i="18"/>
  <c r="AG118" i="18"/>
  <c r="AF118" i="18"/>
  <c r="AE118" i="18"/>
  <c r="AD118" i="18"/>
  <c r="AC118" i="18"/>
  <c r="AB118" i="18"/>
  <c r="AA118" i="18"/>
  <c r="Z118" i="18"/>
  <c r="Y118" i="18"/>
  <c r="X118" i="18"/>
  <c r="W118" i="18"/>
  <c r="V118" i="18"/>
  <c r="U118" i="18"/>
  <c r="T118" i="18"/>
  <c r="AT117" i="18"/>
  <c r="AS117" i="18"/>
  <c r="AR117" i="18"/>
  <c r="AQ117" i="18"/>
  <c r="AP117" i="18"/>
  <c r="AO117" i="18"/>
  <c r="AN117" i="18"/>
  <c r="AM117" i="18"/>
  <c r="AL117" i="18"/>
  <c r="AK117" i="18"/>
  <c r="AJ117" i="18"/>
  <c r="AI117" i="18"/>
  <c r="AH117" i="18"/>
  <c r="AG117" i="18"/>
  <c r="AF117" i="18"/>
  <c r="AE117" i="18"/>
  <c r="AD117" i="18"/>
  <c r="AC117" i="18"/>
  <c r="AB117" i="18"/>
  <c r="AA117" i="18"/>
  <c r="Z117" i="18"/>
  <c r="Y117" i="18"/>
  <c r="X117" i="18"/>
  <c r="W117" i="18"/>
  <c r="V117" i="18"/>
  <c r="U117" i="18"/>
  <c r="T117" i="18"/>
  <c r="AT113" i="18"/>
  <c r="AS113" i="18"/>
  <c r="AR113" i="18"/>
  <c r="AQ113" i="18"/>
  <c r="AP113" i="18"/>
  <c r="AO113" i="18"/>
  <c r="AN113" i="18"/>
  <c r="AM113" i="18"/>
  <c r="AL113" i="18"/>
  <c r="AK113" i="18"/>
  <c r="AJ113" i="18"/>
  <c r="AI113" i="18"/>
  <c r="AH113" i="18"/>
  <c r="AG113" i="18"/>
  <c r="AF113" i="18"/>
  <c r="AE113" i="18"/>
  <c r="AD113" i="18"/>
  <c r="AC113" i="18"/>
  <c r="AB113" i="18"/>
  <c r="AA113" i="18"/>
  <c r="Z113" i="18"/>
  <c r="Y113" i="18"/>
  <c r="X113" i="18"/>
  <c r="W113" i="18"/>
  <c r="V113" i="18"/>
  <c r="U113" i="18"/>
  <c r="T113" i="18"/>
  <c r="AT112" i="18"/>
  <c r="AS112" i="18"/>
  <c r="AR112" i="18"/>
  <c r="AQ112" i="18"/>
  <c r="AP112" i="18"/>
  <c r="AO112" i="18"/>
  <c r="AN112" i="18"/>
  <c r="AM112" i="18"/>
  <c r="AL112" i="18"/>
  <c r="AK112" i="18"/>
  <c r="AJ112" i="18"/>
  <c r="AI112" i="18"/>
  <c r="AI114" i="18" s="1"/>
  <c r="AI115" i="18" s="1"/>
  <c r="AH112" i="18"/>
  <c r="AG112" i="18"/>
  <c r="AF112" i="18"/>
  <c r="AF114" i="18" s="1"/>
  <c r="AF115" i="18" s="1"/>
  <c r="AE112" i="18"/>
  <c r="AD112" i="18"/>
  <c r="AC112" i="18"/>
  <c r="AB112" i="18"/>
  <c r="AA112" i="18"/>
  <c r="AA114" i="18" s="1"/>
  <c r="AA115" i="18" s="1"/>
  <c r="Z112" i="18"/>
  <c r="Y112" i="18"/>
  <c r="X112" i="18"/>
  <c r="W112" i="18"/>
  <c r="V112" i="18"/>
  <c r="U112" i="18"/>
  <c r="T112" i="18"/>
  <c r="AT111" i="18"/>
  <c r="AS111" i="18"/>
  <c r="AR111" i="18"/>
  <c r="AQ111" i="18"/>
  <c r="AP111" i="18"/>
  <c r="AO111" i="18"/>
  <c r="AN111" i="18"/>
  <c r="AN114" i="18" s="1"/>
  <c r="AN115" i="18" s="1"/>
  <c r="AM111" i="18"/>
  <c r="AL111" i="18"/>
  <c r="AK111" i="18"/>
  <c r="AJ111" i="18"/>
  <c r="AI111" i="18"/>
  <c r="AH111" i="18"/>
  <c r="AG111" i="18"/>
  <c r="AF111" i="18"/>
  <c r="AE111" i="18"/>
  <c r="AD111" i="18"/>
  <c r="AC111" i="18"/>
  <c r="AB111" i="18"/>
  <c r="AB114" i="18" s="1"/>
  <c r="AB115" i="18" s="1"/>
  <c r="AA111" i="18"/>
  <c r="Z111" i="18"/>
  <c r="Y111" i="18"/>
  <c r="X111" i="18"/>
  <c r="X114" i="18" s="1"/>
  <c r="X115" i="18" s="1"/>
  <c r="W111" i="18"/>
  <c r="V111" i="18"/>
  <c r="U111" i="18"/>
  <c r="T111" i="18"/>
  <c r="G18" i="18"/>
  <c r="G16" i="18" s="1"/>
  <c r="F17" i="18"/>
  <c r="C17" i="18"/>
  <c r="F16" i="18"/>
  <c r="D16" i="18"/>
  <c r="D18" i="18" s="1"/>
  <c r="C16" i="18"/>
  <c r="F11" i="18"/>
  <c r="F10" i="18"/>
  <c r="C10" i="18"/>
  <c r="F9" i="18"/>
  <c r="C9" i="18"/>
  <c r="EU8" i="18"/>
  <c r="ET8" i="18"/>
  <c r="EO8" i="18"/>
  <c r="EO9" i="18" s="1"/>
  <c r="EK8" i="18"/>
  <c r="EJ8" i="18"/>
  <c r="EE8" i="18"/>
  <c r="EA8" i="18"/>
  <c r="DZ8" i="18"/>
  <c r="DU8" i="18"/>
  <c r="DV8" i="18" s="1"/>
  <c r="DQ8" i="18"/>
  <c r="DP8" i="18"/>
  <c r="DK8" i="18"/>
  <c r="DK9" i="18" s="1"/>
  <c r="DG8" i="18"/>
  <c r="DF8" i="18"/>
  <c r="DA8" i="18"/>
  <c r="CW8" i="18"/>
  <c r="CV8" i="18"/>
  <c r="CQ8" i="18"/>
  <c r="CM8" i="18"/>
  <c r="CL8" i="18"/>
  <c r="CG8" i="18"/>
  <c r="CH8" i="18" s="1"/>
  <c r="CC8" i="18"/>
  <c r="CB8" i="18"/>
  <c r="BW8" i="18"/>
  <c r="BS8" i="18"/>
  <c r="BR8" i="18"/>
  <c r="BM8" i="18"/>
  <c r="BI8" i="18"/>
  <c r="BH8" i="18"/>
  <c r="BC8" i="18"/>
  <c r="AY8" i="18"/>
  <c r="AX8" i="18"/>
  <c r="AS8" i="18"/>
  <c r="AT8" i="18" s="1"/>
  <c r="AO8" i="18"/>
  <c r="AN8" i="18"/>
  <c r="AI8" i="18"/>
  <c r="AE8" i="18"/>
  <c r="AD8" i="18"/>
  <c r="Y8" i="18"/>
  <c r="U8" i="18"/>
  <c r="T8" i="18"/>
  <c r="F8" i="18"/>
  <c r="C8" i="18"/>
  <c r="EV7" i="18"/>
  <c r="EU7" i="18"/>
  <c r="ET7" i="18"/>
  <c r="ET9" i="18" s="1"/>
  <c r="EQ7" i="18"/>
  <c r="EP7" i="18"/>
  <c r="EO7" i="18"/>
  <c r="EL7" i="18"/>
  <c r="EK7" i="18"/>
  <c r="EJ7" i="18"/>
  <c r="EJ9" i="18" s="1"/>
  <c r="EJ10" i="18" s="1"/>
  <c r="EG7" i="18"/>
  <c r="EF7" i="18"/>
  <c r="EE7" i="18"/>
  <c r="EB7" i="18"/>
  <c r="EA7" i="18"/>
  <c r="DZ7" i="18"/>
  <c r="DW7" i="18"/>
  <c r="DV7" i="18"/>
  <c r="DU7" i="18"/>
  <c r="DR7" i="18"/>
  <c r="DQ7" i="18"/>
  <c r="DP7" i="18"/>
  <c r="DM7" i="18"/>
  <c r="DL7" i="18"/>
  <c r="DK7" i="18"/>
  <c r="DH7" i="18"/>
  <c r="DG7" i="18"/>
  <c r="DF7" i="18"/>
  <c r="DF9" i="18" s="1"/>
  <c r="DC7" i="18"/>
  <c r="DB7" i="18"/>
  <c r="DA7" i="18"/>
  <c r="CX7" i="18"/>
  <c r="CW7" i="18"/>
  <c r="CV7" i="18"/>
  <c r="CV9" i="18" s="1"/>
  <c r="CV10" i="18" s="1"/>
  <c r="CS7" i="18"/>
  <c r="CR7" i="18"/>
  <c r="CQ7" i="18"/>
  <c r="CN7" i="18"/>
  <c r="CM7" i="18"/>
  <c r="CL7" i="18"/>
  <c r="CI7" i="18"/>
  <c r="CH7" i="18"/>
  <c r="CG7" i="18"/>
  <c r="CD7" i="18"/>
  <c r="CC7" i="18"/>
  <c r="CB7" i="18"/>
  <c r="BY7" i="18"/>
  <c r="BX7" i="18"/>
  <c r="BW7" i="18"/>
  <c r="BT7" i="18"/>
  <c r="BS7" i="18"/>
  <c r="BR7" i="18"/>
  <c r="BR9" i="18" s="1"/>
  <c r="BO7" i="18"/>
  <c r="BN7" i="18"/>
  <c r="BM7" i="18"/>
  <c r="BJ7" i="18"/>
  <c r="BI7" i="18"/>
  <c r="BH7" i="18"/>
  <c r="BH9" i="18" s="1"/>
  <c r="BH10" i="18" s="1"/>
  <c r="BE7" i="18"/>
  <c r="BD7" i="18"/>
  <c r="BC7" i="18"/>
  <c r="AZ7" i="18"/>
  <c r="AY7" i="18"/>
  <c r="AX7" i="18"/>
  <c r="AU7" i="18"/>
  <c r="AT7" i="18"/>
  <c r="AS7" i="18"/>
  <c r="AP7" i="18"/>
  <c r="AO7" i="18"/>
  <c r="AN7" i="18"/>
  <c r="AK7" i="18"/>
  <c r="AJ7" i="18"/>
  <c r="AI7" i="18"/>
  <c r="AF7" i="18"/>
  <c r="AE7" i="18"/>
  <c r="AD7" i="18"/>
  <c r="AD9" i="18" s="1"/>
  <c r="AA7" i="18"/>
  <c r="Z7" i="18"/>
  <c r="Y7" i="18"/>
  <c r="V7" i="18"/>
  <c r="U7" i="18"/>
  <c r="T7" i="18"/>
  <c r="T9" i="18" s="1"/>
  <c r="T10" i="18" s="1"/>
  <c r="F7" i="18"/>
  <c r="C7" i="18"/>
  <c r="T5" i="18"/>
  <c r="AN9" i="18" l="1"/>
  <c r="T114" i="18"/>
  <c r="T115" i="18" s="1"/>
  <c r="AJ114" i="18"/>
  <c r="AJ115" i="18" s="1"/>
  <c r="AR114" i="18"/>
  <c r="AR115" i="18" s="1"/>
  <c r="U114" i="18"/>
  <c r="U115" i="18" s="1"/>
  <c r="AC114" i="18"/>
  <c r="AC115" i="18" s="1"/>
  <c r="BM9" i="18"/>
  <c r="DP9" i="18"/>
  <c r="DP10" i="18" s="1"/>
  <c r="ED7" i="18"/>
  <c r="EC7" i="18" s="1"/>
  <c r="EB8" i="18" s="1"/>
  <c r="Y9" i="18"/>
  <c r="AK114" i="18"/>
  <c r="AK115" i="18" s="1"/>
  <c r="AS114" i="18"/>
  <c r="AS115" i="18" s="1"/>
  <c r="AQ114" i="18"/>
  <c r="AQ115" i="18" s="1"/>
  <c r="AI9" i="18"/>
  <c r="CB9" i="18"/>
  <c r="DA9" i="18"/>
  <c r="DA10" i="18" s="1"/>
  <c r="BW9" i="18"/>
  <c r="BW10" i="18" s="1"/>
  <c r="BC9" i="18"/>
  <c r="EE9" i="18"/>
  <c r="CQ9" i="18"/>
  <c r="CR9" i="18" s="1"/>
  <c r="BL7" i="18"/>
  <c r="BK7" i="18" s="1"/>
  <c r="BJ10" i="18" s="1"/>
  <c r="BQ7" i="18"/>
  <c r="BP7" i="18" s="1"/>
  <c r="BO8" i="18" s="1"/>
  <c r="CA7" i="18"/>
  <c r="BZ7" i="18" s="1"/>
  <c r="CZ7" i="18"/>
  <c r="CY7" i="18" s="1"/>
  <c r="CX8" i="18" s="1"/>
  <c r="DY7" i="18"/>
  <c r="DX7" i="18" s="1"/>
  <c r="DW8" i="18" s="1"/>
  <c r="CK7" i="18"/>
  <c r="CJ7" i="18" s="1"/>
  <c r="CI8" i="18" s="1"/>
  <c r="ES7" i="18"/>
  <c r="ER7" i="18" s="1"/>
  <c r="EQ9" i="18" s="1"/>
  <c r="CP7" i="18"/>
  <c r="BB7" i="18"/>
  <c r="BA7" i="18" s="1"/>
  <c r="EI7" i="18"/>
  <c r="EH7" i="18" s="1"/>
  <c r="BG7" i="18"/>
  <c r="BF7" i="18" s="1"/>
  <c r="BE9" i="18" s="1"/>
  <c r="DO7" i="18"/>
  <c r="DN7" i="18" s="1"/>
  <c r="DM8" i="18" s="1"/>
  <c r="EN7" i="18"/>
  <c r="EM7" i="18" s="1"/>
  <c r="EL9" i="18" s="1"/>
  <c r="AM7" i="18"/>
  <c r="AL7" i="18" s="1"/>
  <c r="CF7" i="18"/>
  <c r="CE7" i="18" s="1"/>
  <c r="CD9" i="18" s="1"/>
  <c r="X7" i="18"/>
  <c r="W7" i="18" s="1"/>
  <c r="V10" i="18" s="1"/>
  <c r="AW7" i="18"/>
  <c r="AV7" i="18" s="1"/>
  <c r="AU8" i="18" s="1"/>
  <c r="DE7" i="18"/>
  <c r="DD7" i="18" s="1"/>
  <c r="DC8" i="18" s="1"/>
  <c r="AC7" i="18"/>
  <c r="AB7" i="18" s="1"/>
  <c r="AA9" i="18" s="1"/>
  <c r="CU7" i="18"/>
  <c r="CT7" i="18" s="1"/>
  <c r="CS8" i="18" s="1"/>
  <c r="AR7" i="18"/>
  <c r="AQ7" i="18" s="1"/>
  <c r="AP8" i="18" s="1"/>
  <c r="BD9" i="18"/>
  <c r="BC10" i="18"/>
  <c r="EF9" i="18"/>
  <c r="EE10" i="18"/>
  <c r="BH11" i="18"/>
  <c r="BI10" i="18"/>
  <c r="DF10" i="18"/>
  <c r="DG9" i="18"/>
  <c r="ET10" i="18"/>
  <c r="EU9" i="18"/>
  <c r="T11" i="18"/>
  <c r="U10" i="18"/>
  <c r="DK10" i="18"/>
  <c r="DL9" i="18"/>
  <c r="CV11" i="18"/>
  <c r="CW10" i="18"/>
  <c r="BR10" i="18"/>
  <c r="BS9" i="18"/>
  <c r="AO9" i="18"/>
  <c r="AN10" i="18"/>
  <c r="BM10" i="18"/>
  <c r="BN9" i="18"/>
  <c r="DQ9" i="18"/>
  <c r="EO10" i="18"/>
  <c r="EP9" i="18"/>
  <c r="EJ11" i="18"/>
  <c r="EK10" i="18"/>
  <c r="AD10" i="18"/>
  <c r="AE9" i="18"/>
  <c r="Y10" i="18"/>
  <c r="Z9" i="18"/>
  <c r="CC9" i="18"/>
  <c r="CB10" i="18"/>
  <c r="AJ8" i="18"/>
  <c r="BX8" i="18"/>
  <c r="DL8" i="18"/>
  <c r="AS9" i="18"/>
  <c r="CG9" i="18"/>
  <c r="DU9" i="18"/>
  <c r="AT121" i="18"/>
  <c r="AT120" i="18" s="1"/>
  <c r="AL121" i="18"/>
  <c r="AL120" i="18" s="1"/>
  <c r="AD121" i="18"/>
  <c r="AD120" i="18" s="1"/>
  <c r="V121" i="18"/>
  <c r="V120" i="18" s="1"/>
  <c r="AG121" i="18"/>
  <c r="AG120" i="18" s="1"/>
  <c r="W121" i="18"/>
  <c r="W120" i="18" s="1"/>
  <c r="AM121" i="18"/>
  <c r="AM120" i="18" s="1"/>
  <c r="AE121" i="18"/>
  <c r="AE120" i="18" s="1"/>
  <c r="Y121" i="18"/>
  <c r="Y120" i="18" s="1"/>
  <c r="AO121" i="18"/>
  <c r="AO120" i="18" s="1"/>
  <c r="Z8" i="18"/>
  <c r="BN8" i="18"/>
  <c r="DB8" i="18"/>
  <c r="EP8" i="18"/>
  <c r="U9" i="18"/>
  <c r="BI9" i="18"/>
  <c r="CW9" i="18"/>
  <c r="EK9" i="18"/>
  <c r="AX9" i="18"/>
  <c r="CL9" i="18"/>
  <c r="DZ9" i="18"/>
  <c r="BD8" i="18"/>
  <c r="CR8" i="18"/>
  <c r="EF8" i="18"/>
  <c r="BV7" i="18"/>
  <c r="EX7" i="18"/>
  <c r="DT7" i="18"/>
  <c r="AH7" i="18"/>
  <c r="DJ7" i="18"/>
  <c r="DI7" i="18" s="1"/>
  <c r="Z121" i="18"/>
  <c r="Z120" i="18" s="1"/>
  <c r="AH121" i="18"/>
  <c r="AH120" i="18" s="1"/>
  <c r="AP121" i="18"/>
  <c r="AP120" i="18" s="1"/>
  <c r="AA121" i="18"/>
  <c r="AA120" i="18" s="1"/>
  <c r="AI121" i="18"/>
  <c r="AI120" i="18" s="1"/>
  <c r="AQ121" i="18"/>
  <c r="AQ120" i="18" s="1"/>
  <c r="AG114" i="18"/>
  <c r="AG115" i="18" s="1"/>
  <c r="U121" i="18"/>
  <c r="U120" i="18" s="1"/>
  <c r="AC121" i="18"/>
  <c r="AC120" i="18" s="1"/>
  <c r="AK121" i="18"/>
  <c r="AK120" i="18" s="1"/>
  <c r="AS121" i="18"/>
  <c r="AS120" i="18" s="1"/>
  <c r="Y114" i="18"/>
  <c r="Y115" i="18" s="1"/>
  <c r="AO114" i="18"/>
  <c r="AO115" i="18" s="1"/>
  <c r="V114" i="18"/>
  <c r="AD114" i="18"/>
  <c r="AD115" i="18" s="1"/>
  <c r="AL114" i="18"/>
  <c r="AL115" i="18" s="1"/>
  <c r="AT114" i="18"/>
  <c r="AT115" i="18" s="1"/>
  <c r="X121" i="18"/>
  <c r="X120" i="18" s="1"/>
  <c r="AF121" i="18"/>
  <c r="AF120" i="18" s="1"/>
  <c r="AN121" i="18"/>
  <c r="AN120" i="18" s="1"/>
  <c r="W114" i="18"/>
  <c r="W115" i="18" s="1"/>
  <c r="AE114" i="18"/>
  <c r="AE115" i="18" s="1"/>
  <c r="AM114" i="18"/>
  <c r="AM115" i="18" s="1"/>
  <c r="Z114" i="18"/>
  <c r="Z115" i="18" s="1"/>
  <c r="AH114" i="18"/>
  <c r="AH115" i="18" s="1"/>
  <c r="AP114" i="18"/>
  <c r="AP115" i="18" s="1"/>
  <c r="T121" i="18"/>
  <c r="AB121" i="18"/>
  <c r="AB120" i="18" s="1"/>
  <c r="AJ121" i="18"/>
  <c r="AJ120" i="18" s="1"/>
  <c r="AR121" i="18"/>
  <c r="AR120" i="18" s="1"/>
  <c r="BE8" i="18" l="1"/>
  <c r="DB9" i="18"/>
  <c r="BY8" i="18"/>
  <c r="BX9" i="18"/>
  <c r="DM9" i="18"/>
  <c r="AA8" i="18"/>
  <c r="AK9" i="18"/>
  <c r="AK8" i="18"/>
  <c r="CS9" i="18"/>
  <c r="AJ9" i="18"/>
  <c r="AI10" i="18"/>
  <c r="AI11" i="18" s="1"/>
  <c r="CQ10" i="18"/>
  <c r="CQ11" i="18" s="1"/>
  <c r="EG9" i="18"/>
  <c r="EG8" i="18"/>
  <c r="BO9" i="18"/>
  <c r="BY9" i="18"/>
  <c r="EQ8" i="18"/>
  <c r="G19" i="18"/>
  <c r="EL10" i="18"/>
  <c r="CO7" i="18"/>
  <c r="CN9" i="18" s="1"/>
  <c r="AZ8" i="18"/>
  <c r="D17" i="18"/>
  <c r="DC9" i="18"/>
  <c r="BJ8" i="18"/>
  <c r="V8" i="18"/>
  <c r="BJ9" i="18"/>
  <c r="DH9" i="18"/>
  <c r="AP9" i="18"/>
  <c r="V9" i="18"/>
  <c r="CD8" i="18"/>
  <c r="CL10" i="18"/>
  <c r="CM9" i="18"/>
  <c r="AG7" i="18"/>
  <c r="AF9" i="18" s="1"/>
  <c r="CG10" i="18"/>
  <c r="CI9" i="18"/>
  <c r="CH9" i="18"/>
  <c r="CB11" i="18"/>
  <c r="CD10" i="18"/>
  <c r="CC10" i="18"/>
  <c r="AD11" i="18"/>
  <c r="AE10" i="18"/>
  <c r="BO10" i="18"/>
  <c r="BM11" i="18"/>
  <c r="BN10" i="18"/>
  <c r="DS7" i="18"/>
  <c r="DR8" i="18" s="1"/>
  <c r="DF11" i="18"/>
  <c r="DH10" i="18"/>
  <c r="DG10" i="18"/>
  <c r="AS10" i="18"/>
  <c r="AU9" i="18"/>
  <c r="AT9" i="18"/>
  <c r="AN11" i="18"/>
  <c r="AP10" i="18"/>
  <c r="AO10" i="18"/>
  <c r="DK11" i="18"/>
  <c r="DM10" i="18"/>
  <c r="DL10" i="18"/>
  <c r="T12" i="18"/>
  <c r="U11" i="18"/>
  <c r="V11" i="18"/>
  <c r="EE11" i="18"/>
  <c r="EG10" i="18"/>
  <c r="EF10" i="18"/>
  <c r="T120" i="18"/>
  <c r="G17" i="18" s="1"/>
  <c r="AX10" i="18"/>
  <c r="AZ9" i="18"/>
  <c r="AY9" i="18"/>
  <c r="EO11" i="18"/>
  <c r="EQ10" i="18"/>
  <c r="EP10" i="18"/>
  <c r="DH8" i="18"/>
  <c r="BW11" i="18"/>
  <c r="BY10" i="18"/>
  <c r="BX10" i="18"/>
  <c r="DP11" i="18"/>
  <c r="DQ10" i="18"/>
  <c r="BH12" i="18"/>
  <c r="BI11" i="18"/>
  <c r="BJ11" i="18"/>
  <c r="V115" i="18"/>
  <c r="D19" i="18" s="1"/>
  <c r="EL8" i="18"/>
  <c r="BR11" i="18"/>
  <c r="BS10" i="18"/>
  <c r="BC11" i="18"/>
  <c r="BE10" i="18"/>
  <c r="BD10" i="18"/>
  <c r="EW7" i="18"/>
  <c r="EV9" i="18" s="1"/>
  <c r="Y11" i="18"/>
  <c r="AA10" i="18"/>
  <c r="Z10" i="18"/>
  <c r="CX10" i="18"/>
  <c r="ET11" i="18"/>
  <c r="EU10" i="18"/>
  <c r="DZ10" i="18"/>
  <c r="EB9" i="18"/>
  <c r="EA9" i="18"/>
  <c r="CV12" i="18"/>
  <c r="CW11" i="18"/>
  <c r="CX11" i="18"/>
  <c r="CX9" i="18"/>
  <c r="BU7" i="18"/>
  <c r="BT9" i="18" s="1"/>
  <c r="DU10" i="18"/>
  <c r="DW9" i="18"/>
  <c r="DV9" i="18"/>
  <c r="DA11" i="18"/>
  <c r="DC10" i="18"/>
  <c r="DB10" i="18"/>
  <c r="EJ12" i="18"/>
  <c r="EK11" i="18"/>
  <c r="EL11" i="18"/>
  <c r="D17" i="17"/>
  <c r="D19" i="17" s="1"/>
  <c r="G10" i="3"/>
  <c r="G24" i="3"/>
  <c r="CR10" i="18" l="1"/>
  <c r="CS10" i="18"/>
  <c r="AJ10" i="18"/>
  <c r="AK10" i="18"/>
  <c r="CN8" i="18"/>
  <c r="DR10" i="18"/>
  <c r="EV8" i="18"/>
  <c r="AF10" i="18"/>
  <c r="CX12" i="18"/>
  <c r="CV13" i="18"/>
  <c r="CW12" i="18"/>
  <c r="DR11" i="18"/>
  <c r="DP12" i="18"/>
  <c r="DQ11" i="18"/>
  <c r="DM11" i="18"/>
  <c r="DK12" i="18"/>
  <c r="DL11" i="18"/>
  <c r="AF11" i="18"/>
  <c r="AD12" i="18"/>
  <c r="AE11" i="18"/>
  <c r="DR9" i="18"/>
  <c r="AK11" i="18"/>
  <c r="AI12" i="18"/>
  <c r="AJ11" i="18"/>
  <c r="DH11" i="18"/>
  <c r="DF12" i="18"/>
  <c r="DG11" i="18"/>
  <c r="BT11" i="18"/>
  <c r="BR12" i="18"/>
  <c r="BS11" i="18"/>
  <c r="EQ11" i="18"/>
  <c r="EO12" i="18"/>
  <c r="EP11" i="18"/>
  <c r="AF8" i="18"/>
  <c r="EG11" i="18"/>
  <c r="EE12" i="18"/>
  <c r="EF11" i="18"/>
  <c r="CM10" i="18"/>
  <c r="CL11" i="18"/>
  <c r="CN10" i="18"/>
  <c r="DU11" i="18"/>
  <c r="DW10" i="18"/>
  <c r="DV10" i="18"/>
  <c r="BE11" i="18"/>
  <c r="BC12" i="18"/>
  <c r="BD11" i="18"/>
  <c r="BY11" i="18"/>
  <c r="BW12" i="18"/>
  <c r="BX11" i="18"/>
  <c r="AP11" i="18"/>
  <c r="AN12" i="18"/>
  <c r="AO11" i="18"/>
  <c r="CD11" i="18"/>
  <c r="CB12" i="18"/>
  <c r="CC11" i="18"/>
  <c r="BO11" i="18"/>
  <c r="BM12" i="18"/>
  <c r="BN11" i="18"/>
  <c r="EL12" i="18"/>
  <c r="EJ13" i="18"/>
  <c r="EK12" i="18"/>
  <c r="EV10" i="18"/>
  <c r="BJ12" i="18"/>
  <c r="BH13" i="18"/>
  <c r="BI12" i="18"/>
  <c r="AY10" i="18"/>
  <c r="AX11" i="18"/>
  <c r="AZ10" i="18"/>
  <c r="V12" i="18"/>
  <c r="T13" i="18"/>
  <c r="U12" i="18"/>
  <c r="EA10" i="18"/>
  <c r="DZ11" i="18"/>
  <c r="EB10" i="18"/>
  <c r="EV11" i="18"/>
  <c r="ET12" i="18"/>
  <c r="EU11" i="18"/>
  <c r="AA11" i="18"/>
  <c r="Y12" i="18"/>
  <c r="Z11" i="18"/>
  <c r="BT10" i="18"/>
  <c r="AS11" i="18"/>
  <c r="AU10" i="18"/>
  <c r="AT10" i="18"/>
  <c r="CG11" i="18"/>
  <c r="CI10" i="18"/>
  <c r="CH10" i="18"/>
  <c r="BT8" i="18"/>
  <c r="CS11" i="18"/>
  <c r="CQ12" i="18"/>
  <c r="CR11" i="18"/>
  <c r="DC11" i="18"/>
  <c r="DA12" i="18"/>
  <c r="DB11" i="18"/>
  <c r="D18" i="17"/>
  <c r="M6" i="17"/>
  <c r="J6" i="17"/>
  <c r="C19" i="17"/>
  <c r="D25" i="17"/>
  <c r="D24"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AU11" i="18" l="1"/>
  <c r="AS12" i="18"/>
  <c r="AT11" i="18"/>
  <c r="BH14" i="18"/>
  <c r="BJ13" i="18"/>
  <c r="BI13" i="18"/>
  <c r="BY12" i="18"/>
  <c r="BW13" i="18"/>
  <c r="BX12" i="18"/>
  <c r="EQ12" i="18"/>
  <c r="EO13" i="18"/>
  <c r="EP12" i="18"/>
  <c r="DM12" i="18"/>
  <c r="DK13" i="18"/>
  <c r="DL12" i="18"/>
  <c r="EB11" i="18"/>
  <c r="DZ12" i="18"/>
  <c r="EA11" i="18"/>
  <c r="BO12" i="18"/>
  <c r="BM13" i="18"/>
  <c r="BN12" i="18"/>
  <c r="DW11" i="18"/>
  <c r="DU12" i="18"/>
  <c r="DV11" i="18"/>
  <c r="AA12" i="18"/>
  <c r="Y13" i="18"/>
  <c r="Z12" i="18"/>
  <c r="CN11" i="18"/>
  <c r="CL12" i="18"/>
  <c r="CM11" i="18"/>
  <c r="AK12" i="18"/>
  <c r="AI13" i="18"/>
  <c r="AJ12" i="18"/>
  <c r="CD12" i="18"/>
  <c r="CB13" i="18"/>
  <c r="CC12" i="18"/>
  <c r="T14" i="18"/>
  <c r="V13" i="18"/>
  <c r="U13" i="18"/>
  <c r="EV12" i="18"/>
  <c r="ET13" i="18"/>
  <c r="EU12" i="18"/>
  <c r="EJ14" i="18"/>
  <c r="EL13" i="18"/>
  <c r="EK13" i="18"/>
  <c r="EG12" i="18"/>
  <c r="EE13" i="18"/>
  <c r="EF12" i="18"/>
  <c r="DC12" i="18"/>
  <c r="DA13" i="18"/>
  <c r="DB12" i="18"/>
  <c r="CI11" i="18"/>
  <c r="CG12" i="18"/>
  <c r="CH11" i="18"/>
  <c r="BE12" i="18"/>
  <c r="BC13" i="18"/>
  <c r="BD12" i="18"/>
  <c r="BT12" i="18"/>
  <c r="BR13" i="18"/>
  <c r="BS12" i="18"/>
  <c r="DR12" i="18"/>
  <c r="DP13" i="18"/>
  <c r="DQ12" i="18"/>
  <c r="AZ11" i="18"/>
  <c r="AX12" i="18"/>
  <c r="AY11" i="18"/>
  <c r="AP12" i="18"/>
  <c r="AN13" i="18"/>
  <c r="AO12" i="18"/>
  <c r="AF12" i="18"/>
  <c r="AD13" i="18"/>
  <c r="AE12" i="18"/>
  <c r="DH12" i="18"/>
  <c r="DF13" i="18"/>
  <c r="DG12" i="18"/>
  <c r="CV14" i="18"/>
  <c r="CX13" i="18"/>
  <c r="CW13" i="18"/>
  <c r="CS12" i="18"/>
  <c r="CQ13" i="18"/>
  <c r="CR12" i="18"/>
  <c r="D22" i="17"/>
  <c r="D21" i="17"/>
  <c r="I7" i="17"/>
  <c r="J7" i="17" s="1"/>
  <c r="H7" i="17" s="1"/>
  <c r="L7" i="17"/>
  <c r="M7" i="17" s="1"/>
  <c r="K7" i="17" s="1"/>
  <c r="D20" i="8"/>
  <c r="EU13" i="18" l="1"/>
  <c r="ET14" i="18"/>
  <c r="EV13" i="18"/>
  <c r="BC14" i="18"/>
  <c r="BE13" i="18"/>
  <c r="BD13" i="18"/>
  <c r="AI14" i="18"/>
  <c r="AK13" i="18"/>
  <c r="AJ13" i="18"/>
  <c r="BW14" i="18"/>
  <c r="BY13" i="18"/>
  <c r="BX13" i="18"/>
  <c r="CQ14" i="18"/>
  <c r="CS13" i="18"/>
  <c r="CR13" i="18"/>
  <c r="AZ12" i="18"/>
  <c r="AX13" i="18"/>
  <c r="AY12" i="18"/>
  <c r="EB12" i="18"/>
  <c r="DZ13" i="18"/>
  <c r="EA12" i="18"/>
  <c r="AE13" i="18"/>
  <c r="AD14" i="18"/>
  <c r="AF13" i="18"/>
  <c r="EE14" i="18"/>
  <c r="EG13" i="18"/>
  <c r="EF13" i="18"/>
  <c r="DU13" i="18"/>
  <c r="DV12" i="18"/>
  <c r="DW12" i="18"/>
  <c r="CG13" i="18"/>
  <c r="CH12" i="18"/>
  <c r="CI12" i="18"/>
  <c r="DG13" i="18"/>
  <c r="DF14" i="18"/>
  <c r="DH13" i="18"/>
  <c r="AN14" i="18"/>
  <c r="AP13" i="18"/>
  <c r="AO13" i="18"/>
  <c r="BM14" i="18"/>
  <c r="BO13" i="18"/>
  <c r="BN13" i="18"/>
  <c r="BH15" i="18"/>
  <c r="BJ14" i="18"/>
  <c r="BI14" i="18"/>
  <c r="BS13" i="18"/>
  <c r="BR14" i="18"/>
  <c r="BT13" i="18"/>
  <c r="EJ15" i="18"/>
  <c r="EL14" i="18"/>
  <c r="EK14" i="18"/>
  <c r="CB14" i="18"/>
  <c r="CD13" i="18"/>
  <c r="CC13" i="18"/>
  <c r="CV15" i="18"/>
  <c r="CX14" i="18"/>
  <c r="CW14" i="18"/>
  <c r="DP14" i="18"/>
  <c r="DR13" i="18"/>
  <c r="DQ13" i="18"/>
  <c r="DK14" i="18"/>
  <c r="DM13" i="18"/>
  <c r="DL13" i="18"/>
  <c r="T15" i="18"/>
  <c r="V14" i="18"/>
  <c r="U14" i="18"/>
  <c r="CN12" i="18"/>
  <c r="CL13" i="18"/>
  <c r="CM12" i="18"/>
  <c r="EO14" i="18"/>
  <c r="EQ13" i="18"/>
  <c r="EP13" i="18"/>
  <c r="DA14" i="18"/>
  <c r="DC13" i="18"/>
  <c r="DB13" i="18"/>
  <c r="Y14" i="18"/>
  <c r="AA13" i="18"/>
  <c r="Z13" i="18"/>
  <c r="AS13" i="18"/>
  <c r="AT12" i="18"/>
  <c r="AU12" i="18"/>
  <c r="L8" i="17"/>
  <c r="M8" i="17" s="1"/>
  <c r="I8" i="17"/>
  <c r="J8" i="17" s="1"/>
  <c r="Q8" i="10"/>
  <c r="Q9" i="10" s="1"/>
  <c r="Q10" i="10" s="1"/>
  <c r="Q11" i="10" s="1"/>
  <c r="Q12" i="10" s="1"/>
  <c r="Q13" i="10" s="1"/>
  <c r="Q14" i="10" s="1"/>
  <c r="AS14" i="18" l="1"/>
  <c r="AU13" i="18"/>
  <c r="AT13" i="18"/>
  <c r="CX15" i="18"/>
  <c r="CW15" i="18"/>
  <c r="CV16" i="18"/>
  <c r="BR15" i="18"/>
  <c r="BT14" i="18"/>
  <c r="BS14" i="18"/>
  <c r="CG14" i="18"/>
  <c r="CI13" i="18"/>
  <c r="CH13" i="18"/>
  <c r="AD15" i="18"/>
  <c r="AF14" i="18"/>
  <c r="AE14" i="18"/>
  <c r="AI15" i="18"/>
  <c r="AK14" i="18"/>
  <c r="AJ14" i="18"/>
  <c r="V15" i="18"/>
  <c r="U15" i="18"/>
  <c r="T16" i="18"/>
  <c r="EO15" i="18"/>
  <c r="EQ14" i="18"/>
  <c r="EP14" i="18"/>
  <c r="DK15" i="18"/>
  <c r="DM14" i="18"/>
  <c r="DL14" i="18"/>
  <c r="AO14" i="18"/>
  <c r="AN15" i="18"/>
  <c r="AP14" i="18"/>
  <c r="CQ15" i="18"/>
  <c r="CS14" i="18"/>
  <c r="CR14" i="18"/>
  <c r="BM15" i="18"/>
  <c r="BO14" i="18"/>
  <c r="BN14" i="18"/>
  <c r="Y15" i="18"/>
  <c r="AA14" i="18"/>
  <c r="Z14" i="18"/>
  <c r="CL14" i="18"/>
  <c r="CN13" i="18"/>
  <c r="CM13" i="18"/>
  <c r="CC14" i="18"/>
  <c r="CB15" i="18"/>
  <c r="CD14" i="18"/>
  <c r="DU14" i="18"/>
  <c r="DW13" i="18"/>
  <c r="DV13" i="18"/>
  <c r="DZ14" i="18"/>
  <c r="EB13" i="18"/>
  <c r="EA13" i="18"/>
  <c r="BC15" i="18"/>
  <c r="BE14" i="18"/>
  <c r="BD14" i="18"/>
  <c r="BJ15" i="18"/>
  <c r="BI15" i="18"/>
  <c r="BH16" i="18"/>
  <c r="DF15" i="18"/>
  <c r="DH14" i="18"/>
  <c r="DG14" i="18"/>
  <c r="DQ14" i="18"/>
  <c r="DP15" i="18"/>
  <c r="DR14" i="18"/>
  <c r="BW15" i="18"/>
  <c r="BY14" i="18"/>
  <c r="BX14" i="18"/>
  <c r="ET15" i="18"/>
  <c r="EV14" i="18"/>
  <c r="EU14" i="18"/>
  <c r="DA15" i="18"/>
  <c r="DC14" i="18"/>
  <c r="DB14" i="18"/>
  <c r="EL15" i="18"/>
  <c r="EK15" i="18"/>
  <c r="EJ16" i="18"/>
  <c r="EE15" i="18"/>
  <c r="EG14" i="18"/>
  <c r="EF14" i="18"/>
  <c r="AX14" i="18"/>
  <c r="AZ13" i="18"/>
  <c r="AY13" i="18"/>
  <c r="L9" i="17"/>
  <c r="M9" i="17" s="1"/>
  <c r="K8" i="17"/>
  <c r="I9" i="17"/>
  <c r="J9" i="17" s="1"/>
  <c r="H8" i="17"/>
  <c r="Q34" i="14"/>
  <c r="D22" i="8"/>
  <c r="D23" i="8"/>
  <c r="ET16" i="18" l="1"/>
  <c r="EV15" i="18"/>
  <c r="EU15" i="18"/>
  <c r="BY15" i="18"/>
  <c r="BX15" i="18"/>
  <c r="BW16" i="18"/>
  <c r="CL15" i="18"/>
  <c r="CN14" i="18"/>
  <c r="CM14" i="18"/>
  <c r="AK15" i="18"/>
  <c r="AJ15" i="18"/>
  <c r="AI16" i="18"/>
  <c r="AX15" i="18"/>
  <c r="AZ14" i="18"/>
  <c r="AY14" i="18"/>
  <c r="CQ16" i="18"/>
  <c r="CS15" i="18"/>
  <c r="CR15" i="18"/>
  <c r="BR16" i="18"/>
  <c r="BT15" i="18"/>
  <c r="BS15" i="18"/>
  <c r="DA16" i="18"/>
  <c r="DC15" i="18"/>
  <c r="DB15" i="18"/>
  <c r="EO16" i="18"/>
  <c r="EQ15" i="18"/>
  <c r="EP15" i="18"/>
  <c r="CV17" i="18"/>
  <c r="CX16" i="18"/>
  <c r="CW16" i="18"/>
  <c r="Y16" i="18"/>
  <c r="AA15" i="18"/>
  <c r="Z15" i="18"/>
  <c r="AN16" i="18"/>
  <c r="AP15" i="18"/>
  <c r="AO15" i="18"/>
  <c r="T17" i="18"/>
  <c r="V16" i="18"/>
  <c r="U16" i="18"/>
  <c r="AD16" i="18"/>
  <c r="AF15" i="18"/>
  <c r="AE15" i="18"/>
  <c r="DP16" i="18"/>
  <c r="DR15" i="18"/>
  <c r="DQ15" i="18"/>
  <c r="DU15" i="18"/>
  <c r="DW14" i="18"/>
  <c r="DV14" i="18"/>
  <c r="EE16" i="18"/>
  <c r="EG15" i="18"/>
  <c r="EF15" i="18"/>
  <c r="BC16" i="18"/>
  <c r="BE15" i="18"/>
  <c r="BD15" i="18"/>
  <c r="CB16" i="18"/>
  <c r="CD15" i="18"/>
  <c r="CC15" i="18"/>
  <c r="EJ17" i="18"/>
  <c r="EL16" i="18"/>
  <c r="EK16" i="18"/>
  <c r="DF16" i="18"/>
  <c r="DH15" i="18"/>
  <c r="DG15" i="18"/>
  <c r="BM16" i="18"/>
  <c r="BO15" i="18"/>
  <c r="BN15" i="18"/>
  <c r="CG15" i="18"/>
  <c r="CI14" i="18"/>
  <c r="CH14" i="18"/>
  <c r="BH17" i="18"/>
  <c r="BJ16" i="18"/>
  <c r="BI16" i="18"/>
  <c r="DZ15" i="18"/>
  <c r="EB14" i="18"/>
  <c r="EA14" i="18"/>
  <c r="DM15" i="18"/>
  <c r="DL15" i="18"/>
  <c r="DK16" i="18"/>
  <c r="AS15" i="18"/>
  <c r="AU14" i="18"/>
  <c r="AT14" i="18"/>
  <c r="L10" i="17"/>
  <c r="M10" i="17" s="1"/>
  <c r="K10" i="17" s="1"/>
  <c r="K9" i="17"/>
  <c r="I10" i="17"/>
  <c r="J10" i="17" s="1"/>
  <c r="H9" i="17"/>
  <c r="R34" i="14"/>
  <c r="AP16" i="18" l="1"/>
  <c r="AO16" i="18"/>
  <c r="AN17" i="18"/>
  <c r="EA15" i="18"/>
  <c r="DZ16" i="18"/>
  <c r="EB15" i="18"/>
  <c r="EF16" i="18"/>
  <c r="EE17" i="18"/>
  <c r="EG16" i="18"/>
  <c r="ET17" i="18"/>
  <c r="EV16" i="18"/>
  <c r="EU16" i="18"/>
  <c r="BO16" i="18"/>
  <c r="BN16" i="18"/>
  <c r="BM17" i="18"/>
  <c r="AD17" i="18"/>
  <c r="AF16" i="18"/>
  <c r="AE16" i="18"/>
  <c r="CR16" i="18"/>
  <c r="CQ17" i="18"/>
  <c r="CS16" i="18"/>
  <c r="BI17" i="18"/>
  <c r="BH18" i="18"/>
  <c r="BJ17" i="18"/>
  <c r="DW15" i="18"/>
  <c r="DV15" i="18"/>
  <c r="DU16" i="18"/>
  <c r="EK17" i="18"/>
  <c r="EJ18" i="18"/>
  <c r="EL17" i="18"/>
  <c r="EQ16" i="18"/>
  <c r="EP16" i="18"/>
  <c r="EO17" i="18"/>
  <c r="AU15" i="18"/>
  <c r="AT15" i="18"/>
  <c r="AS16" i="18"/>
  <c r="CD16" i="18"/>
  <c r="CC16" i="18"/>
  <c r="CB17" i="18"/>
  <c r="AA16" i="18"/>
  <c r="Z16" i="18"/>
  <c r="Y17" i="18"/>
  <c r="CM15" i="18"/>
  <c r="CL16" i="18"/>
  <c r="CN15" i="18"/>
  <c r="DF17" i="18"/>
  <c r="DH16" i="18"/>
  <c r="DG16" i="18"/>
  <c r="BD16" i="18"/>
  <c r="BC17" i="18"/>
  <c r="BE16" i="18"/>
  <c r="CW17" i="18"/>
  <c r="CV18" i="18"/>
  <c r="CX17" i="18"/>
  <c r="AI17" i="18"/>
  <c r="AK16" i="18"/>
  <c r="AJ16" i="18"/>
  <c r="DK17" i="18"/>
  <c r="DM16" i="18"/>
  <c r="DL16" i="18"/>
  <c r="DC16" i="18"/>
  <c r="DB16" i="18"/>
  <c r="DA17" i="18"/>
  <c r="BW17" i="18"/>
  <c r="BY16" i="18"/>
  <c r="BX16" i="18"/>
  <c r="U17" i="18"/>
  <c r="T18" i="18"/>
  <c r="V17" i="18"/>
  <c r="AY15" i="18"/>
  <c r="AX16" i="18"/>
  <c r="AZ15" i="18"/>
  <c r="CI15" i="18"/>
  <c r="CH15" i="18"/>
  <c r="CG16" i="18"/>
  <c r="DR16" i="18"/>
  <c r="DQ16" i="18"/>
  <c r="DP17" i="18"/>
  <c r="BR17" i="18"/>
  <c r="BT16" i="18"/>
  <c r="BS16" i="18"/>
  <c r="I11" i="17"/>
  <c r="J11" i="17" s="1"/>
  <c r="H10" i="17"/>
  <c r="L11" i="17"/>
  <c r="M11" i="17" s="1"/>
  <c r="G28" i="3"/>
  <c r="G26" i="3"/>
  <c r="G27" i="3"/>
  <c r="ET18" i="18" l="1"/>
  <c r="EV17" i="18"/>
  <c r="EU17" i="18"/>
  <c r="BW18" i="18"/>
  <c r="BY17" i="18"/>
  <c r="BX17" i="18"/>
  <c r="AD18" i="18"/>
  <c r="AF17" i="18"/>
  <c r="AE17" i="18"/>
  <c r="EE18" i="18"/>
  <c r="EG17" i="18"/>
  <c r="EF17" i="18"/>
  <c r="DP18" i="18"/>
  <c r="DR17" i="18"/>
  <c r="DQ17" i="18"/>
  <c r="DF18" i="18"/>
  <c r="DH17" i="18"/>
  <c r="DG17" i="18"/>
  <c r="BH19" i="18"/>
  <c r="BJ18" i="18"/>
  <c r="BI18" i="18"/>
  <c r="BM18" i="18"/>
  <c r="BO17" i="18"/>
  <c r="BN17" i="18"/>
  <c r="CX18" i="18"/>
  <c r="CW18" i="18"/>
  <c r="CV19" i="18"/>
  <c r="EJ19" i="18"/>
  <c r="EL18" i="18"/>
  <c r="EK18" i="18"/>
  <c r="EB16" i="18"/>
  <c r="EA16" i="18"/>
  <c r="DZ17" i="18"/>
  <c r="BR18" i="18"/>
  <c r="BT17" i="18"/>
  <c r="BS17" i="18"/>
  <c r="AZ16" i="18"/>
  <c r="AY16" i="18"/>
  <c r="AX17" i="18"/>
  <c r="DA18" i="18"/>
  <c r="DC17" i="18"/>
  <c r="DB17" i="18"/>
  <c r="AI18" i="18"/>
  <c r="AK17" i="18"/>
  <c r="AJ17" i="18"/>
  <c r="CB18" i="18"/>
  <c r="CD17" i="18"/>
  <c r="CC17" i="18"/>
  <c r="T19" i="18"/>
  <c r="V18" i="18"/>
  <c r="U18" i="18"/>
  <c r="CN16" i="18"/>
  <c r="CM16" i="18"/>
  <c r="CL17" i="18"/>
  <c r="AS17" i="18"/>
  <c r="AU16" i="18"/>
  <c r="AT16" i="18"/>
  <c r="CQ18" i="18"/>
  <c r="CS17" i="18"/>
  <c r="CR17" i="18"/>
  <c r="CG17" i="18"/>
  <c r="CI16" i="18"/>
  <c r="CH16" i="18"/>
  <c r="DU17" i="18"/>
  <c r="DW16" i="18"/>
  <c r="DV16" i="18"/>
  <c r="AN18" i="18"/>
  <c r="AP17" i="18"/>
  <c r="AO17" i="18"/>
  <c r="DK18" i="18"/>
  <c r="DM17" i="18"/>
  <c r="DL17" i="18"/>
  <c r="BC18" i="18"/>
  <c r="BE17" i="18"/>
  <c r="BD17" i="18"/>
  <c r="Y18" i="18"/>
  <c r="AA17" i="18"/>
  <c r="Z17" i="18"/>
  <c r="EO18" i="18"/>
  <c r="EQ17" i="18"/>
  <c r="EP17" i="18"/>
  <c r="I12" i="17"/>
  <c r="J12" i="17" s="1"/>
  <c r="H12" i="17" s="1"/>
  <c r="H11" i="17"/>
  <c r="L12" i="17"/>
  <c r="M12" i="17" s="1"/>
  <c r="K12" i="17" s="1"/>
  <c r="K11" i="17"/>
  <c r="N34" i="14"/>
  <c r="P34" i="14"/>
  <c r="O34" i="14"/>
  <c r="M34" i="14"/>
  <c r="H10" i="14"/>
  <c r="H9" i="14"/>
  <c r="D13" i="14"/>
  <c r="D12" i="14"/>
  <c r="Y19" i="18" l="1"/>
  <c r="AA18" i="18"/>
  <c r="Z18" i="18"/>
  <c r="AN19" i="18"/>
  <c r="AP18" i="18"/>
  <c r="AO18" i="18"/>
  <c r="AK18" i="18"/>
  <c r="AI19" i="18"/>
  <c r="AJ18" i="18"/>
  <c r="T20" i="18"/>
  <c r="V19" i="18"/>
  <c r="U19" i="18"/>
  <c r="DZ18" i="18"/>
  <c r="EB17" i="18"/>
  <c r="EA17" i="18"/>
  <c r="ET19" i="18"/>
  <c r="EV18" i="18"/>
  <c r="EU18" i="18"/>
  <c r="DW17" i="18"/>
  <c r="DV17" i="18"/>
  <c r="DU18" i="18"/>
  <c r="DC18" i="18"/>
  <c r="DB18" i="18"/>
  <c r="DA19" i="18"/>
  <c r="DF19" i="18"/>
  <c r="DH18" i="18"/>
  <c r="DG18" i="18"/>
  <c r="EL19" i="18"/>
  <c r="EJ20" i="18"/>
  <c r="EK19" i="18"/>
  <c r="BW19" i="18"/>
  <c r="BY18" i="18"/>
  <c r="BX18" i="18"/>
  <c r="CV20" i="18"/>
  <c r="CX19" i="18"/>
  <c r="CW19" i="18"/>
  <c r="BI19" i="18"/>
  <c r="BH20" i="18"/>
  <c r="BJ19" i="18"/>
  <c r="BC19" i="18"/>
  <c r="BD18" i="18"/>
  <c r="BE18" i="18"/>
  <c r="EO19" i="18"/>
  <c r="EQ18" i="18"/>
  <c r="EP18" i="18"/>
  <c r="AU17" i="18"/>
  <c r="AT17" i="18"/>
  <c r="AS18" i="18"/>
  <c r="AX18" i="18"/>
  <c r="AZ17" i="18"/>
  <c r="AY17" i="18"/>
  <c r="AF18" i="18"/>
  <c r="AD19" i="18"/>
  <c r="AE18" i="18"/>
  <c r="DK19" i="18"/>
  <c r="DM18" i="18"/>
  <c r="DL18" i="18"/>
  <c r="CB19" i="18"/>
  <c r="CD18" i="18"/>
  <c r="CC18" i="18"/>
  <c r="BO18" i="18"/>
  <c r="BN18" i="18"/>
  <c r="BM19" i="18"/>
  <c r="DP19" i="18"/>
  <c r="DR18" i="18"/>
  <c r="DQ18" i="18"/>
  <c r="CI17" i="18"/>
  <c r="CH17" i="18"/>
  <c r="CG18" i="18"/>
  <c r="CQ19" i="18"/>
  <c r="CR18" i="18"/>
  <c r="CS18" i="18"/>
  <c r="BR19" i="18"/>
  <c r="BT18" i="18"/>
  <c r="BS18" i="18"/>
  <c r="EE19" i="18"/>
  <c r="EF18" i="18"/>
  <c r="EG18" i="18"/>
  <c r="CL18" i="18"/>
  <c r="CN17" i="18"/>
  <c r="CM17" i="18"/>
  <c r="I13" i="17"/>
  <c r="J13" i="17" s="1"/>
  <c r="H13" i="17" s="1"/>
  <c r="L13" i="17"/>
  <c r="M13" i="17" s="1"/>
  <c r="L36" i="14"/>
  <c r="N36" i="14" s="1"/>
  <c r="N35" i="14"/>
  <c r="K36" i="14"/>
  <c r="M36" i="14" s="1"/>
  <c r="L39" i="14"/>
  <c r="N39" i="14" s="1"/>
  <c r="K39" i="14"/>
  <c r="M39" i="14" s="1"/>
  <c r="M35" i="14"/>
  <c r="N38" i="14"/>
  <c r="M38" i="14"/>
  <c r="G12" i="14"/>
  <c r="BR20" i="18" l="1"/>
  <c r="BT19" i="18"/>
  <c r="BS19" i="18"/>
  <c r="AZ18" i="18"/>
  <c r="AY18" i="18"/>
  <c r="AX19" i="18"/>
  <c r="DH19" i="18"/>
  <c r="DG19" i="18"/>
  <c r="DF20" i="18"/>
  <c r="AA19" i="18"/>
  <c r="Y20" i="18"/>
  <c r="Z19" i="18"/>
  <c r="DP20" i="18"/>
  <c r="DQ19" i="18"/>
  <c r="DR19" i="18"/>
  <c r="AS19" i="18"/>
  <c r="AU18" i="18"/>
  <c r="AT18" i="18"/>
  <c r="BE19" i="18"/>
  <c r="BD19" i="18"/>
  <c r="BC20" i="18"/>
  <c r="DC19" i="18"/>
  <c r="DA20" i="18"/>
  <c r="DB19" i="18"/>
  <c r="EV19" i="18"/>
  <c r="ET20" i="18"/>
  <c r="EU19" i="18"/>
  <c r="AK19" i="18"/>
  <c r="AJ19" i="18"/>
  <c r="AI20" i="18"/>
  <c r="CS19" i="18"/>
  <c r="CR19" i="18"/>
  <c r="CQ20" i="18"/>
  <c r="BJ20" i="18"/>
  <c r="BI20" i="18"/>
  <c r="BH21" i="18"/>
  <c r="DK20" i="18"/>
  <c r="DM19" i="18"/>
  <c r="DL19" i="18"/>
  <c r="CI18" i="18"/>
  <c r="CG19" i="18"/>
  <c r="CH18" i="18"/>
  <c r="AF19" i="18"/>
  <c r="AD20" i="18"/>
  <c r="AE19" i="18"/>
  <c r="EL20" i="18"/>
  <c r="EK20" i="18"/>
  <c r="EJ21" i="18"/>
  <c r="EG19" i="18"/>
  <c r="EE20" i="18"/>
  <c r="EF19" i="18"/>
  <c r="AN20" i="18"/>
  <c r="AO19" i="18"/>
  <c r="AP19" i="18"/>
  <c r="DU19" i="18"/>
  <c r="DW18" i="18"/>
  <c r="DV18" i="18"/>
  <c r="DZ19" i="18"/>
  <c r="EB18" i="18"/>
  <c r="EA18" i="18"/>
  <c r="EQ19" i="18"/>
  <c r="EO20" i="18"/>
  <c r="EP19" i="18"/>
  <c r="CN18" i="18"/>
  <c r="CL19" i="18"/>
  <c r="CM18" i="18"/>
  <c r="BO19" i="18"/>
  <c r="BM20" i="18"/>
  <c r="BN19" i="18"/>
  <c r="BW20" i="18"/>
  <c r="BY19" i="18"/>
  <c r="BX19" i="18"/>
  <c r="CB20" i="18"/>
  <c r="CC19" i="18"/>
  <c r="CD19" i="18"/>
  <c r="CX20" i="18"/>
  <c r="CW20" i="18"/>
  <c r="CV21" i="18"/>
  <c r="V20" i="18"/>
  <c r="T21" i="18"/>
  <c r="U20" i="18"/>
  <c r="I14" i="17"/>
  <c r="J14" i="17" s="1"/>
  <c r="H14" i="17" s="1"/>
  <c r="L14" i="17"/>
  <c r="M14" i="17" s="1"/>
  <c r="K14" i="17" s="1"/>
  <c r="K13" i="17"/>
  <c r="G13" i="14"/>
  <c r="L34" i="14" s="1"/>
  <c r="K34" i="14"/>
  <c r="EB19" i="18" l="1"/>
  <c r="DZ20" i="18"/>
  <c r="EA19" i="18"/>
  <c r="ET21" i="18"/>
  <c r="EU20" i="18"/>
  <c r="EV20" i="18"/>
  <c r="V21" i="18"/>
  <c r="T22" i="18"/>
  <c r="U21" i="18"/>
  <c r="EL21" i="18"/>
  <c r="EJ22" i="18"/>
  <c r="EK21" i="18"/>
  <c r="AS20" i="18"/>
  <c r="AU19" i="18"/>
  <c r="AT19" i="18"/>
  <c r="BM21" i="18"/>
  <c r="BN20" i="18"/>
  <c r="BO20" i="18"/>
  <c r="AP20" i="18"/>
  <c r="AO20" i="18"/>
  <c r="AN21" i="18"/>
  <c r="BJ21" i="18"/>
  <c r="BH22" i="18"/>
  <c r="BI21" i="18"/>
  <c r="DU20" i="18"/>
  <c r="DW19" i="18"/>
  <c r="DV19" i="18"/>
  <c r="DA21" i="18"/>
  <c r="DB20" i="18"/>
  <c r="DC20" i="18"/>
  <c r="EG20" i="18"/>
  <c r="EE21" i="18"/>
  <c r="EF20" i="18"/>
  <c r="AK20" i="18"/>
  <c r="AI21" i="18"/>
  <c r="AJ20" i="18"/>
  <c r="AZ19" i="18"/>
  <c r="AX20" i="18"/>
  <c r="AY19" i="18"/>
  <c r="CX21" i="18"/>
  <c r="CV22" i="18"/>
  <c r="CW21" i="18"/>
  <c r="BY20" i="18"/>
  <c r="BW21" i="18"/>
  <c r="BX20" i="18"/>
  <c r="EO21" i="18"/>
  <c r="EP20" i="18"/>
  <c r="EQ20" i="18"/>
  <c r="DM20" i="18"/>
  <c r="DK21" i="18"/>
  <c r="DL20" i="18"/>
  <c r="BE20" i="18"/>
  <c r="BC21" i="18"/>
  <c r="BD20" i="18"/>
  <c r="DP21" i="18"/>
  <c r="DR20" i="18"/>
  <c r="DQ20" i="18"/>
  <c r="AD21" i="18"/>
  <c r="AE20" i="18"/>
  <c r="AF20" i="18"/>
  <c r="Y21" i="18"/>
  <c r="Z20" i="18"/>
  <c r="AA20" i="18"/>
  <c r="CB21" i="18"/>
  <c r="CD20" i="18"/>
  <c r="CC20" i="18"/>
  <c r="CN19" i="18"/>
  <c r="CL20" i="18"/>
  <c r="CM19" i="18"/>
  <c r="CG20" i="18"/>
  <c r="CI19" i="18"/>
  <c r="CH19" i="18"/>
  <c r="CS20" i="18"/>
  <c r="CR20" i="18"/>
  <c r="CQ21" i="18"/>
  <c r="DF21" i="18"/>
  <c r="DG20" i="18"/>
  <c r="DH20" i="18"/>
  <c r="BR21" i="18"/>
  <c r="BS20" i="18"/>
  <c r="BT20" i="18"/>
  <c r="L15" i="17"/>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CD21" i="18" l="1"/>
  <c r="CC21" i="18"/>
  <c r="CB22" i="18"/>
  <c r="EG21" i="18"/>
  <c r="EE22" i="18"/>
  <c r="EF21" i="18"/>
  <c r="BM22" i="18"/>
  <c r="BO21" i="18"/>
  <c r="BN21" i="18"/>
  <c r="V22" i="18"/>
  <c r="T23" i="18"/>
  <c r="U22" i="18"/>
  <c r="BR22" i="18"/>
  <c r="BS21" i="18"/>
  <c r="BT21" i="18"/>
  <c r="DR21" i="18"/>
  <c r="DQ21" i="18"/>
  <c r="DP22" i="18"/>
  <c r="BJ22" i="18"/>
  <c r="BH23" i="18"/>
  <c r="BI22" i="18"/>
  <c r="DU21" i="18"/>
  <c r="DW20" i="18"/>
  <c r="DV20" i="18"/>
  <c r="CG21" i="18"/>
  <c r="CI20" i="18"/>
  <c r="CH20" i="18"/>
  <c r="EQ21" i="18"/>
  <c r="EP21" i="18"/>
  <c r="EO22" i="18"/>
  <c r="AZ20" i="18"/>
  <c r="AX21" i="18"/>
  <c r="AY20" i="18"/>
  <c r="Y22" i="18"/>
  <c r="AA21" i="18"/>
  <c r="Z21" i="18"/>
  <c r="BE21" i="18"/>
  <c r="BC22" i="18"/>
  <c r="BD21" i="18"/>
  <c r="AS21" i="18"/>
  <c r="AU20" i="18"/>
  <c r="AT20" i="18"/>
  <c r="AP21" i="18"/>
  <c r="AO21" i="18"/>
  <c r="AN22" i="18"/>
  <c r="DF22" i="18"/>
  <c r="DG21" i="18"/>
  <c r="DH21" i="18"/>
  <c r="CN20" i="18"/>
  <c r="CL21" i="18"/>
  <c r="CM20" i="18"/>
  <c r="BY21" i="18"/>
  <c r="BW22" i="18"/>
  <c r="BX21" i="18"/>
  <c r="DC21" i="18"/>
  <c r="DB21" i="18"/>
  <c r="DA22" i="18"/>
  <c r="ET22" i="18"/>
  <c r="EU21" i="18"/>
  <c r="EV21" i="18"/>
  <c r="CS21" i="18"/>
  <c r="CQ22" i="18"/>
  <c r="CR21" i="18"/>
  <c r="AK21" i="18"/>
  <c r="AI22" i="18"/>
  <c r="AJ21" i="18"/>
  <c r="EL22" i="18"/>
  <c r="EJ23" i="18"/>
  <c r="EK22" i="18"/>
  <c r="AD22" i="18"/>
  <c r="AE21" i="18"/>
  <c r="AF21" i="18"/>
  <c r="DM21" i="18"/>
  <c r="DK22" i="18"/>
  <c r="DL21" i="18"/>
  <c r="EB20" i="18"/>
  <c r="DZ21" i="18"/>
  <c r="EA20" i="18"/>
  <c r="CX22" i="18"/>
  <c r="CV23" i="18"/>
  <c r="CW22" i="18"/>
  <c r="I16" i="17"/>
  <c r="J16" i="17" s="1"/>
  <c r="H16" i="17"/>
  <c r="L16" i="17"/>
  <c r="M16" i="17" s="1"/>
  <c r="K16" i="17"/>
  <c r="M41" i="14"/>
  <c r="N41" i="14" s="1"/>
  <c r="L41" i="14"/>
  <c r="D42" i="13"/>
  <c r="D11" i="12"/>
  <c r="D15" i="12" s="1"/>
  <c r="C17" i="12"/>
  <c r="C16" i="12"/>
  <c r="C13" i="12"/>
  <c r="C12" i="12"/>
  <c r="C9" i="12"/>
  <c r="J10" i="11"/>
  <c r="J11" i="11" s="1"/>
  <c r="I10" i="11"/>
  <c r="G10" i="11"/>
  <c r="G11" i="11" s="1"/>
  <c r="F10" i="11"/>
  <c r="DC22" i="18" l="1"/>
  <c r="DA23" i="18"/>
  <c r="DB22" i="18"/>
  <c r="CI21" i="18"/>
  <c r="CH21" i="18"/>
  <c r="CG22" i="18"/>
  <c r="AU21" i="18"/>
  <c r="AT21" i="18"/>
  <c r="AS22" i="18"/>
  <c r="AX22" i="18"/>
  <c r="AY21" i="18"/>
  <c r="AZ21" i="18"/>
  <c r="BO22" i="18"/>
  <c r="BM23" i="18"/>
  <c r="BN22" i="18"/>
  <c r="AI23" i="18"/>
  <c r="AJ22" i="18"/>
  <c r="AK22" i="18"/>
  <c r="CV24" i="18"/>
  <c r="CW23" i="18"/>
  <c r="CX23" i="18"/>
  <c r="AF22" i="18"/>
  <c r="AD23" i="18"/>
  <c r="AE22" i="18"/>
  <c r="CQ23" i="18"/>
  <c r="CR22" i="18"/>
  <c r="CS22" i="18"/>
  <c r="DH22" i="18"/>
  <c r="DG22" i="18"/>
  <c r="DF23" i="18"/>
  <c r="BC23" i="18"/>
  <c r="BD22" i="18"/>
  <c r="BE22" i="18"/>
  <c r="EQ22" i="18"/>
  <c r="EP22" i="18"/>
  <c r="EO23" i="18"/>
  <c r="DW21" i="18"/>
  <c r="DV21" i="18"/>
  <c r="DU22" i="18"/>
  <c r="AP22" i="18"/>
  <c r="AN23" i="18"/>
  <c r="AO22" i="18"/>
  <c r="EJ24" i="18"/>
  <c r="EK23" i="18"/>
  <c r="EL23" i="18"/>
  <c r="BH24" i="18"/>
  <c r="BI23" i="18"/>
  <c r="BJ23" i="18"/>
  <c r="BT22" i="18"/>
  <c r="BR23" i="18"/>
  <c r="BS22" i="18"/>
  <c r="EE23" i="18"/>
  <c r="EF22" i="18"/>
  <c r="EG22" i="18"/>
  <c r="T24" i="18"/>
  <c r="U23" i="18"/>
  <c r="V23" i="18"/>
  <c r="CD22" i="18"/>
  <c r="CB23" i="18"/>
  <c r="CC22" i="18"/>
  <c r="DZ22" i="18"/>
  <c r="EA21" i="18"/>
  <c r="EB21" i="18"/>
  <c r="BW23" i="18"/>
  <c r="BX22" i="18"/>
  <c r="BY22" i="18"/>
  <c r="DK23" i="18"/>
  <c r="DL22" i="18"/>
  <c r="DM22" i="18"/>
  <c r="EV22" i="18"/>
  <c r="EU22" i="18"/>
  <c r="ET23" i="18"/>
  <c r="CL22" i="18"/>
  <c r="CM21" i="18"/>
  <c r="CN21" i="18"/>
  <c r="AA22" i="18"/>
  <c r="Z22" i="18"/>
  <c r="Y23" i="18"/>
  <c r="DR22" i="18"/>
  <c r="DP23" i="18"/>
  <c r="DQ22" i="18"/>
  <c r="H17" i="17"/>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G14" i="7"/>
  <c r="G13" i="7"/>
  <c r="C26" i="7"/>
  <c r="DK24" i="18" l="1"/>
  <c r="DM23" i="18"/>
  <c r="DL23" i="18"/>
  <c r="CB24" i="18"/>
  <c r="CC23" i="18"/>
  <c r="CD23" i="18"/>
  <c r="EL24" i="18"/>
  <c r="EK24" i="18"/>
  <c r="EJ25" i="18"/>
  <c r="BT23" i="18"/>
  <c r="BR24" i="18"/>
  <c r="BS23" i="18"/>
  <c r="AZ22" i="18"/>
  <c r="AY22" i="18"/>
  <c r="AX23" i="18"/>
  <c r="DC23" i="18"/>
  <c r="DA24" i="18"/>
  <c r="DB23" i="18"/>
  <c r="CN22" i="18"/>
  <c r="CM22" i="18"/>
  <c r="CL23" i="18"/>
  <c r="AN24" i="18"/>
  <c r="AO23" i="18"/>
  <c r="AP23" i="18"/>
  <c r="CS23" i="18"/>
  <c r="CR23" i="18"/>
  <c r="CQ24" i="18"/>
  <c r="AU22" i="18"/>
  <c r="AS23" i="18"/>
  <c r="AT22" i="18"/>
  <c r="DP24" i="18"/>
  <c r="DQ23" i="18"/>
  <c r="DR23" i="18"/>
  <c r="EV23" i="18"/>
  <c r="ET24" i="18"/>
  <c r="EU23" i="18"/>
  <c r="BW24" i="18"/>
  <c r="BY23" i="18"/>
  <c r="BX23" i="18"/>
  <c r="AJ23" i="18"/>
  <c r="AI24" i="18"/>
  <c r="AK23" i="18"/>
  <c r="EQ23" i="18"/>
  <c r="EO24" i="18"/>
  <c r="EP23" i="18"/>
  <c r="EB22" i="18"/>
  <c r="EA22" i="18"/>
  <c r="DZ23" i="18"/>
  <c r="CX24" i="18"/>
  <c r="CW24" i="18"/>
  <c r="CV25" i="18"/>
  <c r="V24" i="18"/>
  <c r="U24" i="18"/>
  <c r="T25" i="18"/>
  <c r="DW22" i="18"/>
  <c r="DU23" i="18"/>
  <c r="DV22" i="18"/>
  <c r="BE23" i="18"/>
  <c r="BD23" i="18"/>
  <c r="BC24" i="18"/>
  <c r="AF23" i="18"/>
  <c r="AD24" i="18"/>
  <c r="AE23" i="18"/>
  <c r="AA23" i="18"/>
  <c r="Y24" i="18"/>
  <c r="Z23" i="18"/>
  <c r="BJ24" i="18"/>
  <c r="BI24" i="18"/>
  <c r="BH25" i="18"/>
  <c r="DH23" i="18"/>
  <c r="DF24" i="18"/>
  <c r="DG23" i="18"/>
  <c r="BO23" i="18"/>
  <c r="BM24" i="18"/>
  <c r="BN23" i="18"/>
  <c r="CI22" i="18"/>
  <c r="CG23" i="18"/>
  <c r="CH22" i="18"/>
  <c r="EG23" i="18"/>
  <c r="EF23" i="18"/>
  <c r="EE24" i="18"/>
  <c r="K18" i="17"/>
  <c r="L18" i="17"/>
  <c r="M18" i="17" s="1"/>
  <c r="I18" i="17"/>
  <c r="J18" i="17" s="1"/>
  <c r="H18" i="17"/>
  <c r="E44" i="13"/>
  <c r="D44" i="13" s="1"/>
  <c r="D10" i="10"/>
  <c r="G12" i="10"/>
  <c r="D13" i="10"/>
  <c r="AU23" i="18" l="1"/>
  <c r="AS24" i="18"/>
  <c r="AT23" i="18"/>
  <c r="Y25" i="18"/>
  <c r="Z24" i="18"/>
  <c r="AA24" i="18"/>
  <c r="DM24" i="18"/>
  <c r="DK25" i="18"/>
  <c r="DL24" i="18"/>
  <c r="DW23" i="18"/>
  <c r="DU24" i="18"/>
  <c r="DV23" i="18"/>
  <c r="EB23" i="18"/>
  <c r="EA23" i="18"/>
  <c r="DZ24" i="18"/>
  <c r="AK24" i="18"/>
  <c r="AJ24" i="18"/>
  <c r="AI25" i="18"/>
  <c r="DA25" i="18"/>
  <c r="DB24" i="18"/>
  <c r="DC24" i="18"/>
  <c r="DH24" i="18"/>
  <c r="DF25" i="18"/>
  <c r="DG24" i="18"/>
  <c r="DR24" i="18"/>
  <c r="DP25" i="18"/>
  <c r="DQ24" i="18"/>
  <c r="AZ23" i="18"/>
  <c r="AY23" i="18"/>
  <c r="AX24" i="18"/>
  <c r="CI23" i="18"/>
  <c r="CG24" i="18"/>
  <c r="CH23" i="18"/>
  <c r="EG24" i="18"/>
  <c r="EE25" i="18"/>
  <c r="EF24" i="18"/>
  <c r="EL25" i="18"/>
  <c r="EK25" i="18"/>
  <c r="EJ26" i="18"/>
  <c r="AF24" i="18"/>
  <c r="AD25" i="18"/>
  <c r="AE24" i="18"/>
  <c r="V25" i="18"/>
  <c r="T26" i="18"/>
  <c r="U25" i="18"/>
  <c r="AP24" i="18"/>
  <c r="AO24" i="18"/>
  <c r="AN25" i="18"/>
  <c r="BJ25" i="18"/>
  <c r="BI25" i="18"/>
  <c r="BH26" i="18"/>
  <c r="BE24" i="18"/>
  <c r="BC25" i="18"/>
  <c r="BD24" i="18"/>
  <c r="CD24" i="18"/>
  <c r="CB25" i="18"/>
  <c r="CC24" i="18"/>
  <c r="BY24" i="18"/>
  <c r="BX24" i="18"/>
  <c r="BW25" i="18"/>
  <c r="CN23" i="18"/>
  <c r="CM23" i="18"/>
  <c r="CL24" i="18"/>
  <c r="EO25" i="18"/>
  <c r="EP24" i="18"/>
  <c r="EQ24" i="18"/>
  <c r="CX25" i="18"/>
  <c r="CW25" i="18"/>
  <c r="CV26" i="18"/>
  <c r="EV24" i="18"/>
  <c r="ET25" i="18"/>
  <c r="EU24" i="18"/>
  <c r="CS24" i="18"/>
  <c r="CQ25" i="18"/>
  <c r="CR24" i="18"/>
  <c r="BT24" i="18"/>
  <c r="BR25" i="18"/>
  <c r="BS24" i="18"/>
  <c r="BM25" i="18"/>
  <c r="BN24" i="18"/>
  <c r="BO24" i="18"/>
  <c r="K19" i="17"/>
  <c r="L19" i="17"/>
  <c r="M19" i="17" s="1"/>
  <c r="I19" i="17"/>
  <c r="J19" i="17" s="1"/>
  <c r="H19" i="17"/>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AK25" i="18" l="1"/>
  <c r="AI26" i="18"/>
  <c r="AJ25" i="18"/>
  <c r="AS25" i="18"/>
  <c r="AT24" i="18"/>
  <c r="AU24" i="18"/>
  <c r="EQ25" i="18"/>
  <c r="EO26" i="18"/>
  <c r="EP25" i="18"/>
  <c r="CD25" i="18"/>
  <c r="CB26" i="18"/>
  <c r="CC25" i="18"/>
  <c r="AP25" i="18"/>
  <c r="AN26" i="18"/>
  <c r="AO25" i="18"/>
  <c r="CG25" i="18"/>
  <c r="CH24" i="18"/>
  <c r="CI24" i="18"/>
  <c r="DM25" i="18"/>
  <c r="DK26" i="18"/>
  <c r="DL25" i="18"/>
  <c r="BO25" i="18"/>
  <c r="BN25" i="18"/>
  <c r="BM26" i="18"/>
  <c r="EB24" i="18"/>
  <c r="DZ25" i="18"/>
  <c r="EA24" i="18"/>
  <c r="ET26" i="18"/>
  <c r="EU25" i="18"/>
  <c r="EV25" i="18"/>
  <c r="EL26" i="18"/>
  <c r="EJ27" i="18"/>
  <c r="EK26" i="18"/>
  <c r="AZ24" i="18"/>
  <c r="AX25" i="18"/>
  <c r="AY24" i="18"/>
  <c r="BE25" i="18"/>
  <c r="BC26" i="18"/>
  <c r="BD25" i="18"/>
  <c r="DF26" i="18"/>
  <c r="DG25" i="18"/>
  <c r="DH25" i="18"/>
  <c r="BR26" i="18"/>
  <c r="BS25" i="18"/>
  <c r="BT25" i="18"/>
  <c r="CX26" i="18"/>
  <c r="CV27" i="18"/>
  <c r="CW26" i="18"/>
  <c r="BY25" i="18"/>
  <c r="BW26" i="18"/>
  <c r="BX25" i="18"/>
  <c r="V26" i="18"/>
  <c r="T27" i="18"/>
  <c r="U26" i="18"/>
  <c r="AA25" i="18"/>
  <c r="Z25" i="18"/>
  <c r="Y26" i="18"/>
  <c r="CN24" i="18"/>
  <c r="CL25" i="18"/>
  <c r="CM24" i="18"/>
  <c r="BJ26" i="18"/>
  <c r="BH27" i="18"/>
  <c r="BI26" i="18"/>
  <c r="EG25" i="18"/>
  <c r="EE26" i="18"/>
  <c r="EF25" i="18"/>
  <c r="DC25" i="18"/>
  <c r="DB25" i="18"/>
  <c r="DA26" i="18"/>
  <c r="DU25" i="18"/>
  <c r="DV24" i="18"/>
  <c r="DW24" i="18"/>
  <c r="CS25" i="18"/>
  <c r="CQ26" i="18"/>
  <c r="CR25" i="18"/>
  <c r="DR25" i="18"/>
  <c r="DP26" i="18"/>
  <c r="DQ25" i="18"/>
  <c r="AD26" i="18"/>
  <c r="AE25" i="18"/>
  <c r="AF25" i="18"/>
  <c r="L20" i="17"/>
  <c r="M20" i="17" s="1"/>
  <c r="K20" i="17"/>
  <c r="I20" i="17"/>
  <c r="J20" i="17" s="1"/>
  <c r="H20" i="17"/>
  <c r="L25" i="7"/>
  <c r="I15" i="7"/>
  <c r="L20" i="7"/>
  <c r="I14" i="7"/>
  <c r="I13" i="7" s="1"/>
  <c r="L24" i="7"/>
  <c r="L23" i="7" s="1"/>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G6" i="3"/>
  <c r="G8" i="3"/>
  <c r="G9" i="3"/>
  <c r="G7" i="3"/>
  <c r="G11" i="3"/>
  <c r="G12" i="3"/>
  <c r="G13" i="3"/>
  <c r="G14" i="3"/>
  <c r="G15" i="3"/>
  <c r="G16" i="3"/>
  <c r="G17" i="3"/>
  <c r="G18" i="3"/>
  <c r="G19" i="3"/>
  <c r="G20" i="3"/>
  <c r="G21" i="3"/>
  <c r="G22" i="3"/>
  <c r="G23" i="3"/>
  <c r="G25" i="3"/>
  <c r="G5" i="3"/>
  <c r="D11" i="7" s="1"/>
  <c r="C17" i="1"/>
  <c r="D10" i="1"/>
  <c r="E10" i="1" s="1"/>
  <c r="D9" i="1"/>
  <c r="E9" i="1" s="1"/>
  <c r="D8" i="1"/>
  <c r="E8" i="1" s="1"/>
  <c r="D7" i="1"/>
  <c r="E7" i="1" s="1"/>
  <c r="DH26" i="18" l="1"/>
  <c r="DG26" i="18"/>
  <c r="DF27" i="18"/>
  <c r="EL27" i="18"/>
  <c r="EJ28" i="18"/>
  <c r="EK27" i="18"/>
  <c r="BO26" i="18"/>
  <c r="BM27" i="18"/>
  <c r="BN26" i="18"/>
  <c r="CH25" i="18"/>
  <c r="CG26" i="18"/>
  <c r="CI25" i="18"/>
  <c r="EQ26" i="18"/>
  <c r="EO27" i="18"/>
  <c r="EP26" i="18"/>
  <c r="AD27" i="18"/>
  <c r="AF26" i="18"/>
  <c r="AE26" i="18"/>
  <c r="CX27" i="18"/>
  <c r="CV28" i="18"/>
  <c r="CW27" i="18"/>
  <c r="DU26" i="18"/>
  <c r="DW25" i="18"/>
  <c r="DV25" i="18"/>
  <c r="BJ27" i="18"/>
  <c r="BH28" i="18"/>
  <c r="BI27" i="18"/>
  <c r="BC27" i="18"/>
  <c r="BD26" i="18"/>
  <c r="BE26" i="18"/>
  <c r="AP26" i="18"/>
  <c r="AN27" i="18"/>
  <c r="AO26" i="18"/>
  <c r="DR26" i="18"/>
  <c r="DP27" i="18"/>
  <c r="DQ26" i="18"/>
  <c r="DC26" i="18"/>
  <c r="DA27" i="18"/>
  <c r="DB26" i="18"/>
  <c r="V27" i="18"/>
  <c r="T28" i="18"/>
  <c r="U27" i="18"/>
  <c r="ET27" i="18"/>
  <c r="EV26" i="18"/>
  <c r="EU26" i="18"/>
  <c r="DK27" i="18"/>
  <c r="DL26" i="18"/>
  <c r="DM26" i="18"/>
  <c r="AU25" i="18"/>
  <c r="AT25" i="18"/>
  <c r="AS26" i="18"/>
  <c r="CL26" i="18"/>
  <c r="CM25" i="18"/>
  <c r="CN25" i="18"/>
  <c r="BT26" i="18"/>
  <c r="BR27" i="18"/>
  <c r="BS26" i="18"/>
  <c r="AX26" i="18"/>
  <c r="AY25" i="18"/>
  <c r="AZ25" i="18"/>
  <c r="CD26" i="18"/>
  <c r="CB27" i="18"/>
  <c r="CC26" i="18"/>
  <c r="CQ27" i="18"/>
  <c r="CR26" i="18"/>
  <c r="CS26" i="18"/>
  <c r="BW27" i="18"/>
  <c r="BX26" i="18"/>
  <c r="BY26" i="18"/>
  <c r="DZ26" i="18"/>
  <c r="EA25" i="18"/>
  <c r="EB25" i="18"/>
  <c r="AI27" i="18"/>
  <c r="AJ26" i="18"/>
  <c r="AK26" i="18"/>
  <c r="EE27" i="18"/>
  <c r="EF26" i="18"/>
  <c r="EG26" i="18"/>
  <c r="AA26" i="18"/>
  <c r="Y27" i="18"/>
  <c r="Z26" i="18"/>
  <c r="D11" i="1"/>
  <c r="I21" i="17"/>
  <c r="J21" i="17" s="1"/>
  <c r="H21" i="17"/>
  <c r="L21" i="17"/>
  <c r="M21" i="17" s="1"/>
  <c r="K21" i="17"/>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V28" i="18" l="1"/>
  <c r="T29" i="18"/>
  <c r="U28" i="18"/>
  <c r="AA27" i="18"/>
  <c r="Y28" i="18"/>
  <c r="Z27" i="18"/>
  <c r="CS27" i="18"/>
  <c r="CR27" i="18"/>
  <c r="CQ28" i="18"/>
  <c r="BT27" i="18"/>
  <c r="BR28" i="18"/>
  <c r="BS27" i="18"/>
  <c r="AN28" i="18"/>
  <c r="AO27" i="18"/>
  <c r="AP27" i="18"/>
  <c r="AF27" i="18"/>
  <c r="AE27" i="18"/>
  <c r="AD28" i="18"/>
  <c r="BO27" i="18"/>
  <c r="BM28" i="18"/>
  <c r="BN27" i="18"/>
  <c r="EB26" i="18"/>
  <c r="DZ27" i="18"/>
  <c r="EA26" i="18"/>
  <c r="CB28" i="18"/>
  <c r="CC27" i="18"/>
  <c r="CD27" i="18"/>
  <c r="DM27" i="18"/>
  <c r="DK28" i="18"/>
  <c r="DL27" i="18"/>
  <c r="DC27" i="18"/>
  <c r="DA28" i="18"/>
  <c r="DB27" i="18"/>
  <c r="DW26" i="18"/>
  <c r="DV26" i="18"/>
  <c r="DU27" i="18"/>
  <c r="EQ27" i="18"/>
  <c r="EO28" i="18"/>
  <c r="EP27" i="18"/>
  <c r="BJ28" i="18"/>
  <c r="BH29" i="18"/>
  <c r="BI28" i="18"/>
  <c r="EG27" i="18"/>
  <c r="EF27" i="18"/>
  <c r="EE28" i="18"/>
  <c r="CN26" i="18"/>
  <c r="CL27" i="18"/>
  <c r="CM26" i="18"/>
  <c r="BC28" i="18"/>
  <c r="BE27" i="18"/>
  <c r="BD27" i="18"/>
  <c r="CX28" i="18"/>
  <c r="CV29" i="18"/>
  <c r="CW28" i="18"/>
  <c r="AZ26" i="18"/>
  <c r="AX27" i="18"/>
  <c r="AY26" i="18"/>
  <c r="EL28" i="18"/>
  <c r="EJ29" i="18"/>
  <c r="EK28" i="18"/>
  <c r="BY27" i="18"/>
  <c r="BW28" i="18"/>
  <c r="BX27" i="18"/>
  <c r="AU26" i="18"/>
  <c r="AS27" i="18"/>
  <c r="AT26" i="18"/>
  <c r="EV27" i="18"/>
  <c r="EU27" i="18"/>
  <c r="ET28" i="18"/>
  <c r="DP28" i="18"/>
  <c r="DQ27" i="18"/>
  <c r="DR27" i="18"/>
  <c r="CI26" i="18"/>
  <c r="CH26" i="18"/>
  <c r="CG27" i="18"/>
  <c r="DH27" i="18"/>
  <c r="DF28" i="18"/>
  <c r="DG27" i="18"/>
  <c r="AK27" i="18"/>
  <c r="AI28" i="18"/>
  <c r="AJ27" i="18"/>
  <c r="L22" i="17"/>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CI27" i="18" l="1"/>
  <c r="CG28" i="18"/>
  <c r="CH27" i="18"/>
  <c r="AK28" i="18"/>
  <c r="AI29" i="18"/>
  <c r="AJ28" i="18"/>
  <c r="AZ27" i="18"/>
  <c r="AX28" i="18"/>
  <c r="AY27" i="18"/>
  <c r="DA29" i="18"/>
  <c r="DB28" i="18"/>
  <c r="DC28" i="18"/>
  <c r="DW27" i="18"/>
  <c r="DU28" i="18"/>
  <c r="DV27" i="18"/>
  <c r="BM29" i="18"/>
  <c r="BN28" i="18"/>
  <c r="BO28" i="18"/>
  <c r="CN27" i="18"/>
  <c r="CL28" i="18"/>
  <c r="CM27" i="18"/>
  <c r="EB27" i="18"/>
  <c r="DZ28" i="18"/>
  <c r="EA27" i="18"/>
  <c r="DR28" i="18"/>
  <c r="DQ28" i="18"/>
  <c r="DP29" i="18"/>
  <c r="BY28" i="18"/>
  <c r="BW29" i="18"/>
  <c r="BX28" i="18"/>
  <c r="EO29" i="18"/>
  <c r="EP28" i="18"/>
  <c r="EQ28" i="18"/>
  <c r="DH28" i="18"/>
  <c r="DF29" i="18"/>
  <c r="DG28" i="18"/>
  <c r="EV28" i="18"/>
  <c r="ET29" i="18"/>
  <c r="EU28" i="18"/>
  <c r="CX29" i="18"/>
  <c r="CV30" i="18"/>
  <c r="CW29" i="18"/>
  <c r="EG28" i="18"/>
  <c r="EE29" i="18"/>
  <c r="EF28" i="18"/>
  <c r="DM28" i="18"/>
  <c r="DK29" i="18"/>
  <c r="DL28" i="18"/>
  <c r="AN29" i="18"/>
  <c r="AP28" i="18"/>
  <c r="AO28" i="18"/>
  <c r="Y29" i="18"/>
  <c r="Z28" i="18"/>
  <c r="AA28" i="18"/>
  <c r="EJ30" i="18"/>
  <c r="EL29" i="18"/>
  <c r="EK29" i="18"/>
  <c r="BT28" i="18"/>
  <c r="BR29" i="18"/>
  <c r="BS28" i="18"/>
  <c r="AF28" i="18"/>
  <c r="AD29" i="18"/>
  <c r="AE28" i="18"/>
  <c r="V29" i="18"/>
  <c r="T30" i="18"/>
  <c r="U29" i="18"/>
  <c r="AU27" i="18"/>
  <c r="AS28" i="18"/>
  <c r="AT27" i="18"/>
  <c r="BE28" i="18"/>
  <c r="BD28" i="18"/>
  <c r="BC29" i="18"/>
  <c r="BJ29" i="18"/>
  <c r="BH30" i="18"/>
  <c r="BI29" i="18"/>
  <c r="CB29" i="18"/>
  <c r="CD28" i="18"/>
  <c r="CC28" i="18"/>
  <c r="CS28" i="18"/>
  <c r="CQ29" i="18"/>
  <c r="CR28" i="18"/>
  <c r="K23" i="17"/>
  <c r="L23" i="17"/>
  <c r="M23" i="17" s="1"/>
  <c r="I23" i="17"/>
  <c r="J23" i="17" s="1"/>
  <c r="H23" i="17"/>
  <c r="P9" i="10"/>
  <c r="R9" i="10" s="1"/>
  <c r="S9" i="10" s="1"/>
  <c r="M10" i="10" s="1"/>
  <c r="Q17" i="10"/>
  <c r="E48" i="13"/>
  <c r="D48" i="13" s="1"/>
  <c r="P9" i="1"/>
  <c r="P11" i="1" s="1"/>
  <c r="P10" i="1"/>
  <c r="N9" i="1"/>
  <c r="N11" i="1" s="1"/>
  <c r="N10" i="1"/>
  <c r="I9" i="1"/>
  <c r="I11" i="1" s="1"/>
  <c r="I10" i="1"/>
  <c r="J9" i="1"/>
  <c r="J11" i="1" s="1"/>
  <c r="CS29" i="18" l="1"/>
  <c r="CQ30" i="18"/>
  <c r="CR29" i="18"/>
  <c r="BE29" i="18"/>
  <c r="BC30" i="18"/>
  <c r="BD29" i="18"/>
  <c r="BM30" i="18"/>
  <c r="BO29" i="18"/>
  <c r="BN29" i="18"/>
  <c r="AZ28" i="18"/>
  <c r="AX29" i="18"/>
  <c r="AY28" i="18"/>
  <c r="AF29" i="18"/>
  <c r="AD30" i="18"/>
  <c r="AE29" i="18"/>
  <c r="CI28" i="18"/>
  <c r="CG29" i="18"/>
  <c r="CH28" i="18"/>
  <c r="EL30" i="18"/>
  <c r="EK30" i="18"/>
  <c r="EJ31" i="18"/>
  <c r="DM29" i="18"/>
  <c r="DK30" i="18"/>
  <c r="DL29" i="18"/>
  <c r="EO30" i="18"/>
  <c r="EQ29" i="18"/>
  <c r="EP29" i="18"/>
  <c r="EB28" i="18"/>
  <c r="DZ29" i="18"/>
  <c r="EA28" i="18"/>
  <c r="EV29" i="18"/>
  <c r="EU29" i="18"/>
  <c r="ET30" i="18"/>
  <c r="DW28" i="18"/>
  <c r="DU29" i="18"/>
  <c r="DV28" i="18"/>
  <c r="BY29" i="18"/>
  <c r="BW30" i="18"/>
  <c r="BX29" i="18"/>
  <c r="AK29" i="18"/>
  <c r="AI30" i="18"/>
  <c r="AJ29" i="18"/>
  <c r="CD29" i="18"/>
  <c r="CC29" i="18"/>
  <c r="CB30" i="18"/>
  <c r="AU28" i="18"/>
  <c r="AS29" i="18"/>
  <c r="AT28" i="18"/>
  <c r="AA29" i="18"/>
  <c r="Z29" i="18"/>
  <c r="Y30" i="18"/>
  <c r="EG29" i="18"/>
  <c r="EE30" i="18"/>
  <c r="EF29" i="18"/>
  <c r="CN28" i="18"/>
  <c r="CL29" i="18"/>
  <c r="CM28" i="18"/>
  <c r="BT29" i="18"/>
  <c r="BR30" i="18"/>
  <c r="BS29" i="18"/>
  <c r="DH29" i="18"/>
  <c r="DF30" i="18"/>
  <c r="DG29" i="18"/>
  <c r="DR29" i="18"/>
  <c r="DP30" i="18"/>
  <c r="DQ29" i="18"/>
  <c r="DA30" i="18"/>
  <c r="DC29" i="18"/>
  <c r="DB29" i="18"/>
  <c r="BJ30" i="18"/>
  <c r="BI30" i="18"/>
  <c r="BH31" i="18"/>
  <c r="V30" i="18"/>
  <c r="U30" i="18"/>
  <c r="T31" i="18"/>
  <c r="AP29" i="18"/>
  <c r="AO29" i="18"/>
  <c r="AN30" i="18"/>
  <c r="CV31" i="18"/>
  <c r="CX30" i="18"/>
  <c r="CW30" i="18"/>
  <c r="I24" i="17"/>
  <c r="J24" i="17" s="1"/>
  <c r="H24" i="17"/>
  <c r="K24" i="17"/>
  <c r="L24" i="17"/>
  <c r="M24" i="17" s="1"/>
  <c r="O10" i="10"/>
  <c r="N10" i="10"/>
  <c r="Q18" i="10"/>
  <c r="Q19" i="10" s="1"/>
  <c r="Q20" i="10" s="1"/>
  <c r="Q21" i="10" s="1"/>
  <c r="Q22" i="10" s="1"/>
  <c r="R17" i="10"/>
  <c r="E49" i="13"/>
  <c r="D49" i="13" s="1"/>
  <c r="F50" i="13" s="1"/>
  <c r="BH32" i="18" l="1"/>
  <c r="BJ31" i="18"/>
  <c r="BI31" i="18"/>
  <c r="CL30" i="18"/>
  <c r="CM29" i="18"/>
  <c r="CN29" i="18"/>
  <c r="BR31" i="18"/>
  <c r="BT30" i="18"/>
  <c r="BS30" i="18"/>
  <c r="AX30" i="18"/>
  <c r="AY29" i="18"/>
  <c r="AZ29" i="18"/>
  <c r="CV32" i="18"/>
  <c r="CX31" i="18"/>
  <c r="CW31" i="18"/>
  <c r="AU29" i="18"/>
  <c r="AS30" i="18"/>
  <c r="AT29" i="18"/>
  <c r="DL30" i="18"/>
  <c r="DK31" i="18"/>
  <c r="DM30" i="18"/>
  <c r="BO30" i="18"/>
  <c r="BN30" i="18"/>
  <c r="BM31" i="18"/>
  <c r="T32" i="18"/>
  <c r="V31" i="18"/>
  <c r="U31" i="18"/>
  <c r="DW29" i="18"/>
  <c r="DU30" i="18"/>
  <c r="DV29" i="18"/>
  <c r="DF31" i="18"/>
  <c r="DH30" i="18"/>
  <c r="DG30" i="18"/>
  <c r="BX30" i="18"/>
  <c r="BW31" i="18"/>
  <c r="BY30" i="18"/>
  <c r="AD31" i="18"/>
  <c r="AF30" i="18"/>
  <c r="AE30" i="18"/>
  <c r="AN31" i="18"/>
  <c r="AP30" i="18"/>
  <c r="AO30" i="18"/>
  <c r="EE31" i="18"/>
  <c r="EG30" i="18"/>
  <c r="EF30" i="18"/>
  <c r="CB31" i="18"/>
  <c r="CD30" i="18"/>
  <c r="CC30" i="18"/>
  <c r="DZ30" i="18"/>
  <c r="EA29" i="18"/>
  <c r="EB29" i="18"/>
  <c r="EJ32" i="18"/>
  <c r="EK31" i="18"/>
  <c r="EL31" i="18"/>
  <c r="BC31" i="18"/>
  <c r="BE30" i="18"/>
  <c r="BD30" i="18"/>
  <c r="Y31" i="18"/>
  <c r="AA30" i="18"/>
  <c r="Z30" i="18"/>
  <c r="CQ31" i="18"/>
  <c r="CS30" i="18"/>
  <c r="CR30" i="18"/>
  <c r="DA31" i="18"/>
  <c r="DC30" i="18"/>
  <c r="DB30" i="18"/>
  <c r="DR30" i="18"/>
  <c r="DQ30" i="18"/>
  <c r="DP31" i="18"/>
  <c r="AJ30" i="18"/>
  <c r="AI31" i="18"/>
  <c r="AK30" i="18"/>
  <c r="EV30" i="18"/>
  <c r="ET31" i="18"/>
  <c r="EU30" i="18"/>
  <c r="EO31" i="18"/>
  <c r="EQ30" i="18"/>
  <c r="EP30" i="18"/>
  <c r="CI29" i="18"/>
  <c r="CG30" i="18"/>
  <c r="CH29" i="18"/>
  <c r="K25" i="17"/>
  <c r="L25" i="17"/>
  <c r="M25" i="17" s="1"/>
  <c r="H25" i="17"/>
  <c r="I25" i="17"/>
  <c r="J25" i="17" s="1"/>
  <c r="P10" i="10"/>
  <c r="R10" i="10" s="1"/>
  <c r="S10" i="10" s="1"/>
  <c r="M11" i="10" s="1"/>
  <c r="E50" i="13"/>
  <c r="D50" i="13" s="1"/>
  <c r="F51" i="13" s="1"/>
  <c r="BE31" i="18" l="1"/>
  <c r="BC32" i="18"/>
  <c r="BD31" i="18"/>
  <c r="CG31" i="18"/>
  <c r="CI30" i="18"/>
  <c r="CH30" i="18"/>
  <c r="DA32" i="18"/>
  <c r="DC31" i="18"/>
  <c r="DB31" i="18"/>
  <c r="AP31" i="18"/>
  <c r="AN32" i="18"/>
  <c r="AO31" i="18"/>
  <c r="BM32" i="18"/>
  <c r="BO31" i="18"/>
  <c r="BN31" i="18"/>
  <c r="CD31" i="18"/>
  <c r="CB32" i="18"/>
  <c r="CC31" i="18"/>
  <c r="DR31" i="18"/>
  <c r="DP32" i="18"/>
  <c r="DQ31" i="18"/>
  <c r="CS31" i="18"/>
  <c r="CQ32" i="18"/>
  <c r="CR31" i="18"/>
  <c r="AD32" i="18"/>
  <c r="AE31" i="18"/>
  <c r="AF31" i="18"/>
  <c r="DU31" i="18"/>
  <c r="DW30" i="18"/>
  <c r="DV30" i="18"/>
  <c r="CX32" i="18"/>
  <c r="CV33" i="18"/>
  <c r="CW32" i="18"/>
  <c r="EQ31" i="18"/>
  <c r="EO32" i="18"/>
  <c r="EP31" i="18"/>
  <c r="EL32" i="18"/>
  <c r="EJ33" i="18"/>
  <c r="EK32" i="18"/>
  <c r="DL31" i="18"/>
  <c r="DM31" i="18"/>
  <c r="DK32" i="18"/>
  <c r="CL31" i="18"/>
  <c r="CN30" i="18"/>
  <c r="CM30" i="18"/>
  <c r="DF32" i="18"/>
  <c r="DG31" i="18"/>
  <c r="DH31" i="18"/>
  <c r="EG31" i="18"/>
  <c r="EE32" i="18"/>
  <c r="EF31" i="18"/>
  <c r="BY31" i="18"/>
  <c r="BW32" i="18"/>
  <c r="BX31" i="18"/>
  <c r="AK31" i="18"/>
  <c r="AJ31" i="18"/>
  <c r="AI32" i="18"/>
  <c r="BR32" i="18"/>
  <c r="BS31" i="18"/>
  <c r="BT31" i="18"/>
  <c r="ET32" i="18"/>
  <c r="EU31" i="18"/>
  <c r="EV31" i="18"/>
  <c r="Y32" i="18"/>
  <c r="Z31" i="18"/>
  <c r="AA31" i="18"/>
  <c r="AX31" i="18"/>
  <c r="AZ30" i="18"/>
  <c r="AY30" i="18"/>
  <c r="DZ31" i="18"/>
  <c r="EB30" i="18"/>
  <c r="EA30" i="18"/>
  <c r="V32" i="18"/>
  <c r="T33" i="18"/>
  <c r="U32" i="18"/>
  <c r="AS31" i="18"/>
  <c r="AU30" i="18"/>
  <c r="AT30" i="18"/>
  <c r="BJ32" i="18"/>
  <c r="BH33" i="18"/>
  <c r="BI32" i="18"/>
  <c r="O11" i="10"/>
  <c r="N11" i="10"/>
  <c r="S17" i="10"/>
  <c r="M18" i="10" s="1"/>
  <c r="E51" i="13"/>
  <c r="D51" i="13" s="1"/>
  <c r="F52" i="13" s="1"/>
  <c r="V33" i="18" l="1"/>
  <c r="T34" i="18"/>
  <c r="U33" i="18"/>
  <c r="BT32" i="18"/>
  <c r="BR33" i="18"/>
  <c r="BS32" i="18"/>
  <c r="EE33" i="18"/>
  <c r="EF32" i="18"/>
  <c r="EG32" i="18"/>
  <c r="DM32" i="18"/>
  <c r="DK33" i="18"/>
  <c r="DL32" i="18"/>
  <c r="BJ33" i="18"/>
  <c r="BI33" i="18"/>
  <c r="BH34" i="18"/>
  <c r="AA32" i="18"/>
  <c r="Y33" i="18"/>
  <c r="Z32" i="18"/>
  <c r="CX33" i="18"/>
  <c r="CW33" i="18"/>
  <c r="CV34" i="18"/>
  <c r="CQ33" i="18"/>
  <c r="CR32" i="18"/>
  <c r="CS32" i="18"/>
  <c r="DC32" i="18"/>
  <c r="DA33" i="18"/>
  <c r="DB32" i="18"/>
  <c r="EB31" i="18"/>
  <c r="DZ32" i="18"/>
  <c r="EA31" i="18"/>
  <c r="EL33" i="18"/>
  <c r="EJ34" i="18"/>
  <c r="EK33" i="18"/>
  <c r="EV32" i="18"/>
  <c r="ET33" i="18"/>
  <c r="EU32" i="18"/>
  <c r="BY32" i="18"/>
  <c r="BW33" i="18"/>
  <c r="BX32" i="18"/>
  <c r="BO32" i="18"/>
  <c r="BM33" i="18"/>
  <c r="BN32" i="18"/>
  <c r="AT31" i="18"/>
  <c r="AS32" i="18"/>
  <c r="AU31" i="18"/>
  <c r="DU32" i="18"/>
  <c r="DW31" i="18"/>
  <c r="DV31" i="18"/>
  <c r="DR32" i="18"/>
  <c r="DP33" i="18"/>
  <c r="DQ32" i="18"/>
  <c r="CI31" i="18"/>
  <c r="CG32" i="18"/>
  <c r="CH31" i="18"/>
  <c r="DH32" i="18"/>
  <c r="DF33" i="18"/>
  <c r="DG32" i="18"/>
  <c r="AX32" i="18"/>
  <c r="AZ31" i="18"/>
  <c r="AY31" i="18"/>
  <c r="CN31" i="18"/>
  <c r="CM31" i="18"/>
  <c r="CL32" i="18"/>
  <c r="EQ32" i="18"/>
  <c r="EO33" i="18"/>
  <c r="EP32" i="18"/>
  <c r="AP32" i="18"/>
  <c r="AN33" i="18"/>
  <c r="AO32" i="18"/>
  <c r="BC33" i="18"/>
  <c r="BD32" i="18"/>
  <c r="BE32" i="18"/>
  <c r="AK32" i="18"/>
  <c r="AI33" i="18"/>
  <c r="AJ32" i="18"/>
  <c r="AF32" i="18"/>
  <c r="AD33" i="18"/>
  <c r="AE32" i="18"/>
  <c r="CD32" i="18"/>
  <c r="CB33" i="18"/>
  <c r="CC32" i="18"/>
  <c r="P11" i="10"/>
  <c r="R11" i="10" s="1"/>
  <c r="S11" i="10" s="1"/>
  <c r="M12" i="10" s="1"/>
  <c r="N18" i="10"/>
  <c r="O18" i="10"/>
  <c r="E52" i="13"/>
  <c r="D52" i="13" s="1"/>
  <c r="F53" i="13" s="1"/>
  <c r="AN34" i="18" l="1"/>
  <c r="AO33" i="18"/>
  <c r="AP33" i="18"/>
  <c r="CB34" i="18"/>
  <c r="CC33" i="18"/>
  <c r="CD33" i="18"/>
  <c r="DF34" i="18"/>
  <c r="DG33" i="18"/>
  <c r="DH33" i="18"/>
  <c r="EL34" i="18"/>
  <c r="EJ35" i="18"/>
  <c r="EK34" i="18"/>
  <c r="CN32" i="18"/>
  <c r="CL33" i="18"/>
  <c r="CM32" i="18"/>
  <c r="BJ34" i="18"/>
  <c r="BH35" i="18"/>
  <c r="BI34" i="18"/>
  <c r="EG33" i="18"/>
  <c r="EE34" i="18"/>
  <c r="EF33" i="18"/>
  <c r="BE33" i="18"/>
  <c r="BC34" i="18"/>
  <c r="BD33" i="18"/>
  <c r="DU33" i="18"/>
  <c r="DV32" i="18"/>
  <c r="DW32" i="18"/>
  <c r="BY33" i="18"/>
  <c r="BW34" i="18"/>
  <c r="BX33" i="18"/>
  <c r="CS33" i="18"/>
  <c r="CQ34" i="18"/>
  <c r="CR33" i="18"/>
  <c r="AS33" i="18"/>
  <c r="AT32" i="18"/>
  <c r="AU32" i="18"/>
  <c r="DM33" i="18"/>
  <c r="DK34" i="18"/>
  <c r="DL33" i="18"/>
  <c r="AD34" i="18"/>
  <c r="AE33" i="18"/>
  <c r="AF33" i="18"/>
  <c r="CG33" i="18"/>
  <c r="CH32" i="18"/>
  <c r="CI32" i="18"/>
  <c r="EB32" i="18"/>
  <c r="DZ33" i="18"/>
  <c r="EA32" i="18"/>
  <c r="CX34" i="18"/>
  <c r="CV35" i="18"/>
  <c r="CW34" i="18"/>
  <c r="BR34" i="18"/>
  <c r="BS33" i="18"/>
  <c r="BT33" i="18"/>
  <c r="ET34" i="18"/>
  <c r="EU33" i="18"/>
  <c r="EV33" i="18"/>
  <c r="AK33" i="18"/>
  <c r="AI34" i="18"/>
  <c r="AJ33" i="18"/>
  <c r="AZ32" i="18"/>
  <c r="AX33" i="18"/>
  <c r="AY32" i="18"/>
  <c r="DP34" i="18"/>
  <c r="DQ33" i="18"/>
  <c r="DR33" i="18"/>
  <c r="DC33" i="18"/>
  <c r="DA34" i="18"/>
  <c r="DB33" i="18"/>
  <c r="V34" i="18"/>
  <c r="T35" i="18"/>
  <c r="U34" i="18"/>
  <c r="EQ33" i="18"/>
  <c r="EO34" i="18"/>
  <c r="EP33" i="18"/>
  <c r="BO33" i="18"/>
  <c r="BM34" i="18"/>
  <c r="BN33" i="18"/>
  <c r="AA33" i="18"/>
  <c r="Y34" i="18"/>
  <c r="Z33" i="18"/>
  <c r="O12" i="10"/>
  <c r="N12" i="10"/>
  <c r="P18" i="10"/>
  <c r="E53" i="13"/>
  <c r="D53" i="13" s="1"/>
  <c r="F54" i="13" s="1"/>
  <c r="CG34" i="18" l="1"/>
  <c r="CI33" i="18"/>
  <c r="CH33" i="18"/>
  <c r="Y35" i="18"/>
  <c r="Z34" i="18"/>
  <c r="AA34" i="18"/>
  <c r="DR34" i="18"/>
  <c r="DQ34" i="18"/>
  <c r="DP35" i="18"/>
  <c r="AD35" i="18"/>
  <c r="AF34" i="18"/>
  <c r="AE34" i="18"/>
  <c r="CQ35" i="18"/>
  <c r="CR34" i="18"/>
  <c r="CS34" i="18"/>
  <c r="V35" i="18"/>
  <c r="T36" i="18"/>
  <c r="U35" i="18"/>
  <c r="EV34" i="18"/>
  <c r="EU34" i="18"/>
  <c r="ET35" i="18"/>
  <c r="EB33" i="18"/>
  <c r="DZ34" i="18"/>
  <c r="EA33" i="18"/>
  <c r="BC35" i="18"/>
  <c r="BD34" i="18"/>
  <c r="BE34" i="18"/>
  <c r="DH34" i="18"/>
  <c r="DG34" i="18"/>
  <c r="DF35" i="18"/>
  <c r="AZ33" i="18"/>
  <c r="AX34" i="18"/>
  <c r="AY33" i="18"/>
  <c r="DM34" i="18"/>
  <c r="DK35" i="18"/>
  <c r="DL34" i="18"/>
  <c r="CN33" i="18"/>
  <c r="CL34" i="18"/>
  <c r="CM33" i="18"/>
  <c r="BM35" i="18"/>
  <c r="BN34" i="18"/>
  <c r="BO34" i="18"/>
  <c r="BY34" i="18"/>
  <c r="BW35" i="18"/>
  <c r="BX34" i="18"/>
  <c r="DA35" i="18"/>
  <c r="DB34" i="18"/>
  <c r="DC34" i="18"/>
  <c r="BT34" i="18"/>
  <c r="BS34" i="18"/>
  <c r="BR35" i="18"/>
  <c r="EE35" i="18"/>
  <c r="EF34" i="18"/>
  <c r="EG34" i="18"/>
  <c r="CD34" i="18"/>
  <c r="CC34" i="18"/>
  <c r="CB35" i="18"/>
  <c r="AK34" i="18"/>
  <c r="AI35" i="18"/>
  <c r="AJ34" i="18"/>
  <c r="EL35" i="18"/>
  <c r="EJ36" i="18"/>
  <c r="EK35" i="18"/>
  <c r="EO35" i="18"/>
  <c r="EP34" i="18"/>
  <c r="EQ34" i="18"/>
  <c r="CX35" i="18"/>
  <c r="CV36" i="18"/>
  <c r="CW35" i="18"/>
  <c r="AU33" i="18"/>
  <c r="AT33" i="18"/>
  <c r="AS34" i="18"/>
  <c r="DU34" i="18"/>
  <c r="DW33" i="18"/>
  <c r="DV33" i="18"/>
  <c r="BJ35" i="18"/>
  <c r="BH36" i="18"/>
  <c r="BI35" i="18"/>
  <c r="AP34" i="18"/>
  <c r="AO34" i="18"/>
  <c r="AN35" i="18"/>
  <c r="P12" i="10"/>
  <c r="R12" i="10" s="1"/>
  <c r="R18" i="10"/>
  <c r="S18" i="10" s="1"/>
  <c r="E54" i="13"/>
  <c r="D54" i="13" s="1"/>
  <c r="F55" i="13" s="1"/>
  <c r="AU34" i="18" l="1"/>
  <c r="AT34" i="18"/>
  <c r="AS35" i="18"/>
  <c r="EQ35" i="18"/>
  <c r="EO36" i="18"/>
  <c r="EP35" i="18"/>
  <c r="BO35" i="18"/>
  <c r="BN35" i="18"/>
  <c r="BM36" i="18"/>
  <c r="AZ34" i="18"/>
  <c r="AX35" i="18"/>
  <c r="AY34" i="18"/>
  <c r="CX36" i="18"/>
  <c r="CV37" i="18"/>
  <c r="CW36" i="18"/>
  <c r="BT35" i="18"/>
  <c r="BR36" i="18"/>
  <c r="BS35" i="18"/>
  <c r="EB34" i="18"/>
  <c r="DZ35" i="18"/>
  <c r="EA34" i="18"/>
  <c r="AA35" i="18"/>
  <c r="Z35" i="18"/>
  <c r="Y36" i="18"/>
  <c r="AK35" i="18"/>
  <c r="AI36" i="18"/>
  <c r="AJ35" i="18"/>
  <c r="EL36" i="18"/>
  <c r="EJ37" i="18"/>
  <c r="EK36" i="18"/>
  <c r="DC35" i="18"/>
  <c r="DA36" i="18"/>
  <c r="DB35" i="18"/>
  <c r="CN34" i="18"/>
  <c r="CL35" i="18"/>
  <c r="CM34" i="18"/>
  <c r="DH35" i="18"/>
  <c r="DG35" i="18"/>
  <c r="DF36" i="18"/>
  <c r="BJ36" i="18"/>
  <c r="BH37" i="18"/>
  <c r="BI36" i="18"/>
  <c r="EV35" i="18"/>
  <c r="EU35" i="18"/>
  <c r="ET36" i="18"/>
  <c r="CS35" i="18"/>
  <c r="CR35" i="18"/>
  <c r="CQ36" i="18"/>
  <c r="EF35" i="18"/>
  <c r="EE36" i="18"/>
  <c r="EG35" i="18"/>
  <c r="DM35" i="18"/>
  <c r="DK36" i="18"/>
  <c r="DL35" i="18"/>
  <c r="BY35" i="18"/>
  <c r="BW36" i="18"/>
  <c r="BX35" i="18"/>
  <c r="AF35" i="18"/>
  <c r="AD36" i="18"/>
  <c r="AE35" i="18"/>
  <c r="AN36" i="18"/>
  <c r="AO35" i="18"/>
  <c r="AP35" i="18"/>
  <c r="DW34" i="18"/>
  <c r="DV34" i="18"/>
  <c r="DU35" i="18"/>
  <c r="CB36" i="18"/>
  <c r="CC35" i="18"/>
  <c r="CD35" i="18"/>
  <c r="BE35" i="18"/>
  <c r="BD35" i="18"/>
  <c r="BC36" i="18"/>
  <c r="V36" i="18"/>
  <c r="T37" i="18"/>
  <c r="U36" i="18"/>
  <c r="DP36" i="18"/>
  <c r="DQ35" i="18"/>
  <c r="DR35" i="18"/>
  <c r="CI34" i="18"/>
  <c r="CH34" i="18"/>
  <c r="CG35" i="18"/>
  <c r="S12" i="10"/>
  <c r="M13" i="10" s="1"/>
  <c r="M19" i="10"/>
  <c r="O19" i="10" s="1"/>
  <c r="E55" i="13"/>
  <c r="D55" i="13" s="1"/>
  <c r="F56" i="13" s="1"/>
  <c r="DW35" i="18" l="1"/>
  <c r="DU36" i="18"/>
  <c r="DV35" i="18"/>
  <c r="BE36" i="18"/>
  <c r="BD36" i="18"/>
  <c r="BC37" i="18"/>
  <c r="BW37" i="18"/>
  <c r="BX36" i="18"/>
  <c r="BY36" i="18"/>
  <c r="CS36" i="18"/>
  <c r="CR36" i="18"/>
  <c r="CQ37" i="18"/>
  <c r="DA37" i="18"/>
  <c r="DB36" i="18"/>
  <c r="DC36" i="18"/>
  <c r="Y37" i="18"/>
  <c r="Z36" i="18"/>
  <c r="AA36" i="18"/>
  <c r="DH36" i="18"/>
  <c r="DF37" i="18"/>
  <c r="DG36" i="18"/>
  <c r="T38" i="18"/>
  <c r="U37" i="18"/>
  <c r="V37" i="18"/>
  <c r="CV38" i="18"/>
  <c r="CW37" i="18"/>
  <c r="CX37" i="18"/>
  <c r="AN37" i="18"/>
  <c r="AP36" i="18"/>
  <c r="AO36" i="18"/>
  <c r="DK37" i="18"/>
  <c r="DL36" i="18"/>
  <c r="DM36" i="18"/>
  <c r="EV36" i="18"/>
  <c r="ET37" i="18"/>
  <c r="EU36" i="18"/>
  <c r="EJ38" i="18"/>
  <c r="EK37" i="18"/>
  <c r="EL37" i="18"/>
  <c r="EO37" i="18"/>
  <c r="EP36" i="18"/>
  <c r="EQ36" i="18"/>
  <c r="DR36" i="18"/>
  <c r="DQ36" i="18"/>
  <c r="DP37" i="18"/>
  <c r="DZ36" i="18"/>
  <c r="EA35" i="18"/>
  <c r="EB35" i="18"/>
  <c r="CB37" i="18"/>
  <c r="CD36" i="18"/>
  <c r="CC36" i="18"/>
  <c r="AF36" i="18"/>
  <c r="AD37" i="18"/>
  <c r="AE36" i="18"/>
  <c r="CL36" i="18"/>
  <c r="CM35" i="18"/>
  <c r="CN35" i="18"/>
  <c r="AX36" i="18"/>
  <c r="AY35" i="18"/>
  <c r="AZ35" i="18"/>
  <c r="AU35" i="18"/>
  <c r="AS36" i="18"/>
  <c r="AT35" i="18"/>
  <c r="EG36" i="18"/>
  <c r="EF36" i="18"/>
  <c r="EE37" i="18"/>
  <c r="AI37" i="18"/>
  <c r="AJ36" i="18"/>
  <c r="AK36" i="18"/>
  <c r="CI35" i="18"/>
  <c r="CG36" i="18"/>
  <c r="CH35" i="18"/>
  <c r="BH38" i="18"/>
  <c r="BI37" i="18"/>
  <c r="BJ37" i="18"/>
  <c r="BT36" i="18"/>
  <c r="BR37" i="18"/>
  <c r="BS36" i="18"/>
  <c r="BM37" i="18"/>
  <c r="BN36" i="18"/>
  <c r="BO36" i="18"/>
  <c r="N13" i="10"/>
  <c r="O13" i="10"/>
  <c r="N19" i="10"/>
  <c r="P19" i="10" s="1"/>
  <c r="R19" i="10" s="1"/>
  <c r="E56" i="13"/>
  <c r="D56" i="13" s="1"/>
  <c r="F57" i="13" s="1"/>
  <c r="EG37" i="18" l="1"/>
  <c r="EE38" i="18"/>
  <c r="EF37" i="18"/>
  <c r="AZ36" i="18"/>
  <c r="AY36" i="18"/>
  <c r="AX37" i="18"/>
  <c r="EQ37" i="18"/>
  <c r="EP37" i="18"/>
  <c r="EO38" i="18"/>
  <c r="AA37" i="18"/>
  <c r="Z37" i="18"/>
  <c r="Y38" i="18"/>
  <c r="BO37" i="18"/>
  <c r="BN37" i="18"/>
  <c r="BM38" i="18"/>
  <c r="CI36" i="18"/>
  <c r="CG37" i="18"/>
  <c r="CH36" i="18"/>
  <c r="CN36" i="18"/>
  <c r="CM36" i="18"/>
  <c r="CL37" i="18"/>
  <c r="DM37" i="18"/>
  <c r="DL37" i="18"/>
  <c r="DK38" i="18"/>
  <c r="BY37" i="18"/>
  <c r="BX37" i="18"/>
  <c r="BW38" i="18"/>
  <c r="AU36" i="18"/>
  <c r="AS37" i="18"/>
  <c r="AT36" i="18"/>
  <c r="EB36" i="18"/>
  <c r="EA36" i="18"/>
  <c r="DZ37" i="18"/>
  <c r="V38" i="18"/>
  <c r="T39" i="18"/>
  <c r="U38" i="18"/>
  <c r="BE37" i="18"/>
  <c r="BC38" i="18"/>
  <c r="BD37" i="18"/>
  <c r="AF37" i="18"/>
  <c r="AD38" i="18"/>
  <c r="AE37" i="18"/>
  <c r="EJ39" i="18"/>
  <c r="EL38" i="18"/>
  <c r="EK38" i="18"/>
  <c r="DC37" i="18"/>
  <c r="DB37" i="18"/>
  <c r="DA38" i="18"/>
  <c r="BT37" i="18"/>
  <c r="BR38" i="18"/>
  <c r="BS37" i="18"/>
  <c r="DR37" i="18"/>
  <c r="DP38" i="18"/>
  <c r="DQ37" i="18"/>
  <c r="AP37" i="18"/>
  <c r="AO37" i="18"/>
  <c r="AN38" i="18"/>
  <c r="DH37" i="18"/>
  <c r="DF38" i="18"/>
  <c r="DG37" i="18"/>
  <c r="CS37" i="18"/>
  <c r="CQ38" i="18"/>
  <c r="CR37" i="18"/>
  <c r="AK37" i="18"/>
  <c r="AJ37" i="18"/>
  <c r="AI38" i="18"/>
  <c r="EV37" i="18"/>
  <c r="ET38" i="18"/>
  <c r="EU37" i="18"/>
  <c r="DW36" i="18"/>
  <c r="DU37" i="18"/>
  <c r="DV36" i="18"/>
  <c r="BJ38" i="18"/>
  <c r="BH39" i="18"/>
  <c r="BI38" i="18"/>
  <c r="CD37" i="18"/>
  <c r="CB38" i="18"/>
  <c r="CC37" i="18"/>
  <c r="CX38" i="18"/>
  <c r="CW38" i="18"/>
  <c r="CV39" i="18"/>
  <c r="P13" i="10"/>
  <c r="R13" i="10" s="1"/>
  <c r="S13" i="10" s="1"/>
  <c r="M14" i="10" s="1"/>
  <c r="G11" i="10" s="1"/>
  <c r="G13" i="10" s="1"/>
  <c r="S19" i="10"/>
  <c r="M20" i="10" s="1"/>
  <c r="E57" i="13"/>
  <c r="D57" i="13" s="1"/>
  <c r="F58" i="13" s="1"/>
  <c r="BH40" i="18" l="1"/>
  <c r="BI39" i="18"/>
  <c r="BJ39" i="18"/>
  <c r="AF38" i="18"/>
  <c r="AD39" i="18"/>
  <c r="AE38" i="18"/>
  <c r="DZ38" i="18"/>
  <c r="EA37" i="18"/>
  <c r="EB37" i="18"/>
  <c r="CI37" i="18"/>
  <c r="CG38" i="18"/>
  <c r="CH37" i="18"/>
  <c r="EQ38" i="18"/>
  <c r="EO39" i="18"/>
  <c r="EP38" i="18"/>
  <c r="DC38" i="18"/>
  <c r="DB38" i="18"/>
  <c r="DA39" i="18"/>
  <c r="DK39" i="18"/>
  <c r="DL38" i="18"/>
  <c r="DM38" i="18"/>
  <c r="BO38" i="18"/>
  <c r="BN38" i="18"/>
  <c r="BM39" i="18"/>
  <c r="CS38" i="18"/>
  <c r="CQ39" i="18"/>
  <c r="CR38" i="18"/>
  <c r="BE38" i="18"/>
  <c r="BC39" i="18"/>
  <c r="BD38" i="18"/>
  <c r="AX38" i="18"/>
  <c r="AY37" i="18"/>
  <c r="AZ37" i="18"/>
  <c r="DR38" i="18"/>
  <c r="DP39" i="18"/>
  <c r="DQ38" i="18"/>
  <c r="AU37" i="18"/>
  <c r="AS38" i="18"/>
  <c r="AT37" i="18"/>
  <c r="CL38" i="18"/>
  <c r="CM37" i="18"/>
  <c r="CN37" i="18"/>
  <c r="CV40" i="18"/>
  <c r="CW39" i="18"/>
  <c r="CX39" i="18"/>
  <c r="CD38" i="18"/>
  <c r="CB39" i="18"/>
  <c r="CC38" i="18"/>
  <c r="AA38" i="18"/>
  <c r="Z38" i="18"/>
  <c r="Y39" i="18"/>
  <c r="AI39" i="18"/>
  <c r="AJ38" i="18"/>
  <c r="AK38" i="18"/>
  <c r="BT38" i="18"/>
  <c r="BR39" i="18"/>
  <c r="BS38" i="18"/>
  <c r="DW37" i="18"/>
  <c r="DU38" i="18"/>
  <c r="DV37" i="18"/>
  <c r="EV38" i="18"/>
  <c r="ET39" i="18"/>
  <c r="EU38" i="18"/>
  <c r="DH38" i="18"/>
  <c r="DF39" i="18"/>
  <c r="DG38" i="18"/>
  <c r="EJ40" i="18"/>
  <c r="EK39" i="18"/>
  <c r="EL39" i="18"/>
  <c r="T40" i="18"/>
  <c r="U39" i="18"/>
  <c r="V39" i="18"/>
  <c r="BW39" i="18"/>
  <c r="BX38" i="18"/>
  <c r="BY38" i="18"/>
  <c r="EG38" i="18"/>
  <c r="EE39" i="18"/>
  <c r="EF38" i="18"/>
  <c r="AP38" i="18"/>
  <c r="AN39" i="18"/>
  <c r="AO38" i="18"/>
  <c r="N14" i="10"/>
  <c r="O14" i="10"/>
  <c r="N20" i="10"/>
  <c r="O20" i="10"/>
  <c r="E58" i="13"/>
  <c r="D58" i="13" s="1"/>
  <c r="F59" i="13" s="1"/>
  <c r="AA39" i="18" l="1"/>
  <c r="Y40" i="18"/>
  <c r="Z39" i="18"/>
  <c r="DR39" i="18"/>
  <c r="DP40" i="18"/>
  <c r="DQ39" i="18"/>
  <c r="AP39" i="18"/>
  <c r="AN40" i="18"/>
  <c r="AO39" i="18"/>
  <c r="BR40" i="18"/>
  <c r="BS39" i="18"/>
  <c r="BT39" i="18"/>
  <c r="CL39" i="18"/>
  <c r="CN38" i="18"/>
  <c r="CM38" i="18"/>
  <c r="BO39" i="18"/>
  <c r="BM40" i="18"/>
  <c r="BN39" i="18"/>
  <c r="DC39" i="18"/>
  <c r="DA40" i="18"/>
  <c r="DB39" i="18"/>
  <c r="CD39" i="18"/>
  <c r="CB40" i="18"/>
  <c r="CC39" i="18"/>
  <c r="AY38" i="18"/>
  <c r="AX39" i="18"/>
  <c r="AZ38" i="18"/>
  <c r="DZ39" i="18"/>
  <c r="EB38" i="18"/>
  <c r="EA38" i="18"/>
  <c r="T41" i="18"/>
  <c r="V40" i="18"/>
  <c r="U40" i="18"/>
  <c r="ET40" i="18"/>
  <c r="EV39" i="18"/>
  <c r="EU39" i="18"/>
  <c r="AS39" i="18"/>
  <c r="AT38" i="18"/>
  <c r="AU38" i="18"/>
  <c r="EQ39" i="18"/>
  <c r="EP39" i="18"/>
  <c r="EO40" i="18"/>
  <c r="EE40" i="18"/>
  <c r="EG39" i="18"/>
  <c r="EF39" i="18"/>
  <c r="BE39" i="18"/>
  <c r="BC40" i="18"/>
  <c r="BD39" i="18"/>
  <c r="AD40" i="18"/>
  <c r="AE39" i="18"/>
  <c r="AF39" i="18"/>
  <c r="AK39" i="18"/>
  <c r="AJ39" i="18"/>
  <c r="AI40" i="18"/>
  <c r="DU39" i="18"/>
  <c r="DV38" i="18"/>
  <c r="DW38" i="18"/>
  <c r="CX40" i="18"/>
  <c r="CV41" i="18"/>
  <c r="CW40" i="18"/>
  <c r="DK40" i="18"/>
  <c r="DM39" i="18"/>
  <c r="DL39" i="18"/>
  <c r="CG39" i="18"/>
  <c r="CH38" i="18"/>
  <c r="CI38" i="18"/>
  <c r="EK40" i="18"/>
  <c r="EJ41" i="18"/>
  <c r="EL40" i="18"/>
  <c r="CS39" i="18"/>
  <c r="CQ40" i="18"/>
  <c r="CR39" i="18"/>
  <c r="BW40" i="18"/>
  <c r="BY39" i="18"/>
  <c r="BX39" i="18"/>
  <c r="DF40" i="18"/>
  <c r="DG39" i="18"/>
  <c r="DH39" i="18"/>
  <c r="BH41" i="18"/>
  <c r="BJ40" i="18"/>
  <c r="BI40" i="18"/>
  <c r="P14" i="10"/>
  <c r="R14" i="10" s="1"/>
  <c r="S14" i="10" s="1"/>
  <c r="P20" i="10"/>
  <c r="R20" i="10" s="1"/>
  <c r="S20" i="10" s="1"/>
  <c r="E59" i="13"/>
  <c r="D59" i="13" s="1"/>
  <c r="F60" i="13" s="1"/>
  <c r="DG40" i="18" l="1"/>
  <c r="DF41" i="18"/>
  <c r="DH40" i="18"/>
  <c r="EB39" i="18"/>
  <c r="DZ40" i="18"/>
  <c r="EA39" i="18"/>
  <c r="CG40" i="18"/>
  <c r="CI39" i="18"/>
  <c r="CH39" i="18"/>
  <c r="AN41" i="18"/>
  <c r="AP40" i="18"/>
  <c r="AO40" i="18"/>
  <c r="DC40" i="18"/>
  <c r="DA41" i="18"/>
  <c r="DB40" i="18"/>
  <c r="BH42" i="18"/>
  <c r="BI41" i="18"/>
  <c r="BJ41" i="18"/>
  <c r="CQ41" i="18"/>
  <c r="CS40" i="18"/>
  <c r="CR40" i="18"/>
  <c r="DU40" i="18"/>
  <c r="DV39" i="18"/>
  <c r="DW39" i="18"/>
  <c r="BC41" i="18"/>
  <c r="BE40" i="18"/>
  <c r="BD40" i="18"/>
  <c r="V41" i="18"/>
  <c r="U41" i="18"/>
  <c r="T42" i="18"/>
  <c r="CB41" i="18"/>
  <c r="CD40" i="18"/>
  <c r="CC40" i="18"/>
  <c r="EJ42" i="18"/>
  <c r="EL41" i="18"/>
  <c r="EK41" i="18"/>
  <c r="EE41" i="18"/>
  <c r="EF40" i="18"/>
  <c r="EG40" i="18"/>
  <c r="AI41" i="18"/>
  <c r="AK40" i="18"/>
  <c r="AJ40" i="18"/>
  <c r="DM40" i="18"/>
  <c r="DL40" i="18"/>
  <c r="DK41" i="18"/>
  <c r="AS40" i="18"/>
  <c r="AU39" i="18"/>
  <c r="AT39" i="18"/>
  <c r="CN39" i="18"/>
  <c r="CL40" i="18"/>
  <c r="CM39" i="18"/>
  <c r="DP41" i="18"/>
  <c r="DR40" i="18"/>
  <c r="DQ40" i="18"/>
  <c r="CV42" i="18"/>
  <c r="CX41" i="18"/>
  <c r="CW41" i="18"/>
  <c r="EQ40" i="18"/>
  <c r="EO41" i="18"/>
  <c r="EP40" i="18"/>
  <c r="ET41" i="18"/>
  <c r="EV40" i="18"/>
  <c r="EU40" i="18"/>
  <c r="AZ39" i="18"/>
  <c r="AX40" i="18"/>
  <c r="AY39" i="18"/>
  <c r="BS40" i="18"/>
  <c r="BR41" i="18"/>
  <c r="BT40" i="18"/>
  <c r="AA40" i="18"/>
  <c r="Z40" i="18"/>
  <c r="Y41" i="18"/>
  <c r="BW41" i="18"/>
  <c r="BY40" i="18"/>
  <c r="BX40" i="18"/>
  <c r="AE40" i="18"/>
  <c r="AF40" i="18"/>
  <c r="AD41" i="18"/>
  <c r="BO40" i="18"/>
  <c r="BN40" i="18"/>
  <c r="BM41" i="18"/>
  <c r="M21" i="10"/>
  <c r="E60" i="13"/>
  <c r="D60" i="13" s="1"/>
  <c r="F61" i="13" s="1"/>
  <c r="AI42" i="18" l="1"/>
  <c r="AK41" i="18"/>
  <c r="AJ41" i="18"/>
  <c r="BH43" i="18"/>
  <c r="BI42" i="18"/>
  <c r="BJ42" i="18"/>
  <c r="DP42" i="18"/>
  <c r="DQ41" i="18"/>
  <c r="DR41" i="18"/>
  <c r="CB42" i="18"/>
  <c r="CC41" i="18"/>
  <c r="CD41" i="18"/>
  <c r="CG41" i="18"/>
  <c r="CH40" i="18"/>
  <c r="CI40" i="18"/>
  <c r="AA41" i="18"/>
  <c r="Y42" i="18"/>
  <c r="Z41" i="18"/>
  <c r="AD42" i="18"/>
  <c r="AF41" i="18"/>
  <c r="AE41" i="18"/>
  <c r="AS41" i="18"/>
  <c r="AT40" i="18"/>
  <c r="AU40" i="18"/>
  <c r="T43" i="18"/>
  <c r="V42" i="18"/>
  <c r="U42" i="18"/>
  <c r="DU41" i="18"/>
  <c r="DV40" i="18"/>
  <c r="DW40" i="18"/>
  <c r="DC41" i="18"/>
  <c r="DA42" i="18"/>
  <c r="DB41" i="18"/>
  <c r="EQ41" i="18"/>
  <c r="EO42" i="18"/>
  <c r="EP41" i="18"/>
  <c r="CW42" i="18"/>
  <c r="CX42" i="18"/>
  <c r="CV43" i="18"/>
  <c r="ET42" i="18"/>
  <c r="EU41" i="18"/>
  <c r="EV41" i="18"/>
  <c r="DK42" i="18"/>
  <c r="DM41" i="18"/>
  <c r="DL41" i="18"/>
  <c r="EG41" i="18"/>
  <c r="EE42" i="18"/>
  <c r="EF41" i="18"/>
  <c r="DZ41" i="18"/>
  <c r="EB40" i="18"/>
  <c r="EA40" i="18"/>
  <c r="CL41" i="18"/>
  <c r="CN40" i="18"/>
  <c r="CM40" i="18"/>
  <c r="EL42" i="18"/>
  <c r="EK42" i="18"/>
  <c r="EJ43" i="18"/>
  <c r="AN42" i="18"/>
  <c r="AO41" i="18"/>
  <c r="AP41" i="18"/>
  <c r="DF42" i="18"/>
  <c r="DH41" i="18"/>
  <c r="DG41" i="18"/>
  <c r="BR42" i="18"/>
  <c r="BT41" i="18"/>
  <c r="BS41" i="18"/>
  <c r="CR41" i="18"/>
  <c r="CQ42" i="18"/>
  <c r="CS41" i="18"/>
  <c r="BO41" i="18"/>
  <c r="BM42" i="18"/>
  <c r="BN41" i="18"/>
  <c r="BX41" i="18"/>
  <c r="BW42" i="18"/>
  <c r="BY41" i="18"/>
  <c r="AZ40" i="18"/>
  <c r="AX41" i="18"/>
  <c r="AY40" i="18"/>
  <c r="BE41" i="18"/>
  <c r="BC42" i="18"/>
  <c r="BD41" i="18"/>
  <c r="O21" i="10"/>
  <c r="N21" i="10"/>
  <c r="E61" i="13"/>
  <c r="D61" i="13" s="1"/>
  <c r="F62" i="13" s="1"/>
  <c r="EO43" i="18" l="1"/>
  <c r="EP42" i="18"/>
  <c r="EQ42" i="18"/>
  <c r="BY42" i="18"/>
  <c r="BX42" i="18"/>
  <c r="BW43" i="18"/>
  <c r="BC43" i="18"/>
  <c r="BD42" i="18"/>
  <c r="BE42" i="18"/>
  <c r="BR43" i="18"/>
  <c r="BT42" i="18"/>
  <c r="BS42" i="18"/>
  <c r="ET43" i="18"/>
  <c r="EV42" i="18"/>
  <c r="EU42" i="18"/>
  <c r="DA43" i="18"/>
  <c r="DB42" i="18"/>
  <c r="DC42" i="18"/>
  <c r="AD43" i="18"/>
  <c r="AF42" i="18"/>
  <c r="AE42" i="18"/>
  <c r="BM43" i="18"/>
  <c r="BN42" i="18"/>
  <c r="BO42" i="18"/>
  <c r="EE43" i="18"/>
  <c r="EF42" i="18"/>
  <c r="EG42" i="18"/>
  <c r="CX43" i="18"/>
  <c r="CV44" i="18"/>
  <c r="CW43" i="18"/>
  <c r="DR42" i="18"/>
  <c r="DQ42" i="18"/>
  <c r="DP43" i="18"/>
  <c r="CQ43" i="18"/>
  <c r="CR42" i="18"/>
  <c r="CS42" i="18"/>
  <c r="BJ43" i="18"/>
  <c r="BH44" i="18"/>
  <c r="BI43" i="18"/>
  <c r="AU41" i="18"/>
  <c r="AT41" i="18"/>
  <c r="AS42" i="18"/>
  <c r="AZ41" i="18"/>
  <c r="AX42" i="18"/>
  <c r="AY41" i="18"/>
  <c r="DF43" i="18"/>
  <c r="DH42" i="18"/>
  <c r="DG42" i="18"/>
  <c r="CI41" i="18"/>
  <c r="CH41" i="18"/>
  <c r="CG42" i="18"/>
  <c r="AP42" i="18"/>
  <c r="AN43" i="18"/>
  <c r="AO42" i="18"/>
  <c r="CN41" i="18"/>
  <c r="CM41" i="18"/>
  <c r="CL42" i="18"/>
  <c r="DU42" i="18"/>
  <c r="DW41" i="18"/>
  <c r="DV41" i="18"/>
  <c r="DM42" i="18"/>
  <c r="DK43" i="18"/>
  <c r="DL42" i="18"/>
  <c r="CD42" i="18"/>
  <c r="CC42" i="18"/>
  <c r="CB43" i="18"/>
  <c r="EL43" i="18"/>
  <c r="EJ44" i="18"/>
  <c r="EK43" i="18"/>
  <c r="EB41" i="18"/>
  <c r="DZ42" i="18"/>
  <c r="EA41" i="18"/>
  <c r="V43" i="18"/>
  <c r="T44" i="18"/>
  <c r="U43" i="18"/>
  <c r="Y43" i="18"/>
  <c r="Z42" i="18"/>
  <c r="AA42" i="18"/>
  <c r="AK42" i="18"/>
  <c r="AJ42" i="18"/>
  <c r="AI43" i="18"/>
  <c r="P21" i="10"/>
  <c r="R21" i="10" s="1"/>
  <c r="E62" i="13"/>
  <c r="D62" i="13" s="1"/>
  <c r="F63" i="13" s="1"/>
  <c r="AA43" i="18" l="1"/>
  <c r="Y44" i="18"/>
  <c r="Z43" i="18"/>
  <c r="DU43" i="18"/>
  <c r="DV42" i="18"/>
  <c r="DW42" i="18"/>
  <c r="CR43" i="18"/>
  <c r="CS43" i="18"/>
  <c r="CQ44" i="18"/>
  <c r="DC43" i="18"/>
  <c r="DA44" i="18"/>
  <c r="DB43" i="18"/>
  <c r="EL44" i="18"/>
  <c r="EJ45" i="18"/>
  <c r="EK44" i="18"/>
  <c r="V44" i="18"/>
  <c r="T45" i="18"/>
  <c r="U44" i="18"/>
  <c r="AS43" i="18"/>
  <c r="AU42" i="18"/>
  <c r="AT42" i="18"/>
  <c r="EB42" i="18"/>
  <c r="DZ43" i="18"/>
  <c r="EA42" i="18"/>
  <c r="BC44" i="18"/>
  <c r="BD43" i="18"/>
  <c r="BE43" i="18"/>
  <c r="CG43" i="18"/>
  <c r="CI42" i="18"/>
  <c r="CH42" i="18"/>
  <c r="DM43" i="18"/>
  <c r="DK44" i="18"/>
  <c r="DL43" i="18"/>
  <c r="DF44" i="18"/>
  <c r="DH43" i="18"/>
  <c r="DG43" i="18"/>
  <c r="BJ44" i="18"/>
  <c r="BH45" i="18"/>
  <c r="BI44" i="18"/>
  <c r="BO43" i="18"/>
  <c r="BM44" i="18"/>
  <c r="BN43" i="18"/>
  <c r="BY43" i="18"/>
  <c r="BW44" i="18"/>
  <c r="BX43" i="18"/>
  <c r="AN44" i="18"/>
  <c r="AO43" i="18"/>
  <c r="AP43" i="18"/>
  <c r="CX44" i="18"/>
  <c r="CV45" i="18"/>
  <c r="CW44" i="18"/>
  <c r="ET44" i="18"/>
  <c r="EV43" i="18"/>
  <c r="EU43" i="18"/>
  <c r="AZ42" i="18"/>
  <c r="AX43" i="18"/>
  <c r="AY42" i="18"/>
  <c r="AE43" i="18"/>
  <c r="AF43" i="18"/>
  <c r="AD44" i="18"/>
  <c r="CB44" i="18"/>
  <c r="CC43" i="18"/>
  <c r="CD43" i="18"/>
  <c r="BT43" i="18"/>
  <c r="BS43" i="18"/>
  <c r="BR44" i="18"/>
  <c r="AK43" i="18"/>
  <c r="AI44" i="18"/>
  <c r="AJ43" i="18"/>
  <c r="CN42" i="18"/>
  <c r="CL43" i="18"/>
  <c r="CM42" i="18"/>
  <c r="DP44" i="18"/>
  <c r="DQ43" i="18"/>
  <c r="DR43" i="18"/>
  <c r="EG43" i="18"/>
  <c r="EF43" i="18"/>
  <c r="EE44" i="18"/>
  <c r="EQ43" i="18"/>
  <c r="EO44" i="18"/>
  <c r="EP43" i="18"/>
  <c r="S21" i="10"/>
  <c r="M22" i="10" s="1"/>
  <c r="E63" i="13"/>
  <c r="D63" i="13" s="1"/>
  <c r="F64" i="13" s="1"/>
  <c r="EO45" i="18" l="1"/>
  <c r="EP44" i="18"/>
  <c r="EQ44" i="18"/>
  <c r="AX44" i="18"/>
  <c r="AY43" i="18"/>
  <c r="AZ43" i="18"/>
  <c r="DK45" i="18"/>
  <c r="DL44" i="18"/>
  <c r="DM44" i="18"/>
  <c r="CL44" i="18"/>
  <c r="CM43" i="18"/>
  <c r="CN43" i="18"/>
  <c r="EJ46" i="18"/>
  <c r="EK45" i="18"/>
  <c r="EL45" i="18"/>
  <c r="CB45" i="18"/>
  <c r="CD44" i="18"/>
  <c r="CC44" i="18"/>
  <c r="EE45" i="18"/>
  <c r="EG44" i="18"/>
  <c r="EF44" i="18"/>
  <c r="AN45" i="18"/>
  <c r="AP44" i="18"/>
  <c r="AO44" i="18"/>
  <c r="AI45" i="18"/>
  <c r="AJ44" i="18"/>
  <c r="AK44" i="18"/>
  <c r="AD45" i="18"/>
  <c r="AF44" i="18"/>
  <c r="AE44" i="18"/>
  <c r="EU44" i="18"/>
  <c r="EV44" i="18"/>
  <c r="ET45" i="18"/>
  <c r="BW45" i="18"/>
  <c r="BX44" i="18"/>
  <c r="BY44" i="18"/>
  <c r="CG44" i="18"/>
  <c r="CI43" i="18"/>
  <c r="CH43" i="18"/>
  <c r="DU44" i="18"/>
  <c r="DW43" i="18"/>
  <c r="DV43" i="18"/>
  <c r="DZ44" i="18"/>
  <c r="EA43" i="18"/>
  <c r="EB43" i="18"/>
  <c r="BH46" i="18"/>
  <c r="BI45" i="18"/>
  <c r="BJ45" i="18"/>
  <c r="AS44" i="18"/>
  <c r="AU43" i="18"/>
  <c r="AT43" i="18"/>
  <c r="DA45" i="18"/>
  <c r="DB44" i="18"/>
  <c r="DC44" i="18"/>
  <c r="BR45" i="18"/>
  <c r="BT44" i="18"/>
  <c r="BS44" i="18"/>
  <c r="CV46" i="18"/>
  <c r="CW45" i="18"/>
  <c r="CX45" i="18"/>
  <c r="DF45" i="18"/>
  <c r="DG44" i="18"/>
  <c r="DH44" i="18"/>
  <c r="Y45" i="18"/>
  <c r="Z44" i="18"/>
  <c r="AA44" i="18"/>
  <c r="DP45" i="18"/>
  <c r="DR44" i="18"/>
  <c r="DQ44" i="18"/>
  <c r="BM45" i="18"/>
  <c r="BN44" i="18"/>
  <c r="BO44" i="18"/>
  <c r="BC45" i="18"/>
  <c r="BE44" i="18"/>
  <c r="BD44" i="18"/>
  <c r="T46" i="18"/>
  <c r="U45" i="18"/>
  <c r="V45" i="18"/>
  <c r="CQ45" i="18"/>
  <c r="CS44" i="18"/>
  <c r="CR44" i="18"/>
  <c r="O22" i="10"/>
  <c r="J11" i="10"/>
  <c r="J14" i="10" s="1"/>
  <c r="N22" i="10"/>
  <c r="E64" i="13"/>
  <c r="D64" i="13" s="1"/>
  <c r="F65" i="13" s="1"/>
  <c r="CQ46" i="18" l="1"/>
  <c r="CS45" i="18"/>
  <c r="CR45" i="18"/>
  <c r="Y46" i="18"/>
  <c r="AA45" i="18"/>
  <c r="Z45" i="18"/>
  <c r="DW44" i="18"/>
  <c r="DV44" i="18"/>
  <c r="DU45" i="18"/>
  <c r="CC45" i="18"/>
  <c r="CD45" i="18"/>
  <c r="CB46" i="18"/>
  <c r="BJ46" i="18"/>
  <c r="BH47" i="18"/>
  <c r="BI46" i="18"/>
  <c r="BM46" i="18"/>
  <c r="BO45" i="18"/>
  <c r="BN45" i="18"/>
  <c r="DH45" i="18"/>
  <c r="DF46" i="18"/>
  <c r="DG45" i="18"/>
  <c r="CI44" i="18"/>
  <c r="CH44" i="18"/>
  <c r="CG45" i="18"/>
  <c r="EL46" i="18"/>
  <c r="EJ47" i="18"/>
  <c r="EK46" i="18"/>
  <c r="BT45" i="18"/>
  <c r="BR46" i="18"/>
  <c r="BS45" i="18"/>
  <c r="DM45" i="18"/>
  <c r="DK46" i="18"/>
  <c r="DL45" i="18"/>
  <c r="DA46" i="18"/>
  <c r="DB45" i="18"/>
  <c r="DC45" i="18"/>
  <c r="AF45" i="18"/>
  <c r="AD46" i="18"/>
  <c r="AE45" i="18"/>
  <c r="AZ44" i="18"/>
  <c r="AX45" i="18"/>
  <c r="AY44" i="18"/>
  <c r="AN46" i="18"/>
  <c r="AO45" i="18"/>
  <c r="AP45" i="18"/>
  <c r="V46" i="18"/>
  <c r="T47" i="18"/>
  <c r="U46" i="18"/>
  <c r="DR45" i="18"/>
  <c r="DQ45" i="18"/>
  <c r="DP46" i="18"/>
  <c r="EB44" i="18"/>
  <c r="EA44" i="18"/>
  <c r="DZ45" i="18"/>
  <c r="EE46" i="18"/>
  <c r="EG45" i="18"/>
  <c r="EF45" i="18"/>
  <c r="CX46" i="18"/>
  <c r="CV47" i="18"/>
  <c r="CW46" i="18"/>
  <c r="BY45" i="18"/>
  <c r="BW46" i="18"/>
  <c r="BX45" i="18"/>
  <c r="CN44" i="18"/>
  <c r="CL45" i="18"/>
  <c r="CM44" i="18"/>
  <c r="BE45" i="18"/>
  <c r="BD45" i="18"/>
  <c r="BC46" i="18"/>
  <c r="AU44" i="18"/>
  <c r="AS45" i="18"/>
  <c r="AT44" i="18"/>
  <c r="EV45" i="18"/>
  <c r="ET46" i="18"/>
  <c r="EU45" i="18"/>
  <c r="AK45" i="18"/>
  <c r="AJ45" i="18"/>
  <c r="AI46" i="18"/>
  <c r="EP45" i="18"/>
  <c r="EQ45" i="18"/>
  <c r="EO46" i="18"/>
  <c r="P22" i="10"/>
  <c r="R22" i="10" s="1"/>
  <c r="S22" i="10" s="1"/>
  <c r="E65" i="13"/>
  <c r="D65" i="13" s="1"/>
  <c r="F66" i="13" s="1"/>
  <c r="CB47" i="18" l="1"/>
  <c r="CD46" i="18"/>
  <c r="CC46" i="18"/>
  <c r="DP47" i="18"/>
  <c r="DR46" i="18"/>
  <c r="DQ46" i="18"/>
  <c r="DK47" i="18"/>
  <c r="DL46" i="18"/>
  <c r="DM46" i="18"/>
  <c r="CI45" i="18"/>
  <c r="CG46" i="18"/>
  <c r="CH45" i="18"/>
  <c r="BO46" i="18"/>
  <c r="BN46" i="18"/>
  <c r="BM47" i="18"/>
  <c r="Y47" i="18"/>
  <c r="AA46" i="18"/>
  <c r="Z46" i="18"/>
  <c r="CV48" i="18"/>
  <c r="CW47" i="18"/>
  <c r="CX47" i="18"/>
  <c r="AN47" i="18"/>
  <c r="AP46" i="18"/>
  <c r="AO46" i="18"/>
  <c r="EG46" i="18"/>
  <c r="EF46" i="18"/>
  <c r="EE47" i="18"/>
  <c r="T48" i="18"/>
  <c r="U47" i="18"/>
  <c r="V47" i="18"/>
  <c r="AI47" i="18"/>
  <c r="AJ46" i="18"/>
  <c r="AK46" i="18"/>
  <c r="BW47" i="18"/>
  <c r="BX46" i="18"/>
  <c r="BY46" i="18"/>
  <c r="DZ46" i="18"/>
  <c r="EA45" i="18"/>
  <c r="EB45" i="18"/>
  <c r="AF46" i="18"/>
  <c r="AD47" i="18"/>
  <c r="AE46" i="18"/>
  <c r="BH48" i="18"/>
  <c r="BI47" i="18"/>
  <c r="BJ47" i="18"/>
  <c r="AU45" i="18"/>
  <c r="AS46" i="18"/>
  <c r="AT45" i="18"/>
  <c r="BE46" i="18"/>
  <c r="BD46" i="18"/>
  <c r="BC47" i="18"/>
  <c r="BT46" i="18"/>
  <c r="BR47" i="18"/>
  <c r="BS46" i="18"/>
  <c r="EV46" i="18"/>
  <c r="ET47" i="18"/>
  <c r="EU46" i="18"/>
  <c r="DA47" i="18"/>
  <c r="DC46" i="18"/>
  <c r="DB46" i="18"/>
  <c r="EJ48" i="18"/>
  <c r="EK47" i="18"/>
  <c r="EL47" i="18"/>
  <c r="DH46" i="18"/>
  <c r="DF47" i="18"/>
  <c r="DG46" i="18"/>
  <c r="EO47" i="18"/>
  <c r="EQ46" i="18"/>
  <c r="EP46" i="18"/>
  <c r="CL46" i="18"/>
  <c r="CM45" i="18"/>
  <c r="CN45" i="18"/>
  <c r="AX46" i="18"/>
  <c r="AY45" i="18"/>
  <c r="AZ45" i="18"/>
  <c r="DW45" i="18"/>
  <c r="DU46" i="18"/>
  <c r="DV45" i="18"/>
  <c r="CS46" i="18"/>
  <c r="CQ47" i="18"/>
  <c r="CR46" i="18"/>
  <c r="E66" i="13"/>
  <c r="D66" i="13" s="1"/>
  <c r="F67" i="13" s="1"/>
  <c r="CS47" i="18" l="1"/>
  <c r="CQ48" i="18"/>
  <c r="CR47" i="18"/>
  <c r="EV47" i="18"/>
  <c r="ET48" i="18"/>
  <c r="EU47" i="18"/>
  <c r="Y48" i="18"/>
  <c r="Z47" i="18"/>
  <c r="AA47" i="18"/>
  <c r="BM48" i="18"/>
  <c r="BN47" i="18"/>
  <c r="BO47" i="18"/>
  <c r="DM47" i="18"/>
  <c r="DL47" i="18"/>
  <c r="DK48" i="18"/>
  <c r="CN46" i="18"/>
  <c r="CM46" i="18"/>
  <c r="CL47" i="18"/>
  <c r="AP47" i="18"/>
  <c r="AO47" i="18"/>
  <c r="AN48" i="18"/>
  <c r="EL48" i="18"/>
  <c r="EK48" i="18"/>
  <c r="EJ49" i="18"/>
  <c r="EB46" i="18"/>
  <c r="EA46" i="18"/>
  <c r="DZ47" i="18"/>
  <c r="AS47" i="18"/>
  <c r="AT46" i="18"/>
  <c r="AU46" i="18"/>
  <c r="AK47" i="18"/>
  <c r="AJ47" i="18"/>
  <c r="AI48" i="18"/>
  <c r="DU47" i="18"/>
  <c r="DV46" i="18"/>
  <c r="DW46" i="18"/>
  <c r="BT47" i="18"/>
  <c r="BR48" i="18"/>
  <c r="BS47" i="18"/>
  <c r="U48" i="18"/>
  <c r="T49" i="18"/>
  <c r="V48" i="18"/>
  <c r="DR47" i="18"/>
  <c r="DP48" i="18"/>
  <c r="DQ47" i="18"/>
  <c r="EO48" i="18"/>
  <c r="EP47" i="18"/>
  <c r="EQ47" i="18"/>
  <c r="BE47" i="18"/>
  <c r="BC48" i="18"/>
  <c r="BD47" i="18"/>
  <c r="EG47" i="18"/>
  <c r="EE48" i="18"/>
  <c r="EF47" i="18"/>
  <c r="CV49" i="18"/>
  <c r="CX48" i="18"/>
  <c r="CW48" i="18"/>
  <c r="DA48" i="18"/>
  <c r="DB47" i="18"/>
  <c r="DC47" i="18"/>
  <c r="BY47" i="18"/>
  <c r="BX47" i="18"/>
  <c r="BW48" i="18"/>
  <c r="BH49" i="18"/>
  <c r="BI48" i="18"/>
  <c r="BJ48" i="18"/>
  <c r="CG47" i="18"/>
  <c r="CH46" i="18"/>
  <c r="CI46" i="18"/>
  <c r="AX47" i="18"/>
  <c r="AZ46" i="18"/>
  <c r="AY46" i="18"/>
  <c r="DH47" i="18"/>
  <c r="DF48" i="18"/>
  <c r="DG47" i="18"/>
  <c r="AD48" i="18"/>
  <c r="AE47" i="18"/>
  <c r="AF47" i="18"/>
  <c r="CD47" i="18"/>
  <c r="CC47" i="18"/>
  <c r="CB48" i="18"/>
  <c r="E67" i="13"/>
  <c r="D67" i="13" s="1"/>
  <c r="F68" i="13" s="1"/>
  <c r="EL49" i="18" l="1"/>
  <c r="EJ50" i="18"/>
  <c r="EK49" i="18"/>
  <c r="BY48" i="18"/>
  <c r="BX48" i="18"/>
  <c r="BW49" i="18"/>
  <c r="CX49" i="18"/>
  <c r="CV50" i="18"/>
  <c r="CW49" i="18"/>
  <c r="DM48" i="18"/>
  <c r="DL48" i="18"/>
  <c r="DK49" i="18"/>
  <c r="AA48" i="18"/>
  <c r="Y49" i="18"/>
  <c r="Z48" i="18"/>
  <c r="AZ47" i="18"/>
  <c r="AX48" i="18"/>
  <c r="AY47" i="18"/>
  <c r="EQ48" i="18"/>
  <c r="EP48" i="18"/>
  <c r="EO49" i="18"/>
  <c r="BT48" i="18"/>
  <c r="BR49" i="18"/>
  <c r="BS48" i="18"/>
  <c r="EG48" i="18"/>
  <c r="EE49" i="18"/>
  <c r="EF48" i="18"/>
  <c r="AP48" i="18"/>
  <c r="AN49" i="18"/>
  <c r="AO48" i="18"/>
  <c r="EV48" i="18"/>
  <c r="ET49" i="18"/>
  <c r="EU48" i="18"/>
  <c r="AF48" i="18"/>
  <c r="AD49" i="18"/>
  <c r="AE48" i="18"/>
  <c r="DR48" i="18"/>
  <c r="DP49" i="18"/>
  <c r="DQ48" i="18"/>
  <c r="AU47" i="18"/>
  <c r="AS48" i="18"/>
  <c r="AT47" i="18"/>
  <c r="BJ49" i="18"/>
  <c r="BI49" i="18"/>
  <c r="BH50" i="18"/>
  <c r="CI47" i="18"/>
  <c r="CG48" i="18"/>
  <c r="CH47" i="18"/>
  <c r="EB47" i="18"/>
  <c r="EA47" i="18"/>
  <c r="DZ48" i="18"/>
  <c r="DH48" i="18"/>
  <c r="DF49" i="18"/>
  <c r="DG48" i="18"/>
  <c r="DC48" i="18"/>
  <c r="DB48" i="18"/>
  <c r="DA49" i="18"/>
  <c r="BE48" i="18"/>
  <c r="BC49" i="18"/>
  <c r="BD48" i="18"/>
  <c r="DW47" i="18"/>
  <c r="DU48" i="18"/>
  <c r="DV47" i="18"/>
  <c r="CN47" i="18"/>
  <c r="CL48" i="18"/>
  <c r="CM47" i="18"/>
  <c r="BO48" i="18"/>
  <c r="BN48" i="18"/>
  <c r="BM49" i="18"/>
  <c r="CS48" i="18"/>
  <c r="CQ49" i="18"/>
  <c r="CR48" i="18"/>
  <c r="CD48" i="18"/>
  <c r="CB49" i="18"/>
  <c r="CC48" i="18"/>
  <c r="V49" i="18"/>
  <c r="U49" i="18"/>
  <c r="T50" i="18"/>
  <c r="AK48" i="18"/>
  <c r="AJ48" i="18"/>
  <c r="AI49" i="18"/>
  <c r="E68" i="13"/>
  <c r="D68" i="13" s="1"/>
  <c r="F69" i="13" s="1"/>
  <c r="BE49" i="18" l="1"/>
  <c r="BC50" i="18"/>
  <c r="BD49" i="18"/>
  <c r="ET50" i="18"/>
  <c r="EU49" i="18"/>
  <c r="EV49" i="18"/>
  <c r="CW50" i="18"/>
  <c r="CX50" i="18"/>
  <c r="CV51" i="18"/>
  <c r="DK50" i="18"/>
  <c r="DL49" i="18"/>
  <c r="DM49" i="18"/>
  <c r="DZ49" i="18"/>
  <c r="EA48" i="18"/>
  <c r="EB48" i="18"/>
  <c r="CG49" i="18"/>
  <c r="CH48" i="18"/>
  <c r="CI48" i="18"/>
  <c r="BR50" i="18"/>
  <c r="BS49" i="18"/>
  <c r="BT49" i="18"/>
  <c r="CS49" i="18"/>
  <c r="CQ50" i="18"/>
  <c r="CR49" i="18"/>
  <c r="T51" i="18"/>
  <c r="U50" i="18"/>
  <c r="V50" i="18"/>
  <c r="DU49" i="18"/>
  <c r="DV48" i="18"/>
  <c r="DW48" i="18"/>
  <c r="DR49" i="18"/>
  <c r="DP50" i="18"/>
  <c r="DQ49" i="18"/>
  <c r="AA49" i="18"/>
  <c r="Y50" i="18"/>
  <c r="Z49" i="18"/>
  <c r="BW50" i="18"/>
  <c r="BX49" i="18"/>
  <c r="BY49" i="18"/>
  <c r="BO49" i="18"/>
  <c r="BM50" i="18"/>
  <c r="BN49" i="18"/>
  <c r="DF50" i="18"/>
  <c r="DG49" i="18"/>
  <c r="DH49" i="18"/>
  <c r="BH51" i="18"/>
  <c r="BI50" i="18"/>
  <c r="BJ50" i="18"/>
  <c r="AP49" i="18"/>
  <c r="AN50" i="18"/>
  <c r="AO49" i="18"/>
  <c r="EQ49" i="18"/>
  <c r="EO50" i="18"/>
  <c r="EP49" i="18"/>
  <c r="CD49" i="18"/>
  <c r="CB50" i="18"/>
  <c r="CC49" i="18"/>
  <c r="EG49" i="18"/>
  <c r="EE50" i="18"/>
  <c r="EF49" i="18"/>
  <c r="EK50" i="18"/>
  <c r="EJ51" i="18"/>
  <c r="EL50" i="18"/>
  <c r="AD50" i="18"/>
  <c r="AE49" i="18"/>
  <c r="AF49" i="18"/>
  <c r="AI50" i="18"/>
  <c r="AJ49" i="18"/>
  <c r="AK49" i="18"/>
  <c r="CL49" i="18"/>
  <c r="CM48" i="18"/>
  <c r="CN48" i="18"/>
  <c r="DC49" i="18"/>
  <c r="DA50" i="18"/>
  <c r="DB49" i="18"/>
  <c r="AS49" i="18"/>
  <c r="AT48" i="18"/>
  <c r="AU48" i="18"/>
  <c r="AX49" i="18"/>
  <c r="AY48" i="18"/>
  <c r="AZ48" i="18"/>
  <c r="E69" i="13"/>
  <c r="D69" i="13" s="1"/>
  <c r="F70" i="13" s="1"/>
  <c r="AF50" i="18" l="1"/>
  <c r="AE50" i="18"/>
  <c r="AD51" i="18"/>
  <c r="CD50" i="18"/>
  <c r="CC50" i="18"/>
  <c r="CB51" i="18"/>
  <c r="DP51" i="18"/>
  <c r="DR50" i="18"/>
  <c r="DQ50" i="18"/>
  <c r="CI49" i="18"/>
  <c r="CH49" i="18"/>
  <c r="CG50" i="18"/>
  <c r="CR50" i="18"/>
  <c r="CQ51" i="18"/>
  <c r="CS50" i="18"/>
  <c r="EJ52" i="18"/>
  <c r="EL51" i="18"/>
  <c r="EK51" i="18"/>
  <c r="CN49" i="18"/>
  <c r="CM49" i="18"/>
  <c r="CL50" i="18"/>
  <c r="EO51" i="18"/>
  <c r="EQ50" i="18"/>
  <c r="EP50" i="18"/>
  <c r="BY50" i="18"/>
  <c r="BW51" i="18"/>
  <c r="BX50" i="18"/>
  <c r="EB49" i="18"/>
  <c r="EA49" i="18"/>
  <c r="DZ50" i="18"/>
  <c r="AU49" i="18"/>
  <c r="AT49" i="18"/>
  <c r="AS50" i="18"/>
  <c r="DW49" i="18"/>
  <c r="DV49" i="18"/>
  <c r="DU50" i="18"/>
  <c r="ET51" i="18"/>
  <c r="EV50" i="18"/>
  <c r="EU50" i="18"/>
  <c r="AZ49" i="18"/>
  <c r="AY49" i="18"/>
  <c r="AX50" i="18"/>
  <c r="BJ51" i="18"/>
  <c r="BH52" i="18"/>
  <c r="BI51" i="18"/>
  <c r="AK50" i="18"/>
  <c r="AI51" i="18"/>
  <c r="AJ50" i="18"/>
  <c r="EE51" i="18"/>
  <c r="EF50" i="18"/>
  <c r="EG50" i="18"/>
  <c r="DF51" i="18"/>
  <c r="DG50" i="18"/>
  <c r="DH50" i="18"/>
  <c r="AA50" i="18"/>
  <c r="Y51" i="18"/>
  <c r="Z50" i="18"/>
  <c r="BS50" i="18"/>
  <c r="BR51" i="18"/>
  <c r="BT50" i="18"/>
  <c r="DA51" i="18"/>
  <c r="DC50" i="18"/>
  <c r="DB50" i="18"/>
  <c r="AP50" i="18"/>
  <c r="AN51" i="18"/>
  <c r="AO50" i="18"/>
  <c r="DM50" i="18"/>
  <c r="DK51" i="18"/>
  <c r="DL50" i="18"/>
  <c r="BC51" i="18"/>
  <c r="BD50" i="18"/>
  <c r="BE50" i="18"/>
  <c r="BO50" i="18"/>
  <c r="BM51" i="18"/>
  <c r="BN50" i="18"/>
  <c r="T52" i="18"/>
  <c r="V51" i="18"/>
  <c r="U51" i="18"/>
  <c r="CV52" i="18"/>
  <c r="CX51" i="18"/>
  <c r="CW51" i="18"/>
  <c r="E70" i="13"/>
  <c r="D70" i="13" s="1"/>
  <c r="F71" i="13" s="1"/>
  <c r="Y52" i="18" l="1"/>
  <c r="AA51" i="18"/>
  <c r="Z51" i="18"/>
  <c r="EL52" i="18"/>
  <c r="EK52" i="18"/>
  <c r="EJ53" i="18"/>
  <c r="DR51" i="18"/>
  <c r="DP52" i="18"/>
  <c r="DQ51" i="18"/>
  <c r="AI52" i="18"/>
  <c r="AK51" i="18"/>
  <c r="AJ51" i="18"/>
  <c r="BC52" i="18"/>
  <c r="BE51" i="18"/>
  <c r="BD51" i="18"/>
  <c r="EB50" i="18"/>
  <c r="EA50" i="18"/>
  <c r="DZ51" i="18"/>
  <c r="EO52" i="18"/>
  <c r="EQ51" i="18"/>
  <c r="EP51" i="18"/>
  <c r="CS51" i="18"/>
  <c r="CR51" i="18"/>
  <c r="CQ52" i="18"/>
  <c r="CD51" i="18"/>
  <c r="CC51" i="18"/>
  <c r="CB52" i="18"/>
  <c r="CW52" i="18"/>
  <c r="CX52" i="18"/>
  <c r="CV53" i="18"/>
  <c r="DA52" i="18"/>
  <c r="DC51" i="18"/>
  <c r="DB51" i="18"/>
  <c r="ET52" i="18"/>
  <c r="EV51" i="18"/>
  <c r="EU51" i="18"/>
  <c r="CN50" i="18"/>
  <c r="CM50" i="18"/>
  <c r="CL51" i="18"/>
  <c r="V52" i="18"/>
  <c r="T53" i="18"/>
  <c r="U52" i="18"/>
  <c r="DM51" i="18"/>
  <c r="DK52" i="18"/>
  <c r="DL51" i="18"/>
  <c r="DH51" i="18"/>
  <c r="DF52" i="18"/>
  <c r="DG51" i="18"/>
  <c r="BJ52" i="18"/>
  <c r="BH53" i="18"/>
  <c r="BI52" i="18"/>
  <c r="DW50" i="18"/>
  <c r="DU51" i="18"/>
  <c r="DV50" i="18"/>
  <c r="CI50" i="18"/>
  <c r="CH50" i="18"/>
  <c r="CG51" i="18"/>
  <c r="AZ50" i="18"/>
  <c r="AX51" i="18"/>
  <c r="AY50" i="18"/>
  <c r="BR52" i="18"/>
  <c r="BT51" i="18"/>
  <c r="BS51" i="18"/>
  <c r="AD52" i="18"/>
  <c r="AF51" i="18"/>
  <c r="AE51" i="18"/>
  <c r="BM52" i="18"/>
  <c r="BO51" i="18"/>
  <c r="BN51" i="18"/>
  <c r="BY51" i="18"/>
  <c r="BW52" i="18"/>
  <c r="BX51" i="18"/>
  <c r="AN52" i="18"/>
  <c r="AO51" i="18"/>
  <c r="AP51" i="18"/>
  <c r="EE52" i="18"/>
  <c r="EG51" i="18"/>
  <c r="EF51" i="18"/>
  <c r="AU50" i="18"/>
  <c r="AT50" i="18"/>
  <c r="AS51" i="18"/>
  <c r="E71" i="13"/>
  <c r="D71" i="13" s="1"/>
  <c r="F72" i="13" s="1"/>
  <c r="BW53" i="18" l="1"/>
  <c r="BX52" i="18"/>
  <c r="BY52" i="18"/>
  <c r="AD53" i="18"/>
  <c r="AF52" i="18"/>
  <c r="AE52" i="18"/>
  <c r="CR52" i="18"/>
  <c r="CS52" i="18"/>
  <c r="CQ53" i="18"/>
  <c r="DQ52" i="18"/>
  <c r="DR52" i="18"/>
  <c r="DP53" i="18"/>
  <c r="DH52" i="18"/>
  <c r="DF53" i="18"/>
  <c r="DG52" i="18"/>
  <c r="CV54" i="18"/>
  <c r="CW53" i="18"/>
  <c r="CX53" i="18"/>
  <c r="EJ54" i="18"/>
  <c r="EK53" i="18"/>
  <c r="EL53" i="18"/>
  <c r="BD52" i="18"/>
  <c r="BE52" i="18"/>
  <c r="BC53" i="18"/>
  <c r="CL52" i="18"/>
  <c r="CM51" i="18"/>
  <c r="CN51" i="18"/>
  <c r="BR53" i="18"/>
  <c r="BT52" i="18"/>
  <c r="BS52" i="18"/>
  <c r="DU52" i="18"/>
  <c r="DW51" i="18"/>
  <c r="DV51" i="18"/>
  <c r="EG52" i="18"/>
  <c r="EE53" i="18"/>
  <c r="EF52" i="18"/>
  <c r="DK53" i="18"/>
  <c r="DL52" i="18"/>
  <c r="DM52" i="18"/>
  <c r="DA53" i="18"/>
  <c r="DC52" i="18"/>
  <c r="DB52" i="18"/>
  <c r="BM53" i="18"/>
  <c r="BO52" i="18"/>
  <c r="BN52" i="18"/>
  <c r="AX52" i="18"/>
  <c r="AZ51" i="18"/>
  <c r="AY51" i="18"/>
  <c r="CD52" i="18"/>
  <c r="CC52" i="18"/>
  <c r="CB53" i="18"/>
  <c r="EO53" i="18"/>
  <c r="EQ52" i="18"/>
  <c r="EP52" i="18"/>
  <c r="BH54" i="18"/>
  <c r="BI53" i="18"/>
  <c r="BJ53" i="18"/>
  <c r="EV52" i="18"/>
  <c r="ET53" i="18"/>
  <c r="EU52" i="18"/>
  <c r="DZ52" i="18"/>
  <c r="EA51" i="18"/>
  <c r="EB51" i="18"/>
  <c r="AI53" i="18"/>
  <c r="AJ52" i="18"/>
  <c r="AK52" i="18"/>
  <c r="AT51" i="18"/>
  <c r="AS52" i="18"/>
  <c r="AU51" i="18"/>
  <c r="AN53" i="18"/>
  <c r="AP52" i="18"/>
  <c r="AO52" i="18"/>
  <c r="CI51" i="18"/>
  <c r="CG52" i="18"/>
  <c r="CH51" i="18"/>
  <c r="T54" i="18"/>
  <c r="U53" i="18"/>
  <c r="V53" i="18"/>
  <c r="Y53" i="18"/>
  <c r="Z52" i="18"/>
  <c r="AA52" i="18"/>
  <c r="E72" i="13"/>
  <c r="D72" i="13" s="1"/>
  <c r="F73" i="13" s="1"/>
  <c r="AI54" i="18" l="1"/>
  <c r="AJ53" i="18"/>
  <c r="AK53" i="18"/>
  <c r="AP53" i="18"/>
  <c r="AN54" i="18"/>
  <c r="AO53" i="18"/>
  <c r="AZ52" i="18"/>
  <c r="AY52" i="18"/>
  <c r="AX53" i="18"/>
  <c r="DF54" i="18"/>
  <c r="DG53" i="18"/>
  <c r="DH53" i="18"/>
  <c r="BE53" i="18"/>
  <c r="BC54" i="18"/>
  <c r="BD53" i="18"/>
  <c r="DL53" i="18"/>
  <c r="DM53" i="18"/>
  <c r="DK54" i="18"/>
  <c r="DA54" i="18"/>
  <c r="DC53" i="18"/>
  <c r="DB53" i="18"/>
  <c r="CX54" i="18"/>
  <c r="CW54" i="18"/>
  <c r="CV55" i="18"/>
  <c r="EB52" i="18"/>
  <c r="EA52" i="18"/>
  <c r="DZ53" i="18"/>
  <c r="V54" i="18"/>
  <c r="U54" i="18"/>
  <c r="T55" i="18"/>
  <c r="AS53" i="18"/>
  <c r="AT52" i="18"/>
  <c r="AU52" i="18"/>
  <c r="EP53" i="18"/>
  <c r="EQ53" i="18"/>
  <c r="EO54" i="18"/>
  <c r="BR54" i="18"/>
  <c r="BS53" i="18"/>
  <c r="BT53" i="18"/>
  <c r="DR53" i="18"/>
  <c r="DP54" i="18"/>
  <c r="DQ53" i="18"/>
  <c r="AD54" i="18"/>
  <c r="AE53" i="18"/>
  <c r="AF53" i="18"/>
  <c r="ET54" i="18"/>
  <c r="EU53" i="18"/>
  <c r="EV53" i="18"/>
  <c r="CD53" i="18"/>
  <c r="CC53" i="18"/>
  <c r="CB54" i="18"/>
  <c r="BM54" i="18"/>
  <c r="BN53" i="18"/>
  <c r="BO53" i="18"/>
  <c r="EG53" i="18"/>
  <c r="EE54" i="18"/>
  <c r="EF53" i="18"/>
  <c r="EK54" i="18"/>
  <c r="EJ55" i="18"/>
  <c r="EL54" i="18"/>
  <c r="AA53" i="18"/>
  <c r="Y54" i="18"/>
  <c r="Z53" i="18"/>
  <c r="BH55" i="18"/>
  <c r="BJ54" i="18"/>
  <c r="BI54" i="18"/>
  <c r="DU53" i="18"/>
  <c r="DV52" i="18"/>
  <c r="DW52" i="18"/>
  <c r="CG53" i="18"/>
  <c r="CI52" i="18"/>
  <c r="CH52" i="18"/>
  <c r="CN52" i="18"/>
  <c r="CL53" i="18"/>
  <c r="CM52" i="18"/>
  <c r="CS53" i="18"/>
  <c r="CQ54" i="18"/>
  <c r="CR53" i="18"/>
  <c r="BX53" i="18"/>
  <c r="BW54" i="18"/>
  <c r="BY53" i="18"/>
  <c r="E73" i="13"/>
  <c r="D73" i="13" s="1"/>
  <c r="F74" i="13" s="1"/>
  <c r="BX54" i="18" l="1"/>
  <c r="BY54" i="18"/>
  <c r="BW55" i="18"/>
  <c r="BI55" i="18"/>
  <c r="BH56" i="18"/>
  <c r="BJ55" i="18"/>
  <c r="EE55" i="18"/>
  <c r="EF54" i="18"/>
  <c r="EG54" i="18"/>
  <c r="CW55" i="18"/>
  <c r="CV56" i="18"/>
  <c r="CX55" i="18"/>
  <c r="AU53" i="18"/>
  <c r="AS54" i="18"/>
  <c r="AT53" i="18"/>
  <c r="EV54" i="18"/>
  <c r="EU54" i="18"/>
  <c r="ET55" i="18"/>
  <c r="T56" i="18"/>
  <c r="V55" i="18"/>
  <c r="U55" i="18"/>
  <c r="BC55" i="18"/>
  <c r="BD54" i="18"/>
  <c r="BE54" i="18"/>
  <c r="BT54" i="18"/>
  <c r="BR55" i="18"/>
  <c r="BS54" i="18"/>
  <c r="AP54" i="18"/>
  <c r="AN55" i="18"/>
  <c r="AO54" i="18"/>
  <c r="CI53" i="18"/>
  <c r="CH53" i="18"/>
  <c r="CG54" i="18"/>
  <c r="BO54" i="18"/>
  <c r="BN54" i="18"/>
  <c r="BM55" i="18"/>
  <c r="EQ54" i="18"/>
  <c r="EO55" i="18"/>
  <c r="EP54" i="18"/>
  <c r="EL55" i="18"/>
  <c r="EK55" i="18"/>
  <c r="EJ56" i="18"/>
  <c r="AF54" i="18"/>
  <c r="AD55" i="18"/>
  <c r="AE54" i="18"/>
  <c r="DZ54" i="18"/>
  <c r="EA53" i="18"/>
  <c r="EB53" i="18"/>
  <c r="DC54" i="18"/>
  <c r="DB54" i="18"/>
  <c r="DA55" i="18"/>
  <c r="AA54" i="18"/>
  <c r="Y55" i="18"/>
  <c r="Z54" i="18"/>
  <c r="CQ55" i="18"/>
  <c r="CR54" i="18"/>
  <c r="CS54" i="18"/>
  <c r="DW53" i="18"/>
  <c r="DV53" i="18"/>
  <c r="DU54" i="18"/>
  <c r="CD54" i="18"/>
  <c r="CB55" i="18"/>
  <c r="CC54" i="18"/>
  <c r="CN53" i="18"/>
  <c r="CM53" i="18"/>
  <c r="CL54" i="18"/>
  <c r="DM54" i="18"/>
  <c r="DK55" i="18"/>
  <c r="DL54" i="18"/>
  <c r="DH54" i="18"/>
  <c r="DG54" i="18"/>
  <c r="DF55" i="18"/>
  <c r="DR54" i="18"/>
  <c r="DP55" i="18"/>
  <c r="DQ54" i="18"/>
  <c r="AY53" i="18"/>
  <c r="AX54" i="18"/>
  <c r="AZ53" i="18"/>
  <c r="AK54" i="18"/>
  <c r="AJ54" i="18"/>
  <c r="AI55" i="18"/>
  <c r="E74" i="13"/>
  <c r="D74" i="13" s="1"/>
  <c r="F75" i="13" s="1"/>
  <c r="DF56" i="18" l="1"/>
  <c r="DG55" i="18"/>
  <c r="DH55" i="18"/>
  <c r="CS55" i="18"/>
  <c r="CQ56" i="18"/>
  <c r="CR55" i="18"/>
  <c r="EG55" i="18"/>
  <c r="EE56" i="18"/>
  <c r="EF55" i="18"/>
  <c r="CB56" i="18"/>
  <c r="CC55" i="18"/>
  <c r="CD55" i="18"/>
  <c r="EB54" i="18"/>
  <c r="EA54" i="18"/>
  <c r="DZ55" i="18"/>
  <c r="EQ55" i="18"/>
  <c r="EO56" i="18"/>
  <c r="EP55" i="18"/>
  <c r="BE55" i="18"/>
  <c r="BD55" i="18"/>
  <c r="BC56" i="18"/>
  <c r="AS55" i="18"/>
  <c r="AT54" i="18"/>
  <c r="AU54" i="18"/>
  <c r="AZ54" i="18"/>
  <c r="AY54" i="18"/>
  <c r="AX55" i="18"/>
  <c r="AA55" i="18"/>
  <c r="Y56" i="18"/>
  <c r="Z55" i="18"/>
  <c r="AN56" i="18"/>
  <c r="AO55" i="18"/>
  <c r="AP55" i="18"/>
  <c r="BH57" i="18"/>
  <c r="BI56" i="18"/>
  <c r="BJ56" i="18"/>
  <c r="AD56" i="18"/>
  <c r="AE55" i="18"/>
  <c r="AF55" i="18"/>
  <c r="BO55" i="18"/>
  <c r="BM56" i="18"/>
  <c r="BN55" i="18"/>
  <c r="DK56" i="18"/>
  <c r="DL55" i="18"/>
  <c r="DM55" i="18"/>
  <c r="DC55" i="18"/>
  <c r="DA56" i="18"/>
  <c r="DB55" i="18"/>
  <c r="V56" i="18"/>
  <c r="U56" i="18"/>
  <c r="T57" i="18"/>
  <c r="CX56" i="18"/>
  <c r="CW56" i="18"/>
  <c r="CV57" i="18"/>
  <c r="BY55" i="18"/>
  <c r="BW56" i="18"/>
  <c r="BX55" i="18"/>
  <c r="DU55" i="18"/>
  <c r="DV54" i="18"/>
  <c r="DW54" i="18"/>
  <c r="DP56" i="18"/>
  <c r="DQ55" i="18"/>
  <c r="DR55" i="18"/>
  <c r="CL55" i="18"/>
  <c r="CN54" i="18"/>
  <c r="CM54" i="18"/>
  <c r="EJ57" i="18"/>
  <c r="EL56" i="18"/>
  <c r="EK56" i="18"/>
  <c r="BR56" i="18"/>
  <c r="BS55" i="18"/>
  <c r="BT55" i="18"/>
  <c r="ET56" i="18"/>
  <c r="EU55" i="18"/>
  <c r="EV55" i="18"/>
  <c r="AJ55" i="18"/>
  <c r="AI56" i="18"/>
  <c r="AK55" i="18"/>
  <c r="CG55" i="18"/>
  <c r="CH54" i="18"/>
  <c r="CI54" i="18"/>
  <c r="E75" i="13"/>
  <c r="D75" i="13" s="1"/>
  <c r="F76" i="13" s="1"/>
  <c r="BY56" i="18" l="1"/>
  <c r="BW57" i="18"/>
  <c r="BX56" i="18"/>
  <c r="EE57" i="18"/>
  <c r="EF56" i="18"/>
  <c r="EG56" i="18"/>
  <c r="AP56" i="18"/>
  <c r="AN57" i="18"/>
  <c r="AO56" i="18"/>
  <c r="EB55" i="18"/>
  <c r="DZ56" i="18"/>
  <c r="EA55" i="18"/>
  <c r="BT56" i="18"/>
  <c r="BS56" i="18"/>
  <c r="BR57" i="18"/>
  <c r="CX57" i="18"/>
  <c r="CW57" i="18"/>
  <c r="CV58" i="18"/>
  <c r="AU55" i="18"/>
  <c r="AS56" i="18"/>
  <c r="AT55" i="18"/>
  <c r="CN55" i="18"/>
  <c r="CL56" i="18"/>
  <c r="CM55" i="18"/>
  <c r="CG56" i="18"/>
  <c r="CI55" i="18"/>
  <c r="CH55" i="18"/>
  <c r="DA57" i="18"/>
  <c r="DB56" i="18"/>
  <c r="DC56" i="18"/>
  <c r="AK56" i="18"/>
  <c r="AJ56" i="18"/>
  <c r="AI57" i="18"/>
  <c r="DR56" i="18"/>
  <c r="DP57" i="18"/>
  <c r="DQ56" i="18"/>
  <c r="AE56" i="18"/>
  <c r="AF56" i="18"/>
  <c r="AD57" i="18"/>
  <c r="Y57" i="18"/>
  <c r="Z56" i="18"/>
  <c r="AA56" i="18"/>
  <c r="BC57" i="18"/>
  <c r="BD56" i="18"/>
  <c r="BE56" i="18"/>
  <c r="CQ57" i="18"/>
  <c r="CR56" i="18"/>
  <c r="CS56" i="18"/>
  <c r="EL57" i="18"/>
  <c r="EJ58" i="18"/>
  <c r="EK57" i="18"/>
  <c r="V57" i="18"/>
  <c r="U57" i="18"/>
  <c r="T58" i="18"/>
  <c r="AZ55" i="18"/>
  <c r="AX56" i="18"/>
  <c r="AY55" i="18"/>
  <c r="DM56" i="18"/>
  <c r="DL56" i="18"/>
  <c r="DK57" i="18"/>
  <c r="DU56" i="18"/>
  <c r="DW55" i="18"/>
  <c r="DV55" i="18"/>
  <c r="BJ57" i="18"/>
  <c r="BI57" i="18"/>
  <c r="BH58" i="18"/>
  <c r="CD56" i="18"/>
  <c r="CB57" i="18"/>
  <c r="CC56" i="18"/>
  <c r="ET57" i="18"/>
  <c r="EV56" i="18"/>
  <c r="EU56" i="18"/>
  <c r="BM57" i="18"/>
  <c r="BN56" i="18"/>
  <c r="BO56" i="18"/>
  <c r="EO57" i="18"/>
  <c r="EP56" i="18"/>
  <c r="EQ56" i="18"/>
  <c r="DF57" i="18"/>
  <c r="DG56" i="18"/>
  <c r="DH56" i="18"/>
  <c r="E76" i="13"/>
  <c r="D76" i="13" s="1"/>
  <c r="F77" i="13" s="1"/>
  <c r="AZ56" i="18" l="1"/>
  <c r="AX57" i="18"/>
  <c r="AY56" i="18"/>
  <c r="AA57" i="18"/>
  <c r="Y58" i="18"/>
  <c r="Z57" i="18"/>
  <c r="AN58" i="18"/>
  <c r="AO57" i="18"/>
  <c r="AP57" i="18"/>
  <c r="AF57" i="18"/>
  <c r="AE57" i="18"/>
  <c r="AD58" i="18"/>
  <c r="CN56" i="18"/>
  <c r="CL57" i="18"/>
  <c r="CM56" i="18"/>
  <c r="BT57" i="18"/>
  <c r="BS57" i="18"/>
  <c r="BR58" i="18"/>
  <c r="V58" i="18"/>
  <c r="T59" i="18"/>
  <c r="U58" i="18"/>
  <c r="CQ58" i="18"/>
  <c r="CS57" i="18"/>
  <c r="CR57" i="18"/>
  <c r="DH57" i="18"/>
  <c r="DG57" i="18"/>
  <c r="DF58" i="18"/>
  <c r="EV57" i="18"/>
  <c r="EU57" i="18"/>
  <c r="ET58" i="18"/>
  <c r="DU57" i="18"/>
  <c r="DV56" i="18"/>
  <c r="DW56" i="18"/>
  <c r="EQ57" i="18"/>
  <c r="EO58" i="18"/>
  <c r="EP57" i="18"/>
  <c r="CB58" i="18"/>
  <c r="CC57" i="18"/>
  <c r="CD57" i="18"/>
  <c r="DM57" i="18"/>
  <c r="DK58" i="18"/>
  <c r="DL57" i="18"/>
  <c r="DC57" i="18"/>
  <c r="DA58" i="18"/>
  <c r="DB57" i="18"/>
  <c r="AS57" i="18"/>
  <c r="AT56" i="18"/>
  <c r="AU56" i="18"/>
  <c r="EE58" i="18"/>
  <c r="EG57" i="18"/>
  <c r="EF57" i="18"/>
  <c r="BD57" i="18"/>
  <c r="BC58" i="18"/>
  <c r="BE57" i="18"/>
  <c r="DP58" i="18"/>
  <c r="DQ57" i="18"/>
  <c r="DR57" i="18"/>
  <c r="EB56" i="18"/>
  <c r="DZ57" i="18"/>
  <c r="EA56" i="18"/>
  <c r="EL58" i="18"/>
  <c r="EJ59" i="18"/>
  <c r="EK58" i="18"/>
  <c r="CX58" i="18"/>
  <c r="CV59" i="18"/>
  <c r="CW58" i="18"/>
  <c r="BY57" i="18"/>
  <c r="BW58" i="18"/>
  <c r="BX57" i="18"/>
  <c r="BJ58" i="18"/>
  <c r="BH59" i="18"/>
  <c r="BI58" i="18"/>
  <c r="BO57" i="18"/>
  <c r="BM58" i="18"/>
  <c r="BN57" i="18"/>
  <c r="AK57" i="18"/>
  <c r="AI58" i="18"/>
  <c r="AJ57" i="18"/>
  <c r="CI56" i="18"/>
  <c r="CH56" i="18"/>
  <c r="CG57" i="18"/>
  <c r="E77" i="13"/>
  <c r="D77" i="13" s="1"/>
  <c r="F78" i="13" s="1"/>
  <c r="DP59" i="18" l="1"/>
  <c r="DQ58" i="18"/>
  <c r="DR58" i="18"/>
  <c r="DU58" i="18"/>
  <c r="DW57" i="18"/>
  <c r="DV57" i="18"/>
  <c r="AN59" i="18"/>
  <c r="AO58" i="18"/>
  <c r="AP58" i="18"/>
  <c r="EJ60" i="18"/>
  <c r="EL59" i="18"/>
  <c r="EK59" i="18"/>
  <c r="AS58" i="18"/>
  <c r="AT57" i="18"/>
  <c r="AU57" i="18"/>
  <c r="ET59" i="18"/>
  <c r="EU58" i="18"/>
  <c r="EV58" i="18"/>
  <c r="CS58" i="18"/>
  <c r="CQ59" i="18"/>
  <c r="CR58" i="18"/>
  <c r="CL58" i="18"/>
  <c r="CM57" i="18"/>
  <c r="CN57" i="18"/>
  <c r="BJ59" i="18"/>
  <c r="BH60" i="18"/>
  <c r="BI59" i="18"/>
  <c r="AK58" i="18"/>
  <c r="AI59" i="18"/>
  <c r="AJ58" i="18"/>
  <c r="BE58" i="18"/>
  <c r="BD58" i="18"/>
  <c r="BC59" i="18"/>
  <c r="CB59" i="18"/>
  <c r="CD58" i="18"/>
  <c r="CC58" i="18"/>
  <c r="Y59" i="18"/>
  <c r="Z58" i="18"/>
  <c r="AA58" i="18"/>
  <c r="BY58" i="18"/>
  <c r="BW59" i="18"/>
  <c r="BX58" i="18"/>
  <c r="DA59" i="18"/>
  <c r="DB58" i="18"/>
  <c r="DC58" i="18"/>
  <c r="V59" i="18"/>
  <c r="T60" i="18"/>
  <c r="U59" i="18"/>
  <c r="AD59" i="18"/>
  <c r="AE58" i="18"/>
  <c r="AF58" i="18"/>
  <c r="DZ58" i="18"/>
  <c r="EA57" i="18"/>
  <c r="EB57" i="18"/>
  <c r="EO59" i="18"/>
  <c r="EP58" i="18"/>
  <c r="EQ58" i="18"/>
  <c r="DF59" i="18"/>
  <c r="DG58" i="18"/>
  <c r="DH58" i="18"/>
  <c r="BM59" i="18"/>
  <c r="BN58" i="18"/>
  <c r="BO58" i="18"/>
  <c r="BR59" i="18"/>
  <c r="BS58" i="18"/>
  <c r="BT58" i="18"/>
  <c r="AX58" i="18"/>
  <c r="AY57" i="18"/>
  <c r="AZ57" i="18"/>
  <c r="CH57" i="18"/>
  <c r="CG58" i="18"/>
  <c r="CI57" i="18"/>
  <c r="CV60" i="18"/>
  <c r="CX59" i="18"/>
  <c r="CW59" i="18"/>
  <c r="EG58" i="18"/>
  <c r="EE59" i="18"/>
  <c r="EF58" i="18"/>
  <c r="DM58" i="18"/>
  <c r="DK59" i="18"/>
  <c r="DL58" i="18"/>
  <c r="E78" i="13"/>
  <c r="D78" i="13" s="1"/>
  <c r="F79" i="13" s="1"/>
  <c r="DM59" i="18" l="1"/>
  <c r="DL59" i="18"/>
  <c r="DK60" i="18"/>
  <c r="BT59" i="18"/>
  <c r="BR60" i="18"/>
  <c r="BS59" i="18"/>
  <c r="EV59" i="18"/>
  <c r="EU59" i="18"/>
  <c r="ET60" i="18"/>
  <c r="AP59" i="18"/>
  <c r="AN60" i="18"/>
  <c r="AO59" i="18"/>
  <c r="CI58" i="18"/>
  <c r="CG59" i="18"/>
  <c r="CH58" i="18"/>
  <c r="EP59" i="18"/>
  <c r="EO60" i="18"/>
  <c r="EQ59" i="18"/>
  <c r="CN58" i="18"/>
  <c r="CL59" i="18"/>
  <c r="CM58" i="18"/>
  <c r="V60" i="18"/>
  <c r="U60" i="18"/>
  <c r="T61" i="18"/>
  <c r="EE60" i="18"/>
  <c r="EF59" i="18"/>
  <c r="EG59" i="18"/>
  <c r="BM60" i="18"/>
  <c r="BN59" i="18"/>
  <c r="BO59" i="18"/>
  <c r="Y60" i="18"/>
  <c r="AA59" i="18"/>
  <c r="Z59" i="18"/>
  <c r="AK59" i="18"/>
  <c r="AI60" i="18"/>
  <c r="AJ59" i="18"/>
  <c r="AU58" i="18"/>
  <c r="AS59" i="18"/>
  <c r="AT58" i="18"/>
  <c r="EB58" i="18"/>
  <c r="DZ59" i="18"/>
  <c r="EA58" i="18"/>
  <c r="CQ60" i="18"/>
  <c r="CR59" i="18"/>
  <c r="CS59" i="18"/>
  <c r="DW58" i="18"/>
  <c r="DU59" i="18"/>
  <c r="DV58" i="18"/>
  <c r="AZ58" i="18"/>
  <c r="AX59" i="18"/>
  <c r="AY58" i="18"/>
  <c r="DA60" i="18"/>
  <c r="DC59" i="18"/>
  <c r="DB59" i="18"/>
  <c r="DH59" i="18"/>
  <c r="DF60" i="18"/>
  <c r="DG59" i="18"/>
  <c r="CD59" i="18"/>
  <c r="CB60" i="18"/>
  <c r="CC59" i="18"/>
  <c r="BJ60" i="18"/>
  <c r="BI60" i="18"/>
  <c r="BH61" i="18"/>
  <c r="EL60" i="18"/>
  <c r="EK60" i="18"/>
  <c r="EJ61" i="18"/>
  <c r="CX60" i="18"/>
  <c r="CV61" i="18"/>
  <c r="CW60" i="18"/>
  <c r="AF59" i="18"/>
  <c r="AD60" i="18"/>
  <c r="AE59" i="18"/>
  <c r="BY59" i="18"/>
  <c r="BW60" i="18"/>
  <c r="BX59" i="18"/>
  <c r="BC60" i="18"/>
  <c r="BD59" i="18"/>
  <c r="BE59" i="18"/>
  <c r="DP60" i="18"/>
  <c r="DR59" i="18"/>
  <c r="DQ59" i="18"/>
  <c r="E79" i="13"/>
  <c r="D79" i="13" s="1"/>
  <c r="F80" i="13" s="1"/>
  <c r="DH60" i="18" l="1"/>
  <c r="DF61" i="18"/>
  <c r="DG60" i="18"/>
  <c r="T62" i="18"/>
  <c r="V61" i="18"/>
  <c r="U61" i="18"/>
  <c r="DR60" i="18"/>
  <c r="DQ60" i="18"/>
  <c r="DP61" i="18"/>
  <c r="AD61" i="18"/>
  <c r="AF60" i="18"/>
  <c r="AE60" i="18"/>
  <c r="BH62" i="18"/>
  <c r="BI61" i="18"/>
  <c r="BJ61" i="18"/>
  <c r="DU60" i="18"/>
  <c r="DW59" i="18"/>
  <c r="DV59" i="18"/>
  <c r="Y61" i="18"/>
  <c r="AA60" i="18"/>
  <c r="Z60" i="18"/>
  <c r="AU59" i="18"/>
  <c r="AS60" i="18"/>
  <c r="AT59" i="18"/>
  <c r="CI59" i="18"/>
  <c r="CG60" i="18"/>
  <c r="CH59" i="18"/>
  <c r="BR61" i="18"/>
  <c r="BT60" i="18"/>
  <c r="BS60" i="18"/>
  <c r="BC61" i="18"/>
  <c r="BE60" i="18"/>
  <c r="BD60" i="18"/>
  <c r="CV62" i="18"/>
  <c r="CW61" i="18"/>
  <c r="CX61" i="18"/>
  <c r="DB60" i="18"/>
  <c r="DA61" i="18"/>
  <c r="DC60" i="18"/>
  <c r="BM61" i="18"/>
  <c r="BO60" i="18"/>
  <c r="BN60" i="18"/>
  <c r="CL60" i="18"/>
  <c r="CM59" i="18"/>
  <c r="CN59" i="18"/>
  <c r="CB61" i="18"/>
  <c r="CC60" i="18"/>
  <c r="CD60" i="18"/>
  <c r="CS60" i="18"/>
  <c r="CQ61" i="18"/>
  <c r="CR60" i="18"/>
  <c r="AJ60" i="18"/>
  <c r="AK60" i="18"/>
  <c r="AI61" i="18"/>
  <c r="AN61" i="18"/>
  <c r="AO60" i="18"/>
  <c r="AP60" i="18"/>
  <c r="DK61" i="18"/>
  <c r="DM60" i="18"/>
  <c r="DL60" i="18"/>
  <c r="AX60" i="18"/>
  <c r="AY59" i="18"/>
  <c r="AZ59" i="18"/>
  <c r="BW61" i="18"/>
  <c r="BX60" i="18"/>
  <c r="BY60" i="18"/>
  <c r="EJ62" i="18"/>
  <c r="EK61" i="18"/>
  <c r="EL61" i="18"/>
  <c r="EA59" i="18"/>
  <c r="EB59" i="18"/>
  <c r="DZ60" i="18"/>
  <c r="EG60" i="18"/>
  <c r="EF60" i="18"/>
  <c r="EE61" i="18"/>
  <c r="EO61" i="18"/>
  <c r="EQ60" i="18"/>
  <c r="EP60" i="18"/>
  <c r="EV60" i="18"/>
  <c r="ET61" i="18"/>
  <c r="EU60" i="18"/>
  <c r="E80" i="13"/>
  <c r="D80" i="13" s="1"/>
  <c r="F81" i="13" s="1"/>
  <c r="ET62" i="18" l="1"/>
  <c r="EU61" i="18"/>
  <c r="EV61" i="18"/>
  <c r="DZ61" i="18"/>
  <c r="EA60" i="18"/>
  <c r="EB60" i="18"/>
  <c r="BW62" i="18"/>
  <c r="BY61" i="18"/>
  <c r="BX61" i="18"/>
  <c r="BN61" i="18"/>
  <c r="BO61" i="18"/>
  <c r="BM62" i="18"/>
  <c r="DU61" i="18"/>
  <c r="DV60" i="18"/>
  <c r="DW60" i="18"/>
  <c r="AI62" i="18"/>
  <c r="AK61" i="18"/>
  <c r="AJ61" i="18"/>
  <c r="CD61" i="18"/>
  <c r="CB62" i="18"/>
  <c r="CC61" i="18"/>
  <c r="DB61" i="18"/>
  <c r="DC61" i="18"/>
  <c r="DA62" i="18"/>
  <c r="AP61" i="18"/>
  <c r="AO61" i="18"/>
  <c r="AN62" i="18"/>
  <c r="AX61" i="18"/>
  <c r="AZ60" i="18"/>
  <c r="AY60" i="18"/>
  <c r="BI62" i="18"/>
  <c r="BJ62" i="18"/>
  <c r="BH63" i="18"/>
  <c r="BE61" i="18"/>
  <c r="BC62" i="18"/>
  <c r="BD61" i="18"/>
  <c r="BR62" i="18"/>
  <c r="BS61" i="18"/>
  <c r="BT61" i="18"/>
  <c r="U62" i="18"/>
  <c r="T63" i="18"/>
  <c r="V62" i="18"/>
  <c r="AS61" i="18"/>
  <c r="AU60" i="18"/>
  <c r="AT60" i="18"/>
  <c r="EG61" i="18"/>
  <c r="EE62" i="18"/>
  <c r="EF61" i="18"/>
  <c r="CM60" i="18"/>
  <c r="CL61" i="18"/>
  <c r="CN60" i="18"/>
  <c r="Y62" i="18"/>
  <c r="Z61" i="18"/>
  <c r="AA61" i="18"/>
  <c r="EO62" i="18"/>
  <c r="EQ61" i="18"/>
  <c r="EP61" i="18"/>
  <c r="EJ63" i="18"/>
  <c r="EL62" i="18"/>
  <c r="EK62" i="18"/>
  <c r="DK62" i="18"/>
  <c r="DL61" i="18"/>
  <c r="DM61" i="18"/>
  <c r="CS61" i="18"/>
  <c r="CQ62" i="18"/>
  <c r="CR61" i="18"/>
  <c r="CX62" i="18"/>
  <c r="CW62" i="18"/>
  <c r="CV63" i="18"/>
  <c r="CG61" i="18"/>
  <c r="CI60" i="18"/>
  <c r="CH60" i="18"/>
  <c r="AD62" i="18"/>
  <c r="AE61" i="18"/>
  <c r="AF61" i="18"/>
  <c r="DF62" i="18"/>
  <c r="DG61" i="18"/>
  <c r="DH61" i="18"/>
  <c r="DR61" i="18"/>
  <c r="DP62" i="18"/>
  <c r="DQ61" i="18"/>
  <c r="E81" i="13"/>
  <c r="D81" i="13" s="1"/>
  <c r="F82" i="13" s="1"/>
  <c r="AF62" i="18" l="1"/>
  <c r="AD63" i="18"/>
  <c r="AE62" i="18"/>
  <c r="BJ63" i="18"/>
  <c r="BI63" i="18"/>
  <c r="BH64" i="18"/>
  <c r="DR62" i="18"/>
  <c r="DP63" i="18"/>
  <c r="DQ62" i="18"/>
  <c r="DC62" i="18"/>
  <c r="DA63" i="18"/>
  <c r="DB62" i="18"/>
  <c r="AK62" i="18"/>
  <c r="AJ62" i="18"/>
  <c r="AI63" i="18"/>
  <c r="EE63" i="18"/>
  <c r="EF62" i="18"/>
  <c r="EG62" i="18"/>
  <c r="BW63" i="18"/>
  <c r="BY62" i="18"/>
  <c r="BX62" i="18"/>
  <c r="CI61" i="18"/>
  <c r="CH61" i="18"/>
  <c r="CG62" i="18"/>
  <c r="DK63" i="18"/>
  <c r="DM62" i="18"/>
  <c r="DL62" i="18"/>
  <c r="BT62" i="18"/>
  <c r="BR63" i="18"/>
  <c r="BS62" i="18"/>
  <c r="DW61" i="18"/>
  <c r="DU62" i="18"/>
  <c r="DV61" i="18"/>
  <c r="CV64" i="18"/>
  <c r="CX63" i="18"/>
  <c r="CW63" i="18"/>
  <c r="DH62" i="18"/>
  <c r="DF63" i="18"/>
  <c r="DG62" i="18"/>
  <c r="AA62" i="18"/>
  <c r="Y63" i="18"/>
  <c r="Z62" i="18"/>
  <c r="AX62" i="18"/>
  <c r="AY61" i="18"/>
  <c r="AZ61" i="18"/>
  <c r="CD62" i="18"/>
  <c r="CB63" i="18"/>
  <c r="CC62" i="18"/>
  <c r="BO62" i="18"/>
  <c r="BM63" i="18"/>
  <c r="BN62" i="18"/>
  <c r="DZ62" i="18"/>
  <c r="EB61" i="18"/>
  <c r="EA61" i="18"/>
  <c r="AU61" i="18"/>
  <c r="AT61" i="18"/>
  <c r="AS62" i="18"/>
  <c r="BC63" i="18"/>
  <c r="BD62" i="18"/>
  <c r="BE62" i="18"/>
  <c r="AP62" i="18"/>
  <c r="AN63" i="18"/>
  <c r="AO62" i="18"/>
  <c r="CQ63" i="18"/>
  <c r="CR62" i="18"/>
  <c r="CS62" i="18"/>
  <c r="T64" i="18"/>
  <c r="V63" i="18"/>
  <c r="U63" i="18"/>
  <c r="EQ62" i="18"/>
  <c r="EP62" i="18"/>
  <c r="EO63" i="18"/>
  <c r="EK63" i="18"/>
  <c r="EJ64" i="18"/>
  <c r="EL63" i="18"/>
  <c r="CN61" i="18"/>
  <c r="CL62" i="18"/>
  <c r="CM61" i="18"/>
  <c r="EV62" i="18"/>
  <c r="ET63" i="18"/>
  <c r="EU62" i="18"/>
  <c r="E82" i="13"/>
  <c r="D82" i="13" s="1"/>
  <c r="F83" i="13" s="1"/>
  <c r="ET64" i="18" l="1"/>
  <c r="EU63" i="18"/>
  <c r="EV63" i="18"/>
  <c r="EQ63" i="18"/>
  <c r="EO64" i="18"/>
  <c r="EP63" i="18"/>
  <c r="CS63" i="18"/>
  <c r="CQ64" i="18"/>
  <c r="CR63" i="18"/>
  <c r="DU63" i="18"/>
  <c r="DV62" i="18"/>
  <c r="DW62" i="18"/>
  <c r="CG63" i="18"/>
  <c r="CH62" i="18"/>
  <c r="CI62" i="18"/>
  <c r="EG63" i="18"/>
  <c r="EE64" i="18"/>
  <c r="EF63" i="18"/>
  <c r="DP64" i="18"/>
  <c r="DQ63" i="18"/>
  <c r="DR63" i="18"/>
  <c r="CB64" i="18"/>
  <c r="CC63" i="18"/>
  <c r="CD63" i="18"/>
  <c r="AJ63" i="18"/>
  <c r="AK63" i="18"/>
  <c r="AI64" i="18"/>
  <c r="AN64" i="18"/>
  <c r="AO63" i="18"/>
  <c r="AP63" i="18"/>
  <c r="DF64" i="18"/>
  <c r="DG63" i="18"/>
  <c r="DH63" i="18"/>
  <c r="BJ64" i="18"/>
  <c r="BH65" i="18"/>
  <c r="BI64" i="18"/>
  <c r="BR64" i="18"/>
  <c r="BS63" i="18"/>
  <c r="BT63" i="18"/>
  <c r="DZ63" i="18"/>
  <c r="EB62" i="18"/>
  <c r="EA62" i="18"/>
  <c r="V64" i="18"/>
  <c r="T65" i="18"/>
  <c r="U64" i="18"/>
  <c r="AX63" i="18"/>
  <c r="AZ62" i="18"/>
  <c r="AY62" i="18"/>
  <c r="BW64" i="18"/>
  <c r="BY63" i="18"/>
  <c r="BX63" i="18"/>
  <c r="DC63" i="18"/>
  <c r="DA64" i="18"/>
  <c r="DB63" i="18"/>
  <c r="CL63" i="18"/>
  <c r="CN62" i="18"/>
  <c r="CM62" i="18"/>
  <c r="EL64" i="18"/>
  <c r="EJ65" i="18"/>
  <c r="EK64" i="18"/>
  <c r="BE63" i="18"/>
  <c r="BC64" i="18"/>
  <c r="BD63" i="18"/>
  <c r="BO63" i="18"/>
  <c r="BM64" i="18"/>
  <c r="BN63" i="18"/>
  <c r="CX64" i="18"/>
  <c r="CV65" i="18"/>
  <c r="CW64" i="18"/>
  <c r="AD64" i="18"/>
  <c r="AE63" i="18"/>
  <c r="AF63" i="18"/>
  <c r="AS63" i="18"/>
  <c r="AT62" i="18"/>
  <c r="AU62" i="18"/>
  <c r="AA63" i="18"/>
  <c r="Y64" i="18"/>
  <c r="Z63" i="18"/>
  <c r="DL63" i="18"/>
  <c r="DK64" i="18"/>
  <c r="DM63" i="18"/>
  <c r="E83" i="13"/>
  <c r="D83" i="13" s="1"/>
  <c r="F84" i="13" s="1"/>
  <c r="EB63" i="18" l="1"/>
  <c r="DZ64" i="18"/>
  <c r="EA63" i="18"/>
  <c r="CQ65" i="18"/>
  <c r="CR64" i="18"/>
  <c r="CS64" i="18"/>
  <c r="CN63" i="18"/>
  <c r="CM63" i="18"/>
  <c r="CL64" i="18"/>
  <c r="DG64" i="18"/>
  <c r="DH64" i="18"/>
  <c r="DF65" i="18"/>
  <c r="BC65" i="18"/>
  <c r="BD64" i="18"/>
  <c r="BE64" i="18"/>
  <c r="AZ63" i="18"/>
  <c r="AX64" i="18"/>
  <c r="AY63" i="18"/>
  <c r="CD64" i="18"/>
  <c r="CB65" i="18"/>
  <c r="CC64" i="18"/>
  <c r="AF64" i="18"/>
  <c r="AD65" i="18"/>
  <c r="AE64" i="18"/>
  <c r="AA64" i="18"/>
  <c r="Y65" i="18"/>
  <c r="Z64" i="18"/>
  <c r="DC64" i="18"/>
  <c r="DA65" i="18"/>
  <c r="DB64" i="18"/>
  <c r="BT64" i="18"/>
  <c r="BR65" i="18"/>
  <c r="BS64" i="18"/>
  <c r="CI63" i="18"/>
  <c r="CH63" i="18"/>
  <c r="CG64" i="18"/>
  <c r="EQ64" i="18"/>
  <c r="EO65" i="18"/>
  <c r="EP64" i="18"/>
  <c r="CX65" i="18"/>
  <c r="CV66" i="18"/>
  <c r="CW65" i="18"/>
  <c r="V65" i="18"/>
  <c r="T66" i="18"/>
  <c r="U65" i="18"/>
  <c r="AP64" i="18"/>
  <c r="AN65" i="18"/>
  <c r="AO64" i="18"/>
  <c r="EL65" i="18"/>
  <c r="EJ66" i="18"/>
  <c r="EK65" i="18"/>
  <c r="BJ65" i="18"/>
  <c r="BH66" i="18"/>
  <c r="BI65" i="18"/>
  <c r="AK64" i="18"/>
  <c r="AI65" i="18"/>
  <c r="AJ64" i="18"/>
  <c r="DR64" i="18"/>
  <c r="DP65" i="18"/>
  <c r="DQ64" i="18"/>
  <c r="DM64" i="18"/>
  <c r="DK65" i="18"/>
  <c r="DL64" i="18"/>
  <c r="DU64" i="18"/>
  <c r="DW63" i="18"/>
  <c r="DV63" i="18"/>
  <c r="AU63" i="18"/>
  <c r="AS64" i="18"/>
  <c r="AT63" i="18"/>
  <c r="BO64" i="18"/>
  <c r="BM65" i="18"/>
  <c r="BN64" i="18"/>
  <c r="BY64" i="18"/>
  <c r="BW65" i="18"/>
  <c r="BX64" i="18"/>
  <c r="EE65" i="18"/>
  <c r="EF64" i="18"/>
  <c r="EG64" i="18"/>
  <c r="EV64" i="18"/>
  <c r="ET65" i="18"/>
  <c r="EU64" i="18"/>
  <c r="E84" i="13"/>
  <c r="D84" i="13" s="1"/>
  <c r="F85" i="13" s="1"/>
  <c r="DW64" i="18" l="1"/>
  <c r="DU65" i="18"/>
  <c r="DV64" i="18"/>
  <c r="AK65" i="18"/>
  <c r="AI66" i="18"/>
  <c r="AJ65" i="18"/>
  <c r="BT65" i="18"/>
  <c r="BR66" i="18"/>
  <c r="BS65" i="18"/>
  <c r="AN66" i="18"/>
  <c r="AO65" i="18"/>
  <c r="AP65" i="18"/>
  <c r="AF65" i="18"/>
  <c r="AD66" i="18"/>
  <c r="AE65" i="18"/>
  <c r="DM65" i="18"/>
  <c r="DK66" i="18"/>
  <c r="DL65" i="18"/>
  <c r="EQ65" i="18"/>
  <c r="EO66" i="18"/>
  <c r="EP65" i="18"/>
  <c r="BJ66" i="18"/>
  <c r="BH67" i="18"/>
  <c r="BI66" i="18"/>
  <c r="DC65" i="18"/>
  <c r="DA66" i="18"/>
  <c r="DB65" i="18"/>
  <c r="BE65" i="18"/>
  <c r="BC66" i="18"/>
  <c r="BD65" i="18"/>
  <c r="EF65" i="18"/>
  <c r="EE66" i="18"/>
  <c r="EG65" i="18"/>
  <c r="AU64" i="18"/>
  <c r="AS65" i="18"/>
  <c r="AT64" i="18"/>
  <c r="V66" i="18"/>
  <c r="T67" i="18"/>
  <c r="U66" i="18"/>
  <c r="CH64" i="18"/>
  <c r="CG65" i="18"/>
  <c r="CI64" i="18"/>
  <c r="CB66" i="18"/>
  <c r="CC65" i="18"/>
  <c r="CD65" i="18"/>
  <c r="DG65" i="18"/>
  <c r="DF66" i="18"/>
  <c r="DH65" i="18"/>
  <c r="CS65" i="18"/>
  <c r="CQ66" i="18"/>
  <c r="CR65" i="18"/>
  <c r="DP66" i="18"/>
  <c r="DQ65" i="18"/>
  <c r="DR65" i="18"/>
  <c r="EV65" i="18"/>
  <c r="ET66" i="18"/>
  <c r="EU65" i="18"/>
  <c r="BY65" i="18"/>
  <c r="BW66" i="18"/>
  <c r="BX65" i="18"/>
  <c r="EL66" i="18"/>
  <c r="EJ67" i="18"/>
  <c r="EK66" i="18"/>
  <c r="AA65" i="18"/>
  <c r="Y66" i="18"/>
  <c r="Z65" i="18"/>
  <c r="EB64" i="18"/>
  <c r="DZ65" i="18"/>
  <c r="EA64" i="18"/>
  <c r="BO65" i="18"/>
  <c r="BM66" i="18"/>
  <c r="BN65" i="18"/>
  <c r="CX66" i="18"/>
  <c r="CV67" i="18"/>
  <c r="CW66" i="18"/>
  <c r="AZ64" i="18"/>
  <c r="AX65" i="18"/>
  <c r="AY64" i="18"/>
  <c r="CN64" i="18"/>
  <c r="CL65" i="18"/>
  <c r="CM64" i="18"/>
  <c r="E85" i="13"/>
  <c r="D85" i="13" s="1"/>
  <c r="F86" i="13" s="1"/>
  <c r="EV66" i="18" l="1"/>
  <c r="ET67" i="18"/>
  <c r="EU66" i="18"/>
  <c r="EF66" i="18"/>
  <c r="EE67" i="18"/>
  <c r="EG66" i="18"/>
  <c r="BT66" i="18"/>
  <c r="BR67" i="18"/>
  <c r="BS66" i="18"/>
  <c r="DH66" i="18"/>
  <c r="DG66" i="18"/>
  <c r="DF67" i="18"/>
  <c r="BJ67" i="18"/>
  <c r="BH68" i="18"/>
  <c r="BI67" i="18"/>
  <c r="EL67" i="18"/>
  <c r="EJ68" i="18"/>
  <c r="EK67" i="18"/>
  <c r="V67" i="18"/>
  <c r="T68" i="18"/>
  <c r="U67" i="18"/>
  <c r="AF66" i="18"/>
  <c r="AD67" i="18"/>
  <c r="AE66" i="18"/>
  <c r="AZ65" i="18"/>
  <c r="AX66" i="18"/>
  <c r="AY65" i="18"/>
  <c r="BE66" i="18"/>
  <c r="BC67" i="18"/>
  <c r="BD66" i="18"/>
  <c r="AK66" i="18"/>
  <c r="AI67" i="18"/>
  <c r="AJ66" i="18"/>
  <c r="DR66" i="18"/>
  <c r="DP67" i="18"/>
  <c r="DQ66" i="18"/>
  <c r="EO67" i="18"/>
  <c r="EP66" i="18"/>
  <c r="EQ66" i="18"/>
  <c r="BM67" i="18"/>
  <c r="BN66" i="18"/>
  <c r="BO66" i="18"/>
  <c r="BY66" i="18"/>
  <c r="BW67" i="18"/>
  <c r="BX66" i="18"/>
  <c r="CB67" i="18"/>
  <c r="CC66" i="18"/>
  <c r="CD66" i="18"/>
  <c r="AU65" i="18"/>
  <c r="AS66" i="18"/>
  <c r="AT65" i="18"/>
  <c r="EB65" i="18"/>
  <c r="DZ66" i="18"/>
  <c r="EA65" i="18"/>
  <c r="CX67" i="18"/>
  <c r="CV68" i="18"/>
  <c r="CW67" i="18"/>
  <c r="CS66" i="18"/>
  <c r="CQ67" i="18"/>
  <c r="CR66" i="18"/>
  <c r="DA67" i="18"/>
  <c r="DB66" i="18"/>
  <c r="DC66" i="18"/>
  <c r="AP66" i="18"/>
  <c r="AN67" i="18"/>
  <c r="AO66" i="18"/>
  <c r="DW65" i="18"/>
  <c r="DU66" i="18"/>
  <c r="DV65" i="18"/>
  <c r="CN65" i="18"/>
  <c r="CL66" i="18"/>
  <c r="CM65" i="18"/>
  <c r="Y67" i="18"/>
  <c r="Z66" i="18"/>
  <c r="AA66" i="18"/>
  <c r="CI65" i="18"/>
  <c r="CH65" i="18"/>
  <c r="CG66" i="18"/>
  <c r="DM66" i="18"/>
  <c r="DK67" i="18"/>
  <c r="DL66" i="18"/>
  <c r="E86" i="13"/>
  <c r="D86" i="13" s="1"/>
  <c r="F87" i="13" s="1"/>
  <c r="CX68" i="18" l="1"/>
  <c r="CV69" i="18"/>
  <c r="CW68" i="18"/>
  <c r="BO67" i="18"/>
  <c r="BM68" i="18"/>
  <c r="BN67" i="18"/>
  <c r="AK67" i="18"/>
  <c r="AI68" i="18"/>
  <c r="AJ67" i="18"/>
  <c r="BT67" i="18"/>
  <c r="BR68" i="18"/>
  <c r="BS67" i="18"/>
  <c r="CN66" i="18"/>
  <c r="CL67" i="18"/>
  <c r="CM66" i="18"/>
  <c r="AF67" i="18"/>
  <c r="AD68" i="18"/>
  <c r="AE67" i="18"/>
  <c r="CI66" i="18"/>
  <c r="CG67" i="18"/>
  <c r="CH66" i="18"/>
  <c r="CB68" i="18"/>
  <c r="CD67" i="18"/>
  <c r="CC67" i="18"/>
  <c r="BJ68" i="18"/>
  <c r="BH69" i="18"/>
  <c r="BI68" i="18"/>
  <c r="DC67" i="18"/>
  <c r="DA68" i="18"/>
  <c r="DB67" i="18"/>
  <c r="EB66" i="18"/>
  <c r="DZ67" i="18"/>
  <c r="EA66" i="18"/>
  <c r="EQ67" i="18"/>
  <c r="EO68" i="18"/>
  <c r="EP67" i="18"/>
  <c r="BE67" i="18"/>
  <c r="BC68" i="18"/>
  <c r="BD67" i="18"/>
  <c r="EG67" i="18"/>
  <c r="EF67" i="18"/>
  <c r="EE68" i="18"/>
  <c r="DM67" i="18"/>
  <c r="DK68" i="18"/>
  <c r="DL67" i="18"/>
  <c r="DW66" i="18"/>
  <c r="DU67" i="18"/>
  <c r="DV66" i="18"/>
  <c r="BY67" i="18"/>
  <c r="BW68" i="18"/>
  <c r="BX67" i="18"/>
  <c r="V68" i="18"/>
  <c r="T69" i="18"/>
  <c r="U68" i="18"/>
  <c r="DH67" i="18"/>
  <c r="DF68" i="18"/>
  <c r="DG67" i="18"/>
  <c r="CS67" i="18"/>
  <c r="CQ68" i="18"/>
  <c r="CR67" i="18"/>
  <c r="DR67" i="18"/>
  <c r="DP68" i="18"/>
  <c r="DQ67" i="18"/>
  <c r="AU66" i="18"/>
  <c r="AS67" i="18"/>
  <c r="AT66" i="18"/>
  <c r="AZ66" i="18"/>
  <c r="AX67" i="18"/>
  <c r="AY66" i="18"/>
  <c r="EV67" i="18"/>
  <c r="ET68" i="18"/>
  <c r="EU67" i="18"/>
  <c r="Y68" i="18"/>
  <c r="AA67" i="18"/>
  <c r="Z67" i="18"/>
  <c r="AP67" i="18"/>
  <c r="AN68" i="18"/>
  <c r="AO67" i="18"/>
  <c r="EL68" i="18"/>
  <c r="EJ69" i="18"/>
  <c r="EK68" i="18"/>
  <c r="E87" i="13"/>
  <c r="D87" i="13" s="1"/>
  <c r="F88" i="13" s="1"/>
  <c r="DH68" i="18" l="1"/>
  <c r="DF69" i="18"/>
  <c r="DG68" i="18"/>
  <c r="DZ68" i="18"/>
  <c r="EA67" i="18"/>
  <c r="EB67" i="18"/>
  <c r="AI69" i="18"/>
  <c r="AJ68" i="18"/>
  <c r="AK68" i="18"/>
  <c r="DR68" i="18"/>
  <c r="DP69" i="18"/>
  <c r="DQ68" i="18"/>
  <c r="BE68" i="18"/>
  <c r="BC69" i="18"/>
  <c r="BD68" i="18"/>
  <c r="CD68" i="18"/>
  <c r="CB69" i="18"/>
  <c r="CC68" i="18"/>
  <c r="CL68" i="18"/>
  <c r="CM67" i="18"/>
  <c r="CN67" i="18"/>
  <c r="DW67" i="18"/>
  <c r="DU68" i="18"/>
  <c r="DV67" i="18"/>
  <c r="AP68" i="18"/>
  <c r="AN69" i="18"/>
  <c r="AO68" i="18"/>
  <c r="T70" i="18"/>
  <c r="U69" i="18"/>
  <c r="V69" i="18"/>
  <c r="DC68" i="18"/>
  <c r="DA69" i="18"/>
  <c r="DB68" i="18"/>
  <c r="BO68" i="18"/>
  <c r="BM69" i="18"/>
  <c r="BN68" i="18"/>
  <c r="EJ70" i="18"/>
  <c r="EK69" i="18"/>
  <c r="EL69" i="18"/>
  <c r="AX68" i="18"/>
  <c r="AY67" i="18"/>
  <c r="AZ67" i="18"/>
  <c r="DK69" i="18"/>
  <c r="DL68" i="18"/>
  <c r="DM68" i="18"/>
  <c r="CI67" i="18"/>
  <c r="CG68" i="18"/>
  <c r="CH67" i="18"/>
  <c r="EV68" i="18"/>
  <c r="ET69" i="18"/>
  <c r="EU68" i="18"/>
  <c r="CS68" i="18"/>
  <c r="CQ69" i="18"/>
  <c r="CR68" i="18"/>
  <c r="EQ68" i="18"/>
  <c r="EO69" i="18"/>
  <c r="EP68" i="18"/>
  <c r="BT68" i="18"/>
  <c r="BR69" i="18"/>
  <c r="BS68" i="18"/>
  <c r="BW69" i="18"/>
  <c r="BX68" i="18"/>
  <c r="BY68" i="18"/>
  <c r="EG68" i="18"/>
  <c r="EE69" i="18"/>
  <c r="EF68" i="18"/>
  <c r="BH70" i="18"/>
  <c r="BI69" i="18"/>
  <c r="BJ69" i="18"/>
  <c r="CV70" i="18"/>
  <c r="CW69" i="18"/>
  <c r="CX69" i="18"/>
  <c r="Z68" i="18"/>
  <c r="Y69" i="18"/>
  <c r="AA68" i="18"/>
  <c r="AU67" i="18"/>
  <c r="AS68" i="18"/>
  <c r="AT67" i="18"/>
  <c r="AF68" i="18"/>
  <c r="AD69" i="18"/>
  <c r="AE68" i="18"/>
  <c r="E88" i="13"/>
  <c r="D88" i="13" s="1"/>
  <c r="F89" i="13" s="1"/>
  <c r="EQ69" i="18" l="1"/>
  <c r="EO70" i="18"/>
  <c r="EP69" i="18"/>
  <c r="AY68" i="18"/>
  <c r="AX69" i="18"/>
  <c r="AZ68" i="18"/>
  <c r="DC69" i="18"/>
  <c r="DB69" i="18"/>
  <c r="DA70" i="18"/>
  <c r="CI68" i="18"/>
  <c r="CG69" i="18"/>
  <c r="CH68" i="18"/>
  <c r="DW68" i="18"/>
  <c r="DU69" i="18"/>
  <c r="DV68" i="18"/>
  <c r="AK69" i="18"/>
  <c r="AI70" i="18"/>
  <c r="AJ69" i="18"/>
  <c r="BE69" i="18"/>
  <c r="BC70" i="18"/>
  <c r="BD69" i="18"/>
  <c r="CW70" i="18"/>
  <c r="CX70" i="18"/>
  <c r="CV71" i="18"/>
  <c r="BX69" i="18"/>
  <c r="BW70" i="18"/>
  <c r="BY69" i="18"/>
  <c r="CS69" i="18"/>
  <c r="CQ70" i="18"/>
  <c r="CR69" i="18"/>
  <c r="EL70" i="18"/>
  <c r="EJ71" i="18"/>
  <c r="EK70" i="18"/>
  <c r="AF69" i="18"/>
  <c r="AD70" i="18"/>
  <c r="AE69" i="18"/>
  <c r="AU68" i="18"/>
  <c r="AS69" i="18"/>
  <c r="AT68" i="18"/>
  <c r="V70" i="18"/>
  <c r="T71" i="18"/>
  <c r="U70" i="18"/>
  <c r="EB68" i="18"/>
  <c r="DZ69" i="18"/>
  <c r="EA68" i="18"/>
  <c r="BJ70" i="18"/>
  <c r="BH71" i="18"/>
  <c r="BI70" i="18"/>
  <c r="BT69" i="18"/>
  <c r="BR70" i="18"/>
  <c r="BS69" i="18"/>
  <c r="DM69" i="18"/>
  <c r="DK70" i="18"/>
  <c r="DL69" i="18"/>
  <c r="BO69" i="18"/>
  <c r="BM70" i="18"/>
  <c r="BN69" i="18"/>
  <c r="CN68" i="18"/>
  <c r="CL69" i="18"/>
  <c r="CM68" i="18"/>
  <c r="DR69" i="18"/>
  <c r="DP70" i="18"/>
  <c r="DQ69" i="18"/>
  <c r="EV69" i="18"/>
  <c r="ET70" i="18"/>
  <c r="EU69" i="18"/>
  <c r="AP69" i="18"/>
  <c r="AN70" i="18"/>
  <c r="AO69" i="18"/>
  <c r="DH69" i="18"/>
  <c r="DF70" i="18"/>
  <c r="DG69" i="18"/>
  <c r="AA69" i="18"/>
  <c r="Y70" i="18"/>
  <c r="Z69" i="18"/>
  <c r="EG69" i="18"/>
  <c r="EE70" i="18"/>
  <c r="EF69" i="18"/>
  <c r="CD69" i="18"/>
  <c r="CB70" i="18"/>
  <c r="CC69" i="18"/>
  <c r="E89" i="13"/>
  <c r="D89" i="13" s="1"/>
  <c r="F90" i="13" s="1"/>
  <c r="CD70" i="18" l="1"/>
  <c r="CB71" i="18"/>
  <c r="CC70" i="18"/>
  <c r="BO70" i="18"/>
  <c r="BM71" i="18"/>
  <c r="BN70" i="18"/>
  <c r="EJ72" i="18"/>
  <c r="EL71" i="18"/>
  <c r="EK71" i="18"/>
  <c r="CW71" i="18"/>
  <c r="CV72" i="18"/>
  <c r="CX71" i="18"/>
  <c r="AU69" i="18"/>
  <c r="AS70" i="18"/>
  <c r="AT69" i="18"/>
  <c r="DW69" i="18"/>
  <c r="DU70" i="18"/>
  <c r="DV69" i="18"/>
  <c r="EG70" i="18"/>
  <c r="EE71" i="18"/>
  <c r="EF70" i="18"/>
  <c r="DM70" i="18"/>
  <c r="DK71" i="18"/>
  <c r="DL70" i="18"/>
  <c r="CS70" i="18"/>
  <c r="CQ71" i="18"/>
  <c r="CR70" i="18"/>
  <c r="AY69" i="18"/>
  <c r="AX70" i="18"/>
  <c r="AZ69" i="18"/>
  <c r="BJ71" i="18"/>
  <c r="BH72" i="18"/>
  <c r="BI71" i="18"/>
  <c r="AP70" i="18"/>
  <c r="AN71" i="18"/>
  <c r="AO70" i="18"/>
  <c r="EB69" i="18"/>
  <c r="DZ70" i="18"/>
  <c r="EA69" i="18"/>
  <c r="BE70" i="18"/>
  <c r="BC71" i="18"/>
  <c r="BD70" i="18"/>
  <c r="DH70" i="18"/>
  <c r="DF71" i="18"/>
  <c r="DG70" i="18"/>
  <c r="CN69" i="18"/>
  <c r="CL70" i="18"/>
  <c r="CM69" i="18"/>
  <c r="AF70" i="18"/>
  <c r="AD71" i="18"/>
  <c r="AE70" i="18"/>
  <c r="CI69" i="18"/>
  <c r="CG70" i="18"/>
  <c r="CH69" i="18"/>
  <c r="DR70" i="18"/>
  <c r="DP71" i="18"/>
  <c r="DQ70" i="18"/>
  <c r="AA70" i="18"/>
  <c r="Y71" i="18"/>
  <c r="Z70" i="18"/>
  <c r="BT70" i="18"/>
  <c r="BR71" i="18"/>
  <c r="BS70" i="18"/>
  <c r="BX70" i="18"/>
  <c r="BW71" i="18"/>
  <c r="BY70" i="18"/>
  <c r="EQ70" i="18"/>
  <c r="EO71" i="18"/>
  <c r="EP70" i="18"/>
  <c r="EV70" i="18"/>
  <c r="ET71" i="18"/>
  <c r="EU70" i="18"/>
  <c r="V71" i="18"/>
  <c r="T72" i="18"/>
  <c r="U71" i="18"/>
  <c r="AK70" i="18"/>
  <c r="AI71" i="18"/>
  <c r="AJ70" i="18"/>
  <c r="DC70" i="18"/>
  <c r="DA71" i="18"/>
  <c r="DB70" i="18"/>
  <c r="E90" i="13"/>
  <c r="D90" i="13" s="1"/>
  <c r="F91" i="13" s="1"/>
  <c r="DC71" i="18" l="1"/>
  <c r="DA72" i="18"/>
  <c r="DB71" i="18"/>
  <c r="DP72" i="18"/>
  <c r="DR71" i="18"/>
  <c r="DQ71" i="18"/>
  <c r="BH73" i="18"/>
  <c r="BJ72" i="18"/>
  <c r="BI72" i="18"/>
  <c r="DM71" i="18"/>
  <c r="DL71" i="18"/>
  <c r="DK72" i="18"/>
  <c r="CG71" i="18"/>
  <c r="CH70" i="18"/>
  <c r="CI70" i="18"/>
  <c r="AZ70" i="18"/>
  <c r="AY70" i="18"/>
  <c r="AX71" i="18"/>
  <c r="BO71" i="18"/>
  <c r="BM72" i="18"/>
  <c r="BN71" i="18"/>
  <c r="EU71" i="18"/>
  <c r="ET72" i="18"/>
  <c r="EV71" i="18"/>
  <c r="AK71" i="18"/>
  <c r="AI72" i="18"/>
  <c r="AJ71" i="18"/>
  <c r="EQ71" i="18"/>
  <c r="EP71" i="18"/>
  <c r="EO72" i="18"/>
  <c r="DG71" i="18"/>
  <c r="DF72" i="18"/>
  <c r="DH71" i="18"/>
  <c r="EG71" i="18"/>
  <c r="EF71" i="18"/>
  <c r="EE72" i="18"/>
  <c r="AA71" i="18"/>
  <c r="Y72" i="18"/>
  <c r="Z71" i="18"/>
  <c r="AP71" i="18"/>
  <c r="AN72" i="18"/>
  <c r="AO71" i="18"/>
  <c r="CV73" i="18"/>
  <c r="CX72" i="18"/>
  <c r="CW72" i="18"/>
  <c r="CN70" i="18"/>
  <c r="CL71" i="18"/>
  <c r="CM70" i="18"/>
  <c r="EK72" i="18"/>
  <c r="EJ73" i="18"/>
  <c r="EL72" i="18"/>
  <c r="BR72" i="18"/>
  <c r="BS71" i="18"/>
  <c r="BT71" i="18"/>
  <c r="EB70" i="18"/>
  <c r="DZ71" i="18"/>
  <c r="EA70" i="18"/>
  <c r="AS71" i="18"/>
  <c r="AT70" i="18"/>
  <c r="AU70" i="18"/>
  <c r="T73" i="18"/>
  <c r="V72" i="18"/>
  <c r="U72" i="18"/>
  <c r="AD72" i="18"/>
  <c r="AE71" i="18"/>
  <c r="AF71" i="18"/>
  <c r="CS71" i="18"/>
  <c r="CQ72" i="18"/>
  <c r="CR71" i="18"/>
  <c r="CD71" i="18"/>
  <c r="CB72" i="18"/>
  <c r="CC71" i="18"/>
  <c r="BY71" i="18"/>
  <c r="BX71" i="18"/>
  <c r="BW72" i="18"/>
  <c r="BE71" i="18"/>
  <c r="BC72" i="18"/>
  <c r="BD71" i="18"/>
  <c r="DU71" i="18"/>
  <c r="DV70" i="18"/>
  <c r="DW70" i="18"/>
  <c r="E91" i="13"/>
  <c r="D91" i="13" s="1"/>
  <c r="F92" i="13" s="1"/>
  <c r="DF73" i="18" l="1"/>
  <c r="DG72" i="18"/>
  <c r="DH72" i="18"/>
  <c r="CD72" i="18"/>
  <c r="CC72" i="18"/>
  <c r="CB73" i="18"/>
  <c r="CN71" i="18"/>
  <c r="CL72" i="18"/>
  <c r="CM71" i="18"/>
  <c r="ET73" i="18"/>
  <c r="EU72" i="18"/>
  <c r="EV72" i="18"/>
  <c r="BH74" i="18"/>
  <c r="BI73" i="18"/>
  <c r="BJ73" i="18"/>
  <c r="DU72" i="18"/>
  <c r="DW71" i="18"/>
  <c r="DV71" i="18"/>
  <c r="Y73" i="18"/>
  <c r="AA72" i="18"/>
  <c r="Z72" i="18"/>
  <c r="EO73" i="18"/>
  <c r="EP72" i="18"/>
  <c r="EQ72" i="18"/>
  <c r="EB71" i="18"/>
  <c r="EA71" i="18"/>
  <c r="DZ72" i="18"/>
  <c r="BD72" i="18"/>
  <c r="BC73" i="18"/>
  <c r="BE72" i="18"/>
  <c r="T74" i="18"/>
  <c r="U73" i="18"/>
  <c r="V73" i="18"/>
  <c r="CI71" i="18"/>
  <c r="CG72" i="18"/>
  <c r="CH71" i="18"/>
  <c r="CR72" i="18"/>
  <c r="CQ73" i="18"/>
  <c r="CS72" i="18"/>
  <c r="BR73" i="18"/>
  <c r="BT72" i="18"/>
  <c r="BS72" i="18"/>
  <c r="EG72" i="18"/>
  <c r="EF72" i="18"/>
  <c r="EE73" i="18"/>
  <c r="BM73" i="18"/>
  <c r="BO72" i="18"/>
  <c r="BN72" i="18"/>
  <c r="DK73" i="18"/>
  <c r="DM72" i="18"/>
  <c r="DL72" i="18"/>
  <c r="DR72" i="18"/>
  <c r="DQ72" i="18"/>
  <c r="DP73" i="18"/>
  <c r="CV74" i="18"/>
  <c r="CW73" i="18"/>
  <c r="CX73" i="18"/>
  <c r="BW73" i="18"/>
  <c r="BY72" i="18"/>
  <c r="BX72" i="18"/>
  <c r="AS72" i="18"/>
  <c r="AU71" i="18"/>
  <c r="AT71" i="18"/>
  <c r="EJ74" i="18"/>
  <c r="EK73" i="18"/>
  <c r="EL73" i="18"/>
  <c r="AI73" i="18"/>
  <c r="AK72" i="18"/>
  <c r="AJ72" i="18"/>
  <c r="AZ71" i="18"/>
  <c r="AX72" i="18"/>
  <c r="AY71" i="18"/>
  <c r="DA73" i="18"/>
  <c r="DB72" i="18"/>
  <c r="DC72" i="18"/>
  <c r="AD73" i="18"/>
  <c r="AF72" i="18"/>
  <c r="AE72" i="18"/>
  <c r="AP72" i="18"/>
  <c r="AO72" i="18"/>
  <c r="AN73" i="18"/>
  <c r="E92" i="13"/>
  <c r="D92" i="13" s="1"/>
  <c r="F93" i="13" s="1"/>
  <c r="EL74" i="18" l="1"/>
  <c r="EJ75" i="18"/>
  <c r="EK74" i="18"/>
  <c r="BT73" i="18"/>
  <c r="BS73" i="18"/>
  <c r="BR74" i="18"/>
  <c r="DV72" i="18"/>
  <c r="DU73" i="18"/>
  <c r="DW72" i="18"/>
  <c r="CL73" i="18"/>
  <c r="CN72" i="18"/>
  <c r="CM72" i="18"/>
  <c r="V74" i="18"/>
  <c r="T75" i="18"/>
  <c r="U74" i="18"/>
  <c r="AZ72" i="18"/>
  <c r="AY72" i="18"/>
  <c r="AX73" i="18"/>
  <c r="DR73" i="18"/>
  <c r="DP74" i="18"/>
  <c r="DQ73" i="18"/>
  <c r="BO73" i="18"/>
  <c r="BN73" i="18"/>
  <c r="BM74" i="18"/>
  <c r="CQ74" i="18"/>
  <c r="CR73" i="18"/>
  <c r="CS73" i="18"/>
  <c r="EO74" i="18"/>
  <c r="EQ73" i="18"/>
  <c r="EP73" i="18"/>
  <c r="CD73" i="18"/>
  <c r="CB74" i="18"/>
  <c r="CC73" i="18"/>
  <c r="CX74" i="18"/>
  <c r="CW74" i="18"/>
  <c r="CV75" i="18"/>
  <c r="AS73" i="18"/>
  <c r="AU72" i="18"/>
  <c r="AT72" i="18"/>
  <c r="EE74" i="18"/>
  <c r="EF73" i="18"/>
  <c r="EG73" i="18"/>
  <c r="BC74" i="18"/>
  <c r="BD73" i="18"/>
  <c r="BE73" i="18"/>
  <c r="BJ74" i="18"/>
  <c r="BH75" i="18"/>
  <c r="BI74" i="18"/>
  <c r="AD74" i="18"/>
  <c r="AF73" i="18"/>
  <c r="AE73" i="18"/>
  <c r="AK73" i="18"/>
  <c r="AI74" i="18"/>
  <c r="AJ73" i="18"/>
  <c r="CG73" i="18"/>
  <c r="CI72" i="18"/>
  <c r="CH72" i="18"/>
  <c r="EB72" i="18"/>
  <c r="DZ73" i="18"/>
  <c r="EA72" i="18"/>
  <c r="Z73" i="18"/>
  <c r="Y74" i="18"/>
  <c r="AA73" i="18"/>
  <c r="BY73" i="18"/>
  <c r="BW74" i="18"/>
  <c r="BX73" i="18"/>
  <c r="EV73" i="18"/>
  <c r="EU73" i="18"/>
  <c r="ET74" i="18"/>
  <c r="AP73" i="18"/>
  <c r="AN74" i="18"/>
  <c r="AO73" i="18"/>
  <c r="DA74" i="18"/>
  <c r="DC73" i="18"/>
  <c r="DB73" i="18"/>
  <c r="DM73" i="18"/>
  <c r="DK74" i="18"/>
  <c r="DL73" i="18"/>
  <c r="DG73" i="18"/>
  <c r="DF74" i="18"/>
  <c r="DH73" i="18"/>
  <c r="E93" i="13"/>
  <c r="D93" i="13" s="1"/>
  <c r="F94" i="13" s="1"/>
  <c r="EE75" i="18" l="1"/>
  <c r="EG74" i="18"/>
  <c r="EF74" i="18"/>
  <c r="CB75" i="18"/>
  <c r="CC74" i="18"/>
  <c r="CD74" i="18"/>
  <c r="BO74" i="18"/>
  <c r="BN74" i="18"/>
  <c r="BM75" i="18"/>
  <c r="DW73" i="18"/>
  <c r="DU74" i="18"/>
  <c r="DV73" i="18"/>
  <c r="CI73" i="18"/>
  <c r="CH73" i="18"/>
  <c r="CG74" i="18"/>
  <c r="BH76" i="18"/>
  <c r="BI75" i="18"/>
  <c r="BJ75" i="18"/>
  <c r="AA74" i="18"/>
  <c r="Y75" i="18"/>
  <c r="Z74" i="18"/>
  <c r="T76" i="18"/>
  <c r="U75" i="18"/>
  <c r="V75" i="18"/>
  <c r="BT74" i="18"/>
  <c r="BR75" i="18"/>
  <c r="BS74" i="18"/>
  <c r="DH74" i="18"/>
  <c r="DF75" i="18"/>
  <c r="DG74" i="18"/>
  <c r="AN75" i="18"/>
  <c r="AO74" i="18"/>
  <c r="AP74" i="18"/>
  <c r="DK75" i="18"/>
  <c r="DL74" i="18"/>
  <c r="DM74" i="18"/>
  <c r="EV74" i="18"/>
  <c r="ET75" i="18"/>
  <c r="EU74" i="18"/>
  <c r="AI75" i="18"/>
  <c r="AJ74" i="18"/>
  <c r="AK74" i="18"/>
  <c r="AU73" i="18"/>
  <c r="AT73" i="18"/>
  <c r="AS74" i="18"/>
  <c r="CV76" i="18"/>
  <c r="CW75" i="18"/>
  <c r="CX75" i="18"/>
  <c r="EQ74" i="18"/>
  <c r="EP74" i="18"/>
  <c r="EO75" i="18"/>
  <c r="DP75" i="18"/>
  <c r="DQ74" i="18"/>
  <c r="DR74" i="18"/>
  <c r="DZ74" i="18"/>
  <c r="EA73" i="18"/>
  <c r="EB73" i="18"/>
  <c r="BC75" i="18"/>
  <c r="BE74" i="18"/>
  <c r="BD74" i="18"/>
  <c r="AX74" i="18"/>
  <c r="AY73" i="18"/>
  <c r="AZ73" i="18"/>
  <c r="CL74" i="18"/>
  <c r="CM73" i="18"/>
  <c r="CN73" i="18"/>
  <c r="EJ76" i="18"/>
  <c r="EK75" i="18"/>
  <c r="EL75" i="18"/>
  <c r="DC74" i="18"/>
  <c r="DA75" i="18"/>
  <c r="DB74" i="18"/>
  <c r="BW75" i="18"/>
  <c r="BX74" i="18"/>
  <c r="BY74" i="18"/>
  <c r="AF74" i="18"/>
  <c r="AD75" i="18"/>
  <c r="AE74" i="18"/>
  <c r="CS74" i="18"/>
  <c r="CR74" i="18"/>
  <c r="CQ75" i="18"/>
  <c r="E94" i="13"/>
  <c r="D94" i="13" s="1"/>
  <c r="F95" i="13" s="1"/>
  <c r="CN74" i="18" l="1"/>
  <c r="CM74" i="18"/>
  <c r="CL75" i="18"/>
  <c r="AK75" i="18"/>
  <c r="AJ75" i="18"/>
  <c r="AI76" i="18"/>
  <c r="BH77" i="18"/>
  <c r="BJ76" i="18"/>
  <c r="BI76" i="18"/>
  <c r="DZ75" i="18"/>
  <c r="EB74" i="18"/>
  <c r="EA74" i="18"/>
  <c r="AP75" i="18"/>
  <c r="AO75" i="18"/>
  <c r="AN76" i="18"/>
  <c r="CG75" i="18"/>
  <c r="CH74" i="18"/>
  <c r="CI74" i="18"/>
  <c r="DA76" i="18"/>
  <c r="DB75" i="18"/>
  <c r="DC75" i="18"/>
  <c r="CV77" i="18"/>
  <c r="CX76" i="18"/>
  <c r="CW76" i="18"/>
  <c r="ET76" i="18"/>
  <c r="EU75" i="18"/>
  <c r="EV75" i="18"/>
  <c r="V76" i="18"/>
  <c r="U76" i="18"/>
  <c r="T77" i="18"/>
  <c r="AD76" i="18"/>
  <c r="AE75" i="18"/>
  <c r="AF75" i="18"/>
  <c r="AX75" i="18"/>
  <c r="AZ74" i="18"/>
  <c r="AY74" i="18"/>
  <c r="AS75" i="18"/>
  <c r="AT74" i="18"/>
  <c r="AU74" i="18"/>
  <c r="DF76" i="18"/>
  <c r="DG75" i="18"/>
  <c r="DH75" i="18"/>
  <c r="DR75" i="18"/>
  <c r="DP76" i="18"/>
  <c r="DQ75" i="18"/>
  <c r="Y76" i="18"/>
  <c r="Z75" i="18"/>
  <c r="AA75" i="18"/>
  <c r="CD75" i="18"/>
  <c r="CB76" i="18"/>
  <c r="CC75" i="18"/>
  <c r="EJ77" i="18"/>
  <c r="EL76" i="18"/>
  <c r="EK76" i="18"/>
  <c r="EO76" i="18"/>
  <c r="EP75" i="18"/>
  <c r="EQ75" i="18"/>
  <c r="DU75" i="18"/>
  <c r="DV74" i="18"/>
  <c r="DW74" i="18"/>
  <c r="BE75" i="18"/>
  <c r="BC76" i="18"/>
  <c r="BD75" i="18"/>
  <c r="DK76" i="18"/>
  <c r="DL75" i="18"/>
  <c r="DM75" i="18"/>
  <c r="BR76" i="18"/>
  <c r="BS75" i="18"/>
  <c r="BT75" i="18"/>
  <c r="CS75" i="18"/>
  <c r="CQ76" i="18"/>
  <c r="CR75" i="18"/>
  <c r="BY75" i="18"/>
  <c r="BW76" i="18"/>
  <c r="BX75" i="18"/>
  <c r="BM76" i="18"/>
  <c r="BN75" i="18"/>
  <c r="BO75" i="18"/>
  <c r="EG75" i="18"/>
  <c r="EE76" i="18"/>
  <c r="EF75" i="18"/>
  <c r="E95" i="13"/>
  <c r="D95" i="13" s="1"/>
  <c r="F96" i="13" s="1"/>
  <c r="EG76" i="18" l="1"/>
  <c r="EE77" i="18"/>
  <c r="EF76" i="18"/>
  <c r="DM76" i="18"/>
  <c r="DL76" i="18"/>
  <c r="DK77" i="18"/>
  <c r="DH76" i="18"/>
  <c r="DF77" i="18"/>
  <c r="DG76" i="18"/>
  <c r="CI75" i="18"/>
  <c r="CG76" i="18"/>
  <c r="CH75" i="18"/>
  <c r="CQ77" i="18"/>
  <c r="CR76" i="18"/>
  <c r="CS76" i="18"/>
  <c r="AF76" i="18"/>
  <c r="AD77" i="18"/>
  <c r="AE76" i="18"/>
  <c r="AP76" i="18"/>
  <c r="AN77" i="18"/>
  <c r="AO76" i="18"/>
  <c r="BJ77" i="18"/>
  <c r="BH78" i="18"/>
  <c r="BI77" i="18"/>
  <c r="BC77" i="18"/>
  <c r="BD76" i="18"/>
  <c r="BE76" i="18"/>
  <c r="AA76" i="18"/>
  <c r="Z76" i="18"/>
  <c r="Y77" i="18"/>
  <c r="V77" i="18"/>
  <c r="T78" i="18"/>
  <c r="U77" i="18"/>
  <c r="CX77" i="18"/>
  <c r="CV78" i="18"/>
  <c r="CW77" i="18"/>
  <c r="AK76" i="18"/>
  <c r="AI77" i="18"/>
  <c r="AJ76" i="18"/>
  <c r="EQ76" i="18"/>
  <c r="EO77" i="18"/>
  <c r="EP76" i="18"/>
  <c r="AU75" i="18"/>
  <c r="AT75" i="18"/>
  <c r="AS76" i="18"/>
  <c r="BO76" i="18"/>
  <c r="BM77" i="18"/>
  <c r="BN76" i="18"/>
  <c r="EJ78" i="18"/>
  <c r="EL77" i="18"/>
  <c r="EK77" i="18"/>
  <c r="DR76" i="18"/>
  <c r="DP77" i="18"/>
  <c r="DQ76" i="18"/>
  <c r="BT76" i="18"/>
  <c r="BR77" i="18"/>
  <c r="BS76" i="18"/>
  <c r="DC76" i="18"/>
  <c r="DB76" i="18"/>
  <c r="DA77" i="18"/>
  <c r="CN75" i="18"/>
  <c r="CM75" i="18"/>
  <c r="CL76" i="18"/>
  <c r="BY76" i="18"/>
  <c r="BX76" i="18"/>
  <c r="BW77" i="18"/>
  <c r="DW75" i="18"/>
  <c r="DU76" i="18"/>
  <c r="DV75" i="18"/>
  <c r="CD76" i="18"/>
  <c r="CB77" i="18"/>
  <c r="CC76" i="18"/>
  <c r="AZ75" i="18"/>
  <c r="AX76" i="18"/>
  <c r="AY75" i="18"/>
  <c r="EB75" i="18"/>
  <c r="EA75" i="18"/>
  <c r="DZ76" i="18"/>
  <c r="EV76" i="18"/>
  <c r="ET77" i="18"/>
  <c r="EU76" i="18"/>
  <c r="E96" i="13"/>
  <c r="D96" i="13" s="1"/>
  <c r="F97" i="13" s="1"/>
  <c r="BR78" i="18" l="1"/>
  <c r="BS77" i="18"/>
  <c r="BT77" i="18"/>
  <c r="T79" i="18"/>
  <c r="U78" i="18"/>
  <c r="V78" i="18"/>
  <c r="DF78" i="18"/>
  <c r="DG77" i="18"/>
  <c r="DH77" i="18"/>
  <c r="CL77" i="18"/>
  <c r="CM76" i="18"/>
  <c r="CN76" i="18"/>
  <c r="BO77" i="18"/>
  <c r="BM78" i="18"/>
  <c r="BN77" i="18"/>
  <c r="BH79" i="18"/>
  <c r="BI78" i="18"/>
  <c r="BJ78" i="18"/>
  <c r="AI78" i="18"/>
  <c r="AJ77" i="18"/>
  <c r="AK77" i="18"/>
  <c r="AA77" i="18"/>
  <c r="Y78" i="18"/>
  <c r="Z77" i="18"/>
  <c r="DL77" i="18"/>
  <c r="DK78" i="18"/>
  <c r="DM77" i="18"/>
  <c r="CD77" i="18"/>
  <c r="CB78" i="18"/>
  <c r="CC77" i="18"/>
  <c r="DZ77" i="18"/>
  <c r="EA76" i="18"/>
  <c r="EB76" i="18"/>
  <c r="DR77" i="18"/>
  <c r="DQ77" i="18"/>
  <c r="DP78" i="18"/>
  <c r="AS77" i="18"/>
  <c r="AT76" i="18"/>
  <c r="AU76" i="18"/>
  <c r="CS77" i="18"/>
  <c r="CQ78" i="18"/>
  <c r="CR77" i="18"/>
  <c r="DU77" i="18"/>
  <c r="DV76" i="18"/>
  <c r="DW76" i="18"/>
  <c r="DC77" i="18"/>
  <c r="DA78" i="18"/>
  <c r="DB77" i="18"/>
  <c r="AP77" i="18"/>
  <c r="AN78" i="18"/>
  <c r="AO77" i="18"/>
  <c r="CV79" i="18"/>
  <c r="CW78" i="18"/>
  <c r="CX78" i="18"/>
  <c r="CG77" i="18"/>
  <c r="CH76" i="18"/>
  <c r="CI76" i="18"/>
  <c r="AX77" i="18"/>
  <c r="AY76" i="18"/>
  <c r="AZ76" i="18"/>
  <c r="EG77" i="18"/>
  <c r="EF77" i="18"/>
  <c r="EE78" i="18"/>
  <c r="EU77" i="18"/>
  <c r="EV77" i="18"/>
  <c r="ET78" i="18"/>
  <c r="BW78" i="18"/>
  <c r="BX77" i="18"/>
  <c r="BY77" i="18"/>
  <c r="EL78" i="18"/>
  <c r="EK78" i="18"/>
  <c r="EJ79" i="18"/>
  <c r="EO78" i="18"/>
  <c r="EQ77" i="18"/>
  <c r="EP77" i="18"/>
  <c r="BE77" i="18"/>
  <c r="BC78" i="18"/>
  <c r="BD77" i="18"/>
  <c r="AD78" i="18"/>
  <c r="AE77" i="18"/>
  <c r="AF77" i="18"/>
  <c r="E97" i="13"/>
  <c r="D97" i="13" s="1"/>
  <c r="F98" i="13" s="1"/>
  <c r="EJ80" i="18" l="1"/>
  <c r="EL79" i="18"/>
  <c r="EK79" i="18"/>
  <c r="BJ79" i="18"/>
  <c r="BI79" i="18"/>
  <c r="BH80" i="18"/>
  <c r="AD79" i="18"/>
  <c r="AE78" i="18"/>
  <c r="AF78" i="18"/>
  <c r="EG78" i="18"/>
  <c r="EE79" i="18"/>
  <c r="EF78" i="18"/>
  <c r="CG78" i="18"/>
  <c r="CH77" i="18"/>
  <c r="CI77" i="18"/>
  <c r="DC78" i="18"/>
  <c r="DB78" i="18"/>
  <c r="DA79" i="18"/>
  <c r="DZ78" i="18"/>
  <c r="EB77" i="18"/>
  <c r="EA77" i="18"/>
  <c r="AA78" i="18"/>
  <c r="Y79" i="18"/>
  <c r="Z78" i="18"/>
  <c r="DH78" i="18"/>
  <c r="DF79" i="18"/>
  <c r="DG78" i="18"/>
  <c r="BM79" i="18"/>
  <c r="BO78" i="18"/>
  <c r="BN78" i="18"/>
  <c r="AS78" i="18"/>
  <c r="AT77" i="18"/>
  <c r="AU77" i="18"/>
  <c r="CD78" i="18"/>
  <c r="CB79" i="18"/>
  <c r="CC78" i="18"/>
  <c r="CW79" i="18"/>
  <c r="CX79" i="18"/>
  <c r="CV80" i="18"/>
  <c r="DR78" i="18"/>
  <c r="DQ78" i="18"/>
  <c r="DP79" i="18"/>
  <c r="T80" i="18"/>
  <c r="V79" i="18"/>
  <c r="U79" i="18"/>
  <c r="BY78" i="18"/>
  <c r="BX78" i="18"/>
  <c r="BW79" i="18"/>
  <c r="DU78" i="18"/>
  <c r="DV77" i="18"/>
  <c r="DW77" i="18"/>
  <c r="AK78" i="18"/>
  <c r="AI79" i="18"/>
  <c r="AJ78" i="18"/>
  <c r="BD78" i="18"/>
  <c r="BE78" i="18"/>
  <c r="BC79" i="18"/>
  <c r="EV78" i="18"/>
  <c r="ET79" i="18"/>
  <c r="EU78" i="18"/>
  <c r="AZ77" i="18"/>
  <c r="AX78" i="18"/>
  <c r="AY77" i="18"/>
  <c r="AP78" i="18"/>
  <c r="AO78" i="18"/>
  <c r="AN79" i="18"/>
  <c r="DK79" i="18"/>
  <c r="DM78" i="18"/>
  <c r="DL78" i="18"/>
  <c r="CN77" i="18"/>
  <c r="CM77" i="18"/>
  <c r="CL78" i="18"/>
  <c r="EP78" i="18"/>
  <c r="EQ78" i="18"/>
  <c r="EO79" i="18"/>
  <c r="CR78" i="18"/>
  <c r="CQ79" i="18"/>
  <c r="CS78" i="18"/>
  <c r="BR79" i="18"/>
  <c r="BS78" i="18"/>
  <c r="BT78" i="18"/>
  <c r="E98" i="13"/>
  <c r="D98" i="13" s="1"/>
  <c r="F99" i="13" s="1"/>
  <c r="CN78" i="18" l="1"/>
  <c r="CM78" i="18"/>
  <c r="CL79" i="18"/>
  <c r="BY79" i="18"/>
  <c r="BX79" i="18"/>
  <c r="BW80" i="18"/>
  <c r="CX80" i="18"/>
  <c r="CW80" i="18"/>
  <c r="CV81" i="18"/>
  <c r="BH81" i="18"/>
  <c r="BI80" i="18"/>
  <c r="BJ80" i="18"/>
  <c r="AS79" i="18"/>
  <c r="AU78" i="18"/>
  <c r="AT78" i="18"/>
  <c r="AZ78" i="18"/>
  <c r="AY78" i="18"/>
  <c r="AX79" i="18"/>
  <c r="CS79" i="18"/>
  <c r="CQ80" i="18"/>
  <c r="CR79" i="18"/>
  <c r="AI80" i="18"/>
  <c r="AJ79" i="18"/>
  <c r="AK79" i="18"/>
  <c r="CG79" i="18"/>
  <c r="CI78" i="18"/>
  <c r="CH78" i="18"/>
  <c r="BM80" i="18"/>
  <c r="BN79" i="18"/>
  <c r="BO79" i="18"/>
  <c r="BR80" i="18"/>
  <c r="BS79" i="18"/>
  <c r="BT79" i="18"/>
  <c r="AA79" i="18"/>
  <c r="Z79" i="18"/>
  <c r="Y80" i="18"/>
  <c r="EQ79" i="18"/>
  <c r="EP79" i="18"/>
  <c r="EO80" i="18"/>
  <c r="DM79" i="18"/>
  <c r="DL79" i="18"/>
  <c r="DK80" i="18"/>
  <c r="ET80" i="18"/>
  <c r="EU79" i="18"/>
  <c r="EV79" i="18"/>
  <c r="T81" i="18"/>
  <c r="U80" i="18"/>
  <c r="V80" i="18"/>
  <c r="CD79" i="18"/>
  <c r="CC79" i="18"/>
  <c r="CB80" i="18"/>
  <c r="DZ79" i="18"/>
  <c r="EA78" i="18"/>
  <c r="EB78" i="18"/>
  <c r="EG79" i="18"/>
  <c r="EE80" i="18"/>
  <c r="EF79" i="18"/>
  <c r="AD80" i="18"/>
  <c r="AE79" i="18"/>
  <c r="AF79" i="18"/>
  <c r="AP79" i="18"/>
  <c r="AO79" i="18"/>
  <c r="AN80" i="18"/>
  <c r="DR79" i="18"/>
  <c r="DP80" i="18"/>
  <c r="DQ79" i="18"/>
  <c r="DF80" i="18"/>
  <c r="DG79" i="18"/>
  <c r="DH79" i="18"/>
  <c r="DA80" i="18"/>
  <c r="DB79" i="18"/>
  <c r="DC79" i="18"/>
  <c r="BE79" i="18"/>
  <c r="BC80" i="18"/>
  <c r="BD79" i="18"/>
  <c r="DU79" i="18"/>
  <c r="DV78" i="18"/>
  <c r="DW78" i="18"/>
  <c r="EL80" i="18"/>
  <c r="EK80" i="18"/>
  <c r="EJ81" i="18"/>
  <c r="E99" i="13"/>
  <c r="D99" i="13" s="1"/>
  <c r="F100" i="13" s="1"/>
  <c r="EE81" i="18" l="1"/>
  <c r="EF80" i="18"/>
  <c r="EG80" i="18"/>
  <c r="DC80" i="18"/>
  <c r="DB80" i="18"/>
  <c r="DA81" i="18"/>
  <c r="V81" i="18"/>
  <c r="U81" i="18"/>
  <c r="T82" i="18"/>
  <c r="AJ80" i="18"/>
  <c r="AK80" i="18"/>
  <c r="AI81" i="18"/>
  <c r="AU79" i="18"/>
  <c r="AT79" i="18"/>
  <c r="AS80" i="18"/>
  <c r="BT80" i="18"/>
  <c r="BS80" i="18"/>
  <c r="BR81" i="18"/>
  <c r="EB79" i="18"/>
  <c r="EA79" i="18"/>
  <c r="DZ80" i="18"/>
  <c r="AA80" i="18"/>
  <c r="Y81" i="18"/>
  <c r="Z80" i="18"/>
  <c r="BO80" i="18"/>
  <c r="BN80" i="18"/>
  <c r="BM81" i="18"/>
  <c r="CQ81" i="18"/>
  <c r="CR80" i="18"/>
  <c r="CS80" i="18"/>
  <c r="DU80" i="18"/>
  <c r="DV79" i="18"/>
  <c r="DW79" i="18"/>
  <c r="DF81" i="18"/>
  <c r="DG80" i="18"/>
  <c r="DH80" i="18"/>
  <c r="CD80" i="18"/>
  <c r="CB81" i="18"/>
  <c r="CC80" i="18"/>
  <c r="ET81" i="18"/>
  <c r="EU80" i="18"/>
  <c r="EV80" i="18"/>
  <c r="CL80" i="18"/>
  <c r="CN79" i="18"/>
  <c r="CM79" i="18"/>
  <c r="AP80" i="18"/>
  <c r="AN81" i="18"/>
  <c r="AO80" i="18"/>
  <c r="BC81" i="18"/>
  <c r="BD80" i="18"/>
  <c r="BE80" i="18"/>
  <c r="AF80" i="18"/>
  <c r="AE80" i="18"/>
  <c r="AD81" i="18"/>
  <c r="DK81" i="18"/>
  <c r="DM80" i="18"/>
  <c r="DL80" i="18"/>
  <c r="AX80" i="18"/>
  <c r="AZ79" i="18"/>
  <c r="AY79" i="18"/>
  <c r="BI81" i="18"/>
  <c r="BJ81" i="18"/>
  <c r="BH82" i="18"/>
  <c r="EQ80" i="18"/>
  <c r="EO81" i="18"/>
  <c r="EP80" i="18"/>
  <c r="BW81" i="18"/>
  <c r="BY80" i="18"/>
  <c r="BX80" i="18"/>
  <c r="EJ82" i="18"/>
  <c r="EL81" i="18"/>
  <c r="EK81" i="18"/>
  <c r="DR80" i="18"/>
  <c r="DP81" i="18"/>
  <c r="DQ80" i="18"/>
  <c r="CG80" i="18"/>
  <c r="CH79" i="18"/>
  <c r="CI79" i="18"/>
  <c r="CV82" i="18"/>
  <c r="CX81" i="18"/>
  <c r="CW81" i="18"/>
  <c r="E100" i="13"/>
  <c r="D100" i="13" s="1"/>
  <c r="F101" i="13" s="1"/>
  <c r="EU81" i="18" l="1"/>
  <c r="ET82" i="18"/>
  <c r="EV81" i="18"/>
  <c r="BH83" i="18"/>
  <c r="BJ82" i="18"/>
  <c r="BI82" i="18"/>
  <c r="DV80" i="18"/>
  <c r="DW80" i="18"/>
  <c r="DU81" i="18"/>
  <c r="AA81" i="18"/>
  <c r="Y82" i="18"/>
  <c r="Z81" i="18"/>
  <c r="AS81" i="18"/>
  <c r="AU80" i="18"/>
  <c r="AT80" i="18"/>
  <c r="AN82" i="18"/>
  <c r="AO81" i="18"/>
  <c r="AP81" i="18"/>
  <c r="AD82" i="18"/>
  <c r="AF81" i="18"/>
  <c r="AE81" i="18"/>
  <c r="CB82" i="18"/>
  <c r="CC81" i="18"/>
  <c r="CD81" i="18"/>
  <c r="DC81" i="18"/>
  <c r="DA82" i="18"/>
  <c r="DB81" i="18"/>
  <c r="CV83" i="18"/>
  <c r="CX82" i="18"/>
  <c r="CW82" i="18"/>
  <c r="EJ83" i="18"/>
  <c r="EK82" i="18"/>
  <c r="EL82" i="18"/>
  <c r="DZ81" i="18"/>
  <c r="EA80" i="18"/>
  <c r="EB80" i="18"/>
  <c r="CI80" i="18"/>
  <c r="CH80" i="18"/>
  <c r="CG81" i="18"/>
  <c r="CS81" i="18"/>
  <c r="CR81" i="18"/>
  <c r="CQ82" i="18"/>
  <c r="AK81" i="18"/>
  <c r="AJ81" i="18"/>
  <c r="AI82" i="18"/>
  <c r="CL81" i="18"/>
  <c r="CM80" i="18"/>
  <c r="CN80" i="18"/>
  <c r="BO81" i="18"/>
  <c r="BM82" i="18"/>
  <c r="BN81" i="18"/>
  <c r="DK82" i="18"/>
  <c r="DL81" i="18"/>
  <c r="DM81" i="18"/>
  <c r="DP82" i="18"/>
  <c r="DQ81" i="18"/>
  <c r="DR81" i="18"/>
  <c r="AZ80" i="18"/>
  <c r="AY80" i="18"/>
  <c r="AX81" i="18"/>
  <c r="DH81" i="18"/>
  <c r="DG81" i="18"/>
  <c r="DF82" i="18"/>
  <c r="BR82" i="18"/>
  <c r="BT81" i="18"/>
  <c r="BS81" i="18"/>
  <c r="BY81" i="18"/>
  <c r="BX81" i="18"/>
  <c r="BW82" i="18"/>
  <c r="EQ81" i="18"/>
  <c r="EO82" i="18"/>
  <c r="EP81" i="18"/>
  <c r="BE81" i="18"/>
  <c r="BD81" i="18"/>
  <c r="BC82" i="18"/>
  <c r="T83" i="18"/>
  <c r="U82" i="18"/>
  <c r="V82" i="18"/>
  <c r="EE82" i="18"/>
  <c r="EF81" i="18"/>
  <c r="EG81" i="18"/>
  <c r="E101" i="13"/>
  <c r="D101" i="13" s="1"/>
  <c r="F102" i="13" s="1"/>
  <c r="BR83" i="18" l="1"/>
  <c r="BS82" i="18"/>
  <c r="BT82" i="18"/>
  <c r="AN83" i="18"/>
  <c r="AO82" i="18"/>
  <c r="AP82" i="18"/>
  <c r="EE83" i="18"/>
  <c r="EG82" i="18"/>
  <c r="EF82" i="18"/>
  <c r="EO83" i="18"/>
  <c r="EP82" i="18"/>
  <c r="EQ82" i="18"/>
  <c r="DG82" i="18"/>
  <c r="DF83" i="18"/>
  <c r="DH82" i="18"/>
  <c r="DP83" i="18"/>
  <c r="DR82" i="18"/>
  <c r="DQ82" i="18"/>
  <c r="CG82" i="18"/>
  <c r="CH81" i="18"/>
  <c r="CI81" i="18"/>
  <c r="EL83" i="18"/>
  <c r="EJ84" i="18"/>
  <c r="EK83" i="18"/>
  <c r="CN81" i="18"/>
  <c r="CM81" i="18"/>
  <c r="CL82" i="18"/>
  <c r="CB83" i="18"/>
  <c r="CD82" i="18"/>
  <c r="CC82" i="18"/>
  <c r="BY82" i="18"/>
  <c r="BW83" i="18"/>
  <c r="BX82" i="18"/>
  <c r="AK82" i="18"/>
  <c r="AI83" i="18"/>
  <c r="AJ82" i="18"/>
  <c r="AS82" i="18"/>
  <c r="AT81" i="18"/>
  <c r="AU81" i="18"/>
  <c r="V83" i="18"/>
  <c r="T84" i="18"/>
  <c r="U83" i="18"/>
  <c r="AZ81" i="18"/>
  <c r="AX82" i="18"/>
  <c r="AY81" i="18"/>
  <c r="DM82" i="18"/>
  <c r="DL82" i="18"/>
  <c r="DK83" i="18"/>
  <c r="CX83" i="18"/>
  <c r="CV84" i="18"/>
  <c r="CW83" i="18"/>
  <c r="BJ83" i="18"/>
  <c r="BH84" i="18"/>
  <c r="BI83" i="18"/>
  <c r="AF82" i="18"/>
  <c r="AE82" i="18"/>
  <c r="AD83" i="18"/>
  <c r="Y83" i="18"/>
  <c r="Z82" i="18"/>
  <c r="AA82" i="18"/>
  <c r="BC83" i="18"/>
  <c r="BE82" i="18"/>
  <c r="BD82" i="18"/>
  <c r="BM83" i="18"/>
  <c r="BN82" i="18"/>
  <c r="BO82" i="18"/>
  <c r="CS82" i="18"/>
  <c r="CQ83" i="18"/>
  <c r="CR82" i="18"/>
  <c r="EB81" i="18"/>
  <c r="EA81" i="18"/>
  <c r="DZ82" i="18"/>
  <c r="DA83" i="18"/>
  <c r="DB82" i="18"/>
  <c r="DC82" i="18"/>
  <c r="ET83" i="18"/>
  <c r="EV82" i="18"/>
  <c r="EU82" i="18"/>
  <c r="DW81" i="18"/>
  <c r="DV81" i="18"/>
  <c r="DU82" i="18"/>
  <c r="E102" i="13"/>
  <c r="D102" i="13" s="1"/>
  <c r="F103" i="13" s="1"/>
  <c r="EB82" i="18" l="1"/>
  <c r="DZ83" i="18"/>
  <c r="EA82" i="18"/>
  <c r="BM84" i="18"/>
  <c r="BN83" i="18"/>
  <c r="BO83" i="18"/>
  <c r="DM83" i="18"/>
  <c r="DK84" i="18"/>
  <c r="DL83" i="18"/>
  <c r="BY83" i="18"/>
  <c r="BW84" i="18"/>
  <c r="BX83" i="18"/>
  <c r="DR83" i="18"/>
  <c r="DQ83" i="18"/>
  <c r="DP84" i="18"/>
  <c r="EL84" i="18"/>
  <c r="EJ85" i="18"/>
  <c r="EK84" i="18"/>
  <c r="EE84" i="18"/>
  <c r="EF83" i="18"/>
  <c r="EG83" i="18"/>
  <c r="DH83" i="18"/>
  <c r="DG83" i="18"/>
  <c r="DF84" i="18"/>
  <c r="BC84" i="18"/>
  <c r="BD83" i="18"/>
  <c r="BE83" i="18"/>
  <c r="BJ84" i="18"/>
  <c r="BH85" i="18"/>
  <c r="BI84" i="18"/>
  <c r="AU82" i="18"/>
  <c r="AS83" i="18"/>
  <c r="AT82" i="18"/>
  <c r="EV83" i="18"/>
  <c r="ET84" i="18"/>
  <c r="EU83" i="18"/>
  <c r="CS83" i="18"/>
  <c r="CQ84" i="18"/>
  <c r="CR83" i="18"/>
  <c r="AZ82" i="18"/>
  <c r="AX83" i="18"/>
  <c r="AY82" i="18"/>
  <c r="CB84" i="18"/>
  <c r="CC83" i="18"/>
  <c r="CD83" i="18"/>
  <c r="AP83" i="18"/>
  <c r="AO83" i="18"/>
  <c r="AN84" i="18"/>
  <c r="AK83" i="18"/>
  <c r="AI84" i="18"/>
  <c r="AJ83" i="18"/>
  <c r="CN82" i="18"/>
  <c r="CL83" i="18"/>
  <c r="CM82" i="18"/>
  <c r="CH82" i="18"/>
  <c r="CI82" i="18"/>
  <c r="CG83" i="18"/>
  <c r="Y84" i="18"/>
  <c r="AA83" i="18"/>
  <c r="Z83" i="18"/>
  <c r="CX84" i="18"/>
  <c r="CV85" i="18"/>
  <c r="CW84" i="18"/>
  <c r="EO84" i="18"/>
  <c r="EP83" i="18"/>
  <c r="EQ83" i="18"/>
  <c r="DU83" i="18"/>
  <c r="DW82" i="18"/>
  <c r="DV82" i="18"/>
  <c r="DA84" i="18"/>
  <c r="DB83" i="18"/>
  <c r="DC83" i="18"/>
  <c r="AF83" i="18"/>
  <c r="AE83" i="18"/>
  <c r="AD84" i="18"/>
  <c r="V84" i="18"/>
  <c r="T85" i="18"/>
  <c r="U84" i="18"/>
  <c r="BT83" i="18"/>
  <c r="BR84" i="18"/>
  <c r="BS83" i="18"/>
  <c r="E103" i="13"/>
  <c r="D103" i="13" s="1"/>
  <c r="F104" i="13" s="1"/>
  <c r="EQ84" i="18" l="1"/>
  <c r="EO85" i="18"/>
  <c r="EP84" i="18"/>
  <c r="AP84" i="18"/>
  <c r="AN85" i="18"/>
  <c r="AO84" i="18"/>
  <c r="AS84" i="18"/>
  <c r="AT83" i="18"/>
  <c r="AU83" i="18"/>
  <c r="DF85" i="18"/>
  <c r="DG84" i="18"/>
  <c r="DH84" i="18"/>
  <c r="DM84" i="18"/>
  <c r="DK85" i="18"/>
  <c r="DL84" i="18"/>
  <c r="DR84" i="18"/>
  <c r="DP85" i="18"/>
  <c r="DQ84" i="18"/>
  <c r="BR85" i="18"/>
  <c r="BS84" i="18"/>
  <c r="BT84" i="18"/>
  <c r="DA85" i="18"/>
  <c r="DB84" i="18"/>
  <c r="DC84" i="18"/>
  <c r="CX85" i="18"/>
  <c r="CV86" i="18"/>
  <c r="CW85" i="18"/>
  <c r="CS84" i="18"/>
  <c r="CQ85" i="18"/>
  <c r="CR84" i="18"/>
  <c r="CN83" i="18"/>
  <c r="CL84" i="18"/>
  <c r="CM83" i="18"/>
  <c r="BJ85" i="18"/>
  <c r="BH86" i="18"/>
  <c r="BI85" i="18"/>
  <c r="BO84" i="18"/>
  <c r="BM85" i="18"/>
  <c r="BN84" i="18"/>
  <c r="AD85" i="18"/>
  <c r="AE84" i="18"/>
  <c r="AF84" i="18"/>
  <c r="DU84" i="18"/>
  <c r="DV83" i="18"/>
  <c r="DW83" i="18"/>
  <c r="CB85" i="18"/>
  <c r="CC84" i="18"/>
  <c r="CD84" i="18"/>
  <c r="ET85" i="18"/>
  <c r="EU84" i="18"/>
  <c r="EV84" i="18"/>
  <c r="EG84" i="18"/>
  <c r="EE85" i="18"/>
  <c r="EF84" i="18"/>
  <c r="BY84" i="18"/>
  <c r="BW85" i="18"/>
  <c r="BX84" i="18"/>
  <c r="V85" i="18"/>
  <c r="T86" i="18"/>
  <c r="U85" i="18"/>
  <c r="Y85" i="18"/>
  <c r="Z84" i="18"/>
  <c r="AA84" i="18"/>
  <c r="AK84" i="18"/>
  <c r="AI85" i="18"/>
  <c r="AJ84" i="18"/>
  <c r="EB83" i="18"/>
  <c r="DZ84" i="18"/>
  <c r="EA83" i="18"/>
  <c r="CG84" i="18"/>
  <c r="CH83" i="18"/>
  <c r="CI83" i="18"/>
  <c r="AZ83" i="18"/>
  <c r="AX84" i="18"/>
  <c r="AY83" i="18"/>
  <c r="BE84" i="18"/>
  <c r="BC85" i="18"/>
  <c r="BD84" i="18"/>
  <c r="EL85" i="18"/>
  <c r="EJ86" i="18"/>
  <c r="EK85" i="18"/>
  <c r="E104" i="13"/>
  <c r="D104" i="13" s="1"/>
  <c r="F105" i="13" s="1"/>
  <c r="BW86" i="18" l="1"/>
  <c r="BX85" i="18"/>
  <c r="BY85" i="18"/>
  <c r="AF85" i="18"/>
  <c r="AD86" i="18"/>
  <c r="AE85" i="18"/>
  <c r="CL85" i="18"/>
  <c r="CM84" i="18"/>
  <c r="CN84" i="18"/>
  <c r="EL86" i="18"/>
  <c r="EJ87" i="18"/>
  <c r="EK86" i="18"/>
  <c r="AU84" i="18"/>
  <c r="AS85" i="18"/>
  <c r="AT84" i="18"/>
  <c r="CI84" i="18"/>
  <c r="CG85" i="18"/>
  <c r="CH84" i="18"/>
  <c r="CD85" i="18"/>
  <c r="CB86" i="18"/>
  <c r="CC85" i="18"/>
  <c r="BO85" i="18"/>
  <c r="BM86" i="18"/>
  <c r="BN85" i="18"/>
  <c r="DA86" i="18"/>
  <c r="DB85" i="18"/>
  <c r="DC85" i="18"/>
  <c r="DK86" i="18"/>
  <c r="DL85" i="18"/>
  <c r="DM85" i="18"/>
  <c r="BC86" i="18"/>
  <c r="BD85" i="18"/>
  <c r="BE85" i="18"/>
  <c r="Y86" i="18"/>
  <c r="Z85" i="18"/>
  <c r="AA85" i="18"/>
  <c r="EE86" i="18"/>
  <c r="EF85" i="18"/>
  <c r="EG85" i="18"/>
  <c r="CQ86" i="18"/>
  <c r="CR85" i="18"/>
  <c r="CS85" i="18"/>
  <c r="AP85" i="18"/>
  <c r="AN86" i="18"/>
  <c r="AO85" i="18"/>
  <c r="DZ85" i="18"/>
  <c r="EA84" i="18"/>
  <c r="EB84" i="18"/>
  <c r="T87" i="18"/>
  <c r="U86" i="18"/>
  <c r="V86" i="18"/>
  <c r="DW84" i="18"/>
  <c r="DU85" i="18"/>
  <c r="DV84" i="18"/>
  <c r="BH87" i="18"/>
  <c r="BI86" i="18"/>
  <c r="BJ86" i="18"/>
  <c r="BT85" i="18"/>
  <c r="BR86" i="18"/>
  <c r="BS85" i="18"/>
  <c r="CX86" i="18"/>
  <c r="CV87" i="18"/>
  <c r="CW86" i="18"/>
  <c r="DH85" i="18"/>
  <c r="DF86" i="18"/>
  <c r="DG85" i="18"/>
  <c r="EQ85" i="18"/>
  <c r="EP85" i="18"/>
  <c r="EO86" i="18"/>
  <c r="AX85" i="18"/>
  <c r="AY84" i="18"/>
  <c r="AZ84" i="18"/>
  <c r="AI86" i="18"/>
  <c r="AJ85" i="18"/>
  <c r="AK85" i="18"/>
  <c r="EV85" i="18"/>
  <c r="ET86" i="18"/>
  <c r="EU85" i="18"/>
  <c r="DR85" i="18"/>
  <c r="DP86" i="18"/>
  <c r="DQ85" i="18"/>
  <c r="E105" i="13"/>
  <c r="D105" i="13" s="1"/>
  <c r="F106" i="13" s="1"/>
  <c r="CS86" i="18" l="1"/>
  <c r="CQ87" i="18"/>
  <c r="CR86" i="18"/>
  <c r="BI87" i="18"/>
  <c r="BH88" i="18"/>
  <c r="BJ87" i="18"/>
  <c r="BE86" i="18"/>
  <c r="BC87" i="18"/>
  <c r="BD86" i="18"/>
  <c r="BO86" i="18"/>
  <c r="BN86" i="18"/>
  <c r="BM87" i="18"/>
  <c r="CL86" i="18"/>
  <c r="CN85" i="18"/>
  <c r="CM85" i="18"/>
  <c r="AX86" i="18"/>
  <c r="AY85" i="18"/>
  <c r="AZ85" i="18"/>
  <c r="CW87" i="18"/>
  <c r="CX87" i="18"/>
  <c r="CV88" i="18"/>
  <c r="DZ86" i="18"/>
  <c r="EA85" i="18"/>
  <c r="EB85" i="18"/>
  <c r="AU85" i="18"/>
  <c r="AS86" i="18"/>
  <c r="AT85" i="18"/>
  <c r="DR86" i="18"/>
  <c r="DP87" i="18"/>
  <c r="DQ86" i="18"/>
  <c r="EV86" i="18"/>
  <c r="ET87" i="18"/>
  <c r="EU86" i="18"/>
  <c r="EQ86" i="18"/>
  <c r="EO87" i="18"/>
  <c r="EP86" i="18"/>
  <c r="DW85" i="18"/>
  <c r="DU86" i="18"/>
  <c r="DV85" i="18"/>
  <c r="EG86" i="18"/>
  <c r="EE87" i="18"/>
  <c r="EF86" i="18"/>
  <c r="AF86" i="18"/>
  <c r="AD87" i="18"/>
  <c r="AE86" i="18"/>
  <c r="AN87" i="18"/>
  <c r="AO86" i="18"/>
  <c r="AP86" i="18"/>
  <c r="DK87" i="18"/>
  <c r="DL86" i="18"/>
  <c r="DM86" i="18"/>
  <c r="CD86" i="18"/>
  <c r="CB87" i="18"/>
  <c r="CC86" i="18"/>
  <c r="EK87" i="18"/>
  <c r="EJ88" i="18"/>
  <c r="EL87" i="18"/>
  <c r="AA86" i="18"/>
  <c r="Z86" i="18"/>
  <c r="Y87" i="18"/>
  <c r="BT86" i="18"/>
  <c r="BR87" i="18"/>
  <c r="BS86" i="18"/>
  <c r="AI87" i="18"/>
  <c r="AK86" i="18"/>
  <c r="AJ86" i="18"/>
  <c r="DH86" i="18"/>
  <c r="DF87" i="18"/>
  <c r="DG86" i="18"/>
  <c r="T88" i="18"/>
  <c r="U87" i="18"/>
  <c r="V87" i="18"/>
  <c r="DC86" i="18"/>
  <c r="DA87" i="18"/>
  <c r="DB86" i="18"/>
  <c r="CI85" i="18"/>
  <c r="CG86" i="18"/>
  <c r="CH85" i="18"/>
  <c r="BW87" i="18"/>
  <c r="BX86" i="18"/>
  <c r="BY86" i="18"/>
  <c r="E106" i="13"/>
  <c r="D106" i="13" s="1"/>
  <c r="F107" i="13" s="1"/>
  <c r="AI88" i="18" l="1"/>
  <c r="AK87" i="18"/>
  <c r="AJ87" i="18"/>
  <c r="EL88" i="18"/>
  <c r="EK88" i="18"/>
  <c r="EJ89" i="18"/>
  <c r="EV87" i="18"/>
  <c r="EU87" i="18"/>
  <c r="ET88" i="18"/>
  <c r="AX87" i="18"/>
  <c r="AY86" i="18"/>
  <c r="AZ86" i="18"/>
  <c r="BE87" i="18"/>
  <c r="BD87" i="18"/>
  <c r="BC88" i="18"/>
  <c r="BW88" i="18"/>
  <c r="BX87" i="18"/>
  <c r="BY87" i="18"/>
  <c r="V88" i="18"/>
  <c r="T89" i="18"/>
  <c r="U88" i="18"/>
  <c r="AP87" i="18"/>
  <c r="AO87" i="18"/>
  <c r="AN88" i="18"/>
  <c r="EB86" i="18"/>
  <c r="EA86" i="18"/>
  <c r="DZ87" i="18"/>
  <c r="CI86" i="18"/>
  <c r="CG87" i="18"/>
  <c r="CH86" i="18"/>
  <c r="CB88" i="18"/>
  <c r="CD87" i="18"/>
  <c r="CC87" i="18"/>
  <c r="DR87" i="18"/>
  <c r="DP88" i="18"/>
  <c r="DQ87" i="18"/>
  <c r="CX88" i="18"/>
  <c r="CW88" i="18"/>
  <c r="CV89" i="18"/>
  <c r="CL87" i="18"/>
  <c r="CM86" i="18"/>
  <c r="CN86" i="18"/>
  <c r="BJ88" i="18"/>
  <c r="BI88" i="18"/>
  <c r="BH89" i="18"/>
  <c r="DW86" i="18"/>
  <c r="DU87" i="18"/>
  <c r="DV86" i="18"/>
  <c r="DF88" i="18"/>
  <c r="DH87" i="18"/>
  <c r="DG87" i="18"/>
  <c r="AA87" i="18"/>
  <c r="Z87" i="18"/>
  <c r="Y88" i="18"/>
  <c r="AF87" i="18"/>
  <c r="AE87" i="18"/>
  <c r="AD88" i="18"/>
  <c r="BM88" i="18"/>
  <c r="BO87" i="18"/>
  <c r="BN87" i="18"/>
  <c r="EQ87" i="18"/>
  <c r="EP87" i="18"/>
  <c r="EO88" i="18"/>
  <c r="BT87" i="18"/>
  <c r="BS87" i="18"/>
  <c r="BR88" i="18"/>
  <c r="AU86" i="18"/>
  <c r="AS87" i="18"/>
  <c r="AT86" i="18"/>
  <c r="CQ88" i="18"/>
  <c r="CS87" i="18"/>
  <c r="CR87" i="18"/>
  <c r="DA88" i="18"/>
  <c r="DC87" i="18"/>
  <c r="DB87" i="18"/>
  <c r="DL87" i="18"/>
  <c r="DK88" i="18"/>
  <c r="DM87" i="18"/>
  <c r="EG87" i="18"/>
  <c r="EF87" i="18"/>
  <c r="EE88" i="18"/>
  <c r="E107" i="13"/>
  <c r="D107" i="13" s="1"/>
  <c r="F108" i="13" s="1"/>
  <c r="EO89" i="18" l="1"/>
  <c r="EQ88" i="18"/>
  <c r="EP88" i="18"/>
  <c r="CL88" i="18"/>
  <c r="CN87" i="18"/>
  <c r="CM87" i="18"/>
  <c r="AP88" i="18"/>
  <c r="AO88" i="18"/>
  <c r="AN89" i="18"/>
  <c r="BW89" i="18"/>
  <c r="BX88" i="18"/>
  <c r="BY88" i="18"/>
  <c r="EJ90" i="18"/>
  <c r="EK89" i="18"/>
  <c r="EL89" i="18"/>
  <c r="BH90" i="18"/>
  <c r="BI89" i="18"/>
  <c r="BJ89" i="18"/>
  <c r="CI87" i="18"/>
  <c r="CH87" i="18"/>
  <c r="CG88" i="18"/>
  <c r="DW87" i="18"/>
  <c r="DU88" i="18"/>
  <c r="DV87" i="18"/>
  <c r="CR88" i="18"/>
  <c r="CQ89" i="18"/>
  <c r="CS88" i="18"/>
  <c r="DK89" i="18"/>
  <c r="DL88" i="18"/>
  <c r="DM88" i="18"/>
  <c r="AU87" i="18"/>
  <c r="AT87" i="18"/>
  <c r="AS88" i="18"/>
  <c r="T90" i="18"/>
  <c r="U89" i="18"/>
  <c r="V89" i="18"/>
  <c r="BE88" i="18"/>
  <c r="BD88" i="18"/>
  <c r="BC89" i="18"/>
  <c r="DR88" i="18"/>
  <c r="DQ88" i="18"/>
  <c r="DP89" i="18"/>
  <c r="DZ88" i="18"/>
  <c r="EB87" i="18"/>
  <c r="EA87" i="18"/>
  <c r="BT88" i="18"/>
  <c r="BS88" i="18"/>
  <c r="BR89" i="18"/>
  <c r="BN88" i="18"/>
  <c r="BM89" i="18"/>
  <c r="BO88" i="18"/>
  <c r="AX88" i="18"/>
  <c r="AZ87" i="18"/>
  <c r="AY87" i="18"/>
  <c r="CV90" i="18"/>
  <c r="CW89" i="18"/>
  <c r="CX89" i="18"/>
  <c r="CC88" i="18"/>
  <c r="CB89" i="18"/>
  <c r="CD88" i="18"/>
  <c r="AA88" i="18"/>
  <c r="Z88" i="18"/>
  <c r="Y89" i="18"/>
  <c r="EG88" i="18"/>
  <c r="EF88" i="18"/>
  <c r="EE89" i="18"/>
  <c r="DC88" i="18"/>
  <c r="DB88" i="18"/>
  <c r="DA89" i="18"/>
  <c r="AF88" i="18"/>
  <c r="AE88" i="18"/>
  <c r="AD89" i="18"/>
  <c r="DG88" i="18"/>
  <c r="DF89" i="18"/>
  <c r="DH88" i="18"/>
  <c r="EV88" i="18"/>
  <c r="EU88" i="18"/>
  <c r="ET89" i="18"/>
  <c r="AI89" i="18"/>
  <c r="AJ88" i="18"/>
  <c r="AK88" i="18"/>
  <c r="E108" i="13"/>
  <c r="D108" i="13" s="1"/>
  <c r="F109" i="13" s="1"/>
  <c r="AF89" i="18" l="1"/>
  <c r="AE89" i="18"/>
  <c r="AD90" i="18"/>
  <c r="BR90" i="18"/>
  <c r="BT89" i="18"/>
  <c r="BS89" i="18"/>
  <c r="BJ90" i="18"/>
  <c r="BI90" i="18"/>
  <c r="BH91" i="18"/>
  <c r="BC90" i="18"/>
  <c r="BE89" i="18"/>
  <c r="BD89" i="18"/>
  <c r="EV89" i="18"/>
  <c r="EU89" i="18"/>
  <c r="ET90" i="18"/>
  <c r="DC89" i="18"/>
  <c r="DB89" i="18"/>
  <c r="DA90" i="18"/>
  <c r="CI88" i="18"/>
  <c r="CH88" i="18"/>
  <c r="CG89" i="18"/>
  <c r="EJ91" i="18"/>
  <c r="EL90" i="18"/>
  <c r="EK90" i="18"/>
  <c r="Y90" i="18"/>
  <c r="AA89" i="18"/>
  <c r="Z89" i="18"/>
  <c r="CW90" i="18"/>
  <c r="CV91" i="18"/>
  <c r="CX90" i="18"/>
  <c r="DV88" i="18"/>
  <c r="DU89" i="18"/>
  <c r="DW88" i="18"/>
  <c r="AY88" i="18"/>
  <c r="AX89" i="18"/>
  <c r="AZ88" i="18"/>
  <c r="DK90" i="18"/>
  <c r="DM89" i="18"/>
  <c r="DL89" i="18"/>
  <c r="CN88" i="18"/>
  <c r="CM88" i="18"/>
  <c r="CL89" i="18"/>
  <c r="DZ89" i="18"/>
  <c r="EB88" i="18"/>
  <c r="EA88" i="18"/>
  <c r="AK89" i="18"/>
  <c r="AJ89" i="18"/>
  <c r="AI90" i="18"/>
  <c r="CD89" i="18"/>
  <c r="CC89" i="18"/>
  <c r="CB90" i="18"/>
  <c r="DH89" i="18"/>
  <c r="DG89" i="18"/>
  <c r="DF90" i="18"/>
  <c r="EG89" i="18"/>
  <c r="EF89" i="18"/>
  <c r="EE90" i="18"/>
  <c r="BO89" i="18"/>
  <c r="BN89" i="18"/>
  <c r="BM90" i="18"/>
  <c r="DR89" i="18"/>
  <c r="DQ89" i="18"/>
  <c r="DP90" i="18"/>
  <c r="V90" i="18"/>
  <c r="U90" i="18"/>
  <c r="T91" i="18"/>
  <c r="CS89" i="18"/>
  <c r="CR89" i="18"/>
  <c r="CQ90" i="18"/>
  <c r="BY89" i="18"/>
  <c r="BX89" i="18"/>
  <c r="BW90" i="18"/>
  <c r="AU88" i="18"/>
  <c r="AT88" i="18"/>
  <c r="AS89" i="18"/>
  <c r="AN90" i="18"/>
  <c r="AP89" i="18"/>
  <c r="AO89" i="18"/>
  <c r="EO90" i="18"/>
  <c r="EP89" i="18"/>
  <c r="EQ89" i="18"/>
  <c r="E109" i="13"/>
  <c r="D109" i="13" s="1"/>
  <c r="F110" i="13" s="1"/>
  <c r="AK90" i="18" l="1"/>
  <c r="AJ90" i="18"/>
  <c r="AI91" i="18"/>
  <c r="DW89" i="18"/>
  <c r="DV89" i="18"/>
  <c r="DU90" i="18"/>
  <c r="EV90" i="18"/>
  <c r="ET91" i="18"/>
  <c r="EU90" i="18"/>
  <c r="DH90" i="18"/>
  <c r="DG90" i="18"/>
  <c r="DF91" i="18"/>
  <c r="EJ92" i="18"/>
  <c r="EK91" i="18"/>
  <c r="EL91" i="18"/>
  <c r="EP90" i="18"/>
  <c r="EO91" i="18"/>
  <c r="EQ90" i="18"/>
  <c r="CS90" i="18"/>
  <c r="CR90" i="18"/>
  <c r="CQ91" i="18"/>
  <c r="DK91" i="18"/>
  <c r="DL90" i="18"/>
  <c r="DM90" i="18"/>
  <c r="CV92" i="18"/>
  <c r="CW91" i="18"/>
  <c r="CX91" i="18"/>
  <c r="CI89" i="18"/>
  <c r="CG90" i="18"/>
  <c r="CH89" i="18"/>
  <c r="DP91" i="18"/>
  <c r="DR90" i="18"/>
  <c r="DQ90" i="18"/>
  <c r="AN91" i="18"/>
  <c r="AP90" i="18"/>
  <c r="AO90" i="18"/>
  <c r="BO90" i="18"/>
  <c r="BN90" i="18"/>
  <c r="BM91" i="18"/>
  <c r="BT90" i="18"/>
  <c r="BR91" i="18"/>
  <c r="BS90" i="18"/>
  <c r="AU89" i="18"/>
  <c r="AT89" i="18"/>
  <c r="AS90" i="18"/>
  <c r="CD90" i="18"/>
  <c r="CC90" i="18"/>
  <c r="CB91" i="18"/>
  <c r="DZ90" i="18"/>
  <c r="EB89" i="18"/>
  <c r="EA89" i="18"/>
  <c r="AZ89" i="18"/>
  <c r="AY89" i="18"/>
  <c r="AX90" i="18"/>
  <c r="AF90" i="18"/>
  <c r="AE90" i="18"/>
  <c r="AD91" i="18"/>
  <c r="T92" i="18"/>
  <c r="V91" i="18"/>
  <c r="U91" i="18"/>
  <c r="CN89" i="18"/>
  <c r="CM89" i="18"/>
  <c r="CL90" i="18"/>
  <c r="DA91" i="18"/>
  <c r="DC90" i="18"/>
  <c r="DB90" i="18"/>
  <c r="BC91" i="18"/>
  <c r="BE90" i="18"/>
  <c r="BD90" i="18"/>
  <c r="BY90" i="18"/>
  <c r="BX90" i="18"/>
  <c r="BW91" i="18"/>
  <c r="EE91" i="18"/>
  <c r="EG90" i="18"/>
  <c r="EF90" i="18"/>
  <c r="Y91" i="18"/>
  <c r="Z90" i="18"/>
  <c r="AA90" i="18"/>
  <c r="BH92" i="18"/>
  <c r="BJ91" i="18"/>
  <c r="BI91" i="18"/>
  <c r="E110" i="13"/>
  <c r="D110" i="13" s="1"/>
  <c r="F111" i="13" s="1"/>
  <c r="CD91" i="18" l="1"/>
  <c r="CC91" i="18"/>
  <c r="CB92" i="18"/>
  <c r="ET92" i="18"/>
  <c r="EU91" i="18"/>
  <c r="EV91" i="18"/>
  <c r="BO91" i="18"/>
  <c r="BN91" i="18"/>
  <c r="BM92" i="18"/>
  <c r="DR91" i="18"/>
  <c r="DQ91" i="18"/>
  <c r="DP92" i="18"/>
  <c r="DB91" i="18"/>
  <c r="DA92" i="18"/>
  <c r="DC91" i="18"/>
  <c r="BH93" i="18"/>
  <c r="BI92" i="18"/>
  <c r="BJ92" i="18"/>
  <c r="AZ90" i="18"/>
  <c r="AY90" i="18"/>
  <c r="AX91" i="18"/>
  <c r="DK92" i="18"/>
  <c r="DM91" i="18"/>
  <c r="DL91" i="18"/>
  <c r="DU91" i="18"/>
  <c r="DV90" i="18"/>
  <c r="DW90" i="18"/>
  <c r="BW92" i="18"/>
  <c r="BY91" i="18"/>
  <c r="BX91" i="18"/>
  <c r="CL91" i="18"/>
  <c r="CN90" i="18"/>
  <c r="CM90" i="18"/>
  <c r="AS91" i="18"/>
  <c r="AT90" i="18"/>
  <c r="AU90" i="18"/>
  <c r="CG91" i="18"/>
  <c r="CH90" i="18"/>
  <c r="CI90" i="18"/>
  <c r="CS91" i="18"/>
  <c r="CQ92" i="18"/>
  <c r="CR91" i="18"/>
  <c r="EJ93" i="18"/>
  <c r="EL92" i="18"/>
  <c r="EK92" i="18"/>
  <c r="DF92" i="18"/>
  <c r="DG91" i="18"/>
  <c r="DH91" i="18"/>
  <c r="BE91" i="18"/>
  <c r="BD91" i="18"/>
  <c r="BC92" i="18"/>
  <c r="AK91" i="18"/>
  <c r="AJ91" i="18"/>
  <c r="AI92" i="18"/>
  <c r="V92" i="18"/>
  <c r="U92" i="18"/>
  <c r="T93" i="18"/>
  <c r="AO91" i="18"/>
  <c r="AN92" i="18"/>
  <c r="AP91" i="18"/>
  <c r="Y92" i="18"/>
  <c r="Z91" i="18"/>
  <c r="AA91" i="18"/>
  <c r="EG91" i="18"/>
  <c r="EF91" i="18"/>
  <c r="EE92" i="18"/>
  <c r="AD92" i="18"/>
  <c r="AE91" i="18"/>
  <c r="AF91" i="18"/>
  <c r="EA90" i="18"/>
  <c r="EB90" i="18"/>
  <c r="DZ91" i="18"/>
  <c r="BR92" i="18"/>
  <c r="BS91" i="18"/>
  <c r="BT91" i="18"/>
  <c r="CV93" i="18"/>
  <c r="CX92" i="18"/>
  <c r="CW92" i="18"/>
  <c r="EO92" i="18"/>
  <c r="EQ91" i="18"/>
  <c r="EP91" i="18"/>
  <c r="E111" i="13"/>
  <c r="D111" i="13" s="1"/>
  <c r="F112" i="13" s="1"/>
  <c r="BJ93" i="18" l="1"/>
  <c r="BH94" i="18"/>
  <c r="BI93" i="18"/>
  <c r="CL92" i="18"/>
  <c r="CN91" i="18"/>
  <c r="CM91" i="18"/>
  <c r="AK92" i="18"/>
  <c r="AJ92" i="18"/>
  <c r="AI93" i="18"/>
  <c r="DF93" i="18"/>
  <c r="DH92" i="18"/>
  <c r="DG92" i="18"/>
  <c r="DK93" i="18"/>
  <c r="DM92" i="18"/>
  <c r="DL92" i="18"/>
  <c r="DC92" i="18"/>
  <c r="DB92" i="18"/>
  <c r="DA93" i="18"/>
  <c r="Y93" i="18"/>
  <c r="AA92" i="18"/>
  <c r="Z92" i="18"/>
  <c r="CI91" i="18"/>
  <c r="CH91" i="18"/>
  <c r="CG92" i="18"/>
  <c r="AZ91" i="18"/>
  <c r="AY91" i="18"/>
  <c r="AX92" i="18"/>
  <c r="BW93" i="18"/>
  <c r="BY92" i="18"/>
  <c r="BX92" i="18"/>
  <c r="DR92" i="18"/>
  <c r="DP93" i="18"/>
  <c r="DQ92" i="18"/>
  <c r="ET93" i="18"/>
  <c r="EV92" i="18"/>
  <c r="EU92" i="18"/>
  <c r="DZ92" i="18"/>
  <c r="EB91" i="18"/>
  <c r="EA91" i="18"/>
  <c r="EQ92" i="18"/>
  <c r="EP92" i="18"/>
  <c r="EO93" i="18"/>
  <c r="CW93" i="18"/>
  <c r="CV94" i="18"/>
  <c r="CX93" i="18"/>
  <c r="AF92" i="18"/>
  <c r="AD93" i="18"/>
  <c r="AE92" i="18"/>
  <c r="AP92" i="18"/>
  <c r="AO92" i="18"/>
  <c r="AN93" i="18"/>
  <c r="BD92" i="18"/>
  <c r="BE92" i="18"/>
  <c r="BC93" i="18"/>
  <c r="EK93" i="18"/>
  <c r="EL93" i="18"/>
  <c r="EJ94" i="18"/>
  <c r="CB93" i="18"/>
  <c r="CD92" i="18"/>
  <c r="CC92" i="18"/>
  <c r="EF92" i="18"/>
  <c r="EE93" i="18"/>
  <c r="EG92" i="18"/>
  <c r="AU91" i="18"/>
  <c r="AT91" i="18"/>
  <c r="AS92" i="18"/>
  <c r="BT92" i="18"/>
  <c r="BR93" i="18"/>
  <c r="BS92" i="18"/>
  <c r="T94" i="18"/>
  <c r="V93" i="18"/>
  <c r="U93" i="18"/>
  <c r="CR92" i="18"/>
  <c r="CQ93" i="18"/>
  <c r="CS92" i="18"/>
  <c r="DW91" i="18"/>
  <c r="DU92" i="18"/>
  <c r="DV91" i="18"/>
  <c r="BM93" i="18"/>
  <c r="BO92" i="18"/>
  <c r="BN92" i="18"/>
  <c r="E112" i="13"/>
  <c r="D112" i="13" s="1"/>
  <c r="F113" i="13" s="1"/>
  <c r="DR93" i="18" l="1"/>
  <c r="DQ93" i="18"/>
  <c r="DP94" i="18"/>
  <c r="CG93" i="18"/>
  <c r="CH92" i="18"/>
  <c r="CI92" i="18"/>
  <c r="AD94" i="18"/>
  <c r="AE93" i="18"/>
  <c r="AF93" i="18"/>
  <c r="BE93" i="18"/>
  <c r="BC94" i="18"/>
  <c r="BD93" i="18"/>
  <c r="BO93" i="18"/>
  <c r="BM94" i="18"/>
  <c r="BN93" i="18"/>
  <c r="DU93" i="18"/>
  <c r="DV92" i="18"/>
  <c r="DW92" i="18"/>
  <c r="EA92" i="18"/>
  <c r="DZ93" i="18"/>
  <c r="EB92" i="18"/>
  <c r="DM93" i="18"/>
  <c r="DL93" i="18"/>
  <c r="DK94" i="18"/>
  <c r="EG93" i="18"/>
  <c r="EE94" i="18"/>
  <c r="EF93" i="18"/>
  <c r="BT93" i="18"/>
  <c r="BR94" i="18"/>
  <c r="BS93" i="18"/>
  <c r="CV95" i="18"/>
  <c r="CX94" i="18"/>
  <c r="CW94" i="18"/>
  <c r="BX93" i="18"/>
  <c r="BW94" i="18"/>
  <c r="BY93" i="18"/>
  <c r="CN92" i="18"/>
  <c r="CM92" i="18"/>
  <c r="CL93" i="18"/>
  <c r="AN94" i="18"/>
  <c r="AO93" i="18"/>
  <c r="AP93" i="18"/>
  <c r="AX93" i="18"/>
  <c r="AZ92" i="18"/>
  <c r="AY92" i="18"/>
  <c r="Y94" i="18"/>
  <c r="AA93" i="18"/>
  <c r="Z93" i="18"/>
  <c r="CS93" i="18"/>
  <c r="CQ94" i="18"/>
  <c r="CR93" i="18"/>
  <c r="AS93" i="18"/>
  <c r="AT92" i="18"/>
  <c r="AU92" i="18"/>
  <c r="CD93" i="18"/>
  <c r="CB94" i="18"/>
  <c r="CC93" i="18"/>
  <c r="EQ93" i="18"/>
  <c r="EP93" i="18"/>
  <c r="EO94" i="18"/>
  <c r="EV93" i="18"/>
  <c r="ET94" i="18"/>
  <c r="EU93" i="18"/>
  <c r="DA94" i="18"/>
  <c r="DC93" i="18"/>
  <c r="DB93" i="18"/>
  <c r="DH93" i="18"/>
  <c r="DF94" i="18"/>
  <c r="DG93" i="18"/>
  <c r="BH95" i="18"/>
  <c r="BJ94" i="18"/>
  <c r="BI94" i="18"/>
  <c r="T95" i="18"/>
  <c r="U94" i="18"/>
  <c r="V94" i="18"/>
  <c r="EJ95" i="18"/>
  <c r="EL94" i="18"/>
  <c r="EK94" i="18"/>
  <c r="AI94" i="18"/>
  <c r="AK93" i="18"/>
  <c r="AJ93" i="18"/>
  <c r="E113" i="13"/>
  <c r="D113" i="13" s="1"/>
  <c r="F114" i="13" s="1"/>
  <c r="DC94" i="18" l="1"/>
  <c r="DA95" i="18"/>
  <c r="DB94" i="18"/>
  <c r="CD94" i="18"/>
  <c r="CB95" i="18"/>
  <c r="CC94" i="18"/>
  <c r="AP94" i="18"/>
  <c r="AN95" i="18"/>
  <c r="AO94" i="18"/>
  <c r="DK95" i="18"/>
  <c r="DM94" i="18"/>
  <c r="DL94" i="18"/>
  <c r="DU94" i="18"/>
  <c r="DV93" i="18"/>
  <c r="DW93" i="18"/>
  <c r="CL94" i="18"/>
  <c r="CN93" i="18"/>
  <c r="CM93" i="18"/>
  <c r="CV96" i="18"/>
  <c r="CW95" i="18"/>
  <c r="CX95" i="18"/>
  <c r="AD95" i="18"/>
  <c r="AE94" i="18"/>
  <c r="AF94" i="18"/>
  <c r="AI95" i="18"/>
  <c r="AK94" i="18"/>
  <c r="AJ94" i="18"/>
  <c r="BI95" i="18"/>
  <c r="BH96" i="18"/>
  <c r="BJ95" i="18"/>
  <c r="ET95" i="18"/>
  <c r="EU94" i="18"/>
  <c r="EV94" i="18"/>
  <c r="AA94" i="18"/>
  <c r="Y95" i="18"/>
  <c r="Z94" i="18"/>
  <c r="BO94" i="18"/>
  <c r="BM95" i="18"/>
  <c r="BN94" i="18"/>
  <c r="BR95" i="18"/>
  <c r="BS94" i="18"/>
  <c r="BT94" i="18"/>
  <c r="EJ96" i="18"/>
  <c r="EL95" i="18"/>
  <c r="EK95" i="18"/>
  <c r="DF95" i="18"/>
  <c r="DG94" i="18"/>
  <c r="DH94" i="18"/>
  <c r="EO95" i="18"/>
  <c r="EQ94" i="18"/>
  <c r="EP94" i="18"/>
  <c r="AS94" i="18"/>
  <c r="AT93" i="18"/>
  <c r="AU93" i="18"/>
  <c r="EB93" i="18"/>
  <c r="DZ94" i="18"/>
  <c r="EA93" i="18"/>
  <c r="CG94" i="18"/>
  <c r="CH93" i="18"/>
  <c r="CI93" i="18"/>
  <c r="AX94" i="18"/>
  <c r="AY93" i="18"/>
  <c r="AZ93" i="18"/>
  <c r="BX94" i="18"/>
  <c r="BW95" i="18"/>
  <c r="BY94" i="18"/>
  <c r="BE94" i="18"/>
  <c r="BC95" i="18"/>
  <c r="BD94" i="18"/>
  <c r="DR94" i="18"/>
  <c r="DQ94" i="18"/>
  <c r="DP95" i="18"/>
  <c r="CS94" i="18"/>
  <c r="CQ95" i="18"/>
  <c r="CR94" i="18"/>
  <c r="EG94" i="18"/>
  <c r="EF94" i="18"/>
  <c r="EE95" i="18"/>
  <c r="T96" i="18"/>
  <c r="V95" i="18"/>
  <c r="U95" i="18"/>
  <c r="E114" i="13"/>
  <c r="D114" i="13" s="1"/>
  <c r="F115" i="13" s="1"/>
  <c r="DR95" i="18" l="1"/>
  <c r="DP96" i="18"/>
  <c r="DQ95" i="18"/>
  <c r="DZ95" i="18"/>
  <c r="EA94" i="18"/>
  <c r="EB94" i="18"/>
  <c r="BT95" i="18"/>
  <c r="BR96" i="18"/>
  <c r="BS95" i="18"/>
  <c r="CN94" i="18"/>
  <c r="CM94" i="18"/>
  <c r="CL95" i="18"/>
  <c r="AP95" i="18"/>
  <c r="AO95" i="18"/>
  <c r="AN96" i="18"/>
  <c r="T97" i="18"/>
  <c r="V96" i="18"/>
  <c r="U96" i="18"/>
  <c r="EV95" i="18"/>
  <c r="ET96" i="18"/>
  <c r="EU95" i="18"/>
  <c r="DH95" i="18"/>
  <c r="DG95" i="18"/>
  <c r="DF96" i="18"/>
  <c r="BM96" i="18"/>
  <c r="BO95" i="18"/>
  <c r="BN95" i="18"/>
  <c r="AD96" i="18"/>
  <c r="AF95" i="18"/>
  <c r="AE95" i="18"/>
  <c r="EE96" i="18"/>
  <c r="EF95" i="18"/>
  <c r="EG95" i="18"/>
  <c r="AX95" i="18"/>
  <c r="AY94" i="18"/>
  <c r="AZ94" i="18"/>
  <c r="BJ96" i="18"/>
  <c r="BI96" i="18"/>
  <c r="BH97" i="18"/>
  <c r="DU95" i="18"/>
  <c r="DW94" i="18"/>
  <c r="DV94" i="18"/>
  <c r="CD95" i="18"/>
  <c r="CC95" i="18"/>
  <c r="CB96" i="18"/>
  <c r="BC96" i="18"/>
  <c r="BD95" i="18"/>
  <c r="BE95" i="18"/>
  <c r="AU94" i="18"/>
  <c r="AT94" i="18"/>
  <c r="AS95" i="18"/>
  <c r="EJ97" i="18"/>
  <c r="EL96" i="18"/>
  <c r="EK96" i="18"/>
  <c r="AA95" i="18"/>
  <c r="Z95" i="18"/>
  <c r="Y96" i="18"/>
  <c r="CX96" i="18"/>
  <c r="CW96" i="18"/>
  <c r="CV97" i="18"/>
  <c r="CH94" i="18"/>
  <c r="CG95" i="18"/>
  <c r="CI94" i="18"/>
  <c r="DK96" i="18"/>
  <c r="DM95" i="18"/>
  <c r="DL95" i="18"/>
  <c r="DC95" i="18"/>
  <c r="DB95" i="18"/>
  <c r="DA96" i="18"/>
  <c r="CQ96" i="18"/>
  <c r="CR95" i="18"/>
  <c r="CS95" i="18"/>
  <c r="BY95" i="18"/>
  <c r="BW96" i="18"/>
  <c r="BX95" i="18"/>
  <c r="EQ95" i="18"/>
  <c r="EP95" i="18"/>
  <c r="EO96" i="18"/>
  <c r="AK95" i="18"/>
  <c r="AJ95" i="18"/>
  <c r="AI96" i="18"/>
  <c r="E115" i="13"/>
  <c r="D115" i="13" s="1"/>
  <c r="F116" i="13" s="1"/>
  <c r="DM96" i="18" l="1"/>
  <c r="DL96" i="18"/>
  <c r="DK97" i="18"/>
  <c r="DU96" i="18"/>
  <c r="DV95" i="18"/>
  <c r="DW95" i="18"/>
  <c r="DF97" i="18"/>
  <c r="DG96" i="18"/>
  <c r="DH96" i="18"/>
  <c r="U97" i="18"/>
  <c r="T98" i="18"/>
  <c r="V97" i="18"/>
  <c r="BR97" i="18"/>
  <c r="BS96" i="18"/>
  <c r="BT96" i="18"/>
  <c r="BI97" i="18"/>
  <c r="BJ97" i="18"/>
  <c r="BH98" i="18"/>
  <c r="EG96" i="18"/>
  <c r="EF96" i="18"/>
  <c r="EE97" i="18"/>
  <c r="AN97" i="18"/>
  <c r="AO96" i="18"/>
  <c r="AP96" i="18"/>
  <c r="BE96" i="18"/>
  <c r="BC97" i="18"/>
  <c r="BD96" i="18"/>
  <c r="DC96" i="18"/>
  <c r="DA97" i="18"/>
  <c r="DB96" i="18"/>
  <c r="CB97" i="18"/>
  <c r="CC96" i="18"/>
  <c r="CD96" i="18"/>
  <c r="CG96" i="18"/>
  <c r="CH95" i="18"/>
  <c r="CI95" i="18"/>
  <c r="CX97" i="18"/>
  <c r="CW97" i="18"/>
  <c r="CV98" i="18"/>
  <c r="EL97" i="18"/>
  <c r="EK97" i="18"/>
  <c r="EJ98" i="18"/>
  <c r="AD97" i="18"/>
  <c r="AE96" i="18"/>
  <c r="AF96" i="18"/>
  <c r="ET97" i="18"/>
  <c r="EU96" i="18"/>
  <c r="EV96" i="18"/>
  <c r="CN95" i="18"/>
  <c r="CM95" i="18"/>
  <c r="CL96" i="18"/>
  <c r="EA95" i="18"/>
  <c r="EB95" i="18"/>
  <c r="DZ96" i="18"/>
  <c r="AS96" i="18"/>
  <c r="AT95" i="18"/>
  <c r="AU95" i="18"/>
  <c r="EQ96" i="18"/>
  <c r="EO97" i="18"/>
  <c r="EP96" i="18"/>
  <c r="BW97" i="18"/>
  <c r="BY96" i="18"/>
  <c r="BX96" i="18"/>
  <c r="AX96" i="18"/>
  <c r="AZ95" i="18"/>
  <c r="AY95" i="18"/>
  <c r="DP97" i="18"/>
  <c r="DQ96" i="18"/>
  <c r="DR96" i="18"/>
  <c r="CS96" i="18"/>
  <c r="CR96" i="18"/>
  <c r="CQ97" i="18"/>
  <c r="AI97" i="18"/>
  <c r="AJ96" i="18"/>
  <c r="AK96" i="18"/>
  <c r="AA96" i="18"/>
  <c r="Z96" i="18"/>
  <c r="Y97" i="18"/>
  <c r="BO96" i="18"/>
  <c r="BN96" i="18"/>
  <c r="BM97" i="18"/>
  <c r="E116" i="13"/>
  <c r="D116" i="13" s="1"/>
  <c r="F117" i="13" s="1"/>
  <c r="CR97" i="18" l="1"/>
  <c r="CQ98" i="18"/>
  <c r="CS97" i="18"/>
  <c r="AX97" i="18"/>
  <c r="AZ96" i="18"/>
  <c r="AY96" i="18"/>
  <c r="EB96" i="18"/>
  <c r="EA96" i="18"/>
  <c r="DZ97" i="18"/>
  <c r="ET98" i="18"/>
  <c r="EU97" i="18"/>
  <c r="EV97" i="18"/>
  <c r="AP97" i="18"/>
  <c r="AN98" i="18"/>
  <c r="AO97" i="18"/>
  <c r="CX98" i="18"/>
  <c r="CV99" i="18"/>
  <c r="CW98" i="18"/>
  <c r="BW98" i="18"/>
  <c r="BY97" i="18"/>
  <c r="BX97" i="18"/>
  <c r="DA98" i="18"/>
  <c r="DB97" i="18"/>
  <c r="DC97" i="18"/>
  <c r="EF97" i="18"/>
  <c r="EE98" i="18"/>
  <c r="EG97" i="18"/>
  <c r="BR98" i="18"/>
  <c r="BT97" i="18"/>
  <c r="BS97" i="18"/>
  <c r="AU96" i="18"/>
  <c r="AT96" i="18"/>
  <c r="AS97" i="18"/>
  <c r="DF98" i="18"/>
  <c r="DG97" i="18"/>
  <c r="DH97" i="18"/>
  <c r="DU97" i="18"/>
  <c r="DV96" i="18"/>
  <c r="DW96" i="18"/>
  <c r="Z97" i="18"/>
  <c r="Y98" i="18"/>
  <c r="AA97" i="18"/>
  <c r="DR97" i="18"/>
  <c r="DP98" i="18"/>
  <c r="DQ97" i="18"/>
  <c r="EP97" i="18"/>
  <c r="EO98" i="18"/>
  <c r="EQ97" i="18"/>
  <c r="CL97" i="18"/>
  <c r="CM96" i="18"/>
  <c r="CN96" i="18"/>
  <c r="AD98" i="18"/>
  <c r="AF97" i="18"/>
  <c r="AE97" i="18"/>
  <c r="V98" i="18"/>
  <c r="T99" i="18"/>
  <c r="U98" i="18"/>
  <c r="DK98" i="18"/>
  <c r="DM97" i="18"/>
  <c r="DL97" i="18"/>
  <c r="CD97" i="18"/>
  <c r="CB98" i="18"/>
  <c r="CC97" i="18"/>
  <c r="EJ99" i="18"/>
  <c r="EL98" i="18"/>
  <c r="EK98" i="18"/>
  <c r="CH96" i="18"/>
  <c r="CG97" i="18"/>
  <c r="CI96" i="18"/>
  <c r="BD97" i="18"/>
  <c r="BE97" i="18"/>
  <c r="BC98" i="18"/>
  <c r="BI98" i="18"/>
  <c r="BH99" i="18"/>
  <c r="BJ98" i="18"/>
  <c r="BN97" i="18"/>
  <c r="BM98" i="18"/>
  <c r="BO97" i="18"/>
  <c r="AK97" i="18"/>
  <c r="AJ97" i="18"/>
  <c r="AI98" i="18"/>
  <c r="E117" i="13"/>
  <c r="D117" i="13" s="1"/>
  <c r="F118" i="13" s="1"/>
  <c r="BC99" i="18" l="1"/>
  <c r="BD98" i="18"/>
  <c r="BE98" i="18"/>
  <c r="EJ100" i="18"/>
  <c r="EK99" i="18"/>
  <c r="EL99" i="18"/>
  <c r="T100" i="18"/>
  <c r="U99" i="18"/>
  <c r="V99" i="18"/>
  <c r="CD98" i="18"/>
  <c r="CB99" i="18"/>
  <c r="CC98" i="18"/>
  <c r="DB98" i="18"/>
  <c r="DA99" i="18"/>
  <c r="DC98" i="18"/>
  <c r="AP98" i="18"/>
  <c r="AO98" i="18"/>
  <c r="AN99" i="18"/>
  <c r="DU98" i="18"/>
  <c r="DW97" i="18"/>
  <c r="DV97" i="18"/>
  <c r="EQ98" i="18"/>
  <c r="EP98" i="18"/>
  <c r="EO99" i="18"/>
  <c r="BO98" i="18"/>
  <c r="BN98" i="18"/>
  <c r="BM99" i="18"/>
  <c r="CI97" i="18"/>
  <c r="CH97" i="18"/>
  <c r="CG98" i="18"/>
  <c r="AE98" i="18"/>
  <c r="AD99" i="18"/>
  <c r="AF98" i="18"/>
  <c r="DR98" i="18"/>
  <c r="DQ98" i="18"/>
  <c r="DP99" i="18"/>
  <c r="BT98" i="18"/>
  <c r="BS98" i="18"/>
  <c r="BR99" i="18"/>
  <c r="AZ97" i="18"/>
  <c r="AX98" i="18"/>
  <c r="AY97" i="18"/>
  <c r="BX98" i="18"/>
  <c r="BW99" i="18"/>
  <c r="BY98" i="18"/>
  <c r="BJ99" i="18"/>
  <c r="BI99" i="18"/>
  <c r="BH100" i="18"/>
  <c r="DM98" i="18"/>
  <c r="DL98" i="18"/>
  <c r="DK99" i="18"/>
  <c r="DF99" i="18"/>
  <c r="DH98" i="18"/>
  <c r="DG98" i="18"/>
  <c r="EE99" i="18"/>
  <c r="EF98" i="18"/>
  <c r="EG98" i="18"/>
  <c r="EV98" i="18"/>
  <c r="EU98" i="18"/>
  <c r="ET99" i="18"/>
  <c r="CQ99" i="18"/>
  <c r="CR98" i="18"/>
  <c r="CS98" i="18"/>
  <c r="AI99" i="18"/>
  <c r="AJ98" i="18"/>
  <c r="AK98" i="18"/>
  <c r="CL98" i="18"/>
  <c r="CN97" i="18"/>
  <c r="CM97" i="18"/>
  <c r="Z98" i="18"/>
  <c r="AA98" i="18"/>
  <c r="Y99" i="18"/>
  <c r="AS98" i="18"/>
  <c r="AU97" i="18"/>
  <c r="AT97" i="18"/>
  <c r="CX99" i="18"/>
  <c r="CW99" i="18"/>
  <c r="CV100" i="18"/>
  <c r="EB97" i="18"/>
  <c r="EA97" i="18"/>
  <c r="DZ98" i="18"/>
  <c r="E118" i="13"/>
  <c r="D118" i="13" s="1"/>
  <c r="F119" i="13" s="1"/>
  <c r="BJ100" i="18" l="1"/>
  <c r="BI100" i="18"/>
  <c r="BH101" i="18"/>
  <c r="AF99" i="18"/>
  <c r="AE99" i="18"/>
  <c r="AD100" i="18"/>
  <c r="EQ99" i="18"/>
  <c r="EO100" i="18"/>
  <c r="EP99" i="18"/>
  <c r="BR100" i="18"/>
  <c r="BT99" i="18"/>
  <c r="BS99" i="18"/>
  <c r="T101" i="18"/>
  <c r="V100" i="18"/>
  <c r="U100" i="18"/>
  <c r="AI100" i="18"/>
  <c r="AJ99" i="18"/>
  <c r="AK99" i="18"/>
  <c r="CI98" i="18"/>
  <c r="CG99" i="18"/>
  <c r="CH98" i="18"/>
  <c r="DC99" i="18"/>
  <c r="DB99" i="18"/>
  <c r="DA100" i="18"/>
  <c r="AA99" i="18"/>
  <c r="Z99" i="18"/>
  <c r="Y100" i="18"/>
  <c r="EG99" i="18"/>
  <c r="EF99" i="18"/>
  <c r="EE100" i="18"/>
  <c r="CW100" i="18"/>
  <c r="CV101" i="18"/>
  <c r="CX100" i="18"/>
  <c r="EV99" i="18"/>
  <c r="EU99" i="18"/>
  <c r="ET100" i="18"/>
  <c r="DF100" i="18"/>
  <c r="DG99" i="18"/>
  <c r="DH99" i="18"/>
  <c r="BY99" i="18"/>
  <c r="BX99" i="18"/>
  <c r="BW100" i="18"/>
  <c r="DP100" i="18"/>
  <c r="DQ99" i="18"/>
  <c r="DR99" i="18"/>
  <c r="EK100" i="18"/>
  <c r="EJ101" i="18"/>
  <c r="EL100" i="18"/>
  <c r="CM98" i="18"/>
  <c r="CL99" i="18"/>
  <c r="CN98" i="18"/>
  <c r="DK100" i="18"/>
  <c r="DM99" i="18"/>
  <c r="DL99" i="18"/>
  <c r="BO99" i="18"/>
  <c r="BM100" i="18"/>
  <c r="BN99" i="18"/>
  <c r="DU99" i="18"/>
  <c r="DW98" i="18"/>
  <c r="DV98" i="18"/>
  <c r="CB100" i="18"/>
  <c r="CC99" i="18"/>
  <c r="CD99" i="18"/>
  <c r="CQ100" i="18"/>
  <c r="CS99" i="18"/>
  <c r="CR99" i="18"/>
  <c r="AN100" i="18"/>
  <c r="AO99" i="18"/>
  <c r="AP99" i="18"/>
  <c r="EB98" i="18"/>
  <c r="DZ99" i="18"/>
  <c r="EA98" i="18"/>
  <c r="AT98" i="18"/>
  <c r="AS99" i="18"/>
  <c r="AU98" i="18"/>
  <c r="AY98" i="18"/>
  <c r="AZ98" i="18"/>
  <c r="AX99" i="18"/>
  <c r="BE99" i="18"/>
  <c r="BD99" i="18"/>
  <c r="BC100" i="18"/>
  <c r="E119" i="13"/>
  <c r="D119" i="13" s="1"/>
  <c r="F120" i="13" s="1"/>
  <c r="CR100" i="18" l="1"/>
  <c r="CS100" i="18"/>
  <c r="CQ101" i="18"/>
  <c r="BM101" i="18"/>
  <c r="BN100" i="18"/>
  <c r="BO100" i="18"/>
  <c r="CX101" i="18"/>
  <c r="CW101" i="18"/>
  <c r="CV102" i="18"/>
  <c r="DA101" i="18"/>
  <c r="DB100" i="18"/>
  <c r="DC100" i="18"/>
  <c r="AI101" i="18"/>
  <c r="AK100" i="18"/>
  <c r="AJ100" i="18"/>
  <c r="EO101" i="18"/>
  <c r="EP100" i="18"/>
  <c r="EQ100" i="18"/>
  <c r="EJ102" i="18"/>
  <c r="EL101" i="18"/>
  <c r="EK101" i="18"/>
  <c r="EG100" i="18"/>
  <c r="EE101" i="18"/>
  <c r="EF100" i="18"/>
  <c r="AF100" i="18"/>
  <c r="AE100" i="18"/>
  <c r="AD101" i="18"/>
  <c r="AX100" i="18"/>
  <c r="AZ99" i="18"/>
  <c r="AY99" i="18"/>
  <c r="CC100" i="18"/>
  <c r="CB101" i="18"/>
  <c r="CD100" i="18"/>
  <c r="DG100" i="18"/>
  <c r="DH100" i="18"/>
  <c r="DF101" i="18"/>
  <c r="U101" i="18"/>
  <c r="T102" i="18"/>
  <c r="V101" i="18"/>
  <c r="DM100" i="18"/>
  <c r="DL100" i="18"/>
  <c r="DK101" i="18"/>
  <c r="ET101" i="18"/>
  <c r="EV100" i="18"/>
  <c r="EU100" i="18"/>
  <c r="CI99" i="18"/>
  <c r="CH99" i="18"/>
  <c r="CG100" i="18"/>
  <c r="EA99" i="18"/>
  <c r="DZ100" i="18"/>
  <c r="EB99" i="18"/>
  <c r="DR100" i="18"/>
  <c r="DP101" i="18"/>
  <c r="DQ100" i="18"/>
  <c r="Y101" i="18"/>
  <c r="Z100" i="18"/>
  <c r="AA100" i="18"/>
  <c r="BH102" i="18"/>
  <c r="BJ101" i="18"/>
  <c r="BI101" i="18"/>
  <c r="AP100" i="18"/>
  <c r="AO100" i="18"/>
  <c r="AN101" i="18"/>
  <c r="AU99" i="18"/>
  <c r="AT99" i="18"/>
  <c r="AS100" i="18"/>
  <c r="DU100" i="18"/>
  <c r="DW99" i="18"/>
  <c r="DV99" i="18"/>
  <c r="CN99" i="18"/>
  <c r="CM99" i="18"/>
  <c r="CL100" i="18"/>
  <c r="BY100" i="18"/>
  <c r="BX100" i="18"/>
  <c r="BW101" i="18"/>
  <c r="BR101" i="18"/>
  <c r="BS100" i="18"/>
  <c r="BT100" i="18"/>
  <c r="BC101" i="18"/>
  <c r="BD100" i="18"/>
  <c r="BE100" i="18"/>
  <c r="E120" i="13"/>
  <c r="D120" i="13" s="1"/>
  <c r="F121" i="13" s="1"/>
  <c r="CN100" i="18" l="1"/>
  <c r="CL101" i="18"/>
  <c r="CM100" i="18"/>
  <c r="CG101" i="18"/>
  <c r="CI100" i="18"/>
  <c r="CH100" i="18"/>
  <c r="CB102" i="18"/>
  <c r="CD101" i="18"/>
  <c r="CC101" i="18"/>
  <c r="EO102" i="18"/>
  <c r="EP101" i="18"/>
  <c r="EQ101" i="18"/>
  <c r="BC102" i="18"/>
  <c r="BE101" i="18"/>
  <c r="BD101" i="18"/>
  <c r="AN102" i="18"/>
  <c r="AO101" i="18"/>
  <c r="AP101" i="18"/>
  <c r="Y102" i="18"/>
  <c r="AA101" i="18"/>
  <c r="Z101" i="18"/>
  <c r="EG101" i="18"/>
  <c r="EE102" i="18"/>
  <c r="EF101" i="18"/>
  <c r="V102" i="18"/>
  <c r="T103" i="18"/>
  <c r="U102" i="18"/>
  <c r="DP102" i="18"/>
  <c r="DR101" i="18"/>
  <c r="DQ101" i="18"/>
  <c r="AK101" i="18"/>
  <c r="AI102" i="18"/>
  <c r="AJ101" i="18"/>
  <c r="DF102" i="18"/>
  <c r="DH101" i="18"/>
  <c r="DG101" i="18"/>
  <c r="AZ100" i="18"/>
  <c r="AX101" i="18"/>
  <c r="AY100" i="18"/>
  <c r="BM102" i="18"/>
  <c r="BO101" i="18"/>
  <c r="BN101" i="18"/>
  <c r="BY101" i="18"/>
  <c r="BX101" i="18"/>
  <c r="BW102" i="18"/>
  <c r="ET102" i="18"/>
  <c r="EU101" i="18"/>
  <c r="EV101" i="18"/>
  <c r="AD102" i="18"/>
  <c r="AF101" i="18"/>
  <c r="AE101" i="18"/>
  <c r="EL102" i="18"/>
  <c r="EJ103" i="18"/>
  <c r="EK102" i="18"/>
  <c r="CQ102" i="18"/>
  <c r="CR101" i="18"/>
  <c r="CS101" i="18"/>
  <c r="BR102" i="18"/>
  <c r="BS101" i="18"/>
  <c r="BT101" i="18"/>
  <c r="DU101" i="18"/>
  <c r="DV100" i="18"/>
  <c r="DW100" i="18"/>
  <c r="AU100" i="18"/>
  <c r="AT100" i="18"/>
  <c r="AS101" i="18"/>
  <c r="BJ102" i="18"/>
  <c r="BH103" i="18"/>
  <c r="BI102" i="18"/>
  <c r="EB100" i="18"/>
  <c r="DZ101" i="18"/>
  <c r="EA100" i="18"/>
  <c r="DK102" i="18"/>
  <c r="DM101" i="18"/>
  <c r="DL101" i="18"/>
  <c r="DA102" i="18"/>
  <c r="DC101" i="18"/>
  <c r="DB101" i="18"/>
  <c r="CX102" i="18"/>
  <c r="CV103" i="18"/>
  <c r="CW102" i="18"/>
  <c r="E121" i="13"/>
  <c r="D121" i="13" s="1"/>
  <c r="F122" i="13" s="1"/>
  <c r="BO102" i="18" l="1"/>
  <c r="BM103" i="18"/>
  <c r="BN102" i="18"/>
  <c r="AI103" i="18"/>
  <c r="AJ102" i="18"/>
  <c r="AK102" i="18"/>
  <c r="AP102" i="18"/>
  <c r="AN103" i="18"/>
  <c r="AO102" i="18"/>
  <c r="DZ102" i="18"/>
  <c r="EA101" i="18"/>
  <c r="EB101" i="18"/>
  <c r="CQ103" i="18"/>
  <c r="CR102" i="18"/>
  <c r="CS102" i="18"/>
  <c r="EE103" i="18"/>
  <c r="EF102" i="18"/>
  <c r="EG102" i="18"/>
  <c r="CD102" i="18"/>
  <c r="CB103" i="18"/>
  <c r="CC102" i="18"/>
  <c r="EU102" i="18"/>
  <c r="EV102" i="18"/>
  <c r="ET103" i="18"/>
  <c r="AX102" i="18"/>
  <c r="AY101" i="18"/>
  <c r="AZ101" i="18"/>
  <c r="DW101" i="18"/>
  <c r="DV101" i="18"/>
  <c r="DU102" i="18"/>
  <c r="EL103" i="18"/>
  <c r="EJ104" i="18"/>
  <c r="EK103" i="18"/>
  <c r="BW103" i="18"/>
  <c r="BX102" i="18"/>
  <c r="BY102" i="18"/>
  <c r="BC103" i="18"/>
  <c r="BD102" i="18"/>
  <c r="BE102" i="18"/>
  <c r="DR102" i="18"/>
  <c r="DQ102" i="18"/>
  <c r="DP103" i="18"/>
  <c r="CI101" i="18"/>
  <c r="CH101" i="18"/>
  <c r="CG102" i="18"/>
  <c r="CX103" i="18"/>
  <c r="CV104" i="18"/>
  <c r="CW103" i="18"/>
  <c r="Y103" i="18"/>
  <c r="Z102" i="18"/>
  <c r="AA102" i="18"/>
  <c r="BJ103" i="18"/>
  <c r="BH104" i="18"/>
  <c r="BI103" i="18"/>
  <c r="AS102" i="18"/>
  <c r="AU101" i="18"/>
  <c r="AT101" i="18"/>
  <c r="BR103" i="18"/>
  <c r="BT102" i="18"/>
  <c r="BS102" i="18"/>
  <c r="DH102" i="18"/>
  <c r="DG102" i="18"/>
  <c r="DF103" i="18"/>
  <c r="T104" i="18"/>
  <c r="U103" i="18"/>
  <c r="V103" i="18"/>
  <c r="EO103" i="18"/>
  <c r="EQ102" i="18"/>
  <c r="EP102" i="18"/>
  <c r="CL102" i="18"/>
  <c r="CM101" i="18"/>
  <c r="CN101" i="18"/>
  <c r="DA103" i="18"/>
  <c r="DB102" i="18"/>
  <c r="DC102" i="18"/>
  <c r="DK103" i="18"/>
  <c r="DL102" i="18"/>
  <c r="DM102" i="18"/>
  <c r="AF102" i="18"/>
  <c r="AE102" i="18"/>
  <c r="AD103" i="18"/>
  <c r="E122" i="13"/>
  <c r="D122" i="13" s="1"/>
  <c r="F123" i="13" s="1"/>
  <c r="T105" i="18" l="1"/>
  <c r="U104" i="18"/>
  <c r="V104" i="18"/>
  <c r="EJ105" i="18"/>
  <c r="EK104" i="18"/>
  <c r="EL104" i="18"/>
  <c r="EV103" i="18"/>
  <c r="EU103" i="18"/>
  <c r="ET104" i="18"/>
  <c r="EF103" i="18"/>
  <c r="EE104" i="18"/>
  <c r="EG103" i="18"/>
  <c r="AN104" i="18"/>
  <c r="AO103" i="18"/>
  <c r="AP103" i="18"/>
  <c r="DH103" i="18"/>
  <c r="DG103" i="18"/>
  <c r="DF104" i="18"/>
  <c r="CL103" i="18"/>
  <c r="CM102" i="18"/>
  <c r="CN102" i="18"/>
  <c r="DU103" i="18"/>
  <c r="DW102" i="18"/>
  <c r="DV102" i="18"/>
  <c r="BH105" i="18"/>
  <c r="BI104" i="18"/>
  <c r="BJ104" i="18"/>
  <c r="CH102" i="18"/>
  <c r="CG103" i="18"/>
  <c r="CI102" i="18"/>
  <c r="BC104" i="18"/>
  <c r="BD103" i="18"/>
  <c r="BE103" i="18"/>
  <c r="CR103" i="18"/>
  <c r="CS103" i="18"/>
  <c r="CQ104" i="18"/>
  <c r="DK104" i="18"/>
  <c r="DL103" i="18"/>
  <c r="DM103" i="18"/>
  <c r="CB104" i="18"/>
  <c r="CC103" i="18"/>
  <c r="CD103" i="18"/>
  <c r="AI104" i="18"/>
  <c r="AJ103" i="18"/>
  <c r="AK103" i="18"/>
  <c r="AS103" i="18"/>
  <c r="AT102" i="18"/>
  <c r="AU102" i="18"/>
  <c r="CV105" i="18"/>
  <c r="CW104" i="18"/>
  <c r="CX104" i="18"/>
  <c r="BT103" i="18"/>
  <c r="BS103" i="18"/>
  <c r="BR104" i="18"/>
  <c r="DP104" i="18"/>
  <c r="DQ103" i="18"/>
  <c r="DR103" i="18"/>
  <c r="BW104" i="18"/>
  <c r="BX103" i="18"/>
  <c r="BY103" i="18"/>
  <c r="DZ103" i="18"/>
  <c r="EB102" i="18"/>
  <c r="EA102" i="18"/>
  <c r="BO103" i="18"/>
  <c r="BM104" i="18"/>
  <c r="BN103" i="18"/>
  <c r="EQ103" i="18"/>
  <c r="EO104" i="18"/>
  <c r="EP103" i="18"/>
  <c r="AF103" i="18"/>
  <c r="AD104" i="18"/>
  <c r="AE103" i="18"/>
  <c r="DC103" i="18"/>
  <c r="DA104" i="18"/>
  <c r="DB103" i="18"/>
  <c r="AA103" i="18"/>
  <c r="Z103" i="18"/>
  <c r="Y104" i="18"/>
  <c r="AX103" i="18"/>
  <c r="AY102" i="18"/>
  <c r="AZ102" i="18"/>
  <c r="E123" i="13"/>
  <c r="D123" i="13" s="1"/>
  <c r="F124" i="13" s="1"/>
  <c r="AF104" i="18" l="1"/>
  <c r="AD105" i="18"/>
  <c r="AE104" i="18"/>
  <c r="Y105" i="18"/>
  <c r="Z104" i="18"/>
  <c r="AA104" i="18"/>
  <c r="CB105" i="18"/>
  <c r="CD104" i="18"/>
  <c r="CC104" i="18"/>
  <c r="AU103" i="18"/>
  <c r="AS104" i="18"/>
  <c r="AT103" i="18"/>
  <c r="DW103" i="18"/>
  <c r="DU104" i="18"/>
  <c r="DV103" i="18"/>
  <c r="BE104" i="18"/>
  <c r="BD104" i="18"/>
  <c r="BC105" i="18"/>
  <c r="DM104" i="18"/>
  <c r="DK105" i="18"/>
  <c r="DL104" i="18"/>
  <c r="AN105" i="18"/>
  <c r="AP104" i="18"/>
  <c r="AO104" i="18"/>
  <c r="EO105" i="18"/>
  <c r="EP104" i="18"/>
  <c r="EQ104" i="18"/>
  <c r="CS104" i="18"/>
  <c r="CQ105" i="18"/>
  <c r="CR104" i="18"/>
  <c r="EL105" i="18"/>
  <c r="EJ106" i="18"/>
  <c r="EK105" i="18"/>
  <c r="DP105" i="18"/>
  <c r="DR104" i="18"/>
  <c r="DQ104" i="18"/>
  <c r="AK104" i="18"/>
  <c r="AI105" i="18"/>
  <c r="AJ104" i="18"/>
  <c r="CN103" i="18"/>
  <c r="CL104" i="18"/>
  <c r="CM103" i="18"/>
  <c r="EG104" i="18"/>
  <c r="EE105" i="18"/>
  <c r="EF104" i="18"/>
  <c r="DA105" i="18"/>
  <c r="DB104" i="18"/>
  <c r="DC104" i="18"/>
  <c r="BW105" i="18"/>
  <c r="BX104" i="18"/>
  <c r="BY104" i="18"/>
  <c r="DH104" i="18"/>
  <c r="DF105" i="18"/>
  <c r="DG104" i="18"/>
  <c r="AX104" i="18"/>
  <c r="AY103" i="18"/>
  <c r="AZ103" i="18"/>
  <c r="BT104" i="18"/>
  <c r="BR105" i="18"/>
  <c r="BS104" i="18"/>
  <c r="DZ104" i="18"/>
  <c r="EA103" i="18"/>
  <c r="EB103" i="18"/>
  <c r="CI103" i="18"/>
  <c r="CG104" i="18"/>
  <c r="CH103" i="18"/>
  <c r="BM105" i="18"/>
  <c r="BN104" i="18"/>
  <c r="BO104" i="18"/>
  <c r="CV106" i="18"/>
  <c r="CW105" i="18"/>
  <c r="CX105" i="18"/>
  <c r="BJ105" i="18"/>
  <c r="BH106" i="18"/>
  <c r="BI105" i="18"/>
  <c r="EV104" i="18"/>
  <c r="ET105" i="18"/>
  <c r="EU104" i="18"/>
  <c r="T106" i="18"/>
  <c r="U105" i="18"/>
  <c r="V105" i="18"/>
  <c r="E124" i="13"/>
  <c r="D124" i="13" s="1"/>
  <c r="F125" i="13" s="1"/>
  <c r="EL106" i="18" l="1"/>
  <c r="EJ107" i="18"/>
  <c r="EK106" i="18"/>
  <c r="CD105" i="18"/>
  <c r="CC105" i="18"/>
  <c r="CB106" i="18"/>
  <c r="CX106" i="18"/>
  <c r="CV107" i="18"/>
  <c r="CW106" i="18"/>
  <c r="DA106" i="18"/>
  <c r="DC105" i="18"/>
  <c r="DB105" i="18"/>
  <c r="AK105" i="18"/>
  <c r="AI106" i="18"/>
  <c r="AJ105" i="18"/>
  <c r="AP105" i="18"/>
  <c r="AN106" i="18"/>
  <c r="AO105" i="18"/>
  <c r="DW104" i="18"/>
  <c r="DU105" i="18"/>
  <c r="DV104" i="18"/>
  <c r="V106" i="18"/>
  <c r="T107" i="18"/>
  <c r="U106" i="18"/>
  <c r="AZ104" i="18"/>
  <c r="AY104" i="18"/>
  <c r="AX105" i="18"/>
  <c r="EV105" i="18"/>
  <c r="ET106" i="18"/>
  <c r="EU105" i="18"/>
  <c r="EB104" i="18"/>
  <c r="EA104" i="18"/>
  <c r="DZ105" i="18"/>
  <c r="DH105" i="18"/>
  <c r="DF106" i="18"/>
  <c r="DG105" i="18"/>
  <c r="CS105" i="18"/>
  <c r="CQ106" i="18"/>
  <c r="CR105" i="18"/>
  <c r="EG105" i="18"/>
  <c r="EE106" i="18"/>
  <c r="EF105" i="18"/>
  <c r="DM105" i="18"/>
  <c r="DK106" i="18"/>
  <c r="DL105" i="18"/>
  <c r="Y106" i="18"/>
  <c r="AA105" i="18"/>
  <c r="Z105" i="18"/>
  <c r="BM106" i="18"/>
  <c r="BO105" i="18"/>
  <c r="BN105" i="18"/>
  <c r="AU104" i="18"/>
  <c r="AS105" i="18"/>
  <c r="AT104" i="18"/>
  <c r="BJ106" i="18"/>
  <c r="BH107" i="18"/>
  <c r="BI106" i="18"/>
  <c r="DR105" i="18"/>
  <c r="DQ105" i="18"/>
  <c r="DP106" i="18"/>
  <c r="BE105" i="18"/>
  <c r="BC106" i="18"/>
  <c r="BD105" i="18"/>
  <c r="AF105" i="18"/>
  <c r="AD106" i="18"/>
  <c r="AE105" i="18"/>
  <c r="BT105" i="18"/>
  <c r="BR106" i="18"/>
  <c r="BS105" i="18"/>
  <c r="CI104" i="18"/>
  <c r="CG105" i="18"/>
  <c r="CH104" i="18"/>
  <c r="BY105" i="18"/>
  <c r="BW106" i="18"/>
  <c r="BX105" i="18"/>
  <c r="CN104" i="18"/>
  <c r="CL105" i="18"/>
  <c r="CM104" i="18"/>
  <c r="EQ105" i="18"/>
  <c r="EP105" i="18"/>
  <c r="EO106" i="18"/>
  <c r="E125" i="13"/>
  <c r="D125" i="13" s="1"/>
  <c r="F126" i="13" s="1"/>
  <c r="BH108" i="18" l="1"/>
  <c r="BI107" i="18"/>
  <c r="BJ107" i="18"/>
  <c r="CV108" i="18"/>
  <c r="CW107" i="18"/>
  <c r="CX107" i="18"/>
  <c r="T108" i="18"/>
  <c r="U107" i="18"/>
  <c r="V107" i="18"/>
  <c r="CG106" i="18"/>
  <c r="CH105" i="18"/>
  <c r="CI105" i="18"/>
  <c r="BE106" i="18"/>
  <c r="BC107" i="18"/>
  <c r="BD106" i="18"/>
  <c r="AA106" i="18"/>
  <c r="Z106" i="18"/>
  <c r="Y107" i="18"/>
  <c r="CS106" i="18"/>
  <c r="CQ107" i="18"/>
  <c r="CR106" i="18"/>
  <c r="AI107" i="18"/>
  <c r="AJ106" i="18"/>
  <c r="AK106" i="18"/>
  <c r="CD106" i="18"/>
  <c r="CB107" i="18"/>
  <c r="CC106" i="18"/>
  <c r="CL106" i="18"/>
  <c r="CM105" i="18"/>
  <c r="CN105" i="18"/>
  <c r="AS106" i="18"/>
  <c r="AT105" i="18"/>
  <c r="AU105" i="18"/>
  <c r="ET107" i="18"/>
  <c r="EU106" i="18"/>
  <c r="EV106" i="18"/>
  <c r="BR107" i="18"/>
  <c r="BS106" i="18"/>
  <c r="BT106" i="18"/>
  <c r="DR106" i="18"/>
  <c r="DP107" i="18"/>
  <c r="DQ106" i="18"/>
  <c r="DK107" i="18"/>
  <c r="DL106" i="18"/>
  <c r="DM106" i="18"/>
  <c r="DU106" i="18"/>
  <c r="DV105" i="18"/>
  <c r="DW105" i="18"/>
  <c r="DF107" i="18"/>
  <c r="DG106" i="18"/>
  <c r="DH106" i="18"/>
  <c r="AX106" i="18"/>
  <c r="AY105" i="18"/>
  <c r="AZ105" i="18"/>
  <c r="BW107" i="18"/>
  <c r="BX106" i="18"/>
  <c r="BY106" i="18"/>
  <c r="DC106" i="18"/>
  <c r="DA107" i="18"/>
  <c r="DB106" i="18"/>
  <c r="EJ108" i="18"/>
  <c r="EK107" i="18"/>
  <c r="EL107" i="18"/>
  <c r="EQ106" i="18"/>
  <c r="EO107" i="18"/>
  <c r="EP106" i="18"/>
  <c r="AD107" i="18"/>
  <c r="AE106" i="18"/>
  <c r="AF106" i="18"/>
  <c r="BO106" i="18"/>
  <c r="BM107" i="18"/>
  <c r="BN106" i="18"/>
  <c r="EG106" i="18"/>
  <c r="EE107" i="18"/>
  <c r="EF106" i="18"/>
  <c r="DZ106" i="18"/>
  <c r="EA105" i="18"/>
  <c r="EB105" i="18"/>
  <c r="AP106" i="18"/>
  <c r="AN107" i="18"/>
  <c r="AO106" i="18"/>
  <c r="E126" i="13"/>
  <c r="D126" i="13" s="1"/>
  <c r="F127" i="13" s="1"/>
  <c r="BO107" i="18" l="1"/>
  <c r="BM108" i="18"/>
  <c r="BN107" i="18"/>
  <c r="BW108" i="18"/>
  <c r="BY107" i="18"/>
  <c r="BX107" i="18"/>
  <c r="AS107" i="18"/>
  <c r="AT106" i="18"/>
  <c r="AU106" i="18"/>
  <c r="V108" i="18"/>
  <c r="U108" i="18"/>
  <c r="DU107" i="18"/>
  <c r="DV106" i="18"/>
  <c r="DW106" i="18"/>
  <c r="AI108" i="18"/>
  <c r="AK107" i="18"/>
  <c r="AJ107" i="18"/>
  <c r="BC108" i="18"/>
  <c r="BD107" i="18"/>
  <c r="BE107" i="18"/>
  <c r="AP107" i="18"/>
  <c r="AN108" i="18"/>
  <c r="AO107" i="18"/>
  <c r="EL108" i="18"/>
  <c r="EK108" i="18"/>
  <c r="BR108" i="18"/>
  <c r="BS107" i="18"/>
  <c r="BT107" i="18"/>
  <c r="EA106" i="18"/>
  <c r="EB106" i="18"/>
  <c r="DZ107" i="18"/>
  <c r="AY106" i="18"/>
  <c r="AX107" i="18"/>
  <c r="AZ106" i="18"/>
  <c r="CM106" i="18"/>
  <c r="CL107" i="18"/>
  <c r="CN106" i="18"/>
  <c r="CQ108" i="18"/>
  <c r="CR107" i="18"/>
  <c r="CS107" i="18"/>
  <c r="CW108" i="18"/>
  <c r="CX108" i="18"/>
  <c r="DK108" i="18"/>
  <c r="DL107" i="18"/>
  <c r="DM107" i="18"/>
  <c r="AF107" i="18"/>
  <c r="AD108" i="18"/>
  <c r="AE107" i="18"/>
  <c r="DC107" i="18"/>
  <c r="DA108" i="18"/>
  <c r="DB107" i="18"/>
  <c r="EE108" i="18"/>
  <c r="EF107" i="18"/>
  <c r="EG107" i="18"/>
  <c r="ET108" i="18"/>
  <c r="EU107" i="18"/>
  <c r="EV107" i="18"/>
  <c r="CD107" i="18"/>
  <c r="CB108" i="18"/>
  <c r="CC107" i="18"/>
  <c r="AA107" i="18"/>
  <c r="Y108" i="18"/>
  <c r="Z107" i="18"/>
  <c r="CI106" i="18"/>
  <c r="CG107" i="18"/>
  <c r="CH106" i="18"/>
  <c r="EQ107" i="18"/>
  <c r="EO108" i="18"/>
  <c r="EP107" i="18"/>
  <c r="DH107" i="18"/>
  <c r="DF108" i="18"/>
  <c r="DG107" i="18"/>
  <c r="DR107" i="18"/>
  <c r="DP108" i="18"/>
  <c r="DQ107" i="18"/>
  <c r="BI108" i="18"/>
  <c r="BJ108" i="18"/>
  <c r="E127" i="13"/>
  <c r="D127" i="13" s="1"/>
  <c r="F128" i="13" s="1"/>
  <c r="DH108" i="18" l="1"/>
  <c r="DG108" i="18"/>
  <c r="EV108" i="18"/>
  <c r="EU108" i="18"/>
  <c r="AF108" i="18"/>
  <c r="AE108" i="18"/>
  <c r="EB107" i="18"/>
  <c r="DZ108" i="18"/>
  <c r="EA107" i="18"/>
  <c r="AK108" i="18"/>
  <c r="AJ108" i="18"/>
  <c r="AU107" i="18"/>
  <c r="AT107" i="18"/>
  <c r="AS108" i="18"/>
  <c r="CR108" i="18"/>
  <c r="CS108" i="18"/>
  <c r="AO108" i="18"/>
  <c r="AP108" i="18"/>
  <c r="EQ108" i="18"/>
  <c r="EP108" i="18"/>
  <c r="EG108" i="18"/>
  <c r="EF108" i="18"/>
  <c r="CN107" i="18"/>
  <c r="CL108" i="18"/>
  <c r="CM107" i="18"/>
  <c r="DW107" i="18"/>
  <c r="DV107" i="18"/>
  <c r="DU108" i="18"/>
  <c r="BY108" i="18"/>
  <c r="BX108" i="18"/>
  <c r="CC108" i="18"/>
  <c r="CD108" i="18"/>
  <c r="DM108" i="18"/>
  <c r="DL108" i="18"/>
  <c r="AA108" i="18"/>
  <c r="Z108" i="18"/>
  <c r="DQ108" i="18"/>
  <c r="DR108" i="18"/>
  <c r="DC108" i="18"/>
  <c r="DB108" i="18"/>
  <c r="BT108" i="18"/>
  <c r="BS108" i="18"/>
  <c r="BE108" i="18"/>
  <c r="BD108" i="18"/>
  <c r="BO108" i="18"/>
  <c r="BN108" i="18"/>
  <c r="CI107" i="18"/>
  <c r="CG108" i="18"/>
  <c r="CH107" i="18"/>
  <c r="AZ107" i="18"/>
  <c r="AX108" i="18"/>
  <c r="AY107" i="18"/>
  <c r="E128" i="13"/>
  <c r="D128" i="13" s="1"/>
  <c r="F129" i="13" s="1"/>
  <c r="CH108" i="18" l="1"/>
  <c r="CI108" i="18"/>
  <c r="CN108" i="18"/>
  <c r="CM108" i="18"/>
  <c r="EB108" i="18"/>
  <c r="EA108" i="18"/>
  <c r="AT108" i="18"/>
  <c r="AU108" i="18"/>
  <c r="DV108" i="18"/>
  <c r="DW108" i="18"/>
  <c r="AZ108" i="18"/>
  <c r="AY108" i="18"/>
  <c r="N15" i="18"/>
  <c r="N14" i="18"/>
  <c r="E129" i="13"/>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00000000-0006-0000-0400-000001000000}">
      <text>
        <r>
          <rPr>
            <b/>
            <sz val="9"/>
            <color indexed="81"/>
            <rFont val="Tahoma"/>
            <family val="2"/>
          </rPr>
          <t>Ari Meles-Braverman:</t>
        </r>
        <r>
          <rPr>
            <sz val="9"/>
            <color indexed="81"/>
            <rFont val="Tahoma"/>
            <family val="2"/>
          </rPr>
          <t xml:space="preserve">
</t>
        </r>
      </text>
    </comment>
    <comment ref="I6" authorId="0" shapeId="0" xr:uid="{00000000-0006-0000-0400-000002000000}">
      <text>
        <r>
          <rPr>
            <b/>
            <sz val="9"/>
            <color indexed="81"/>
            <rFont val="Tahoma"/>
            <family val="2"/>
          </rPr>
          <t>Ari Meles-Braverman:</t>
        </r>
        <r>
          <rPr>
            <sz val="9"/>
            <color indexed="81"/>
            <rFont val="Tahoma"/>
            <family val="2"/>
          </rPr>
          <t xml:space="preserve">
</t>
        </r>
      </text>
    </comment>
    <comment ref="L6" authorId="0" shapeId="0" xr:uid="{00000000-0006-0000-0400-000003000000}">
      <text>
        <r>
          <rPr>
            <b/>
            <sz val="9"/>
            <color indexed="81"/>
            <rFont val="Tahoma"/>
            <family val="2"/>
          </rPr>
          <t>Ari Meles-Braverman:</t>
        </r>
        <r>
          <rPr>
            <sz val="9"/>
            <color indexed="81"/>
            <rFont val="Tahoma"/>
            <family val="2"/>
          </rPr>
          <t xml:space="preserve">
</t>
        </r>
      </text>
    </comment>
    <comment ref="O6" authorId="0" shapeId="0" xr:uid="{00000000-0006-0000-0400-00000400000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<sst xmlns="http://schemas.openxmlformats.org/spreadsheetml/2006/main" count="2143" uniqueCount="347">
  <si>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</si>
  <si>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</si>
  <si>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</si>
  <si>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</si>
  <si>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</si>
  <si>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</si>
  <si>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</si>
  <si>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</si>
  <si>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</si>
  <si>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</si>
  <si>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</si>
  <si>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</si>
  <si>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</si>
  <si>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</si>
  <si>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</si>
  <si>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</si>
  <si>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</si>
  <si>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</si>
  <si>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</si>
  <si>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</si>
  <si>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</si>
  <si>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</si>
  <si>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</si>
  <si>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</si>
  <si>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</si>
  <si>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</si>
  <si>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</si>
  <si>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</si>
  <si>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</si>
  <si>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</si>
  <si>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</si>
  <si>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</si>
  <si>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</si>
  <si>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</si>
  <si>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</si>
  <si>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</si>
  <si>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</si>
  <si>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</si>
  <si>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</si>
  <si>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</si>
  <si>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</si>
  <si>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</si>
  <si>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</si>
  <si>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</si>
  <si>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</si>
  <si>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</si>
  <si>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</si>
  <si>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</si>
  <si>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</si>
  <si>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</si>
  <si>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</si>
  <si>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</si>
  <si>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</si>
  <si>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</si>
  <si>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</si>
  <si>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</si>
  <si>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</si>
  <si>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</si>
  <si>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</si>
  <si>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</si>
  <si>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</si>
  <si>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</si>
  <si>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</si>
  <si>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</si>
  <si>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</si>
  <si>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</si>
  <si>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</si>
  <si>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</si>
  <si>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</si>
  <si>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</si>
  <si>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</si>
  <si>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</si>
  <si>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</si>
  <si>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</si>
  <si>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</si>
  <si>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</si>
  <si>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</si>
  <si>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</si>
  <si>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</si>
  <si>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</si>
  <si>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</si>
  <si>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</si>
  <si>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</si>
  <si>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</si>
  <si>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</si>
  <si>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</si>
  <si>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</si>
  <si>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</si>
  <si>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</si>
  <si>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</si>
  <si>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</si>
  <si>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</si>
  <si>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</si>
  <si>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</si>
  <si>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</si>
  <si>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</si>
  <si>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</si>
  <si>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</si>
  <si>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</si>
  <si>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</si>
  <si>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</si>
  <si>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</si>
  <si>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</si>
  <si>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</si>
  <si>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</si>
  <si>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</si>
  <si>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</si>
  <si>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</si>
  <si>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</si>
  <si>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</si>
  <si>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</si>
  <si>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</si>
  <si>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</si>
  <si>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</si>
  <si>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</si>
  <si>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</si>
  <si>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</si>
  <si>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</si>
  <si>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</si>
  <si>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</si>
  <si>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</si>
  <si>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</si>
  <si>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</si>
  <si>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</si>
  <si>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</si>
  <si>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</si>
  <si>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</si>
  <si>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</si>
  <si>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</si>
  <si>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</si>
  <si>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</si>
  <si>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</si>
  <si>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</si>
  <si>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</si>
  <si>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</si>
  <si>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</si>
  <si>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</si>
  <si>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</si>
  <si>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</si>
  <si>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</si>
  <si>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</si>
  <si>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</si>
  <si>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</si>
  <si>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</si>
  <si>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</si>
  <si>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</si>
  <si>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</si>
  <si>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</si>
  <si>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</si>
  <si>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</si>
  <si>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</si>
  <si>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</si>
  <si>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</si>
  <si>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</si>
  <si>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</si>
  <si>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</si>
  <si>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</si>
  <si>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</si>
  <si>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</si>
  <si>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</si>
  <si>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</si>
  <si>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</si>
  <si>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</si>
  <si>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</si>
  <si>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</si>
  <si>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</si>
  <si>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</si>
  <si>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</si>
  <si>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</si>
  <si>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</si>
  <si>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</si>
  <si>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</si>
  <si>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</si>
  <si>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</si>
  <si>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</si>
  <si>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</si>
  <si>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</si>
  <si>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</si>
  <si>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</si>
  <si>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</si>
  <si>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</si>
  <si>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</si>
  <si>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</si>
  <si>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</si>
  <si>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</si>
  <si>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</si>
  <si>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</si>
  <si>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</si>
  <si>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</si>
  <si>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</si>
  <si>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</si>
  <si>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</si>
  <si>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</si>
  <si>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</si>
  <si>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</si>
  <si>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</si>
  <si>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</si>
  <si>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</si>
  <si>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</si>
  <si>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</si>
  <si>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</si>
  <si>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</si>
  <si>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</si>
  <si>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</si>
  <si>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</si>
  <si>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</si>
  <si>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</si>
  <si>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</si>
  <si>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</si>
  <si>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</si>
  <si>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</si>
  <si>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</si>
  <si>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</si>
  <si>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</si>
  <si>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</si>
  <si>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</si>
  <si>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</si>
  <si>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</si>
  <si>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</si>
  <si>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</si>
  <si>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</si>
  <si>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</si>
  <si>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</si>
  <si>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</si>
  <si>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</si>
  <si>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</si>
  <si>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</si>
  <si>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</si>
  <si>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</si>
  <si>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</si>
  <si>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</si>
  <si>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</si>
  <si>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</si>
  <si>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</si>
  <si>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</si>
  <si>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</si>
  <si>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</si>
  <si>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</si>
  <si>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</si>
  <si>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</si>
  <si>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</si>
  <si>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</si>
  <si>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</si>
  <si>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</si>
  <si>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</si>
  <si>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</si>
  <si>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</si>
  <si>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</si>
  <si>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</si>
  <si>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</si>
  <si>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</si>
  <si>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</si>
  <si>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</si>
  <si>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</si>
  <si>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</si>
  <si>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</si>
  <si>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</si>
  <si>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</si>
  <si>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</si>
  <si>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</si>
  <si>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</si>
  <si>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</si>
  <si>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</si>
  <si>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</si>
  <si>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</si>
  <si>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</si>
  <si>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</si>
  <si>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</si>
  <si>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</si>
  <si>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</si>
  <si>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</si>
  <si>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</si>
  <si>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</si>
  <si>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</si>
  <si>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</si>
  <si>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</si>
  <si>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</si>
  <si>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</si>
  <si>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</si>
  <si>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</si>
  <si>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</si>
  <si>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</si>
  <si>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</si>
  <si>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</si>
  <si>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</si>
  <si>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</si>
  <si>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</si>
  <si>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</si>
  <si>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</si>
  <si>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</si>
  <si>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</si>
  <si>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</si>
  <si>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</si>
  <si>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</si>
  <si>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</si>
  <si>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</si>
  <si>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</si>
  <si>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</si>
  <si>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</si>
  <si>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</si>
  <si>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</si>
  <si>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</si>
  <si>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</si>
  <si>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</si>
  <si>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</si>
  <si>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</si>
  <si>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</si>
  <si>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</si>
  <si>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</si>
  <si>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</si>
  <si>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</si>
  <si>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</si>
  <si>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</si>
  <si>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</si>
  <si>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</si>
  <si>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</si>
  <si>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</si>
  <si>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</si>
  <si>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</si>
  <si>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</si>
  <si>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Note: Vex may change prices and part numbers, and they will not update here automatically.</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</si>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</sst>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
      <sz val="12"/>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E60000"/>
        <bgColor rgb="FFE60000"/>
      </patternFill>
    </fill>
    <fill>
      <patternFill patternType="solid">
        <fgColor rgb="FFD8D8D8"/>
        <bgColor rgb="FFD8D8D8"/>
      </patternFill>
    </fill>
  </fills>
  <borders count="77">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bottom style="thin">
        <color theme="1" tint="0.499984740745262"/>
      </bottom>
      <diagonal/>
    </border>
    <border>
      <left/>
      <right style="thin">
        <color indexed="64"/>
      </right>
      <top/>
      <bottom style="thin">
        <color theme="1" tint="0.499984740745262"/>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39">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28" fillId="0" borderId="0" xfId="6"/>
    <xf numFmtId="0" fontId="29" fillId="0" borderId="0" xfId="6" applyFont="1"/>
    <xf numFmtId="170" fontId="17" fillId="0" borderId="0" xfId="6" applyNumberFormat="1" applyFont="1"/>
    <xf numFmtId="49" fontId="17" fillId="0" borderId="0" xfId="6" applyNumberFormat="1"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6" xfId="0" applyFont="1" applyFill="1" applyBorder="1" applyAlignment="1"/>
    <xf numFmtId="0" fontId="21" fillId="4" borderId="67" xfId="4" applyFill="1" applyBorder="1" applyAlignment="1"/>
    <xf numFmtId="0" fontId="21" fillId="0" borderId="67" xfId="4" applyBorder="1" applyAlignment="1"/>
    <xf numFmtId="0" fontId="21" fillId="0" borderId="68" xfId="4" applyBorder="1" applyAlignment="1"/>
    <xf numFmtId="0" fontId="0" fillId="0" borderId="0" xfId="6" applyFont="1" applyProtection="1"/>
    <xf numFmtId="0" fontId="0" fillId="0" borderId="56" xfId="6" applyFont="1" applyBorder="1" applyProtection="1"/>
    <xf numFmtId="0" fontId="0" fillId="0" borderId="64" xfId="6" applyFont="1" applyBorder="1" applyProtection="1"/>
    <xf numFmtId="0" fontId="0" fillId="0" borderId="65" xfId="6" applyFont="1" applyBorder="1" applyProtection="1"/>
    <xf numFmtId="0" fontId="2" fillId="0" borderId="0" xfId="6" applyFont="1" applyProtection="1"/>
    <xf numFmtId="0" fontId="0" fillId="0" borderId="0" xfId="6" quotePrefix="1" applyFont="1" applyProtection="1"/>
    <xf numFmtId="0" fontId="0" fillId="0" borderId="51" xfId="6" applyFont="1" applyBorder="1" applyAlignment="1" applyProtection="1">
      <alignment horizontal="center"/>
    </xf>
    <xf numFmtId="0" fontId="0" fillId="0" borderId="42" xfId="6" applyFont="1" applyBorder="1" applyProtection="1"/>
    <xf numFmtId="0" fontId="30" fillId="0" borderId="0" xfId="6" applyFont="1" applyAlignment="1" applyProtection="1">
      <alignment vertical="center" wrapText="1"/>
    </xf>
    <xf numFmtId="0" fontId="0" fillId="0" borderId="0" xfId="6" applyFont="1" applyAlignment="1" applyProtection="1">
      <alignment vertical="center" wrapText="1"/>
    </xf>
    <xf numFmtId="171" fontId="0" fillId="12" borderId="57" xfId="6" applyNumberFormat="1" applyFont="1" applyFill="1" applyBorder="1" applyProtection="1"/>
    <xf numFmtId="1" fontId="0" fillId="12" borderId="57" xfId="6" applyNumberFormat="1" applyFont="1" applyFill="1" applyBorder="1" applyProtection="1"/>
    <xf numFmtId="164" fontId="0" fillId="12" borderId="57" xfId="6" applyNumberFormat="1" applyFont="1" applyFill="1" applyBorder="1" applyProtection="1"/>
    <xf numFmtId="0" fontId="14" fillId="0" borderId="0" xfId="6" applyFont="1" applyBorder="1" applyAlignment="1" applyProtection="1"/>
    <xf numFmtId="167" fontId="0" fillId="11" borderId="57" xfId="6" applyNumberFormat="1" applyFont="1" applyFill="1" applyBorder="1" applyProtection="1"/>
    <xf numFmtId="170" fontId="0" fillId="12" borderId="57" xfId="6" applyNumberFormat="1" applyFont="1" applyFill="1" applyBorder="1" applyProtection="1"/>
    <xf numFmtId="0" fontId="0" fillId="0" borderId="52" xfId="6" applyFont="1" applyBorder="1" applyAlignment="1" applyProtection="1">
      <alignment horizontal="center"/>
    </xf>
    <xf numFmtId="0" fontId="0" fillId="0" borderId="7" xfId="6" applyFont="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0" fontId="0" fillId="0" borderId="15" xfId="0" applyBorder="1" applyAlignment="1" applyProtection="1">
      <alignment vertical="center"/>
    </xf>
    <xf numFmtId="172" fontId="2" fillId="0" borderId="0" xfId="0" applyNumberFormat="1" applyFont="1" applyAlignment="1" applyProtection="1">
      <alignment vertical="center"/>
    </xf>
    <xf numFmtId="2" fontId="2" fillId="0" borderId="0" xfId="0" applyNumberFormat="1" applyFont="1" applyAlignment="1" applyProtection="1">
      <alignment vertical="center"/>
    </xf>
    <xf numFmtId="167" fontId="2" fillId="0" borderId="0" xfId="0" applyNumberFormat="1" applyFont="1" applyAlignment="1" applyProtection="1">
      <alignment vertical="center"/>
    </xf>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30" fillId="0" borderId="61" xfId="6" applyFont="1" applyBorder="1" applyAlignment="1" applyProtection="1">
      <alignment horizontal="center" vertical="center" wrapText="1"/>
    </xf>
    <xf numFmtId="0" fontId="30" fillId="0" borderId="62" xfId="6" applyFont="1" applyBorder="1" applyAlignment="1" applyProtection="1">
      <alignment horizontal="center" vertical="center" wrapText="1"/>
    </xf>
    <xf numFmtId="0" fontId="30" fillId="0" borderId="63" xfId="6" applyFont="1" applyBorder="1" applyAlignment="1" applyProtection="1">
      <alignment horizontal="center" vertical="center" wrapText="1"/>
    </xf>
    <xf numFmtId="173" fontId="0" fillId="2" borderId="17" xfId="0" applyNumberFormat="1" applyFill="1" applyBorder="1" applyAlignment="1" applyProtection="1">
      <alignment vertical="center"/>
      <protection locked="0"/>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8" fontId="0" fillId="0" borderId="0" xfId="0" applyNumberFormat="1" applyAlignment="1" applyProtection="1">
      <alignment vertical="center"/>
    </xf>
    <xf numFmtId="176" fontId="0" fillId="3" borderId="17" xfId="0" applyNumberFormat="1" applyFill="1" applyBorder="1" applyAlignment="1" applyProtection="1">
      <alignment horizontal="right" vertical="center"/>
    </xf>
    <xf numFmtId="174" fontId="0" fillId="3" borderId="17" xfId="1" applyNumberFormat="1" applyFont="1" applyFill="1" applyBorder="1" applyAlignment="1" applyProtection="1">
      <alignment horizontal="right" vertical="center"/>
    </xf>
    <xf numFmtId="175" fontId="0" fillId="3" borderId="17" xfId="0" applyNumberFormat="1" applyFill="1" applyBorder="1" applyAlignment="1" applyProtection="1">
      <alignment horizontal="right" vertical="center"/>
    </xf>
    <xf numFmtId="0" fontId="31" fillId="0" borderId="69" xfId="0" applyFont="1" applyBorder="1" applyAlignment="1" applyProtection="1">
      <alignment horizontal="center" vertical="center" wrapText="1"/>
    </xf>
    <xf numFmtId="0" fontId="31" fillId="0" borderId="70" xfId="0" applyFont="1" applyBorder="1" applyAlignment="1" applyProtection="1">
      <alignment horizontal="center" vertical="center" wrapText="1"/>
    </xf>
    <xf numFmtId="0" fontId="31" fillId="0" borderId="71" xfId="0" applyFont="1" applyBorder="1" applyAlignment="1" applyProtection="1">
      <alignment horizontal="center" vertical="center" wrapText="1"/>
    </xf>
    <xf numFmtId="0" fontId="31" fillId="0" borderId="72" xfId="0" applyFont="1" applyBorder="1" applyAlignment="1" applyProtection="1">
      <alignment horizontal="center" vertical="center" wrapText="1"/>
    </xf>
    <xf numFmtId="0" fontId="31" fillId="0" borderId="0" xfId="0" applyFont="1" applyBorder="1" applyAlignment="1" applyProtection="1">
      <alignment horizontal="center" vertical="center" wrapText="1"/>
    </xf>
    <xf numFmtId="0" fontId="31" fillId="0" borderId="73" xfId="0" applyFont="1" applyBorder="1" applyAlignment="1" applyProtection="1">
      <alignment horizontal="center" vertical="center" wrapText="1"/>
    </xf>
    <xf numFmtId="0" fontId="31" fillId="0" borderId="74" xfId="0" applyFont="1" applyBorder="1" applyAlignment="1" applyProtection="1">
      <alignment horizontal="center" vertical="center" wrapText="1"/>
    </xf>
    <xf numFmtId="0" fontId="31" fillId="0" borderId="75" xfId="0" applyFont="1" applyBorder="1" applyAlignment="1" applyProtection="1">
      <alignment horizontal="center" vertical="center" wrapText="1"/>
    </xf>
    <xf numFmtId="0" fontId="31" fillId="0" borderId="76" xfId="0" applyFont="1" applyBorder="1" applyAlignment="1" applyProtection="1">
      <alignment horizontal="center" vertical="center" wrapText="1"/>
    </xf>
  </cellXfs>
  <cellStyles count="7">
    <cellStyle name="Bad 2" xfId="3" xr:uid="{00000000-0005-0000-0000-000000000000}"/>
    <cellStyle name="Hyperlink" xfId="4" builtinId="8"/>
    <cellStyle name="Neutral 2" xfId="2" xr:uid="{00000000-0005-0000-0000-000002000000}"/>
    <cellStyle name="Normal" xfId="0" builtinId="0"/>
    <cellStyle name="Normal 2" xfId="5" xr:uid="{00000000-0005-0000-0000-000004000000}"/>
    <cellStyle name="Normal 3" xfId="6" xr:uid="{00000000-0005-0000-0000-000005000000}"/>
    <cellStyle name="Percent" xfId="1" builtinId="5"/>
  </cellStyles>
  <dxfs count="107">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663300"/>
      <color rgb="FFFFCC66"/>
      <color rgb="FFFF5050"/>
      <color rgb="FF800000"/>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´ÖÓÎÉÇØÍÐÉ!$V$8:$V$108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0-0189-4BC1-B5D1-A0432456BBCB}"/>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´ÖÓÎÉÇØÍÐÉ!$AA$8:$AA$108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1-0189-4BC1-B5D1-A0432456BBCB}"/>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´ÖÓÎÉÇØÍÐÉ!$AF$8:$AF$108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2-0189-4BC1-B5D1-A0432456BBCB}"/>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´ÖÓÎÉÇØÍÐÉ!$AK$8:$AK$108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3-0189-4BC1-B5D1-A0432456BBCB}"/>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´ÖÓÎÉÇØÍÐÉ!$AP$8:$AP$108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4-0189-4BC1-B5D1-A0432456BBCB}"/>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´ÖÓÎÉÇØÍÐÉ!$AU$8:$AU$108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5-0189-4BC1-B5D1-A0432456BBCB}"/>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´ÖÓÎÉÇØÍÐÉ!$AZ$8:$AZ$108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6-0189-4BC1-B5D1-A0432456BBCB}"/>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´ÖÓÎÉÇØÍÐÉ!$BE$8:$BE$108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7-0189-4BC1-B5D1-A0432456BBCB}"/>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´ÖÓÎÉÇØÍÐÉ!$BJ$8:$BJ$108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8-0189-4BC1-B5D1-A0432456BBCB}"/>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´ÖÓÎÉÇØÍÐÉ!$BO$8:$BO$108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9-0189-4BC1-B5D1-A0432456BBCB}"/>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´ÖÓÎÉÇØÍÐÉ!$BT$8:$BT$108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A-0189-4BC1-B5D1-A0432456BBCB}"/>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´ÖÓÎÉÇØÍÐÉ!$BY$8:$BY$108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B-0189-4BC1-B5D1-A0432456BBCB}"/>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´ÖÓÎÉÇØÍÐÉ!$CD$8:$CD$108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C-0189-4BC1-B5D1-A0432456BBCB}"/>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´ÖÓÎÉÇØÍÐÉ!$CN$8:$CN$108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D-0189-4BC1-B5D1-A0432456BBCB}"/>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´ÖÓÎÉÇØÍÐÉ!$CS$8:$CS$108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E-0189-4BC1-B5D1-A0432456BBCB}"/>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´ÖÓÎÉÇØÍÐÉ!$CX$8:$CX$108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F-0189-4BC1-B5D1-A0432456BBCB}"/>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´ÖÓÎÉÇØÍÐÉ!$DC$8:$DC$108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0-0189-4BC1-B5D1-A0432456BBCB}"/>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´ÖÓÎÉÇØÍÐÉ!$DH$8:$DH$108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1-0189-4BC1-B5D1-A0432456BBCB}"/>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´ÖÓÎÉÇØÍÐÉ!$DM$8:$DM$108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2-0189-4BC1-B5D1-A0432456BBCB}"/>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´ÖÓÎÉÇØÍÐÉ!$DR$8:$DR$108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3-0189-4BC1-B5D1-A0432456BBCB}"/>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´ÖÓÎÉÇØÍÐÉ!$DW$8:$DW$108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4-0189-4BC1-B5D1-A0432456BBCB}"/>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´ÖÓÎÉÇØÍÐÉ!$EB$8:$EB$108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5-0189-4BC1-B5D1-A0432456BBCB}"/>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´ÖÓÎÉÇØÍÐÉ!$EG$8:$EG$108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6-0189-4BC1-B5D1-A0432456BBCB}"/>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´ÖÓÎÉÇØÍÐÉ!$EL$8:$EL$108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7-0189-4BC1-B5D1-A0432456BBCB}"/>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´ÖÓÎÉÇØÍÐÉ!$EQ$8:$EQ$108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8-0189-4BC1-B5D1-A0432456BBCB}"/>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´ÖÓÎÉÇØÍÐÉ!$EV$8:$EV$108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9-0189-4BC1-B5D1-A0432456BBCB}"/>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´ÖÓÎÉÇØÍÐÉ!$CI$8:$CI$108</c:f>
              <c:numCache>
                <c:formatCode>General</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A-0189-4BC1-B5D1-A0432456BBCB}"/>
            </c:ext>
          </c:extLst>
        </c:ser>
        <c:ser>
          <c:idx val="27"/>
          <c:order val="27"/>
          <c:spPr>
            <a:ln w="19050" cap="rnd">
              <a:noFill/>
              <a:round/>
            </a:ln>
            <a:effectLst/>
          </c:spPr>
          <c:marker>
            <c:symbol val="none"/>
          </c:marker>
          <c:xVal>
            <c:numRef>
              <c:f>´ÖÓÎÉÇØÍÐÉ!$N$14:$N$15</c:f>
              <c:numCache>
                <c:formatCode>General</c:formatCode>
                <c:ptCount val="2"/>
                <c:pt idx="0">
                  <c:v>4.7749685025177477</c:v>
                </c:pt>
                <c:pt idx="1">
                  <c:v>0</c:v>
                </c:pt>
              </c:numCache>
            </c:numRef>
          </c:xVal>
          <c:yVal>
            <c:numRef>
              <c:f>´ÖÓÎÉÇØÍÐÉ!$N$14:$N$15</c:f>
              <c:numCache>
                <c:formatCode>General</c:formatCode>
                <c:ptCount val="2"/>
                <c:pt idx="0">
                  <c:v>4.7749685025177477</c:v>
                </c:pt>
                <c:pt idx="1">
                  <c:v>0</c:v>
                </c:pt>
              </c:numCache>
            </c:numRef>
          </c:yVal>
          <c:smooth val="1"/>
          <c:extLst>
            <c:ext xmlns:c16="http://schemas.microsoft.com/office/drawing/2014/chart" uri="{C3380CC4-5D6E-409C-BE32-E72D297353CC}">
              <c16:uniqueId val="{0000001B-0189-4BC1-B5D1-A0432456BBCB}"/>
            </c:ext>
          </c:extLst>
        </c:ser>
        <c:dLbls>
          <c:showLegendKey val="0"/>
          <c:showVal val="0"/>
          <c:showCatName val="0"/>
          <c:showSerName val="0"/>
          <c:showPercent val="0"/>
          <c:showBubbleSize val="0"/>
        </c:dLbls>
        <c:axId val="331921872"/>
        <c:axId val="158339056"/>
      </c:scatterChart>
      <c:valAx>
        <c:axId val="331921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339056"/>
        <c:crosses val="autoZero"/>
        <c:crossBetween val="midCat"/>
      </c:valAx>
      <c:valAx>
        <c:axId val="158339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921872"/>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43056512"/>
        <c:axId val="43132416"/>
      </c:scatterChart>
      <c:valAx>
        <c:axId val="43056512"/>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3132416"/>
        <c:crosses val="autoZero"/>
        <c:crossBetween val="midCat"/>
      </c:valAx>
      <c:valAx>
        <c:axId val="4313241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30565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43919616"/>
        <c:axId val="43925504"/>
      </c:scatterChart>
      <c:valAx>
        <c:axId val="43919616"/>
        <c:scaling>
          <c:orientation val="minMax"/>
        </c:scaling>
        <c:delete val="1"/>
        <c:axPos val="b"/>
        <c:numFmt formatCode="General" sourceLinked="1"/>
        <c:majorTickMark val="out"/>
        <c:minorTickMark val="none"/>
        <c:tickLblPos val="nextTo"/>
        <c:crossAx val="43925504"/>
        <c:crosses val="autoZero"/>
        <c:crossBetween val="midCat"/>
      </c:valAx>
      <c:valAx>
        <c:axId val="43925504"/>
        <c:scaling>
          <c:orientation val="minMax"/>
        </c:scaling>
        <c:delete val="1"/>
        <c:axPos val="l"/>
        <c:numFmt formatCode="General" sourceLinked="1"/>
        <c:majorTickMark val="out"/>
        <c:minorTickMark val="none"/>
        <c:tickLblPos val="nextTo"/>
        <c:crossAx val="43919616"/>
        <c:crosses val="autoZero"/>
        <c:crossBetween val="midCat"/>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5</xdr:row>
          <xdr:rowOff>182880</xdr:rowOff>
        </xdr:from>
        <xdr:to>
          <xdr:col>7</xdr:col>
          <xdr:colOff>518160</xdr:colOff>
          <xdr:row>9</xdr:row>
          <xdr:rowOff>182880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ADD ALL</a:t>
              </a:r>
            </a:p>
            <a:p>
              <a:pPr algn="ctr" rtl="0">
                <a:defRPr sz="1000"/>
              </a:pPr>
              <a:r>
                <a:rPr lang="en-US" sz="2000" b="1" i="0" u="none" strike="noStrike" baseline="0">
                  <a:solidFill>
                    <a:srgbClr val="000000"/>
                  </a:solidFill>
                  <a:latin typeface="Calibri"/>
                  <a:cs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2</xdr:col>
          <xdr:colOff>7620</xdr:colOff>
          <xdr:row>4</xdr:row>
          <xdr:rowOff>7620</xdr:rowOff>
        </xdr:to>
        <xdr:sp macro="" textlink="">
          <xdr:nvSpPr>
            <xdr:cNvPr id="1025" name="Metri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3073" name="Metric"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175260</xdr:rowOff>
        </xdr:from>
        <xdr:to>
          <xdr:col>2</xdr:col>
          <xdr:colOff>7620</xdr:colOff>
          <xdr:row>4</xdr:row>
          <xdr:rowOff>0</xdr:rowOff>
        </xdr:to>
        <xdr:sp macro="" textlink="">
          <xdr:nvSpPr>
            <xdr:cNvPr id="5121" name="Metri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182880</xdr:rowOff>
        </xdr:from>
        <xdr:to>
          <xdr:col>3</xdr:col>
          <xdr:colOff>228600</xdr:colOff>
          <xdr:row>22</xdr:row>
          <xdr:rowOff>182880</xdr:rowOff>
        </xdr:to>
        <xdr:sp macro="" textlink="">
          <xdr:nvSpPr>
            <xdr:cNvPr id="5126" name="Shifting"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182880</xdr:rowOff>
        </xdr:from>
        <xdr:to>
          <xdr:col>3</xdr:col>
          <xdr:colOff>228600</xdr:colOff>
          <xdr:row>23</xdr:row>
          <xdr:rowOff>182880</xdr:rowOff>
        </xdr:to>
        <xdr:sp macro="" textlink="">
          <xdr:nvSpPr>
            <xdr:cNvPr id="5127" name="2Wheels"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6145" name="Metric"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4</xdr:row>
          <xdr:rowOff>0</xdr:rowOff>
        </xdr:to>
        <xdr:sp macro="" textlink="">
          <xdr:nvSpPr>
            <xdr:cNvPr id="29697" name="Metric" hidden="1">
              <a:extLst>
                <a:ext uri="{63B3BB69-23CF-44E3-9099-C40C66FF867C}">
                  <a14:compatExt spid="_x0000_s29697"/>
                </a:ext>
                <a:ext uri="{FF2B5EF4-FFF2-40B4-BE49-F238E27FC236}">
                  <a16:creationId xmlns:a16="http://schemas.microsoft.com/office/drawing/2014/main" id="{D0D10751-F108-4B0B-A51F-4F0067F3F0C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8</xdr:col>
      <xdr:colOff>0</xdr:colOff>
      <xdr:row>3</xdr:row>
      <xdr:rowOff>7620</xdr:rowOff>
    </xdr:from>
    <xdr:to>
      <xdr:col>18</xdr:col>
      <xdr:colOff>160020</xdr:colOff>
      <xdr:row>35</xdr:row>
      <xdr:rowOff>0</xdr:rowOff>
    </xdr:to>
    <xdr:graphicFrame macro="">
      <xdr:nvGraphicFramePr>
        <xdr:cNvPr id="3" name="Chart 2">
          <a:extLst>
            <a:ext uri="{FF2B5EF4-FFF2-40B4-BE49-F238E27FC236}">
              <a16:creationId xmlns:a16="http://schemas.microsoft.com/office/drawing/2014/main" id="{D26295D8-749E-4273-A1B7-55C94D568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9217" name="Metric"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0241" name="Metric"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2289" name="Metric"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4337" name="Metric"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7620</xdr:rowOff>
        </xdr:from>
        <xdr:to>
          <xdr:col>13</xdr:col>
          <xdr:colOff>411480</xdr:colOff>
          <xdr:row>2</xdr:row>
          <xdr:rowOff>182880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411480</xdr:colOff>
          <xdr:row>2</xdr:row>
          <xdr:rowOff>7620</xdr:rowOff>
        </xdr:from>
        <xdr:to>
          <xdr:col>15</xdr:col>
          <xdr:colOff>213360</xdr:colOff>
          <xdr:row>2</xdr:row>
          <xdr:rowOff>182880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7620</xdr:colOff>
          <xdr:row>4</xdr:row>
          <xdr:rowOff>7620</xdr:rowOff>
        </xdr:to>
        <xdr:sp macro="" textlink="">
          <xdr:nvSpPr>
            <xdr:cNvPr id="28674" name="Metric" hidden="1">
              <a:extLst>
                <a:ext uri="{63B3BB69-23CF-44E3-9099-C40C66FF867C}">
                  <a14:compatExt spid="_x0000_s28674"/>
                </a:ext>
                <a:ext uri="{FF2B5EF4-FFF2-40B4-BE49-F238E27FC236}">
                  <a16:creationId xmlns:a16="http://schemas.microsoft.com/office/drawing/2014/main" id="{00000000-0008-0000-0C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rimb/Desktop/projectile_toleran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ÖÓÎÉÇØÍÐÉ"/>
    </sheetNames>
    <sheetDataSet>
      <sheetData sheetId="0">
        <row r="8">
          <cell r="U8">
            <v>0</v>
          </cell>
          <cell r="V8">
            <v>0.2</v>
          </cell>
          <cell r="Z8">
            <v>0</v>
          </cell>
          <cell r="AA8">
            <v>0.2</v>
          </cell>
          <cell r="AE8">
            <v>0</v>
          </cell>
          <cell r="AF8">
            <v>0.2</v>
          </cell>
          <cell r="AJ8">
            <v>0</v>
          </cell>
          <cell r="AK8">
            <v>0.2</v>
          </cell>
          <cell r="AO8">
            <v>0</v>
          </cell>
          <cell r="AP8">
            <v>0.2</v>
          </cell>
          <cell r="AT8">
            <v>0</v>
          </cell>
          <cell r="AU8">
            <v>0.2</v>
          </cell>
          <cell r="AY8">
            <v>0</v>
          </cell>
          <cell r="AZ8">
            <v>0.2</v>
          </cell>
          <cell r="BD8">
            <v>0</v>
          </cell>
          <cell r="BE8">
            <v>0.2</v>
          </cell>
          <cell r="BI8">
            <v>0</v>
          </cell>
          <cell r="BJ8">
            <v>0.2</v>
          </cell>
          <cell r="BN8">
            <v>0</v>
          </cell>
          <cell r="BO8">
            <v>0.2</v>
          </cell>
          <cell r="BS8">
            <v>0</v>
          </cell>
          <cell r="BT8">
            <v>0.2</v>
          </cell>
          <cell r="BX8">
            <v>0</v>
          </cell>
          <cell r="BY8">
            <v>0.2</v>
          </cell>
          <cell r="CC8">
            <v>0</v>
          </cell>
          <cell r="CD8">
            <v>0.2</v>
          </cell>
          <cell r="CH8">
            <v>0</v>
          </cell>
          <cell r="CI8">
            <v>0.2</v>
          </cell>
          <cell r="CM8">
            <v>0</v>
          </cell>
          <cell r="CN8">
            <v>0.2</v>
          </cell>
          <cell r="CR8">
            <v>0</v>
          </cell>
          <cell r="CS8">
            <v>0.2</v>
          </cell>
          <cell r="CW8">
            <v>0</v>
          </cell>
          <cell r="CX8">
            <v>0.2</v>
          </cell>
          <cell r="DB8">
            <v>0</v>
          </cell>
          <cell r="DC8">
            <v>0.2</v>
          </cell>
          <cell r="DG8">
            <v>0</v>
          </cell>
          <cell r="DH8">
            <v>0.2</v>
          </cell>
          <cell r="DL8">
            <v>0</v>
          </cell>
          <cell r="DM8">
            <v>0.2</v>
          </cell>
          <cell r="DQ8">
            <v>0</v>
          </cell>
          <cell r="DR8">
            <v>0.2</v>
          </cell>
          <cell r="DV8">
            <v>0</v>
          </cell>
          <cell r="DW8">
            <v>0.2</v>
          </cell>
          <cell r="EA8">
            <v>0</v>
          </cell>
          <cell r="EB8">
            <v>0.2</v>
          </cell>
          <cell r="EF8">
            <v>0</v>
          </cell>
          <cell r="EG8">
            <v>0.2</v>
          </cell>
          <cell r="EK8">
            <v>0</v>
          </cell>
          <cell r="EL8">
            <v>0.2</v>
          </cell>
          <cell r="EP8">
            <v>0</v>
          </cell>
          <cell r="EQ8">
            <v>0.2</v>
          </cell>
          <cell r="EU8">
            <v>0</v>
          </cell>
          <cell r="EV8">
            <v>0.2</v>
          </cell>
        </row>
        <row r="9">
          <cell r="U9">
            <v>0.02</v>
          </cell>
          <cell r="V9">
            <v>0.3560713800284307</v>
          </cell>
          <cell r="Z9">
            <v>0.02</v>
          </cell>
          <cell r="AA9">
            <v>0.3560713800284307</v>
          </cell>
          <cell r="AE9">
            <v>0.02</v>
          </cell>
          <cell r="AF9">
            <v>0.3560713800284307</v>
          </cell>
          <cell r="AJ9">
            <v>0.02</v>
          </cell>
          <cell r="AK9">
            <v>0.3560713800284307</v>
          </cell>
          <cell r="AO9">
            <v>0.02</v>
          </cell>
          <cell r="AP9">
            <v>0.3560713800284307</v>
          </cell>
          <cell r="AT9">
            <v>0.02</v>
          </cell>
          <cell r="AU9">
            <v>0.3560713800284307</v>
          </cell>
          <cell r="AY9">
            <v>0.02</v>
          </cell>
          <cell r="AZ9">
            <v>0.3560713800284307</v>
          </cell>
          <cell r="BD9">
            <v>0.02</v>
          </cell>
          <cell r="BE9">
            <v>0.3560713800284307</v>
          </cell>
          <cell r="BI9">
            <v>0.02</v>
          </cell>
          <cell r="BJ9">
            <v>0.3560713800284307</v>
          </cell>
          <cell r="BN9">
            <v>0.02</v>
          </cell>
          <cell r="BO9">
            <v>0.3560713800284307</v>
          </cell>
          <cell r="BS9">
            <v>0.02</v>
          </cell>
          <cell r="BT9">
            <v>0.3560713800284307</v>
          </cell>
          <cell r="BX9">
            <v>0.02</v>
          </cell>
          <cell r="BY9">
            <v>0.3560713800284307</v>
          </cell>
          <cell r="CC9">
            <v>0.02</v>
          </cell>
          <cell r="CD9">
            <v>0.3560713800284307</v>
          </cell>
          <cell r="CH9">
            <v>0.02</v>
          </cell>
          <cell r="CI9">
            <v>0.3560713800284307</v>
          </cell>
          <cell r="CM9">
            <v>0.02</v>
          </cell>
          <cell r="CN9">
            <v>0.3560713800284307</v>
          </cell>
          <cell r="CR9">
            <v>0.02</v>
          </cell>
          <cell r="CS9">
            <v>0.3560713800284307</v>
          </cell>
          <cell r="CW9">
            <v>0.02</v>
          </cell>
          <cell r="CX9">
            <v>0.3560713800284307</v>
          </cell>
          <cell r="DB9">
            <v>0.02</v>
          </cell>
          <cell r="DC9">
            <v>0.3560713800284307</v>
          </cell>
          <cell r="DG9">
            <v>0.02</v>
          </cell>
          <cell r="DH9">
            <v>0.3560713800284307</v>
          </cell>
          <cell r="DL9">
            <v>0.02</v>
          </cell>
          <cell r="DM9">
            <v>0.3560713800284307</v>
          </cell>
          <cell r="DQ9">
            <v>0.02</v>
          </cell>
          <cell r="DR9">
            <v>0.3560713800284307</v>
          </cell>
          <cell r="DV9">
            <v>0.02</v>
          </cell>
          <cell r="DW9">
            <v>0.3560713800284307</v>
          </cell>
          <cell r="EA9">
            <v>0.02</v>
          </cell>
          <cell r="EB9">
            <v>0.3560713800284307</v>
          </cell>
          <cell r="EF9">
            <v>0.02</v>
          </cell>
          <cell r="EG9">
            <v>0.3560713800284307</v>
          </cell>
          <cell r="EK9">
            <v>0.02</v>
          </cell>
          <cell r="EL9">
            <v>0.3560713800284307</v>
          </cell>
          <cell r="EP9">
            <v>0.02</v>
          </cell>
          <cell r="EQ9">
            <v>0.3560713800284307</v>
          </cell>
          <cell r="EU9">
            <v>0.02</v>
          </cell>
          <cell r="EV9">
            <v>0.3560713800284307</v>
          </cell>
        </row>
        <row r="10">
          <cell r="U10">
            <v>0.04</v>
          </cell>
          <cell r="V10">
            <v>0.50943424732901432</v>
          </cell>
          <cell r="Z10">
            <v>0.04</v>
          </cell>
          <cell r="AA10">
            <v>0.50943424732901432</v>
          </cell>
          <cell r="AE10">
            <v>0.04</v>
          </cell>
          <cell r="AF10">
            <v>0.50943424732901432</v>
          </cell>
          <cell r="AJ10">
            <v>0.04</v>
          </cell>
          <cell r="AK10">
            <v>0.50943424732901432</v>
          </cell>
          <cell r="AO10">
            <v>0.04</v>
          </cell>
          <cell r="AP10">
            <v>0.50943424732901432</v>
          </cell>
          <cell r="AT10">
            <v>0.04</v>
          </cell>
          <cell r="AU10">
            <v>0.50943424732901432</v>
          </cell>
          <cell r="AY10">
            <v>0.04</v>
          </cell>
          <cell r="AZ10">
            <v>0.50943424732901432</v>
          </cell>
          <cell r="BD10">
            <v>0.04</v>
          </cell>
          <cell r="BE10">
            <v>0.50943424732901432</v>
          </cell>
          <cell r="BI10">
            <v>0.04</v>
          </cell>
          <cell r="BJ10">
            <v>0.50943424732901432</v>
          </cell>
          <cell r="BN10">
            <v>0.04</v>
          </cell>
          <cell r="BO10">
            <v>0.50943424732901432</v>
          </cell>
          <cell r="BS10">
            <v>0.04</v>
          </cell>
          <cell r="BT10">
            <v>0.50943424732901432</v>
          </cell>
          <cell r="BX10">
            <v>0.04</v>
          </cell>
          <cell r="BY10">
            <v>0.50943424732901432</v>
          </cell>
          <cell r="CC10">
            <v>0.04</v>
          </cell>
          <cell r="CD10">
            <v>0.50943424732901432</v>
          </cell>
          <cell r="CH10">
            <v>0.04</v>
          </cell>
          <cell r="CI10">
            <v>0.50943424732901432</v>
          </cell>
          <cell r="CM10">
            <v>0.04</v>
          </cell>
          <cell r="CN10">
            <v>0.50943424732901432</v>
          </cell>
          <cell r="CR10">
            <v>0.04</v>
          </cell>
          <cell r="CS10">
            <v>0.50943424732901432</v>
          </cell>
          <cell r="CW10">
            <v>0.04</v>
          </cell>
          <cell r="CX10">
            <v>0.50943424732901432</v>
          </cell>
          <cell r="DB10">
            <v>0.04</v>
          </cell>
          <cell r="DC10">
            <v>0.50943424732901432</v>
          </cell>
          <cell r="DG10">
            <v>0.04</v>
          </cell>
          <cell r="DH10">
            <v>0.50943424732901432</v>
          </cell>
          <cell r="DL10">
            <v>0.04</v>
          </cell>
          <cell r="DM10">
            <v>0.50943424732901432</v>
          </cell>
          <cell r="DQ10">
            <v>0.04</v>
          </cell>
          <cell r="DR10">
            <v>0.50943424732901432</v>
          </cell>
          <cell r="DV10">
            <v>0.04</v>
          </cell>
          <cell r="DW10">
            <v>0.50943424732901432</v>
          </cell>
          <cell r="EA10">
            <v>0.04</v>
          </cell>
          <cell r="EB10">
            <v>0.50943424732901432</v>
          </cell>
          <cell r="EF10">
            <v>0.04</v>
          </cell>
          <cell r="EG10">
            <v>0.50943424732901432</v>
          </cell>
          <cell r="EK10">
            <v>0.04</v>
          </cell>
          <cell r="EL10">
            <v>0.50943424732901432</v>
          </cell>
          <cell r="EP10">
            <v>0.04</v>
          </cell>
          <cell r="EQ10">
            <v>0.50943424732901432</v>
          </cell>
          <cell r="EU10">
            <v>0.04</v>
          </cell>
          <cell r="EV10">
            <v>0.50943424732901432</v>
          </cell>
        </row>
        <row r="11">
          <cell r="U11">
            <v>0.06</v>
          </cell>
          <cell r="V11">
            <v>0.66008860190175067</v>
          </cell>
          <cell r="Z11">
            <v>0.06</v>
          </cell>
          <cell r="AA11">
            <v>0.66008860190175067</v>
          </cell>
          <cell r="AE11">
            <v>0.06</v>
          </cell>
          <cell r="AF11">
            <v>0.66008860190175067</v>
          </cell>
          <cell r="AJ11">
            <v>0.06</v>
          </cell>
          <cell r="AK11">
            <v>0.66008860190175067</v>
          </cell>
          <cell r="AO11">
            <v>0.06</v>
          </cell>
          <cell r="AP11">
            <v>0.66008860190175067</v>
          </cell>
          <cell r="AT11">
            <v>0.06</v>
          </cell>
          <cell r="AU11">
            <v>0.66008860190175067</v>
          </cell>
          <cell r="AY11">
            <v>0.06</v>
          </cell>
          <cell r="AZ11">
            <v>0.66008860190175067</v>
          </cell>
          <cell r="BD11">
            <v>0.06</v>
          </cell>
          <cell r="BE11">
            <v>0.66008860190175067</v>
          </cell>
          <cell r="BI11">
            <v>0.06</v>
          </cell>
          <cell r="BJ11">
            <v>0.66008860190175067</v>
          </cell>
          <cell r="BN11">
            <v>0.06</v>
          </cell>
          <cell r="BO11">
            <v>0.66008860190175067</v>
          </cell>
          <cell r="BS11">
            <v>0.06</v>
          </cell>
          <cell r="BT11">
            <v>0.66008860190175067</v>
          </cell>
          <cell r="BX11">
            <v>0.06</v>
          </cell>
          <cell r="BY11">
            <v>0.66008860190175067</v>
          </cell>
          <cell r="CC11">
            <v>0.06</v>
          </cell>
          <cell r="CD11">
            <v>0.66008860190175067</v>
          </cell>
          <cell r="CH11">
            <v>0.06</v>
          </cell>
          <cell r="CI11">
            <v>0.66008860190175067</v>
          </cell>
          <cell r="CM11">
            <v>0.06</v>
          </cell>
          <cell r="CN11">
            <v>0.66008860190175067</v>
          </cell>
          <cell r="CR11">
            <v>0.06</v>
          </cell>
          <cell r="CS11">
            <v>0.66008860190175067</v>
          </cell>
          <cell r="CW11">
            <v>0.06</v>
          </cell>
          <cell r="CX11">
            <v>0.66008860190175067</v>
          </cell>
          <cell r="DB11">
            <v>0.06</v>
          </cell>
          <cell r="DC11">
            <v>0.66008860190175067</v>
          </cell>
          <cell r="DG11">
            <v>0.06</v>
          </cell>
          <cell r="DH11">
            <v>0.66008860190175067</v>
          </cell>
          <cell r="DL11">
            <v>0.06</v>
          </cell>
          <cell r="DM11">
            <v>0.66008860190175067</v>
          </cell>
          <cell r="DQ11">
            <v>0.06</v>
          </cell>
          <cell r="DR11">
            <v>0.66008860190175067</v>
          </cell>
          <cell r="DV11">
            <v>0.06</v>
          </cell>
          <cell r="DW11">
            <v>0.66008860190175067</v>
          </cell>
          <cell r="EA11">
            <v>0.06</v>
          </cell>
          <cell r="EB11">
            <v>0.66008860190175067</v>
          </cell>
          <cell r="EF11">
            <v>0.06</v>
          </cell>
          <cell r="EG11">
            <v>0.66008860190175067</v>
          </cell>
          <cell r="EK11">
            <v>0.06</v>
          </cell>
          <cell r="EL11">
            <v>0.66008860190175067</v>
          </cell>
          <cell r="EP11">
            <v>0.06</v>
          </cell>
          <cell r="EQ11">
            <v>0.66008860190175067</v>
          </cell>
          <cell r="EU11">
            <v>0.06</v>
          </cell>
          <cell r="EV11">
            <v>0.66008860190175067</v>
          </cell>
        </row>
        <row r="12">
          <cell r="U12">
            <v>0.08</v>
          </cell>
          <cell r="V12">
            <v>0.80803444374664024</v>
          </cell>
          <cell r="Z12">
            <v>0.08</v>
          </cell>
          <cell r="AA12">
            <v>0.80803444374664024</v>
          </cell>
          <cell r="AE12">
            <v>0.08</v>
          </cell>
          <cell r="AF12">
            <v>0.80803444374664024</v>
          </cell>
          <cell r="AJ12">
            <v>0.08</v>
          </cell>
          <cell r="AK12">
            <v>0.80803444374664024</v>
          </cell>
          <cell r="AO12">
            <v>0.08</v>
          </cell>
          <cell r="AP12">
            <v>0.80803444374664024</v>
          </cell>
          <cell r="AT12">
            <v>0.08</v>
          </cell>
          <cell r="AU12">
            <v>0.80803444374664024</v>
          </cell>
          <cell r="AY12">
            <v>0.08</v>
          </cell>
          <cell r="AZ12">
            <v>0.80803444374664024</v>
          </cell>
          <cell r="BD12">
            <v>0.08</v>
          </cell>
          <cell r="BE12">
            <v>0.80803444374664024</v>
          </cell>
          <cell r="BI12">
            <v>0.08</v>
          </cell>
          <cell r="BJ12">
            <v>0.80803444374664024</v>
          </cell>
          <cell r="BN12">
            <v>0.08</v>
          </cell>
          <cell r="BO12">
            <v>0.80803444374664024</v>
          </cell>
          <cell r="BS12">
            <v>0.08</v>
          </cell>
          <cell r="BT12">
            <v>0.80803444374664024</v>
          </cell>
          <cell r="BX12">
            <v>0.08</v>
          </cell>
          <cell r="BY12">
            <v>0.80803444374664024</v>
          </cell>
          <cell r="CC12">
            <v>0.08</v>
          </cell>
          <cell r="CD12">
            <v>0.80803444374664024</v>
          </cell>
          <cell r="CH12">
            <v>0.08</v>
          </cell>
          <cell r="CI12">
            <v>0.80803444374664024</v>
          </cell>
          <cell r="CM12">
            <v>0.08</v>
          </cell>
          <cell r="CN12">
            <v>0.80803444374664024</v>
          </cell>
          <cell r="CR12">
            <v>0.08</v>
          </cell>
          <cell r="CS12">
            <v>0.80803444374664024</v>
          </cell>
          <cell r="CW12">
            <v>0.08</v>
          </cell>
          <cell r="CX12">
            <v>0.80803444374664024</v>
          </cell>
          <cell r="DB12">
            <v>0.08</v>
          </cell>
          <cell r="DC12">
            <v>0.80803444374664024</v>
          </cell>
          <cell r="DG12">
            <v>0.08</v>
          </cell>
          <cell r="DH12">
            <v>0.80803444374664024</v>
          </cell>
          <cell r="DL12">
            <v>0.08</v>
          </cell>
          <cell r="DM12">
            <v>0.80803444374664024</v>
          </cell>
          <cell r="DQ12">
            <v>0.08</v>
          </cell>
          <cell r="DR12">
            <v>0.80803444374664024</v>
          </cell>
          <cell r="DV12">
            <v>0.08</v>
          </cell>
          <cell r="DW12">
            <v>0.80803444374664024</v>
          </cell>
          <cell r="EA12">
            <v>0.08</v>
          </cell>
          <cell r="EB12">
            <v>0.80803444374664024</v>
          </cell>
          <cell r="EF12">
            <v>0.08</v>
          </cell>
          <cell r="EG12">
            <v>0.80803444374664024</v>
          </cell>
          <cell r="EK12">
            <v>0.08</v>
          </cell>
          <cell r="EL12">
            <v>0.80803444374664024</v>
          </cell>
          <cell r="EP12">
            <v>0.08</v>
          </cell>
          <cell r="EQ12">
            <v>0.80803444374664024</v>
          </cell>
          <cell r="EU12">
            <v>0.08</v>
          </cell>
          <cell r="EV12">
            <v>0.80803444374664024</v>
          </cell>
        </row>
        <row r="13">
          <cell r="U13">
            <v>0.1</v>
          </cell>
          <cell r="V13">
            <v>0.95327177286368259</v>
          </cell>
          <cell r="Z13">
            <v>0.1</v>
          </cell>
          <cell r="AA13">
            <v>0.95327177286368259</v>
          </cell>
          <cell r="AE13">
            <v>0.1</v>
          </cell>
          <cell r="AF13">
            <v>0.95327177286368259</v>
          </cell>
          <cell r="AJ13">
            <v>0.1</v>
          </cell>
          <cell r="AK13">
            <v>0.95327177286368259</v>
          </cell>
          <cell r="AO13">
            <v>0.1</v>
          </cell>
          <cell r="AP13">
            <v>0.95327177286368259</v>
          </cell>
          <cell r="AT13">
            <v>0.1</v>
          </cell>
          <cell r="AU13">
            <v>0.95327177286368259</v>
          </cell>
          <cell r="AY13">
            <v>0.1</v>
          </cell>
          <cell r="AZ13">
            <v>0.95327177286368259</v>
          </cell>
          <cell r="BD13">
            <v>0.1</v>
          </cell>
          <cell r="BE13">
            <v>0.95327177286368259</v>
          </cell>
          <cell r="BI13">
            <v>0.1</v>
          </cell>
          <cell r="BJ13">
            <v>0.95327177286368259</v>
          </cell>
          <cell r="BN13">
            <v>0.1</v>
          </cell>
          <cell r="BO13">
            <v>0.95327177286368259</v>
          </cell>
          <cell r="BS13">
            <v>0.1</v>
          </cell>
          <cell r="BT13">
            <v>0.95327177286368259</v>
          </cell>
          <cell r="BX13">
            <v>0.1</v>
          </cell>
          <cell r="BY13">
            <v>0.95327177286368259</v>
          </cell>
          <cell r="CC13">
            <v>0.1</v>
          </cell>
          <cell r="CD13">
            <v>0.95327177286368259</v>
          </cell>
          <cell r="CH13">
            <v>0.1</v>
          </cell>
          <cell r="CI13">
            <v>0.95327177286368259</v>
          </cell>
          <cell r="CM13">
            <v>0.1</v>
          </cell>
          <cell r="CN13">
            <v>0.95327177286368259</v>
          </cell>
          <cell r="CR13">
            <v>0.1</v>
          </cell>
          <cell r="CS13">
            <v>0.95327177286368259</v>
          </cell>
          <cell r="CW13">
            <v>0.1</v>
          </cell>
          <cell r="CX13">
            <v>0.95327177286368259</v>
          </cell>
          <cell r="DB13">
            <v>0.1</v>
          </cell>
          <cell r="DC13">
            <v>0.95327177286368259</v>
          </cell>
          <cell r="DG13">
            <v>0.1</v>
          </cell>
          <cell r="DH13">
            <v>0.95327177286368259</v>
          </cell>
          <cell r="DL13">
            <v>0.1</v>
          </cell>
          <cell r="DM13">
            <v>0.95327177286368259</v>
          </cell>
          <cell r="DQ13">
            <v>0.1</v>
          </cell>
          <cell r="DR13">
            <v>0.95327177286368259</v>
          </cell>
          <cell r="DV13">
            <v>0.1</v>
          </cell>
          <cell r="DW13">
            <v>0.95327177286368259</v>
          </cell>
          <cell r="EA13">
            <v>0.1</v>
          </cell>
          <cell r="EB13">
            <v>0.95327177286368259</v>
          </cell>
          <cell r="EF13">
            <v>0.1</v>
          </cell>
          <cell r="EG13">
            <v>0.95327177286368259</v>
          </cell>
          <cell r="EK13">
            <v>0.1</v>
          </cell>
          <cell r="EL13">
            <v>0.95327177286368259</v>
          </cell>
          <cell r="EP13">
            <v>0.1</v>
          </cell>
          <cell r="EQ13">
            <v>0.95327177286368259</v>
          </cell>
          <cell r="EU13">
            <v>0.1</v>
          </cell>
          <cell r="EV13">
            <v>0.95327177286368259</v>
          </cell>
        </row>
        <row r="14">
          <cell r="N14">
            <v>4.7749685025177477</v>
          </cell>
          <cell r="U14">
            <v>0.12000000000000001</v>
          </cell>
          <cell r="V14">
            <v>1.0958005892528777</v>
          </cell>
          <cell r="Z14">
            <v>0.12000000000000001</v>
          </cell>
          <cell r="AA14">
            <v>1.0958005892528777</v>
          </cell>
          <cell r="AE14">
            <v>0.12000000000000001</v>
          </cell>
          <cell r="AF14">
            <v>1.0958005892528777</v>
          </cell>
          <cell r="AJ14">
            <v>0.12000000000000001</v>
          </cell>
          <cell r="AK14">
            <v>1.0958005892528777</v>
          </cell>
          <cell r="AO14">
            <v>0.12000000000000001</v>
          </cell>
          <cell r="AP14">
            <v>1.0958005892528777</v>
          </cell>
          <cell r="AT14">
            <v>0.12000000000000001</v>
          </cell>
          <cell r="AU14">
            <v>1.0958005892528777</v>
          </cell>
          <cell r="AY14">
            <v>0.12000000000000001</v>
          </cell>
          <cell r="AZ14">
            <v>1.0958005892528777</v>
          </cell>
          <cell r="BD14">
            <v>0.12000000000000001</v>
          </cell>
          <cell r="BE14">
            <v>1.0958005892528777</v>
          </cell>
          <cell r="BI14">
            <v>0.12000000000000001</v>
          </cell>
          <cell r="BJ14">
            <v>1.0958005892528777</v>
          </cell>
          <cell r="BN14">
            <v>0.12000000000000001</v>
          </cell>
          <cell r="BO14">
            <v>1.0958005892528777</v>
          </cell>
          <cell r="BS14">
            <v>0.12000000000000001</v>
          </cell>
          <cell r="BT14">
            <v>1.0958005892528777</v>
          </cell>
          <cell r="BX14">
            <v>0.12000000000000001</v>
          </cell>
          <cell r="BY14">
            <v>1.0958005892528777</v>
          </cell>
          <cell r="CC14">
            <v>0.12000000000000001</v>
          </cell>
          <cell r="CD14">
            <v>1.0958005892528777</v>
          </cell>
          <cell r="CH14">
            <v>0.12000000000000001</v>
          </cell>
          <cell r="CI14">
            <v>1.0958005892528777</v>
          </cell>
          <cell r="CM14">
            <v>0.12000000000000001</v>
          </cell>
          <cell r="CN14">
            <v>1.0958005892528777</v>
          </cell>
          <cell r="CR14">
            <v>0.12000000000000001</v>
          </cell>
          <cell r="CS14">
            <v>1.0958005892528777</v>
          </cell>
          <cell r="CW14">
            <v>0.12000000000000001</v>
          </cell>
          <cell r="CX14">
            <v>1.0958005892528777</v>
          </cell>
          <cell r="DB14">
            <v>0.12000000000000001</v>
          </cell>
          <cell r="DC14">
            <v>1.0958005892528777</v>
          </cell>
          <cell r="DG14">
            <v>0.12000000000000001</v>
          </cell>
          <cell r="DH14">
            <v>1.0958005892528777</v>
          </cell>
          <cell r="DL14">
            <v>0.12000000000000001</v>
          </cell>
          <cell r="DM14">
            <v>1.0958005892528777</v>
          </cell>
          <cell r="DQ14">
            <v>0.12000000000000001</v>
          </cell>
          <cell r="DR14">
            <v>1.0958005892528777</v>
          </cell>
          <cell r="DV14">
            <v>0.12000000000000001</v>
          </cell>
          <cell r="DW14">
            <v>1.0958005892528777</v>
          </cell>
          <cell r="EA14">
            <v>0.12000000000000001</v>
          </cell>
          <cell r="EB14">
            <v>1.0958005892528777</v>
          </cell>
          <cell r="EF14">
            <v>0.12000000000000001</v>
          </cell>
          <cell r="EG14">
            <v>1.0958005892528777</v>
          </cell>
          <cell r="EK14">
            <v>0.12000000000000001</v>
          </cell>
          <cell r="EL14">
            <v>1.0958005892528777</v>
          </cell>
          <cell r="EP14">
            <v>0.12000000000000001</v>
          </cell>
          <cell r="EQ14">
            <v>1.0958005892528777</v>
          </cell>
          <cell r="EU14">
            <v>0.12000000000000001</v>
          </cell>
          <cell r="EV14">
            <v>1.0958005892528777</v>
          </cell>
        </row>
        <row r="15">
          <cell r="N15">
            <v>0</v>
          </cell>
          <cell r="U15">
            <v>0.14000000000000001</v>
          </cell>
          <cell r="V15">
            <v>1.2356208929142261</v>
          </cell>
          <cell r="Z15">
            <v>0.14000000000000001</v>
          </cell>
          <cell r="AA15">
            <v>1.2356208929142261</v>
          </cell>
          <cell r="AE15">
            <v>0.14000000000000001</v>
          </cell>
          <cell r="AF15">
            <v>1.2356208929142261</v>
          </cell>
          <cell r="AJ15">
            <v>0.14000000000000001</v>
          </cell>
          <cell r="AK15">
            <v>1.2356208929142261</v>
          </cell>
          <cell r="AO15">
            <v>0.14000000000000001</v>
          </cell>
          <cell r="AP15">
            <v>1.2356208929142261</v>
          </cell>
          <cell r="AT15">
            <v>0.14000000000000001</v>
          </cell>
          <cell r="AU15">
            <v>1.2356208929142261</v>
          </cell>
          <cell r="AY15">
            <v>0.14000000000000001</v>
          </cell>
          <cell r="AZ15">
            <v>1.2356208929142261</v>
          </cell>
          <cell r="BD15">
            <v>0.14000000000000001</v>
          </cell>
          <cell r="BE15">
            <v>1.2356208929142261</v>
          </cell>
          <cell r="BI15">
            <v>0.14000000000000001</v>
          </cell>
          <cell r="BJ15">
            <v>1.2356208929142261</v>
          </cell>
          <cell r="BN15">
            <v>0.14000000000000001</v>
          </cell>
          <cell r="BO15">
            <v>1.2356208929142261</v>
          </cell>
          <cell r="BS15">
            <v>0.14000000000000001</v>
          </cell>
          <cell r="BT15">
            <v>1.2356208929142261</v>
          </cell>
          <cell r="BX15">
            <v>0.14000000000000001</v>
          </cell>
          <cell r="BY15">
            <v>1.2356208929142261</v>
          </cell>
          <cell r="CC15">
            <v>0.14000000000000001</v>
          </cell>
          <cell r="CD15">
            <v>1.2356208929142261</v>
          </cell>
          <cell r="CH15">
            <v>0.14000000000000001</v>
          </cell>
          <cell r="CI15">
            <v>1.2356208929142261</v>
          </cell>
          <cell r="CM15">
            <v>0.14000000000000001</v>
          </cell>
          <cell r="CN15">
            <v>1.2356208929142261</v>
          </cell>
          <cell r="CR15">
            <v>0.14000000000000001</v>
          </cell>
          <cell r="CS15">
            <v>1.2356208929142261</v>
          </cell>
          <cell r="CW15">
            <v>0.14000000000000001</v>
          </cell>
          <cell r="CX15">
            <v>1.2356208929142261</v>
          </cell>
          <cell r="DB15">
            <v>0.14000000000000001</v>
          </cell>
          <cell r="DC15">
            <v>1.2356208929142261</v>
          </cell>
          <cell r="DG15">
            <v>0.14000000000000001</v>
          </cell>
          <cell r="DH15">
            <v>1.2356208929142261</v>
          </cell>
          <cell r="DL15">
            <v>0.14000000000000001</v>
          </cell>
          <cell r="DM15">
            <v>1.2356208929142261</v>
          </cell>
          <cell r="DQ15">
            <v>0.14000000000000001</v>
          </cell>
          <cell r="DR15">
            <v>1.2356208929142261</v>
          </cell>
          <cell r="DV15">
            <v>0.14000000000000001</v>
          </cell>
          <cell r="DW15">
            <v>1.2356208929142261</v>
          </cell>
          <cell r="EA15">
            <v>0.14000000000000001</v>
          </cell>
          <cell r="EB15">
            <v>1.2356208929142261</v>
          </cell>
          <cell r="EF15">
            <v>0.14000000000000001</v>
          </cell>
          <cell r="EG15">
            <v>1.2356208929142261</v>
          </cell>
          <cell r="EK15">
            <v>0.14000000000000001</v>
          </cell>
          <cell r="EL15">
            <v>1.2356208929142261</v>
          </cell>
          <cell r="EP15">
            <v>0.14000000000000001</v>
          </cell>
          <cell r="EQ15">
            <v>1.2356208929142261</v>
          </cell>
          <cell r="EU15">
            <v>0.14000000000000001</v>
          </cell>
          <cell r="EV15">
            <v>1.2356208929142261</v>
          </cell>
        </row>
        <row r="16">
          <cell r="U16">
            <v>0.16</v>
          </cell>
          <cell r="V16">
            <v>1.372732683847727</v>
          </cell>
          <cell r="Z16">
            <v>0.16</v>
          </cell>
          <cell r="AA16">
            <v>1.372732683847727</v>
          </cell>
          <cell r="AE16">
            <v>0.16</v>
          </cell>
          <cell r="AF16">
            <v>1.372732683847727</v>
          </cell>
          <cell r="AJ16">
            <v>0.16</v>
          </cell>
          <cell r="AK16">
            <v>1.372732683847727</v>
          </cell>
          <cell r="AO16">
            <v>0.16</v>
          </cell>
          <cell r="AP16">
            <v>1.372732683847727</v>
          </cell>
          <cell r="AT16">
            <v>0.16</v>
          </cell>
          <cell r="AU16">
            <v>1.372732683847727</v>
          </cell>
          <cell r="AY16">
            <v>0.16</v>
          </cell>
          <cell r="AZ16">
            <v>1.372732683847727</v>
          </cell>
          <cell r="BD16">
            <v>0.16</v>
          </cell>
          <cell r="BE16">
            <v>1.372732683847727</v>
          </cell>
          <cell r="BI16">
            <v>0.16</v>
          </cell>
          <cell r="BJ16">
            <v>1.372732683847727</v>
          </cell>
          <cell r="BN16">
            <v>0.16</v>
          </cell>
          <cell r="BO16">
            <v>1.372732683847727</v>
          </cell>
          <cell r="BS16">
            <v>0.16</v>
          </cell>
          <cell r="BT16">
            <v>1.372732683847727</v>
          </cell>
          <cell r="BX16">
            <v>0.16</v>
          </cell>
          <cell r="BY16">
            <v>1.372732683847727</v>
          </cell>
          <cell r="CC16">
            <v>0.16</v>
          </cell>
          <cell r="CD16">
            <v>1.372732683847727</v>
          </cell>
          <cell r="CH16">
            <v>0.16</v>
          </cell>
          <cell r="CI16">
            <v>1.372732683847727</v>
          </cell>
          <cell r="CM16">
            <v>0.16</v>
          </cell>
          <cell r="CN16">
            <v>1.372732683847727</v>
          </cell>
          <cell r="CR16">
            <v>0.16</v>
          </cell>
          <cell r="CS16">
            <v>1.372732683847727</v>
          </cell>
          <cell r="CW16">
            <v>0.16</v>
          </cell>
          <cell r="CX16">
            <v>1.372732683847727</v>
          </cell>
          <cell r="DB16">
            <v>0.16</v>
          </cell>
          <cell r="DC16">
            <v>1.372732683847727</v>
          </cell>
          <cell r="DG16">
            <v>0.16</v>
          </cell>
          <cell r="DH16">
            <v>1.372732683847727</v>
          </cell>
          <cell r="DL16">
            <v>0.16</v>
          </cell>
          <cell r="DM16">
            <v>1.372732683847727</v>
          </cell>
          <cell r="DQ16">
            <v>0.16</v>
          </cell>
          <cell r="DR16">
            <v>1.372732683847727</v>
          </cell>
          <cell r="DV16">
            <v>0.16</v>
          </cell>
          <cell r="DW16">
            <v>1.372732683847727</v>
          </cell>
          <cell r="EA16">
            <v>0.16</v>
          </cell>
          <cell r="EB16">
            <v>1.372732683847727</v>
          </cell>
          <cell r="EF16">
            <v>0.16</v>
          </cell>
          <cell r="EG16">
            <v>1.372732683847727</v>
          </cell>
          <cell r="EK16">
            <v>0.16</v>
          </cell>
          <cell r="EL16">
            <v>1.372732683847727</v>
          </cell>
          <cell r="EP16">
            <v>0.16</v>
          </cell>
          <cell r="EQ16">
            <v>1.372732683847727</v>
          </cell>
          <cell r="EU16">
            <v>0.16</v>
          </cell>
          <cell r="EV16">
            <v>1.372732683847727</v>
          </cell>
        </row>
        <row r="17">
          <cell r="U17">
            <v>0.18</v>
          </cell>
          <cell r="V17">
            <v>1.5071359620533809</v>
          </cell>
          <cell r="Z17">
            <v>0.18</v>
          </cell>
          <cell r="AA17">
            <v>1.5071359620533809</v>
          </cell>
          <cell r="AE17">
            <v>0.18</v>
          </cell>
          <cell r="AF17">
            <v>1.5071359620533809</v>
          </cell>
          <cell r="AJ17">
            <v>0.18</v>
          </cell>
          <cell r="AK17">
            <v>1.5071359620533809</v>
          </cell>
          <cell r="AO17">
            <v>0.18</v>
          </cell>
          <cell r="AP17">
            <v>1.5071359620533809</v>
          </cell>
          <cell r="AT17">
            <v>0.18</v>
          </cell>
          <cell r="AU17">
            <v>1.5071359620533809</v>
          </cell>
          <cell r="AY17">
            <v>0.18</v>
          </cell>
          <cell r="AZ17">
            <v>1.5071359620533809</v>
          </cell>
          <cell r="BD17">
            <v>0.18</v>
          </cell>
          <cell r="BE17">
            <v>1.5071359620533809</v>
          </cell>
          <cell r="BI17">
            <v>0.18</v>
          </cell>
          <cell r="BJ17">
            <v>1.5071359620533809</v>
          </cell>
          <cell r="BN17">
            <v>0.18</v>
          </cell>
          <cell r="BO17">
            <v>1.5071359620533809</v>
          </cell>
          <cell r="BS17">
            <v>0.18</v>
          </cell>
          <cell r="BT17">
            <v>1.5071359620533809</v>
          </cell>
          <cell r="BX17">
            <v>0.18</v>
          </cell>
          <cell r="BY17">
            <v>1.5071359620533809</v>
          </cell>
          <cell r="CC17">
            <v>0.18</v>
          </cell>
          <cell r="CD17">
            <v>1.5071359620533809</v>
          </cell>
          <cell r="CH17">
            <v>0.18</v>
          </cell>
          <cell r="CI17">
            <v>1.5071359620533809</v>
          </cell>
          <cell r="CM17">
            <v>0.18</v>
          </cell>
          <cell r="CN17">
            <v>1.5071359620533809</v>
          </cell>
          <cell r="CR17">
            <v>0.18</v>
          </cell>
          <cell r="CS17">
            <v>1.5071359620533809</v>
          </cell>
          <cell r="CW17">
            <v>0.18</v>
          </cell>
          <cell r="CX17">
            <v>1.5071359620533809</v>
          </cell>
          <cell r="DB17">
            <v>0.18</v>
          </cell>
          <cell r="DC17">
            <v>1.5071359620533809</v>
          </cell>
          <cell r="DG17">
            <v>0.18</v>
          </cell>
          <cell r="DH17">
            <v>1.5071359620533809</v>
          </cell>
          <cell r="DL17">
            <v>0.18</v>
          </cell>
          <cell r="DM17">
            <v>1.5071359620533809</v>
          </cell>
          <cell r="DQ17">
            <v>0.18</v>
          </cell>
          <cell r="DR17">
            <v>1.5071359620533809</v>
          </cell>
          <cell r="DV17">
            <v>0.18</v>
          </cell>
          <cell r="DW17">
            <v>1.5071359620533809</v>
          </cell>
          <cell r="EA17">
            <v>0.18</v>
          </cell>
          <cell r="EB17">
            <v>1.5071359620533809</v>
          </cell>
          <cell r="EF17">
            <v>0.18</v>
          </cell>
          <cell r="EG17">
            <v>1.5071359620533809</v>
          </cell>
          <cell r="EK17">
            <v>0.18</v>
          </cell>
          <cell r="EL17">
            <v>1.5071359620533809</v>
          </cell>
          <cell r="EP17">
            <v>0.18</v>
          </cell>
          <cell r="EQ17">
            <v>1.5071359620533809</v>
          </cell>
          <cell r="EU17">
            <v>0.18</v>
          </cell>
          <cell r="EV17">
            <v>1.5071359620533809</v>
          </cell>
        </row>
        <row r="18">
          <cell r="U18">
            <v>0.19999999999999998</v>
          </cell>
          <cell r="V18">
            <v>1.6388307275311875</v>
          </cell>
          <cell r="Z18">
            <v>0.19999999999999998</v>
          </cell>
          <cell r="AA18">
            <v>1.6388307275311875</v>
          </cell>
          <cell r="AE18">
            <v>0.19999999999999998</v>
          </cell>
          <cell r="AF18">
            <v>1.6388307275311875</v>
          </cell>
          <cell r="AJ18">
            <v>0.19999999999999998</v>
          </cell>
          <cell r="AK18">
            <v>1.6388307275311875</v>
          </cell>
          <cell r="AO18">
            <v>0.19999999999999998</v>
          </cell>
          <cell r="AP18">
            <v>1.6388307275311875</v>
          </cell>
          <cell r="AT18">
            <v>0.19999999999999998</v>
          </cell>
          <cell r="AU18">
            <v>1.6388307275311875</v>
          </cell>
          <cell r="AY18">
            <v>0.19999999999999998</v>
          </cell>
          <cell r="AZ18">
            <v>1.6388307275311875</v>
          </cell>
          <cell r="BD18">
            <v>0.19999999999999998</v>
          </cell>
          <cell r="BE18">
            <v>1.6388307275311875</v>
          </cell>
          <cell r="BI18">
            <v>0.19999999999999998</v>
          </cell>
          <cell r="BJ18">
            <v>1.6388307275311875</v>
          </cell>
          <cell r="BN18">
            <v>0.19999999999999998</v>
          </cell>
          <cell r="BO18">
            <v>1.6388307275311875</v>
          </cell>
          <cell r="BS18">
            <v>0.19999999999999998</v>
          </cell>
          <cell r="BT18">
            <v>1.6388307275311875</v>
          </cell>
          <cell r="BX18">
            <v>0.19999999999999998</v>
          </cell>
          <cell r="BY18">
            <v>1.6388307275311875</v>
          </cell>
          <cell r="CC18">
            <v>0.19999999999999998</v>
          </cell>
          <cell r="CD18">
            <v>1.6388307275311875</v>
          </cell>
          <cell r="CH18">
            <v>0.19999999999999998</v>
          </cell>
          <cell r="CI18">
            <v>1.6388307275311875</v>
          </cell>
          <cell r="CM18">
            <v>0.19999999999999998</v>
          </cell>
          <cell r="CN18">
            <v>1.6388307275311875</v>
          </cell>
          <cell r="CR18">
            <v>0.19999999999999998</v>
          </cell>
          <cell r="CS18">
            <v>1.6388307275311875</v>
          </cell>
          <cell r="CW18">
            <v>0.19999999999999998</v>
          </cell>
          <cell r="CX18">
            <v>1.6388307275311875</v>
          </cell>
          <cell r="DB18">
            <v>0.19999999999999998</v>
          </cell>
          <cell r="DC18">
            <v>1.6388307275311875</v>
          </cell>
          <cell r="DG18">
            <v>0.19999999999999998</v>
          </cell>
          <cell r="DH18">
            <v>1.6388307275311875</v>
          </cell>
          <cell r="DL18">
            <v>0.19999999999999998</v>
          </cell>
          <cell r="DM18">
            <v>1.6388307275311875</v>
          </cell>
          <cell r="DQ18">
            <v>0.19999999999999998</v>
          </cell>
          <cell r="DR18">
            <v>1.6388307275311875</v>
          </cell>
          <cell r="DV18">
            <v>0.19999999999999998</v>
          </cell>
          <cell r="DW18">
            <v>1.6388307275311875</v>
          </cell>
          <cell r="EA18">
            <v>0.19999999999999998</v>
          </cell>
          <cell r="EB18">
            <v>1.6388307275311875</v>
          </cell>
          <cell r="EF18">
            <v>0.19999999999999998</v>
          </cell>
          <cell r="EG18">
            <v>1.6388307275311875</v>
          </cell>
          <cell r="EK18">
            <v>0.19999999999999998</v>
          </cell>
          <cell r="EL18">
            <v>1.6388307275311875</v>
          </cell>
          <cell r="EP18">
            <v>0.19999999999999998</v>
          </cell>
          <cell r="EQ18">
            <v>1.6388307275311875</v>
          </cell>
          <cell r="EU18">
            <v>0.19999999999999998</v>
          </cell>
          <cell r="EV18">
            <v>1.6388307275311875</v>
          </cell>
        </row>
        <row r="19">
          <cell r="U19">
            <v>0.21999999999999997</v>
          </cell>
          <cell r="V19">
            <v>1.7678169802811474</v>
          </cell>
          <cell r="Z19">
            <v>0.21999999999999997</v>
          </cell>
          <cell r="AA19">
            <v>1.7678169802811474</v>
          </cell>
          <cell r="AE19">
            <v>0.21999999999999997</v>
          </cell>
          <cell r="AF19">
            <v>1.7678169802811474</v>
          </cell>
          <cell r="AJ19">
            <v>0.21999999999999997</v>
          </cell>
          <cell r="AK19">
            <v>1.7678169802811474</v>
          </cell>
          <cell r="AO19">
            <v>0.21999999999999997</v>
          </cell>
          <cell r="AP19">
            <v>1.7678169802811474</v>
          </cell>
          <cell r="AT19">
            <v>0.21999999999999997</v>
          </cell>
          <cell r="AU19">
            <v>1.7678169802811474</v>
          </cell>
          <cell r="AY19">
            <v>0.21999999999999997</v>
          </cell>
          <cell r="AZ19">
            <v>1.7678169802811474</v>
          </cell>
          <cell r="BD19">
            <v>0.21999999999999997</v>
          </cell>
          <cell r="BE19">
            <v>1.7678169802811474</v>
          </cell>
          <cell r="BI19">
            <v>0.21999999999999997</v>
          </cell>
          <cell r="BJ19">
            <v>1.7678169802811474</v>
          </cell>
          <cell r="BN19">
            <v>0.21999999999999997</v>
          </cell>
          <cell r="BO19">
            <v>1.7678169802811474</v>
          </cell>
          <cell r="BS19">
            <v>0.21999999999999997</v>
          </cell>
          <cell r="BT19">
            <v>1.7678169802811474</v>
          </cell>
          <cell r="BX19">
            <v>0.21999999999999997</v>
          </cell>
          <cell r="BY19">
            <v>1.7678169802811474</v>
          </cell>
          <cell r="CC19">
            <v>0.21999999999999997</v>
          </cell>
          <cell r="CD19">
            <v>1.7678169802811474</v>
          </cell>
          <cell r="CH19">
            <v>0.21999999999999997</v>
          </cell>
          <cell r="CI19">
            <v>1.7678169802811474</v>
          </cell>
          <cell r="CM19">
            <v>0.21999999999999997</v>
          </cell>
          <cell r="CN19">
            <v>1.7678169802811474</v>
          </cell>
          <cell r="CR19">
            <v>0.21999999999999997</v>
          </cell>
          <cell r="CS19">
            <v>1.7678169802811474</v>
          </cell>
          <cell r="CW19">
            <v>0.21999999999999997</v>
          </cell>
          <cell r="CX19">
            <v>1.7678169802811474</v>
          </cell>
          <cell r="DB19">
            <v>0.21999999999999997</v>
          </cell>
          <cell r="DC19">
            <v>1.7678169802811474</v>
          </cell>
          <cell r="DG19">
            <v>0.21999999999999997</v>
          </cell>
          <cell r="DH19">
            <v>1.7678169802811474</v>
          </cell>
          <cell r="DL19">
            <v>0.21999999999999997</v>
          </cell>
          <cell r="DM19">
            <v>1.7678169802811474</v>
          </cell>
          <cell r="DQ19">
            <v>0.21999999999999997</v>
          </cell>
          <cell r="DR19">
            <v>1.7678169802811474</v>
          </cell>
          <cell r="DV19">
            <v>0.21999999999999997</v>
          </cell>
          <cell r="DW19">
            <v>1.7678169802811474</v>
          </cell>
          <cell r="EA19">
            <v>0.21999999999999997</v>
          </cell>
          <cell r="EB19">
            <v>1.7678169802811474</v>
          </cell>
          <cell r="EF19">
            <v>0.21999999999999997</v>
          </cell>
          <cell r="EG19">
            <v>1.7678169802811474</v>
          </cell>
          <cell r="EK19">
            <v>0.21999999999999997</v>
          </cell>
          <cell r="EL19">
            <v>1.7678169802811474</v>
          </cell>
          <cell r="EP19">
            <v>0.21999999999999997</v>
          </cell>
          <cell r="EQ19">
            <v>1.7678169802811474</v>
          </cell>
          <cell r="EU19">
            <v>0.21999999999999997</v>
          </cell>
          <cell r="EV19">
            <v>1.7678169802811474</v>
          </cell>
        </row>
        <row r="20">
          <cell r="U20">
            <v>0.23999999999999996</v>
          </cell>
          <cell r="V20">
            <v>1.8940947203032601</v>
          </cell>
          <cell r="Z20">
            <v>0.23999999999999996</v>
          </cell>
          <cell r="AA20">
            <v>1.8940947203032601</v>
          </cell>
          <cell r="AE20">
            <v>0.23999999999999996</v>
          </cell>
          <cell r="AF20">
            <v>1.8940947203032601</v>
          </cell>
          <cell r="AJ20">
            <v>0.23999999999999996</v>
          </cell>
          <cell r="AK20">
            <v>1.8940947203032601</v>
          </cell>
          <cell r="AO20">
            <v>0.23999999999999996</v>
          </cell>
          <cell r="AP20">
            <v>1.8940947203032601</v>
          </cell>
          <cell r="AT20">
            <v>0.23999999999999996</v>
          </cell>
          <cell r="AU20">
            <v>1.8940947203032601</v>
          </cell>
          <cell r="AY20">
            <v>0.23999999999999996</v>
          </cell>
          <cell r="AZ20">
            <v>1.8940947203032601</v>
          </cell>
          <cell r="BD20">
            <v>0.23999999999999996</v>
          </cell>
          <cell r="BE20">
            <v>1.8940947203032601</v>
          </cell>
          <cell r="BI20">
            <v>0.23999999999999996</v>
          </cell>
          <cell r="BJ20">
            <v>1.8940947203032601</v>
          </cell>
          <cell r="BN20">
            <v>0.23999999999999996</v>
          </cell>
          <cell r="BO20">
            <v>1.8940947203032601</v>
          </cell>
          <cell r="BS20">
            <v>0.23999999999999996</v>
          </cell>
          <cell r="BT20">
            <v>1.8940947203032601</v>
          </cell>
          <cell r="BX20">
            <v>0.23999999999999996</v>
          </cell>
          <cell r="BY20">
            <v>1.8940947203032601</v>
          </cell>
          <cell r="CC20">
            <v>0.23999999999999996</v>
          </cell>
          <cell r="CD20">
            <v>1.8940947203032601</v>
          </cell>
          <cell r="CH20">
            <v>0.23999999999999996</v>
          </cell>
          <cell r="CI20">
            <v>1.8940947203032601</v>
          </cell>
          <cell r="CM20">
            <v>0.23999999999999996</v>
          </cell>
          <cell r="CN20">
            <v>1.8940947203032601</v>
          </cell>
          <cell r="CR20">
            <v>0.23999999999999996</v>
          </cell>
          <cell r="CS20">
            <v>1.8940947203032601</v>
          </cell>
          <cell r="CW20">
            <v>0.23999999999999996</v>
          </cell>
          <cell r="CX20">
            <v>1.8940947203032601</v>
          </cell>
          <cell r="DB20">
            <v>0.23999999999999996</v>
          </cell>
          <cell r="DC20">
            <v>1.8940947203032601</v>
          </cell>
          <cell r="DG20">
            <v>0.23999999999999996</v>
          </cell>
          <cell r="DH20">
            <v>1.8940947203032601</v>
          </cell>
          <cell r="DL20">
            <v>0.23999999999999996</v>
          </cell>
          <cell r="DM20">
            <v>1.8940947203032601</v>
          </cell>
          <cell r="DQ20">
            <v>0.23999999999999996</v>
          </cell>
          <cell r="DR20">
            <v>1.8940947203032601</v>
          </cell>
          <cell r="DV20">
            <v>0.23999999999999996</v>
          </cell>
          <cell r="DW20">
            <v>1.8940947203032601</v>
          </cell>
          <cell r="EA20">
            <v>0.23999999999999996</v>
          </cell>
          <cell r="EB20">
            <v>1.8940947203032601</v>
          </cell>
          <cell r="EF20">
            <v>0.23999999999999996</v>
          </cell>
          <cell r="EG20">
            <v>1.8940947203032601</v>
          </cell>
          <cell r="EK20">
            <v>0.23999999999999996</v>
          </cell>
          <cell r="EL20">
            <v>1.8940947203032601</v>
          </cell>
          <cell r="EP20">
            <v>0.23999999999999996</v>
          </cell>
          <cell r="EQ20">
            <v>1.8940947203032601</v>
          </cell>
          <cell r="EU20">
            <v>0.23999999999999996</v>
          </cell>
          <cell r="EV20">
            <v>1.8940947203032601</v>
          </cell>
        </row>
        <row r="21">
          <cell r="U21">
            <v>0.25999999999999995</v>
          </cell>
          <cell r="V21">
            <v>2.017663947597526</v>
          </cell>
          <cell r="Z21">
            <v>0.25999999999999995</v>
          </cell>
          <cell r="AA21">
            <v>2.017663947597526</v>
          </cell>
          <cell r="AE21">
            <v>0.25999999999999995</v>
          </cell>
          <cell r="AF21">
            <v>2.017663947597526</v>
          </cell>
          <cell r="AJ21">
            <v>0.25999999999999995</v>
          </cell>
          <cell r="AK21">
            <v>2.017663947597526</v>
          </cell>
          <cell r="AO21">
            <v>0.25999999999999995</v>
          </cell>
          <cell r="AP21">
            <v>2.017663947597526</v>
          </cell>
          <cell r="AT21">
            <v>0.25999999999999995</v>
          </cell>
          <cell r="AU21">
            <v>2.017663947597526</v>
          </cell>
          <cell r="AY21">
            <v>0.25999999999999995</v>
          </cell>
          <cell r="AZ21">
            <v>2.017663947597526</v>
          </cell>
          <cell r="BD21">
            <v>0.25999999999999995</v>
          </cell>
          <cell r="BE21">
            <v>2.017663947597526</v>
          </cell>
          <cell r="BI21">
            <v>0.25999999999999995</v>
          </cell>
          <cell r="BJ21">
            <v>2.017663947597526</v>
          </cell>
          <cell r="BN21">
            <v>0.25999999999999995</v>
          </cell>
          <cell r="BO21">
            <v>2.017663947597526</v>
          </cell>
          <cell r="BS21">
            <v>0.25999999999999995</v>
          </cell>
          <cell r="BT21">
            <v>2.017663947597526</v>
          </cell>
          <cell r="BX21">
            <v>0.25999999999999995</v>
          </cell>
          <cell r="BY21">
            <v>2.017663947597526</v>
          </cell>
          <cell r="CC21">
            <v>0.25999999999999995</v>
          </cell>
          <cell r="CD21">
            <v>2.017663947597526</v>
          </cell>
          <cell r="CH21">
            <v>0.25999999999999995</v>
          </cell>
          <cell r="CI21">
            <v>2.017663947597526</v>
          </cell>
          <cell r="CM21">
            <v>0.25999999999999995</v>
          </cell>
          <cell r="CN21">
            <v>2.017663947597526</v>
          </cell>
          <cell r="CR21">
            <v>0.25999999999999995</v>
          </cell>
          <cell r="CS21">
            <v>2.017663947597526</v>
          </cell>
          <cell r="CW21">
            <v>0.25999999999999995</v>
          </cell>
          <cell r="CX21">
            <v>2.017663947597526</v>
          </cell>
          <cell r="DB21">
            <v>0.25999999999999995</v>
          </cell>
          <cell r="DC21">
            <v>2.017663947597526</v>
          </cell>
          <cell r="DG21">
            <v>0.25999999999999995</v>
          </cell>
          <cell r="DH21">
            <v>2.017663947597526</v>
          </cell>
          <cell r="DL21">
            <v>0.25999999999999995</v>
          </cell>
          <cell r="DM21">
            <v>2.017663947597526</v>
          </cell>
          <cell r="DQ21">
            <v>0.25999999999999995</v>
          </cell>
          <cell r="DR21">
            <v>2.017663947597526</v>
          </cell>
          <cell r="DV21">
            <v>0.25999999999999995</v>
          </cell>
          <cell r="DW21">
            <v>2.017663947597526</v>
          </cell>
          <cell r="EA21">
            <v>0.25999999999999995</v>
          </cell>
          <cell r="EB21">
            <v>2.017663947597526</v>
          </cell>
          <cell r="EF21">
            <v>0.25999999999999995</v>
          </cell>
          <cell r="EG21">
            <v>2.017663947597526</v>
          </cell>
          <cell r="EK21">
            <v>0.25999999999999995</v>
          </cell>
          <cell r="EL21">
            <v>2.017663947597526</v>
          </cell>
          <cell r="EP21">
            <v>0.25999999999999995</v>
          </cell>
          <cell r="EQ21">
            <v>2.017663947597526</v>
          </cell>
          <cell r="EU21">
            <v>0.25999999999999995</v>
          </cell>
          <cell r="EV21">
            <v>2.017663947597526</v>
          </cell>
        </row>
        <row r="22">
          <cell r="U22">
            <v>0.27999999999999997</v>
          </cell>
          <cell r="V22">
            <v>2.1385246621639449</v>
          </cell>
          <cell r="Z22">
            <v>0.27999999999999997</v>
          </cell>
          <cell r="AA22">
            <v>2.1385246621639449</v>
          </cell>
          <cell r="AE22">
            <v>0.27999999999999997</v>
          </cell>
          <cell r="AF22">
            <v>2.1385246621639449</v>
          </cell>
          <cell r="AJ22">
            <v>0.27999999999999997</v>
          </cell>
          <cell r="AK22">
            <v>2.1385246621639449</v>
          </cell>
          <cell r="AO22">
            <v>0.27999999999999997</v>
          </cell>
          <cell r="AP22">
            <v>2.1385246621639449</v>
          </cell>
          <cell r="AT22">
            <v>0.27999999999999997</v>
          </cell>
          <cell r="AU22">
            <v>2.1385246621639449</v>
          </cell>
          <cell r="AY22">
            <v>0.27999999999999997</v>
          </cell>
          <cell r="AZ22">
            <v>2.1385246621639449</v>
          </cell>
          <cell r="BD22">
            <v>0.27999999999999997</v>
          </cell>
          <cell r="BE22">
            <v>2.1385246621639449</v>
          </cell>
          <cell r="BI22">
            <v>0.27999999999999997</v>
          </cell>
          <cell r="BJ22">
            <v>2.1385246621639449</v>
          </cell>
          <cell r="BN22">
            <v>0.27999999999999997</v>
          </cell>
          <cell r="BO22">
            <v>2.1385246621639449</v>
          </cell>
          <cell r="BS22">
            <v>0.27999999999999997</v>
          </cell>
          <cell r="BT22">
            <v>2.1385246621639449</v>
          </cell>
          <cell r="BX22">
            <v>0.27999999999999997</v>
          </cell>
          <cell r="BY22">
            <v>2.1385246621639449</v>
          </cell>
          <cell r="CC22">
            <v>0.27999999999999997</v>
          </cell>
          <cell r="CD22">
            <v>2.1385246621639449</v>
          </cell>
          <cell r="CH22">
            <v>0.27999999999999997</v>
          </cell>
          <cell r="CI22">
            <v>2.1385246621639449</v>
          </cell>
          <cell r="CM22">
            <v>0.27999999999999997</v>
          </cell>
          <cell r="CN22">
            <v>2.1385246621639449</v>
          </cell>
          <cell r="CR22">
            <v>0.27999999999999997</v>
          </cell>
          <cell r="CS22">
            <v>2.1385246621639449</v>
          </cell>
          <cell r="CW22">
            <v>0.27999999999999997</v>
          </cell>
          <cell r="CX22">
            <v>2.1385246621639449</v>
          </cell>
          <cell r="DB22">
            <v>0.27999999999999997</v>
          </cell>
          <cell r="DC22">
            <v>2.1385246621639449</v>
          </cell>
          <cell r="DG22">
            <v>0.27999999999999997</v>
          </cell>
          <cell r="DH22">
            <v>2.1385246621639449</v>
          </cell>
          <cell r="DL22">
            <v>0.27999999999999997</v>
          </cell>
          <cell r="DM22">
            <v>2.1385246621639449</v>
          </cell>
          <cell r="DQ22">
            <v>0.27999999999999997</v>
          </cell>
          <cell r="DR22">
            <v>2.1385246621639449</v>
          </cell>
          <cell r="DV22">
            <v>0.27999999999999997</v>
          </cell>
          <cell r="DW22">
            <v>2.1385246621639449</v>
          </cell>
          <cell r="EA22">
            <v>0.27999999999999997</v>
          </cell>
          <cell r="EB22">
            <v>2.1385246621639449</v>
          </cell>
          <cell r="EF22">
            <v>0.27999999999999997</v>
          </cell>
          <cell r="EG22">
            <v>2.1385246621639449</v>
          </cell>
          <cell r="EK22">
            <v>0.27999999999999997</v>
          </cell>
          <cell r="EL22">
            <v>2.1385246621639449</v>
          </cell>
          <cell r="EP22">
            <v>0.27999999999999997</v>
          </cell>
          <cell r="EQ22">
            <v>2.1385246621639449</v>
          </cell>
          <cell r="EU22">
            <v>0.27999999999999997</v>
          </cell>
          <cell r="EV22">
            <v>2.1385246621639449</v>
          </cell>
        </row>
        <row r="23">
          <cell r="U23">
            <v>0.3</v>
          </cell>
          <cell r="V23">
            <v>2.2566768640025163</v>
          </cell>
          <cell r="Z23">
            <v>0.3</v>
          </cell>
          <cell r="AA23">
            <v>2.2566768640025163</v>
          </cell>
          <cell r="AE23">
            <v>0.3</v>
          </cell>
          <cell r="AF23">
            <v>2.2566768640025163</v>
          </cell>
          <cell r="AJ23">
            <v>0.3</v>
          </cell>
          <cell r="AK23">
            <v>2.2566768640025163</v>
          </cell>
          <cell r="AO23">
            <v>0.3</v>
          </cell>
          <cell r="AP23">
            <v>2.2566768640025163</v>
          </cell>
          <cell r="AT23">
            <v>0.3</v>
          </cell>
          <cell r="AU23">
            <v>2.2566768640025163</v>
          </cell>
          <cell r="AY23">
            <v>0.3</v>
          </cell>
          <cell r="AZ23">
            <v>2.2566768640025163</v>
          </cell>
          <cell r="BD23">
            <v>0.3</v>
          </cell>
          <cell r="BE23">
            <v>2.2566768640025163</v>
          </cell>
          <cell r="BI23">
            <v>0.3</v>
          </cell>
          <cell r="BJ23">
            <v>2.2566768640025163</v>
          </cell>
          <cell r="BN23">
            <v>0.3</v>
          </cell>
          <cell r="BO23">
            <v>2.2566768640025163</v>
          </cell>
          <cell r="BS23">
            <v>0.3</v>
          </cell>
          <cell r="BT23">
            <v>2.2566768640025163</v>
          </cell>
          <cell r="BX23">
            <v>0.3</v>
          </cell>
          <cell r="BY23">
            <v>2.2566768640025163</v>
          </cell>
          <cell r="CC23">
            <v>0.3</v>
          </cell>
          <cell r="CD23">
            <v>2.2566768640025163</v>
          </cell>
          <cell r="CH23">
            <v>0.3</v>
          </cell>
          <cell r="CI23">
            <v>2.2566768640025163</v>
          </cell>
          <cell r="CM23">
            <v>0.3</v>
          </cell>
          <cell r="CN23">
            <v>2.2566768640025163</v>
          </cell>
          <cell r="CR23">
            <v>0.3</v>
          </cell>
          <cell r="CS23">
            <v>2.2566768640025163</v>
          </cell>
          <cell r="CW23">
            <v>0.3</v>
          </cell>
          <cell r="CX23">
            <v>2.2566768640025163</v>
          </cell>
          <cell r="DB23">
            <v>0.3</v>
          </cell>
          <cell r="DC23">
            <v>2.2566768640025163</v>
          </cell>
          <cell r="DG23">
            <v>0.3</v>
          </cell>
          <cell r="DH23">
            <v>2.2566768640025163</v>
          </cell>
          <cell r="DL23">
            <v>0.3</v>
          </cell>
          <cell r="DM23">
            <v>2.2566768640025163</v>
          </cell>
          <cell r="DQ23">
            <v>0.3</v>
          </cell>
          <cell r="DR23">
            <v>2.2566768640025163</v>
          </cell>
          <cell r="DV23">
            <v>0.3</v>
          </cell>
          <cell r="DW23">
            <v>2.2566768640025163</v>
          </cell>
          <cell r="EA23">
            <v>0.3</v>
          </cell>
          <cell r="EB23">
            <v>2.2566768640025163</v>
          </cell>
          <cell r="EF23">
            <v>0.3</v>
          </cell>
          <cell r="EG23">
            <v>2.2566768640025163</v>
          </cell>
          <cell r="EK23">
            <v>0.3</v>
          </cell>
          <cell r="EL23">
            <v>2.2566768640025163</v>
          </cell>
          <cell r="EP23">
            <v>0.3</v>
          </cell>
          <cell r="EQ23">
            <v>2.2566768640025163</v>
          </cell>
          <cell r="EU23">
            <v>0.3</v>
          </cell>
          <cell r="EV23">
            <v>2.2566768640025163</v>
          </cell>
        </row>
        <row r="24">
          <cell r="U24">
            <v>0.32</v>
          </cell>
          <cell r="V24">
            <v>2.3721205531132408</v>
          </cell>
          <cell r="Z24">
            <v>0.32</v>
          </cell>
          <cell r="AA24">
            <v>2.3721205531132408</v>
          </cell>
          <cell r="AE24">
            <v>0.32</v>
          </cell>
          <cell r="AF24">
            <v>2.3721205531132408</v>
          </cell>
          <cell r="AJ24">
            <v>0.32</v>
          </cell>
          <cell r="AK24">
            <v>2.3721205531132408</v>
          </cell>
          <cell r="AO24">
            <v>0.32</v>
          </cell>
          <cell r="AP24">
            <v>2.3721205531132408</v>
          </cell>
          <cell r="AT24">
            <v>0.32</v>
          </cell>
          <cell r="AU24">
            <v>2.3721205531132408</v>
          </cell>
          <cell r="AY24">
            <v>0.32</v>
          </cell>
          <cell r="AZ24">
            <v>2.3721205531132408</v>
          </cell>
          <cell r="BD24">
            <v>0.32</v>
          </cell>
          <cell r="BE24">
            <v>2.3721205531132408</v>
          </cell>
          <cell r="BI24">
            <v>0.32</v>
          </cell>
          <cell r="BJ24">
            <v>2.3721205531132408</v>
          </cell>
          <cell r="BN24">
            <v>0.32</v>
          </cell>
          <cell r="BO24">
            <v>2.3721205531132408</v>
          </cell>
          <cell r="BS24">
            <v>0.32</v>
          </cell>
          <cell r="BT24">
            <v>2.3721205531132408</v>
          </cell>
          <cell r="BX24">
            <v>0.32</v>
          </cell>
          <cell r="BY24">
            <v>2.3721205531132408</v>
          </cell>
          <cell r="CC24">
            <v>0.32</v>
          </cell>
          <cell r="CD24">
            <v>2.3721205531132408</v>
          </cell>
          <cell r="CH24">
            <v>0.32</v>
          </cell>
          <cell r="CI24">
            <v>2.3721205531132408</v>
          </cell>
          <cell r="CM24">
            <v>0.32</v>
          </cell>
          <cell r="CN24">
            <v>2.3721205531132408</v>
          </cell>
          <cell r="CR24">
            <v>0.32</v>
          </cell>
          <cell r="CS24">
            <v>2.3721205531132408</v>
          </cell>
          <cell r="CW24">
            <v>0.32</v>
          </cell>
          <cell r="CX24">
            <v>2.3721205531132408</v>
          </cell>
          <cell r="DB24">
            <v>0.32</v>
          </cell>
          <cell r="DC24">
            <v>2.3721205531132408</v>
          </cell>
          <cell r="DG24">
            <v>0.32</v>
          </cell>
          <cell r="DH24">
            <v>2.3721205531132408</v>
          </cell>
          <cell r="DL24">
            <v>0.32</v>
          </cell>
          <cell r="DM24">
            <v>2.3721205531132408</v>
          </cell>
          <cell r="DQ24">
            <v>0.32</v>
          </cell>
          <cell r="DR24">
            <v>2.3721205531132408</v>
          </cell>
          <cell r="DV24">
            <v>0.32</v>
          </cell>
          <cell r="DW24">
            <v>2.3721205531132408</v>
          </cell>
          <cell r="EA24">
            <v>0.32</v>
          </cell>
          <cell r="EB24">
            <v>2.3721205531132408</v>
          </cell>
          <cell r="EF24">
            <v>0.32</v>
          </cell>
          <cell r="EG24">
            <v>2.3721205531132408</v>
          </cell>
          <cell r="EK24">
            <v>0.32</v>
          </cell>
          <cell r="EL24">
            <v>2.3721205531132408</v>
          </cell>
          <cell r="EP24">
            <v>0.32</v>
          </cell>
          <cell r="EQ24">
            <v>2.3721205531132408</v>
          </cell>
          <cell r="EU24">
            <v>0.32</v>
          </cell>
          <cell r="EV24">
            <v>2.3721205531132408</v>
          </cell>
        </row>
        <row r="25">
          <cell r="U25">
            <v>0.34</v>
          </cell>
          <cell r="V25">
            <v>2.4848557294961182</v>
          </cell>
          <cell r="Z25">
            <v>0.34</v>
          </cell>
          <cell r="AA25">
            <v>2.4848557294961182</v>
          </cell>
          <cell r="AE25">
            <v>0.34</v>
          </cell>
          <cell r="AF25">
            <v>2.4848557294961182</v>
          </cell>
          <cell r="AJ25">
            <v>0.34</v>
          </cell>
          <cell r="AK25">
            <v>2.4848557294961182</v>
          </cell>
          <cell r="AO25">
            <v>0.34</v>
          </cell>
          <cell r="AP25">
            <v>2.4848557294961182</v>
          </cell>
          <cell r="AT25">
            <v>0.34</v>
          </cell>
          <cell r="AU25">
            <v>2.4848557294961182</v>
          </cell>
          <cell r="AY25">
            <v>0.34</v>
          </cell>
          <cell r="AZ25">
            <v>2.4848557294961182</v>
          </cell>
          <cell r="BD25">
            <v>0.34</v>
          </cell>
          <cell r="BE25">
            <v>2.4848557294961182</v>
          </cell>
          <cell r="BI25">
            <v>0.34</v>
          </cell>
          <cell r="BJ25">
            <v>2.4848557294961182</v>
          </cell>
          <cell r="BN25">
            <v>0.34</v>
          </cell>
          <cell r="BO25">
            <v>2.4848557294961182</v>
          </cell>
          <cell r="BS25">
            <v>0.34</v>
          </cell>
          <cell r="BT25">
            <v>2.4848557294961182</v>
          </cell>
          <cell r="BX25">
            <v>0.34</v>
          </cell>
          <cell r="BY25">
            <v>2.4848557294961182</v>
          </cell>
          <cell r="CC25">
            <v>0.34</v>
          </cell>
          <cell r="CD25">
            <v>2.4848557294961182</v>
          </cell>
          <cell r="CH25">
            <v>0.34</v>
          </cell>
          <cell r="CI25">
            <v>2.4848557294961182</v>
          </cell>
          <cell r="CM25">
            <v>0.34</v>
          </cell>
          <cell r="CN25">
            <v>2.4848557294961182</v>
          </cell>
          <cell r="CR25">
            <v>0.34</v>
          </cell>
          <cell r="CS25">
            <v>2.4848557294961182</v>
          </cell>
          <cell r="CW25">
            <v>0.34</v>
          </cell>
          <cell r="CX25">
            <v>2.4848557294961182</v>
          </cell>
          <cell r="DB25">
            <v>0.34</v>
          </cell>
          <cell r="DC25">
            <v>2.4848557294961182</v>
          </cell>
          <cell r="DG25">
            <v>0.34</v>
          </cell>
          <cell r="DH25">
            <v>2.4848557294961182</v>
          </cell>
          <cell r="DL25">
            <v>0.34</v>
          </cell>
          <cell r="DM25">
            <v>2.4848557294961182</v>
          </cell>
          <cell r="DQ25">
            <v>0.34</v>
          </cell>
          <cell r="DR25">
            <v>2.4848557294961182</v>
          </cell>
          <cell r="DV25">
            <v>0.34</v>
          </cell>
          <cell r="DW25">
            <v>2.4848557294961182</v>
          </cell>
          <cell r="EA25">
            <v>0.34</v>
          </cell>
          <cell r="EB25">
            <v>2.4848557294961182</v>
          </cell>
          <cell r="EF25">
            <v>0.34</v>
          </cell>
          <cell r="EG25">
            <v>2.4848557294961182</v>
          </cell>
          <cell r="EK25">
            <v>0.34</v>
          </cell>
          <cell r="EL25">
            <v>2.4848557294961182</v>
          </cell>
          <cell r="EP25">
            <v>0.34</v>
          </cell>
          <cell r="EQ25">
            <v>2.4848557294961182</v>
          </cell>
          <cell r="EU25">
            <v>0.34</v>
          </cell>
          <cell r="EV25">
            <v>2.4848557294961182</v>
          </cell>
        </row>
        <row r="26">
          <cell r="U26">
            <v>0.36000000000000004</v>
          </cell>
          <cell r="V26">
            <v>2.5948823931511487</v>
          </cell>
          <cell r="Z26">
            <v>0.36000000000000004</v>
          </cell>
          <cell r="AA26">
            <v>2.5948823931511487</v>
          </cell>
          <cell r="AE26">
            <v>0.36000000000000004</v>
          </cell>
          <cell r="AF26">
            <v>2.5948823931511487</v>
          </cell>
          <cell r="AJ26">
            <v>0.36000000000000004</v>
          </cell>
          <cell r="AK26">
            <v>2.5948823931511487</v>
          </cell>
          <cell r="AO26">
            <v>0.36000000000000004</v>
          </cell>
          <cell r="AP26">
            <v>2.5948823931511487</v>
          </cell>
          <cell r="AT26">
            <v>0.36000000000000004</v>
          </cell>
          <cell r="AU26">
            <v>2.5948823931511487</v>
          </cell>
          <cell r="AY26">
            <v>0.36000000000000004</v>
          </cell>
          <cell r="AZ26">
            <v>2.5948823931511487</v>
          </cell>
          <cell r="BD26">
            <v>0.36000000000000004</v>
          </cell>
          <cell r="BE26">
            <v>2.5948823931511487</v>
          </cell>
          <cell r="BI26">
            <v>0.36000000000000004</v>
          </cell>
          <cell r="BJ26">
            <v>2.5948823931511487</v>
          </cell>
          <cell r="BN26">
            <v>0.36000000000000004</v>
          </cell>
          <cell r="BO26">
            <v>2.5948823931511487</v>
          </cell>
          <cell r="BS26">
            <v>0.36000000000000004</v>
          </cell>
          <cell r="BT26">
            <v>2.5948823931511487</v>
          </cell>
          <cell r="BX26">
            <v>0.36000000000000004</v>
          </cell>
          <cell r="BY26">
            <v>2.5948823931511487</v>
          </cell>
          <cell r="CC26">
            <v>0.36000000000000004</v>
          </cell>
          <cell r="CD26">
            <v>2.5948823931511487</v>
          </cell>
          <cell r="CH26">
            <v>0.36000000000000004</v>
          </cell>
          <cell r="CI26">
            <v>2.5948823931511487</v>
          </cell>
          <cell r="CM26">
            <v>0.36000000000000004</v>
          </cell>
          <cell r="CN26">
            <v>2.5948823931511487</v>
          </cell>
          <cell r="CR26">
            <v>0.36000000000000004</v>
          </cell>
          <cell r="CS26">
            <v>2.5948823931511487</v>
          </cell>
          <cell r="CW26">
            <v>0.36000000000000004</v>
          </cell>
          <cell r="CX26">
            <v>2.5948823931511487</v>
          </cell>
          <cell r="DB26">
            <v>0.36000000000000004</v>
          </cell>
          <cell r="DC26">
            <v>2.5948823931511487</v>
          </cell>
          <cell r="DG26">
            <v>0.36000000000000004</v>
          </cell>
          <cell r="DH26">
            <v>2.5948823931511487</v>
          </cell>
          <cell r="DL26">
            <v>0.36000000000000004</v>
          </cell>
          <cell r="DM26">
            <v>2.5948823931511487</v>
          </cell>
          <cell r="DQ26">
            <v>0.36000000000000004</v>
          </cell>
          <cell r="DR26">
            <v>2.5948823931511487</v>
          </cell>
          <cell r="DV26">
            <v>0.36000000000000004</v>
          </cell>
          <cell r="DW26">
            <v>2.5948823931511487</v>
          </cell>
          <cell r="EA26">
            <v>0.36000000000000004</v>
          </cell>
          <cell r="EB26">
            <v>2.5948823931511487</v>
          </cell>
          <cell r="EF26">
            <v>0.36000000000000004</v>
          </cell>
          <cell r="EG26">
            <v>2.5948823931511487</v>
          </cell>
          <cell r="EK26">
            <v>0.36000000000000004</v>
          </cell>
          <cell r="EL26">
            <v>2.5948823931511487</v>
          </cell>
          <cell r="EP26">
            <v>0.36000000000000004</v>
          </cell>
          <cell r="EQ26">
            <v>2.5948823931511487</v>
          </cell>
          <cell r="EU26">
            <v>0.36000000000000004</v>
          </cell>
          <cell r="EV26">
            <v>2.5948823931511487</v>
          </cell>
        </row>
        <row r="27">
          <cell r="U27">
            <v>0.38000000000000006</v>
          </cell>
          <cell r="V27">
            <v>2.7022005440783317</v>
          </cell>
          <cell r="Z27">
            <v>0.38000000000000006</v>
          </cell>
          <cell r="AA27">
            <v>2.7022005440783317</v>
          </cell>
          <cell r="AE27">
            <v>0.38000000000000006</v>
          </cell>
          <cell r="AF27">
            <v>2.7022005440783317</v>
          </cell>
          <cell r="AJ27">
            <v>0.38000000000000006</v>
          </cell>
          <cell r="AK27">
            <v>2.7022005440783317</v>
          </cell>
          <cell r="AO27">
            <v>0.38000000000000006</v>
          </cell>
          <cell r="AP27">
            <v>2.7022005440783317</v>
          </cell>
          <cell r="AT27">
            <v>0.38000000000000006</v>
          </cell>
          <cell r="AU27">
            <v>2.7022005440783317</v>
          </cell>
          <cell r="AY27">
            <v>0.38000000000000006</v>
          </cell>
          <cell r="AZ27">
            <v>2.7022005440783317</v>
          </cell>
          <cell r="BD27">
            <v>0.38000000000000006</v>
          </cell>
          <cell r="BE27">
            <v>2.7022005440783317</v>
          </cell>
          <cell r="BI27">
            <v>0.38000000000000006</v>
          </cell>
          <cell r="BJ27">
            <v>2.7022005440783317</v>
          </cell>
          <cell r="BN27">
            <v>0.38000000000000006</v>
          </cell>
          <cell r="BO27">
            <v>2.7022005440783317</v>
          </cell>
          <cell r="BS27">
            <v>0.38000000000000006</v>
          </cell>
          <cell r="BT27">
            <v>2.7022005440783317</v>
          </cell>
          <cell r="BX27">
            <v>0.38000000000000006</v>
          </cell>
          <cell r="BY27">
            <v>2.7022005440783317</v>
          </cell>
          <cell r="CC27">
            <v>0.38000000000000006</v>
          </cell>
          <cell r="CD27">
            <v>2.7022005440783317</v>
          </cell>
          <cell r="CH27">
            <v>0.38000000000000006</v>
          </cell>
          <cell r="CI27">
            <v>2.7022005440783317</v>
          </cell>
          <cell r="CM27">
            <v>0.38000000000000006</v>
          </cell>
          <cell r="CN27">
            <v>2.7022005440783317</v>
          </cell>
          <cell r="CR27">
            <v>0.38000000000000006</v>
          </cell>
          <cell r="CS27">
            <v>2.7022005440783317</v>
          </cell>
          <cell r="CW27">
            <v>0.38000000000000006</v>
          </cell>
          <cell r="CX27">
            <v>2.7022005440783317</v>
          </cell>
          <cell r="DB27">
            <v>0.38000000000000006</v>
          </cell>
          <cell r="DC27">
            <v>2.7022005440783317</v>
          </cell>
          <cell r="DG27">
            <v>0.38000000000000006</v>
          </cell>
          <cell r="DH27">
            <v>2.7022005440783317</v>
          </cell>
          <cell r="DL27">
            <v>0.38000000000000006</v>
          </cell>
          <cell r="DM27">
            <v>2.7022005440783317</v>
          </cell>
          <cell r="DQ27">
            <v>0.38000000000000006</v>
          </cell>
          <cell r="DR27">
            <v>2.7022005440783317</v>
          </cell>
          <cell r="DV27">
            <v>0.38000000000000006</v>
          </cell>
          <cell r="DW27">
            <v>2.7022005440783317</v>
          </cell>
          <cell r="EA27">
            <v>0.38000000000000006</v>
          </cell>
          <cell r="EB27">
            <v>2.7022005440783317</v>
          </cell>
          <cell r="EF27">
            <v>0.38000000000000006</v>
          </cell>
          <cell r="EG27">
            <v>2.7022005440783317</v>
          </cell>
          <cell r="EK27">
            <v>0.38000000000000006</v>
          </cell>
          <cell r="EL27">
            <v>2.7022005440783317</v>
          </cell>
          <cell r="EP27">
            <v>0.38000000000000006</v>
          </cell>
          <cell r="EQ27">
            <v>2.7022005440783317</v>
          </cell>
          <cell r="EU27">
            <v>0.38000000000000006</v>
          </cell>
          <cell r="EV27">
            <v>2.7022005440783317</v>
          </cell>
        </row>
        <row r="28">
          <cell r="U28">
            <v>0.40000000000000008</v>
          </cell>
          <cell r="V28">
            <v>2.8068101822776677</v>
          </cell>
          <cell r="Z28">
            <v>0.40000000000000008</v>
          </cell>
          <cell r="AA28">
            <v>2.8068101822776677</v>
          </cell>
          <cell r="AE28">
            <v>0.40000000000000008</v>
          </cell>
          <cell r="AF28">
            <v>2.8068101822776677</v>
          </cell>
          <cell r="AJ28">
            <v>0.40000000000000008</v>
          </cell>
          <cell r="AK28">
            <v>2.8068101822776677</v>
          </cell>
          <cell r="AO28">
            <v>0.40000000000000008</v>
          </cell>
          <cell r="AP28">
            <v>2.8068101822776677</v>
          </cell>
          <cell r="AT28">
            <v>0.40000000000000008</v>
          </cell>
          <cell r="AU28">
            <v>2.8068101822776677</v>
          </cell>
          <cell r="AY28">
            <v>0.40000000000000008</v>
          </cell>
          <cell r="AZ28">
            <v>2.8068101822776677</v>
          </cell>
          <cell r="BD28">
            <v>0.40000000000000008</v>
          </cell>
          <cell r="BE28">
            <v>2.8068101822776677</v>
          </cell>
          <cell r="BI28">
            <v>0.40000000000000008</v>
          </cell>
          <cell r="BJ28">
            <v>2.8068101822776677</v>
          </cell>
          <cell r="BN28">
            <v>0.40000000000000008</v>
          </cell>
          <cell r="BO28">
            <v>2.8068101822776677</v>
          </cell>
          <cell r="BS28">
            <v>0.40000000000000008</v>
          </cell>
          <cell r="BT28">
            <v>2.8068101822776677</v>
          </cell>
          <cell r="BX28">
            <v>0.40000000000000008</v>
          </cell>
          <cell r="BY28">
            <v>2.8068101822776677</v>
          </cell>
          <cell r="CC28">
            <v>0.40000000000000008</v>
          </cell>
          <cell r="CD28">
            <v>2.8068101822776677</v>
          </cell>
          <cell r="CH28">
            <v>0.40000000000000008</v>
          </cell>
          <cell r="CI28">
            <v>2.8068101822776677</v>
          </cell>
          <cell r="CM28">
            <v>0.40000000000000008</v>
          </cell>
          <cell r="CN28">
            <v>2.8068101822776677</v>
          </cell>
          <cell r="CR28">
            <v>0.40000000000000008</v>
          </cell>
          <cell r="CS28">
            <v>2.8068101822776677</v>
          </cell>
          <cell r="CW28">
            <v>0.40000000000000008</v>
          </cell>
          <cell r="CX28">
            <v>2.8068101822776677</v>
          </cell>
          <cell r="DB28">
            <v>0.40000000000000008</v>
          </cell>
          <cell r="DC28">
            <v>2.8068101822776677</v>
          </cell>
          <cell r="DG28">
            <v>0.40000000000000008</v>
          </cell>
          <cell r="DH28">
            <v>2.8068101822776677</v>
          </cell>
          <cell r="DL28">
            <v>0.40000000000000008</v>
          </cell>
          <cell r="DM28">
            <v>2.8068101822776677</v>
          </cell>
          <cell r="DQ28">
            <v>0.40000000000000008</v>
          </cell>
          <cell r="DR28">
            <v>2.8068101822776677</v>
          </cell>
          <cell r="DV28">
            <v>0.40000000000000008</v>
          </cell>
          <cell r="DW28">
            <v>2.8068101822776677</v>
          </cell>
          <cell r="EA28">
            <v>0.40000000000000008</v>
          </cell>
          <cell r="EB28">
            <v>2.8068101822776677</v>
          </cell>
          <cell r="EF28">
            <v>0.40000000000000008</v>
          </cell>
          <cell r="EG28">
            <v>2.8068101822776677</v>
          </cell>
          <cell r="EK28">
            <v>0.40000000000000008</v>
          </cell>
          <cell r="EL28">
            <v>2.8068101822776677</v>
          </cell>
          <cell r="EP28">
            <v>0.40000000000000008</v>
          </cell>
          <cell r="EQ28">
            <v>2.8068101822776677</v>
          </cell>
          <cell r="EU28">
            <v>0.40000000000000008</v>
          </cell>
          <cell r="EV28">
            <v>2.8068101822776677</v>
          </cell>
        </row>
        <row r="29">
          <cell r="U29">
            <v>0.4200000000000001</v>
          </cell>
          <cell r="V29">
            <v>2.9087113077491566</v>
          </cell>
          <cell r="Z29">
            <v>0.4200000000000001</v>
          </cell>
          <cell r="AA29">
            <v>2.9087113077491566</v>
          </cell>
          <cell r="AE29">
            <v>0.4200000000000001</v>
          </cell>
          <cell r="AF29">
            <v>2.9087113077491566</v>
          </cell>
          <cell r="AJ29">
            <v>0.4200000000000001</v>
          </cell>
          <cell r="AK29">
            <v>2.9087113077491566</v>
          </cell>
          <cell r="AO29">
            <v>0.4200000000000001</v>
          </cell>
          <cell r="AP29">
            <v>2.9087113077491566</v>
          </cell>
          <cell r="AT29">
            <v>0.4200000000000001</v>
          </cell>
          <cell r="AU29">
            <v>2.9087113077491566</v>
          </cell>
          <cell r="AY29">
            <v>0.4200000000000001</v>
          </cell>
          <cell r="AZ29">
            <v>2.9087113077491566</v>
          </cell>
          <cell r="BD29">
            <v>0.4200000000000001</v>
          </cell>
          <cell r="BE29">
            <v>2.9087113077491566</v>
          </cell>
          <cell r="BI29">
            <v>0.4200000000000001</v>
          </cell>
          <cell r="BJ29">
            <v>2.9087113077491566</v>
          </cell>
          <cell r="BN29">
            <v>0.4200000000000001</v>
          </cell>
          <cell r="BO29">
            <v>2.9087113077491566</v>
          </cell>
          <cell r="BS29">
            <v>0.4200000000000001</v>
          </cell>
          <cell r="BT29">
            <v>2.9087113077491566</v>
          </cell>
          <cell r="BX29">
            <v>0.4200000000000001</v>
          </cell>
          <cell r="BY29">
            <v>2.9087113077491566</v>
          </cell>
          <cell r="CC29">
            <v>0.4200000000000001</v>
          </cell>
          <cell r="CD29">
            <v>2.9087113077491566</v>
          </cell>
          <cell r="CH29">
            <v>0.4200000000000001</v>
          </cell>
          <cell r="CI29">
            <v>2.9087113077491566</v>
          </cell>
          <cell r="CM29">
            <v>0.4200000000000001</v>
          </cell>
          <cell r="CN29">
            <v>2.9087113077491566</v>
          </cell>
          <cell r="CR29">
            <v>0.4200000000000001</v>
          </cell>
          <cell r="CS29">
            <v>2.9087113077491566</v>
          </cell>
          <cell r="CW29">
            <v>0.4200000000000001</v>
          </cell>
          <cell r="CX29">
            <v>2.9087113077491566</v>
          </cell>
          <cell r="DB29">
            <v>0.4200000000000001</v>
          </cell>
          <cell r="DC29">
            <v>2.9087113077491566</v>
          </cell>
          <cell r="DG29">
            <v>0.4200000000000001</v>
          </cell>
          <cell r="DH29">
            <v>2.9087113077491566</v>
          </cell>
          <cell r="DL29">
            <v>0.4200000000000001</v>
          </cell>
          <cell r="DM29">
            <v>2.9087113077491566</v>
          </cell>
          <cell r="DQ29">
            <v>0.4200000000000001</v>
          </cell>
          <cell r="DR29">
            <v>2.9087113077491566</v>
          </cell>
          <cell r="DV29">
            <v>0.4200000000000001</v>
          </cell>
          <cell r="DW29">
            <v>2.9087113077491566</v>
          </cell>
          <cell r="EA29">
            <v>0.4200000000000001</v>
          </cell>
          <cell r="EB29">
            <v>2.9087113077491566</v>
          </cell>
          <cell r="EF29">
            <v>0.4200000000000001</v>
          </cell>
          <cell r="EG29">
            <v>2.9087113077491566</v>
          </cell>
          <cell r="EK29">
            <v>0.4200000000000001</v>
          </cell>
          <cell r="EL29">
            <v>2.9087113077491566</v>
          </cell>
          <cell r="EP29">
            <v>0.4200000000000001</v>
          </cell>
          <cell r="EQ29">
            <v>2.9087113077491566</v>
          </cell>
          <cell r="EU29">
            <v>0.4200000000000001</v>
          </cell>
          <cell r="EV29">
            <v>2.9087113077491566</v>
          </cell>
        </row>
        <row r="30">
          <cell r="U30">
            <v>0.44000000000000011</v>
          </cell>
          <cell r="V30">
            <v>3.0079039204927991</v>
          </cell>
          <cell r="Z30">
            <v>0.44000000000000011</v>
          </cell>
          <cell r="AA30">
            <v>3.0079039204927991</v>
          </cell>
          <cell r="AE30">
            <v>0.44000000000000011</v>
          </cell>
          <cell r="AF30">
            <v>3.0079039204927991</v>
          </cell>
          <cell r="AJ30">
            <v>0.44000000000000011</v>
          </cell>
          <cell r="AK30">
            <v>3.0079039204927991</v>
          </cell>
          <cell r="AO30">
            <v>0.44000000000000011</v>
          </cell>
          <cell r="AP30">
            <v>3.0079039204927991</v>
          </cell>
          <cell r="AT30">
            <v>0.44000000000000011</v>
          </cell>
          <cell r="AU30">
            <v>3.0079039204927991</v>
          </cell>
          <cell r="AY30">
            <v>0.44000000000000011</v>
          </cell>
          <cell r="AZ30">
            <v>3.0079039204927991</v>
          </cell>
          <cell r="BD30">
            <v>0.44000000000000011</v>
          </cell>
          <cell r="BE30">
            <v>3.0079039204927991</v>
          </cell>
          <cell r="BI30">
            <v>0.44000000000000011</v>
          </cell>
          <cell r="BJ30">
            <v>3.0079039204927991</v>
          </cell>
          <cell r="BN30">
            <v>0.44000000000000011</v>
          </cell>
          <cell r="BO30">
            <v>3.0079039204927991</v>
          </cell>
          <cell r="BS30">
            <v>0.44000000000000011</v>
          </cell>
          <cell r="BT30">
            <v>3.0079039204927991</v>
          </cell>
          <cell r="BX30">
            <v>0.44000000000000011</v>
          </cell>
          <cell r="BY30">
            <v>3.0079039204927991</v>
          </cell>
          <cell r="CC30">
            <v>0.44000000000000011</v>
          </cell>
          <cell r="CD30">
            <v>3.0079039204927991</v>
          </cell>
          <cell r="CH30">
            <v>0.44000000000000011</v>
          </cell>
          <cell r="CI30">
            <v>3.0079039204927991</v>
          </cell>
          <cell r="CM30">
            <v>0.44000000000000011</v>
          </cell>
          <cell r="CN30">
            <v>3.0079039204927991</v>
          </cell>
          <cell r="CR30">
            <v>0.44000000000000011</v>
          </cell>
          <cell r="CS30">
            <v>3.0079039204927991</v>
          </cell>
          <cell r="CW30">
            <v>0.44000000000000011</v>
          </cell>
          <cell r="CX30">
            <v>3.0079039204927991</v>
          </cell>
          <cell r="DB30">
            <v>0.44000000000000011</v>
          </cell>
          <cell r="DC30">
            <v>3.0079039204927991</v>
          </cell>
          <cell r="DG30">
            <v>0.44000000000000011</v>
          </cell>
          <cell r="DH30">
            <v>3.0079039204927991</v>
          </cell>
          <cell r="DL30">
            <v>0.44000000000000011</v>
          </cell>
          <cell r="DM30">
            <v>3.0079039204927991</v>
          </cell>
          <cell r="DQ30">
            <v>0.44000000000000011</v>
          </cell>
          <cell r="DR30">
            <v>3.0079039204927991</v>
          </cell>
          <cell r="DV30">
            <v>0.44000000000000011</v>
          </cell>
          <cell r="DW30">
            <v>3.0079039204927991</v>
          </cell>
          <cell r="EA30">
            <v>0.44000000000000011</v>
          </cell>
          <cell r="EB30">
            <v>3.0079039204927991</v>
          </cell>
          <cell r="EF30">
            <v>0.44000000000000011</v>
          </cell>
          <cell r="EG30">
            <v>3.0079039204927991</v>
          </cell>
          <cell r="EK30">
            <v>0.44000000000000011</v>
          </cell>
          <cell r="EL30">
            <v>3.0079039204927991</v>
          </cell>
          <cell r="EP30">
            <v>0.44000000000000011</v>
          </cell>
          <cell r="EQ30">
            <v>3.0079039204927991</v>
          </cell>
          <cell r="EU30">
            <v>0.44000000000000011</v>
          </cell>
          <cell r="EV30">
            <v>3.0079039204927991</v>
          </cell>
        </row>
        <row r="31">
          <cell r="U31">
            <v>0.46000000000000013</v>
          </cell>
          <cell r="V31">
            <v>3.1043880205085941</v>
          </cell>
          <cell r="Z31">
            <v>0.46000000000000013</v>
          </cell>
          <cell r="AA31">
            <v>3.1043880205085941</v>
          </cell>
          <cell r="AE31">
            <v>0.46000000000000013</v>
          </cell>
          <cell r="AF31">
            <v>3.1043880205085941</v>
          </cell>
          <cell r="AJ31">
            <v>0.46000000000000013</v>
          </cell>
          <cell r="AK31">
            <v>3.1043880205085941</v>
          </cell>
          <cell r="AO31">
            <v>0.46000000000000013</v>
          </cell>
          <cell r="AP31">
            <v>3.1043880205085941</v>
          </cell>
          <cell r="AT31">
            <v>0.46000000000000013</v>
          </cell>
          <cell r="AU31">
            <v>3.1043880205085941</v>
          </cell>
          <cell r="AY31">
            <v>0.46000000000000013</v>
          </cell>
          <cell r="AZ31">
            <v>3.1043880205085941</v>
          </cell>
          <cell r="BD31">
            <v>0.46000000000000013</v>
          </cell>
          <cell r="BE31">
            <v>3.1043880205085941</v>
          </cell>
          <cell r="BI31">
            <v>0.46000000000000013</v>
          </cell>
          <cell r="BJ31">
            <v>3.1043880205085941</v>
          </cell>
          <cell r="BN31">
            <v>0.46000000000000013</v>
          </cell>
          <cell r="BO31">
            <v>3.1043880205085941</v>
          </cell>
          <cell r="BS31">
            <v>0.46000000000000013</v>
          </cell>
          <cell r="BT31">
            <v>3.1043880205085941</v>
          </cell>
          <cell r="BX31">
            <v>0.46000000000000013</v>
          </cell>
          <cell r="BY31">
            <v>3.1043880205085941</v>
          </cell>
          <cell r="CC31">
            <v>0.46000000000000013</v>
          </cell>
          <cell r="CD31">
            <v>3.1043880205085941</v>
          </cell>
          <cell r="CH31">
            <v>0.46000000000000013</v>
          </cell>
          <cell r="CI31">
            <v>3.1043880205085941</v>
          </cell>
          <cell r="CM31">
            <v>0.46000000000000013</v>
          </cell>
          <cell r="CN31">
            <v>3.1043880205085941</v>
          </cell>
          <cell r="CR31">
            <v>0.46000000000000013</v>
          </cell>
          <cell r="CS31">
            <v>3.1043880205085941</v>
          </cell>
          <cell r="CW31">
            <v>0.46000000000000013</v>
          </cell>
          <cell r="CX31">
            <v>3.1043880205085941</v>
          </cell>
          <cell r="DB31">
            <v>0.46000000000000013</v>
          </cell>
          <cell r="DC31">
            <v>3.1043880205085941</v>
          </cell>
          <cell r="DG31">
            <v>0.46000000000000013</v>
          </cell>
          <cell r="DH31">
            <v>3.1043880205085941</v>
          </cell>
          <cell r="DL31">
            <v>0.46000000000000013</v>
          </cell>
          <cell r="DM31">
            <v>3.1043880205085941</v>
          </cell>
          <cell r="DQ31">
            <v>0.46000000000000013</v>
          </cell>
          <cell r="DR31">
            <v>3.1043880205085941</v>
          </cell>
          <cell r="DV31">
            <v>0.46000000000000013</v>
          </cell>
          <cell r="DW31">
            <v>3.1043880205085941</v>
          </cell>
          <cell r="EA31">
            <v>0.46000000000000013</v>
          </cell>
          <cell r="EB31">
            <v>3.1043880205085941</v>
          </cell>
          <cell r="EF31">
            <v>0.46000000000000013</v>
          </cell>
          <cell r="EG31">
            <v>3.1043880205085941</v>
          </cell>
          <cell r="EK31">
            <v>0.46000000000000013</v>
          </cell>
          <cell r="EL31">
            <v>3.1043880205085941</v>
          </cell>
          <cell r="EP31">
            <v>0.46000000000000013</v>
          </cell>
          <cell r="EQ31">
            <v>3.1043880205085941</v>
          </cell>
          <cell r="EU31">
            <v>0.46000000000000013</v>
          </cell>
          <cell r="EV31">
            <v>3.1043880205085941</v>
          </cell>
        </row>
        <row r="32">
          <cell r="U32">
            <v>0.48000000000000015</v>
          </cell>
          <cell r="V32">
            <v>3.1981636077965416</v>
          </cell>
          <cell r="Z32">
            <v>0.48000000000000015</v>
          </cell>
          <cell r="AA32">
            <v>3.1981636077965416</v>
          </cell>
          <cell r="AE32">
            <v>0.48000000000000015</v>
          </cell>
          <cell r="AF32">
            <v>3.1981636077965416</v>
          </cell>
          <cell r="AJ32">
            <v>0.48000000000000015</v>
          </cell>
          <cell r="AK32">
            <v>3.1981636077965416</v>
          </cell>
          <cell r="AO32">
            <v>0.48000000000000015</v>
          </cell>
          <cell r="AP32">
            <v>3.1981636077965416</v>
          </cell>
          <cell r="AT32">
            <v>0.48000000000000015</v>
          </cell>
          <cell r="AU32">
            <v>3.1981636077965416</v>
          </cell>
          <cell r="AY32">
            <v>0.48000000000000015</v>
          </cell>
          <cell r="AZ32">
            <v>3.1981636077965416</v>
          </cell>
          <cell r="BD32">
            <v>0.48000000000000015</v>
          </cell>
          <cell r="BE32">
            <v>3.1981636077965416</v>
          </cell>
          <cell r="BI32">
            <v>0.48000000000000015</v>
          </cell>
          <cell r="BJ32">
            <v>3.1981636077965416</v>
          </cell>
          <cell r="BN32">
            <v>0.48000000000000015</v>
          </cell>
          <cell r="BO32">
            <v>3.1981636077965416</v>
          </cell>
          <cell r="BS32">
            <v>0.48000000000000015</v>
          </cell>
          <cell r="BT32">
            <v>3.1981636077965416</v>
          </cell>
          <cell r="BX32">
            <v>0.48000000000000015</v>
          </cell>
          <cell r="BY32">
            <v>3.1981636077965416</v>
          </cell>
          <cell r="CC32">
            <v>0.48000000000000015</v>
          </cell>
          <cell r="CD32">
            <v>3.1981636077965416</v>
          </cell>
          <cell r="CH32">
            <v>0.48000000000000015</v>
          </cell>
          <cell r="CI32">
            <v>3.1981636077965416</v>
          </cell>
          <cell r="CM32">
            <v>0.48000000000000015</v>
          </cell>
          <cell r="CN32">
            <v>3.1981636077965416</v>
          </cell>
          <cell r="CR32">
            <v>0.48000000000000015</v>
          </cell>
          <cell r="CS32">
            <v>3.1981636077965416</v>
          </cell>
          <cell r="CW32">
            <v>0.48000000000000015</v>
          </cell>
          <cell r="CX32">
            <v>3.1981636077965416</v>
          </cell>
          <cell r="DB32">
            <v>0.48000000000000015</v>
          </cell>
          <cell r="DC32">
            <v>3.1981636077965416</v>
          </cell>
          <cell r="DG32">
            <v>0.48000000000000015</v>
          </cell>
          <cell r="DH32">
            <v>3.1981636077965416</v>
          </cell>
          <cell r="DL32">
            <v>0.48000000000000015</v>
          </cell>
          <cell r="DM32">
            <v>3.1981636077965416</v>
          </cell>
          <cell r="DQ32">
            <v>0.48000000000000015</v>
          </cell>
          <cell r="DR32">
            <v>3.1981636077965416</v>
          </cell>
          <cell r="DV32">
            <v>0.48000000000000015</v>
          </cell>
          <cell r="DW32">
            <v>3.1981636077965416</v>
          </cell>
          <cell r="EA32">
            <v>0.48000000000000015</v>
          </cell>
          <cell r="EB32">
            <v>3.1981636077965416</v>
          </cell>
          <cell r="EF32">
            <v>0.48000000000000015</v>
          </cell>
          <cell r="EG32">
            <v>3.1981636077965416</v>
          </cell>
          <cell r="EK32">
            <v>0.48000000000000015</v>
          </cell>
          <cell r="EL32">
            <v>3.1981636077965416</v>
          </cell>
          <cell r="EP32">
            <v>0.48000000000000015</v>
          </cell>
          <cell r="EQ32">
            <v>3.1981636077965416</v>
          </cell>
          <cell r="EU32">
            <v>0.48000000000000015</v>
          </cell>
          <cell r="EV32">
            <v>3.1981636077965416</v>
          </cell>
        </row>
        <row r="33">
          <cell r="U33">
            <v>0.50000000000000011</v>
          </cell>
          <cell r="V33">
            <v>3.2892306823566422</v>
          </cell>
          <cell r="Z33">
            <v>0.50000000000000011</v>
          </cell>
          <cell r="AA33">
            <v>3.2892306823566422</v>
          </cell>
          <cell r="AE33">
            <v>0.50000000000000011</v>
          </cell>
          <cell r="AF33">
            <v>3.2892306823566422</v>
          </cell>
          <cell r="AJ33">
            <v>0.50000000000000011</v>
          </cell>
          <cell r="AK33">
            <v>3.2892306823566422</v>
          </cell>
          <cell r="AO33">
            <v>0.50000000000000011</v>
          </cell>
          <cell r="AP33">
            <v>3.2892306823566422</v>
          </cell>
          <cell r="AT33">
            <v>0.50000000000000011</v>
          </cell>
          <cell r="AU33">
            <v>3.2892306823566422</v>
          </cell>
          <cell r="AY33">
            <v>0.50000000000000011</v>
          </cell>
          <cell r="AZ33">
            <v>3.2892306823566422</v>
          </cell>
          <cell r="BD33">
            <v>0.50000000000000011</v>
          </cell>
          <cell r="BE33">
            <v>3.2892306823566422</v>
          </cell>
          <cell r="BI33">
            <v>0.50000000000000011</v>
          </cell>
          <cell r="BJ33">
            <v>3.2892306823566422</v>
          </cell>
          <cell r="BN33">
            <v>0.50000000000000011</v>
          </cell>
          <cell r="BO33">
            <v>3.2892306823566422</v>
          </cell>
          <cell r="BS33">
            <v>0.50000000000000011</v>
          </cell>
          <cell r="BT33">
            <v>3.2892306823566422</v>
          </cell>
          <cell r="BX33">
            <v>0.50000000000000011</v>
          </cell>
          <cell r="BY33">
            <v>3.2892306823566422</v>
          </cell>
          <cell r="CC33">
            <v>0.50000000000000011</v>
          </cell>
          <cell r="CD33">
            <v>3.2892306823566422</v>
          </cell>
          <cell r="CH33">
            <v>0.50000000000000011</v>
          </cell>
          <cell r="CI33">
            <v>3.2892306823566422</v>
          </cell>
          <cell r="CM33">
            <v>0.50000000000000011</v>
          </cell>
          <cell r="CN33">
            <v>3.2892306823566422</v>
          </cell>
          <cell r="CR33">
            <v>0.50000000000000011</v>
          </cell>
          <cell r="CS33">
            <v>3.2892306823566422</v>
          </cell>
          <cell r="CW33">
            <v>0.50000000000000011</v>
          </cell>
          <cell r="CX33">
            <v>3.2892306823566422</v>
          </cell>
          <cell r="DB33">
            <v>0.50000000000000011</v>
          </cell>
          <cell r="DC33">
            <v>3.2892306823566422</v>
          </cell>
          <cell r="DG33">
            <v>0.50000000000000011</v>
          </cell>
          <cell r="DH33">
            <v>3.2892306823566422</v>
          </cell>
          <cell r="DL33">
            <v>0.50000000000000011</v>
          </cell>
          <cell r="DM33">
            <v>3.2892306823566422</v>
          </cell>
          <cell r="DQ33">
            <v>0.50000000000000011</v>
          </cell>
          <cell r="DR33">
            <v>3.2892306823566422</v>
          </cell>
          <cell r="DV33">
            <v>0.50000000000000011</v>
          </cell>
          <cell r="DW33">
            <v>3.2892306823566422</v>
          </cell>
          <cell r="EA33">
            <v>0.50000000000000011</v>
          </cell>
          <cell r="EB33">
            <v>3.2892306823566422</v>
          </cell>
          <cell r="EF33">
            <v>0.50000000000000011</v>
          </cell>
          <cell r="EG33">
            <v>3.2892306823566422</v>
          </cell>
          <cell r="EK33">
            <v>0.50000000000000011</v>
          </cell>
          <cell r="EL33">
            <v>3.2892306823566422</v>
          </cell>
          <cell r="EP33">
            <v>0.50000000000000011</v>
          </cell>
          <cell r="EQ33">
            <v>3.2892306823566422</v>
          </cell>
          <cell r="EU33">
            <v>0.50000000000000011</v>
          </cell>
          <cell r="EV33">
            <v>3.2892306823566422</v>
          </cell>
        </row>
        <row r="34">
          <cell r="U34">
            <v>0.52000000000000013</v>
          </cell>
          <cell r="V34">
            <v>3.3775892441888962</v>
          </cell>
          <cell r="Z34">
            <v>0.52000000000000013</v>
          </cell>
          <cell r="AA34">
            <v>3.3775892441888962</v>
          </cell>
          <cell r="AE34">
            <v>0.52000000000000013</v>
          </cell>
          <cell r="AF34">
            <v>3.3775892441888962</v>
          </cell>
          <cell r="AJ34">
            <v>0.52000000000000013</v>
          </cell>
          <cell r="AK34">
            <v>3.3775892441888962</v>
          </cell>
          <cell r="AO34">
            <v>0.52000000000000013</v>
          </cell>
          <cell r="AP34">
            <v>3.3775892441888962</v>
          </cell>
          <cell r="AT34">
            <v>0.52000000000000013</v>
          </cell>
          <cell r="AU34">
            <v>3.3775892441888962</v>
          </cell>
          <cell r="AY34">
            <v>0.52000000000000013</v>
          </cell>
          <cell r="AZ34">
            <v>3.3775892441888962</v>
          </cell>
          <cell r="BD34">
            <v>0.52000000000000013</v>
          </cell>
          <cell r="BE34">
            <v>3.3775892441888962</v>
          </cell>
          <cell r="BI34">
            <v>0.52000000000000013</v>
          </cell>
          <cell r="BJ34">
            <v>3.3775892441888962</v>
          </cell>
          <cell r="BN34">
            <v>0.52000000000000013</v>
          </cell>
          <cell r="BO34">
            <v>3.3775892441888962</v>
          </cell>
          <cell r="BS34">
            <v>0.52000000000000013</v>
          </cell>
          <cell r="BT34">
            <v>3.3775892441888962</v>
          </cell>
          <cell r="BX34">
            <v>0.52000000000000013</v>
          </cell>
          <cell r="BY34">
            <v>3.3775892441888962</v>
          </cell>
          <cell r="CC34">
            <v>0.52000000000000013</v>
          </cell>
          <cell r="CD34">
            <v>3.3775892441888962</v>
          </cell>
          <cell r="CH34">
            <v>0.52000000000000013</v>
          </cell>
          <cell r="CI34">
            <v>3.3775892441888962</v>
          </cell>
          <cell r="CM34">
            <v>0.52000000000000013</v>
          </cell>
          <cell r="CN34">
            <v>3.3775892441888962</v>
          </cell>
          <cell r="CR34">
            <v>0.52000000000000013</v>
          </cell>
          <cell r="CS34">
            <v>3.3775892441888962</v>
          </cell>
          <cell r="CW34">
            <v>0.52000000000000013</v>
          </cell>
          <cell r="CX34">
            <v>3.3775892441888962</v>
          </cell>
          <cell r="DB34">
            <v>0.52000000000000013</v>
          </cell>
          <cell r="DC34">
            <v>3.3775892441888962</v>
          </cell>
          <cell r="DG34">
            <v>0.52000000000000013</v>
          </cell>
          <cell r="DH34">
            <v>3.3775892441888962</v>
          </cell>
          <cell r="DL34">
            <v>0.52000000000000013</v>
          </cell>
          <cell r="DM34">
            <v>3.3775892441888962</v>
          </cell>
          <cell r="DQ34">
            <v>0.52000000000000013</v>
          </cell>
          <cell r="DR34">
            <v>3.3775892441888962</v>
          </cell>
          <cell r="DV34">
            <v>0.52000000000000013</v>
          </cell>
          <cell r="DW34">
            <v>3.3775892441888962</v>
          </cell>
          <cell r="EA34">
            <v>0.52000000000000013</v>
          </cell>
          <cell r="EB34">
            <v>3.3775892441888962</v>
          </cell>
          <cell r="EF34">
            <v>0.52000000000000013</v>
          </cell>
          <cell r="EG34">
            <v>3.3775892441888962</v>
          </cell>
          <cell r="EK34">
            <v>0.52000000000000013</v>
          </cell>
          <cell r="EL34">
            <v>3.3775892441888962</v>
          </cell>
          <cell r="EP34">
            <v>0.52000000000000013</v>
          </cell>
          <cell r="EQ34">
            <v>3.3775892441888962</v>
          </cell>
          <cell r="EU34">
            <v>0.52000000000000013</v>
          </cell>
          <cell r="EV34">
            <v>3.3775892441888962</v>
          </cell>
        </row>
        <row r="35">
          <cell r="U35">
            <v>0.54000000000000015</v>
          </cell>
          <cell r="V35">
            <v>3.4632392932933023</v>
          </cell>
          <cell r="Z35">
            <v>0.54000000000000015</v>
          </cell>
          <cell r="AA35">
            <v>3.4632392932933023</v>
          </cell>
          <cell r="AE35">
            <v>0.54000000000000015</v>
          </cell>
          <cell r="AF35">
            <v>3.4632392932933023</v>
          </cell>
          <cell r="AJ35">
            <v>0.54000000000000015</v>
          </cell>
          <cell r="AK35">
            <v>3.4632392932933023</v>
          </cell>
          <cell r="AO35">
            <v>0.54000000000000015</v>
          </cell>
          <cell r="AP35">
            <v>3.4632392932933023</v>
          </cell>
          <cell r="AT35">
            <v>0.54000000000000015</v>
          </cell>
          <cell r="AU35">
            <v>3.4632392932933023</v>
          </cell>
          <cell r="AY35">
            <v>0.54000000000000015</v>
          </cell>
          <cell r="AZ35">
            <v>3.4632392932933023</v>
          </cell>
          <cell r="BD35">
            <v>0.54000000000000015</v>
          </cell>
          <cell r="BE35">
            <v>3.4632392932933023</v>
          </cell>
          <cell r="BI35">
            <v>0.54000000000000015</v>
          </cell>
          <cell r="BJ35">
            <v>3.4632392932933023</v>
          </cell>
          <cell r="BN35">
            <v>0.54000000000000015</v>
          </cell>
          <cell r="BO35">
            <v>3.4632392932933023</v>
          </cell>
          <cell r="BS35">
            <v>0.54000000000000015</v>
          </cell>
          <cell r="BT35">
            <v>3.4632392932933023</v>
          </cell>
          <cell r="BX35">
            <v>0.54000000000000015</v>
          </cell>
          <cell r="BY35">
            <v>3.4632392932933023</v>
          </cell>
          <cell r="CC35">
            <v>0.54000000000000015</v>
          </cell>
          <cell r="CD35">
            <v>3.4632392932933023</v>
          </cell>
          <cell r="CH35">
            <v>0.54000000000000015</v>
          </cell>
          <cell r="CI35">
            <v>3.4632392932933023</v>
          </cell>
          <cell r="CM35">
            <v>0.54000000000000015</v>
          </cell>
          <cell r="CN35">
            <v>3.4632392932933023</v>
          </cell>
          <cell r="CR35">
            <v>0.54000000000000015</v>
          </cell>
          <cell r="CS35">
            <v>3.4632392932933023</v>
          </cell>
          <cell r="CW35">
            <v>0.54000000000000015</v>
          </cell>
          <cell r="CX35">
            <v>3.4632392932933023</v>
          </cell>
          <cell r="DB35">
            <v>0.54000000000000015</v>
          </cell>
          <cell r="DC35">
            <v>3.4632392932933023</v>
          </cell>
          <cell r="DG35">
            <v>0.54000000000000015</v>
          </cell>
          <cell r="DH35">
            <v>3.4632392932933023</v>
          </cell>
          <cell r="DL35">
            <v>0.54000000000000015</v>
          </cell>
          <cell r="DM35">
            <v>3.4632392932933023</v>
          </cell>
          <cell r="DQ35">
            <v>0.54000000000000015</v>
          </cell>
          <cell r="DR35">
            <v>3.4632392932933023</v>
          </cell>
          <cell r="DV35">
            <v>0.54000000000000015</v>
          </cell>
          <cell r="DW35">
            <v>3.4632392932933023</v>
          </cell>
          <cell r="EA35">
            <v>0.54000000000000015</v>
          </cell>
          <cell r="EB35">
            <v>3.4632392932933023</v>
          </cell>
          <cell r="EF35">
            <v>0.54000000000000015</v>
          </cell>
          <cell r="EG35">
            <v>3.4632392932933023</v>
          </cell>
          <cell r="EK35">
            <v>0.54000000000000015</v>
          </cell>
          <cell r="EL35">
            <v>3.4632392932933023</v>
          </cell>
          <cell r="EP35">
            <v>0.54000000000000015</v>
          </cell>
          <cell r="EQ35">
            <v>3.4632392932933023</v>
          </cell>
          <cell r="EU35">
            <v>0.54000000000000015</v>
          </cell>
          <cell r="EV35">
            <v>3.4632392932933023</v>
          </cell>
        </row>
        <row r="36">
          <cell r="U36">
            <v>0.56000000000000016</v>
          </cell>
          <cell r="V36">
            <v>3.5461808296698623</v>
          </cell>
          <cell r="Z36">
            <v>0.56000000000000016</v>
          </cell>
          <cell r="AA36">
            <v>3.5461808296698623</v>
          </cell>
          <cell r="AE36">
            <v>0.56000000000000016</v>
          </cell>
          <cell r="AF36">
            <v>3.5461808296698623</v>
          </cell>
          <cell r="AJ36">
            <v>0.56000000000000016</v>
          </cell>
          <cell r="AK36">
            <v>3.5461808296698623</v>
          </cell>
          <cell r="AO36">
            <v>0.56000000000000016</v>
          </cell>
          <cell r="AP36">
            <v>3.5461808296698623</v>
          </cell>
          <cell r="AT36">
            <v>0.56000000000000016</v>
          </cell>
          <cell r="AU36">
            <v>3.5461808296698623</v>
          </cell>
          <cell r="AY36">
            <v>0.56000000000000016</v>
          </cell>
          <cell r="AZ36">
            <v>3.5461808296698623</v>
          </cell>
          <cell r="BD36">
            <v>0.56000000000000016</v>
          </cell>
          <cell r="BE36">
            <v>3.5461808296698623</v>
          </cell>
          <cell r="BI36">
            <v>0.56000000000000016</v>
          </cell>
          <cell r="BJ36">
            <v>3.5461808296698623</v>
          </cell>
          <cell r="BN36">
            <v>0.56000000000000016</v>
          </cell>
          <cell r="BO36">
            <v>3.5461808296698623</v>
          </cell>
          <cell r="BS36">
            <v>0.56000000000000016</v>
          </cell>
          <cell r="BT36">
            <v>3.5461808296698623</v>
          </cell>
          <cell r="BX36">
            <v>0.56000000000000016</v>
          </cell>
          <cell r="BY36">
            <v>3.5461808296698623</v>
          </cell>
          <cell r="CC36">
            <v>0.56000000000000016</v>
          </cell>
          <cell r="CD36">
            <v>3.5461808296698623</v>
          </cell>
          <cell r="CH36">
            <v>0.56000000000000016</v>
          </cell>
          <cell r="CI36">
            <v>3.5461808296698623</v>
          </cell>
          <cell r="CM36">
            <v>0.56000000000000016</v>
          </cell>
          <cell r="CN36">
            <v>3.5461808296698623</v>
          </cell>
          <cell r="CR36">
            <v>0.56000000000000016</v>
          </cell>
          <cell r="CS36">
            <v>3.5461808296698623</v>
          </cell>
          <cell r="CW36">
            <v>0.56000000000000016</v>
          </cell>
          <cell r="CX36">
            <v>3.5461808296698623</v>
          </cell>
          <cell r="DB36">
            <v>0.56000000000000016</v>
          </cell>
          <cell r="DC36">
            <v>3.5461808296698623</v>
          </cell>
          <cell r="DG36">
            <v>0.56000000000000016</v>
          </cell>
          <cell r="DH36">
            <v>3.5461808296698623</v>
          </cell>
          <cell r="DL36">
            <v>0.56000000000000016</v>
          </cell>
          <cell r="DM36">
            <v>3.5461808296698623</v>
          </cell>
          <cell r="DQ36">
            <v>0.56000000000000016</v>
          </cell>
          <cell r="DR36">
            <v>3.5461808296698623</v>
          </cell>
          <cell r="DV36">
            <v>0.56000000000000016</v>
          </cell>
          <cell r="DW36">
            <v>3.5461808296698623</v>
          </cell>
          <cell r="EA36">
            <v>0.56000000000000016</v>
          </cell>
          <cell r="EB36">
            <v>3.5461808296698623</v>
          </cell>
          <cell r="EF36">
            <v>0.56000000000000016</v>
          </cell>
          <cell r="EG36">
            <v>3.5461808296698623</v>
          </cell>
          <cell r="EK36">
            <v>0.56000000000000016</v>
          </cell>
          <cell r="EL36">
            <v>3.5461808296698623</v>
          </cell>
          <cell r="EP36">
            <v>0.56000000000000016</v>
          </cell>
          <cell r="EQ36">
            <v>3.5461808296698623</v>
          </cell>
          <cell r="EU36">
            <v>0.56000000000000016</v>
          </cell>
          <cell r="EV36">
            <v>3.5461808296698623</v>
          </cell>
        </row>
        <row r="37">
          <cell r="U37">
            <v>0.58000000000000018</v>
          </cell>
          <cell r="V37">
            <v>3.6264138533185739</v>
          </cell>
          <cell r="Z37">
            <v>0.58000000000000018</v>
          </cell>
          <cell r="AA37">
            <v>3.6264138533185739</v>
          </cell>
          <cell r="AE37">
            <v>0.58000000000000018</v>
          </cell>
          <cell r="AF37">
            <v>3.6264138533185739</v>
          </cell>
          <cell r="AJ37">
            <v>0.58000000000000018</v>
          </cell>
          <cell r="AK37">
            <v>3.6264138533185739</v>
          </cell>
          <cell r="AO37">
            <v>0.58000000000000018</v>
          </cell>
          <cell r="AP37">
            <v>3.6264138533185739</v>
          </cell>
          <cell r="AT37">
            <v>0.58000000000000018</v>
          </cell>
          <cell r="AU37">
            <v>3.6264138533185739</v>
          </cell>
          <cell r="AY37">
            <v>0.58000000000000018</v>
          </cell>
          <cell r="AZ37">
            <v>3.6264138533185739</v>
          </cell>
          <cell r="BD37">
            <v>0.58000000000000018</v>
          </cell>
          <cell r="BE37">
            <v>3.6264138533185739</v>
          </cell>
          <cell r="BI37">
            <v>0.58000000000000018</v>
          </cell>
          <cell r="BJ37">
            <v>3.6264138533185739</v>
          </cell>
          <cell r="BN37">
            <v>0.58000000000000018</v>
          </cell>
          <cell r="BO37">
            <v>3.6264138533185739</v>
          </cell>
          <cell r="BS37">
            <v>0.58000000000000018</v>
          </cell>
          <cell r="BT37">
            <v>3.6264138533185739</v>
          </cell>
          <cell r="BX37">
            <v>0.58000000000000018</v>
          </cell>
          <cell r="BY37">
            <v>3.6264138533185739</v>
          </cell>
          <cell r="CC37">
            <v>0.58000000000000018</v>
          </cell>
          <cell r="CD37">
            <v>3.6264138533185739</v>
          </cell>
          <cell r="CH37">
            <v>0.58000000000000018</v>
          </cell>
          <cell r="CI37">
            <v>3.6264138533185739</v>
          </cell>
          <cell r="CM37">
            <v>0.58000000000000018</v>
          </cell>
          <cell r="CN37">
            <v>3.6264138533185739</v>
          </cell>
          <cell r="CR37">
            <v>0.58000000000000018</v>
          </cell>
          <cell r="CS37">
            <v>3.6264138533185739</v>
          </cell>
          <cell r="CW37">
            <v>0.58000000000000018</v>
          </cell>
          <cell r="CX37">
            <v>3.6264138533185739</v>
          </cell>
          <cell r="DB37">
            <v>0.58000000000000018</v>
          </cell>
          <cell r="DC37">
            <v>3.6264138533185739</v>
          </cell>
          <cell r="DG37">
            <v>0.58000000000000018</v>
          </cell>
          <cell r="DH37">
            <v>3.6264138533185739</v>
          </cell>
          <cell r="DL37">
            <v>0.58000000000000018</v>
          </cell>
          <cell r="DM37">
            <v>3.6264138533185739</v>
          </cell>
          <cell r="DQ37">
            <v>0.58000000000000018</v>
          </cell>
          <cell r="DR37">
            <v>3.6264138533185739</v>
          </cell>
          <cell r="DV37">
            <v>0.58000000000000018</v>
          </cell>
          <cell r="DW37">
            <v>3.6264138533185739</v>
          </cell>
          <cell r="EA37">
            <v>0.58000000000000018</v>
          </cell>
          <cell r="EB37">
            <v>3.6264138533185739</v>
          </cell>
          <cell r="EF37">
            <v>0.58000000000000018</v>
          </cell>
          <cell r="EG37">
            <v>3.6264138533185739</v>
          </cell>
          <cell r="EK37">
            <v>0.58000000000000018</v>
          </cell>
          <cell r="EL37">
            <v>3.6264138533185739</v>
          </cell>
          <cell r="EP37">
            <v>0.58000000000000018</v>
          </cell>
          <cell r="EQ37">
            <v>3.6264138533185739</v>
          </cell>
          <cell r="EU37">
            <v>0.58000000000000018</v>
          </cell>
          <cell r="EV37">
            <v>3.6264138533185739</v>
          </cell>
        </row>
        <row r="38">
          <cell r="U38">
            <v>0.6000000000000002</v>
          </cell>
          <cell r="V38">
            <v>3.7039383642394395</v>
          </cell>
          <cell r="Z38">
            <v>0.6000000000000002</v>
          </cell>
          <cell r="AA38">
            <v>3.7039383642394395</v>
          </cell>
          <cell r="AE38">
            <v>0.6000000000000002</v>
          </cell>
          <cell r="AF38">
            <v>3.7039383642394395</v>
          </cell>
          <cell r="AJ38">
            <v>0.6000000000000002</v>
          </cell>
          <cell r="AK38">
            <v>3.7039383642394395</v>
          </cell>
          <cell r="AO38">
            <v>0.6000000000000002</v>
          </cell>
          <cell r="AP38">
            <v>3.7039383642394395</v>
          </cell>
          <cell r="AT38">
            <v>0.6000000000000002</v>
          </cell>
          <cell r="AU38">
            <v>3.7039383642394395</v>
          </cell>
          <cell r="AY38">
            <v>0.6000000000000002</v>
          </cell>
          <cell r="AZ38">
            <v>3.7039383642394395</v>
          </cell>
          <cell r="BD38">
            <v>0.6000000000000002</v>
          </cell>
          <cell r="BE38">
            <v>3.7039383642394395</v>
          </cell>
          <cell r="BI38">
            <v>0.6000000000000002</v>
          </cell>
          <cell r="BJ38">
            <v>3.7039383642394395</v>
          </cell>
          <cell r="BN38">
            <v>0.6000000000000002</v>
          </cell>
          <cell r="BO38">
            <v>3.7039383642394395</v>
          </cell>
          <cell r="BS38">
            <v>0.6000000000000002</v>
          </cell>
          <cell r="BT38">
            <v>3.7039383642394395</v>
          </cell>
          <cell r="BX38">
            <v>0.6000000000000002</v>
          </cell>
          <cell r="BY38">
            <v>3.7039383642394395</v>
          </cell>
          <cell r="CC38">
            <v>0.6000000000000002</v>
          </cell>
          <cell r="CD38">
            <v>3.7039383642394395</v>
          </cell>
          <cell r="CH38">
            <v>0.6000000000000002</v>
          </cell>
          <cell r="CI38">
            <v>3.7039383642394395</v>
          </cell>
          <cell r="CM38">
            <v>0.6000000000000002</v>
          </cell>
          <cell r="CN38">
            <v>3.7039383642394395</v>
          </cell>
          <cell r="CR38">
            <v>0.6000000000000002</v>
          </cell>
          <cell r="CS38">
            <v>3.7039383642394395</v>
          </cell>
          <cell r="CW38">
            <v>0.6000000000000002</v>
          </cell>
          <cell r="CX38">
            <v>3.7039383642394395</v>
          </cell>
          <cell r="DB38">
            <v>0.6000000000000002</v>
          </cell>
          <cell r="DC38">
            <v>3.7039383642394395</v>
          </cell>
          <cell r="DG38">
            <v>0.6000000000000002</v>
          </cell>
          <cell r="DH38">
            <v>3.7039383642394395</v>
          </cell>
          <cell r="DL38">
            <v>0.6000000000000002</v>
          </cell>
          <cell r="DM38">
            <v>3.7039383642394395</v>
          </cell>
          <cell r="DQ38">
            <v>0.6000000000000002</v>
          </cell>
          <cell r="DR38">
            <v>3.7039383642394395</v>
          </cell>
          <cell r="DV38">
            <v>0.6000000000000002</v>
          </cell>
          <cell r="DW38">
            <v>3.7039383642394395</v>
          </cell>
          <cell r="EA38">
            <v>0.6000000000000002</v>
          </cell>
          <cell r="EB38">
            <v>3.7039383642394395</v>
          </cell>
          <cell r="EF38">
            <v>0.6000000000000002</v>
          </cell>
          <cell r="EG38">
            <v>3.7039383642394395</v>
          </cell>
          <cell r="EK38">
            <v>0.6000000000000002</v>
          </cell>
          <cell r="EL38">
            <v>3.7039383642394395</v>
          </cell>
          <cell r="EP38">
            <v>0.6000000000000002</v>
          </cell>
          <cell r="EQ38">
            <v>3.7039383642394395</v>
          </cell>
          <cell r="EU38">
            <v>0.6000000000000002</v>
          </cell>
          <cell r="EV38">
            <v>3.7039383642394395</v>
          </cell>
        </row>
        <row r="39">
          <cell r="U39">
            <v>0.62000000000000022</v>
          </cell>
          <cell r="V39">
            <v>3.7787543624324571</v>
          </cell>
          <cell r="Z39">
            <v>0.62000000000000022</v>
          </cell>
          <cell r="AA39">
            <v>3.7787543624324571</v>
          </cell>
          <cell r="AE39">
            <v>0.62000000000000022</v>
          </cell>
          <cell r="AF39">
            <v>3.7787543624324571</v>
          </cell>
          <cell r="AJ39">
            <v>0.62000000000000022</v>
          </cell>
          <cell r="AK39">
            <v>3.7787543624324571</v>
          </cell>
          <cell r="AO39">
            <v>0.62000000000000022</v>
          </cell>
          <cell r="AP39">
            <v>3.7787543624324571</v>
          </cell>
          <cell r="AT39">
            <v>0.62000000000000022</v>
          </cell>
          <cell r="AU39">
            <v>3.7787543624324571</v>
          </cell>
          <cell r="AY39">
            <v>0.62000000000000022</v>
          </cell>
          <cell r="AZ39">
            <v>3.7787543624324571</v>
          </cell>
          <cell r="BD39">
            <v>0.62000000000000022</v>
          </cell>
          <cell r="BE39">
            <v>3.7787543624324571</v>
          </cell>
          <cell r="BI39">
            <v>0.62000000000000022</v>
          </cell>
          <cell r="BJ39">
            <v>3.7787543624324571</v>
          </cell>
          <cell r="BN39">
            <v>0.62000000000000022</v>
          </cell>
          <cell r="BO39">
            <v>3.7787543624324571</v>
          </cell>
          <cell r="BS39">
            <v>0.62000000000000022</v>
          </cell>
          <cell r="BT39">
            <v>3.7787543624324571</v>
          </cell>
          <cell r="BX39">
            <v>0.62000000000000022</v>
          </cell>
          <cell r="BY39">
            <v>3.7787543624324571</v>
          </cell>
          <cell r="CC39">
            <v>0.62000000000000022</v>
          </cell>
          <cell r="CD39">
            <v>3.7787543624324571</v>
          </cell>
          <cell r="CH39">
            <v>0.62000000000000022</v>
          </cell>
          <cell r="CI39">
            <v>3.7787543624324571</v>
          </cell>
          <cell r="CM39">
            <v>0.62000000000000022</v>
          </cell>
          <cell r="CN39">
            <v>3.7787543624324571</v>
          </cell>
          <cell r="CR39">
            <v>0.62000000000000022</v>
          </cell>
          <cell r="CS39">
            <v>3.7787543624324571</v>
          </cell>
          <cell r="CW39">
            <v>0.62000000000000022</v>
          </cell>
          <cell r="CX39">
            <v>3.7787543624324571</v>
          </cell>
          <cell r="DB39">
            <v>0.62000000000000022</v>
          </cell>
          <cell r="DC39">
            <v>3.7787543624324571</v>
          </cell>
          <cell r="DG39">
            <v>0.62000000000000022</v>
          </cell>
          <cell r="DH39">
            <v>3.7787543624324571</v>
          </cell>
          <cell r="DL39">
            <v>0.62000000000000022</v>
          </cell>
          <cell r="DM39">
            <v>3.7787543624324571</v>
          </cell>
          <cell r="DQ39">
            <v>0.62000000000000022</v>
          </cell>
          <cell r="DR39">
            <v>3.7787543624324571</v>
          </cell>
          <cell r="DV39">
            <v>0.62000000000000022</v>
          </cell>
          <cell r="DW39">
            <v>3.7787543624324571</v>
          </cell>
          <cell r="EA39">
            <v>0.62000000000000022</v>
          </cell>
          <cell r="EB39">
            <v>3.7787543624324571</v>
          </cell>
          <cell r="EF39">
            <v>0.62000000000000022</v>
          </cell>
          <cell r="EG39">
            <v>3.7787543624324571</v>
          </cell>
          <cell r="EK39">
            <v>0.62000000000000022</v>
          </cell>
          <cell r="EL39">
            <v>3.7787543624324571</v>
          </cell>
          <cell r="EP39">
            <v>0.62000000000000022</v>
          </cell>
          <cell r="EQ39">
            <v>3.7787543624324571</v>
          </cell>
          <cell r="EU39">
            <v>0.62000000000000022</v>
          </cell>
          <cell r="EV39">
            <v>3.7787543624324571</v>
          </cell>
        </row>
        <row r="40">
          <cell r="U40">
            <v>0.64000000000000024</v>
          </cell>
          <cell r="V40">
            <v>3.8508618478976286</v>
          </cell>
          <cell r="Z40">
            <v>0.64000000000000024</v>
          </cell>
          <cell r="AA40">
            <v>3.8508618478976286</v>
          </cell>
          <cell r="AE40">
            <v>0.64000000000000024</v>
          </cell>
          <cell r="AF40">
            <v>3.8508618478976286</v>
          </cell>
          <cell r="AJ40">
            <v>0.64000000000000024</v>
          </cell>
          <cell r="AK40">
            <v>3.8508618478976286</v>
          </cell>
          <cell r="AO40">
            <v>0.64000000000000024</v>
          </cell>
          <cell r="AP40">
            <v>3.8508618478976286</v>
          </cell>
          <cell r="AT40">
            <v>0.64000000000000024</v>
          </cell>
          <cell r="AU40">
            <v>3.8508618478976286</v>
          </cell>
          <cell r="AY40">
            <v>0.64000000000000024</v>
          </cell>
          <cell r="AZ40">
            <v>3.8508618478976286</v>
          </cell>
          <cell r="BD40">
            <v>0.64000000000000024</v>
          </cell>
          <cell r="BE40">
            <v>3.8508618478976286</v>
          </cell>
          <cell r="BI40">
            <v>0.64000000000000024</v>
          </cell>
          <cell r="BJ40">
            <v>3.8508618478976286</v>
          </cell>
          <cell r="BN40">
            <v>0.64000000000000024</v>
          </cell>
          <cell r="BO40">
            <v>3.8508618478976286</v>
          </cell>
          <cell r="BS40">
            <v>0.64000000000000024</v>
          </cell>
          <cell r="BT40">
            <v>3.8508618478976286</v>
          </cell>
          <cell r="BX40">
            <v>0.64000000000000024</v>
          </cell>
          <cell r="BY40">
            <v>3.8508618478976286</v>
          </cell>
          <cell r="CC40">
            <v>0.64000000000000024</v>
          </cell>
          <cell r="CD40">
            <v>3.8508618478976286</v>
          </cell>
          <cell r="CH40">
            <v>0.64000000000000024</v>
          </cell>
          <cell r="CI40">
            <v>3.8508618478976286</v>
          </cell>
          <cell r="CM40">
            <v>0.64000000000000024</v>
          </cell>
          <cell r="CN40">
            <v>3.8508618478976286</v>
          </cell>
          <cell r="CR40">
            <v>0.64000000000000024</v>
          </cell>
          <cell r="CS40">
            <v>3.8508618478976286</v>
          </cell>
          <cell r="CW40">
            <v>0.64000000000000024</v>
          </cell>
          <cell r="CX40">
            <v>3.8508618478976286</v>
          </cell>
          <cell r="DB40">
            <v>0.64000000000000024</v>
          </cell>
          <cell r="DC40">
            <v>3.8508618478976286</v>
          </cell>
          <cell r="DG40">
            <v>0.64000000000000024</v>
          </cell>
          <cell r="DH40">
            <v>3.8508618478976286</v>
          </cell>
          <cell r="DL40">
            <v>0.64000000000000024</v>
          </cell>
          <cell r="DM40">
            <v>3.8508618478976286</v>
          </cell>
          <cell r="DQ40">
            <v>0.64000000000000024</v>
          </cell>
          <cell r="DR40">
            <v>3.8508618478976286</v>
          </cell>
          <cell r="DV40">
            <v>0.64000000000000024</v>
          </cell>
          <cell r="DW40">
            <v>3.8508618478976286</v>
          </cell>
          <cell r="EA40">
            <v>0.64000000000000024</v>
          </cell>
          <cell r="EB40">
            <v>3.8508618478976286</v>
          </cell>
          <cell r="EF40">
            <v>0.64000000000000024</v>
          </cell>
          <cell r="EG40">
            <v>3.8508618478976286</v>
          </cell>
          <cell r="EK40">
            <v>0.64000000000000024</v>
          </cell>
          <cell r="EL40">
            <v>3.8508618478976286</v>
          </cell>
          <cell r="EP40">
            <v>0.64000000000000024</v>
          </cell>
          <cell r="EQ40">
            <v>3.8508618478976286</v>
          </cell>
          <cell r="EU40">
            <v>0.64000000000000024</v>
          </cell>
          <cell r="EV40">
            <v>3.8508618478976286</v>
          </cell>
        </row>
        <row r="41">
          <cell r="U41">
            <v>0.66000000000000025</v>
          </cell>
          <cell r="V41">
            <v>3.9202608206349523</v>
          </cell>
          <cell r="Z41">
            <v>0.66000000000000025</v>
          </cell>
          <cell r="AA41">
            <v>3.9202608206349523</v>
          </cell>
          <cell r="AE41">
            <v>0.66000000000000025</v>
          </cell>
          <cell r="AF41">
            <v>3.9202608206349523</v>
          </cell>
          <cell r="AJ41">
            <v>0.66000000000000025</v>
          </cell>
          <cell r="AK41">
            <v>3.9202608206349523</v>
          </cell>
          <cell r="AO41">
            <v>0.66000000000000025</v>
          </cell>
          <cell r="AP41">
            <v>3.9202608206349523</v>
          </cell>
          <cell r="AT41">
            <v>0.66000000000000025</v>
          </cell>
          <cell r="AU41">
            <v>3.9202608206349523</v>
          </cell>
          <cell r="AY41">
            <v>0.66000000000000025</v>
          </cell>
          <cell r="AZ41">
            <v>3.9202608206349523</v>
          </cell>
          <cell r="BD41">
            <v>0.66000000000000025</v>
          </cell>
          <cell r="BE41">
            <v>3.9202608206349523</v>
          </cell>
          <cell r="BI41">
            <v>0.66000000000000025</v>
          </cell>
          <cell r="BJ41">
            <v>3.9202608206349523</v>
          </cell>
          <cell r="BN41">
            <v>0.66000000000000025</v>
          </cell>
          <cell r="BO41">
            <v>3.9202608206349523</v>
          </cell>
          <cell r="BS41">
            <v>0.66000000000000025</v>
          </cell>
          <cell r="BT41">
            <v>3.9202608206349523</v>
          </cell>
          <cell r="BX41">
            <v>0.66000000000000025</v>
          </cell>
          <cell r="BY41">
            <v>3.9202608206349523</v>
          </cell>
          <cell r="CC41">
            <v>0.66000000000000025</v>
          </cell>
          <cell r="CD41">
            <v>3.9202608206349523</v>
          </cell>
          <cell r="CH41">
            <v>0.66000000000000025</v>
          </cell>
          <cell r="CI41">
            <v>3.9202608206349523</v>
          </cell>
          <cell r="CM41">
            <v>0.66000000000000025</v>
          </cell>
          <cell r="CN41">
            <v>3.9202608206349523</v>
          </cell>
          <cell r="CR41">
            <v>0.66000000000000025</v>
          </cell>
          <cell r="CS41">
            <v>3.9202608206349523</v>
          </cell>
          <cell r="CW41">
            <v>0.66000000000000025</v>
          </cell>
          <cell r="CX41">
            <v>3.9202608206349523</v>
          </cell>
          <cell r="DB41">
            <v>0.66000000000000025</v>
          </cell>
          <cell r="DC41">
            <v>3.9202608206349523</v>
          </cell>
          <cell r="DG41">
            <v>0.66000000000000025</v>
          </cell>
          <cell r="DH41">
            <v>3.9202608206349523</v>
          </cell>
          <cell r="DL41">
            <v>0.66000000000000025</v>
          </cell>
          <cell r="DM41">
            <v>3.9202608206349523</v>
          </cell>
          <cell r="DQ41">
            <v>0.66000000000000025</v>
          </cell>
          <cell r="DR41">
            <v>3.9202608206349523</v>
          </cell>
          <cell r="DV41">
            <v>0.66000000000000025</v>
          </cell>
          <cell r="DW41">
            <v>3.9202608206349523</v>
          </cell>
          <cell r="EA41">
            <v>0.66000000000000025</v>
          </cell>
          <cell r="EB41">
            <v>3.9202608206349523</v>
          </cell>
          <cell r="EF41">
            <v>0.66000000000000025</v>
          </cell>
          <cell r="EG41">
            <v>3.9202608206349523</v>
          </cell>
          <cell r="EK41">
            <v>0.66000000000000025</v>
          </cell>
          <cell r="EL41">
            <v>3.9202608206349523</v>
          </cell>
          <cell r="EP41">
            <v>0.66000000000000025</v>
          </cell>
          <cell r="EQ41">
            <v>3.9202608206349523</v>
          </cell>
          <cell r="EU41">
            <v>0.66000000000000025</v>
          </cell>
          <cell r="EV41">
            <v>3.9202608206349523</v>
          </cell>
        </row>
        <row r="42">
          <cell r="U42">
            <v>0.68000000000000027</v>
          </cell>
          <cell r="V42">
            <v>3.9869512806444294</v>
          </cell>
          <cell r="Z42">
            <v>0.68000000000000027</v>
          </cell>
          <cell r="AA42">
            <v>3.9869512806444294</v>
          </cell>
          <cell r="AE42">
            <v>0.68000000000000027</v>
          </cell>
          <cell r="AF42">
            <v>3.9869512806444294</v>
          </cell>
          <cell r="AJ42">
            <v>0.68000000000000027</v>
          </cell>
          <cell r="AK42">
            <v>3.9869512806444294</v>
          </cell>
          <cell r="AO42">
            <v>0.68000000000000027</v>
          </cell>
          <cell r="AP42">
            <v>3.9869512806444294</v>
          </cell>
          <cell r="AT42">
            <v>0.68000000000000027</v>
          </cell>
          <cell r="AU42">
            <v>3.9869512806444294</v>
          </cell>
          <cell r="AY42">
            <v>0.68000000000000027</v>
          </cell>
          <cell r="AZ42">
            <v>3.9869512806444294</v>
          </cell>
          <cell r="BD42">
            <v>0.68000000000000027</v>
          </cell>
          <cell r="BE42">
            <v>3.9869512806444294</v>
          </cell>
          <cell r="BI42">
            <v>0.68000000000000027</v>
          </cell>
          <cell r="BJ42">
            <v>3.9869512806444294</v>
          </cell>
          <cell r="BN42">
            <v>0.68000000000000027</v>
          </cell>
          <cell r="BO42">
            <v>3.9869512806444294</v>
          </cell>
          <cell r="BS42">
            <v>0.68000000000000027</v>
          </cell>
          <cell r="BT42">
            <v>3.9869512806444294</v>
          </cell>
          <cell r="BX42">
            <v>0.68000000000000027</v>
          </cell>
          <cell r="BY42">
            <v>3.9869512806444294</v>
          </cell>
          <cell r="CC42">
            <v>0.68000000000000027</v>
          </cell>
          <cell r="CD42">
            <v>3.9869512806444294</v>
          </cell>
          <cell r="CH42">
            <v>0.68000000000000027</v>
          </cell>
          <cell r="CI42">
            <v>3.9869512806444294</v>
          </cell>
          <cell r="CM42">
            <v>0.68000000000000027</v>
          </cell>
          <cell r="CN42">
            <v>3.9869512806444294</v>
          </cell>
          <cell r="CR42">
            <v>0.68000000000000027</v>
          </cell>
          <cell r="CS42">
            <v>3.9869512806444294</v>
          </cell>
          <cell r="CW42">
            <v>0.68000000000000027</v>
          </cell>
          <cell r="CX42">
            <v>3.9869512806444294</v>
          </cell>
          <cell r="DB42">
            <v>0.68000000000000027</v>
          </cell>
          <cell r="DC42">
            <v>3.9869512806444294</v>
          </cell>
          <cell r="DG42">
            <v>0.68000000000000027</v>
          </cell>
          <cell r="DH42">
            <v>3.9869512806444294</v>
          </cell>
          <cell r="DL42">
            <v>0.68000000000000027</v>
          </cell>
          <cell r="DM42">
            <v>3.9869512806444294</v>
          </cell>
          <cell r="DQ42">
            <v>0.68000000000000027</v>
          </cell>
          <cell r="DR42">
            <v>3.9869512806444294</v>
          </cell>
          <cell r="DV42">
            <v>0.68000000000000027</v>
          </cell>
          <cell r="DW42">
            <v>3.9869512806444294</v>
          </cell>
          <cell r="EA42">
            <v>0.68000000000000027</v>
          </cell>
          <cell r="EB42">
            <v>3.9869512806444294</v>
          </cell>
          <cell r="EF42">
            <v>0.68000000000000027</v>
          </cell>
          <cell r="EG42">
            <v>3.9869512806444294</v>
          </cell>
          <cell r="EK42">
            <v>0.68000000000000027</v>
          </cell>
          <cell r="EL42">
            <v>3.9869512806444294</v>
          </cell>
          <cell r="EP42">
            <v>0.68000000000000027</v>
          </cell>
          <cell r="EQ42">
            <v>3.9869512806444294</v>
          </cell>
          <cell r="EU42">
            <v>0.68000000000000027</v>
          </cell>
          <cell r="EV42">
            <v>3.9869512806444294</v>
          </cell>
        </row>
        <row r="43">
          <cell r="U43">
            <v>0.70000000000000029</v>
          </cell>
          <cell r="V43">
            <v>4.0509332279260599</v>
          </cell>
          <cell r="Z43">
            <v>0.70000000000000029</v>
          </cell>
          <cell r="AA43">
            <v>4.0509332279260599</v>
          </cell>
          <cell r="AE43">
            <v>0.70000000000000029</v>
          </cell>
          <cell r="AF43">
            <v>4.0509332279260599</v>
          </cell>
          <cell r="AJ43">
            <v>0.70000000000000029</v>
          </cell>
          <cell r="AK43">
            <v>4.0509332279260599</v>
          </cell>
          <cell r="AO43">
            <v>0.70000000000000029</v>
          </cell>
          <cell r="AP43">
            <v>4.0509332279260599</v>
          </cell>
          <cell r="AT43">
            <v>0.70000000000000029</v>
          </cell>
          <cell r="AU43">
            <v>4.0509332279260599</v>
          </cell>
          <cell r="AY43">
            <v>0.70000000000000029</v>
          </cell>
          <cell r="AZ43">
            <v>4.0509332279260599</v>
          </cell>
          <cell r="BD43">
            <v>0.70000000000000029</v>
          </cell>
          <cell r="BE43">
            <v>4.0509332279260599</v>
          </cell>
          <cell r="BI43">
            <v>0.70000000000000029</v>
          </cell>
          <cell r="BJ43">
            <v>4.0509332279260599</v>
          </cell>
          <cell r="BN43">
            <v>0.70000000000000029</v>
          </cell>
          <cell r="BO43">
            <v>4.0509332279260599</v>
          </cell>
          <cell r="BS43">
            <v>0.70000000000000029</v>
          </cell>
          <cell r="BT43">
            <v>4.0509332279260599</v>
          </cell>
          <cell r="BX43">
            <v>0.70000000000000029</v>
          </cell>
          <cell r="BY43">
            <v>4.0509332279260599</v>
          </cell>
          <cell r="CC43">
            <v>0.70000000000000029</v>
          </cell>
          <cell r="CD43">
            <v>4.0509332279260599</v>
          </cell>
          <cell r="CH43">
            <v>0.70000000000000029</v>
          </cell>
          <cell r="CI43">
            <v>4.0509332279260599</v>
          </cell>
          <cell r="CM43">
            <v>0.70000000000000029</v>
          </cell>
          <cell r="CN43">
            <v>4.0509332279260599</v>
          </cell>
          <cell r="CR43">
            <v>0.70000000000000029</v>
          </cell>
          <cell r="CS43">
            <v>4.0509332279260599</v>
          </cell>
          <cell r="CW43">
            <v>0.70000000000000029</v>
          </cell>
          <cell r="CX43">
            <v>4.0509332279260599</v>
          </cell>
          <cell r="DB43">
            <v>0.70000000000000029</v>
          </cell>
          <cell r="DC43">
            <v>4.0509332279260599</v>
          </cell>
          <cell r="DG43">
            <v>0.70000000000000029</v>
          </cell>
          <cell r="DH43">
            <v>4.0509332279260599</v>
          </cell>
          <cell r="DL43">
            <v>0.70000000000000029</v>
          </cell>
          <cell r="DM43">
            <v>4.0509332279260599</v>
          </cell>
          <cell r="DQ43">
            <v>0.70000000000000029</v>
          </cell>
          <cell r="DR43">
            <v>4.0509332279260599</v>
          </cell>
          <cell r="DV43">
            <v>0.70000000000000029</v>
          </cell>
          <cell r="DW43">
            <v>4.0509332279260599</v>
          </cell>
          <cell r="EA43">
            <v>0.70000000000000029</v>
          </cell>
          <cell r="EB43">
            <v>4.0509332279260599</v>
          </cell>
          <cell r="EF43">
            <v>0.70000000000000029</v>
          </cell>
          <cell r="EG43">
            <v>4.0509332279260599</v>
          </cell>
          <cell r="EK43">
            <v>0.70000000000000029</v>
          </cell>
          <cell r="EL43">
            <v>4.0509332279260599</v>
          </cell>
          <cell r="EP43">
            <v>0.70000000000000029</v>
          </cell>
          <cell r="EQ43">
            <v>4.0509332279260599</v>
          </cell>
          <cell r="EU43">
            <v>0.70000000000000029</v>
          </cell>
          <cell r="EV43">
            <v>4.0509332279260599</v>
          </cell>
        </row>
        <row r="44">
          <cell r="U44">
            <v>0.72000000000000031</v>
          </cell>
          <cell r="V44">
            <v>4.1122066624798421</v>
          </cell>
          <cell r="Z44">
            <v>0.72000000000000031</v>
          </cell>
          <cell r="AA44">
            <v>4.1122066624798421</v>
          </cell>
          <cell r="AE44">
            <v>0.72000000000000031</v>
          </cell>
          <cell r="AF44">
            <v>4.1122066624798421</v>
          </cell>
          <cell r="AJ44">
            <v>0.72000000000000031</v>
          </cell>
          <cell r="AK44">
            <v>4.1122066624798421</v>
          </cell>
          <cell r="AO44">
            <v>0.72000000000000031</v>
          </cell>
          <cell r="AP44">
            <v>4.1122066624798421</v>
          </cell>
          <cell r="AT44">
            <v>0.72000000000000031</v>
          </cell>
          <cell r="AU44">
            <v>4.1122066624798421</v>
          </cell>
          <cell r="AY44">
            <v>0.72000000000000031</v>
          </cell>
          <cell r="AZ44">
            <v>4.1122066624798421</v>
          </cell>
          <cell r="BD44">
            <v>0.72000000000000031</v>
          </cell>
          <cell r="BE44">
            <v>4.1122066624798421</v>
          </cell>
          <cell r="BI44">
            <v>0.72000000000000031</v>
          </cell>
          <cell r="BJ44">
            <v>4.1122066624798421</v>
          </cell>
          <cell r="BN44">
            <v>0.72000000000000031</v>
          </cell>
          <cell r="BO44">
            <v>4.1122066624798421</v>
          </cell>
          <cell r="BS44">
            <v>0.72000000000000031</v>
          </cell>
          <cell r="BT44">
            <v>4.1122066624798421</v>
          </cell>
          <cell r="BX44">
            <v>0.72000000000000031</v>
          </cell>
          <cell r="BY44">
            <v>4.1122066624798421</v>
          </cell>
          <cell r="CC44">
            <v>0.72000000000000031</v>
          </cell>
          <cell r="CD44">
            <v>4.1122066624798421</v>
          </cell>
          <cell r="CH44">
            <v>0.72000000000000031</v>
          </cell>
          <cell r="CI44">
            <v>4.1122066624798421</v>
          </cell>
          <cell r="CM44">
            <v>0.72000000000000031</v>
          </cell>
          <cell r="CN44">
            <v>4.1122066624798421</v>
          </cell>
          <cell r="CR44">
            <v>0.72000000000000031</v>
          </cell>
          <cell r="CS44">
            <v>4.1122066624798421</v>
          </cell>
          <cell r="CW44">
            <v>0.72000000000000031</v>
          </cell>
          <cell r="CX44">
            <v>4.1122066624798421</v>
          </cell>
          <cell r="DB44">
            <v>0.72000000000000031</v>
          </cell>
          <cell r="DC44">
            <v>4.1122066624798421</v>
          </cell>
          <cell r="DG44">
            <v>0.72000000000000031</v>
          </cell>
          <cell r="DH44">
            <v>4.1122066624798421</v>
          </cell>
          <cell r="DL44">
            <v>0.72000000000000031</v>
          </cell>
          <cell r="DM44">
            <v>4.1122066624798421</v>
          </cell>
          <cell r="DQ44">
            <v>0.72000000000000031</v>
          </cell>
          <cell r="DR44">
            <v>4.1122066624798421</v>
          </cell>
          <cell r="DV44">
            <v>0.72000000000000031</v>
          </cell>
          <cell r="DW44">
            <v>4.1122066624798421</v>
          </cell>
          <cell r="EA44">
            <v>0.72000000000000031</v>
          </cell>
          <cell r="EB44">
            <v>4.1122066624798421</v>
          </cell>
          <cell r="EF44">
            <v>0.72000000000000031</v>
          </cell>
          <cell r="EG44">
            <v>4.1122066624798421</v>
          </cell>
          <cell r="EK44">
            <v>0.72000000000000031</v>
          </cell>
          <cell r="EL44">
            <v>4.1122066624798421</v>
          </cell>
          <cell r="EP44">
            <v>0.72000000000000031</v>
          </cell>
          <cell r="EQ44">
            <v>4.1122066624798421</v>
          </cell>
          <cell r="EU44">
            <v>0.72000000000000031</v>
          </cell>
          <cell r="EV44">
            <v>4.1122066624798421</v>
          </cell>
        </row>
        <row r="45">
          <cell r="U45">
            <v>0.74000000000000032</v>
          </cell>
          <cell r="V45">
            <v>4.1707715843057773</v>
          </cell>
          <cell r="Z45">
            <v>0.74000000000000032</v>
          </cell>
          <cell r="AA45">
            <v>4.1707715843057773</v>
          </cell>
          <cell r="AE45">
            <v>0.74000000000000032</v>
          </cell>
          <cell r="AF45">
            <v>4.1707715843057773</v>
          </cell>
          <cell r="AJ45">
            <v>0.74000000000000032</v>
          </cell>
          <cell r="AK45">
            <v>4.1707715843057773</v>
          </cell>
          <cell r="AO45">
            <v>0.74000000000000032</v>
          </cell>
          <cell r="AP45">
            <v>4.1707715843057773</v>
          </cell>
          <cell r="AT45">
            <v>0.74000000000000032</v>
          </cell>
          <cell r="AU45">
            <v>4.1707715843057773</v>
          </cell>
          <cell r="AY45">
            <v>0.74000000000000032</v>
          </cell>
          <cell r="AZ45">
            <v>4.1707715843057773</v>
          </cell>
          <cell r="BD45">
            <v>0.74000000000000032</v>
          </cell>
          <cell r="BE45">
            <v>4.1707715843057773</v>
          </cell>
          <cell r="BI45">
            <v>0.74000000000000032</v>
          </cell>
          <cell r="BJ45">
            <v>4.1707715843057773</v>
          </cell>
          <cell r="BN45">
            <v>0.74000000000000032</v>
          </cell>
          <cell r="BO45">
            <v>4.1707715843057773</v>
          </cell>
          <cell r="BS45">
            <v>0.74000000000000032</v>
          </cell>
          <cell r="BT45">
            <v>4.1707715843057773</v>
          </cell>
          <cell r="BX45">
            <v>0.74000000000000032</v>
          </cell>
          <cell r="BY45">
            <v>4.1707715843057773</v>
          </cell>
          <cell r="CC45">
            <v>0.74000000000000032</v>
          </cell>
          <cell r="CD45">
            <v>4.1707715843057773</v>
          </cell>
          <cell r="CH45">
            <v>0.74000000000000032</v>
          </cell>
          <cell r="CI45">
            <v>4.1707715843057773</v>
          </cell>
          <cell r="CM45">
            <v>0.74000000000000032</v>
          </cell>
          <cell r="CN45">
            <v>4.1707715843057773</v>
          </cell>
          <cell r="CR45">
            <v>0.74000000000000032</v>
          </cell>
          <cell r="CS45">
            <v>4.1707715843057773</v>
          </cell>
          <cell r="CW45">
            <v>0.74000000000000032</v>
          </cell>
          <cell r="CX45">
            <v>4.1707715843057773</v>
          </cell>
          <cell r="DB45">
            <v>0.74000000000000032</v>
          </cell>
          <cell r="DC45">
            <v>4.1707715843057773</v>
          </cell>
          <cell r="DG45">
            <v>0.74000000000000032</v>
          </cell>
          <cell r="DH45">
            <v>4.1707715843057773</v>
          </cell>
          <cell r="DL45">
            <v>0.74000000000000032</v>
          </cell>
          <cell r="DM45">
            <v>4.1707715843057773</v>
          </cell>
          <cell r="DQ45">
            <v>0.74000000000000032</v>
          </cell>
          <cell r="DR45">
            <v>4.1707715843057773</v>
          </cell>
          <cell r="DV45">
            <v>0.74000000000000032</v>
          </cell>
          <cell r="DW45">
            <v>4.1707715843057773</v>
          </cell>
          <cell r="EA45">
            <v>0.74000000000000032</v>
          </cell>
          <cell r="EB45">
            <v>4.1707715843057773</v>
          </cell>
          <cell r="EF45">
            <v>0.74000000000000032</v>
          </cell>
          <cell r="EG45">
            <v>4.1707715843057773</v>
          </cell>
          <cell r="EK45">
            <v>0.74000000000000032</v>
          </cell>
          <cell r="EL45">
            <v>4.1707715843057773</v>
          </cell>
          <cell r="EP45">
            <v>0.74000000000000032</v>
          </cell>
          <cell r="EQ45">
            <v>4.1707715843057773</v>
          </cell>
          <cell r="EU45">
            <v>0.74000000000000032</v>
          </cell>
          <cell r="EV45">
            <v>4.1707715843057773</v>
          </cell>
        </row>
        <row r="46">
          <cell r="U46">
            <v>0.76000000000000034</v>
          </cell>
          <cell r="V46">
            <v>4.2266279934038655</v>
          </cell>
          <cell r="Z46">
            <v>0.76000000000000034</v>
          </cell>
          <cell r="AA46">
            <v>4.2266279934038655</v>
          </cell>
          <cell r="AE46">
            <v>0.76000000000000034</v>
          </cell>
          <cell r="AF46">
            <v>4.2266279934038655</v>
          </cell>
          <cell r="AJ46">
            <v>0.76000000000000034</v>
          </cell>
          <cell r="AK46">
            <v>4.2266279934038655</v>
          </cell>
          <cell r="AO46">
            <v>0.76000000000000034</v>
          </cell>
          <cell r="AP46">
            <v>4.2266279934038655</v>
          </cell>
          <cell r="AT46">
            <v>0.76000000000000034</v>
          </cell>
          <cell r="AU46">
            <v>4.2266279934038655</v>
          </cell>
          <cell r="AY46">
            <v>0.76000000000000034</v>
          </cell>
          <cell r="AZ46">
            <v>4.2266279934038655</v>
          </cell>
          <cell r="BD46">
            <v>0.76000000000000034</v>
          </cell>
          <cell r="BE46">
            <v>4.2266279934038655</v>
          </cell>
          <cell r="BI46">
            <v>0.76000000000000034</v>
          </cell>
          <cell r="BJ46">
            <v>4.2266279934038655</v>
          </cell>
          <cell r="BN46">
            <v>0.76000000000000034</v>
          </cell>
          <cell r="BO46">
            <v>4.2266279934038655</v>
          </cell>
          <cell r="BS46">
            <v>0.76000000000000034</v>
          </cell>
          <cell r="BT46">
            <v>4.2266279934038655</v>
          </cell>
          <cell r="BX46">
            <v>0.76000000000000034</v>
          </cell>
          <cell r="BY46">
            <v>4.2266279934038655</v>
          </cell>
          <cell r="CC46">
            <v>0.76000000000000034</v>
          </cell>
          <cell r="CD46">
            <v>4.2266279934038655</v>
          </cell>
          <cell r="CH46">
            <v>0.76000000000000034</v>
          </cell>
          <cell r="CI46">
            <v>4.2266279934038655</v>
          </cell>
          <cell r="CM46">
            <v>0.76000000000000034</v>
          </cell>
          <cell r="CN46">
            <v>4.2266279934038655</v>
          </cell>
          <cell r="CR46">
            <v>0.76000000000000034</v>
          </cell>
          <cell r="CS46">
            <v>4.2266279934038655</v>
          </cell>
          <cell r="CW46">
            <v>0.76000000000000034</v>
          </cell>
          <cell r="CX46">
            <v>4.2266279934038655</v>
          </cell>
          <cell r="DB46">
            <v>0.76000000000000034</v>
          </cell>
          <cell r="DC46">
            <v>4.2266279934038655</v>
          </cell>
          <cell r="DG46">
            <v>0.76000000000000034</v>
          </cell>
          <cell r="DH46">
            <v>4.2266279934038655</v>
          </cell>
          <cell r="DL46">
            <v>0.76000000000000034</v>
          </cell>
          <cell r="DM46">
            <v>4.2266279934038655</v>
          </cell>
          <cell r="DQ46">
            <v>0.76000000000000034</v>
          </cell>
          <cell r="DR46">
            <v>4.2266279934038655</v>
          </cell>
          <cell r="DV46">
            <v>0.76000000000000034</v>
          </cell>
          <cell r="DW46">
            <v>4.2266279934038655</v>
          </cell>
          <cell r="EA46">
            <v>0.76000000000000034</v>
          </cell>
          <cell r="EB46">
            <v>4.2266279934038655</v>
          </cell>
          <cell r="EF46">
            <v>0.76000000000000034</v>
          </cell>
          <cell r="EG46">
            <v>4.2266279934038655</v>
          </cell>
          <cell r="EK46">
            <v>0.76000000000000034</v>
          </cell>
          <cell r="EL46">
            <v>4.2266279934038655</v>
          </cell>
          <cell r="EP46">
            <v>0.76000000000000034</v>
          </cell>
          <cell r="EQ46">
            <v>4.2266279934038655</v>
          </cell>
          <cell r="EU46">
            <v>0.76000000000000034</v>
          </cell>
          <cell r="EV46">
            <v>4.2266279934038655</v>
          </cell>
        </row>
        <row r="47">
          <cell r="U47">
            <v>0.78000000000000036</v>
          </cell>
          <cell r="V47">
            <v>4.2797758897741076</v>
          </cell>
          <cell r="Z47">
            <v>0.78000000000000036</v>
          </cell>
          <cell r="AA47">
            <v>4.2797758897741076</v>
          </cell>
          <cell r="AE47">
            <v>0.78000000000000036</v>
          </cell>
          <cell r="AF47">
            <v>4.2797758897741076</v>
          </cell>
          <cell r="AJ47">
            <v>0.78000000000000036</v>
          </cell>
          <cell r="AK47">
            <v>4.2797758897741076</v>
          </cell>
          <cell r="AO47">
            <v>0.78000000000000036</v>
          </cell>
          <cell r="AP47">
            <v>4.2797758897741076</v>
          </cell>
          <cell r="AT47">
            <v>0.78000000000000036</v>
          </cell>
          <cell r="AU47">
            <v>4.2797758897741076</v>
          </cell>
          <cell r="AY47">
            <v>0.78000000000000036</v>
          </cell>
          <cell r="AZ47">
            <v>4.2797758897741076</v>
          </cell>
          <cell r="BD47">
            <v>0.78000000000000036</v>
          </cell>
          <cell r="BE47">
            <v>4.2797758897741076</v>
          </cell>
          <cell r="BI47">
            <v>0.78000000000000036</v>
          </cell>
          <cell r="BJ47">
            <v>4.2797758897741076</v>
          </cell>
          <cell r="BN47">
            <v>0.78000000000000036</v>
          </cell>
          <cell r="BO47">
            <v>4.2797758897741076</v>
          </cell>
          <cell r="BS47">
            <v>0.78000000000000036</v>
          </cell>
          <cell r="BT47">
            <v>4.2797758897741076</v>
          </cell>
          <cell r="BX47">
            <v>0.78000000000000036</v>
          </cell>
          <cell r="BY47">
            <v>4.2797758897741076</v>
          </cell>
          <cell r="CC47">
            <v>0.78000000000000036</v>
          </cell>
          <cell r="CD47">
            <v>4.2797758897741076</v>
          </cell>
          <cell r="CH47">
            <v>0.78000000000000036</v>
          </cell>
          <cell r="CI47">
            <v>4.2797758897741076</v>
          </cell>
          <cell r="CM47">
            <v>0.78000000000000036</v>
          </cell>
          <cell r="CN47">
            <v>4.2797758897741076</v>
          </cell>
          <cell r="CR47">
            <v>0.78000000000000036</v>
          </cell>
          <cell r="CS47">
            <v>4.2797758897741076</v>
          </cell>
          <cell r="CW47">
            <v>0.78000000000000036</v>
          </cell>
          <cell r="CX47">
            <v>4.2797758897741076</v>
          </cell>
          <cell r="DB47">
            <v>0.78000000000000036</v>
          </cell>
          <cell r="DC47">
            <v>4.2797758897741076</v>
          </cell>
          <cell r="DG47">
            <v>0.78000000000000036</v>
          </cell>
          <cell r="DH47">
            <v>4.2797758897741076</v>
          </cell>
          <cell r="DL47">
            <v>0.78000000000000036</v>
          </cell>
          <cell r="DM47">
            <v>4.2797758897741076</v>
          </cell>
          <cell r="DQ47">
            <v>0.78000000000000036</v>
          </cell>
          <cell r="DR47">
            <v>4.2797758897741076</v>
          </cell>
          <cell r="DV47">
            <v>0.78000000000000036</v>
          </cell>
          <cell r="DW47">
            <v>4.2797758897741076</v>
          </cell>
          <cell r="EA47">
            <v>0.78000000000000036</v>
          </cell>
          <cell r="EB47">
            <v>4.2797758897741076</v>
          </cell>
          <cell r="EF47">
            <v>0.78000000000000036</v>
          </cell>
          <cell r="EG47">
            <v>4.2797758897741076</v>
          </cell>
          <cell r="EK47">
            <v>0.78000000000000036</v>
          </cell>
          <cell r="EL47">
            <v>4.2797758897741076</v>
          </cell>
          <cell r="EP47">
            <v>0.78000000000000036</v>
          </cell>
          <cell r="EQ47">
            <v>4.2797758897741076</v>
          </cell>
          <cell r="EU47">
            <v>0.78000000000000036</v>
          </cell>
          <cell r="EV47">
            <v>4.2797758897741076</v>
          </cell>
        </row>
        <row r="48">
          <cell r="U48">
            <v>0.80000000000000038</v>
          </cell>
          <cell r="V48">
            <v>4.3302152734165018</v>
          </cell>
          <cell r="Z48">
            <v>0.80000000000000038</v>
          </cell>
          <cell r="AA48">
            <v>4.3302152734165018</v>
          </cell>
          <cell r="AE48">
            <v>0.80000000000000038</v>
          </cell>
          <cell r="AF48">
            <v>4.3302152734165018</v>
          </cell>
          <cell r="AJ48">
            <v>0.80000000000000038</v>
          </cell>
          <cell r="AK48">
            <v>4.3302152734165018</v>
          </cell>
          <cell r="AO48">
            <v>0.80000000000000038</v>
          </cell>
          <cell r="AP48">
            <v>4.3302152734165018</v>
          </cell>
          <cell r="AT48">
            <v>0.80000000000000038</v>
          </cell>
          <cell r="AU48">
            <v>4.3302152734165018</v>
          </cell>
          <cell r="AY48">
            <v>0.80000000000000038</v>
          </cell>
          <cell r="AZ48">
            <v>4.3302152734165018</v>
          </cell>
          <cell r="BD48">
            <v>0.80000000000000038</v>
          </cell>
          <cell r="BE48">
            <v>4.3302152734165018</v>
          </cell>
          <cell r="BI48">
            <v>0.80000000000000038</v>
          </cell>
          <cell r="BJ48">
            <v>4.3302152734165018</v>
          </cell>
          <cell r="BN48">
            <v>0.80000000000000038</v>
          </cell>
          <cell r="BO48">
            <v>4.3302152734165018</v>
          </cell>
          <cell r="BS48">
            <v>0.80000000000000038</v>
          </cell>
          <cell r="BT48">
            <v>4.3302152734165018</v>
          </cell>
          <cell r="BX48">
            <v>0.80000000000000038</v>
          </cell>
          <cell r="BY48">
            <v>4.3302152734165018</v>
          </cell>
          <cell r="CC48">
            <v>0.80000000000000038</v>
          </cell>
          <cell r="CD48">
            <v>4.3302152734165018</v>
          </cell>
          <cell r="CH48">
            <v>0.80000000000000038</v>
          </cell>
          <cell r="CI48">
            <v>4.3302152734165018</v>
          </cell>
          <cell r="CM48">
            <v>0.80000000000000038</v>
          </cell>
          <cell r="CN48">
            <v>4.3302152734165018</v>
          </cell>
          <cell r="CR48">
            <v>0.80000000000000038</v>
          </cell>
          <cell r="CS48">
            <v>4.3302152734165018</v>
          </cell>
          <cell r="CW48">
            <v>0.80000000000000038</v>
          </cell>
          <cell r="CX48">
            <v>4.3302152734165018</v>
          </cell>
          <cell r="DB48">
            <v>0.80000000000000038</v>
          </cell>
          <cell r="DC48">
            <v>4.3302152734165018</v>
          </cell>
          <cell r="DG48">
            <v>0.80000000000000038</v>
          </cell>
          <cell r="DH48">
            <v>4.3302152734165018</v>
          </cell>
          <cell r="DL48">
            <v>0.80000000000000038</v>
          </cell>
          <cell r="DM48">
            <v>4.3302152734165018</v>
          </cell>
          <cell r="DQ48">
            <v>0.80000000000000038</v>
          </cell>
          <cell r="DR48">
            <v>4.3302152734165018</v>
          </cell>
          <cell r="DV48">
            <v>0.80000000000000038</v>
          </cell>
          <cell r="DW48">
            <v>4.3302152734165018</v>
          </cell>
          <cell r="EA48">
            <v>0.80000000000000038</v>
          </cell>
          <cell r="EB48">
            <v>4.3302152734165018</v>
          </cell>
          <cell r="EF48">
            <v>0.80000000000000038</v>
          </cell>
          <cell r="EG48">
            <v>4.3302152734165018</v>
          </cell>
          <cell r="EK48">
            <v>0.80000000000000038</v>
          </cell>
          <cell r="EL48">
            <v>4.3302152734165018</v>
          </cell>
          <cell r="EP48">
            <v>0.80000000000000038</v>
          </cell>
          <cell r="EQ48">
            <v>4.3302152734165018</v>
          </cell>
          <cell r="EU48">
            <v>0.80000000000000038</v>
          </cell>
          <cell r="EV48">
            <v>4.3302152734165018</v>
          </cell>
        </row>
        <row r="49">
          <cell r="U49">
            <v>0.8200000000000004</v>
          </cell>
          <cell r="V49">
            <v>4.377946144331049</v>
          </cell>
          <cell r="Z49">
            <v>0.8200000000000004</v>
          </cell>
          <cell r="AA49">
            <v>4.377946144331049</v>
          </cell>
          <cell r="AE49">
            <v>0.8200000000000004</v>
          </cell>
          <cell r="AF49">
            <v>4.377946144331049</v>
          </cell>
          <cell r="AJ49">
            <v>0.8200000000000004</v>
          </cell>
          <cell r="AK49">
            <v>4.377946144331049</v>
          </cell>
          <cell r="AO49">
            <v>0.8200000000000004</v>
          </cell>
          <cell r="AP49">
            <v>4.377946144331049</v>
          </cell>
          <cell r="AT49">
            <v>0.8200000000000004</v>
          </cell>
          <cell r="AU49">
            <v>4.377946144331049</v>
          </cell>
          <cell r="AY49">
            <v>0.8200000000000004</v>
          </cell>
          <cell r="AZ49">
            <v>4.377946144331049</v>
          </cell>
          <cell r="BD49">
            <v>0.8200000000000004</v>
          </cell>
          <cell r="BE49">
            <v>4.377946144331049</v>
          </cell>
          <cell r="BI49">
            <v>0.8200000000000004</v>
          </cell>
          <cell r="BJ49">
            <v>4.377946144331049</v>
          </cell>
          <cell r="BN49">
            <v>0.8200000000000004</v>
          </cell>
          <cell r="BO49">
            <v>4.377946144331049</v>
          </cell>
          <cell r="BS49">
            <v>0.8200000000000004</v>
          </cell>
          <cell r="BT49">
            <v>4.377946144331049</v>
          </cell>
          <cell r="BX49">
            <v>0.8200000000000004</v>
          </cell>
          <cell r="BY49">
            <v>4.377946144331049</v>
          </cell>
          <cell r="CC49">
            <v>0.8200000000000004</v>
          </cell>
          <cell r="CD49">
            <v>4.377946144331049</v>
          </cell>
          <cell r="CH49">
            <v>0.8200000000000004</v>
          </cell>
          <cell r="CI49">
            <v>4.377946144331049</v>
          </cell>
          <cell r="CM49">
            <v>0.8200000000000004</v>
          </cell>
          <cell r="CN49">
            <v>4.377946144331049</v>
          </cell>
          <cell r="CR49">
            <v>0.8200000000000004</v>
          </cell>
          <cell r="CS49">
            <v>4.377946144331049</v>
          </cell>
          <cell r="CW49">
            <v>0.8200000000000004</v>
          </cell>
          <cell r="CX49">
            <v>4.377946144331049</v>
          </cell>
          <cell r="DB49">
            <v>0.8200000000000004</v>
          </cell>
          <cell r="DC49">
            <v>4.377946144331049</v>
          </cell>
          <cell r="DG49">
            <v>0.8200000000000004</v>
          </cell>
          <cell r="DH49">
            <v>4.377946144331049</v>
          </cell>
          <cell r="DL49">
            <v>0.8200000000000004</v>
          </cell>
          <cell r="DM49">
            <v>4.377946144331049</v>
          </cell>
          <cell r="DQ49">
            <v>0.8200000000000004</v>
          </cell>
          <cell r="DR49">
            <v>4.377946144331049</v>
          </cell>
          <cell r="DV49">
            <v>0.8200000000000004</v>
          </cell>
          <cell r="DW49">
            <v>4.377946144331049</v>
          </cell>
          <cell r="EA49">
            <v>0.8200000000000004</v>
          </cell>
          <cell r="EB49">
            <v>4.377946144331049</v>
          </cell>
          <cell r="EF49">
            <v>0.8200000000000004</v>
          </cell>
          <cell r="EG49">
            <v>4.377946144331049</v>
          </cell>
          <cell r="EK49">
            <v>0.8200000000000004</v>
          </cell>
          <cell r="EL49">
            <v>4.377946144331049</v>
          </cell>
          <cell r="EP49">
            <v>0.8200000000000004</v>
          </cell>
          <cell r="EQ49">
            <v>4.377946144331049</v>
          </cell>
          <cell r="EU49">
            <v>0.8200000000000004</v>
          </cell>
          <cell r="EV49">
            <v>4.377946144331049</v>
          </cell>
        </row>
        <row r="50">
          <cell r="U50">
            <v>0.84000000000000041</v>
          </cell>
          <cell r="V50">
            <v>4.4229685025177492</v>
          </cell>
          <cell r="Z50">
            <v>0.84000000000000041</v>
          </cell>
          <cell r="AA50">
            <v>4.4229685025177492</v>
          </cell>
          <cell r="AE50">
            <v>0.84000000000000041</v>
          </cell>
          <cell r="AF50">
            <v>4.4229685025177492</v>
          </cell>
          <cell r="AJ50">
            <v>0.84000000000000041</v>
          </cell>
          <cell r="AK50">
            <v>4.4229685025177492</v>
          </cell>
          <cell r="AO50">
            <v>0.84000000000000041</v>
          </cell>
          <cell r="AP50">
            <v>4.4229685025177492</v>
          </cell>
          <cell r="AT50">
            <v>0.84000000000000041</v>
          </cell>
          <cell r="AU50">
            <v>4.4229685025177492</v>
          </cell>
          <cell r="AY50">
            <v>0.84000000000000041</v>
          </cell>
          <cell r="AZ50">
            <v>4.4229685025177492</v>
          </cell>
          <cell r="BD50">
            <v>0.84000000000000041</v>
          </cell>
          <cell r="BE50">
            <v>4.4229685025177492</v>
          </cell>
          <cell r="BI50">
            <v>0.84000000000000041</v>
          </cell>
          <cell r="BJ50">
            <v>4.4229685025177492</v>
          </cell>
          <cell r="BN50">
            <v>0.84000000000000041</v>
          </cell>
          <cell r="BO50">
            <v>4.4229685025177492</v>
          </cell>
          <cell r="BS50">
            <v>0.84000000000000041</v>
          </cell>
          <cell r="BT50">
            <v>4.4229685025177492</v>
          </cell>
          <cell r="BX50">
            <v>0.84000000000000041</v>
          </cell>
          <cell r="BY50">
            <v>4.4229685025177492</v>
          </cell>
          <cell r="CC50">
            <v>0.84000000000000041</v>
          </cell>
          <cell r="CD50">
            <v>4.4229685025177492</v>
          </cell>
          <cell r="CH50">
            <v>0.84000000000000041</v>
          </cell>
          <cell r="CI50">
            <v>4.4229685025177492</v>
          </cell>
          <cell r="CM50">
            <v>0.84000000000000041</v>
          </cell>
          <cell r="CN50">
            <v>4.4229685025177492</v>
          </cell>
          <cell r="CR50">
            <v>0.84000000000000041</v>
          </cell>
          <cell r="CS50">
            <v>4.4229685025177492</v>
          </cell>
          <cell r="CW50">
            <v>0.84000000000000041</v>
          </cell>
          <cell r="CX50">
            <v>4.4229685025177492</v>
          </cell>
          <cell r="DB50">
            <v>0.84000000000000041</v>
          </cell>
          <cell r="DC50">
            <v>4.4229685025177492</v>
          </cell>
          <cell r="DG50">
            <v>0.84000000000000041</v>
          </cell>
          <cell r="DH50">
            <v>4.4229685025177492</v>
          </cell>
          <cell r="DL50">
            <v>0.84000000000000041</v>
          </cell>
          <cell r="DM50">
            <v>4.4229685025177492</v>
          </cell>
          <cell r="DQ50">
            <v>0.84000000000000041</v>
          </cell>
          <cell r="DR50">
            <v>4.4229685025177492</v>
          </cell>
          <cell r="DV50">
            <v>0.84000000000000041</v>
          </cell>
          <cell r="DW50">
            <v>4.4229685025177492</v>
          </cell>
          <cell r="EA50">
            <v>0.84000000000000041</v>
          </cell>
          <cell r="EB50">
            <v>4.4229685025177492</v>
          </cell>
          <cell r="EF50">
            <v>0.84000000000000041</v>
          </cell>
          <cell r="EG50">
            <v>4.4229685025177492</v>
          </cell>
          <cell r="EK50">
            <v>0.84000000000000041</v>
          </cell>
          <cell r="EL50">
            <v>4.4229685025177492</v>
          </cell>
          <cell r="EP50">
            <v>0.84000000000000041</v>
          </cell>
          <cell r="EQ50">
            <v>4.4229685025177492</v>
          </cell>
          <cell r="EU50">
            <v>0.84000000000000041</v>
          </cell>
          <cell r="EV50">
            <v>4.4229685025177492</v>
          </cell>
        </row>
        <row r="51">
          <cell r="U51">
            <v>0.86000000000000043</v>
          </cell>
          <cell r="V51">
            <v>4.4652823479766033</v>
          </cell>
          <cell r="Z51">
            <v>0.86000000000000043</v>
          </cell>
          <cell r="AA51">
            <v>4.4652823479766033</v>
          </cell>
          <cell r="AE51">
            <v>0.86000000000000043</v>
          </cell>
          <cell r="AF51">
            <v>4.4652823479766033</v>
          </cell>
          <cell r="AJ51">
            <v>0.86000000000000043</v>
          </cell>
          <cell r="AK51">
            <v>4.4652823479766033</v>
          </cell>
          <cell r="AO51">
            <v>0.86000000000000043</v>
          </cell>
          <cell r="AP51">
            <v>4.4652823479766033</v>
          </cell>
          <cell r="AT51">
            <v>0.86000000000000043</v>
          </cell>
          <cell r="AU51">
            <v>4.4652823479766033</v>
          </cell>
          <cell r="AY51">
            <v>0.86000000000000043</v>
          </cell>
          <cell r="AZ51">
            <v>4.4652823479766033</v>
          </cell>
          <cell r="BD51">
            <v>0.86000000000000043</v>
          </cell>
          <cell r="BE51">
            <v>4.4652823479766033</v>
          </cell>
          <cell r="BI51">
            <v>0.86000000000000043</v>
          </cell>
          <cell r="BJ51">
            <v>4.4652823479766033</v>
          </cell>
          <cell r="BN51">
            <v>0.86000000000000043</v>
          </cell>
          <cell r="BO51">
            <v>4.4652823479766033</v>
          </cell>
          <cell r="BS51">
            <v>0.86000000000000043</v>
          </cell>
          <cell r="BT51">
            <v>4.4652823479766033</v>
          </cell>
          <cell r="BX51">
            <v>0.86000000000000043</v>
          </cell>
          <cell r="BY51">
            <v>4.4652823479766033</v>
          </cell>
          <cell r="CC51">
            <v>0.86000000000000043</v>
          </cell>
          <cell r="CD51">
            <v>4.4652823479766033</v>
          </cell>
          <cell r="CH51">
            <v>0.86000000000000043</v>
          </cell>
          <cell r="CI51">
            <v>4.4652823479766033</v>
          </cell>
          <cell r="CM51">
            <v>0.86000000000000043</v>
          </cell>
          <cell r="CN51">
            <v>4.4652823479766033</v>
          </cell>
          <cell r="CR51">
            <v>0.86000000000000043</v>
          </cell>
          <cell r="CS51">
            <v>4.4652823479766033</v>
          </cell>
          <cell r="CW51">
            <v>0.86000000000000043</v>
          </cell>
          <cell r="CX51">
            <v>4.4652823479766033</v>
          </cell>
          <cell r="DB51">
            <v>0.86000000000000043</v>
          </cell>
          <cell r="DC51">
            <v>4.4652823479766033</v>
          </cell>
          <cell r="DG51">
            <v>0.86000000000000043</v>
          </cell>
          <cell r="DH51">
            <v>4.4652823479766033</v>
          </cell>
          <cell r="DL51">
            <v>0.86000000000000043</v>
          </cell>
          <cell r="DM51">
            <v>4.4652823479766033</v>
          </cell>
          <cell r="DQ51">
            <v>0.86000000000000043</v>
          </cell>
          <cell r="DR51">
            <v>4.4652823479766033</v>
          </cell>
          <cell r="DV51">
            <v>0.86000000000000043</v>
          </cell>
          <cell r="DW51">
            <v>4.4652823479766033</v>
          </cell>
          <cell r="EA51">
            <v>0.86000000000000043</v>
          </cell>
          <cell r="EB51">
            <v>4.4652823479766033</v>
          </cell>
          <cell r="EF51">
            <v>0.86000000000000043</v>
          </cell>
          <cell r="EG51">
            <v>4.4652823479766033</v>
          </cell>
          <cell r="EK51">
            <v>0.86000000000000043</v>
          </cell>
          <cell r="EL51">
            <v>4.4652823479766033</v>
          </cell>
          <cell r="EP51">
            <v>0.86000000000000043</v>
          </cell>
          <cell r="EQ51">
            <v>4.4652823479766033</v>
          </cell>
          <cell r="EU51">
            <v>0.86000000000000043</v>
          </cell>
          <cell r="EV51">
            <v>4.4652823479766033</v>
          </cell>
        </row>
        <row r="52">
          <cell r="U52">
            <v>0.88000000000000045</v>
          </cell>
          <cell r="V52">
            <v>4.5048876807076086</v>
          </cell>
          <cell r="Z52">
            <v>0.88000000000000045</v>
          </cell>
          <cell r="AA52">
            <v>4.5048876807076086</v>
          </cell>
          <cell r="AE52">
            <v>0.88000000000000045</v>
          </cell>
          <cell r="AF52">
            <v>4.5048876807076086</v>
          </cell>
          <cell r="AJ52">
            <v>0.88000000000000045</v>
          </cell>
          <cell r="AK52">
            <v>4.5048876807076086</v>
          </cell>
          <cell r="AO52">
            <v>0.88000000000000045</v>
          </cell>
          <cell r="AP52">
            <v>4.5048876807076086</v>
          </cell>
          <cell r="AT52">
            <v>0.88000000000000045</v>
          </cell>
          <cell r="AU52">
            <v>4.5048876807076086</v>
          </cell>
          <cell r="AY52">
            <v>0.88000000000000045</v>
          </cell>
          <cell r="AZ52">
            <v>4.5048876807076086</v>
          </cell>
          <cell r="BD52">
            <v>0.88000000000000045</v>
          </cell>
          <cell r="BE52">
            <v>4.5048876807076086</v>
          </cell>
          <cell r="BI52">
            <v>0.88000000000000045</v>
          </cell>
          <cell r="BJ52">
            <v>4.5048876807076086</v>
          </cell>
          <cell r="BN52">
            <v>0.88000000000000045</v>
          </cell>
          <cell r="BO52">
            <v>4.5048876807076086</v>
          </cell>
          <cell r="BS52">
            <v>0.88000000000000045</v>
          </cell>
          <cell r="BT52">
            <v>4.5048876807076086</v>
          </cell>
          <cell r="BX52">
            <v>0.88000000000000045</v>
          </cell>
          <cell r="BY52">
            <v>4.5048876807076086</v>
          </cell>
          <cell r="CC52">
            <v>0.88000000000000045</v>
          </cell>
          <cell r="CD52">
            <v>4.5048876807076086</v>
          </cell>
          <cell r="CH52">
            <v>0.88000000000000045</v>
          </cell>
          <cell r="CI52">
            <v>4.5048876807076086</v>
          </cell>
          <cell r="CM52">
            <v>0.88000000000000045</v>
          </cell>
          <cell r="CN52">
            <v>4.5048876807076086</v>
          </cell>
          <cell r="CR52">
            <v>0.88000000000000045</v>
          </cell>
          <cell r="CS52">
            <v>4.5048876807076086</v>
          </cell>
          <cell r="CW52">
            <v>0.88000000000000045</v>
          </cell>
          <cell r="CX52">
            <v>4.5048876807076086</v>
          </cell>
          <cell r="DB52">
            <v>0.88000000000000045</v>
          </cell>
          <cell r="DC52">
            <v>4.5048876807076086</v>
          </cell>
          <cell r="DG52">
            <v>0.88000000000000045</v>
          </cell>
          <cell r="DH52">
            <v>4.5048876807076086</v>
          </cell>
          <cell r="DL52">
            <v>0.88000000000000045</v>
          </cell>
          <cell r="DM52">
            <v>4.5048876807076086</v>
          </cell>
          <cell r="DQ52">
            <v>0.88000000000000045</v>
          </cell>
          <cell r="DR52">
            <v>4.5048876807076086</v>
          </cell>
          <cell r="DV52">
            <v>0.88000000000000045</v>
          </cell>
          <cell r="DW52">
            <v>4.5048876807076086</v>
          </cell>
          <cell r="EA52">
            <v>0.88000000000000045</v>
          </cell>
          <cell r="EB52">
            <v>4.5048876807076086</v>
          </cell>
          <cell r="EF52">
            <v>0.88000000000000045</v>
          </cell>
          <cell r="EG52">
            <v>4.5048876807076086</v>
          </cell>
          <cell r="EK52">
            <v>0.88000000000000045</v>
          </cell>
          <cell r="EL52">
            <v>4.5048876807076086</v>
          </cell>
          <cell r="EP52">
            <v>0.88000000000000045</v>
          </cell>
          <cell r="EQ52">
            <v>4.5048876807076086</v>
          </cell>
          <cell r="EU52">
            <v>0.88000000000000045</v>
          </cell>
          <cell r="EV52">
            <v>4.5048876807076086</v>
          </cell>
        </row>
        <row r="53">
          <cell r="U53">
            <v>0.90000000000000047</v>
          </cell>
          <cell r="V53">
            <v>4.5417845007107678</v>
          </cell>
          <cell r="Z53">
            <v>0.90000000000000047</v>
          </cell>
          <cell r="AA53">
            <v>4.5417845007107678</v>
          </cell>
          <cell r="AE53">
            <v>0.90000000000000047</v>
          </cell>
          <cell r="AF53">
            <v>4.5417845007107678</v>
          </cell>
          <cell r="AJ53">
            <v>0.90000000000000047</v>
          </cell>
          <cell r="AK53">
            <v>4.5417845007107678</v>
          </cell>
          <cell r="AO53">
            <v>0.90000000000000047</v>
          </cell>
          <cell r="AP53">
            <v>4.5417845007107678</v>
          </cell>
          <cell r="AT53">
            <v>0.90000000000000047</v>
          </cell>
          <cell r="AU53">
            <v>4.5417845007107678</v>
          </cell>
          <cell r="AY53">
            <v>0.90000000000000047</v>
          </cell>
          <cell r="AZ53">
            <v>4.5417845007107678</v>
          </cell>
          <cell r="BD53">
            <v>0.90000000000000047</v>
          </cell>
          <cell r="BE53">
            <v>4.5417845007107678</v>
          </cell>
          <cell r="BI53">
            <v>0.90000000000000047</v>
          </cell>
          <cell r="BJ53">
            <v>4.5417845007107678</v>
          </cell>
          <cell r="BN53">
            <v>0.90000000000000047</v>
          </cell>
          <cell r="BO53">
            <v>4.5417845007107678</v>
          </cell>
          <cell r="BS53">
            <v>0.90000000000000047</v>
          </cell>
          <cell r="BT53">
            <v>4.5417845007107678</v>
          </cell>
          <cell r="BX53">
            <v>0.90000000000000047</v>
          </cell>
          <cell r="BY53">
            <v>4.5417845007107678</v>
          </cell>
          <cell r="CC53">
            <v>0.90000000000000047</v>
          </cell>
          <cell r="CD53">
            <v>4.5417845007107678</v>
          </cell>
          <cell r="CH53">
            <v>0.90000000000000047</v>
          </cell>
          <cell r="CI53">
            <v>4.5417845007107678</v>
          </cell>
          <cell r="CM53">
            <v>0.90000000000000047</v>
          </cell>
          <cell r="CN53">
            <v>4.5417845007107678</v>
          </cell>
          <cell r="CR53">
            <v>0.90000000000000047</v>
          </cell>
          <cell r="CS53">
            <v>4.5417845007107678</v>
          </cell>
          <cell r="CW53">
            <v>0.90000000000000047</v>
          </cell>
          <cell r="CX53">
            <v>4.5417845007107678</v>
          </cell>
          <cell r="DB53">
            <v>0.90000000000000047</v>
          </cell>
          <cell r="DC53">
            <v>4.5417845007107678</v>
          </cell>
          <cell r="DG53">
            <v>0.90000000000000047</v>
          </cell>
          <cell r="DH53">
            <v>4.5417845007107678</v>
          </cell>
          <cell r="DL53">
            <v>0.90000000000000047</v>
          </cell>
          <cell r="DM53">
            <v>4.5417845007107678</v>
          </cell>
          <cell r="DQ53">
            <v>0.90000000000000047</v>
          </cell>
          <cell r="DR53">
            <v>4.5417845007107678</v>
          </cell>
          <cell r="DV53">
            <v>0.90000000000000047</v>
          </cell>
          <cell r="DW53">
            <v>4.5417845007107678</v>
          </cell>
          <cell r="EA53">
            <v>0.90000000000000047</v>
          </cell>
          <cell r="EB53">
            <v>4.5417845007107678</v>
          </cell>
          <cell r="EF53">
            <v>0.90000000000000047</v>
          </cell>
          <cell r="EG53">
            <v>4.5417845007107678</v>
          </cell>
          <cell r="EK53">
            <v>0.90000000000000047</v>
          </cell>
          <cell r="EL53">
            <v>4.5417845007107678</v>
          </cell>
          <cell r="EP53">
            <v>0.90000000000000047</v>
          </cell>
          <cell r="EQ53">
            <v>4.5417845007107678</v>
          </cell>
          <cell r="EU53">
            <v>0.90000000000000047</v>
          </cell>
          <cell r="EV53">
            <v>4.5417845007107678</v>
          </cell>
        </row>
        <row r="54">
          <cell r="U54">
            <v>0.92000000000000048</v>
          </cell>
          <cell r="V54">
            <v>4.5759728079860791</v>
          </cell>
          <cell r="Z54">
            <v>0.92000000000000048</v>
          </cell>
          <cell r="AA54">
            <v>4.5759728079860791</v>
          </cell>
          <cell r="AE54">
            <v>0.92000000000000048</v>
          </cell>
          <cell r="AF54">
            <v>4.5759728079860791</v>
          </cell>
          <cell r="AJ54">
            <v>0.92000000000000048</v>
          </cell>
          <cell r="AK54">
            <v>4.5759728079860791</v>
          </cell>
          <cell r="AO54">
            <v>0.92000000000000048</v>
          </cell>
          <cell r="AP54">
            <v>4.5759728079860791</v>
          </cell>
          <cell r="AT54">
            <v>0.92000000000000048</v>
          </cell>
          <cell r="AU54">
            <v>4.5759728079860791</v>
          </cell>
          <cell r="AY54">
            <v>0.92000000000000048</v>
          </cell>
          <cell r="AZ54">
            <v>4.5759728079860791</v>
          </cell>
          <cell r="BD54">
            <v>0.92000000000000048</v>
          </cell>
          <cell r="BE54">
            <v>4.5759728079860791</v>
          </cell>
          <cell r="BI54">
            <v>0.92000000000000048</v>
          </cell>
          <cell r="BJ54">
            <v>4.5759728079860791</v>
          </cell>
          <cell r="BN54">
            <v>0.92000000000000048</v>
          </cell>
          <cell r="BO54">
            <v>4.5759728079860791</v>
          </cell>
          <cell r="BS54">
            <v>0.92000000000000048</v>
          </cell>
          <cell r="BT54">
            <v>4.5759728079860791</v>
          </cell>
          <cell r="BX54">
            <v>0.92000000000000048</v>
          </cell>
          <cell r="BY54">
            <v>4.5759728079860791</v>
          </cell>
          <cell r="CC54">
            <v>0.92000000000000048</v>
          </cell>
          <cell r="CD54">
            <v>4.5759728079860791</v>
          </cell>
          <cell r="CH54">
            <v>0.92000000000000048</v>
          </cell>
          <cell r="CI54">
            <v>4.5759728079860791</v>
          </cell>
          <cell r="CM54">
            <v>0.92000000000000048</v>
          </cell>
          <cell r="CN54">
            <v>4.5759728079860791</v>
          </cell>
          <cell r="CR54">
            <v>0.92000000000000048</v>
          </cell>
          <cell r="CS54">
            <v>4.5759728079860791</v>
          </cell>
          <cell r="CW54">
            <v>0.92000000000000048</v>
          </cell>
          <cell r="CX54">
            <v>4.5759728079860791</v>
          </cell>
          <cell r="DB54">
            <v>0.92000000000000048</v>
          </cell>
          <cell r="DC54">
            <v>4.5759728079860791</v>
          </cell>
          <cell r="DG54">
            <v>0.92000000000000048</v>
          </cell>
          <cell r="DH54">
            <v>4.5759728079860791</v>
          </cell>
          <cell r="DL54">
            <v>0.92000000000000048</v>
          </cell>
          <cell r="DM54">
            <v>4.5759728079860791</v>
          </cell>
          <cell r="DQ54">
            <v>0.92000000000000048</v>
          </cell>
          <cell r="DR54">
            <v>4.5759728079860791</v>
          </cell>
          <cell r="DV54">
            <v>0.92000000000000048</v>
          </cell>
          <cell r="DW54">
            <v>4.5759728079860791</v>
          </cell>
          <cell r="EA54">
            <v>0.92000000000000048</v>
          </cell>
          <cell r="EB54">
            <v>4.5759728079860791</v>
          </cell>
          <cell r="EF54">
            <v>0.92000000000000048</v>
          </cell>
          <cell r="EG54">
            <v>4.5759728079860791</v>
          </cell>
          <cell r="EK54">
            <v>0.92000000000000048</v>
          </cell>
          <cell r="EL54">
            <v>4.5759728079860791</v>
          </cell>
          <cell r="EP54">
            <v>0.92000000000000048</v>
          </cell>
          <cell r="EQ54">
            <v>4.5759728079860791</v>
          </cell>
          <cell r="EU54">
            <v>0.92000000000000048</v>
          </cell>
          <cell r="EV54">
            <v>4.5759728079860791</v>
          </cell>
        </row>
        <row r="55">
          <cell r="U55">
            <v>0.9400000000000005</v>
          </cell>
          <cell r="V55">
            <v>4.6074526025335443</v>
          </cell>
          <cell r="Z55">
            <v>0.9400000000000005</v>
          </cell>
          <cell r="AA55">
            <v>4.6074526025335443</v>
          </cell>
          <cell r="AE55">
            <v>0.9400000000000005</v>
          </cell>
          <cell r="AF55">
            <v>4.6074526025335443</v>
          </cell>
          <cell r="AJ55">
            <v>0.9400000000000005</v>
          </cell>
          <cell r="AK55">
            <v>4.6074526025335443</v>
          </cell>
          <cell r="AO55">
            <v>0.9400000000000005</v>
          </cell>
          <cell r="AP55">
            <v>4.6074526025335443</v>
          </cell>
          <cell r="AT55">
            <v>0.9400000000000005</v>
          </cell>
          <cell r="AU55">
            <v>4.6074526025335443</v>
          </cell>
          <cell r="AY55">
            <v>0.9400000000000005</v>
          </cell>
          <cell r="AZ55">
            <v>4.6074526025335443</v>
          </cell>
          <cell r="BD55">
            <v>0.9400000000000005</v>
          </cell>
          <cell r="BE55">
            <v>4.6074526025335443</v>
          </cell>
          <cell r="BI55">
            <v>0.9400000000000005</v>
          </cell>
          <cell r="BJ55">
            <v>4.6074526025335443</v>
          </cell>
          <cell r="BN55">
            <v>0.9400000000000005</v>
          </cell>
          <cell r="BO55">
            <v>4.6074526025335443</v>
          </cell>
          <cell r="BS55">
            <v>0.9400000000000005</v>
          </cell>
          <cell r="BT55">
            <v>4.6074526025335443</v>
          </cell>
          <cell r="BX55">
            <v>0.9400000000000005</v>
          </cell>
          <cell r="BY55">
            <v>4.6074526025335443</v>
          </cell>
          <cell r="CC55">
            <v>0.9400000000000005</v>
          </cell>
          <cell r="CD55">
            <v>4.6074526025335443</v>
          </cell>
          <cell r="CH55">
            <v>0.9400000000000005</v>
          </cell>
          <cell r="CI55">
            <v>4.6074526025335443</v>
          </cell>
          <cell r="CM55">
            <v>0.9400000000000005</v>
          </cell>
          <cell r="CN55">
            <v>4.6074526025335443</v>
          </cell>
          <cell r="CR55">
            <v>0.9400000000000005</v>
          </cell>
          <cell r="CS55">
            <v>4.6074526025335443</v>
          </cell>
          <cell r="CW55">
            <v>0.9400000000000005</v>
          </cell>
          <cell r="CX55">
            <v>4.6074526025335443</v>
          </cell>
          <cell r="DB55">
            <v>0.9400000000000005</v>
          </cell>
          <cell r="DC55">
            <v>4.6074526025335443</v>
          </cell>
          <cell r="DG55">
            <v>0.9400000000000005</v>
          </cell>
          <cell r="DH55">
            <v>4.6074526025335443</v>
          </cell>
          <cell r="DL55">
            <v>0.9400000000000005</v>
          </cell>
          <cell r="DM55">
            <v>4.6074526025335443</v>
          </cell>
          <cell r="DQ55">
            <v>0.9400000000000005</v>
          </cell>
          <cell r="DR55">
            <v>4.6074526025335443</v>
          </cell>
          <cell r="DV55">
            <v>0.9400000000000005</v>
          </cell>
          <cell r="DW55">
            <v>4.6074526025335443</v>
          </cell>
          <cell r="EA55">
            <v>0.9400000000000005</v>
          </cell>
          <cell r="EB55">
            <v>4.6074526025335443</v>
          </cell>
          <cell r="EF55">
            <v>0.9400000000000005</v>
          </cell>
          <cell r="EG55">
            <v>4.6074526025335443</v>
          </cell>
          <cell r="EK55">
            <v>0.9400000000000005</v>
          </cell>
          <cell r="EL55">
            <v>4.6074526025335443</v>
          </cell>
          <cell r="EP55">
            <v>0.9400000000000005</v>
          </cell>
          <cell r="EQ55">
            <v>4.6074526025335443</v>
          </cell>
          <cell r="EU55">
            <v>0.9400000000000005</v>
          </cell>
          <cell r="EV55">
            <v>4.6074526025335443</v>
          </cell>
        </row>
        <row r="56">
          <cell r="U56">
            <v>0.96000000000000052</v>
          </cell>
          <cell r="V56">
            <v>4.6362238843531625</v>
          </cell>
          <cell r="Z56">
            <v>0.96000000000000052</v>
          </cell>
          <cell r="AA56">
            <v>4.6362238843531625</v>
          </cell>
          <cell r="AE56">
            <v>0.96000000000000052</v>
          </cell>
          <cell r="AF56">
            <v>4.6362238843531625</v>
          </cell>
          <cell r="AJ56">
            <v>0.96000000000000052</v>
          </cell>
          <cell r="AK56">
            <v>4.6362238843531625</v>
          </cell>
          <cell r="AO56">
            <v>0.96000000000000052</v>
          </cell>
          <cell r="AP56">
            <v>4.6362238843531625</v>
          </cell>
          <cell r="AT56">
            <v>0.96000000000000052</v>
          </cell>
          <cell r="AU56">
            <v>4.6362238843531625</v>
          </cell>
          <cell r="AY56">
            <v>0.96000000000000052</v>
          </cell>
          <cell r="AZ56">
            <v>4.6362238843531625</v>
          </cell>
          <cell r="BD56">
            <v>0.96000000000000052</v>
          </cell>
          <cell r="BE56">
            <v>4.6362238843531625</v>
          </cell>
          <cell r="BI56">
            <v>0.96000000000000052</v>
          </cell>
          <cell r="BJ56">
            <v>4.6362238843531625</v>
          </cell>
          <cell r="BN56">
            <v>0.96000000000000052</v>
          </cell>
          <cell r="BO56">
            <v>4.6362238843531625</v>
          </cell>
          <cell r="BS56">
            <v>0.96000000000000052</v>
          </cell>
          <cell r="BT56">
            <v>4.6362238843531625</v>
          </cell>
          <cell r="BX56">
            <v>0.96000000000000052</v>
          </cell>
          <cell r="BY56">
            <v>4.6362238843531625</v>
          </cell>
          <cell r="CC56">
            <v>0.96000000000000052</v>
          </cell>
          <cell r="CD56">
            <v>4.6362238843531625</v>
          </cell>
          <cell r="CH56">
            <v>0.96000000000000052</v>
          </cell>
          <cell r="CI56">
            <v>4.6362238843531625</v>
          </cell>
          <cell r="CM56">
            <v>0.96000000000000052</v>
          </cell>
          <cell r="CN56">
            <v>4.6362238843531625</v>
          </cell>
          <cell r="CR56">
            <v>0.96000000000000052</v>
          </cell>
          <cell r="CS56">
            <v>4.6362238843531625</v>
          </cell>
          <cell r="CW56">
            <v>0.96000000000000052</v>
          </cell>
          <cell r="CX56">
            <v>4.6362238843531625</v>
          </cell>
          <cell r="DB56">
            <v>0.96000000000000052</v>
          </cell>
          <cell r="DC56">
            <v>4.6362238843531625</v>
          </cell>
          <cell r="DG56">
            <v>0.96000000000000052</v>
          </cell>
          <cell r="DH56">
            <v>4.6362238843531625</v>
          </cell>
          <cell r="DL56">
            <v>0.96000000000000052</v>
          </cell>
          <cell r="DM56">
            <v>4.6362238843531625</v>
          </cell>
          <cell r="DQ56">
            <v>0.96000000000000052</v>
          </cell>
          <cell r="DR56">
            <v>4.6362238843531625</v>
          </cell>
          <cell r="DV56">
            <v>0.96000000000000052</v>
          </cell>
          <cell r="DW56">
            <v>4.6362238843531625</v>
          </cell>
          <cell r="EA56">
            <v>0.96000000000000052</v>
          </cell>
          <cell r="EB56">
            <v>4.6362238843531625</v>
          </cell>
          <cell r="EF56">
            <v>0.96000000000000052</v>
          </cell>
          <cell r="EG56">
            <v>4.6362238843531625</v>
          </cell>
          <cell r="EK56">
            <v>0.96000000000000052</v>
          </cell>
          <cell r="EL56">
            <v>4.6362238843531625</v>
          </cell>
          <cell r="EP56">
            <v>0.96000000000000052</v>
          </cell>
          <cell r="EQ56">
            <v>4.6362238843531625</v>
          </cell>
          <cell r="EU56">
            <v>0.96000000000000052</v>
          </cell>
          <cell r="EV56">
            <v>4.6362238843531625</v>
          </cell>
        </row>
        <row r="57">
          <cell r="U57">
            <v>0.98000000000000054</v>
          </cell>
          <cell r="V57">
            <v>4.6622866534449319</v>
          </cell>
          <cell r="Z57">
            <v>0.98000000000000054</v>
          </cell>
          <cell r="AA57">
            <v>4.6622866534449319</v>
          </cell>
          <cell r="AE57">
            <v>0.98000000000000054</v>
          </cell>
          <cell r="AF57">
            <v>4.6622866534449319</v>
          </cell>
          <cell r="AJ57">
            <v>0.98000000000000054</v>
          </cell>
          <cell r="AK57">
            <v>4.6622866534449319</v>
          </cell>
          <cell r="AO57">
            <v>0.98000000000000054</v>
          </cell>
          <cell r="AP57">
            <v>4.6622866534449319</v>
          </cell>
          <cell r="AT57">
            <v>0.98000000000000054</v>
          </cell>
          <cell r="AU57">
            <v>4.6622866534449319</v>
          </cell>
          <cell r="AY57">
            <v>0.98000000000000054</v>
          </cell>
          <cell r="AZ57">
            <v>4.6622866534449319</v>
          </cell>
          <cell r="BD57">
            <v>0.98000000000000054</v>
          </cell>
          <cell r="BE57">
            <v>4.6622866534449319</v>
          </cell>
          <cell r="BI57">
            <v>0.98000000000000054</v>
          </cell>
          <cell r="BJ57">
            <v>4.6622866534449319</v>
          </cell>
          <cell r="BN57">
            <v>0.98000000000000054</v>
          </cell>
          <cell r="BO57">
            <v>4.6622866534449319</v>
          </cell>
          <cell r="BS57">
            <v>0.98000000000000054</v>
          </cell>
          <cell r="BT57">
            <v>4.6622866534449319</v>
          </cell>
          <cell r="BX57">
            <v>0.98000000000000054</v>
          </cell>
          <cell r="BY57">
            <v>4.6622866534449319</v>
          </cell>
          <cell r="CC57">
            <v>0.98000000000000054</v>
          </cell>
          <cell r="CD57">
            <v>4.6622866534449319</v>
          </cell>
          <cell r="CH57">
            <v>0.98000000000000054</v>
          </cell>
          <cell r="CI57">
            <v>4.6622866534449319</v>
          </cell>
          <cell r="CM57">
            <v>0.98000000000000054</v>
          </cell>
          <cell r="CN57">
            <v>4.6622866534449319</v>
          </cell>
          <cell r="CR57">
            <v>0.98000000000000054</v>
          </cell>
          <cell r="CS57">
            <v>4.6622866534449319</v>
          </cell>
          <cell r="CW57">
            <v>0.98000000000000054</v>
          </cell>
          <cell r="CX57">
            <v>4.6622866534449319</v>
          </cell>
          <cell r="DB57">
            <v>0.98000000000000054</v>
          </cell>
          <cell r="DC57">
            <v>4.6622866534449319</v>
          </cell>
          <cell r="DG57">
            <v>0.98000000000000054</v>
          </cell>
          <cell r="DH57">
            <v>4.6622866534449319</v>
          </cell>
          <cell r="DL57">
            <v>0.98000000000000054</v>
          </cell>
          <cell r="DM57">
            <v>4.6622866534449319</v>
          </cell>
          <cell r="DQ57">
            <v>0.98000000000000054</v>
          </cell>
          <cell r="DR57">
            <v>4.6622866534449319</v>
          </cell>
          <cell r="DV57">
            <v>0.98000000000000054</v>
          </cell>
          <cell r="DW57">
            <v>4.6622866534449319</v>
          </cell>
          <cell r="EA57">
            <v>0.98000000000000054</v>
          </cell>
          <cell r="EB57">
            <v>4.6622866534449319</v>
          </cell>
          <cell r="EF57">
            <v>0.98000000000000054</v>
          </cell>
          <cell r="EG57">
            <v>4.6622866534449319</v>
          </cell>
          <cell r="EK57">
            <v>0.98000000000000054</v>
          </cell>
          <cell r="EL57">
            <v>4.6622866534449319</v>
          </cell>
          <cell r="EP57">
            <v>0.98000000000000054</v>
          </cell>
          <cell r="EQ57">
            <v>4.6622866534449319</v>
          </cell>
          <cell r="EU57">
            <v>0.98000000000000054</v>
          </cell>
          <cell r="EV57">
            <v>4.6622866534449319</v>
          </cell>
        </row>
        <row r="58">
          <cell r="U58">
            <v>1.0000000000000004</v>
          </cell>
          <cell r="V58">
            <v>4.6856409098088561</v>
          </cell>
          <cell r="Z58">
            <v>1.0000000000000004</v>
          </cell>
          <cell r="AA58">
            <v>4.6856409098088561</v>
          </cell>
          <cell r="AE58">
            <v>1.0000000000000004</v>
          </cell>
          <cell r="AF58">
            <v>4.6856409098088561</v>
          </cell>
          <cell r="AJ58">
            <v>1.0000000000000004</v>
          </cell>
          <cell r="AK58">
            <v>4.6856409098088561</v>
          </cell>
          <cell r="AO58">
            <v>1.0000000000000004</v>
          </cell>
          <cell r="AP58">
            <v>4.6856409098088561</v>
          </cell>
          <cell r="AT58">
            <v>1.0000000000000004</v>
          </cell>
          <cell r="AU58">
            <v>4.6856409098088561</v>
          </cell>
          <cell r="AY58">
            <v>1.0000000000000004</v>
          </cell>
          <cell r="AZ58">
            <v>4.6856409098088561</v>
          </cell>
          <cell r="BD58">
            <v>1.0000000000000004</v>
          </cell>
          <cell r="BE58">
            <v>4.6856409098088561</v>
          </cell>
          <cell r="BI58">
            <v>1.0000000000000004</v>
          </cell>
          <cell r="BJ58">
            <v>4.6856409098088561</v>
          </cell>
          <cell r="BN58">
            <v>1.0000000000000004</v>
          </cell>
          <cell r="BO58">
            <v>4.6856409098088561</v>
          </cell>
          <cell r="BS58">
            <v>1.0000000000000004</v>
          </cell>
          <cell r="BT58">
            <v>4.6856409098088561</v>
          </cell>
          <cell r="BX58">
            <v>1.0000000000000004</v>
          </cell>
          <cell r="BY58">
            <v>4.6856409098088561</v>
          </cell>
          <cell r="CC58">
            <v>1.0000000000000004</v>
          </cell>
          <cell r="CD58">
            <v>4.6856409098088561</v>
          </cell>
          <cell r="CH58">
            <v>1.0000000000000004</v>
          </cell>
          <cell r="CI58">
            <v>4.6856409098088561</v>
          </cell>
          <cell r="CM58">
            <v>1.0000000000000004</v>
          </cell>
          <cell r="CN58">
            <v>4.6856409098088561</v>
          </cell>
          <cell r="CR58">
            <v>1.0000000000000004</v>
          </cell>
          <cell r="CS58">
            <v>4.6856409098088561</v>
          </cell>
          <cell r="CW58">
            <v>1.0000000000000004</v>
          </cell>
          <cell r="CX58">
            <v>4.6856409098088561</v>
          </cell>
          <cell r="DB58">
            <v>1.0000000000000004</v>
          </cell>
          <cell r="DC58">
            <v>4.6856409098088561</v>
          </cell>
          <cell r="DG58">
            <v>1.0000000000000004</v>
          </cell>
          <cell r="DH58">
            <v>4.6856409098088561</v>
          </cell>
          <cell r="DL58">
            <v>1.0000000000000004</v>
          </cell>
          <cell r="DM58">
            <v>4.6856409098088561</v>
          </cell>
          <cell r="DQ58">
            <v>1.0000000000000004</v>
          </cell>
          <cell r="DR58">
            <v>4.6856409098088561</v>
          </cell>
          <cell r="DV58">
            <v>1.0000000000000004</v>
          </cell>
          <cell r="DW58">
            <v>4.6856409098088561</v>
          </cell>
          <cell r="EA58">
            <v>1.0000000000000004</v>
          </cell>
          <cell r="EB58">
            <v>4.6856409098088561</v>
          </cell>
          <cell r="EF58">
            <v>1.0000000000000004</v>
          </cell>
          <cell r="EG58">
            <v>4.6856409098088561</v>
          </cell>
          <cell r="EK58">
            <v>1.0000000000000004</v>
          </cell>
          <cell r="EL58">
            <v>4.6856409098088561</v>
          </cell>
          <cell r="EP58">
            <v>1.0000000000000004</v>
          </cell>
          <cell r="EQ58">
            <v>4.6856409098088561</v>
          </cell>
          <cell r="EU58">
            <v>1.0000000000000004</v>
          </cell>
          <cell r="EV58">
            <v>4.6856409098088561</v>
          </cell>
        </row>
        <row r="59">
          <cell r="U59">
            <v>1.0200000000000005</v>
          </cell>
          <cell r="V59">
            <v>4.7062866534449324</v>
          </cell>
          <cell r="Z59">
            <v>1.0200000000000005</v>
          </cell>
          <cell r="AA59">
            <v>4.7062866534449324</v>
          </cell>
          <cell r="AE59">
            <v>1.0200000000000005</v>
          </cell>
          <cell r="AF59">
            <v>4.7062866534449324</v>
          </cell>
          <cell r="AJ59">
            <v>1.0200000000000005</v>
          </cell>
          <cell r="AK59">
            <v>4.7062866534449324</v>
          </cell>
          <cell r="AO59">
            <v>1.0200000000000005</v>
          </cell>
          <cell r="AP59">
            <v>4.7062866534449324</v>
          </cell>
          <cell r="AT59">
            <v>1.0200000000000005</v>
          </cell>
          <cell r="AU59">
            <v>4.7062866534449324</v>
          </cell>
          <cell r="AY59">
            <v>1.0200000000000005</v>
          </cell>
          <cell r="AZ59">
            <v>4.7062866534449324</v>
          </cell>
          <cell r="BD59">
            <v>1.0200000000000005</v>
          </cell>
          <cell r="BE59">
            <v>4.7062866534449324</v>
          </cell>
          <cell r="BI59">
            <v>1.0200000000000005</v>
          </cell>
          <cell r="BJ59">
            <v>4.7062866534449324</v>
          </cell>
          <cell r="BN59">
            <v>1.0200000000000005</v>
          </cell>
          <cell r="BO59">
            <v>4.7062866534449324</v>
          </cell>
          <cell r="BS59">
            <v>1.0200000000000005</v>
          </cell>
          <cell r="BT59">
            <v>4.7062866534449324</v>
          </cell>
          <cell r="BX59">
            <v>1.0200000000000005</v>
          </cell>
          <cell r="BY59">
            <v>4.7062866534449324</v>
          </cell>
          <cell r="CC59">
            <v>1.0200000000000005</v>
          </cell>
          <cell r="CD59">
            <v>4.7062866534449324</v>
          </cell>
          <cell r="CH59">
            <v>1.0200000000000005</v>
          </cell>
          <cell r="CI59">
            <v>4.7062866534449324</v>
          </cell>
          <cell r="CM59">
            <v>1.0200000000000005</v>
          </cell>
          <cell r="CN59">
            <v>4.7062866534449324</v>
          </cell>
          <cell r="CR59">
            <v>1.0200000000000005</v>
          </cell>
          <cell r="CS59">
            <v>4.7062866534449324</v>
          </cell>
          <cell r="CW59">
            <v>1.0200000000000005</v>
          </cell>
          <cell r="CX59">
            <v>4.7062866534449324</v>
          </cell>
          <cell r="DB59">
            <v>1.0200000000000005</v>
          </cell>
          <cell r="DC59">
            <v>4.7062866534449324</v>
          </cell>
          <cell r="DG59">
            <v>1.0200000000000005</v>
          </cell>
          <cell r="DH59">
            <v>4.7062866534449324</v>
          </cell>
          <cell r="DL59">
            <v>1.0200000000000005</v>
          </cell>
          <cell r="DM59">
            <v>4.7062866534449324</v>
          </cell>
          <cell r="DQ59">
            <v>1.0200000000000005</v>
          </cell>
          <cell r="DR59">
            <v>4.7062866534449324</v>
          </cell>
          <cell r="DV59">
            <v>1.0200000000000005</v>
          </cell>
          <cell r="DW59">
            <v>4.7062866534449324</v>
          </cell>
          <cell r="EA59">
            <v>1.0200000000000005</v>
          </cell>
          <cell r="EB59">
            <v>4.7062866534449324</v>
          </cell>
          <cell r="EF59">
            <v>1.0200000000000005</v>
          </cell>
          <cell r="EG59">
            <v>4.7062866534449324</v>
          </cell>
          <cell r="EK59">
            <v>1.0200000000000005</v>
          </cell>
          <cell r="EL59">
            <v>4.7062866534449324</v>
          </cell>
          <cell r="EP59">
            <v>1.0200000000000005</v>
          </cell>
          <cell r="EQ59">
            <v>4.7062866534449324</v>
          </cell>
          <cell r="EU59">
            <v>1.0200000000000005</v>
          </cell>
          <cell r="EV59">
            <v>4.7062866534449324</v>
          </cell>
        </row>
        <row r="60">
          <cell r="U60">
            <v>1.0400000000000005</v>
          </cell>
          <cell r="V60">
            <v>4.7242238843531625</v>
          </cell>
          <cell r="Z60">
            <v>1.0400000000000005</v>
          </cell>
          <cell r="AA60">
            <v>4.7242238843531625</v>
          </cell>
          <cell r="AE60">
            <v>1.0400000000000005</v>
          </cell>
          <cell r="AF60">
            <v>4.7242238843531625</v>
          </cell>
          <cell r="AJ60">
            <v>1.0400000000000005</v>
          </cell>
          <cell r="AK60">
            <v>4.7242238843531625</v>
          </cell>
          <cell r="AO60">
            <v>1.0400000000000005</v>
          </cell>
          <cell r="AP60">
            <v>4.7242238843531625</v>
          </cell>
          <cell r="AT60">
            <v>1.0400000000000005</v>
          </cell>
          <cell r="AU60">
            <v>4.7242238843531625</v>
          </cell>
          <cell r="AY60">
            <v>1.0400000000000005</v>
          </cell>
          <cell r="AZ60">
            <v>4.7242238843531625</v>
          </cell>
          <cell r="BD60">
            <v>1.0400000000000005</v>
          </cell>
          <cell r="BE60">
            <v>4.7242238843531625</v>
          </cell>
          <cell r="BI60">
            <v>1.0400000000000005</v>
          </cell>
          <cell r="BJ60">
            <v>4.7242238843531625</v>
          </cell>
          <cell r="BN60">
            <v>1.0400000000000005</v>
          </cell>
          <cell r="BO60">
            <v>4.7242238843531625</v>
          </cell>
          <cell r="BS60">
            <v>1.0400000000000005</v>
          </cell>
          <cell r="BT60">
            <v>4.7242238843531625</v>
          </cell>
          <cell r="BX60">
            <v>1.0400000000000005</v>
          </cell>
          <cell r="BY60">
            <v>4.7242238843531625</v>
          </cell>
          <cell r="CC60">
            <v>1.0400000000000005</v>
          </cell>
          <cell r="CD60">
            <v>4.7242238843531625</v>
          </cell>
          <cell r="CH60">
            <v>1.0400000000000005</v>
          </cell>
          <cell r="CI60">
            <v>4.7242238843531625</v>
          </cell>
          <cell r="CM60">
            <v>1.0400000000000005</v>
          </cell>
          <cell r="CN60">
            <v>4.7242238843531625</v>
          </cell>
          <cell r="CR60">
            <v>1.0400000000000005</v>
          </cell>
          <cell r="CS60">
            <v>4.7242238843531625</v>
          </cell>
          <cell r="CW60">
            <v>1.0400000000000005</v>
          </cell>
          <cell r="CX60">
            <v>4.7242238843531625</v>
          </cell>
          <cell r="DB60">
            <v>1.0400000000000005</v>
          </cell>
          <cell r="DC60">
            <v>4.7242238843531625</v>
          </cell>
          <cell r="DG60">
            <v>1.0400000000000005</v>
          </cell>
          <cell r="DH60">
            <v>4.7242238843531625</v>
          </cell>
          <cell r="DL60">
            <v>1.0400000000000005</v>
          </cell>
          <cell r="DM60">
            <v>4.7242238843531625</v>
          </cell>
          <cell r="DQ60">
            <v>1.0400000000000005</v>
          </cell>
          <cell r="DR60">
            <v>4.7242238843531625</v>
          </cell>
          <cell r="DV60">
            <v>1.0400000000000005</v>
          </cell>
          <cell r="DW60">
            <v>4.7242238843531625</v>
          </cell>
          <cell r="EA60">
            <v>1.0400000000000005</v>
          </cell>
          <cell r="EB60">
            <v>4.7242238843531625</v>
          </cell>
          <cell r="EF60">
            <v>1.0400000000000005</v>
          </cell>
          <cell r="EG60">
            <v>4.7242238843531625</v>
          </cell>
          <cell r="EK60">
            <v>1.0400000000000005</v>
          </cell>
          <cell r="EL60">
            <v>4.7242238843531625</v>
          </cell>
          <cell r="EP60">
            <v>1.0400000000000005</v>
          </cell>
          <cell r="EQ60">
            <v>4.7242238843531625</v>
          </cell>
          <cell r="EU60">
            <v>1.0400000000000005</v>
          </cell>
          <cell r="EV60">
            <v>4.7242238843531625</v>
          </cell>
        </row>
        <row r="61">
          <cell r="U61">
            <v>1.0600000000000005</v>
          </cell>
          <cell r="V61">
            <v>4.7394526025335439</v>
          </cell>
          <cell r="Z61">
            <v>1.0600000000000005</v>
          </cell>
          <cell r="AA61">
            <v>4.7394526025335439</v>
          </cell>
          <cell r="AE61">
            <v>1.0600000000000005</v>
          </cell>
          <cell r="AF61">
            <v>4.7394526025335439</v>
          </cell>
          <cell r="AJ61">
            <v>1.0600000000000005</v>
          </cell>
          <cell r="AK61">
            <v>4.7394526025335439</v>
          </cell>
          <cell r="AO61">
            <v>1.0600000000000005</v>
          </cell>
          <cell r="AP61">
            <v>4.7394526025335439</v>
          </cell>
          <cell r="AT61">
            <v>1.0600000000000005</v>
          </cell>
          <cell r="AU61">
            <v>4.7394526025335439</v>
          </cell>
          <cell r="AY61">
            <v>1.0600000000000005</v>
          </cell>
          <cell r="AZ61">
            <v>4.7394526025335439</v>
          </cell>
          <cell r="BD61">
            <v>1.0600000000000005</v>
          </cell>
          <cell r="BE61">
            <v>4.7394526025335439</v>
          </cell>
          <cell r="BI61">
            <v>1.0600000000000005</v>
          </cell>
          <cell r="BJ61">
            <v>4.7394526025335439</v>
          </cell>
          <cell r="BN61">
            <v>1.0600000000000005</v>
          </cell>
          <cell r="BO61">
            <v>4.7394526025335439</v>
          </cell>
          <cell r="BS61">
            <v>1.0600000000000005</v>
          </cell>
          <cell r="BT61">
            <v>4.7394526025335439</v>
          </cell>
          <cell r="BX61">
            <v>1.0600000000000005</v>
          </cell>
          <cell r="BY61">
            <v>4.7394526025335439</v>
          </cell>
          <cell r="CC61">
            <v>1.0600000000000005</v>
          </cell>
          <cell r="CD61">
            <v>4.7394526025335439</v>
          </cell>
          <cell r="CH61">
            <v>1.0600000000000005</v>
          </cell>
          <cell r="CI61">
            <v>4.7394526025335439</v>
          </cell>
          <cell r="CM61">
            <v>1.0600000000000005</v>
          </cell>
          <cell r="CN61">
            <v>4.7394526025335439</v>
          </cell>
          <cell r="CR61">
            <v>1.0600000000000005</v>
          </cell>
          <cell r="CS61">
            <v>4.7394526025335439</v>
          </cell>
          <cell r="CW61">
            <v>1.0600000000000005</v>
          </cell>
          <cell r="CX61">
            <v>4.7394526025335439</v>
          </cell>
          <cell r="DB61">
            <v>1.0600000000000005</v>
          </cell>
          <cell r="DC61">
            <v>4.7394526025335439</v>
          </cell>
          <cell r="DG61">
            <v>1.0600000000000005</v>
          </cell>
          <cell r="DH61">
            <v>4.7394526025335439</v>
          </cell>
          <cell r="DL61">
            <v>1.0600000000000005</v>
          </cell>
          <cell r="DM61">
            <v>4.7394526025335439</v>
          </cell>
          <cell r="DQ61">
            <v>1.0600000000000005</v>
          </cell>
          <cell r="DR61">
            <v>4.7394526025335439</v>
          </cell>
          <cell r="DV61">
            <v>1.0600000000000005</v>
          </cell>
          <cell r="DW61">
            <v>4.7394526025335439</v>
          </cell>
          <cell r="EA61">
            <v>1.0600000000000005</v>
          </cell>
          <cell r="EB61">
            <v>4.7394526025335439</v>
          </cell>
          <cell r="EF61">
            <v>1.0600000000000005</v>
          </cell>
          <cell r="EG61">
            <v>4.7394526025335439</v>
          </cell>
          <cell r="EK61">
            <v>1.0600000000000005</v>
          </cell>
          <cell r="EL61">
            <v>4.7394526025335439</v>
          </cell>
          <cell r="EP61">
            <v>1.0600000000000005</v>
          </cell>
          <cell r="EQ61">
            <v>4.7394526025335439</v>
          </cell>
          <cell r="EU61">
            <v>1.0600000000000005</v>
          </cell>
          <cell r="EV61">
            <v>4.7394526025335439</v>
          </cell>
        </row>
        <row r="62">
          <cell r="U62">
            <v>1.0800000000000005</v>
          </cell>
          <cell r="V62">
            <v>4.7519728079860784</v>
          </cell>
          <cell r="Z62">
            <v>1.0800000000000005</v>
          </cell>
          <cell r="AA62">
            <v>4.7519728079860784</v>
          </cell>
          <cell r="AE62">
            <v>1.0800000000000005</v>
          </cell>
          <cell r="AF62">
            <v>4.7519728079860784</v>
          </cell>
          <cell r="AJ62">
            <v>1.0800000000000005</v>
          </cell>
          <cell r="AK62">
            <v>4.7519728079860784</v>
          </cell>
          <cell r="AO62">
            <v>1.0800000000000005</v>
          </cell>
          <cell r="AP62">
            <v>4.7519728079860784</v>
          </cell>
          <cell r="AT62">
            <v>1.0800000000000005</v>
          </cell>
          <cell r="AU62">
            <v>4.7519728079860784</v>
          </cell>
          <cell r="AY62">
            <v>1.0800000000000005</v>
          </cell>
          <cell r="AZ62">
            <v>4.7519728079860784</v>
          </cell>
          <cell r="BD62">
            <v>1.0800000000000005</v>
          </cell>
          <cell r="BE62">
            <v>4.7519728079860784</v>
          </cell>
          <cell r="BI62">
            <v>1.0800000000000005</v>
          </cell>
          <cell r="BJ62">
            <v>4.7519728079860784</v>
          </cell>
          <cell r="BN62">
            <v>1.0800000000000005</v>
          </cell>
          <cell r="BO62">
            <v>4.7519728079860784</v>
          </cell>
          <cell r="BS62">
            <v>1.0800000000000005</v>
          </cell>
          <cell r="BT62">
            <v>4.7519728079860784</v>
          </cell>
          <cell r="BX62">
            <v>1.0800000000000005</v>
          </cell>
          <cell r="BY62">
            <v>4.7519728079860784</v>
          </cell>
          <cell r="CC62">
            <v>1.0800000000000005</v>
          </cell>
          <cell r="CD62">
            <v>4.7519728079860784</v>
          </cell>
          <cell r="CH62">
            <v>1.0800000000000005</v>
          </cell>
          <cell r="CI62">
            <v>4.7519728079860784</v>
          </cell>
          <cell r="CM62">
            <v>1.0800000000000005</v>
          </cell>
          <cell r="CN62">
            <v>4.7519728079860784</v>
          </cell>
          <cell r="CR62">
            <v>1.0800000000000005</v>
          </cell>
          <cell r="CS62">
            <v>4.7519728079860784</v>
          </cell>
          <cell r="CW62">
            <v>1.0800000000000005</v>
          </cell>
          <cell r="CX62">
            <v>4.7519728079860784</v>
          </cell>
          <cell r="DB62">
            <v>1.0800000000000005</v>
          </cell>
          <cell r="DC62">
            <v>4.7519728079860784</v>
          </cell>
          <cell r="DG62">
            <v>1.0800000000000005</v>
          </cell>
          <cell r="DH62">
            <v>4.7519728079860784</v>
          </cell>
          <cell r="DL62">
            <v>1.0800000000000005</v>
          </cell>
          <cell r="DM62">
            <v>4.7519728079860784</v>
          </cell>
          <cell r="DQ62">
            <v>1.0800000000000005</v>
          </cell>
          <cell r="DR62">
            <v>4.7519728079860784</v>
          </cell>
          <cell r="DV62">
            <v>1.0800000000000005</v>
          </cell>
          <cell r="DW62">
            <v>4.7519728079860784</v>
          </cell>
          <cell r="EA62">
            <v>1.0800000000000005</v>
          </cell>
          <cell r="EB62">
            <v>4.7519728079860784</v>
          </cell>
          <cell r="EF62">
            <v>1.0800000000000005</v>
          </cell>
          <cell r="EG62">
            <v>4.7519728079860784</v>
          </cell>
          <cell r="EK62">
            <v>1.0800000000000005</v>
          </cell>
          <cell r="EL62">
            <v>4.7519728079860784</v>
          </cell>
          <cell r="EP62">
            <v>1.0800000000000005</v>
          </cell>
          <cell r="EQ62">
            <v>4.7519728079860784</v>
          </cell>
          <cell r="EU62">
            <v>1.0800000000000005</v>
          </cell>
          <cell r="EV62">
            <v>4.7519728079860784</v>
          </cell>
        </row>
        <row r="63">
          <cell r="U63">
            <v>1.1000000000000005</v>
          </cell>
          <cell r="V63">
            <v>4.7617845007107666</v>
          </cell>
          <cell r="Z63">
            <v>1.1000000000000005</v>
          </cell>
          <cell r="AA63">
            <v>4.7617845007107666</v>
          </cell>
          <cell r="AE63">
            <v>1.1000000000000005</v>
          </cell>
          <cell r="AF63">
            <v>4.7617845007107666</v>
          </cell>
          <cell r="AJ63">
            <v>1.1000000000000005</v>
          </cell>
          <cell r="AK63">
            <v>4.7617845007107666</v>
          </cell>
          <cell r="AO63">
            <v>1.1000000000000005</v>
          </cell>
          <cell r="AP63">
            <v>4.7617845007107666</v>
          </cell>
          <cell r="AT63">
            <v>1.1000000000000005</v>
          </cell>
          <cell r="AU63">
            <v>4.7617845007107666</v>
          </cell>
          <cell r="AY63">
            <v>1.1000000000000005</v>
          </cell>
          <cell r="AZ63">
            <v>4.7617845007107666</v>
          </cell>
          <cell r="BD63">
            <v>1.1000000000000005</v>
          </cell>
          <cell r="BE63">
            <v>4.7617845007107666</v>
          </cell>
          <cell r="BI63">
            <v>1.1000000000000005</v>
          </cell>
          <cell r="BJ63">
            <v>4.7617845007107666</v>
          </cell>
          <cell r="BN63">
            <v>1.1000000000000005</v>
          </cell>
          <cell r="BO63">
            <v>4.7617845007107666</v>
          </cell>
          <cell r="BS63">
            <v>1.1000000000000005</v>
          </cell>
          <cell r="BT63">
            <v>4.7617845007107666</v>
          </cell>
          <cell r="BX63">
            <v>1.1000000000000005</v>
          </cell>
          <cell r="BY63">
            <v>4.7617845007107666</v>
          </cell>
          <cell r="CC63">
            <v>1.1000000000000005</v>
          </cell>
          <cell r="CD63">
            <v>4.7617845007107666</v>
          </cell>
          <cell r="CH63">
            <v>1.1000000000000005</v>
          </cell>
          <cell r="CI63">
            <v>4.7617845007107666</v>
          </cell>
          <cell r="CM63">
            <v>1.1000000000000005</v>
          </cell>
          <cell r="CN63">
            <v>4.7617845007107666</v>
          </cell>
          <cell r="CR63">
            <v>1.1000000000000005</v>
          </cell>
          <cell r="CS63">
            <v>4.7617845007107666</v>
          </cell>
          <cell r="CW63">
            <v>1.1000000000000005</v>
          </cell>
          <cell r="CX63">
            <v>4.7617845007107666</v>
          </cell>
          <cell r="DB63">
            <v>1.1000000000000005</v>
          </cell>
          <cell r="DC63">
            <v>4.7617845007107666</v>
          </cell>
          <cell r="DG63">
            <v>1.1000000000000005</v>
          </cell>
          <cell r="DH63">
            <v>4.7617845007107666</v>
          </cell>
          <cell r="DL63">
            <v>1.1000000000000005</v>
          </cell>
          <cell r="DM63">
            <v>4.7617845007107666</v>
          </cell>
          <cell r="DQ63">
            <v>1.1000000000000005</v>
          </cell>
          <cell r="DR63">
            <v>4.7617845007107666</v>
          </cell>
          <cell r="DV63">
            <v>1.1000000000000005</v>
          </cell>
          <cell r="DW63">
            <v>4.7617845007107666</v>
          </cell>
          <cell r="EA63">
            <v>1.1000000000000005</v>
          </cell>
          <cell r="EB63">
            <v>4.7617845007107666</v>
          </cell>
          <cell r="EF63">
            <v>1.1000000000000005</v>
          </cell>
          <cell r="EG63">
            <v>4.7617845007107666</v>
          </cell>
          <cell r="EK63">
            <v>1.1000000000000005</v>
          </cell>
          <cell r="EL63">
            <v>4.7617845007107666</v>
          </cell>
          <cell r="EP63">
            <v>1.1000000000000005</v>
          </cell>
          <cell r="EQ63">
            <v>4.7617845007107666</v>
          </cell>
          <cell r="EU63">
            <v>1.1000000000000005</v>
          </cell>
          <cell r="EV63">
            <v>4.7617845007107666</v>
          </cell>
        </row>
        <row r="64">
          <cell r="U64">
            <v>1.1200000000000006</v>
          </cell>
          <cell r="V64">
            <v>4.7688876807076088</v>
          </cell>
          <cell r="Z64">
            <v>1.1200000000000006</v>
          </cell>
          <cell r="AA64">
            <v>4.7688876807076088</v>
          </cell>
          <cell r="AE64">
            <v>1.1200000000000006</v>
          </cell>
          <cell r="AF64">
            <v>4.7688876807076088</v>
          </cell>
          <cell r="AJ64">
            <v>1.1200000000000006</v>
          </cell>
          <cell r="AK64">
            <v>4.7688876807076088</v>
          </cell>
          <cell r="AO64">
            <v>1.1200000000000006</v>
          </cell>
          <cell r="AP64">
            <v>4.7688876807076088</v>
          </cell>
          <cell r="AT64">
            <v>1.1200000000000006</v>
          </cell>
          <cell r="AU64">
            <v>4.7688876807076088</v>
          </cell>
          <cell r="AY64">
            <v>1.1200000000000006</v>
          </cell>
          <cell r="AZ64">
            <v>4.7688876807076088</v>
          </cell>
          <cell r="BD64">
            <v>1.1200000000000006</v>
          </cell>
          <cell r="BE64">
            <v>4.7688876807076088</v>
          </cell>
          <cell r="BI64">
            <v>1.1200000000000006</v>
          </cell>
          <cell r="BJ64">
            <v>4.7688876807076088</v>
          </cell>
          <cell r="BN64">
            <v>1.1200000000000006</v>
          </cell>
          <cell r="BO64">
            <v>4.7688876807076088</v>
          </cell>
          <cell r="BS64">
            <v>1.1200000000000006</v>
          </cell>
          <cell r="BT64">
            <v>4.7688876807076088</v>
          </cell>
          <cell r="BX64">
            <v>1.1200000000000006</v>
          </cell>
          <cell r="BY64">
            <v>4.7688876807076088</v>
          </cell>
          <cell r="CC64">
            <v>1.1200000000000006</v>
          </cell>
          <cell r="CD64">
            <v>4.7688876807076088</v>
          </cell>
          <cell r="CH64">
            <v>1.1200000000000006</v>
          </cell>
          <cell r="CI64">
            <v>4.7688876807076088</v>
          </cell>
          <cell r="CM64">
            <v>1.1200000000000006</v>
          </cell>
          <cell r="CN64">
            <v>4.7688876807076088</v>
          </cell>
          <cell r="CR64">
            <v>1.1200000000000006</v>
          </cell>
          <cell r="CS64">
            <v>4.7688876807076088</v>
          </cell>
          <cell r="CW64">
            <v>1.1200000000000006</v>
          </cell>
          <cell r="CX64">
            <v>4.7688876807076088</v>
          </cell>
          <cell r="DB64">
            <v>1.1200000000000006</v>
          </cell>
          <cell r="DC64">
            <v>4.7688876807076088</v>
          </cell>
          <cell r="DG64">
            <v>1.1200000000000006</v>
          </cell>
          <cell r="DH64">
            <v>4.7688876807076088</v>
          </cell>
          <cell r="DL64">
            <v>1.1200000000000006</v>
          </cell>
          <cell r="DM64">
            <v>4.7688876807076088</v>
          </cell>
          <cell r="DQ64">
            <v>1.1200000000000006</v>
          </cell>
          <cell r="DR64">
            <v>4.7688876807076088</v>
          </cell>
          <cell r="DV64">
            <v>1.1200000000000006</v>
          </cell>
          <cell r="DW64">
            <v>4.7688876807076088</v>
          </cell>
          <cell r="EA64">
            <v>1.1200000000000006</v>
          </cell>
          <cell r="EB64">
            <v>4.7688876807076088</v>
          </cell>
          <cell r="EF64">
            <v>1.1200000000000006</v>
          </cell>
          <cell r="EG64">
            <v>4.7688876807076088</v>
          </cell>
          <cell r="EK64">
            <v>1.1200000000000006</v>
          </cell>
          <cell r="EL64">
            <v>4.7688876807076088</v>
          </cell>
          <cell r="EP64">
            <v>1.1200000000000006</v>
          </cell>
          <cell r="EQ64">
            <v>4.7688876807076088</v>
          </cell>
          <cell r="EU64">
            <v>1.1200000000000006</v>
          </cell>
          <cell r="EV64">
            <v>4.7688876807076088</v>
          </cell>
        </row>
        <row r="65">
          <cell r="U65">
            <v>1.1400000000000006</v>
          </cell>
          <cell r="V65">
            <v>4.7732823479766022</v>
          </cell>
          <cell r="Z65">
            <v>1.1400000000000006</v>
          </cell>
          <cell r="AA65">
            <v>4.7732823479766022</v>
          </cell>
          <cell r="AE65">
            <v>1.1400000000000006</v>
          </cell>
          <cell r="AF65">
            <v>4.7732823479766022</v>
          </cell>
          <cell r="AJ65">
            <v>1.1400000000000006</v>
          </cell>
          <cell r="AK65">
            <v>4.7732823479766022</v>
          </cell>
          <cell r="AO65">
            <v>1.1400000000000006</v>
          </cell>
          <cell r="AP65">
            <v>4.7732823479766022</v>
          </cell>
          <cell r="AT65">
            <v>1.1400000000000006</v>
          </cell>
          <cell r="AU65">
            <v>4.7732823479766022</v>
          </cell>
          <cell r="AY65">
            <v>1.1400000000000006</v>
          </cell>
          <cell r="AZ65">
            <v>4.7732823479766022</v>
          </cell>
          <cell r="BD65">
            <v>1.1400000000000006</v>
          </cell>
          <cell r="BE65">
            <v>4.7732823479766022</v>
          </cell>
          <cell r="BI65">
            <v>1.1400000000000006</v>
          </cell>
          <cell r="BJ65">
            <v>4.7732823479766022</v>
          </cell>
          <cell r="BN65">
            <v>1.1400000000000006</v>
          </cell>
          <cell r="BO65">
            <v>4.7732823479766022</v>
          </cell>
          <cell r="BS65">
            <v>1.1400000000000006</v>
          </cell>
          <cell r="BT65">
            <v>4.7732823479766022</v>
          </cell>
          <cell r="BX65">
            <v>1.1400000000000006</v>
          </cell>
          <cell r="BY65">
            <v>4.7732823479766022</v>
          </cell>
          <cell r="CC65">
            <v>1.1400000000000006</v>
          </cell>
          <cell r="CD65">
            <v>4.7732823479766022</v>
          </cell>
          <cell r="CH65">
            <v>1.1400000000000006</v>
          </cell>
          <cell r="CI65">
            <v>4.7732823479766022</v>
          </cell>
          <cell r="CM65">
            <v>1.1400000000000006</v>
          </cell>
          <cell r="CN65">
            <v>4.7732823479766022</v>
          </cell>
          <cell r="CR65">
            <v>1.1400000000000006</v>
          </cell>
          <cell r="CS65">
            <v>4.7732823479766022</v>
          </cell>
          <cell r="CW65">
            <v>1.1400000000000006</v>
          </cell>
          <cell r="CX65">
            <v>4.7732823479766022</v>
          </cell>
          <cell r="DB65">
            <v>1.1400000000000006</v>
          </cell>
          <cell r="DC65">
            <v>4.7732823479766022</v>
          </cell>
          <cell r="DG65">
            <v>1.1400000000000006</v>
          </cell>
          <cell r="DH65">
            <v>4.7732823479766022</v>
          </cell>
          <cell r="DL65">
            <v>1.1400000000000006</v>
          </cell>
          <cell r="DM65">
            <v>4.7732823479766022</v>
          </cell>
          <cell r="DQ65">
            <v>1.1400000000000006</v>
          </cell>
          <cell r="DR65">
            <v>4.7732823479766022</v>
          </cell>
          <cell r="DV65">
            <v>1.1400000000000006</v>
          </cell>
          <cell r="DW65">
            <v>4.7732823479766022</v>
          </cell>
          <cell r="EA65">
            <v>1.1400000000000006</v>
          </cell>
          <cell r="EB65">
            <v>4.7732823479766022</v>
          </cell>
          <cell r="EF65">
            <v>1.1400000000000006</v>
          </cell>
          <cell r="EG65">
            <v>4.7732823479766022</v>
          </cell>
          <cell r="EK65">
            <v>1.1400000000000006</v>
          </cell>
          <cell r="EL65">
            <v>4.7732823479766022</v>
          </cell>
          <cell r="EP65">
            <v>1.1400000000000006</v>
          </cell>
          <cell r="EQ65">
            <v>4.7732823479766022</v>
          </cell>
          <cell r="EU65">
            <v>1.1400000000000006</v>
          </cell>
          <cell r="EV65">
            <v>4.7732823479766022</v>
          </cell>
        </row>
        <row r="66">
          <cell r="U66">
            <v>1.1600000000000006</v>
          </cell>
          <cell r="V66">
            <v>4.7749685025177477</v>
          </cell>
          <cell r="Z66">
            <v>1.1600000000000006</v>
          </cell>
          <cell r="AA66">
            <v>4.7749685025177477</v>
          </cell>
          <cell r="AE66">
            <v>1.1600000000000006</v>
          </cell>
          <cell r="AF66">
            <v>4.7749685025177477</v>
          </cell>
          <cell r="AJ66">
            <v>1.1600000000000006</v>
          </cell>
          <cell r="AK66">
            <v>4.7749685025177477</v>
          </cell>
          <cell r="AO66">
            <v>1.1600000000000006</v>
          </cell>
          <cell r="AP66">
            <v>4.7749685025177477</v>
          </cell>
          <cell r="AT66">
            <v>1.1600000000000006</v>
          </cell>
          <cell r="AU66">
            <v>4.7749685025177477</v>
          </cell>
          <cell r="AY66">
            <v>1.1600000000000006</v>
          </cell>
          <cell r="AZ66">
            <v>4.7749685025177477</v>
          </cell>
          <cell r="BD66">
            <v>1.1600000000000006</v>
          </cell>
          <cell r="BE66">
            <v>4.7749685025177477</v>
          </cell>
          <cell r="BI66">
            <v>1.1600000000000006</v>
          </cell>
          <cell r="BJ66">
            <v>4.7749685025177477</v>
          </cell>
          <cell r="BN66">
            <v>1.1600000000000006</v>
          </cell>
          <cell r="BO66">
            <v>4.7749685025177477</v>
          </cell>
          <cell r="BS66">
            <v>1.1600000000000006</v>
          </cell>
          <cell r="BT66">
            <v>4.7749685025177477</v>
          </cell>
          <cell r="BX66">
            <v>1.1600000000000006</v>
          </cell>
          <cell r="BY66">
            <v>4.7749685025177477</v>
          </cell>
          <cell r="CC66">
            <v>1.1600000000000006</v>
          </cell>
          <cell r="CD66">
            <v>4.7749685025177477</v>
          </cell>
          <cell r="CH66">
            <v>1.1600000000000006</v>
          </cell>
          <cell r="CI66">
            <v>4.7749685025177477</v>
          </cell>
          <cell r="CM66">
            <v>1.1600000000000006</v>
          </cell>
          <cell r="CN66">
            <v>4.7749685025177477</v>
          </cell>
          <cell r="CR66">
            <v>1.1600000000000006</v>
          </cell>
          <cell r="CS66">
            <v>4.7749685025177477</v>
          </cell>
          <cell r="CW66">
            <v>1.1600000000000006</v>
          </cell>
          <cell r="CX66">
            <v>4.7749685025177477</v>
          </cell>
          <cell r="DB66">
            <v>1.1600000000000006</v>
          </cell>
          <cell r="DC66">
            <v>4.7749685025177477</v>
          </cell>
          <cell r="DG66">
            <v>1.1600000000000006</v>
          </cell>
          <cell r="DH66">
            <v>4.7749685025177477</v>
          </cell>
          <cell r="DL66">
            <v>1.1600000000000006</v>
          </cell>
          <cell r="DM66">
            <v>4.7749685025177477</v>
          </cell>
          <cell r="DQ66">
            <v>1.1600000000000006</v>
          </cell>
          <cell r="DR66">
            <v>4.7749685025177477</v>
          </cell>
          <cell r="DV66">
            <v>1.1600000000000006</v>
          </cell>
          <cell r="DW66">
            <v>4.7749685025177477</v>
          </cell>
          <cell r="EA66">
            <v>1.1600000000000006</v>
          </cell>
          <cell r="EB66">
            <v>4.7749685025177477</v>
          </cell>
          <cell r="EF66">
            <v>1.1600000000000006</v>
          </cell>
          <cell r="EG66">
            <v>4.7749685025177477</v>
          </cell>
          <cell r="EK66">
            <v>1.1600000000000006</v>
          </cell>
          <cell r="EL66">
            <v>4.7749685025177477</v>
          </cell>
          <cell r="EP66">
            <v>1.1600000000000006</v>
          </cell>
          <cell r="EQ66">
            <v>4.7749685025177477</v>
          </cell>
          <cell r="EU66">
            <v>1.1600000000000006</v>
          </cell>
          <cell r="EV66">
            <v>4.7749685025177477</v>
          </cell>
        </row>
        <row r="67">
          <cell r="U67">
            <v>1.1800000000000006</v>
          </cell>
          <cell r="V67">
            <v>4.773946144331048</v>
          </cell>
          <cell r="Z67">
            <v>1.1800000000000006</v>
          </cell>
          <cell r="AA67">
            <v>4.773946144331048</v>
          </cell>
          <cell r="AE67">
            <v>1.1800000000000006</v>
          </cell>
          <cell r="AF67">
            <v>4.773946144331048</v>
          </cell>
          <cell r="AJ67">
            <v>1.1800000000000006</v>
          </cell>
          <cell r="AK67">
            <v>4.773946144331048</v>
          </cell>
          <cell r="AO67">
            <v>1.1800000000000006</v>
          </cell>
          <cell r="AP67">
            <v>4.773946144331048</v>
          </cell>
          <cell r="AT67">
            <v>1.1800000000000006</v>
          </cell>
          <cell r="AU67">
            <v>4.773946144331048</v>
          </cell>
          <cell r="AY67">
            <v>1.1800000000000006</v>
          </cell>
          <cell r="AZ67">
            <v>4.773946144331048</v>
          </cell>
          <cell r="BD67">
            <v>1.1800000000000006</v>
          </cell>
          <cell r="BE67">
            <v>4.773946144331048</v>
          </cell>
          <cell r="BI67">
            <v>1.1800000000000006</v>
          </cell>
          <cell r="BJ67">
            <v>4.773946144331048</v>
          </cell>
          <cell r="BN67">
            <v>1.1800000000000006</v>
          </cell>
          <cell r="BO67">
            <v>4.773946144331048</v>
          </cell>
          <cell r="BS67">
            <v>1.1800000000000006</v>
          </cell>
          <cell r="BT67">
            <v>4.773946144331048</v>
          </cell>
          <cell r="BX67">
            <v>1.1800000000000006</v>
          </cell>
          <cell r="BY67">
            <v>4.773946144331048</v>
          </cell>
          <cell r="CC67">
            <v>1.1800000000000006</v>
          </cell>
          <cell r="CD67">
            <v>4.773946144331048</v>
          </cell>
          <cell r="CH67">
            <v>1.1800000000000006</v>
          </cell>
          <cell r="CI67">
            <v>4.773946144331048</v>
          </cell>
          <cell r="CM67">
            <v>1.1800000000000006</v>
          </cell>
          <cell r="CN67">
            <v>4.773946144331048</v>
          </cell>
          <cell r="CR67">
            <v>1.1800000000000006</v>
          </cell>
          <cell r="CS67">
            <v>4.773946144331048</v>
          </cell>
          <cell r="CW67">
            <v>1.1800000000000006</v>
          </cell>
          <cell r="CX67">
            <v>4.773946144331048</v>
          </cell>
          <cell r="DB67">
            <v>1.1800000000000006</v>
          </cell>
          <cell r="DC67">
            <v>4.773946144331048</v>
          </cell>
          <cell r="DG67">
            <v>1.1800000000000006</v>
          </cell>
          <cell r="DH67">
            <v>4.773946144331048</v>
          </cell>
          <cell r="DL67">
            <v>1.1800000000000006</v>
          </cell>
          <cell r="DM67">
            <v>4.773946144331048</v>
          </cell>
          <cell r="DQ67">
            <v>1.1800000000000006</v>
          </cell>
          <cell r="DR67">
            <v>4.773946144331048</v>
          </cell>
          <cell r="DV67">
            <v>1.1800000000000006</v>
          </cell>
          <cell r="DW67">
            <v>4.773946144331048</v>
          </cell>
          <cell r="EA67">
            <v>1.1800000000000006</v>
          </cell>
          <cell r="EB67">
            <v>4.773946144331048</v>
          </cell>
          <cell r="EF67">
            <v>1.1800000000000006</v>
          </cell>
          <cell r="EG67">
            <v>4.773946144331048</v>
          </cell>
          <cell r="EK67">
            <v>1.1800000000000006</v>
          </cell>
          <cell r="EL67">
            <v>4.773946144331048</v>
          </cell>
          <cell r="EP67">
            <v>1.1800000000000006</v>
          </cell>
          <cell r="EQ67">
            <v>4.773946144331048</v>
          </cell>
          <cell r="EU67">
            <v>1.1800000000000006</v>
          </cell>
          <cell r="EV67">
            <v>4.773946144331048</v>
          </cell>
        </row>
        <row r="68">
          <cell r="U68">
            <v>1.2000000000000006</v>
          </cell>
          <cell r="V68">
            <v>4.7702152734165013</v>
          </cell>
          <cell r="Z68">
            <v>1.2000000000000006</v>
          </cell>
          <cell r="AA68">
            <v>4.7702152734165013</v>
          </cell>
          <cell r="AE68">
            <v>1.2000000000000006</v>
          </cell>
          <cell r="AF68">
            <v>4.7702152734165013</v>
          </cell>
          <cell r="AJ68">
            <v>1.2000000000000006</v>
          </cell>
          <cell r="AK68">
            <v>4.7702152734165013</v>
          </cell>
          <cell r="AO68">
            <v>1.2000000000000006</v>
          </cell>
          <cell r="AP68">
            <v>4.7702152734165013</v>
          </cell>
          <cell r="AT68">
            <v>1.2000000000000006</v>
          </cell>
          <cell r="AU68">
            <v>4.7702152734165013</v>
          </cell>
          <cell r="AY68">
            <v>1.2000000000000006</v>
          </cell>
          <cell r="AZ68">
            <v>4.7702152734165013</v>
          </cell>
          <cell r="BD68">
            <v>1.2000000000000006</v>
          </cell>
          <cell r="BE68">
            <v>4.7702152734165013</v>
          </cell>
          <cell r="BI68">
            <v>1.2000000000000006</v>
          </cell>
          <cell r="BJ68">
            <v>4.7702152734165013</v>
          </cell>
          <cell r="BN68">
            <v>1.2000000000000006</v>
          </cell>
          <cell r="BO68">
            <v>4.7702152734165013</v>
          </cell>
          <cell r="BS68">
            <v>1.2000000000000006</v>
          </cell>
          <cell r="BT68">
            <v>4.7702152734165013</v>
          </cell>
          <cell r="BX68">
            <v>1.2000000000000006</v>
          </cell>
          <cell r="BY68">
            <v>4.7702152734165013</v>
          </cell>
          <cell r="CC68">
            <v>1.2000000000000006</v>
          </cell>
          <cell r="CD68">
            <v>4.7702152734165013</v>
          </cell>
          <cell r="CH68">
            <v>1.2000000000000006</v>
          </cell>
          <cell r="CI68">
            <v>4.7702152734165013</v>
          </cell>
          <cell r="CM68">
            <v>1.2000000000000006</v>
          </cell>
          <cell r="CN68">
            <v>4.7702152734165013</v>
          </cell>
          <cell r="CR68">
            <v>1.2000000000000006</v>
          </cell>
          <cell r="CS68">
            <v>4.7702152734165013</v>
          </cell>
          <cell r="CW68">
            <v>1.2000000000000006</v>
          </cell>
          <cell r="CX68">
            <v>4.7702152734165013</v>
          </cell>
          <cell r="DB68">
            <v>1.2000000000000006</v>
          </cell>
          <cell r="DC68">
            <v>4.7702152734165013</v>
          </cell>
          <cell r="DG68">
            <v>1.2000000000000006</v>
          </cell>
          <cell r="DH68">
            <v>4.7702152734165013</v>
          </cell>
          <cell r="DL68">
            <v>1.2000000000000006</v>
          </cell>
          <cell r="DM68">
            <v>4.7702152734165013</v>
          </cell>
          <cell r="DQ68">
            <v>1.2000000000000006</v>
          </cell>
          <cell r="DR68">
            <v>4.7702152734165013</v>
          </cell>
          <cell r="DV68">
            <v>1.2000000000000006</v>
          </cell>
          <cell r="DW68">
            <v>4.7702152734165013</v>
          </cell>
          <cell r="EA68">
            <v>1.2000000000000006</v>
          </cell>
          <cell r="EB68">
            <v>4.7702152734165013</v>
          </cell>
          <cell r="EF68">
            <v>1.2000000000000006</v>
          </cell>
          <cell r="EG68">
            <v>4.7702152734165013</v>
          </cell>
          <cell r="EK68">
            <v>1.2000000000000006</v>
          </cell>
          <cell r="EL68">
            <v>4.7702152734165013</v>
          </cell>
          <cell r="EP68">
            <v>1.2000000000000006</v>
          </cell>
          <cell r="EQ68">
            <v>4.7702152734165013</v>
          </cell>
          <cell r="EU68">
            <v>1.2000000000000006</v>
          </cell>
          <cell r="EV68">
            <v>4.7702152734165013</v>
          </cell>
        </row>
        <row r="69">
          <cell r="U69">
            <v>1.2200000000000006</v>
          </cell>
          <cell r="V69">
            <v>4.7637758897741067</v>
          </cell>
          <cell r="Z69">
            <v>1.2200000000000006</v>
          </cell>
          <cell r="AA69">
            <v>4.7637758897741067</v>
          </cell>
          <cell r="AE69">
            <v>1.2200000000000006</v>
          </cell>
          <cell r="AF69">
            <v>4.7637758897741067</v>
          </cell>
          <cell r="AJ69">
            <v>1.2200000000000006</v>
          </cell>
          <cell r="AK69">
            <v>4.7637758897741067</v>
          </cell>
          <cell r="AO69">
            <v>1.2200000000000006</v>
          </cell>
          <cell r="AP69">
            <v>4.7637758897741067</v>
          </cell>
          <cell r="AT69">
            <v>1.2200000000000006</v>
          </cell>
          <cell r="AU69">
            <v>4.7637758897741067</v>
          </cell>
          <cell r="AY69">
            <v>1.2200000000000006</v>
          </cell>
          <cell r="AZ69">
            <v>4.7637758897741067</v>
          </cell>
          <cell r="BD69">
            <v>1.2200000000000006</v>
          </cell>
          <cell r="BE69">
            <v>4.7637758897741067</v>
          </cell>
          <cell r="BI69">
            <v>1.2200000000000006</v>
          </cell>
          <cell r="BJ69">
            <v>4.7637758897741067</v>
          </cell>
          <cell r="BN69">
            <v>1.2200000000000006</v>
          </cell>
          <cell r="BO69">
            <v>4.7637758897741067</v>
          </cell>
          <cell r="BS69">
            <v>1.2200000000000006</v>
          </cell>
          <cell r="BT69">
            <v>4.7637758897741067</v>
          </cell>
          <cell r="BX69">
            <v>1.2200000000000006</v>
          </cell>
          <cell r="BY69">
            <v>4.7637758897741067</v>
          </cell>
          <cell r="CC69">
            <v>1.2200000000000006</v>
          </cell>
          <cell r="CD69">
            <v>4.7637758897741067</v>
          </cell>
          <cell r="CH69">
            <v>1.2200000000000006</v>
          </cell>
          <cell r="CI69">
            <v>4.7637758897741067</v>
          </cell>
          <cell r="CM69">
            <v>1.2200000000000006</v>
          </cell>
          <cell r="CN69">
            <v>4.7637758897741067</v>
          </cell>
          <cell r="CR69">
            <v>1.2200000000000006</v>
          </cell>
          <cell r="CS69">
            <v>4.7637758897741067</v>
          </cell>
          <cell r="CW69">
            <v>1.2200000000000006</v>
          </cell>
          <cell r="CX69">
            <v>4.7637758897741067</v>
          </cell>
          <cell r="DB69">
            <v>1.2200000000000006</v>
          </cell>
          <cell r="DC69">
            <v>4.7637758897741067</v>
          </cell>
          <cell r="DG69">
            <v>1.2200000000000006</v>
          </cell>
          <cell r="DH69">
            <v>4.7637758897741067</v>
          </cell>
          <cell r="DL69">
            <v>1.2200000000000006</v>
          </cell>
          <cell r="DM69">
            <v>4.7637758897741067</v>
          </cell>
          <cell r="DQ69">
            <v>1.2200000000000006</v>
          </cell>
          <cell r="DR69">
            <v>4.7637758897741067</v>
          </cell>
          <cell r="DV69">
            <v>1.2200000000000006</v>
          </cell>
          <cell r="DW69">
            <v>4.7637758897741067</v>
          </cell>
          <cell r="EA69">
            <v>1.2200000000000006</v>
          </cell>
          <cell r="EB69">
            <v>4.7637758897741067</v>
          </cell>
          <cell r="EF69">
            <v>1.2200000000000006</v>
          </cell>
          <cell r="EG69">
            <v>4.7637758897741067</v>
          </cell>
          <cell r="EK69">
            <v>1.2200000000000006</v>
          </cell>
          <cell r="EL69">
            <v>4.7637758897741067</v>
          </cell>
          <cell r="EP69">
            <v>1.2200000000000006</v>
          </cell>
          <cell r="EQ69">
            <v>4.7637758897741067</v>
          </cell>
          <cell r="EU69">
            <v>1.2200000000000006</v>
          </cell>
          <cell r="EV69">
            <v>4.7637758897741067</v>
          </cell>
        </row>
        <row r="70">
          <cell r="U70">
            <v>1.2400000000000007</v>
          </cell>
          <cell r="V70">
            <v>4.7546279934038642</v>
          </cell>
          <cell r="Z70">
            <v>1.2400000000000007</v>
          </cell>
          <cell r="AA70">
            <v>4.7546279934038642</v>
          </cell>
          <cell r="AE70">
            <v>1.2400000000000007</v>
          </cell>
          <cell r="AF70">
            <v>4.7546279934038642</v>
          </cell>
          <cell r="AJ70">
            <v>1.2400000000000007</v>
          </cell>
          <cell r="AK70">
            <v>4.7546279934038642</v>
          </cell>
          <cell r="AO70">
            <v>1.2400000000000007</v>
          </cell>
          <cell r="AP70">
            <v>4.7546279934038642</v>
          </cell>
          <cell r="AT70">
            <v>1.2400000000000007</v>
          </cell>
          <cell r="AU70">
            <v>4.7546279934038642</v>
          </cell>
          <cell r="AY70">
            <v>1.2400000000000007</v>
          </cell>
          <cell r="AZ70">
            <v>4.7546279934038642</v>
          </cell>
          <cell r="BD70">
            <v>1.2400000000000007</v>
          </cell>
          <cell r="BE70">
            <v>4.7546279934038642</v>
          </cell>
          <cell r="BI70">
            <v>1.2400000000000007</v>
          </cell>
          <cell r="BJ70">
            <v>4.7546279934038642</v>
          </cell>
          <cell r="BN70">
            <v>1.2400000000000007</v>
          </cell>
          <cell r="BO70">
            <v>4.7546279934038642</v>
          </cell>
          <cell r="BS70">
            <v>1.2400000000000007</v>
          </cell>
          <cell r="BT70">
            <v>4.7546279934038642</v>
          </cell>
          <cell r="BX70">
            <v>1.2400000000000007</v>
          </cell>
          <cell r="BY70">
            <v>4.7546279934038642</v>
          </cell>
          <cell r="CC70">
            <v>1.2400000000000007</v>
          </cell>
          <cell r="CD70">
            <v>4.7546279934038642</v>
          </cell>
          <cell r="CH70">
            <v>1.2400000000000007</v>
          </cell>
          <cell r="CI70">
            <v>4.7546279934038642</v>
          </cell>
          <cell r="CM70">
            <v>1.2400000000000007</v>
          </cell>
          <cell r="CN70">
            <v>4.7546279934038642</v>
          </cell>
          <cell r="CR70">
            <v>1.2400000000000007</v>
          </cell>
          <cell r="CS70">
            <v>4.7546279934038642</v>
          </cell>
          <cell r="CW70">
            <v>1.2400000000000007</v>
          </cell>
          <cell r="CX70">
            <v>4.7546279934038642</v>
          </cell>
          <cell r="DB70">
            <v>1.2400000000000007</v>
          </cell>
          <cell r="DC70">
            <v>4.7546279934038642</v>
          </cell>
          <cell r="DG70">
            <v>1.2400000000000007</v>
          </cell>
          <cell r="DH70">
            <v>4.7546279934038642</v>
          </cell>
          <cell r="DL70">
            <v>1.2400000000000007</v>
          </cell>
          <cell r="DM70">
            <v>4.7546279934038642</v>
          </cell>
          <cell r="DQ70">
            <v>1.2400000000000007</v>
          </cell>
          <cell r="DR70">
            <v>4.7546279934038642</v>
          </cell>
          <cell r="DV70">
            <v>1.2400000000000007</v>
          </cell>
          <cell r="DW70">
            <v>4.7546279934038642</v>
          </cell>
          <cell r="EA70">
            <v>1.2400000000000007</v>
          </cell>
          <cell r="EB70">
            <v>4.7546279934038642</v>
          </cell>
          <cell r="EF70">
            <v>1.2400000000000007</v>
          </cell>
          <cell r="EG70">
            <v>4.7546279934038642</v>
          </cell>
          <cell r="EK70">
            <v>1.2400000000000007</v>
          </cell>
          <cell r="EL70">
            <v>4.7546279934038642</v>
          </cell>
          <cell r="EP70">
            <v>1.2400000000000007</v>
          </cell>
          <cell r="EQ70">
            <v>4.7546279934038642</v>
          </cell>
          <cell r="EU70">
            <v>1.2400000000000007</v>
          </cell>
          <cell r="EV70">
            <v>4.7546279934038642</v>
          </cell>
        </row>
        <row r="71">
          <cell r="U71">
            <v>1.2600000000000007</v>
          </cell>
          <cell r="V71">
            <v>4.7427715843057765</v>
          </cell>
          <cell r="Z71">
            <v>1.2600000000000007</v>
          </cell>
          <cell r="AA71">
            <v>4.7427715843057765</v>
          </cell>
          <cell r="AE71">
            <v>1.2600000000000007</v>
          </cell>
          <cell r="AF71">
            <v>4.7427715843057765</v>
          </cell>
          <cell r="AJ71">
            <v>1.2600000000000007</v>
          </cell>
          <cell r="AK71">
            <v>4.7427715843057765</v>
          </cell>
          <cell r="AO71">
            <v>1.2600000000000007</v>
          </cell>
          <cell r="AP71">
            <v>4.7427715843057765</v>
          </cell>
          <cell r="AT71">
            <v>1.2600000000000007</v>
          </cell>
          <cell r="AU71">
            <v>4.7427715843057765</v>
          </cell>
          <cell r="AY71">
            <v>1.2600000000000007</v>
          </cell>
          <cell r="AZ71">
            <v>4.7427715843057765</v>
          </cell>
          <cell r="BD71">
            <v>1.2600000000000007</v>
          </cell>
          <cell r="BE71">
            <v>4.7427715843057765</v>
          </cell>
          <cell r="BI71">
            <v>1.2600000000000007</v>
          </cell>
          <cell r="BJ71">
            <v>4.7427715843057765</v>
          </cell>
          <cell r="BN71">
            <v>1.2600000000000007</v>
          </cell>
          <cell r="BO71">
            <v>4.7427715843057765</v>
          </cell>
          <cell r="BS71">
            <v>1.2600000000000007</v>
          </cell>
          <cell r="BT71">
            <v>4.7427715843057765</v>
          </cell>
          <cell r="BX71">
            <v>1.2600000000000007</v>
          </cell>
          <cell r="BY71">
            <v>4.7427715843057765</v>
          </cell>
          <cell r="CC71">
            <v>1.2600000000000007</v>
          </cell>
          <cell r="CD71">
            <v>4.7427715843057765</v>
          </cell>
          <cell r="CH71">
            <v>1.2600000000000007</v>
          </cell>
          <cell r="CI71">
            <v>4.7427715843057765</v>
          </cell>
          <cell r="CM71">
            <v>1.2600000000000007</v>
          </cell>
          <cell r="CN71">
            <v>4.7427715843057765</v>
          </cell>
          <cell r="CR71">
            <v>1.2600000000000007</v>
          </cell>
          <cell r="CS71">
            <v>4.7427715843057765</v>
          </cell>
          <cell r="CW71">
            <v>1.2600000000000007</v>
          </cell>
          <cell r="CX71">
            <v>4.7427715843057765</v>
          </cell>
          <cell r="DB71">
            <v>1.2600000000000007</v>
          </cell>
          <cell r="DC71">
            <v>4.7427715843057765</v>
          </cell>
          <cell r="DG71">
            <v>1.2600000000000007</v>
          </cell>
          <cell r="DH71">
            <v>4.7427715843057765</v>
          </cell>
          <cell r="DL71">
            <v>1.2600000000000007</v>
          </cell>
          <cell r="DM71">
            <v>4.7427715843057765</v>
          </cell>
          <cell r="DQ71">
            <v>1.2600000000000007</v>
          </cell>
          <cell r="DR71">
            <v>4.7427715843057765</v>
          </cell>
          <cell r="DV71">
            <v>1.2600000000000007</v>
          </cell>
          <cell r="DW71">
            <v>4.7427715843057765</v>
          </cell>
          <cell r="EA71">
            <v>1.2600000000000007</v>
          </cell>
          <cell r="EB71">
            <v>4.7427715843057765</v>
          </cell>
          <cell r="EF71">
            <v>1.2600000000000007</v>
          </cell>
          <cell r="EG71">
            <v>4.7427715843057765</v>
          </cell>
          <cell r="EK71">
            <v>1.2600000000000007</v>
          </cell>
          <cell r="EL71">
            <v>4.7427715843057765</v>
          </cell>
          <cell r="EP71">
            <v>1.2600000000000007</v>
          </cell>
          <cell r="EQ71">
            <v>4.7427715843057765</v>
          </cell>
          <cell r="EU71">
            <v>1.2600000000000007</v>
          </cell>
          <cell r="EV71">
            <v>4.7427715843057765</v>
          </cell>
        </row>
        <row r="72">
          <cell r="U72">
            <v>1.2800000000000007</v>
          </cell>
          <cell r="V72">
            <v>4.72820666247984</v>
          </cell>
          <cell r="Z72">
            <v>1.2800000000000007</v>
          </cell>
          <cell r="AA72">
            <v>4.72820666247984</v>
          </cell>
          <cell r="AE72">
            <v>1.2800000000000007</v>
          </cell>
          <cell r="AF72">
            <v>4.72820666247984</v>
          </cell>
          <cell r="AJ72">
            <v>1.2800000000000007</v>
          </cell>
          <cell r="AK72">
            <v>4.72820666247984</v>
          </cell>
          <cell r="AO72">
            <v>1.2800000000000007</v>
          </cell>
          <cell r="AP72">
            <v>4.72820666247984</v>
          </cell>
          <cell r="AT72">
            <v>1.2800000000000007</v>
          </cell>
          <cell r="AU72">
            <v>4.72820666247984</v>
          </cell>
          <cell r="AY72">
            <v>1.2800000000000007</v>
          </cell>
          <cell r="AZ72">
            <v>4.72820666247984</v>
          </cell>
          <cell r="BD72">
            <v>1.2800000000000007</v>
          </cell>
          <cell r="BE72">
            <v>4.72820666247984</v>
          </cell>
          <cell r="BI72">
            <v>1.2800000000000007</v>
          </cell>
          <cell r="BJ72">
            <v>4.72820666247984</v>
          </cell>
          <cell r="BN72">
            <v>1.2800000000000007</v>
          </cell>
          <cell r="BO72">
            <v>4.72820666247984</v>
          </cell>
          <cell r="BS72">
            <v>1.2800000000000007</v>
          </cell>
          <cell r="BT72">
            <v>4.72820666247984</v>
          </cell>
          <cell r="BX72">
            <v>1.2800000000000007</v>
          </cell>
          <cell r="BY72">
            <v>4.72820666247984</v>
          </cell>
          <cell r="CC72">
            <v>1.2800000000000007</v>
          </cell>
          <cell r="CD72">
            <v>4.72820666247984</v>
          </cell>
          <cell r="CH72">
            <v>1.2800000000000007</v>
          </cell>
          <cell r="CI72">
            <v>4.72820666247984</v>
          </cell>
          <cell r="CM72">
            <v>1.2800000000000007</v>
          </cell>
          <cell r="CN72">
            <v>4.72820666247984</v>
          </cell>
          <cell r="CR72">
            <v>1.2800000000000007</v>
          </cell>
          <cell r="CS72">
            <v>4.72820666247984</v>
          </cell>
          <cell r="CW72">
            <v>1.2800000000000007</v>
          </cell>
          <cell r="CX72">
            <v>4.72820666247984</v>
          </cell>
          <cell r="DB72">
            <v>1.2800000000000007</v>
          </cell>
          <cell r="DC72">
            <v>4.72820666247984</v>
          </cell>
          <cell r="DG72">
            <v>1.2800000000000007</v>
          </cell>
          <cell r="DH72">
            <v>4.72820666247984</v>
          </cell>
          <cell r="DL72">
            <v>1.2800000000000007</v>
          </cell>
          <cell r="DM72">
            <v>4.72820666247984</v>
          </cell>
          <cell r="DQ72">
            <v>1.2800000000000007</v>
          </cell>
          <cell r="DR72">
            <v>4.72820666247984</v>
          </cell>
          <cell r="DV72">
            <v>1.2800000000000007</v>
          </cell>
          <cell r="DW72">
            <v>4.72820666247984</v>
          </cell>
          <cell r="EA72">
            <v>1.2800000000000007</v>
          </cell>
          <cell r="EB72">
            <v>4.72820666247984</v>
          </cell>
          <cell r="EF72">
            <v>1.2800000000000007</v>
          </cell>
          <cell r="EG72">
            <v>4.72820666247984</v>
          </cell>
          <cell r="EK72">
            <v>1.2800000000000007</v>
          </cell>
          <cell r="EL72">
            <v>4.72820666247984</v>
          </cell>
          <cell r="EP72">
            <v>1.2800000000000007</v>
          </cell>
          <cell r="EQ72">
            <v>4.72820666247984</v>
          </cell>
          <cell r="EU72">
            <v>1.2800000000000007</v>
          </cell>
          <cell r="EV72">
            <v>4.72820666247984</v>
          </cell>
        </row>
        <row r="73">
          <cell r="U73">
            <v>1.3000000000000007</v>
          </cell>
          <cell r="V73">
            <v>4.7109332279260574</v>
          </cell>
          <cell r="Z73">
            <v>1.3000000000000007</v>
          </cell>
          <cell r="AA73">
            <v>4.7109332279260574</v>
          </cell>
          <cell r="AE73">
            <v>1.3000000000000007</v>
          </cell>
          <cell r="AF73">
            <v>4.7109332279260574</v>
          </cell>
          <cell r="AJ73">
            <v>1.3000000000000007</v>
          </cell>
          <cell r="AK73">
            <v>4.7109332279260574</v>
          </cell>
          <cell r="AO73">
            <v>1.3000000000000007</v>
          </cell>
          <cell r="AP73">
            <v>4.7109332279260574</v>
          </cell>
          <cell r="AT73">
            <v>1.3000000000000007</v>
          </cell>
          <cell r="AU73">
            <v>4.7109332279260574</v>
          </cell>
          <cell r="AY73">
            <v>1.3000000000000007</v>
          </cell>
          <cell r="AZ73">
            <v>4.7109332279260574</v>
          </cell>
          <cell r="BD73">
            <v>1.3000000000000007</v>
          </cell>
          <cell r="BE73">
            <v>4.7109332279260574</v>
          </cell>
          <cell r="BI73">
            <v>1.3000000000000007</v>
          </cell>
          <cell r="BJ73">
            <v>4.7109332279260574</v>
          </cell>
          <cell r="BN73">
            <v>1.3000000000000007</v>
          </cell>
          <cell r="BO73">
            <v>4.7109332279260574</v>
          </cell>
          <cell r="BS73">
            <v>1.3000000000000007</v>
          </cell>
          <cell r="BT73">
            <v>4.7109332279260574</v>
          </cell>
          <cell r="BX73">
            <v>1.3000000000000007</v>
          </cell>
          <cell r="BY73">
            <v>4.7109332279260574</v>
          </cell>
          <cell r="CC73">
            <v>1.3000000000000007</v>
          </cell>
          <cell r="CD73">
            <v>4.7109332279260574</v>
          </cell>
          <cell r="CH73">
            <v>1.3000000000000007</v>
          </cell>
          <cell r="CI73">
            <v>4.7109332279260574</v>
          </cell>
          <cell r="CM73">
            <v>1.3000000000000007</v>
          </cell>
          <cell r="CN73">
            <v>4.7109332279260574</v>
          </cell>
          <cell r="CR73">
            <v>1.3000000000000007</v>
          </cell>
          <cell r="CS73">
            <v>4.7109332279260574</v>
          </cell>
          <cell r="CW73">
            <v>1.3000000000000007</v>
          </cell>
          <cell r="CX73">
            <v>4.7109332279260574</v>
          </cell>
          <cell r="DB73">
            <v>1.3000000000000007</v>
          </cell>
          <cell r="DC73">
            <v>4.7109332279260574</v>
          </cell>
          <cell r="DG73">
            <v>1.3000000000000007</v>
          </cell>
          <cell r="DH73">
            <v>4.7109332279260574</v>
          </cell>
          <cell r="DL73">
            <v>1.3000000000000007</v>
          </cell>
          <cell r="DM73">
            <v>4.7109332279260574</v>
          </cell>
          <cell r="DQ73">
            <v>1.3000000000000007</v>
          </cell>
          <cell r="DR73">
            <v>4.7109332279260574</v>
          </cell>
          <cell r="DV73">
            <v>1.3000000000000007</v>
          </cell>
          <cell r="DW73">
            <v>4.7109332279260574</v>
          </cell>
          <cell r="EA73">
            <v>1.3000000000000007</v>
          </cell>
          <cell r="EB73">
            <v>4.7109332279260574</v>
          </cell>
          <cell r="EF73">
            <v>1.3000000000000007</v>
          </cell>
          <cell r="EG73">
            <v>4.7109332279260574</v>
          </cell>
          <cell r="EK73">
            <v>1.3000000000000007</v>
          </cell>
          <cell r="EL73">
            <v>4.7109332279260574</v>
          </cell>
          <cell r="EP73">
            <v>1.3000000000000007</v>
          </cell>
          <cell r="EQ73">
            <v>4.7109332279260574</v>
          </cell>
          <cell r="EU73">
            <v>1.3000000000000007</v>
          </cell>
          <cell r="EV73">
            <v>4.7109332279260574</v>
          </cell>
        </row>
        <row r="74">
          <cell r="U74">
            <v>1.3200000000000007</v>
          </cell>
          <cell r="V74">
            <v>4.6909512806444269</v>
          </cell>
          <cell r="Z74">
            <v>1.3200000000000007</v>
          </cell>
          <cell r="AA74">
            <v>4.6909512806444269</v>
          </cell>
          <cell r="AE74">
            <v>1.3200000000000007</v>
          </cell>
          <cell r="AF74">
            <v>4.6909512806444269</v>
          </cell>
          <cell r="AJ74">
            <v>1.3200000000000007</v>
          </cell>
          <cell r="AK74">
            <v>4.6909512806444269</v>
          </cell>
          <cell r="AO74">
            <v>1.3200000000000007</v>
          </cell>
          <cell r="AP74">
            <v>4.6909512806444269</v>
          </cell>
          <cell r="AT74">
            <v>1.3200000000000007</v>
          </cell>
          <cell r="AU74">
            <v>4.6909512806444269</v>
          </cell>
          <cell r="AY74">
            <v>1.3200000000000007</v>
          </cell>
          <cell r="AZ74">
            <v>4.6909512806444269</v>
          </cell>
          <cell r="BD74">
            <v>1.3200000000000007</v>
          </cell>
          <cell r="BE74">
            <v>4.6909512806444269</v>
          </cell>
          <cell r="BI74">
            <v>1.3200000000000007</v>
          </cell>
          <cell r="BJ74">
            <v>4.6909512806444269</v>
          </cell>
          <cell r="BN74">
            <v>1.3200000000000007</v>
          </cell>
          <cell r="BO74">
            <v>4.6909512806444269</v>
          </cell>
          <cell r="BS74">
            <v>1.3200000000000007</v>
          </cell>
          <cell r="BT74">
            <v>4.6909512806444269</v>
          </cell>
          <cell r="BX74">
            <v>1.3200000000000007</v>
          </cell>
          <cell r="BY74">
            <v>4.6909512806444269</v>
          </cell>
          <cell r="CC74">
            <v>1.3200000000000007</v>
          </cell>
          <cell r="CD74">
            <v>4.6909512806444269</v>
          </cell>
          <cell r="CH74">
            <v>1.3200000000000007</v>
          </cell>
          <cell r="CI74">
            <v>4.6909512806444269</v>
          </cell>
          <cell r="CM74">
            <v>1.3200000000000007</v>
          </cell>
          <cell r="CN74">
            <v>4.6909512806444269</v>
          </cell>
          <cell r="CR74">
            <v>1.3200000000000007</v>
          </cell>
          <cell r="CS74">
            <v>4.6909512806444269</v>
          </cell>
          <cell r="CW74">
            <v>1.3200000000000007</v>
          </cell>
          <cell r="CX74">
            <v>4.6909512806444269</v>
          </cell>
          <cell r="DB74">
            <v>1.3200000000000007</v>
          </cell>
          <cell r="DC74">
            <v>4.6909512806444269</v>
          </cell>
          <cell r="DG74">
            <v>1.3200000000000007</v>
          </cell>
          <cell r="DH74">
            <v>4.6909512806444269</v>
          </cell>
          <cell r="DL74">
            <v>1.3200000000000007</v>
          </cell>
          <cell r="DM74">
            <v>4.6909512806444269</v>
          </cell>
          <cell r="DQ74">
            <v>1.3200000000000007</v>
          </cell>
          <cell r="DR74">
            <v>4.6909512806444269</v>
          </cell>
          <cell r="DV74">
            <v>1.3200000000000007</v>
          </cell>
          <cell r="DW74">
            <v>4.6909512806444269</v>
          </cell>
          <cell r="EA74">
            <v>1.3200000000000007</v>
          </cell>
          <cell r="EB74">
            <v>4.6909512806444269</v>
          </cell>
          <cell r="EF74">
            <v>1.3200000000000007</v>
          </cell>
          <cell r="EG74">
            <v>4.6909512806444269</v>
          </cell>
          <cell r="EK74">
            <v>1.3200000000000007</v>
          </cell>
          <cell r="EL74">
            <v>4.6909512806444269</v>
          </cell>
          <cell r="EP74">
            <v>1.3200000000000007</v>
          </cell>
          <cell r="EQ74">
            <v>4.6909512806444269</v>
          </cell>
          <cell r="EU74">
            <v>1.3200000000000007</v>
          </cell>
          <cell r="EV74">
            <v>4.6909512806444269</v>
          </cell>
        </row>
        <row r="75">
          <cell r="U75">
            <v>1.3400000000000007</v>
          </cell>
          <cell r="V75">
            <v>4.6682608206349512</v>
          </cell>
          <cell r="Z75">
            <v>1.3400000000000007</v>
          </cell>
          <cell r="AA75">
            <v>4.6682608206349512</v>
          </cell>
          <cell r="AE75">
            <v>1.3400000000000007</v>
          </cell>
          <cell r="AF75">
            <v>4.6682608206349512</v>
          </cell>
          <cell r="AJ75">
            <v>1.3400000000000007</v>
          </cell>
          <cell r="AK75">
            <v>4.6682608206349512</v>
          </cell>
          <cell r="AO75">
            <v>1.3400000000000007</v>
          </cell>
          <cell r="AP75">
            <v>4.6682608206349512</v>
          </cell>
          <cell r="AT75">
            <v>1.3400000000000007</v>
          </cell>
          <cell r="AU75">
            <v>4.6682608206349512</v>
          </cell>
          <cell r="AY75">
            <v>1.3400000000000007</v>
          </cell>
          <cell r="AZ75">
            <v>4.6682608206349512</v>
          </cell>
          <cell r="BD75">
            <v>1.3400000000000007</v>
          </cell>
          <cell r="BE75">
            <v>4.6682608206349512</v>
          </cell>
          <cell r="BI75">
            <v>1.3400000000000007</v>
          </cell>
          <cell r="BJ75">
            <v>4.6682608206349512</v>
          </cell>
          <cell r="BN75">
            <v>1.3400000000000007</v>
          </cell>
          <cell r="BO75">
            <v>4.6682608206349512</v>
          </cell>
          <cell r="BS75">
            <v>1.3400000000000007</v>
          </cell>
          <cell r="BT75">
            <v>4.6682608206349512</v>
          </cell>
          <cell r="BX75">
            <v>1.3400000000000007</v>
          </cell>
          <cell r="BY75">
            <v>4.6682608206349512</v>
          </cell>
          <cell r="CC75">
            <v>1.3400000000000007</v>
          </cell>
          <cell r="CD75">
            <v>4.6682608206349512</v>
          </cell>
          <cell r="CH75">
            <v>1.3400000000000007</v>
          </cell>
          <cell r="CI75">
            <v>4.6682608206349512</v>
          </cell>
          <cell r="CM75">
            <v>1.3400000000000007</v>
          </cell>
          <cell r="CN75">
            <v>4.6682608206349512</v>
          </cell>
          <cell r="CR75">
            <v>1.3400000000000007</v>
          </cell>
          <cell r="CS75">
            <v>4.6682608206349512</v>
          </cell>
          <cell r="CW75">
            <v>1.3400000000000007</v>
          </cell>
          <cell r="CX75">
            <v>4.6682608206349512</v>
          </cell>
          <cell r="DB75">
            <v>1.3400000000000007</v>
          </cell>
          <cell r="DC75">
            <v>4.6682608206349512</v>
          </cell>
          <cell r="DG75">
            <v>1.3400000000000007</v>
          </cell>
          <cell r="DH75">
            <v>4.6682608206349512</v>
          </cell>
          <cell r="DL75">
            <v>1.3400000000000007</v>
          </cell>
          <cell r="DM75">
            <v>4.6682608206349512</v>
          </cell>
          <cell r="DQ75">
            <v>1.3400000000000007</v>
          </cell>
          <cell r="DR75">
            <v>4.6682608206349512</v>
          </cell>
          <cell r="DV75">
            <v>1.3400000000000007</v>
          </cell>
          <cell r="DW75">
            <v>4.6682608206349512</v>
          </cell>
          <cell r="EA75">
            <v>1.3400000000000007</v>
          </cell>
          <cell r="EB75">
            <v>4.6682608206349512</v>
          </cell>
          <cell r="EF75">
            <v>1.3400000000000007</v>
          </cell>
          <cell r="EG75">
            <v>4.6682608206349512</v>
          </cell>
          <cell r="EK75">
            <v>1.3400000000000007</v>
          </cell>
          <cell r="EL75">
            <v>4.6682608206349512</v>
          </cell>
          <cell r="EP75">
            <v>1.3400000000000007</v>
          </cell>
          <cell r="EQ75">
            <v>4.6682608206349512</v>
          </cell>
          <cell r="EU75">
            <v>1.3400000000000007</v>
          </cell>
          <cell r="EV75">
            <v>4.6682608206349512</v>
          </cell>
        </row>
        <row r="76">
          <cell r="U76">
            <v>1.3600000000000008</v>
          </cell>
          <cell r="V76">
            <v>4.6428618478976267</v>
          </cell>
          <cell r="Z76">
            <v>1.3600000000000008</v>
          </cell>
          <cell r="AA76">
            <v>4.6428618478976267</v>
          </cell>
          <cell r="AE76">
            <v>1.3600000000000008</v>
          </cell>
          <cell r="AF76">
            <v>4.6428618478976267</v>
          </cell>
          <cell r="AJ76">
            <v>1.3600000000000008</v>
          </cell>
          <cell r="AK76">
            <v>4.6428618478976267</v>
          </cell>
          <cell r="AO76">
            <v>1.3600000000000008</v>
          </cell>
          <cell r="AP76">
            <v>4.6428618478976267</v>
          </cell>
          <cell r="AT76">
            <v>1.3600000000000008</v>
          </cell>
          <cell r="AU76">
            <v>4.6428618478976267</v>
          </cell>
          <cell r="AY76">
            <v>1.3600000000000008</v>
          </cell>
          <cell r="AZ76">
            <v>4.6428618478976267</v>
          </cell>
          <cell r="BD76">
            <v>1.3600000000000008</v>
          </cell>
          <cell r="BE76">
            <v>4.6428618478976267</v>
          </cell>
          <cell r="BI76">
            <v>1.3600000000000008</v>
          </cell>
          <cell r="BJ76">
            <v>4.6428618478976267</v>
          </cell>
          <cell r="BN76">
            <v>1.3600000000000008</v>
          </cell>
          <cell r="BO76">
            <v>4.6428618478976267</v>
          </cell>
          <cell r="BS76">
            <v>1.3600000000000008</v>
          </cell>
          <cell r="BT76">
            <v>4.6428618478976267</v>
          </cell>
          <cell r="BX76">
            <v>1.3600000000000008</v>
          </cell>
          <cell r="BY76">
            <v>4.6428618478976267</v>
          </cell>
          <cell r="CC76">
            <v>1.3600000000000008</v>
          </cell>
          <cell r="CD76">
            <v>4.6428618478976267</v>
          </cell>
          <cell r="CH76">
            <v>1.3600000000000008</v>
          </cell>
          <cell r="CI76">
            <v>4.6428618478976267</v>
          </cell>
          <cell r="CM76">
            <v>1.3600000000000008</v>
          </cell>
          <cell r="CN76">
            <v>4.6428618478976267</v>
          </cell>
          <cell r="CR76">
            <v>1.3600000000000008</v>
          </cell>
          <cell r="CS76">
            <v>4.6428618478976267</v>
          </cell>
          <cell r="CW76">
            <v>1.3600000000000008</v>
          </cell>
          <cell r="CX76">
            <v>4.6428618478976267</v>
          </cell>
          <cell r="DB76">
            <v>1.3600000000000008</v>
          </cell>
          <cell r="DC76">
            <v>4.6428618478976267</v>
          </cell>
          <cell r="DG76">
            <v>1.3600000000000008</v>
          </cell>
          <cell r="DH76">
            <v>4.6428618478976267</v>
          </cell>
          <cell r="DL76">
            <v>1.3600000000000008</v>
          </cell>
          <cell r="DM76">
            <v>4.6428618478976267</v>
          </cell>
          <cell r="DQ76">
            <v>1.3600000000000008</v>
          </cell>
          <cell r="DR76">
            <v>4.6428618478976267</v>
          </cell>
          <cell r="DV76">
            <v>1.3600000000000008</v>
          </cell>
          <cell r="DW76">
            <v>4.6428618478976267</v>
          </cell>
          <cell r="EA76">
            <v>1.3600000000000008</v>
          </cell>
          <cell r="EB76">
            <v>4.6428618478976267</v>
          </cell>
          <cell r="EF76">
            <v>1.3600000000000008</v>
          </cell>
          <cell r="EG76">
            <v>4.6428618478976267</v>
          </cell>
          <cell r="EK76">
            <v>1.3600000000000008</v>
          </cell>
          <cell r="EL76">
            <v>4.6428618478976267</v>
          </cell>
          <cell r="EP76">
            <v>1.3600000000000008</v>
          </cell>
          <cell r="EQ76">
            <v>4.6428618478976267</v>
          </cell>
          <cell r="EU76">
            <v>1.3600000000000008</v>
          </cell>
          <cell r="EV76">
            <v>4.6428618478976267</v>
          </cell>
        </row>
        <row r="77">
          <cell r="U77">
            <v>1.3800000000000008</v>
          </cell>
          <cell r="V77">
            <v>4.6147543624324552</v>
          </cell>
          <cell r="Z77">
            <v>1.3800000000000008</v>
          </cell>
          <cell r="AA77">
            <v>4.6147543624324552</v>
          </cell>
          <cell r="AE77">
            <v>1.3800000000000008</v>
          </cell>
          <cell r="AF77">
            <v>4.6147543624324552</v>
          </cell>
          <cell r="AJ77">
            <v>1.3800000000000008</v>
          </cell>
          <cell r="AK77">
            <v>4.6147543624324552</v>
          </cell>
          <cell r="AO77">
            <v>1.3800000000000008</v>
          </cell>
          <cell r="AP77">
            <v>4.6147543624324552</v>
          </cell>
          <cell r="AT77">
            <v>1.3800000000000008</v>
          </cell>
          <cell r="AU77">
            <v>4.6147543624324552</v>
          </cell>
          <cell r="AY77">
            <v>1.3800000000000008</v>
          </cell>
          <cell r="AZ77">
            <v>4.6147543624324552</v>
          </cell>
          <cell r="BD77">
            <v>1.3800000000000008</v>
          </cell>
          <cell r="BE77">
            <v>4.6147543624324552</v>
          </cell>
          <cell r="BI77">
            <v>1.3800000000000008</v>
          </cell>
          <cell r="BJ77">
            <v>4.6147543624324552</v>
          </cell>
          <cell r="BN77">
            <v>1.3800000000000008</v>
          </cell>
          <cell r="BO77">
            <v>4.6147543624324552</v>
          </cell>
          <cell r="BS77">
            <v>1.3800000000000008</v>
          </cell>
          <cell r="BT77">
            <v>4.6147543624324552</v>
          </cell>
          <cell r="BX77">
            <v>1.3800000000000008</v>
          </cell>
          <cell r="BY77">
            <v>4.6147543624324552</v>
          </cell>
          <cell r="CC77">
            <v>1.3800000000000008</v>
          </cell>
          <cell r="CD77">
            <v>4.6147543624324552</v>
          </cell>
          <cell r="CH77">
            <v>1.3800000000000008</v>
          </cell>
          <cell r="CI77">
            <v>4.6147543624324552</v>
          </cell>
          <cell r="CM77">
            <v>1.3800000000000008</v>
          </cell>
          <cell r="CN77">
            <v>4.6147543624324552</v>
          </cell>
          <cell r="CR77">
            <v>1.3800000000000008</v>
          </cell>
          <cell r="CS77">
            <v>4.6147543624324552</v>
          </cell>
          <cell r="CW77">
            <v>1.3800000000000008</v>
          </cell>
          <cell r="CX77">
            <v>4.6147543624324552</v>
          </cell>
          <cell r="DB77">
            <v>1.3800000000000008</v>
          </cell>
          <cell r="DC77">
            <v>4.6147543624324552</v>
          </cell>
          <cell r="DG77">
            <v>1.3800000000000008</v>
          </cell>
          <cell r="DH77">
            <v>4.6147543624324552</v>
          </cell>
          <cell r="DL77">
            <v>1.3800000000000008</v>
          </cell>
          <cell r="DM77">
            <v>4.6147543624324552</v>
          </cell>
          <cell r="DQ77">
            <v>1.3800000000000008</v>
          </cell>
          <cell r="DR77">
            <v>4.6147543624324552</v>
          </cell>
          <cell r="DV77">
            <v>1.3800000000000008</v>
          </cell>
          <cell r="DW77">
            <v>4.6147543624324552</v>
          </cell>
          <cell r="EA77">
            <v>1.3800000000000008</v>
          </cell>
          <cell r="EB77">
            <v>4.6147543624324552</v>
          </cell>
          <cell r="EF77">
            <v>1.3800000000000008</v>
          </cell>
          <cell r="EG77">
            <v>4.6147543624324552</v>
          </cell>
          <cell r="EK77">
            <v>1.3800000000000008</v>
          </cell>
          <cell r="EL77">
            <v>4.6147543624324552</v>
          </cell>
          <cell r="EP77">
            <v>1.3800000000000008</v>
          </cell>
          <cell r="EQ77">
            <v>4.6147543624324552</v>
          </cell>
          <cell r="EU77">
            <v>1.3800000000000008</v>
          </cell>
          <cell r="EV77">
            <v>4.6147543624324552</v>
          </cell>
        </row>
        <row r="78">
          <cell r="U78">
            <v>1.4000000000000008</v>
          </cell>
          <cell r="V78">
            <v>4.5839383642394385</v>
          </cell>
          <cell r="Z78">
            <v>1.4000000000000008</v>
          </cell>
          <cell r="AA78">
            <v>4.5839383642394385</v>
          </cell>
          <cell r="AE78">
            <v>1.4000000000000008</v>
          </cell>
          <cell r="AF78">
            <v>4.5839383642394385</v>
          </cell>
          <cell r="AJ78">
            <v>1.4000000000000008</v>
          </cell>
          <cell r="AK78">
            <v>4.5839383642394385</v>
          </cell>
          <cell r="AO78">
            <v>1.4000000000000008</v>
          </cell>
          <cell r="AP78">
            <v>4.5839383642394385</v>
          </cell>
          <cell r="AT78">
            <v>1.4000000000000008</v>
          </cell>
          <cell r="AU78">
            <v>4.5839383642394385</v>
          </cell>
          <cell r="AY78">
            <v>1.4000000000000008</v>
          </cell>
          <cell r="AZ78">
            <v>4.5839383642394385</v>
          </cell>
          <cell r="BD78">
            <v>1.4000000000000008</v>
          </cell>
          <cell r="BE78">
            <v>4.5839383642394385</v>
          </cell>
          <cell r="BI78">
            <v>1.4000000000000008</v>
          </cell>
          <cell r="BJ78">
            <v>4.5839383642394385</v>
          </cell>
          <cell r="BN78">
            <v>1.4000000000000008</v>
          </cell>
          <cell r="BO78">
            <v>4.5839383642394385</v>
          </cell>
          <cell r="BS78">
            <v>1.4000000000000008</v>
          </cell>
          <cell r="BT78">
            <v>4.5839383642394385</v>
          </cell>
          <cell r="BX78">
            <v>1.4000000000000008</v>
          </cell>
          <cell r="BY78">
            <v>4.5839383642394385</v>
          </cell>
          <cell r="CC78">
            <v>1.4000000000000008</v>
          </cell>
          <cell r="CD78">
            <v>4.5839383642394385</v>
          </cell>
          <cell r="CH78">
            <v>1.4000000000000008</v>
          </cell>
          <cell r="CI78">
            <v>4.5839383642394385</v>
          </cell>
          <cell r="CM78">
            <v>1.4000000000000008</v>
          </cell>
          <cell r="CN78">
            <v>4.5839383642394385</v>
          </cell>
          <cell r="CR78">
            <v>1.4000000000000008</v>
          </cell>
          <cell r="CS78">
            <v>4.5839383642394385</v>
          </cell>
          <cell r="CW78">
            <v>1.4000000000000008</v>
          </cell>
          <cell r="CX78">
            <v>4.5839383642394385</v>
          </cell>
          <cell r="DB78">
            <v>1.4000000000000008</v>
          </cell>
          <cell r="DC78">
            <v>4.5839383642394385</v>
          </cell>
          <cell r="DG78">
            <v>1.4000000000000008</v>
          </cell>
          <cell r="DH78">
            <v>4.5839383642394385</v>
          </cell>
          <cell r="DL78">
            <v>1.4000000000000008</v>
          </cell>
          <cell r="DM78">
            <v>4.5839383642394385</v>
          </cell>
          <cell r="DQ78">
            <v>1.4000000000000008</v>
          </cell>
          <cell r="DR78">
            <v>4.5839383642394385</v>
          </cell>
          <cell r="DV78">
            <v>1.4000000000000008</v>
          </cell>
          <cell r="DW78">
            <v>4.5839383642394385</v>
          </cell>
          <cell r="EA78">
            <v>1.4000000000000008</v>
          </cell>
          <cell r="EB78">
            <v>4.5839383642394385</v>
          </cell>
          <cell r="EF78">
            <v>1.4000000000000008</v>
          </cell>
          <cell r="EG78">
            <v>4.5839383642394385</v>
          </cell>
          <cell r="EK78">
            <v>1.4000000000000008</v>
          </cell>
          <cell r="EL78">
            <v>4.5839383642394385</v>
          </cell>
          <cell r="EP78">
            <v>1.4000000000000008</v>
          </cell>
          <cell r="EQ78">
            <v>4.5839383642394385</v>
          </cell>
          <cell r="EU78">
            <v>1.4000000000000008</v>
          </cell>
          <cell r="EV78">
            <v>4.5839383642394385</v>
          </cell>
        </row>
        <row r="79">
          <cell r="U79">
            <v>1.4200000000000008</v>
          </cell>
          <cell r="V79">
            <v>4.550413853318573</v>
          </cell>
          <cell r="Z79">
            <v>1.4200000000000008</v>
          </cell>
          <cell r="AA79">
            <v>4.550413853318573</v>
          </cell>
          <cell r="AE79">
            <v>1.4200000000000008</v>
          </cell>
          <cell r="AF79">
            <v>4.550413853318573</v>
          </cell>
          <cell r="AJ79">
            <v>1.4200000000000008</v>
          </cell>
          <cell r="AK79">
            <v>4.550413853318573</v>
          </cell>
          <cell r="AO79">
            <v>1.4200000000000008</v>
          </cell>
          <cell r="AP79">
            <v>4.550413853318573</v>
          </cell>
          <cell r="AT79">
            <v>1.4200000000000008</v>
          </cell>
          <cell r="AU79">
            <v>4.550413853318573</v>
          </cell>
          <cell r="AY79">
            <v>1.4200000000000008</v>
          </cell>
          <cell r="AZ79">
            <v>4.550413853318573</v>
          </cell>
          <cell r="BD79">
            <v>1.4200000000000008</v>
          </cell>
          <cell r="BE79">
            <v>4.550413853318573</v>
          </cell>
          <cell r="BI79">
            <v>1.4200000000000008</v>
          </cell>
          <cell r="BJ79">
            <v>4.550413853318573</v>
          </cell>
          <cell r="BN79">
            <v>1.4200000000000008</v>
          </cell>
          <cell r="BO79">
            <v>4.550413853318573</v>
          </cell>
          <cell r="BS79">
            <v>1.4200000000000008</v>
          </cell>
          <cell r="BT79">
            <v>4.550413853318573</v>
          </cell>
          <cell r="BX79">
            <v>1.4200000000000008</v>
          </cell>
          <cell r="BY79">
            <v>4.550413853318573</v>
          </cell>
          <cell r="CC79">
            <v>1.4200000000000008</v>
          </cell>
          <cell r="CD79">
            <v>4.550413853318573</v>
          </cell>
          <cell r="CH79">
            <v>1.4200000000000008</v>
          </cell>
          <cell r="CI79">
            <v>4.550413853318573</v>
          </cell>
          <cell r="CM79">
            <v>1.4200000000000008</v>
          </cell>
          <cell r="CN79">
            <v>4.550413853318573</v>
          </cell>
          <cell r="CR79">
            <v>1.4200000000000008</v>
          </cell>
          <cell r="CS79">
            <v>4.550413853318573</v>
          </cell>
          <cell r="CW79">
            <v>1.4200000000000008</v>
          </cell>
          <cell r="CX79">
            <v>4.550413853318573</v>
          </cell>
          <cell r="DB79">
            <v>1.4200000000000008</v>
          </cell>
          <cell r="DC79">
            <v>4.550413853318573</v>
          </cell>
          <cell r="DG79">
            <v>1.4200000000000008</v>
          </cell>
          <cell r="DH79">
            <v>4.550413853318573</v>
          </cell>
          <cell r="DL79">
            <v>1.4200000000000008</v>
          </cell>
          <cell r="DM79">
            <v>4.550413853318573</v>
          </cell>
          <cell r="DQ79">
            <v>1.4200000000000008</v>
          </cell>
          <cell r="DR79">
            <v>4.550413853318573</v>
          </cell>
          <cell r="DV79">
            <v>1.4200000000000008</v>
          </cell>
          <cell r="DW79">
            <v>4.550413853318573</v>
          </cell>
          <cell r="EA79">
            <v>1.4200000000000008</v>
          </cell>
          <cell r="EB79">
            <v>4.550413853318573</v>
          </cell>
          <cell r="EF79">
            <v>1.4200000000000008</v>
          </cell>
          <cell r="EG79">
            <v>4.550413853318573</v>
          </cell>
          <cell r="EK79">
            <v>1.4200000000000008</v>
          </cell>
          <cell r="EL79">
            <v>4.550413853318573</v>
          </cell>
          <cell r="EP79">
            <v>1.4200000000000008</v>
          </cell>
          <cell r="EQ79">
            <v>4.550413853318573</v>
          </cell>
          <cell r="EU79">
            <v>1.4200000000000008</v>
          </cell>
          <cell r="EV79">
            <v>4.550413853318573</v>
          </cell>
        </row>
        <row r="80">
          <cell r="U80">
            <v>1.4400000000000008</v>
          </cell>
          <cell r="V80">
            <v>4.5141808296698596</v>
          </cell>
          <cell r="Z80">
            <v>1.4400000000000008</v>
          </cell>
          <cell r="AA80">
            <v>4.5141808296698596</v>
          </cell>
          <cell r="AE80">
            <v>1.4400000000000008</v>
          </cell>
          <cell r="AF80">
            <v>4.5141808296698596</v>
          </cell>
          <cell r="AJ80">
            <v>1.4400000000000008</v>
          </cell>
          <cell r="AK80">
            <v>4.5141808296698596</v>
          </cell>
          <cell r="AO80">
            <v>1.4400000000000008</v>
          </cell>
          <cell r="AP80">
            <v>4.5141808296698596</v>
          </cell>
          <cell r="AT80">
            <v>1.4400000000000008</v>
          </cell>
          <cell r="AU80">
            <v>4.5141808296698596</v>
          </cell>
          <cell r="AY80">
            <v>1.4400000000000008</v>
          </cell>
          <cell r="AZ80">
            <v>4.5141808296698596</v>
          </cell>
          <cell r="BD80">
            <v>1.4400000000000008</v>
          </cell>
          <cell r="BE80">
            <v>4.5141808296698596</v>
          </cell>
          <cell r="BI80">
            <v>1.4400000000000008</v>
          </cell>
          <cell r="BJ80">
            <v>4.5141808296698596</v>
          </cell>
          <cell r="BN80">
            <v>1.4400000000000008</v>
          </cell>
          <cell r="BO80">
            <v>4.5141808296698596</v>
          </cell>
          <cell r="BS80">
            <v>1.4400000000000008</v>
          </cell>
          <cell r="BT80">
            <v>4.5141808296698596</v>
          </cell>
          <cell r="BX80">
            <v>1.4400000000000008</v>
          </cell>
          <cell r="BY80">
            <v>4.5141808296698596</v>
          </cell>
          <cell r="CC80">
            <v>1.4400000000000008</v>
          </cell>
          <cell r="CD80">
            <v>4.5141808296698596</v>
          </cell>
          <cell r="CH80">
            <v>1.4400000000000008</v>
          </cell>
          <cell r="CI80">
            <v>4.5141808296698596</v>
          </cell>
          <cell r="CM80">
            <v>1.4400000000000008</v>
          </cell>
          <cell r="CN80">
            <v>4.5141808296698596</v>
          </cell>
          <cell r="CR80">
            <v>1.4400000000000008</v>
          </cell>
          <cell r="CS80">
            <v>4.5141808296698596</v>
          </cell>
          <cell r="CW80">
            <v>1.4400000000000008</v>
          </cell>
          <cell r="CX80">
            <v>4.5141808296698596</v>
          </cell>
          <cell r="DB80">
            <v>1.4400000000000008</v>
          </cell>
          <cell r="DC80">
            <v>4.5141808296698596</v>
          </cell>
          <cell r="DG80">
            <v>1.4400000000000008</v>
          </cell>
          <cell r="DH80">
            <v>4.5141808296698596</v>
          </cell>
          <cell r="DL80">
            <v>1.4400000000000008</v>
          </cell>
          <cell r="DM80">
            <v>4.5141808296698596</v>
          </cell>
          <cell r="DQ80">
            <v>1.4400000000000008</v>
          </cell>
          <cell r="DR80">
            <v>4.5141808296698596</v>
          </cell>
          <cell r="DV80">
            <v>1.4400000000000008</v>
          </cell>
          <cell r="DW80">
            <v>4.5141808296698596</v>
          </cell>
          <cell r="EA80">
            <v>1.4400000000000008</v>
          </cell>
          <cell r="EB80">
            <v>4.5141808296698596</v>
          </cell>
          <cell r="EF80">
            <v>1.4400000000000008</v>
          </cell>
          <cell r="EG80">
            <v>4.5141808296698596</v>
          </cell>
          <cell r="EK80">
            <v>1.4400000000000008</v>
          </cell>
          <cell r="EL80">
            <v>4.5141808296698596</v>
          </cell>
          <cell r="EP80">
            <v>1.4400000000000008</v>
          </cell>
          <cell r="EQ80">
            <v>4.5141808296698596</v>
          </cell>
          <cell r="EU80">
            <v>1.4400000000000008</v>
          </cell>
          <cell r="EV80">
            <v>4.5141808296698596</v>
          </cell>
        </row>
        <row r="81">
          <cell r="U81">
            <v>1.4600000000000009</v>
          </cell>
          <cell r="V81">
            <v>4.4752392932933001</v>
          </cell>
          <cell r="Z81">
            <v>1.4600000000000009</v>
          </cell>
          <cell r="AA81">
            <v>4.4752392932933001</v>
          </cell>
          <cell r="AE81">
            <v>1.4600000000000009</v>
          </cell>
          <cell r="AF81">
            <v>4.4752392932933001</v>
          </cell>
          <cell r="AJ81">
            <v>1.4600000000000009</v>
          </cell>
          <cell r="AK81">
            <v>4.4752392932933001</v>
          </cell>
          <cell r="AO81">
            <v>1.4600000000000009</v>
          </cell>
          <cell r="AP81">
            <v>4.4752392932933001</v>
          </cell>
          <cell r="AT81">
            <v>1.4600000000000009</v>
          </cell>
          <cell r="AU81">
            <v>4.4752392932933001</v>
          </cell>
          <cell r="AY81">
            <v>1.4600000000000009</v>
          </cell>
          <cell r="AZ81">
            <v>4.4752392932933001</v>
          </cell>
          <cell r="BD81">
            <v>1.4600000000000009</v>
          </cell>
          <cell r="BE81">
            <v>4.4752392932933001</v>
          </cell>
          <cell r="BI81">
            <v>1.4600000000000009</v>
          </cell>
          <cell r="BJ81">
            <v>4.4752392932933001</v>
          </cell>
          <cell r="BN81">
            <v>1.4600000000000009</v>
          </cell>
          <cell r="BO81">
            <v>4.4752392932933001</v>
          </cell>
          <cell r="BS81">
            <v>1.4600000000000009</v>
          </cell>
          <cell r="BT81">
            <v>4.4752392932933001</v>
          </cell>
          <cell r="BX81">
            <v>1.4600000000000009</v>
          </cell>
          <cell r="BY81">
            <v>4.4752392932933001</v>
          </cell>
          <cell r="CC81">
            <v>1.4600000000000009</v>
          </cell>
          <cell r="CD81">
            <v>4.4752392932933001</v>
          </cell>
          <cell r="CH81">
            <v>1.4600000000000009</v>
          </cell>
          <cell r="CI81">
            <v>4.4752392932933001</v>
          </cell>
          <cell r="CM81">
            <v>1.4600000000000009</v>
          </cell>
          <cell r="CN81">
            <v>4.4752392932933001</v>
          </cell>
          <cell r="CR81">
            <v>1.4600000000000009</v>
          </cell>
          <cell r="CS81">
            <v>4.4752392932933001</v>
          </cell>
          <cell r="CW81">
            <v>1.4600000000000009</v>
          </cell>
          <cell r="CX81">
            <v>4.4752392932933001</v>
          </cell>
          <cell r="DB81">
            <v>1.4600000000000009</v>
          </cell>
          <cell r="DC81">
            <v>4.4752392932933001</v>
          </cell>
          <cell r="DG81">
            <v>1.4600000000000009</v>
          </cell>
          <cell r="DH81">
            <v>4.4752392932933001</v>
          </cell>
          <cell r="DL81">
            <v>1.4600000000000009</v>
          </cell>
          <cell r="DM81">
            <v>4.4752392932933001</v>
          </cell>
          <cell r="DQ81">
            <v>1.4600000000000009</v>
          </cell>
          <cell r="DR81">
            <v>4.4752392932933001</v>
          </cell>
          <cell r="DV81">
            <v>1.4600000000000009</v>
          </cell>
          <cell r="DW81">
            <v>4.4752392932933001</v>
          </cell>
          <cell r="EA81">
            <v>1.4600000000000009</v>
          </cell>
          <cell r="EB81">
            <v>4.4752392932933001</v>
          </cell>
          <cell r="EF81">
            <v>1.4600000000000009</v>
          </cell>
          <cell r="EG81">
            <v>4.4752392932933001</v>
          </cell>
          <cell r="EK81">
            <v>1.4600000000000009</v>
          </cell>
          <cell r="EL81">
            <v>4.4752392932933001</v>
          </cell>
          <cell r="EP81">
            <v>1.4600000000000009</v>
          </cell>
          <cell r="EQ81">
            <v>4.4752392932933001</v>
          </cell>
          <cell r="EU81">
            <v>1.4600000000000009</v>
          </cell>
          <cell r="EV81">
            <v>4.4752392932933001</v>
          </cell>
        </row>
        <row r="82">
          <cell r="U82">
            <v>1.4800000000000009</v>
          </cell>
          <cell r="V82">
            <v>4.4335892441888944</v>
          </cell>
          <cell r="Z82">
            <v>1.4800000000000009</v>
          </cell>
          <cell r="AA82">
            <v>4.4335892441888944</v>
          </cell>
          <cell r="AE82">
            <v>1.4800000000000009</v>
          </cell>
          <cell r="AF82">
            <v>4.4335892441888944</v>
          </cell>
          <cell r="AJ82">
            <v>1.4800000000000009</v>
          </cell>
          <cell r="AK82">
            <v>4.4335892441888944</v>
          </cell>
          <cell r="AO82">
            <v>1.4800000000000009</v>
          </cell>
          <cell r="AP82">
            <v>4.4335892441888944</v>
          </cell>
          <cell r="AT82">
            <v>1.4800000000000009</v>
          </cell>
          <cell r="AU82">
            <v>4.4335892441888944</v>
          </cell>
          <cell r="AY82">
            <v>1.4800000000000009</v>
          </cell>
          <cell r="AZ82">
            <v>4.4335892441888944</v>
          </cell>
          <cell r="BD82">
            <v>1.4800000000000009</v>
          </cell>
          <cell r="BE82">
            <v>4.4335892441888944</v>
          </cell>
          <cell r="BI82">
            <v>1.4800000000000009</v>
          </cell>
          <cell r="BJ82">
            <v>4.4335892441888944</v>
          </cell>
          <cell r="BN82">
            <v>1.4800000000000009</v>
          </cell>
          <cell r="BO82">
            <v>4.4335892441888944</v>
          </cell>
          <cell r="BS82">
            <v>1.4800000000000009</v>
          </cell>
          <cell r="BT82">
            <v>4.4335892441888944</v>
          </cell>
          <cell r="BX82">
            <v>1.4800000000000009</v>
          </cell>
          <cell r="BY82">
            <v>4.4335892441888944</v>
          </cell>
          <cell r="CC82">
            <v>1.4800000000000009</v>
          </cell>
          <cell r="CD82">
            <v>4.4335892441888944</v>
          </cell>
          <cell r="CH82">
            <v>1.4800000000000009</v>
          </cell>
          <cell r="CI82">
            <v>4.4335892441888944</v>
          </cell>
          <cell r="CM82">
            <v>1.4800000000000009</v>
          </cell>
          <cell r="CN82">
            <v>4.4335892441888944</v>
          </cell>
          <cell r="CR82">
            <v>1.4800000000000009</v>
          </cell>
          <cell r="CS82">
            <v>4.4335892441888944</v>
          </cell>
          <cell r="CW82">
            <v>1.4800000000000009</v>
          </cell>
          <cell r="CX82">
            <v>4.4335892441888944</v>
          </cell>
          <cell r="DB82">
            <v>1.4800000000000009</v>
          </cell>
          <cell r="DC82">
            <v>4.4335892441888944</v>
          </cell>
          <cell r="DG82">
            <v>1.4800000000000009</v>
          </cell>
          <cell r="DH82">
            <v>4.4335892441888944</v>
          </cell>
          <cell r="DL82">
            <v>1.4800000000000009</v>
          </cell>
          <cell r="DM82">
            <v>4.4335892441888944</v>
          </cell>
          <cell r="DQ82">
            <v>1.4800000000000009</v>
          </cell>
          <cell r="DR82">
            <v>4.4335892441888944</v>
          </cell>
          <cell r="DV82">
            <v>1.4800000000000009</v>
          </cell>
          <cell r="DW82">
            <v>4.4335892441888944</v>
          </cell>
          <cell r="EA82">
            <v>1.4800000000000009</v>
          </cell>
          <cell r="EB82">
            <v>4.4335892441888944</v>
          </cell>
          <cell r="EF82">
            <v>1.4800000000000009</v>
          </cell>
          <cell r="EG82">
            <v>4.4335892441888944</v>
          </cell>
          <cell r="EK82">
            <v>1.4800000000000009</v>
          </cell>
          <cell r="EL82">
            <v>4.4335892441888944</v>
          </cell>
          <cell r="EP82">
            <v>1.4800000000000009</v>
          </cell>
          <cell r="EQ82">
            <v>4.4335892441888944</v>
          </cell>
          <cell r="EU82">
            <v>1.4800000000000009</v>
          </cell>
          <cell r="EV82">
            <v>4.4335892441888944</v>
          </cell>
        </row>
        <row r="83">
          <cell r="U83">
            <v>1.5000000000000009</v>
          </cell>
          <cell r="V83">
            <v>4.38923068235664</v>
          </cell>
          <cell r="Z83">
            <v>1.5000000000000009</v>
          </cell>
          <cell r="AA83">
            <v>4.38923068235664</v>
          </cell>
          <cell r="AE83">
            <v>1.5000000000000009</v>
          </cell>
          <cell r="AF83">
            <v>4.38923068235664</v>
          </cell>
          <cell r="AJ83">
            <v>1.5000000000000009</v>
          </cell>
          <cell r="AK83">
            <v>4.38923068235664</v>
          </cell>
          <cell r="AO83">
            <v>1.5000000000000009</v>
          </cell>
          <cell r="AP83">
            <v>4.38923068235664</v>
          </cell>
          <cell r="AT83">
            <v>1.5000000000000009</v>
          </cell>
          <cell r="AU83">
            <v>4.38923068235664</v>
          </cell>
          <cell r="AY83">
            <v>1.5000000000000009</v>
          </cell>
          <cell r="AZ83">
            <v>4.38923068235664</v>
          </cell>
          <cell r="BD83">
            <v>1.5000000000000009</v>
          </cell>
          <cell r="BE83">
            <v>4.38923068235664</v>
          </cell>
          <cell r="BI83">
            <v>1.5000000000000009</v>
          </cell>
          <cell r="BJ83">
            <v>4.38923068235664</v>
          </cell>
          <cell r="BN83">
            <v>1.5000000000000009</v>
          </cell>
          <cell r="BO83">
            <v>4.38923068235664</v>
          </cell>
          <cell r="BS83">
            <v>1.5000000000000009</v>
          </cell>
          <cell r="BT83">
            <v>4.38923068235664</v>
          </cell>
          <cell r="BX83">
            <v>1.5000000000000009</v>
          </cell>
          <cell r="BY83">
            <v>4.38923068235664</v>
          </cell>
          <cell r="CC83">
            <v>1.5000000000000009</v>
          </cell>
          <cell r="CD83">
            <v>4.38923068235664</v>
          </cell>
          <cell r="CH83">
            <v>1.5000000000000009</v>
          </cell>
          <cell r="CI83">
            <v>4.38923068235664</v>
          </cell>
          <cell r="CM83">
            <v>1.5000000000000009</v>
          </cell>
          <cell r="CN83">
            <v>4.38923068235664</v>
          </cell>
          <cell r="CR83">
            <v>1.5000000000000009</v>
          </cell>
          <cell r="CS83">
            <v>4.38923068235664</v>
          </cell>
          <cell r="CW83">
            <v>1.5000000000000009</v>
          </cell>
          <cell r="CX83">
            <v>4.38923068235664</v>
          </cell>
          <cell r="DB83">
            <v>1.5000000000000009</v>
          </cell>
          <cell r="DC83">
            <v>4.38923068235664</v>
          </cell>
          <cell r="DG83">
            <v>1.5000000000000009</v>
          </cell>
          <cell r="DH83">
            <v>4.38923068235664</v>
          </cell>
          <cell r="DL83">
            <v>1.5000000000000009</v>
          </cell>
          <cell r="DM83">
            <v>4.38923068235664</v>
          </cell>
          <cell r="DQ83">
            <v>1.5000000000000009</v>
          </cell>
          <cell r="DR83">
            <v>4.38923068235664</v>
          </cell>
          <cell r="DV83">
            <v>1.5000000000000009</v>
          </cell>
          <cell r="DW83">
            <v>4.38923068235664</v>
          </cell>
          <cell r="EA83">
            <v>1.5000000000000009</v>
          </cell>
          <cell r="EB83">
            <v>4.38923068235664</v>
          </cell>
          <cell r="EF83">
            <v>1.5000000000000009</v>
          </cell>
          <cell r="EG83">
            <v>4.38923068235664</v>
          </cell>
          <cell r="EK83">
            <v>1.5000000000000009</v>
          </cell>
          <cell r="EL83">
            <v>4.38923068235664</v>
          </cell>
          <cell r="EP83">
            <v>1.5000000000000009</v>
          </cell>
          <cell r="EQ83">
            <v>4.38923068235664</v>
          </cell>
          <cell r="EU83">
            <v>1.5000000000000009</v>
          </cell>
          <cell r="EV83">
            <v>4.38923068235664</v>
          </cell>
        </row>
        <row r="84">
          <cell r="U84">
            <v>1.5200000000000009</v>
          </cell>
          <cell r="V84">
            <v>4.3421636077965386</v>
          </cell>
          <cell r="Z84">
            <v>1.5200000000000009</v>
          </cell>
          <cell r="AA84">
            <v>4.3421636077965386</v>
          </cell>
          <cell r="AE84">
            <v>1.5200000000000009</v>
          </cell>
          <cell r="AF84">
            <v>4.3421636077965386</v>
          </cell>
          <cell r="AJ84">
            <v>1.5200000000000009</v>
          </cell>
          <cell r="AK84">
            <v>4.3421636077965386</v>
          </cell>
          <cell r="AO84">
            <v>1.5200000000000009</v>
          </cell>
          <cell r="AP84">
            <v>4.3421636077965386</v>
          </cell>
          <cell r="AT84">
            <v>1.5200000000000009</v>
          </cell>
          <cell r="AU84">
            <v>4.3421636077965386</v>
          </cell>
          <cell r="AY84">
            <v>1.5200000000000009</v>
          </cell>
          <cell r="AZ84">
            <v>4.3421636077965386</v>
          </cell>
          <cell r="BD84">
            <v>1.5200000000000009</v>
          </cell>
          <cell r="BE84">
            <v>4.3421636077965386</v>
          </cell>
          <cell r="BI84">
            <v>1.5200000000000009</v>
          </cell>
          <cell r="BJ84">
            <v>4.3421636077965386</v>
          </cell>
          <cell r="BN84">
            <v>1.5200000000000009</v>
          </cell>
          <cell r="BO84">
            <v>4.3421636077965386</v>
          </cell>
          <cell r="BS84">
            <v>1.5200000000000009</v>
          </cell>
          <cell r="BT84">
            <v>4.3421636077965386</v>
          </cell>
          <cell r="BX84">
            <v>1.5200000000000009</v>
          </cell>
          <cell r="BY84">
            <v>4.3421636077965386</v>
          </cell>
          <cell r="CC84">
            <v>1.5200000000000009</v>
          </cell>
          <cell r="CD84">
            <v>4.3421636077965386</v>
          </cell>
          <cell r="CH84">
            <v>1.5200000000000009</v>
          </cell>
          <cell r="CI84">
            <v>4.3421636077965386</v>
          </cell>
          <cell r="CM84">
            <v>1.5200000000000009</v>
          </cell>
          <cell r="CN84">
            <v>4.3421636077965386</v>
          </cell>
          <cell r="CR84">
            <v>1.5200000000000009</v>
          </cell>
          <cell r="CS84">
            <v>4.3421636077965386</v>
          </cell>
          <cell r="CW84">
            <v>1.5200000000000009</v>
          </cell>
          <cell r="CX84">
            <v>4.3421636077965386</v>
          </cell>
          <cell r="DB84">
            <v>1.5200000000000009</v>
          </cell>
          <cell r="DC84">
            <v>4.3421636077965386</v>
          </cell>
          <cell r="DG84">
            <v>1.5200000000000009</v>
          </cell>
          <cell r="DH84">
            <v>4.3421636077965386</v>
          </cell>
          <cell r="DL84">
            <v>1.5200000000000009</v>
          </cell>
          <cell r="DM84">
            <v>4.3421636077965386</v>
          </cell>
          <cell r="DQ84">
            <v>1.5200000000000009</v>
          </cell>
          <cell r="DR84">
            <v>4.3421636077965386</v>
          </cell>
          <cell r="DV84">
            <v>1.5200000000000009</v>
          </cell>
          <cell r="DW84">
            <v>4.3421636077965386</v>
          </cell>
          <cell r="EA84">
            <v>1.5200000000000009</v>
          </cell>
          <cell r="EB84">
            <v>4.3421636077965386</v>
          </cell>
          <cell r="EF84">
            <v>1.5200000000000009</v>
          </cell>
          <cell r="EG84">
            <v>4.3421636077965386</v>
          </cell>
          <cell r="EK84">
            <v>1.5200000000000009</v>
          </cell>
          <cell r="EL84">
            <v>4.3421636077965386</v>
          </cell>
          <cell r="EP84">
            <v>1.5200000000000009</v>
          </cell>
          <cell r="EQ84">
            <v>4.3421636077965386</v>
          </cell>
          <cell r="EU84">
            <v>1.5200000000000009</v>
          </cell>
          <cell r="EV84">
            <v>4.3421636077965386</v>
          </cell>
        </row>
        <row r="85">
          <cell r="U85">
            <v>1.5400000000000009</v>
          </cell>
          <cell r="V85">
            <v>4.2923880205085885</v>
          </cell>
          <cell r="Z85">
            <v>1.5400000000000009</v>
          </cell>
          <cell r="AA85">
            <v>4.2923880205085885</v>
          </cell>
          <cell r="AE85">
            <v>1.5400000000000009</v>
          </cell>
          <cell r="AF85">
            <v>4.2923880205085885</v>
          </cell>
          <cell r="AJ85">
            <v>1.5400000000000009</v>
          </cell>
          <cell r="AK85">
            <v>4.2923880205085885</v>
          </cell>
          <cell r="AO85">
            <v>1.5400000000000009</v>
          </cell>
          <cell r="AP85">
            <v>4.2923880205085885</v>
          </cell>
          <cell r="AT85">
            <v>1.5400000000000009</v>
          </cell>
          <cell r="AU85">
            <v>4.2923880205085885</v>
          </cell>
          <cell r="AY85">
            <v>1.5400000000000009</v>
          </cell>
          <cell r="AZ85">
            <v>4.2923880205085885</v>
          </cell>
          <cell r="BD85">
            <v>1.5400000000000009</v>
          </cell>
          <cell r="BE85">
            <v>4.2923880205085885</v>
          </cell>
          <cell r="BI85">
            <v>1.5400000000000009</v>
          </cell>
          <cell r="BJ85">
            <v>4.2923880205085885</v>
          </cell>
          <cell r="BN85">
            <v>1.5400000000000009</v>
          </cell>
          <cell r="BO85">
            <v>4.2923880205085885</v>
          </cell>
          <cell r="BS85">
            <v>1.5400000000000009</v>
          </cell>
          <cell r="BT85">
            <v>4.2923880205085885</v>
          </cell>
          <cell r="BX85">
            <v>1.5400000000000009</v>
          </cell>
          <cell r="BY85">
            <v>4.2923880205085885</v>
          </cell>
          <cell r="CC85">
            <v>1.5400000000000009</v>
          </cell>
          <cell r="CD85">
            <v>4.2923880205085885</v>
          </cell>
          <cell r="CH85">
            <v>1.5400000000000009</v>
          </cell>
          <cell r="CI85">
            <v>4.2923880205085885</v>
          </cell>
          <cell r="CM85">
            <v>1.5400000000000009</v>
          </cell>
          <cell r="CN85">
            <v>4.2923880205085885</v>
          </cell>
          <cell r="CR85">
            <v>1.5400000000000009</v>
          </cell>
          <cell r="CS85">
            <v>4.2923880205085885</v>
          </cell>
          <cell r="CW85">
            <v>1.5400000000000009</v>
          </cell>
          <cell r="CX85">
            <v>4.2923880205085885</v>
          </cell>
          <cell r="DB85">
            <v>1.5400000000000009</v>
          </cell>
          <cell r="DC85">
            <v>4.2923880205085885</v>
          </cell>
          <cell r="DG85">
            <v>1.5400000000000009</v>
          </cell>
          <cell r="DH85">
            <v>4.2923880205085885</v>
          </cell>
          <cell r="DL85">
            <v>1.5400000000000009</v>
          </cell>
          <cell r="DM85">
            <v>4.2923880205085885</v>
          </cell>
          <cell r="DQ85">
            <v>1.5400000000000009</v>
          </cell>
          <cell r="DR85">
            <v>4.2923880205085885</v>
          </cell>
          <cell r="DV85">
            <v>1.5400000000000009</v>
          </cell>
          <cell r="DW85">
            <v>4.2923880205085885</v>
          </cell>
          <cell r="EA85">
            <v>1.5400000000000009</v>
          </cell>
          <cell r="EB85">
            <v>4.2923880205085885</v>
          </cell>
          <cell r="EF85">
            <v>1.5400000000000009</v>
          </cell>
          <cell r="EG85">
            <v>4.2923880205085885</v>
          </cell>
          <cell r="EK85">
            <v>1.5400000000000009</v>
          </cell>
          <cell r="EL85">
            <v>4.2923880205085885</v>
          </cell>
          <cell r="EP85">
            <v>1.5400000000000009</v>
          </cell>
          <cell r="EQ85">
            <v>4.2923880205085885</v>
          </cell>
          <cell r="EU85">
            <v>1.5400000000000009</v>
          </cell>
          <cell r="EV85">
            <v>4.2923880205085885</v>
          </cell>
        </row>
        <row r="86">
          <cell r="U86">
            <v>1.5600000000000009</v>
          </cell>
          <cell r="V86">
            <v>4.2399039204927975</v>
          </cell>
          <cell r="Z86">
            <v>1.5600000000000009</v>
          </cell>
          <cell r="AA86">
            <v>4.2399039204927975</v>
          </cell>
          <cell r="AE86">
            <v>1.5600000000000009</v>
          </cell>
          <cell r="AF86">
            <v>4.2399039204927975</v>
          </cell>
          <cell r="AJ86">
            <v>1.5600000000000009</v>
          </cell>
          <cell r="AK86">
            <v>4.2399039204927975</v>
          </cell>
          <cell r="AO86">
            <v>1.5600000000000009</v>
          </cell>
          <cell r="AP86">
            <v>4.2399039204927975</v>
          </cell>
          <cell r="AT86">
            <v>1.5600000000000009</v>
          </cell>
          <cell r="AU86">
            <v>4.2399039204927975</v>
          </cell>
          <cell r="AY86">
            <v>1.5600000000000009</v>
          </cell>
          <cell r="AZ86">
            <v>4.2399039204927975</v>
          </cell>
          <cell r="BD86">
            <v>1.5600000000000009</v>
          </cell>
          <cell r="BE86">
            <v>4.2399039204927975</v>
          </cell>
          <cell r="BI86">
            <v>1.5600000000000009</v>
          </cell>
          <cell r="BJ86">
            <v>4.2399039204927975</v>
          </cell>
          <cell r="BN86">
            <v>1.5600000000000009</v>
          </cell>
          <cell r="BO86">
            <v>4.2399039204927975</v>
          </cell>
          <cell r="BS86">
            <v>1.5600000000000009</v>
          </cell>
          <cell r="BT86">
            <v>4.2399039204927975</v>
          </cell>
          <cell r="BX86">
            <v>1.5600000000000009</v>
          </cell>
          <cell r="BY86">
            <v>4.2399039204927975</v>
          </cell>
          <cell r="CC86">
            <v>1.5600000000000009</v>
          </cell>
          <cell r="CD86">
            <v>4.2399039204927975</v>
          </cell>
          <cell r="CH86">
            <v>1.5600000000000009</v>
          </cell>
          <cell r="CI86">
            <v>4.2399039204927975</v>
          </cell>
          <cell r="CM86">
            <v>1.5600000000000009</v>
          </cell>
          <cell r="CN86">
            <v>4.2399039204927975</v>
          </cell>
          <cell r="CR86">
            <v>1.5600000000000009</v>
          </cell>
          <cell r="CS86">
            <v>4.2399039204927975</v>
          </cell>
          <cell r="CW86">
            <v>1.5600000000000009</v>
          </cell>
          <cell r="CX86">
            <v>4.2399039204927975</v>
          </cell>
          <cell r="DB86">
            <v>1.5600000000000009</v>
          </cell>
          <cell r="DC86">
            <v>4.2399039204927975</v>
          </cell>
          <cell r="DG86">
            <v>1.5600000000000009</v>
          </cell>
          <cell r="DH86">
            <v>4.2399039204927975</v>
          </cell>
          <cell r="DL86">
            <v>1.5600000000000009</v>
          </cell>
          <cell r="DM86">
            <v>4.2399039204927975</v>
          </cell>
          <cell r="DQ86">
            <v>1.5600000000000009</v>
          </cell>
          <cell r="DR86">
            <v>4.2399039204927975</v>
          </cell>
          <cell r="DV86">
            <v>1.5600000000000009</v>
          </cell>
          <cell r="DW86">
            <v>4.2399039204927975</v>
          </cell>
          <cell r="EA86">
            <v>1.5600000000000009</v>
          </cell>
          <cell r="EB86">
            <v>4.2399039204927975</v>
          </cell>
          <cell r="EF86">
            <v>1.5600000000000009</v>
          </cell>
          <cell r="EG86">
            <v>4.2399039204927975</v>
          </cell>
          <cell r="EK86">
            <v>1.5600000000000009</v>
          </cell>
          <cell r="EL86">
            <v>4.2399039204927975</v>
          </cell>
          <cell r="EP86">
            <v>1.5600000000000009</v>
          </cell>
          <cell r="EQ86">
            <v>4.2399039204927975</v>
          </cell>
          <cell r="EU86">
            <v>1.5600000000000009</v>
          </cell>
          <cell r="EV86">
            <v>4.2399039204927975</v>
          </cell>
        </row>
        <row r="87">
          <cell r="U87">
            <v>1.580000000000001</v>
          </cell>
          <cell r="V87">
            <v>4.1847113077491533</v>
          </cell>
          <cell r="Z87">
            <v>1.580000000000001</v>
          </cell>
          <cell r="AA87">
            <v>4.1847113077491533</v>
          </cell>
          <cell r="AE87">
            <v>1.580000000000001</v>
          </cell>
          <cell r="AF87">
            <v>4.1847113077491533</v>
          </cell>
          <cell r="AJ87">
            <v>1.580000000000001</v>
          </cell>
          <cell r="AK87">
            <v>4.1847113077491533</v>
          </cell>
          <cell r="AO87">
            <v>1.580000000000001</v>
          </cell>
          <cell r="AP87">
            <v>4.1847113077491533</v>
          </cell>
          <cell r="AT87">
            <v>1.580000000000001</v>
          </cell>
          <cell r="AU87">
            <v>4.1847113077491533</v>
          </cell>
          <cell r="AY87">
            <v>1.580000000000001</v>
          </cell>
          <cell r="AZ87">
            <v>4.1847113077491533</v>
          </cell>
          <cell r="BD87">
            <v>1.580000000000001</v>
          </cell>
          <cell r="BE87">
            <v>4.1847113077491533</v>
          </cell>
          <cell r="BI87">
            <v>1.580000000000001</v>
          </cell>
          <cell r="BJ87">
            <v>4.1847113077491533</v>
          </cell>
          <cell r="BN87">
            <v>1.580000000000001</v>
          </cell>
          <cell r="BO87">
            <v>4.1847113077491533</v>
          </cell>
          <cell r="BS87">
            <v>1.580000000000001</v>
          </cell>
          <cell r="BT87">
            <v>4.1847113077491533</v>
          </cell>
          <cell r="BX87">
            <v>1.580000000000001</v>
          </cell>
          <cell r="BY87">
            <v>4.1847113077491533</v>
          </cell>
          <cell r="CC87">
            <v>1.580000000000001</v>
          </cell>
          <cell r="CD87">
            <v>4.1847113077491533</v>
          </cell>
          <cell r="CH87">
            <v>1.580000000000001</v>
          </cell>
          <cell r="CI87">
            <v>4.1847113077491533</v>
          </cell>
          <cell r="CM87">
            <v>1.580000000000001</v>
          </cell>
          <cell r="CN87">
            <v>4.1847113077491533</v>
          </cell>
          <cell r="CR87">
            <v>1.580000000000001</v>
          </cell>
          <cell r="CS87">
            <v>4.1847113077491533</v>
          </cell>
          <cell r="CW87">
            <v>1.580000000000001</v>
          </cell>
          <cell r="CX87">
            <v>4.1847113077491533</v>
          </cell>
          <cell r="DB87">
            <v>1.580000000000001</v>
          </cell>
          <cell r="DC87">
            <v>4.1847113077491533</v>
          </cell>
          <cell r="DG87">
            <v>1.580000000000001</v>
          </cell>
          <cell r="DH87">
            <v>4.1847113077491533</v>
          </cell>
          <cell r="DL87">
            <v>1.580000000000001</v>
          </cell>
          <cell r="DM87">
            <v>4.1847113077491533</v>
          </cell>
          <cell r="DQ87">
            <v>1.580000000000001</v>
          </cell>
          <cell r="DR87">
            <v>4.1847113077491533</v>
          </cell>
          <cell r="DV87">
            <v>1.580000000000001</v>
          </cell>
          <cell r="DW87">
            <v>4.1847113077491533</v>
          </cell>
          <cell r="EA87">
            <v>1.580000000000001</v>
          </cell>
          <cell r="EB87">
            <v>4.1847113077491533</v>
          </cell>
          <cell r="EF87">
            <v>1.580000000000001</v>
          </cell>
          <cell r="EG87">
            <v>4.1847113077491533</v>
          </cell>
          <cell r="EK87">
            <v>1.580000000000001</v>
          </cell>
          <cell r="EL87">
            <v>4.1847113077491533</v>
          </cell>
          <cell r="EP87">
            <v>1.580000000000001</v>
          </cell>
          <cell r="EQ87">
            <v>4.1847113077491533</v>
          </cell>
          <cell r="EU87">
            <v>1.580000000000001</v>
          </cell>
          <cell r="EV87">
            <v>4.1847113077491533</v>
          </cell>
        </row>
        <row r="88">
          <cell r="U88">
            <v>1.600000000000001</v>
          </cell>
          <cell r="V88">
            <v>4.1268101822776631</v>
          </cell>
          <cell r="Z88">
            <v>1.600000000000001</v>
          </cell>
          <cell r="AA88">
            <v>4.1268101822776631</v>
          </cell>
          <cell r="AE88">
            <v>1.600000000000001</v>
          </cell>
          <cell r="AF88">
            <v>4.1268101822776631</v>
          </cell>
          <cell r="AJ88">
            <v>1.600000000000001</v>
          </cell>
          <cell r="AK88">
            <v>4.1268101822776631</v>
          </cell>
          <cell r="AO88">
            <v>1.600000000000001</v>
          </cell>
          <cell r="AP88">
            <v>4.1268101822776631</v>
          </cell>
          <cell r="AT88">
            <v>1.600000000000001</v>
          </cell>
          <cell r="AU88">
            <v>4.1268101822776631</v>
          </cell>
          <cell r="AY88">
            <v>1.600000000000001</v>
          </cell>
          <cell r="AZ88">
            <v>4.1268101822776631</v>
          </cell>
          <cell r="BD88">
            <v>1.600000000000001</v>
          </cell>
          <cell r="BE88">
            <v>4.1268101822776631</v>
          </cell>
          <cell r="BI88">
            <v>1.600000000000001</v>
          </cell>
          <cell r="BJ88">
            <v>4.1268101822776631</v>
          </cell>
          <cell r="BN88">
            <v>1.600000000000001</v>
          </cell>
          <cell r="BO88">
            <v>4.1268101822776631</v>
          </cell>
          <cell r="BS88">
            <v>1.600000000000001</v>
          </cell>
          <cell r="BT88">
            <v>4.1268101822776631</v>
          </cell>
          <cell r="BX88">
            <v>1.600000000000001</v>
          </cell>
          <cell r="BY88">
            <v>4.1268101822776631</v>
          </cell>
          <cell r="CC88">
            <v>1.600000000000001</v>
          </cell>
          <cell r="CD88">
            <v>4.1268101822776631</v>
          </cell>
          <cell r="CH88">
            <v>1.600000000000001</v>
          </cell>
          <cell r="CI88">
            <v>4.1268101822776631</v>
          </cell>
          <cell r="CM88">
            <v>1.600000000000001</v>
          </cell>
          <cell r="CN88">
            <v>4.1268101822776631</v>
          </cell>
          <cell r="CR88">
            <v>1.600000000000001</v>
          </cell>
          <cell r="CS88">
            <v>4.1268101822776631</v>
          </cell>
          <cell r="CW88">
            <v>1.600000000000001</v>
          </cell>
          <cell r="CX88">
            <v>4.1268101822776631</v>
          </cell>
          <cell r="DB88">
            <v>1.600000000000001</v>
          </cell>
          <cell r="DC88">
            <v>4.1268101822776631</v>
          </cell>
          <cell r="DG88">
            <v>1.600000000000001</v>
          </cell>
          <cell r="DH88">
            <v>4.1268101822776631</v>
          </cell>
          <cell r="DL88">
            <v>1.600000000000001</v>
          </cell>
          <cell r="DM88">
            <v>4.1268101822776631</v>
          </cell>
          <cell r="DQ88">
            <v>1.600000000000001</v>
          </cell>
          <cell r="DR88">
            <v>4.1268101822776631</v>
          </cell>
          <cell r="DV88">
            <v>1.600000000000001</v>
          </cell>
          <cell r="DW88">
            <v>4.1268101822776631</v>
          </cell>
          <cell r="EA88">
            <v>1.600000000000001</v>
          </cell>
          <cell r="EB88">
            <v>4.1268101822776631</v>
          </cell>
          <cell r="EF88">
            <v>1.600000000000001</v>
          </cell>
          <cell r="EG88">
            <v>4.1268101822776631</v>
          </cell>
          <cell r="EK88">
            <v>1.600000000000001</v>
          </cell>
          <cell r="EL88">
            <v>4.1268101822776631</v>
          </cell>
          <cell r="EP88">
            <v>1.600000000000001</v>
          </cell>
          <cell r="EQ88">
            <v>4.1268101822776631</v>
          </cell>
          <cell r="EU88">
            <v>1.600000000000001</v>
          </cell>
          <cell r="EV88">
            <v>4.1268101822776631</v>
          </cell>
        </row>
        <row r="89">
          <cell r="U89">
            <v>1.620000000000001</v>
          </cell>
          <cell r="V89">
            <v>4.0662005440783302</v>
          </cell>
          <cell r="Z89">
            <v>1.620000000000001</v>
          </cell>
          <cell r="AA89">
            <v>4.0662005440783302</v>
          </cell>
          <cell r="AE89">
            <v>1.620000000000001</v>
          </cell>
          <cell r="AF89">
            <v>4.0662005440783302</v>
          </cell>
          <cell r="AJ89">
            <v>1.620000000000001</v>
          </cell>
          <cell r="AK89">
            <v>4.0662005440783302</v>
          </cell>
          <cell r="AO89">
            <v>1.620000000000001</v>
          </cell>
          <cell r="AP89">
            <v>4.0662005440783302</v>
          </cell>
          <cell r="AT89">
            <v>1.620000000000001</v>
          </cell>
          <cell r="AU89">
            <v>4.0662005440783302</v>
          </cell>
          <cell r="AY89">
            <v>1.620000000000001</v>
          </cell>
          <cell r="AZ89">
            <v>4.0662005440783302</v>
          </cell>
          <cell r="BD89">
            <v>1.620000000000001</v>
          </cell>
          <cell r="BE89">
            <v>4.0662005440783302</v>
          </cell>
          <cell r="BI89">
            <v>1.620000000000001</v>
          </cell>
          <cell r="BJ89">
            <v>4.0662005440783302</v>
          </cell>
          <cell r="BN89">
            <v>1.620000000000001</v>
          </cell>
          <cell r="BO89">
            <v>4.0662005440783302</v>
          </cell>
          <cell r="BS89">
            <v>1.620000000000001</v>
          </cell>
          <cell r="BT89">
            <v>4.0662005440783302</v>
          </cell>
          <cell r="BX89">
            <v>1.620000000000001</v>
          </cell>
          <cell r="BY89">
            <v>4.0662005440783302</v>
          </cell>
          <cell r="CC89">
            <v>1.620000000000001</v>
          </cell>
          <cell r="CD89">
            <v>4.0662005440783302</v>
          </cell>
          <cell r="CH89">
            <v>1.620000000000001</v>
          </cell>
          <cell r="CI89">
            <v>4.0662005440783302</v>
          </cell>
          <cell r="CM89">
            <v>1.620000000000001</v>
          </cell>
          <cell r="CN89">
            <v>4.0662005440783302</v>
          </cell>
          <cell r="CR89">
            <v>1.620000000000001</v>
          </cell>
          <cell r="CS89">
            <v>4.0662005440783302</v>
          </cell>
          <cell r="CW89">
            <v>1.620000000000001</v>
          </cell>
          <cell r="CX89">
            <v>4.0662005440783302</v>
          </cell>
          <cell r="DB89">
            <v>1.620000000000001</v>
          </cell>
          <cell r="DC89">
            <v>4.0662005440783302</v>
          </cell>
          <cell r="DG89">
            <v>1.620000000000001</v>
          </cell>
          <cell r="DH89">
            <v>4.0662005440783302</v>
          </cell>
          <cell r="DL89">
            <v>1.620000000000001</v>
          </cell>
          <cell r="DM89">
            <v>4.0662005440783302</v>
          </cell>
          <cell r="DQ89">
            <v>1.620000000000001</v>
          </cell>
          <cell r="DR89">
            <v>4.0662005440783302</v>
          </cell>
          <cell r="DV89">
            <v>1.620000000000001</v>
          </cell>
          <cell r="DW89">
            <v>4.0662005440783302</v>
          </cell>
          <cell r="EA89">
            <v>1.620000000000001</v>
          </cell>
          <cell r="EB89">
            <v>4.0662005440783302</v>
          </cell>
          <cell r="EF89">
            <v>1.620000000000001</v>
          </cell>
          <cell r="EG89">
            <v>4.0662005440783302</v>
          </cell>
          <cell r="EK89">
            <v>1.620000000000001</v>
          </cell>
          <cell r="EL89">
            <v>4.0662005440783302</v>
          </cell>
          <cell r="EP89">
            <v>1.620000000000001</v>
          </cell>
          <cell r="EQ89">
            <v>4.0662005440783302</v>
          </cell>
          <cell r="EU89">
            <v>1.620000000000001</v>
          </cell>
          <cell r="EV89">
            <v>4.0662005440783302</v>
          </cell>
        </row>
        <row r="90">
          <cell r="U90">
            <v>1.640000000000001</v>
          </cell>
          <cell r="V90">
            <v>4.0028823931511459</v>
          </cell>
          <cell r="Z90">
            <v>1.640000000000001</v>
          </cell>
          <cell r="AA90">
            <v>4.0028823931511459</v>
          </cell>
          <cell r="AE90">
            <v>1.640000000000001</v>
          </cell>
          <cell r="AF90">
            <v>4.0028823931511459</v>
          </cell>
          <cell r="AJ90">
            <v>1.640000000000001</v>
          </cell>
          <cell r="AK90">
            <v>4.0028823931511459</v>
          </cell>
          <cell r="AO90">
            <v>1.640000000000001</v>
          </cell>
          <cell r="AP90">
            <v>4.0028823931511459</v>
          </cell>
          <cell r="AT90">
            <v>1.640000000000001</v>
          </cell>
          <cell r="AU90">
            <v>4.0028823931511459</v>
          </cell>
          <cell r="AY90">
            <v>1.640000000000001</v>
          </cell>
          <cell r="AZ90">
            <v>4.0028823931511459</v>
          </cell>
          <cell r="BD90">
            <v>1.640000000000001</v>
          </cell>
          <cell r="BE90">
            <v>4.0028823931511459</v>
          </cell>
          <cell r="BI90">
            <v>1.640000000000001</v>
          </cell>
          <cell r="BJ90">
            <v>4.0028823931511459</v>
          </cell>
          <cell r="BN90">
            <v>1.640000000000001</v>
          </cell>
          <cell r="BO90">
            <v>4.0028823931511459</v>
          </cell>
          <cell r="BS90">
            <v>1.640000000000001</v>
          </cell>
          <cell r="BT90">
            <v>4.0028823931511459</v>
          </cell>
          <cell r="BX90">
            <v>1.640000000000001</v>
          </cell>
          <cell r="BY90">
            <v>4.0028823931511459</v>
          </cell>
          <cell r="CC90">
            <v>1.640000000000001</v>
          </cell>
          <cell r="CD90">
            <v>4.0028823931511459</v>
          </cell>
          <cell r="CH90">
            <v>1.640000000000001</v>
          </cell>
          <cell r="CI90">
            <v>4.0028823931511459</v>
          </cell>
          <cell r="CM90">
            <v>1.640000000000001</v>
          </cell>
          <cell r="CN90">
            <v>4.0028823931511459</v>
          </cell>
          <cell r="CR90">
            <v>1.640000000000001</v>
          </cell>
          <cell r="CS90">
            <v>4.0028823931511459</v>
          </cell>
          <cell r="CW90">
            <v>1.640000000000001</v>
          </cell>
          <cell r="CX90">
            <v>4.0028823931511459</v>
          </cell>
          <cell r="DB90">
            <v>1.640000000000001</v>
          </cell>
          <cell r="DC90">
            <v>4.0028823931511459</v>
          </cell>
          <cell r="DG90">
            <v>1.640000000000001</v>
          </cell>
          <cell r="DH90">
            <v>4.0028823931511459</v>
          </cell>
          <cell r="DL90">
            <v>1.640000000000001</v>
          </cell>
          <cell r="DM90">
            <v>4.0028823931511459</v>
          </cell>
          <cell r="DQ90">
            <v>1.640000000000001</v>
          </cell>
          <cell r="DR90">
            <v>4.0028823931511459</v>
          </cell>
          <cell r="DV90">
            <v>1.640000000000001</v>
          </cell>
          <cell r="DW90">
            <v>4.0028823931511459</v>
          </cell>
          <cell r="EA90">
            <v>1.640000000000001</v>
          </cell>
          <cell r="EB90">
            <v>4.0028823931511459</v>
          </cell>
          <cell r="EF90">
            <v>1.640000000000001</v>
          </cell>
          <cell r="EG90">
            <v>4.0028823931511459</v>
          </cell>
          <cell r="EK90">
            <v>1.640000000000001</v>
          </cell>
          <cell r="EL90">
            <v>4.0028823931511459</v>
          </cell>
          <cell r="EP90">
            <v>1.640000000000001</v>
          </cell>
          <cell r="EQ90">
            <v>4.0028823931511459</v>
          </cell>
          <cell r="EU90">
            <v>1.640000000000001</v>
          </cell>
          <cell r="EV90">
            <v>4.0028823931511459</v>
          </cell>
        </row>
        <row r="91">
          <cell r="U91">
            <v>1.660000000000001</v>
          </cell>
          <cell r="V91">
            <v>3.9368557294961137</v>
          </cell>
          <cell r="Z91">
            <v>1.660000000000001</v>
          </cell>
          <cell r="AA91">
            <v>3.9368557294961137</v>
          </cell>
          <cell r="AE91">
            <v>1.660000000000001</v>
          </cell>
          <cell r="AF91">
            <v>3.9368557294961137</v>
          </cell>
          <cell r="AJ91">
            <v>1.660000000000001</v>
          </cell>
          <cell r="AK91">
            <v>3.9368557294961137</v>
          </cell>
          <cell r="AO91">
            <v>1.660000000000001</v>
          </cell>
          <cell r="AP91">
            <v>3.9368557294961137</v>
          </cell>
          <cell r="AT91">
            <v>1.660000000000001</v>
          </cell>
          <cell r="AU91">
            <v>3.9368557294961137</v>
          </cell>
          <cell r="AY91">
            <v>1.660000000000001</v>
          </cell>
          <cell r="AZ91">
            <v>3.9368557294961137</v>
          </cell>
          <cell r="BD91">
            <v>1.660000000000001</v>
          </cell>
          <cell r="BE91">
            <v>3.9368557294961137</v>
          </cell>
          <cell r="BI91">
            <v>1.660000000000001</v>
          </cell>
          <cell r="BJ91">
            <v>3.9368557294961137</v>
          </cell>
          <cell r="BN91">
            <v>1.660000000000001</v>
          </cell>
          <cell r="BO91">
            <v>3.9368557294961137</v>
          </cell>
          <cell r="BS91">
            <v>1.660000000000001</v>
          </cell>
          <cell r="BT91">
            <v>3.9368557294961137</v>
          </cell>
          <cell r="BX91">
            <v>1.660000000000001</v>
          </cell>
          <cell r="BY91">
            <v>3.9368557294961137</v>
          </cell>
          <cell r="CC91">
            <v>1.660000000000001</v>
          </cell>
          <cell r="CD91">
            <v>3.9368557294961137</v>
          </cell>
          <cell r="CH91">
            <v>1.660000000000001</v>
          </cell>
          <cell r="CI91">
            <v>3.9368557294961137</v>
          </cell>
          <cell r="CM91">
            <v>1.660000000000001</v>
          </cell>
          <cell r="CN91">
            <v>3.9368557294961137</v>
          </cell>
          <cell r="CR91">
            <v>1.660000000000001</v>
          </cell>
          <cell r="CS91">
            <v>3.9368557294961137</v>
          </cell>
          <cell r="CW91">
            <v>1.660000000000001</v>
          </cell>
          <cell r="CX91">
            <v>3.9368557294961137</v>
          </cell>
          <cell r="DB91">
            <v>1.660000000000001</v>
          </cell>
          <cell r="DC91">
            <v>3.9368557294961137</v>
          </cell>
          <cell r="DG91">
            <v>1.660000000000001</v>
          </cell>
          <cell r="DH91">
            <v>3.9368557294961137</v>
          </cell>
          <cell r="DL91">
            <v>1.660000000000001</v>
          </cell>
          <cell r="DM91">
            <v>3.9368557294961137</v>
          </cell>
          <cell r="DQ91">
            <v>1.660000000000001</v>
          </cell>
          <cell r="DR91">
            <v>3.9368557294961137</v>
          </cell>
          <cell r="DV91">
            <v>1.660000000000001</v>
          </cell>
          <cell r="DW91">
            <v>3.9368557294961137</v>
          </cell>
          <cell r="EA91">
            <v>1.660000000000001</v>
          </cell>
          <cell r="EB91">
            <v>3.9368557294961137</v>
          </cell>
          <cell r="EF91">
            <v>1.660000000000001</v>
          </cell>
          <cell r="EG91">
            <v>3.9368557294961137</v>
          </cell>
          <cell r="EK91">
            <v>1.660000000000001</v>
          </cell>
          <cell r="EL91">
            <v>3.9368557294961137</v>
          </cell>
          <cell r="EP91">
            <v>1.660000000000001</v>
          </cell>
          <cell r="EQ91">
            <v>3.9368557294961137</v>
          </cell>
          <cell r="EU91">
            <v>1.660000000000001</v>
          </cell>
          <cell r="EV91">
            <v>3.9368557294961137</v>
          </cell>
        </row>
        <row r="92">
          <cell r="U92">
            <v>1.680000000000001</v>
          </cell>
          <cell r="V92">
            <v>3.8681205531132354</v>
          </cell>
          <cell r="Z92">
            <v>1.680000000000001</v>
          </cell>
          <cell r="AA92">
            <v>3.8681205531132354</v>
          </cell>
          <cell r="AE92">
            <v>1.680000000000001</v>
          </cell>
          <cell r="AF92">
            <v>3.8681205531132354</v>
          </cell>
          <cell r="AJ92">
            <v>1.680000000000001</v>
          </cell>
          <cell r="AK92">
            <v>3.8681205531132354</v>
          </cell>
          <cell r="AO92">
            <v>1.680000000000001</v>
          </cell>
          <cell r="AP92">
            <v>3.8681205531132354</v>
          </cell>
          <cell r="AT92">
            <v>1.680000000000001</v>
          </cell>
          <cell r="AU92">
            <v>3.8681205531132354</v>
          </cell>
          <cell r="AY92">
            <v>1.680000000000001</v>
          </cell>
          <cell r="AZ92">
            <v>3.8681205531132354</v>
          </cell>
          <cell r="BD92">
            <v>1.680000000000001</v>
          </cell>
          <cell r="BE92">
            <v>3.8681205531132354</v>
          </cell>
          <cell r="BI92">
            <v>1.680000000000001</v>
          </cell>
          <cell r="BJ92">
            <v>3.8681205531132354</v>
          </cell>
          <cell r="BN92">
            <v>1.680000000000001</v>
          </cell>
          <cell r="BO92">
            <v>3.8681205531132354</v>
          </cell>
          <cell r="BS92">
            <v>1.680000000000001</v>
          </cell>
          <cell r="BT92">
            <v>3.8681205531132354</v>
          </cell>
          <cell r="BX92">
            <v>1.680000000000001</v>
          </cell>
          <cell r="BY92">
            <v>3.8681205531132354</v>
          </cell>
          <cell r="CC92">
            <v>1.680000000000001</v>
          </cell>
          <cell r="CD92">
            <v>3.8681205531132354</v>
          </cell>
          <cell r="CH92">
            <v>1.680000000000001</v>
          </cell>
          <cell r="CI92">
            <v>3.8681205531132354</v>
          </cell>
          <cell r="CM92">
            <v>1.680000000000001</v>
          </cell>
          <cell r="CN92">
            <v>3.8681205531132354</v>
          </cell>
          <cell r="CR92">
            <v>1.680000000000001</v>
          </cell>
          <cell r="CS92">
            <v>3.8681205531132354</v>
          </cell>
          <cell r="CW92">
            <v>1.680000000000001</v>
          </cell>
          <cell r="CX92">
            <v>3.8681205531132354</v>
          </cell>
          <cell r="DB92">
            <v>1.680000000000001</v>
          </cell>
          <cell r="DC92">
            <v>3.8681205531132354</v>
          </cell>
          <cell r="DG92">
            <v>1.680000000000001</v>
          </cell>
          <cell r="DH92">
            <v>3.8681205531132354</v>
          </cell>
          <cell r="DL92">
            <v>1.680000000000001</v>
          </cell>
          <cell r="DM92">
            <v>3.8681205531132354</v>
          </cell>
          <cell r="DQ92">
            <v>1.680000000000001</v>
          </cell>
          <cell r="DR92">
            <v>3.8681205531132354</v>
          </cell>
          <cell r="DV92">
            <v>1.680000000000001</v>
          </cell>
          <cell r="DW92">
            <v>3.8681205531132354</v>
          </cell>
          <cell r="EA92">
            <v>1.680000000000001</v>
          </cell>
          <cell r="EB92">
            <v>3.8681205531132354</v>
          </cell>
          <cell r="EF92">
            <v>1.680000000000001</v>
          </cell>
          <cell r="EG92">
            <v>3.8681205531132354</v>
          </cell>
          <cell r="EK92">
            <v>1.680000000000001</v>
          </cell>
          <cell r="EL92">
            <v>3.8681205531132354</v>
          </cell>
          <cell r="EP92">
            <v>1.680000000000001</v>
          </cell>
          <cell r="EQ92">
            <v>3.8681205531132354</v>
          </cell>
          <cell r="EU92">
            <v>1.680000000000001</v>
          </cell>
          <cell r="EV92">
            <v>3.8681205531132354</v>
          </cell>
        </row>
        <row r="93">
          <cell r="U93">
            <v>1.7000000000000011</v>
          </cell>
          <cell r="V93">
            <v>3.7966768640025128</v>
          </cell>
          <cell r="Z93">
            <v>1.7000000000000011</v>
          </cell>
          <cell r="AA93">
            <v>3.7966768640025128</v>
          </cell>
          <cell r="AE93">
            <v>1.7000000000000011</v>
          </cell>
          <cell r="AF93">
            <v>3.7966768640025128</v>
          </cell>
          <cell r="AJ93">
            <v>1.7000000000000011</v>
          </cell>
          <cell r="AK93">
            <v>3.7966768640025128</v>
          </cell>
          <cell r="AO93">
            <v>1.7000000000000011</v>
          </cell>
          <cell r="AP93">
            <v>3.7966768640025128</v>
          </cell>
          <cell r="AT93">
            <v>1.7000000000000011</v>
          </cell>
          <cell r="AU93">
            <v>3.7966768640025128</v>
          </cell>
          <cell r="AY93">
            <v>1.7000000000000011</v>
          </cell>
          <cell r="AZ93">
            <v>3.7966768640025128</v>
          </cell>
          <cell r="BD93">
            <v>1.7000000000000011</v>
          </cell>
          <cell r="BE93">
            <v>3.7966768640025128</v>
          </cell>
          <cell r="BI93">
            <v>1.7000000000000011</v>
          </cell>
          <cell r="BJ93">
            <v>3.7966768640025128</v>
          </cell>
          <cell r="BN93">
            <v>1.7000000000000011</v>
          </cell>
          <cell r="BO93">
            <v>3.7966768640025128</v>
          </cell>
          <cell r="BS93">
            <v>1.7000000000000011</v>
          </cell>
          <cell r="BT93">
            <v>3.7966768640025128</v>
          </cell>
          <cell r="BX93">
            <v>1.7000000000000011</v>
          </cell>
          <cell r="BY93">
            <v>3.7966768640025128</v>
          </cell>
          <cell r="CC93">
            <v>1.7000000000000011</v>
          </cell>
          <cell r="CD93">
            <v>3.7966768640025128</v>
          </cell>
          <cell r="CH93">
            <v>1.7000000000000011</v>
          </cell>
          <cell r="CI93">
            <v>3.7966768640025128</v>
          </cell>
          <cell r="CM93">
            <v>1.7000000000000011</v>
          </cell>
          <cell r="CN93">
            <v>3.7966768640025128</v>
          </cell>
          <cell r="CR93">
            <v>1.7000000000000011</v>
          </cell>
          <cell r="CS93">
            <v>3.7966768640025128</v>
          </cell>
          <cell r="CW93">
            <v>1.7000000000000011</v>
          </cell>
          <cell r="CX93">
            <v>3.7966768640025128</v>
          </cell>
          <cell r="DB93">
            <v>1.7000000000000011</v>
          </cell>
          <cell r="DC93">
            <v>3.7966768640025128</v>
          </cell>
          <cell r="DG93">
            <v>1.7000000000000011</v>
          </cell>
          <cell r="DH93">
            <v>3.7966768640025128</v>
          </cell>
          <cell r="DL93">
            <v>1.7000000000000011</v>
          </cell>
          <cell r="DM93">
            <v>3.7966768640025128</v>
          </cell>
          <cell r="DQ93">
            <v>1.7000000000000011</v>
          </cell>
          <cell r="DR93">
            <v>3.7966768640025128</v>
          </cell>
          <cell r="DV93">
            <v>1.7000000000000011</v>
          </cell>
          <cell r="DW93">
            <v>3.7966768640025128</v>
          </cell>
          <cell r="EA93">
            <v>1.7000000000000011</v>
          </cell>
          <cell r="EB93">
            <v>3.7966768640025128</v>
          </cell>
          <cell r="EF93">
            <v>1.7000000000000011</v>
          </cell>
          <cell r="EG93">
            <v>3.7966768640025128</v>
          </cell>
          <cell r="EK93">
            <v>1.7000000000000011</v>
          </cell>
          <cell r="EL93">
            <v>3.7966768640025128</v>
          </cell>
          <cell r="EP93">
            <v>1.7000000000000011</v>
          </cell>
          <cell r="EQ93">
            <v>3.7966768640025128</v>
          </cell>
          <cell r="EU93">
            <v>1.7000000000000011</v>
          </cell>
          <cell r="EV93">
            <v>3.7966768640025128</v>
          </cell>
        </row>
        <row r="94">
          <cell r="U94">
            <v>1.7200000000000011</v>
          </cell>
          <cell r="V94">
            <v>3.7225246621639405</v>
          </cell>
          <cell r="Z94">
            <v>1.7200000000000011</v>
          </cell>
          <cell r="AA94">
            <v>3.7225246621639405</v>
          </cell>
          <cell r="AE94">
            <v>1.7200000000000011</v>
          </cell>
          <cell r="AF94">
            <v>3.7225246621639405</v>
          </cell>
          <cell r="AJ94">
            <v>1.7200000000000011</v>
          </cell>
          <cell r="AK94">
            <v>3.7225246621639405</v>
          </cell>
          <cell r="AO94">
            <v>1.7200000000000011</v>
          </cell>
          <cell r="AP94">
            <v>3.7225246621639405</v>
          </cell>
          <cell r="AT94">
            <v>1.7200000000000011</v>
          </cell>
          <cell r="AU94">
            <v>3.7225246621639405</v>
          </cell>
          <cell r="AY94">
            <v>1.7200000000000011</v>
          </cell>
          <cell r="AZ94">
            <v>3.7225246621639405</v>
          </cell>
          <cell r="BD94">
            <v>1.7200000000000011</v>
          </cell>
          <cell r="BE94">
            <v>3.7225246621639405</v>
          </cell>
          <cell r="BI94">
            <v>1.7200000000000011</v>
          </cell>
          <cell r="BJ94">
            <v>3.7225246621639405</v>
          </cell>
          <cell r="BN94">
            <v>1.7200000000000011</v>
          </cell>
          <cell r="BO94">
            <v>3.7225246621639405</v>
          </cell>
          <cell r="BS94">
            <v>1.7200000000000011</v>
          </cell>
          <cell r="BT94">
            <v>3.7225246621639405</v>
          </cell>
          <cell r="BX94">
            <v>1.7200000000000011</v>
          </cell>
          <cell r="BY94">
            <v>3.7225246621639405</v>
          </cell>
          <cell r="CC94">
            <v>1.7200000000000011</v>
          </cell>
          <cell r="CD94">
            <v>3.7225246621639405</v>
          </cell>
          <cell r="CH94">
            <v>1.7200000000000011</v>
          </cell>
          <cell r="CI94">
            <v>3.7225246621639405</v>
          </cell>
          <cell r="CM94">
            <v>1.7200000000000011</v>
          </cell>
          <cell r="CN94">
            <v>3.7225246621639405</v>
          </cell>
          <cell r="CR94">
            <v>1.7200000000000011</v>
          </cell>
          <cell r="CS94">
            <v>3.7225246621639405</v>
          </cell>
          <cell r="CW94">
            <v>1.7200000000000011</v>
          </cell>
          <cell r="CX94">
            <v>3.7225246621639405</v>
          </cell>
          <cell r="DB94">
            <v>1.7200000000000011</v>
          </cell>
          <cell r="DC94">
            <v>3.7225246621639405</v>
          </cell>
          <cell r="DG94">
            <v>1.7200000000000011</v>
          </cell>
          <cell r="DH94">
            <v>3.7225246621639405</v>
          </cell>
          <cell r="DL94">
            <v>1.7200000000000011</v>
          </cell>
          <cell r="DM94">
            <v>3.7225246621639405</v>
          </cell>
          <cell r="DQ94">
            <v>1.7200000000000011</v>
          </cell>
          <cell r="DR94">
            <v>3.7225246621639405</v>
          </cell>
          <cell r="DV94">
            <v>1.7200000000000011</v>
          </cell>
          <cell r="DW94">
            <v>3.7225246621639405</v>
          </cell>
          <cell r="EA94">
            <v>1.7200000000000011</v>
          </cell>
          <cell r="EB94">
            <v>3.7225246621639405</v>
          </cell>
          <cell r="EF94">
            <v>1.7200000000000011</v>
          </cell>
          <cell r="EG94">
            <v>3.7225246621639405</v>
          </cell>
          <cell r="EK94">
            <v>1.7200000000000011</v>
          </cell>
          <cell r="EL94">
            <v>3.7225246621639405</v>
          </cell>
          <cell r="EP94">
            <v>1.7200000000000011</v>
          </cell>
          <cell r="EQ94">
            <v>3.7225246621639405</v>
          </cell>
          <cell r="EU94">
            <v>1.7200000000000011</v>
          </cell>
          <cell r="EV94">
            <v>3.7225246621639405</v>
          </cell>
        </row>
        <row r="95">
          <cell r="U95">
            <v>1.7400000000000011</v>
          </cell>
          <cell r="V95">
            <v>3.6456639475975221</v>
          </cell>
          <cell r="Z95">
            <v>1.7400000000000011</v>
          </cell>
          <cell r="AA95">
            <v>3.6456639475975221</v>
          </cell>
          <cell r="AE95">
            <v>1.7400000000000011</v>
          </cell>
          <cell r="AF95">
            <v>3.6456639475975221</v>
          </cell>
          <cell r="AJ95">
            <v>1.7400000000000011</v>
          </cell>
          <cell r="AK95">
            <v>3.6456639475975221</v>
          </cell>
          <cell r="AO95">
            <v>1.7400000000000011</v>
          </cell>
          <cell r="AP95">
            <v>3.6456639475975221</v>
          </cell>
          <cell r="AT95">
            <v>1.7400000000000011</v>
          </cell>
          <cell r="AU95">
            <v>3.6456639475975221</v>
          </cell>
          <cell r="AY95">
            <v>1.7400000000000011</v>
          </cell>
          <cell r="AZ95">
            <v>3.6456639475975221</v>
          </cell>
          <cell r="BD95">
            <v>1.7400000000000011</v>
          </cell>
          <cell r="BE95">
            <v>3.6456639475975221</v>
          </cell>
          <cell r="BI95">
            <v>1.7400000000000011</v>
          </cell>
          <cell r="BJ95">
            <v>3.6456639475975221</v>
          </cell>
          <cell r="BN95">
            <v>1.7400000000000011</v>
          </cell>
          <cell r="BO95">
            <v>3.6456639475975221</v>
          </cell>
          <cell r="BS95">
            <v>1.7400000000000011</v>
          </cell>
          <cell r="BT95">
            <v>3.6456639475975221</v>
          </cell>
          <cell r="BX95">
            <v>1.7400000000000011</v>
          </cell>
          <cell r="BY95">
            <v>3.6456639475975221</v>
          </cell>
          <cell r="CC95">
            <v>1.7400000000000011</v>
          </cell>
          <cell r="CD95">
            <v>3.6456639475975221</v>
          </cell>
          <cell r="CH95">
            <v>1.7400000000000011</v>
          </cell>
          <cell r="CI95">
            <v>3.6456639475975221</v>
          </cell>
          <cell r="CM95">
            <v>1.7400000000000011</v>
          </cell>
          <cell r="CN95">
            <v>3.6456639475975221</v>
          </cell>
          <cell r="CR95">
            <v>1.7400000000000011</v>
          </cell>
          <cell r="CS95">
            <v>3.6456639475975221</v>
          </cell>
          <cell r="CW95">
            <v>1.7400000000000011</v>
          </cell>
          <cell r="CX95">
            <v>3.6456639475975221</v>
          </cell>
          <cell r="DB95">
            <v>1.7400000000000011</v>
          </cell>
          <cell r="DC95">
            <v>3.6456639475975221</v>
          </cell>
          <cell r="DG95">
            <v>1.7400000000000011</v>
          </cell>
          <cell r="DH95">
            <v>3.6456639475975221</v>
          </cell>
          <cell r="DL95">
            <v>1.7400000000000011</v>
          </cell>
          <cell r="DM95">
            <v>3.6456639475975221</v>
          </cell>
          <cell r="DQ95">
            <v>1.7400000000000011</v>
          </cell>
          <cell r="DR95">
            <v>3.6456639475975221</v>
          </cell>
          <cell r="DV95">
            <v>1.7400000000000011</v>
          </cell>
          <cell r="DW95">
            <v>3.6456639475975221</v>
          </cell>
          <cell r="EA95">
            <v>1.7400000000000011</v>
          </cell>
          <cell r="EB95">
            <v>3.6456639475975221</v>
          </cell>
          <cell r="EF95">
            <v>1.7400000000000011</v>
          </cell>
          <cell r="EG95">
            <v>3.6456639475975221</v>
          </cell>
          <cell r="EK95">
            <v>1.7400000000000011</v>
          </cell>
          <cell r="EL95">
            <v>3.6456639475975221</v>
          </cell>
          <cell r="EP95">
            <v>1.7400000000000011</v>
          </cell>
          <cell r="EQ95">
            <v>3.6456639475975221</v>
          </cell>
          <cell r="EU95">
            <v>1.7400000000000011</v>
          </cell>
          <cell r="EV95">
            <v>3.6456639475975221</v>
          </cell>
        </row>
        <row r="96">
          <cell r="U96">
            <v>1.7600000000000011</v>
          </cell>
          <cell r="V96">
            <v>3.5660947203032576</v>
          </cell>
          <cell r="Z96">
            <v>1.7600000000000011</v>
          </cell>
          <cell r="AA96">
            <v>3.5660947203032576</v>
          </cell>
          <cell r="AE96">
            <v>1.7600000000000011</v>
          </cell>
          <cell r="AF96">
            <v>3.5660947203032576</v>
          </cell>
          <cell r="AJ96">
            <v>1.7600000000000011</v>
          </cell>
          <cell r="AK96">
            <v>3.5660947203032576</v>
          </cell>
          <cell r="AO96">
            <v>1.7600000000000011</v>
          </cell>
          <cell r="AP96">
            <v>3.5660947203032576</v>
          </cell>
          <cell r="AT96">
            <v>1.7600000000000011</v>
          </cell>
          <cell r="AU96">
            <v>3.5660947203032576</v>
          </cell>
          <cell r="AY96">
            <v>1.7600000000000011</v>
          </cell>
          <cell r="AZ96">
            <v>3.5660947203032576</v>
          </cell>
          <cell r="BD96">
            <v>1.7600000000000011</v>
          </cell>
          <cell r="BE96">
            <v>3.5660947203032576</v>
          </cell>
          <cell r="BI96">
            <v>1.7600000000000011</v>
          </cell>
          <cell r="BJ96">
            <v>3.5660947203032576</v>
          </cell>
          <cell r="BN96">
            <v>1.7600000000000011</v>
          </cell>
          <cell r="BO96">
            <v>3.5660947203032576</v>
          </cell>
          <cell r="BS96">
            <v>1.7600000000000011</v>
          </cell>
          <cell r="BT96">
            <v>3.5660947203032576</v>
          </cell>
          <cell r="BX96">
            <v>1.7600000000000011</v>
          </cell>
          <cell r="BY96">
            <v>3.5660947203032576</v>
          </cell>
          <cell r="CC96">
            <v>1.7600000000000011</v>
          </cell>
          <cell r="CD96">
            <v>3.5660947203032576</v>
          </cell>
          <cell r="CH96">
            <v>1.7600000000000011</v>
          </cell>
          <cell r="CI96">
            <v>3.5660947203032576</v>
          </cell>
          <cell r="CM96">
            <v>1.7600000000000011</v>
          </cell>
          <cell r="CN96">
            <v>3.5660947203032576</v>
          </cell>
          <cell r="CR96">
            <v>1.7600000000000011</v>
          </cell>
          <cell r="CS96">
            <v>3.5660947203032576</v>
          </cell>
          <cell r="CW96">
            <v>1.7600000000000011</v>
          </cell>
          <cell r="CX96">
            <v>3.5660947203032576</v>
          </cell>
          <cell r="DB96">
            <v>1.7600000000000011</v>
          </cell>
          <cell r="DC96">
            <v>3.5660947203032576</v>
          </cell>
          <cell r="DG96">
            <v>1.7600000000000011</v>
          </cell>
          <cell r="DH96">
            <v>3.5660947203032576</v>
          </cell>
          <cell r="DL96">
            <v>1.7600000000000011</v>
          </cell>
          <cell r="DM96">
            <v>3.5660947203032576</v>
          </cell>
          <cell r="DQ96">
            <v>1.7600000000000011</v>
          </cell>
          <cell r="DR96">
            <v>3.5660947203032576</v>
          </cell>
          <cell r="DV96">
            <v>1.7600000000000011</v>
          </cell>
          <cell r="DW96">
            <v>3.5660947203032576</v>
          </cell>
          <cell r="EA96">
            <v>1.7600000000000011</v>
          </cell>
          <cell r="EB96">
            <v>3.5660947203032576</v>
          </cell>
          <cell r="EF96">
            <v>1.7600000000000011</v>
          </cell>
          <cell r="EG96">
            <v>3.5660947203032576</v>
          </cell>
          <cell r="EK96">
            <v>1.7600000000000011</v>
          </cell>
          <cell r="EL96">
            <v>3.5660947203032576</v>
          </cell>
          <cell r="EP96">
            <v>1.7600000000000011</v>
          </cell>
          <cell r="EQ96">
            <v>3.5660947203032576</v>
          </cell>
          <cell r="EU96">
            <v>1.7600000000000011</v>
          </cell>
          <cell r="EV96">
            <v>3.5660947203032576</v>
          </cell>
        </row>
        <row r="97">
          <cell r="U97">
            <v>1.7800000000000011</v>
          </cell>
          <cell r="V97">
            <v>3.4838169802811434</v>
          </cell>
          <cell r="Z97">
            <v>1.7800000000000011</v>
          </cell>
          <cell r="AA97">
            <v>3.4838169802811434</v>
          </cell>
          <cell r="AE97">
            <v>1.7800000000000011</v>
          </cell>
          <cell r="AF97">
            <v>3.4838169802811434</v>
          </cell>
          <cell r="AJ97">
            <v>1.7800000000000011</v>
          </cell>
          <cell r="AK97">
            <v>3.4838169802811434</v>
          </cell>
          <cell r="AO97">
            <v>1.7800000000000011</v>
          </cell>
          <cell r="AP97">
            <v>3.4838169802811434</v>
          </cell>
          <cell r="AT97">
            <v>1.7800000000000011</v>
          </cell>
          <cell r="AU97">
            <v>3.4838169802811434</v>
          </cell>
          <cell r="AY97">
            <v>1.7800000000000011</v>
          </cell>
          <cell r="AZ97">
            <v>3.4838169802811434</v>
          </cell>
          <cell r="BD97">
            <v>1.7800000000000011</v>
          </cell>
          <cell r="BE97">
            <v>3.4838169802811434</v>
          </cell>
          <cell r="BI97">
            <v>1.7800000000000011</v>
          </cell>
          <cell r="BJ97">
            <v>3.4838169802811434</v>
          </cell>
          <cell r="BN97">
            <v>1.7800000000000011</v>
          </cell>
          <cell r="BO97">
            <v>3.4838169802811434</v>
          </cell>
          <cell r="BS97">
            <v>1.7800000000000011</v>
          </cell>
          <cell r="BT97">
            <v>3.4838169802811434</v>
          </cell>
          <cell r="BX97">
            <v>1.7800000000000011</v>
          </cell>
          <cell r="BY97">
            <v>3.4838169802811434</v>
          </cell>
          <cell r="CC97">
            <v>1.7800000000000011</v>
          </cell>
          <cell r="CD97">
            <v>3.4838169802811434</v>
          </cell>
          <cell r="CH97">
            <v>1.7800000000000011</v>
          </cell>
          <cell r="CI97">
            <v>3.4838169802811434</v>
          </cell>
          <cell r="CM97">
            <v>1.7800000000000011</v>
          </cell>
          <cell r="CN97">
            <v>3.4838169802811434</v>
          </cell>
          <cell r="CR97">
            <v>1.7800000000000011</v>
          </cell>
          <cell r="CS97">
            <v>3.4838169802811434</v>
          </cell>
          <cell r="CW97">
            <v>1.7800000000000011</v>
          </cell>
          <cell r="CX97">
            <v>3.4838169802811434</v>
          </cell>
          <cell r="DB97">
            <v>1.7800000000000011</v>
          </cell>
          <cell r="DC97">
            <v>3.4838169802811434</v>
          </cell>
          <cell r="DG97">
            <v>1.7800000000000011</v>
          </cell>
          <cell r="DH97">
            <v>3.4838169802811434</v>
          </cell>
          <cell r="DL97">
            <v>1.7800000000000011</v>
          </cell>
          <cell r="DM97">
            <v>3.4838169802811434</v>
          </cell>
          <cell r="DQ97">
            <v>1.7800000000000011</v>
          </cell>
          <cell r="DR97">
            <v>3.4838169802811434</v>
          </cell>
          <cell r="DV97">
            <v>1.7800000000000011</v>
          </cell>
          <cell r="DW97">
            <v>3.4838169802811434</v>
          </cell>
          <cell r="EA97">
            <v>1.7800000000000011</v>
          </cell>
          <cell r="EB97">
            <v>3.4838169802811434</v>
          </cell>
          <cell r="EF97">
            <v>1.7800000000000011</v>
          </cell>
          <cell r="EG97">
            <v>3.4838169802811434</v>
          </cell>
          <cell r="EK97">
            <v>1.7800000000000011</v>
          </cell>
          <cell r="EL97">
            <v>3.4838169802811434</v>
          </cell>
          <cell r="EP97">
            <v>1.7800000000000011</v>
          </cell>
          <cell r="EQ97">
            <v>3.4838169802811434</v>
          </cell>
          <cell r="EU97">
            <v>1.7800000000000011</v>
          </cell>
          <cell r="EV97">
            <v>3.4838169802811434</v>
          </cell>
        </row>
        <row r="98">
          <cell r="U98">
            <v>1.8000000000000012</v>
          </cell>
          <cell r="V98">
            <v>3.3988307275311831</v>
          </cell>
          <cell r="Z98">
            <v>1.8000000000000012</v>
          </cell>
          <cell r="AA98">
            <v>3.3988307275311831</v>
          </cell>
          <cell r="AE98">
            <v>1.8000000000000012</v>
          </cell>
          <cell r="AF98">
            <v>3.3988307275311831</v>
          </cell>
          <cell r="AJ98">
            <v>1.8000000000000012</v>
          </cell>
          <cell r="AK98">
            <v>3.3988307275311831</v>
          </cell>
          <cell r="AO98">
            <v>1.8000000000000012</v>
          </cell>
          <cell r="AP98">
            <v>3.3988307275311831</v>
          </cell>
          <cell r="AT98">
            <v>1.8000000000000012</v>
          </cell>
          <cell r="AU98">
            <v>3.3988307275311831</v>
          </cell>
          <cell r="AY98">
            <v>1.8000000000000012</v>
          </cell>
          <cell r="AZ98">
            <v>3.3988307275311831</v>
          </cell>
          <cell r="BD98">
            <v>1.8000000000000012</v>
          </cell>
          <cell r="BE98">
            <v>3.3988307275311831</v>
          </cell>
          <cell r="BI98">
            <v>1.8000000000000012</v>
          </cell>
          <cell r="BJ98">
            <v>3.3988307275311831</v>
          </cell>
          <cell r="BN98">
            <v>1.8000000000000012</v>
          </cell>
          <cell r="BO98">
            <v>3.3988307275311831</v>
          </cell>
          <cell r="BS98">
            <v>1.8000000000000012</v>
          </cell>
          <cell r="BT98">
            <v>3.3988307275311831</v>
          </cell>
          <cell r="BX98">
            <v>1.8000000000000012</v>
          </cell>
          <cell r="BY98">
            <v>3.3988307275311831</v>
          </cell>
          <cell r="CC98">
            <v>1.8000000000000012</v>
          </cell>
          <cell r="CD98">
            <v>3.3988307275311831</v>
          </cell>
          <cell r="CH98">
            <v>1.8000000000000012</v>
          </cell>
          <cell r="CI98">
            <v>3.3988307275311831</v>
          </cell>
          <cell r="CM98">
            <v>1.8000000000000012</v>
          </cell>
          <cell r="CN98">
            <v>3.3988307275311831</v>
          </cell>
          <cell r="CR98">
            <v>1.8000000000000012</v>
          </cell>
          <cell r="CS98">
            <v>3.3988307275311831</v>
          </cell>
          <cell r="CW98">
            <v>1.8000000000000012</v>
          </cell>
          <cell r="CX98">
            <v>3.3988307275311831</v>
          </cell>
          <cell r="DB98">
            <v>1.8000000000000012</v>
          </cell>
          <cell r="DC98">
            <v>3.3988307275311831</v>
          </cell>
          <cell r="DG98">
            <v>1.8000000000000012</v>
          </cell>
          <cell r="DH98">
            <v>3.3988307275311831</v>
          </cell>
          <cell r="DL98">
            <v>1.8000000000000012</v>
          </cell>
          <cell r="DM98">
            <v>3.3988307275311831</v>
          </cell>
          <cell r="DQ98">
            <v>1.8000000000000012</v>
          </cell>
          <cell r="DR98">
            <v>3.3988307275311831</v>
          </cell>
          <cell r="DV98">
            <v>1.8000000000000012</v>
          </cell>
          <cell r="DW98">
            <v>3.3988307275311831</v>
          </cell>
          <cell r="EA98">
            <v>1.8000000000000012</v>
          </cell>
          <cell r="EB98">
            <v>3.3988307275311831</v>
          </cell>
          <cell r="EF98">
            <v>1.8000000000000012</v>
          </cell>
          <cell r="EG98">
            <v>3.3988307275311831</v>
          </cell>
          <cell r="EK98">
            <v>1.8000000000000012</v>
          </cell>
          <cell r="EL98">
            <v>3.3988307275311831</v>
          </cell>
          <cell r="EP98">
            <v>1.8000000000000012</v>
          </cell>
          <cell r="EQ98">
            <v>3.3988307275311831</v>
          </cell>
          <cell r="EU98">
            <v>1.8000000000000012</v>
          </cell>
          <cell r="EV98">
            <v>3.3988307275311831</v>
          </cell>
        </row>
        <row r="99">
          <cell r="U99">
            <v>1.8200000000000012</v>
          </cell>
          <cell r="V99">
            <v>3.3111359620533767</v>
          </cell>
          <cell r="Z99">
            <v>1.8200000000000012</v>
          </cell>
          <cell r="AA99">
            <v>3.3111359620533767</v>
          </cell>
          <cell r="AE99">
            <v>1.8200000000000012</v>
          </cell>
          <cell r="AF99">
            <v>3.3111359620533767</v>
          </cell>
          <cell r="AJ99">
            <v>1.8200000000000012</v>
          </cell>
          <cell r="AK99">
            <v>3.3111359620533767</v>
          </cell>
          <cell r="AO99">
            <v>1.8200000000000012</v>
          </cell>
          <cell r="AP99">
            <v>3.3111359620533767</v>
          </cell>
          <cell r="AT99">
            <v>1.8200000000000012</v>
          </cell>
          <cell r="AU99">
            <v>3.3111359620533767</v>
          </cell>
          <cell r="AY99">
            <v>1.8200000000000012</v>
          </cell>
          <cell r="AZ99">
            <v>3.3111359620533767</v>
          </cell>
          <cell r="BD99">
            <v>1.8200000000000012</v>
          </cell>
          <cell r="BE99">
            <v>3.3111359620533767</v>
          </cell>
          <cell r="BI99">
            <v>1.8200000000000012</v>
          </cell>
          <cell r="BJ99">
            <v>3.3111359620533767</v>
          </cell>
          <cell r="BN99">
            <v>1.8200000000000012</v>
          </cell>
          <cell r="BO99">
            <v>3.3111359620533767</v>
          </cell>
          <cell r="BS99">
            <v>1.8200000000000012</v>
          </cell>
          <cell r="BT99">
            <v>3.3111359620533767</v>
          </cell>
          <cell r="BX99">
            <v>1.8200000000000012</v>
          </cell>
          <cell r="BY99">
            <v>3.3111359620533767</v>
          </cell>
          <cell r="CC99">
            <v>1.8200000000000012</v>
          </cell>
          <cell r="CD99">
            <v>3.3111359620533767</v>
          </cell>
          <cell r="CH99">
            <v>1.8200000000000012</v>
          </cell>
          <cell r="CI99">
            <v>3.3111359620533767</v>
          </cell>
          <cell r="CM99">
            <v>1.8200000000000012</v>
          </cell>
          <cell r="CN99">
            <v>3.3111359620533767</v>
          </cell>
          <cell r="CR99">
            <v>1.8200000000000012</v>
          </cell>
          <cell r="CS99">
            <v>3.3111359620533767</v>
          </cell>
          <cell r="CW99">
            <v>1.8200000000000012</v>
          </cell>
          <cell r="CX99">
            <v>3.3111359620533767</v>
          </cell>
          <cell r="DB99">
            <v>1.8200000000000012</v>
          </cell>
          <cell r="DC99">
            <v>3.3111359620533767</v>
          </cell>
          <cell r="DG99">
            <v>1.8200000000000012</v>
          </cell>
          <cell r="DH99">
            <v>3.3111359620533767</v>
          </cell>
          <cell r="DL99">
            <v>1.8200000000000012</v>
          </cell>
          <cell r="DM99">
            <v>3.3111359620533767</v>
          </cell>
          <cell r="DQ99">
            <v>1.8200000000000012</v>
          </cell>
          <cell r="DR99">
            <v>3.3111359620533767</v>
          </cell>
          <cell r="DV99">
            <v>1.8200000000000012</v>
          </cell>
          <cell r="DW99">
            <v>3.3111359620533767</v>
          </cell>
          <cell r="EA99">
            <v>1.8200000000000012</v>
          </cell>
          <cell r="EB99">
            <v>3.3111359620533767</v>
          </cell>
          <cell r="EF99">
            <v>1.8200000000000012</v>
          </cell>
          <cell r="EG99">
            <v>3.3111359620533767</v>
          </cell>
          <cell r="EK99">
            <v>1.8200000000000012</v>
          </cell>
          <cell r="EL99">
            <v>3.3111359620533767</v>
          </cell>
          <cell r="EP99">
            <v>1.8200000000000012</v>
          </cell>
          <cell r="EQ99">
            <v>3.3111359620533767</v>
          </cell>
          <cell r="EU99">
            <v>1.8200000000000012</v>
          </cell>
          <cell r="EV99">
            <v>3.3111359620533767</v>
          </cell>
        </row>
        <row r="100">
          <cell r="U100">
            <v>1.8400000000000012</v>
          </cell>
          <cell r="V100">
            <v>3.2207326838477224</v>
          </cell>
          <cell r="Z100">
            <v>1.8400000000000012</v>
          </cell>
          <cell r="AA100">
            <v>3.2207326838477224</v>
          </cell>
          <cell r="AE100">
            <v>1.8400000000000012</v>
          </cell>
          <cell r="AF100">
            <v>3.2207326838477224</v>
          </cell>
          <cell r="AJ100">
            <v>1.8400000000000012</v>
          </cell>
          <cell r="AK100">
            <v>3.2207326838477224</v>
          </cell>
          <cell r="AO100">
            <v>1.8400000000000012</v>
          </cell>
          <cell r="AP100">
            <v>3.2207326838477224</v>
          </cell>
          <cell r="AT100">
            <v>1.8400000000000012</v>
          </cell>
          <cell r="AU100">
            <v>3.2207326838477224</v>
          </cell>
          <cell r="AY100">
            <v>1.8400000000000012</v>
          </cell>
          <cell r="AZ100">
            <v>3.2207326838477224</v>
          </cell>
          <cell r="BD100">
            <v>1.8400000000000012</v>
          </cell>
          <cell r="BE100">
            <v>3.2207326838477224</v>
          </cell>
          <cell r="BI100">
            <v>1.8400000000000012</v>
          </cell>
          <cell r="BJ100">
            <v>3.2207326838477224</v>
          </cell>
          <cell r="BN100">
            <v>1.8400000000000012</v>
          </cell>
          <cell r="BO100">
            <v>3.2207326838477224</v>
          </cell>
          <cell r="BS100">
            <v>1.8400000000000012</v>
          </cell>
          <cell r="BT100">
            <v>3.2207326838477224</v>
          </cell>
          <cell r="BX100">
            <v>1.8400000000000012</v>
          </cell>
          <cell r="BY100">
            <v>3.2207326838477224</v>
          </cell>
          <cell r="CC100">
            <v>1.8400000000000012</v>
          </cell>
          <cell r="CD100">
            <v>3.2207326838477224</v>
          </cell>
          <cell r="CH100">
            <v>1.8400000000000012</v>
          </cell>
          <cell r="CI100">
            <v>3.2207326838477224</v>
          </cell>
          <cell r="CM100">
            <v>1.8400000000000012</v>
          </cell>
          <cell r="CN100">
            <v>3.2207326838477224</v>
          </cell>
          <cell r="CR100">
            <v>1.8400000000000012</v>
          </cell>
          <cell r="CS100">
            <v>3.2207326838477224</v>
          </cell>
          <cell r="CW100">
            <v>1.8400000000000012</v>
          </cell>
          <cell r="CX100">
            <v>3.2207326838477224</v>
          </cell>
          <cell r="DB100">
            <v>1.8400000000000012</v>
          </cell>
          <cell r="DC100">
            <v>3.2207326838477224</v>
          </cell>
          <cell r="DG100">
            <v>1.8400000000000012</v>
          </cell>
          <cell r="DH100">
            <v>3.2207326838477224</v>
          </cell>
          <cell r="DL100">
            <v>1.8400000000000012</v>
          </cell>
          <cell r="DM100">
            <v>3.2207326838477224</v>
          </cell>
          <cell r="DQ100">
            <v>1.8400000000000012</v>
          </cell>
          <cell r="DR100">
            <v>3.2207326838477224</v>
          </cell>
          <cell r="DV100">
            <v>1.8400000000000012</v>
          </cell>
          <cell r="DW100">
            <v>3.2207326838477224</v>
          </cell>
          <cell r="EA100">
            <v>1.8400000000000012</v>
          </cell>
          <cell r="EB100">
            <v>3.2207326838477224</v>
          </cell>
          <cell r="EF100">
            <v>1.8400000000000012</v>
          </cell>
          <cell r="EG100">
            <v>3.2207326838477224</v>
          </cell>
          <cell r="EK100">
            <v>1.8400000000000012</v>
          </cell>
          <cell r="EL100">
            <v>3.2207326838477224</v>
          </cell>
          <cell r="EP100">
            <v>1.8400000000000012</v>
          </cell>
          <cell r="EQ100">
            <v>3.2207326838477224</v>
          </cell>
          <cell r="EU100">
            <v>1.8400000000000012</v>
          </cell>
          <cell r="EV100">
            <v>3.2207326838477224</v>
          </cell>
        </row>
        <row r="101">
          <cell r="U101">
            <v>1.8600000000000012</v>
          </cell>
          <cell r="V101">
            <v>3.1276208929142202</v>
          </cell>
          <cell r="Z101">
            <v>1.8600000000000012</v>
          </cell>
          <cell r="AA101">
            <v>3.1276208929142202</v>
          </cell>
          <cell r="AE101">
            <v>1.8600000000000012</v>
          </cell>
          <cell r="AF101">
            <v>3.1276208929142202</v>
          </cell>
          <cell r="AJ101">
            <v>1.8600000000000012</v>
          </cell>
          <cell r="AK101">
            <v>3.1276208929142202</v>
          </cell>
          <cell r="AO101">
            <v>1.8600000000000012</v>
          </cell>
          <cell r="AP101">
            <v>3.1276208929142202</v>
          </cell>
          <cell r="AT101">
            <v>1.8600000000000012</v>
          </cell>
          <cell r="AU101">
            <v>3.1276208929142202</v>
          </cell>
          <cell r="AY101">
            <v>1.8600000000000012</v>
          </cell>
          <cell r="AZ101">
            <v>3.1276208929142202</v>
          </cell>
          <cell r="BD101">
            <v>1.8600000000000012</v>
          </cell>
          <cell r="BE101">
            <v>3.1276208929142202</v>
          </cell>
          <cell r="BI101">
            <v>1.8600000000000012</v>
          </cell>
          <cell r="BJ101">
            <v>3.1276208929142202</v>
          </cell>
          <cell r="BN101">
            <v>1.8600000000000012</v>
          </cell>
          <cell r="BO101">
            <v>3.1276208929142202</v>
          </cell>
          <cell r="BS101">
            <v>1.8600000000000012</v>
          </cell>
          <cell r="BT101">
            <v>3.1276208929142202</v>
          </cell>
          <cell r="BX101">
            <v>1.8600000000000012</v>
          </cell>
          <cell r="BY101">
            <v>3.1276208929142202</v>
          </cell>
          <cell r="CC101">
            <v>1.8600000000000012</v>
          </cell>
          <cell r="CD101">
            <v>3.1276208929142202</v>
          </cell>
          <cell r="CH101">
            <v>1.8600000000000012</v>
          </cell>
          <cell r="CI101">
            <v>3.1276208929142202</v>
          </cell>
          <cell r="CM101">
            <v>1.8600000000000012</v>
          </cell>
          <cell r="CN101">
            <v>3.1276208929142202</v>
          </cell>
          <cell r="CR101">
            <v>1.8600000000000012</v>
          </cell>
          <cell r="CS101">
            <v>3.1276208929142202</v>
          </cell>
          <cell r="CW101">
            <v>1.8600000000000012</v>
          </cell>
          <cell r="CX101">
            <v>3.1276208929142202</v>
          </cell>
          <cell r="DB101">
            <v>1.8600000000000012</v>
          </cell>
          <cell r="DC101">
            <v>3.1276208929142202</v>
          </cell>
          <cell r="DG101">
            <v>1.8600000000000012</v>
          </cell>
          <cell r="DH101">
            <v>3.1276208929142202</v>
          </cell>
          <cell r="DL101">
            <v>1.8600000000000012</v>
          </cell>
          <cell r="DM101">
            <v>3.1276208929142202</v>
          </cell>
          <cell r="DQ101">
            <v>1.8600000000000012</v>
          </cell>
          <cell r="DR101">
            <v>3.1276208929142202</v>
          </cell>
          <cell r="DV101">
            <v>1.8600000000000012</v>
          </cell>
          <cell r="DW101">
            <v>3.1276208929142202</v>
          </cell>
          <cell r="EA101">
            <v>1.8600000000000012</v>
          </cell>
          <cell r="EB101">
            <v>3.1276208929142202</v>
          </cell>
          <cell r="EF101">
            <v>1.8600000000000012</v>
          </cell>
          <cell r="EG101">
            <v>3.1276208929142202</v>
          </cell>
          <cell r="EK101">
            <v>1.8600000000000012</v>
          </cell>
          <cell r="EL101">
            <v>3.1276208929142202</v>
          </cell>
          <cell r="EP101">
            <v>1.8600000000000012</v>
          </cell>
          <cell r="EQ101">
            <v>3.1276208929142202</v>
          </cell>
          <cell r="EU101">
            <v>1.8600000000000012</v>
          </cell>
          <cell r="EV101">
            <v>3.1276208929142202</v>
          </cell>
        </row>
        <row r="102">
          <cell r="U102">
            <v>1.8800000000000012</v>
          </cell>
          <cell r="V102">
            <v>3.0318005892528701</v>
          </cell>
          <cell r="Z102">
            <v>1.8800000000000012</v>
          </cell>
          <cell r="AA102">
            <v>3.0318005892528701</v>
          </cell>
          <cell r="AE102">
            <v>1.8800000000000012</v>
          </cell>
          <cell r="AF102">
            <v>3.0318005892528701</v>
          </cell>
          <cell r="AJ102">
            <v>1.8800000000000012</v>
          </cell>
          <cell r="AK102">
            <v>3.0318005892528701</v>
          </cell>
          <cell r="AO102">
            <v>1.8800000000000012</v>
          </cell>
          <cell r="AP102">
            <v>3.0318005892528701</v>
          </cell>
          <cell r="AT102">
            <v>1.8800000000000012</v>
          </cell>
          <cell r="AU102">
            <v>3.0318005892528701</v>
          </cell>
          <cell r="AY102">
            <v>1.8800000000000012</v>
          </cell>
          <cell r="AZ102">
            <v>3.0318005892528701</v>
          </cell>
          <cell r="BD102">
            <v>1.8800000000000012</v>
          </cell>
          <cell r="BE102">
            <v>3.0318005892528701</v>
          </cell>
          <cell r="BI102">
            <v>1.8800000000000012</v>
          </cell>
          <cell r="BJ102">
            <v>3.0318005892528701</v>
          </cell>
          <cell r="BN102">
            <v>1.8800000000000012</v>
          </cell>
          <cell r="BO102">
            <v>3.0318005892528701</v>
          </cell>
          <cell r="BS102">
            <v>1.8800000000000012</v>
          </cell>
          <cell r="BT102">
            <v>3.0318005892528701</v>
          </cell>
          <cell r="BX102">
            <v>1.8800000000000012</v>
          </cell>
          <cell r="BY102">
            <v>3.0318005892528701</v>
          </cell>
          <cell r="CC102">
            <v>1.8800000000000012</v>
          </cell>
          <cell r="CD102">
            <v>3.0318005892528701</v>
          </cell>
          <cell r="CH102">
            <v>1.8800000000000012</v>
          </cell>
          <cell r="CI102">
            <v>3.0318005892528701</v>
          </cell>
          <cell r="CM102">
            <v>1.8800000000000012</v>
          </cell>
          <cell r="CN102">
            <v>3.0318005892528701</v>
          </cell>
          <cell r="CR102">
            <v>1.8800000000000012</v>
          </cell>
          <cell r="CS102">
            <v>3.0318005892528701</v>
          </cell>
          <cell r="CW102">
            <v>1.8800000000000012</v>
          </cell>
          <cell r="CX102">
            <v>3.0318005892528701</v>
          </cell>
          <cell r="DB102">
            <v>1.8800000000000012</v>
          </cell>
          <cell r="DC102">
            <v>3.0318005892528701</v>
          </cell>
          <cell r="DG102">
            <v>1.8800000000000012</v>
          </cell>
          <cell r="DH102">
            <v>3.0318005892528701</v>
          </cell>
          <cell r="DL102">
            <v>1.8800000000000012</v>
          </cell>
          <cell r="DM102">
            <v>3.0318005892528701</v>
          </cell>
          <cell r="DQ102">
            <v>1.8800000000000012</v>
          </cell>
          <cell r="DR102">
            <v>3.0318005892528701</v>
          </cell>
          <cell r="DV102">
            <v>1.8800000000000012</v>
          </cell>
          <cell r="DW102">
            <v>3.0318005892528701</v>
          </cell>
          <cell r="EA102">
            <v>1.8800000000000012</v>
          </cell>
          <cell r="EB102">
            <v>3.0318005892528701</v>
          </cell>
          <cell r="EF102">
            <v>1.8800000000000012</v>
          </cell>
          <cell r="EG102">
            <v>3.0318005892528701</v>
          </cell>
          <cell r="EK102">
            <v>1.8800000000000012</v>
          </cell>
          <cell r="EL102">
            <v>3.0318005892528701</v>
          </cell>
          <cell r="EP102">
            <v>1.8800000000000012</v>
          </cell>
          <cell r="EQ102">
            <v>3.0318005892528701</v>
          </cell>
          <cell r="EU102">
            <v>1.8800000000000012</v>
          </cell>
          <cell r="EV102">
            <v>3.0318005892528701</v>
          </cell>
        </row>
        <row r="103">
          <cell r="U103">
            <v>1.9000000000000012</v>
          </cell>
          <cell r="V103">
            <v>2.9332717728636775</v>
          </cell>
          <cell r="Z103">
            <v>1.9000000000000012</v>
          </cell>
          <cell r="AA103">
            <v>2.9332717728636775</v>
          </cell>
          <cell r="AE103">
            <v>1.9000000000000012</v>
          </cell>
          <cell r="AF103">
            <v>2.9332717728636775</v>
          </cell>
          <cell r="AJ103">
            <v>1.9000000000000012</v>
          </cell>
          <cell r="AK103">
            <v>2.9332717728636775</v>
          </cell>
          <cell r="AO103">
            <v>1.9000000000000012</v>
          </cell>
          <cell r="AP103">
            <v>2.9332717728636775</v>
          </cell>
          <cell r="AT103">
            <v>1.9000000000000012</v>
          </cell>
          <cell r="AU103">
            <v>2.9332717728636775</v>
          </cell>
          <cell r="AY103">
            <v>1.9000000000000012</v>
          </cell>
          <cell r="AZ103">
            <v>2.9332717728636775</v>
          </cell>
          <cell r="BD103">
            <v>1.9000000000000012</v>
          </cell>
          <cell r="BE103">
            <v>2.9332717728636775</v>
          </cell>
          <cell r="BI103">
            <v>1.9000000000000012</v>
          </cell>
          <cell r="BJ103">
            <v>2.9332717728636775</v>
          </cell>
          <cell r="BN103">
            <v>1.9000000000000012</v>
          </cell>
          <cell r="BO103">
            <v>2.9332717728636775</v>
          </cell>
          <cell r="BS103">
            <v>1.9000000000000012</v>
          </cell>
          <cell r="BT103">
            <v>2.9332717728636775</v>
          </cell>
          <cell r="BX103">
            <v>1.9000000000000012</v>
          </cell>
          <cell r="BY103">
            <v>2.9332717728636775</v>
          </cell>
          <cell r="CC103">
            <v>1.9000000000000012</v>
          </cell>
          <cell r="CD103">
            <v>2.9332717728636775</v>
          </cell>
          <cell r="CH103">
            <v>1.9000000000000012</v>
          </cell>
          <cell r="CI103">
            <v>2.9332717728636775</v>
          </cell>
          <cell r="CM103">
            <v>1.9000000000000012</v>
          </cell>
          <cell r="CN103">
            <v>2.9332717728636775</v>
          </cell>
          <cell r="CR103">
            <v>1.9000000000000012</v>
          </cell>
          <cell r="CS103">
            <v>2.9332717728636775</v>
          </cell>
          <cell r="CW103">
            <v>1.9000000000000012</v>
          </cell>
          <cell r="CX103">
            <v>2.9332717728636775</v>
          </cell>
          <cell r="DB103">
            <v>1.9000000000000012</v>
          </cell>
          <cell r="DC103">
            <v>2.9332717728636775</v>
          </cell>
          <cell r="DG103">
            <v>1.9000000000000012</v>
          </cell>
          <cell r="DH103">
            <v>2.9332717728636775</v>
          </cell>
          <cell r="DL103">
            <v>1.9000000000000012</v>
          </cell>
          <cell r="DM103">
            <v>2.9332717728636775</v>
          </cell>
          <cell r="DQ103">
            <v>1.9000000000000012</v>
          </cell>
          <cell r="DR103">
            <v>2.9332717728636775</v>
          </cell>
          <cell r="DV103">
            <v>1.9000000000000012</v>
          </cell>
          <cell r="DW103">
            <v>2.9332717728636775</v>
          </cell>
          <cell r="EA103">
            <v>1.9000000000000012</v>
          </cell>
          <cell r="EB103">
            <v>2.9332717728636775</v>
          </cell>
          <cell r="EF103">
            <v>1.9000000000000012</v>
          </cell>
          <cell r="EG103">
            <v>2.9332717728636775</v>
          </cell>
          <cell r="EK103">
            <v>1.9000000000000012</v>
          </cell>
          <cell r="EL103">
            <v>2.9332717728636775</v>
          </cell>
          <cell r="EP103">
            <v>1.9000000000000012</v>
          </cell>
          <cell r="EQ103">
            <v>2.9332717728636775</v>
          </cell>
          <cell r="EU103">
            <v>1.9000000000000012</v>
          </cell>
          <cell r="EV103">
            <v>2.9332717728636775</v>
          </cell>
        </row>
        <row r="104">
          <cell r="U104">
            <v>1.9200000000000013</v>
          </cell>
          <cell r="V104">
            <v>2.8320344437466334</v>
          </cell>
          <cell r="Z104">
            <v>1.9200000000000013</v>
          </cell>
          <cell r="AA104">
            <v>2.8320344437466334</v>
          </cell>
          <cell r="AE104">
            <v>1.9200000000000013</v>
          </cell>
          <cell r="AF104">
            <v>2.8320344437466334</v>
          </cell>
          <cell r="AJ104">
            <v>1.9200000000000013</v>
          </cell>
          <cell r="AK104">
            <v>2.8320344437466334</v>
          </cell>
          <cell r="AO104">
            <v>1.9200000000000013</v>
          </cell>
          <cell r="AP104">
            <v>2.8320344437466334</v>
          </cell>
          <cell r="AT104">
            <v>1.9200000000000013</v>
          </cell>
          <cell r="AU104">
            <v>2.8320344437466334</v>
          </cell>
          <cell r="AY104">
            <v>1.9200000000000013</v>
          </cell>
          <cell r="AZ104">
            <v>2.8320344437466334</v>
          </cell>
          <cell r="BD104">
            <v>1.9200000000000013</v>
          </cell>
          <cell r="BE104">
            <v>2.8320344437466334</v>
          </cell>
          <cell r="BI104">
            <v>1.9200000000000013</v>
          </cell>
          <cell r="BJ104">
            <v>2.8320344437466334</v>
          </cell>
          <cell r="BN104">
            <v>1.9200000000000013</v>
          </cell>
          <cell r="BO104">
            <v>2.8320344437466334</v>
          </cell>
          <cell r="BS104">
            <v>1.9200000000000013</v>
          </cell>
          <cell r="BT104">
            <v>2.8320344437466334</v>
          </cell>
          <cell r="BX104">
            <v>1.9200000000000013</v>
          </cell>
          <cell r="BY104">
            <v>2.8320344437466334</v>
          </cell>
          <cell r="CC104">
            <v>1.9200000000000013</v>
          </cell>
          <cell r="CD104">
            <v>2.8320344437466334</v>
          </cell>
          <cell r="CH104">
            <v>1.9200000000000013</v>
          </cell>
          <cell r="CI104">
            <v>2.8320344437466334</v>
          </cell>
          <cell r="CM104">
            <v>1.9200000000000013</v>
          </cell>
          <cell r="CN104">
            <v>2.8320344437466334</v>
          </cell>
          <cell r="CR104">
            <v>1.9200000000000013</v>
          </cell>
          <cell r="CS104">
            <v>2.8320344437466334</v>
          </cell>
          <cell r="CW104">
            <v>1.9200000000000013</v>
          </cell>
          <cell r="CX104">
            <v>2.8320344437466334</v>
          </cell>
          <cell r="DB104">
            <v>1.9200000000000013</v>
          </cell>
          <cell r="DC104">
            <v>2.8320344437466334</v>
          </cell>
          <cell r="DG104">
            <v>1.9200000000000013</v>
          </cell>
          <cell r="DH104">
            <v>2.8320344437466334</v>
          </cell>
          <cell r="DL104">
            <v>1.9200000000000013</v>
          </cell>
          <cell r="DM104">
            <v>2.8320344437466334</v>
          </cell>
          <cell r="DQ104">
            <v>1.9200000000000013</v>
          </cell>
          <cell r="DR104">
            <v>2.8320344437466334</v>
          </cell>
          <cell r="DV104">
            <v>1.9200000000000013</v>
          </cell>
          <cell r="DW104">
            <v>2.8320344437466334</v>
          </cell>
          <cell r="EA104">
            <v>1.9200000000000013</v>
          </cell>
          <cell r="EB104">
            <v>2.8320344437466334</v>
          </cell>
          <cell r="EF104">
            <v>1.9200000000000013</v>
          </cell>
          <cell r="EG104">
            <v>2.8320344437466334</v>
          </cell>
          <cell r="EK104">
            <v>1.9200000000000013</v>
          </cell>
          <cell r="EL104">
            <v>2.8320344437466334</v>
          </cell>
          <cell r="EP104">
            <v>1.9200000000000013</v>
          </cell>
          <cell r="EQ104">
            <v>2.8320344437466334</v>
          </cell>
          <cell r="EU104">
            <v>1.9200000000000013</v>
          </cell>
          <cell r="EV104">
            <v>2.8320344437466334</v>
          </cell>
        </row>
        <row r="105">
          <cell r="U105">
            <v>1.9400000000000013</v>
          </cell>
          <cell r="V105">
            <v>2.728088601901745</v>
          </cell>
          <cell r="Z105">
            <v>1.9400000000000013</v>
          </cell>
          <cell r="AA105">
            <v>2.728088601901745</v>
          </cell>
          <cell r="AE105">
            <v>1.9400000000000013</v>
          </cell>
          <cell r="AF105">
            <v>2.728088601901745</v>
          </cell>
          <cell r="AJ105">
            <v>1.9400000000000013</v>
          </cell>
          <cell r="AK105">
            <v>2.728088601901745</v>
          </cell>
          <cell r="AO105">
            <v>1.9400000000000013</v>
          </cell>
          <cell r="AP105">
            <v>2.728088601901745</v>
          </cell>
          <cell r="AT105">
            <v>1.9400000000000013</v>
          </cell>
          <cell r="AU105">
            <v>2.728088601901745</v>
          </cell>
          <cell r="AY105">
            <v>1.9400000000000013</v>
          </cell>
          <cell r="AZ105">
            <v>2.728088601901745</v>
          </cell>
          <cell r="BD105">
            <v>1.9400000000000013</v>
          </cell>
          <cell r="BE105">
            <v>2.728088601901745</v>
          </cell>
          <cell r="BI105">
            <v>1.9400000000000013</v>
          </cell>
          <cell r="BJ105">
            <v>2.728088601901745</v>
          </cell>
          <cell r="BN105">
            <v>1.9400000000000013</v>
          </cell>
          <cell r="BO105">
            <v>2.728088601901745</v>
          </cell>
          <cell r="BS105">
            <v>1.9400000000000013</v>
          </cell>
          <cell r="BT105">
            <v>2.728088601901745</v>
          </cell>
          <cell r="BX105">
            <v>1.9400000000000013</v>
          </cell>
          <cell r="BY105">
            <v>2.728088601901745</v>
          </cell>
          <cell r="CC105">
            <v>1.9400000000000013</v>
          </cell>
          <cell r="CD105">
            <v>2.728088601901745</v>
          </cell>
          <cell r="CH105">
            <v>1.9400000000000013</v>
          </cell>
          <cell r="CI105">
            <v>2.728088601901745</v>
          </cell>
          <cell r="CM105">
            <v>1.9400000000000013</v>
          </cell>
          <cell r="CN105">
            <v>2.728088601901745</v>
          </cell>
          <cell r="CR105">
            <v>1.9400000000000013</v>
          </cell>
          <cell r="CS105">
            <v>2.728088601901745</v>
          </cell>
          <cell r="CW105">
            <v>1.9400000000000013</v>
          </cell>
          <cell r="CX105">
            <v>2.728088601901745</v>
          </cell>
          <cell r="DB105">
            <v>1.9400000000000013</v>
          </cell>
          <cell r="DC105">
            <v>2.728088601901745</v>
          </cell>
          <cell r="DG105">
            <v>1.9400000000000013</v>
          </cell>
          <cell r="DH105">
            <v>2.728088601901745</v>
          </cell>
          <cell r="DL105">
            <v>1.9400000000000013</v>
          </cell>
          <cell r="DM105">
            <v>2.728088601901745</v>
          </cell>
          <cell r="DQ105">
            <v>1.9400000000000013</v>
          </cell>
          <cell r="DR105">
            <v>2.728088601901745</v>
          </cell>
          <cell r="DV105">
            <v>1.9400000000000013</v>
          </cell>
          <cell r="DW105">
            <v>2.728088601901745</v>
          </cell>
          <cell r="EA105">
            <v>1.9400000000000013</v>
          </cell>
          <cell r="EB105">
            <v>2.728088601901745</v>
          </cell>
          <cell r="EF105">
            <v>1.9400000000000013</v>
          </cell>
          <cell r="EG105">
            <v>2.728088601901745</v>
          </cell>
          <cell r="EK105">
            <v>1.9400000000000013</v>
          </cell>
          <cell r="EL105">
            <v>2.728088601901745</v>
          </cell>
          <cell r="EP105">
            <v>1.9400000000000013</v>
          </cell>
          <cell r="EQ105">
            <v>2.728088601901745</v>
          </cell>
          <cell r="EU105">
            <v>1.9400000000000013</v>
          </cell>
          <cell r="EV105">
            <v>2.728088601901745</v>
          </cell>
        </row>
        <row r="106">
          <cell r="U106">
            <v>1.9600000000000013</v>
          </cell>
          <cell r="V106">
            <v>2.6214342473290069</v>
          </cell>
          <cell r="Z106">
            <v>1.9600000000000013</v>
          </cell>
          <cell r="AA106">
            <v>2.6214342473290069</v>
          </cell>
          <cell r="AE106">
            <v>1.9600000000000013</v>
          </cell>
          <cell r="AF106">
            <v>2.6214342473290069</v>
          </cell>
          <cell r="AJ106">
            <v>1.9600000000000013</v>
          </cell>
          <cell r="AK106">
            <v>2.6214342473290069</v>
          </cell>
          <cell r="AO106">
            <v>1.9600000000000013</v>
          </cell>
          <cell r="AP106">
            <v>2.6214342473290069</v>
          </cell>
          <cell r="AT106">
            <v>1.9600000000000013</v>
          </cell>
          <cell r="AU106">
            <v>2.6214342473290069</v>
          </cell>
          <cell r="AY106">
            <v>1.9600000000000013</v>
          </cell>
          <cell r="AZ106">
            <v>2.6214342473290069</v>
          </cell>
          <cell r="BD106">
            <v>1.9600000000000013</v>
          </cell>
          <cell r="BE106">
            <v>2.6214342473290069</v>
          </cell>
          <cell r="BI106">
            <v>1.9600000000000013</v>
          </cell>
          <cell r="BJ106">
            <v>2.6214342473290069</v>
          </cell>
          <cell r="BN106">
            <v>1.9600000000000013</v>
          </cell>
          <cell r="BO106">
            <v>2.6214342473290069</v>
          </cell>
          <cell r="BS106">
            <v>1.9600000000000013</v>
          </cell>
          <cell r="BT106">
            <v>2.6214342473290069</v>
          </cell>
          <cell r="BX106">
            <v>1.9600000000000013</v>
          </cell>
          <cell r="BY106">
            <v>2.6214342473290069</v>
          </cell>
          <cell r="CC106">
            <v>1.9600000000000013</v>
          </cell>
          <cell r="CD106">
            <v>2.6214342473290069</v>
          </cell>
          <cell r="CH106">
            <v>1.9600000000000013</v>
          </cell>
          <cell r="CI106">
            <v>2.6214342473290069</v>
          </cell>
          <cell r="CM106">
            <v>1.9600000000000013</v>
          </cell>
          <cell r="CN106">
            <v>2.6214342473290069</v>
          </cell>
          <cell r="CR106">
            <v>1.9600000000000013</v>
          </cell>
          <cell r="CS106">
            <v>2.6214342473290069</v>
          </cell>
          <cell r="CW106">
            <v>1.9600000000000013</v>
          </cell>
          <cell r="CX106">
            <v>2.6214342473290069</v>
          </cell>
          <cell r="DB106">
            <v>1.9600000000000013</v>
          </cell>
          <cell r="DC106">
            <v>2.6214342473290069</v>
          </cell>
          <cell r="DG106">
            <v>1.9600000000000013</v>
          </cell>
          <cell r="DH106">
            <v>2.6214342473290069</v>
          </cell>
          <cell r="DL106">
            <v>1.9600000000000013</v>
          </cell>
          <cell r="DM106">
            <v>2.6214342473290069</v>
          </cell>
          <cell r="DQ106">
            <v>1.9600000000000013</v>
          </cell>
          <cell r="DR106">
            <v>2.6214342473290069</v>
          </cell>
          <cell r="DV106">
            <v>1.9600000000000013</v>
          </cell>
          <cell r="DW106">
            <v>2.6214342473290069</v>
          </cell>
          <cell r="EA106">
            <v>1.9600000000000013</v>
          </cell>
          <cell r="EB106">
            <v>2.6214342473290069</v>
          </cell>
          <cell r="EF106">
            <v>1.9600000000000013</v>
          </cell>
          <cell r="EG106">
            <v>2.6214342473290069</v>
          </cell>
          <cell r="EK106">
            <v>1.9600000000000013</v>
          </cell>
          <cell r="EL106">
            <v>2.6214342473290069</v>
          </cell>
          <cell r="EP106">
            <v>1.9600000000000013</v>
          </cell>
          <cell r="EQ106">
            <v>2.6214342473290069</v>
          </cell>
          <cell r="EU106">
            <v>1.9600000000000013</v>
          </cell>
          <cell r="EV106">
            <v>2.6214342473290069</v>
          </cell>
        </row>
        <row r="107">
          <cell r="U107">
            <v>1.9800000000000013</v>
          </cell>
          <cell r="V107">
            <v>2.5120713800284244</v>
          </cell>
          <cell r="Z107">
            <v>1.9800000000000013</v>
          </cell>
          <cell r="AA107">
            <v>2.5120713800284244</v>
          </cell>
          <cell r="AE107">
            <v>1.9800000000000013</v>
          </cell>
          <cell r="AF107">
            <v>2.5120713800284244</v>
          </cell>
          <cell r="AJ107">
            <v>1.9800000000000013</v>
          </cell>
          <cell r="AK107">
            <v>2.5120713800284244</v>
          </cell>
          <cell r="AO107">
            <v>1.9800000000000013</v>
          </cell>
          <cell r="AP107">
            <v>2.5120713800284244</v>
          </cell>
          <cell r="AT107">
            <v>1.9800000000000013</v>
          </cell>
          <cell r="AU107">
            <v>2.5120713800284244</v>
          </cell>
          <cell r="AY107">
            <v>1.9800000000000013</v>
          </cell>
          <cell r="AZ107">
            <v>2.5120713800284244</v>
          </cell>
          <cell r="BD107">
            <v>1.9800000000000013</v>
          </cell>
          <cell r="BE107">
            <v>2.5120713800284244</v>
          </cell>
          <cell r="BI107">
            <v>1.9800000000000013</v>
          </cell>
          <cell r="BJ107">
            <v>2.5120713800284244</v>
          </cell>
          <cell r="BN107">
            <v>1.9800000000000013</v>
          </cell>
          <cell r="BO107">
            <v>2.5120713800284244</v>
          </cell>
          <cell r="BS107">
            <v>1.9800000000000013</v>
          </cell>
          <cell r="BT107">
            <v>2.5120713800284244</v>
          </cell>
          <cell r="BX107">
            <v>1.9800000000000013</v>
          </cell>
          <cell r="BY107">
            <v>2.5120713800284244</v>
          </cell>
          <cell r="CC107">
            <v>1.9800000000000013</v>
          </cell>
          <cell r="CD107">
            <v>2.5120713800284244</v>
          </cell>
          <cell r="CH107">
            <v>1.9800000000000013</v>
          </cell>
          <cell r="CI107">
            <v>2.5120713800284244</v>
          </cell>
          <cell r="CM107">
            <v>1.9800000000000013</v>
          </cell>
          <cell r="CN107">
            <v>2.5120713800284244</v>
          </cell>
          <cell r="CR107">
            <v>1.9800000000000013</v>
          </cell>
          <cell r="CS107">
            <v>2.5120713800284244</v>
          </cell>
          <cell r="CW107">
            <v>1.9800000000000013</v>
          </cell>
          <cell r="CX107">
            <v>2.5120713800284244</v>
          </cell>
          <cell r="DB107">
            <v>1.9800000000000013</v>
          </cell>
          <cell r="DC107">
            <v>2.5120713800284244</v>
          </cell>
          <cell r="DG107">
            <v>1.9800000000000013</v>
          </cell>
          <cell r="DH107">
            <v>2.5120713800284244</v>
          </cell>
          <cell r="DL107">
            <v>1.9800000000000013</v>
          </cell>
          <cell r="DM107">
            <v>2.5120713800284244</v>
          </cell>
          <cell r="DQ107">
            <v>1.9800000000000013</v>
          </cell>
          <cell r="DR107">
            <v>2.5120713800284244</v>
          </cell>
          <cell r="DV107">
            <v>1.9800000000000013</v>
          </cell>
          <cell r="DW107">
            <v>2.5120713800284244</v>
          </cell>
          <cell r="EA107">
            <v>1.9800000000000013</v>
          </cell>
          <cell r="EB107">
            <v>2.5120713800284244</v>
          </cell>
          <cell r="EF107">
            <v>1.9800000000000013</v>
          </cell>
          <cell r="EG107">
            <v>2.5120713800284244</v>
          </cell>
          <cell r="EK107">
            <v>1.9800000000000013</v>
          </cell>
          <cell r="EL107">
            <v>2.5120713800284244</v>
          </cell>
          <cell r="EP107">
            <v>1.9800000000000013</v>
          </cell>
          <cell r="EQ107">
            <v>2.5120713800284244</v>
          </cell>
          <cell r="EU107">
            <v>1.9800000000000013</v>
          </cell>
          <cell r="EV107">
            <v>2.5120713800284244</v>
          </cell>
        </row>
        <row r="108">
          <cell r="U108">
            <v>2.0000000000000013</v>
          </cell>
          <cell r="V108">
            <v>2.3999999999999941</v>
          </cell>
          <cell r="Z108">
            <v>2.0000000000000013</v>
          </cell>
          <cell r="AA108">
            <v>2.3999999999999941</v>
          </cell>
          <cell r="AE108">
            <v>2.0000000000000013</v>
          </cell>
          <cell r="AF108">
            <v>2.3999999999999941</v>
          </cell>
          <cell r="AJ108">
            <v>2.0000000000000013</v>
          </cell>
          <cell r="AK108">
            <v>2.3999999999999941</v>
          </cell>
          <cell r="AO108">
            <v>2.0000000000000013</v>
          </cell>
          <cell r="AP108">
            <v>2.3999999999999941</v>
          </cell>
          <cell r="AT108">
            <v>2.0000000000000013</v>
          </cell>
          <cell r="AU108">
            <v>2.3999999999999941</v>
          </cell>
          <cell r="AY108">
            <v>2.0000000000000013</v>
          </cell>
          <cell r="AZ108">
            <v>2.3999999999999941</v>
          </cell>
          <cell r="BD108">
            <v>2.0000000000000013</v>
          </cell>
          <cell r="BE108">
            <v>2.3999999999999941</v>
          </cell>
          <cell r="BI108">
            <v>2.0000000000000013</v>
          </cell>
          <cell r="BJ108">
            <v>2.3999999999999941</v>
          </cell>
          <cell r="BN108">
            <v>2.0000000000000013</v>
          </cell>
          <cell r="BO108">
            <v>2.3999999999999941</v>
          </cell>
          <cell r="BS108">
            <v>2.0000000000000013</v>
          </cell>
          <cell r="BT108">
            <v>2.3999999999999941</v>
          </cell>
          <cell r="BX108">
            <v>2.0000000000000013</v>
          </cell>
          <cell r="BY108">
            <v>2.3999999999999941</v>
          </cell>
          <cell r="CC108">
            <v>2.0000000000000013</v>
          </cell>
          <cell r="CD108">
            <v>2.3999999999999941</v>
          </cell>
          <cell r="CH108">
            <v>2.0000000000000013</v>
          </cell>
          <cell r="CI108">
            <v>2.3999999999999941</v>
          </cell>
          <cell r="CM108">
            <v>2.0000000000000013</v>
          </cell>
          <cell r="CN108">
            <v>2.3999999999999941</v>
          </cell>
          <cell r="CR108">
            <v>2.0000000000000013</v>
          </cell>
          <cell r="CS108">
            <v>2.3999999999999941</v>
          </cell>
          <cell r="CW108">
            <v>2.0000000000000013</v>
          </cell>
          <cell r="CX108">
            <v>2.3999999999999941</v>
          </cell>
          <cell r="DB108">
            <v>2.0000000000000013</v>
          </cell>
          <cell r="DC108">
            <v>2.3999999999999941</v>
          </cell>
          <cell r="DG108">
            <v>2.0000000000000013</v>
          </cell>
          <cell r="DH108">
            <v>2.3999999999999941</v>
          </cell>
          <cell r="DL108">
            <v>2.0000000000000013</v>
          </cell>
          <cell r="DM108">
            <v>2.3999999999999941</v>
          </cell>
          <cell r="DQ108">
            <v>2.0000000000000013</v>
          </cell>
          <cell r="DR108">
            <v>2.3999999999999941</v>
          </cell>
          <cell r="DV108">
            <v>2.0000000000000013</v>
          </cell>
          <cell r="DW108">
            <v>2.3999999999999941</v>
          </cell>
          <cell r="EA108">
            <v>2.0000000000000013</v>
          </cell>
          <cell r="EB108">
            <v>2.3999999999999941</v>
          </cell>
          <cell r="EF108">
            <v>2.0000000000000013</v>
          </cell>
          <cell r="EG108">
            <v>2.3999999999999941</v>
          </cell>
          <cell r="EK108">
            <v>2.0000000000000013</v>
          </cell>
          <cell r="EL108">
            <v>2.3999999999999941</v>
          </cell>
          <cell r="EP108">
            <v>2.0000000000000013</v>
          </cell>
          <cell r="EQ108">
            <v>2.3999999999999941</v>
          </cell>
          <cell r="EU108">
            <v>2.0000000000000013</v>
          </cell>
          <cell r="EV108">
            <v>2.3999999999999941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B2:E52"/>
  <sheetViews>
    <sheetView tabSelected="1" workbookViewId="0"/>
  </sheetViews>
  <sheetFormatPr defaultColWidth="9.109375" defaultRowHeight="14.4" x14ac:dyDescent="0.3"/>
  <cols>
    <col min="1" max="1" width="9.109375" style="80"/>
    <col min="2" max="2" width="2.6640625" style="80" customWidth="1"/>
    <col min="3" max="3" width="70.6640625" style="80" customWidth="1"/>
    <col min="4" max="4" width="9.109375" style="80"/>
    <col min="5" max="5" width="8.5546875" style="80" customWidth="1"/>
    <col min="6" max="16384" width="9.109375" style="80"/>
  </cols>
  <sheetData>
    <row r="2" spans="2:5" ht="31.2" x14ac:dyDescent="0.6">
      <c r="C2" s="81" t="s">
        <v>179</v>
      </c>
    </row>
    <row r="3" spans="2:5" ht="15.6" x14ac:dyDescent="0.3">
      <c r="C3" s="82" t="s">
        <v>341</v>
      </c>
    </row>
    <row r="4" spans="2:5" ht="15.6" x14ac:dyDescent="0.3">
      <c r="C4" s="82" t="s">
        <v>180</v>
      </c>
    </row>
    <row r="5" spans="2:5" x14ac:dyDescent="0.3">
      <c r="D5" s="169" t="s">
        <v>213</v>
      </c>
      <c r="E5" s="170"/>
    </row>
    <row r="6" spans="2:5" ht="15" customHeight="1" x14ac:dyDescent="0.3">
      <c r="C6" s="83" t="s">
        <v>181</v>
      </c>
      <c r="D6" s="171"/>
      <c r="E6" s="172"/>
    </row>
    <row r="7" spans="2:5" ht="15" customHeight="1" x14ac:dyDescent="0.3">
      <c r="B7" s="84" t="s">
        <v>169</v>
      </c>
      <c r="C7" s="80" t="s">
        <v>182</v>
      </c>
      <c r="D7" s="171"/>
      <c r="E7" s="172"/>
    </row>
    <row r="8" spans="2:5" ht="15" customHeight="1" x14ac:dyDescent="0.3">
      <c r="B8" s="107" t="s">
        <v>169</v>
      </c>
      <c r="C8" s="80" t="s">
        <v>183</v>
      </c>
      <c r="D8" s="171"/>
      <c r="E8" s="172"/>
    </row>
    <row r="9" spans="2:5" ht="15" customHeight="1" x14ac:dyDescent="0.3">
      <c r="B9" s="108" t="s">
        <v>169</v>
      </c>
      <c r="C9" s="80" t="s">
        <v>184</v>
      </c>
      <c r="D9" s="171"/>
      <c r="E9" s="172"/>
    </row>
    <row r="10" spans="2:5" ht="15" customHeight="1" x14ac:dyDescent="0.3">
      <c r="B10" s="109" t="s">
        <v>169</v>
      </c>
      <c r="C10" s="85" t="s">
        <v>185</v>
      </c>
      <c r="D10" s="173"/>
      <c r="E10" s="174"/>
    </row>
    <row r="12" spans="2:5" x14ac:dyDescent="0.3">
      <c r="C12" s="86" t="s">
        <v>187</v>
      </c>
    </row>
    <row r="13" spans="2:5" ht="60.75" customHeight="1" x14ac:dyDescent="0.3">
      <c r="C13" s="139" t="s">
        <v>204</v>
      </c>
    </row>
    <row r="14" spans="2:5" x14ac:dyDescent="0.3">
      <c r="C14" s="87"/>
    </row>
    <row r="15" spans="2:5" x14ac:dyDescent="0.3">
      <c r="C15" s="86" t="s">
        <v>199</v>
      </c>
    </row>
    <row r="16" spans="2:5" ht="86.4" x14ac:dyDescent="0.3">
      <c r="C16" s="139" t="s">
        <v>200</v>
      </c>
    </row>
    <row r="17" spans="3:3" x14ac:dyDescent="0.3">
      <c r="C17" s="87"/>
    </row>
    <row r="18" spans="3:3" x14ac:dyDescent="0.3">
      <c r="C18" s="86" t="s">
        <v>186</v>
      </c>
    </row>
    <row r="19" spans="3:3" ht="72" x14ac:dyDescent="0.3">
      <c r="C19" s="139" t="s">
        <v>203</v>
      </c>
    </row>
    <row r="20" spans="3:3" x14ac:dyDescent="0.3">
      <c r="C20" s="87"/>
    </row>
    <row r="21" spans="3:3" x14ac:dyDescent="0.3">
      <c r="C21" s="86" t="s">
        <v>201</v>
      </c>
    </row>
    <row r="22" spans="3:3" ht="57.6" x14ac:dyDescent="0.3">
      <c r="C22" s="139" t="s">
        <v>202</v>
      </c>
    </row>
    <row r="23" spans="3:3" x14ac:dyDescent="0.3">
      <c r="C23" s="87"/>
    </row>
    <row r="24" spans="3:3" x14ac:dyDescent="0.3">
      <c r="C24" s="86" t="s">
        <v>94</v>
      </c>
    </row>
    <row r="25" spans="3:3" ht="121.5" customHeight="1" x14ac:dyDescent="0.3">
      <c r="C25" s="139" t="s">
        <v>338</v>
      </c>
    </row>
    <row r="26" spans="3:3" x14ac:dyDescent="0.3">
      <c r="C26" s="87"/>
    </row>
    <row r="27" spans="3:3" x14ac:dyDescent="0.3">
      <c r="C27" s="86" t="s">
        <v>188</v>
      </c>
    </row>
    <row r="28" spans="3:3" ht="86.4" x14ac:dyDescent="0.3">
      <c r="C28" s="139" t="s">
        <v>189</v>
      </c>
    </row>
    <row r="29" spans="3:3" x14ac:dyDescent="0.3">
      <c r="C29" s="87"/>
    </row>
    <row r="30" spans="3:3" x14ac:dyDescent="0.3">
      <c r="C30" s="86" t="s">
        <v>205</v>
      </c>
    </row>
    <row r="31" spans="3:3" ht="45.75" customHeight="1" x14ac:dyDescent="0.3">
      <c r="C31" s="139" t="s">
        <v>206</v>
      </c>
    </row>
    <row r="32" spans="3:3" x14ac:dyDescent="0.3">
      <c r="C32" s="87"/>
    </row>
    <row r="33" spans="3:3" x14ac:dyDescent="0.3">
      <c r="C33" s="86" t="s">
        <v>212</v>
      </c>
    </row>
    <row r="34" spans="3:3" ht="30" customHeight="1" x14ac:dyDescent="0.3">
      <c r="C34" s="139" t="s">
        <v>207</v>
      </c>
    </row>
    <row r="35" spans="3:3" x14ac:dyDescent="0.3">
      <c r="C35" s="87"/>
    </row>
    <row r="36" spans="3:3" x14ac:dyDescent="0.3">
      <c r="C36" s="86" t="s">
        <v>190</v>
      </c>
    </row>
    <row r="37" spans="3:3" ht="86.4" x14ac:dyDescent="0.3">
      <c r="C37" s="139" t="s">
        <v>191</v>
      </c>
    </row>
    <row r="38" spans="3:3" x14ac:dyDescent="0.3">
      <c r="C38" s="87"/>
    </row>
    <row r="39" spans="3:3" x14ac:dyDescent="0.3">
      <c r="C39" s="86" t="s">
        <v>208</v>
      </c>
    </row>
    <row r="40" spans="3:3" ht="57.6" x14ac:dyDescent="0.3">
      <c r="C40" s="139" t="s">
        <v>209</v>
      </c>
    </row>
    <row r="41" spans="3:3" x14ac:dyDescent="0.3">
      <c r="C41" s="87"/>
    </row>
    <row r="42" spans="3:3" x14ac:dyDescent="0.3">
      <c r="C42" s="86" t="s">
        <v>327</v>
      </c>
    </row>
    <row r="43" spans="3:3" ht="60" customHeight="1" x14ac:dyDescent="0.3">
      <c r="C43" s="139" t="s">
        <v>339</v>
      </c>
    </row>
    <row r="44" spans="3:3" x14ac:dyDescent="0.3">
      <c r="C44" s="87"/>
    </row>
    <row r="46" spans="3:3" x14ac:dyDescent="0.3">
      <c r="C46" s="141" t="s">
        <v>192</v>
      </c>
    </row>
    <row r="47" spans="3:3" x14ac:dyDescent="0.3">
      <c r="C47" s="142" t="s">
        <v>193</v>
      </c>
    </row>
    <row r="48" spans="3:3" x14ac:dyDescent="0.3">
      <c r="C48" s="142" t="s">
        <v>194</v>
      </c>
    </row>
    <row r="49" spans="2:3" x14ac:dyDescent="0.3">
      <c r="C49" s="142" t="s">
        <v>195</v>
      </c>
    </row>
    <row r="50" spans="2:3" x14ac:dyDescent="0.3">
      <c r="B50" s="140"/>
      <c r="C50" s="143" t="s">
        <v>196</v>
      </c>
    </row>
    <row r="51" spans="2:3" x14ac:dyDescent="0.3">
      <c r="B51" s="140"/>
      <c r="C51" s="143" t="s">
        <v>197</v>
      </c>
    </row>
    <row r="52" spans="2:3" x14ac:dyDescent="0.3">
      <c r="C52" s="144" t="s">
        <v>340</v>
      </c>
    </row>
  </sheetData>
  <mergeCells count="1">
    <mergeCell ref="D5:E10"/>
  </mergeCells>
  <hyperlinks>
    <hyperlink ref="C47" r:id="rId1" xr:uid="{00000000-0004-0000-0000-000000000000}"/>
    <hyperlink ref="C49" r:id="rId2" xr:uid="{00000000-0004-0000-0000-000001000000}"/>
    <hyperlink ref="C48" r:id="rId3" xr:uid="{00000000-0004-0000-0000-000002000000}"/>
    <hyperlink ref="C50" r:id="rId4" xr:uid="{00000000-0004-0000-0000-000003000000}"/>
    <hyperlink ref="C51" r:id="rId5" xr:uid="{00000000-0004-0000-0000-000004000000}"/>
    <hyperlink ref="C52" r:id="rId6" xr:uid="{00000000-0004-0000-0000-000005000000}"/>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30480</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30480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30480</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30480</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30480</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30480</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30480</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30480</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30480</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30480</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121920</xdr:colOff>
                    <xdr:row>5</xdr:row>
                    <xdr:rowOff>182880</xdr:rowOff>
                  </from>
                  <to>
                    <xdr:col>7</xdr:col>
                    <xdr:colOff>518160</xdr:colOff>
                    <xdr:row>9</xdr:row>
                    <xdr:rowOff>182880</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30480</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P27"/>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 style="1" customWidth="1"/>
    <col min="8" max="15" width="11.44140625" style="1" customWidth="1"/>
    <col min="16" max="16" width="12" style="1" customWidth="1"/>
    <col min="17" max="16384" width="9.109375" style="1"/>
  </cols>
  <sheetData>
    <row r="2" spans="2:16" ht="31.2" x14ac:dyDescent="0.3">
      <c r="C2" s="2" t="s">
        <v>198</v>
      </c>
    </row>
    <row r="4" spans="2:16" x14ac:dyDescent="0.3">
      <c r="B4" s="8" t="b">
        <v>0</v>
      </c>
      <c r="C4" s="1" t="s">
        <v>0</v>
      </c>
    </row>
    <row r="6" spans="2:16" x14ac:dyDescent="0.3">
      <c r="C6" s="184" t="s">
        <v>6</v>
      </c>
      <c r="D6" s="185"/>
      <c r="E6" s="22" t="s">
        <v>30</v>
      </c>
      <c r="G6" s="91"/>
      <c r="H6" s="92" t="s">
        <v>39</v>
      </c>
      <c r="I6" s="92" t="s">
        <v>40</v>
      </c>
      <c r="J6" s="92" t="s">
        <v>41</v>
      </c>
      <c r="K6" s="92" t="s">
        <v>42</v>
      </c>
      <c r="L6" s="92" t="s">
        <v>43</v>
      </c>
      <c r="M6" s="92" t="s">
        <v>44</v>
      </c>
      <c r="N6" s="92" t="s">
        <v>45</v>
      </c>
      <c r="O6" s="92" t="s">
        <v>46</v>
      </c>
      <c r="P6" s="92" t="s">
        <v>47</v>
      </c>
    </row>
    <row r="7" spans="2:16" x14ac:dyDescent="0.3">
      <c r="C7" s="24" t="s">
        <v>1</v>
      </c>
      <c r="D7" s="25">
        <f>VLOOKUP($C$6, MotorSpecs, 2, FALSE)</f>
        <v>5330</v>
      </c>
      <c r="E7" s="26">
        <f>D7*(D14/12)</f>
        <v>4885.833333333333</v>
      </c>
      <c r="G7" s="93" t="s">
        <v>34</v>
      </c>
      <c r="H7" s="94">
        <f>I17</f>
        <v>20</v>
      </c>
      <c r="I7" s="94">
        <f>$E$17*I13*IF($B$4, 2.205, 1)/$E$8*0.113</f>
        <v>11.278687287815917</v>
      </c>
      <c r="J7" s="94">
        <f>$E$17*$E$18/8.8507/((SQRT($E$9)*$E$8)/(SQRT($E$10)+SQRT($E$9)))</f>
        <v>44.914526214849644</v>
      </c>
      <c r="K7" s="94">
        <f>$E$17*K13*IF($B$4, 2.205, 1)/$E$8*0.113</f>
        <v>5.6393436439079583</v>
      </c>
      <c r="L7" s="94">
        <f>($E$7*$E$8+SQRT(($E$7*$E$8)^2-27.119*$E$18*$E$17*L9*$E$7*$E$8))/(120*L9*$E$8)</f>
        <v>75.335154890959018</v>
      </c>
      <c r="M7" s="94">
        <f>($E$7*$E$8+SQRT(($E$7*$E$8)^2-27.119*$E$18*$E$17*M9*$E$7*$E$8))/(120*M9*$E$8)</f>
        <v>35.948632261633549</v>
      </c>
      <c r="N7" s="94">
        <f>($E$10-$E$9)/$E$8*$E$17*$E$18/$D$13/0.2248/39.37/(N12-$E$9/$D$13)</f>
        <v>24.093459457162297</v>
      </c>
      <c r="O7" s="94">
        <f>$E$17*O13*IF($B$4, 2.205, 1)/$E$8*0.113</f>
        <v>19.181440965673325</v>
      </c>
      <c r="P7" s="94">
        <f>12*0.113*$E$17*$E$18/($D$15*$D$8*$D$13*P14)</f>
        <v>6.2032780082987529</v>
      </c>
    </row>
    <row r="8" spans="2:16" x14ac:dyDescent="0.3">
      <c r="C8" s="30" t="s">
        <v>2</v>
      </c>
      <c r="D8" s="31">
        <f>VLOOKUP($C$6, MotorSpecs, 3, FALSE)</f>
        <v>2.41</v>
      </c>
      <c r="E8" s="32">
        <f>D8*D13*(D14/12)*D15</f>
        <v>3.5346666666666664</v>
      </c>
      <c r="G8" s="65" t="s">
        <v>35</v>
      </c>
      <c r="H8" s="95">
        <f t="shared" ref="H8:P8" si="0">$E$7/H7/60</f>
        <v>4.0715277777777779</v>
      </c>
      <c r="I8" s="95">
        <f t="shared" si="0"/>
        <v>7.2198610953176212</v>
      </c>
      <c r="J8" s="95">
        <f t="shared" si="0"/>
        <v>1.8130115670380369</v>
      </c>
      <c r="K8" s="95">
        <f t="shared" si="0"/>
        <v>14.439722190635242</v>
      </c>
      <c r="L8" s="95">
        <f t="shared" si="0"/>
        <v>1.0809104417906765</v>
      </c>
      <c r="M8" s="95">
        <f t="shared" si="0"/>
        <v>2.2651920374301118</v>
      </c>
      <c r="N8" s="95">
        <f t="shared" si="0"/>
        <v>3.3797784705985245</v>
      </c>
      <c r="O8" s="95">
        <f t="shared" si="0"/>
        <v>4.2452783240467618</v>
      </c>
      <c r="P8" s="95">
        <f t="shared" si="0"/>
        <v>13.127020173304768</v>
      </c>
    </row>
    <row r="9" spans="2:16" x14ac:dyDescent="0.3">
      <c r="C9" s="30" t="s">
        <v>3</v>
      </c>
      <c r="D9" s="33">
        <f>VLOOKUP($C$6, MotorSpecs, 4, FALSE)</f>
        <v>2.7</v>
      </c>
      <c r="E9" s="34">
        <f>D9*D13*(D14/12)</f>
        <v>4.95</v>
      </c>
      <c r="G9" s="65" t="s">
        <v>36</v>
      </c>
      <c r="H9" s="96">
        <f>H8*(1-$D$18/H13)</f>
        <v>2.9235967328939667</v>
      </c>
      <c r="I9" s="96">
        <f t="shared" ref="I9:K9" si="1">I8*(1-$D$18/I13)</f>
        <v>3.6099305476588106</v>
      </c>
      <c r="J9" s="96">
        <f t="shared" si="1"/>
        <v>1.5853959025627293</v>
      </c>
      <c r="K9" s="96">
        <f t="shared" si="1"/>
        <v>0</v>
      </c>
      <c r="L9" s="9">
        <v>1</v>
      </c>
      <c r="M9" s="96">
        <f>M11*IF($B$4, 3.281, 1)/$E$17/2/PI()*12</f>
        <v>1.909859317102744</v>
      </c>
      <c r="N9" s="96">
        <f>N8*(1-$D$18/N13)</f>
        <v>2.588776678747966</v>
      </c>
      <c r="O9" s="96">
        <f>O8*(1-$D$18/O13)</f>
        <v>2.9971664967770137</v>
      </c>
      <c r="P9" s="96">
        <f>P8*(1-$D$18/P13)</f>
        <v>1.1944690880851982</v>
      </c>
    </row>
    <row r="10" spans="2:16" x14ac:dyDescent="0.3">
      <c r="C10" s="30" t="s">
        <v>4</v>
      </c>
      <c r="D10" s="35">
        <f>VLOOKUP($C$6, MotorSpecs, 5, FALSE)</f>
        <v>131</v>
      </c>
      <c r="E10" s="36">
        <f>D10*D13*(D14/12)</f>
        <v>240.16666666666666</v>
      </c>
      <c r="G10" s="65" t="str">
        <f>"Free Lin. Speed (" &amp; IF($B$4, "m", "ft") &amp; "/s)"</f>
        <v>Free Lin. Speed (ft/s)</v>
      </c>
      <c r="H10" s="96">
        <f>H8*2*PI()*$E$17/12/IF($B$4, 3.281, 1)</f>
        <v>4.2636939185178129</v>
      </c>
      <c r="I10" s="96">
        <f t="shared" ref="I10:L10" si="2">I8*2*PI()*$E$17/12/IF($B$4, 3.281, 1)</f>
        <v>7.5606208589961961</v>
      </c>
      <c r="J10" s="96">
        <f t="shared" si="2"/>
        <v>1.898581273293338</v>
      </c>
      <c r="K10" s="96">
        <f t="shared" si="2"/>
        <v>15.121241717992392</v>
      </c>
      <c r="L10" s="96">
        <f t="shared" si="2"/>
        <v>1.1319267677060285</v>
      </c>
      <c r="M10" s="96">
        <f t="shared" ref="M10" si="3">M8*2*PI()*$D$17/12/IF($B$4, 3.281, 1)</f>
        <v>2.3721035545868441</v>
      </c>
      <c r="N10" s="96">
        <f t="shared" ref="N10:P11" si="4">N8*2*PI()*$E$17/12/IF($B$4, 3.281, 1)</f>
        <v>3.5392957379977559</v>
      </c>
      <c r="O10" s="96">
        <f t="shared" si="4"/>
        <v>4.4456450650897636</v>
      </c>
      <c r="P10" s="96">
        <f t="shared" si="4"/>
        <v>13.746583379993085</v>
      </c>
    </row>
    <row r="11" spans="2:16" x14ac:dyDescent="0.3">
      <c r="C11" s="37" t="s">
        <v>5</v>
      </c>
      <c r="D11" s="38">
        <f>VLOOKUP($C$6, MotorSpecs, 6, FALSE)</f>
        <v>336.28916760964142</v>
      </c>
      <c r="E11" s="39">
        <f>(E7/60*2*PI())*E8/4</f>
        <v>452.12210311962895</v>
      </c>
      <c r="G11" s="65" t="str">
        <f>"Loaded Lin. Speed (" &amp; IF($B$4, "m", "ft") &amp; "/s)"</f>
        <v>Loaded Lin. Speed (ft/s)</v>
      </c>
      <c r="H11" s="96">
        <f>H9*2*PI()*$E$17/12/IF($B$4, 3.281, 1)</f>
        <v>3.0615833393729344</v>
      </c>
      <c r="I11" s="96">
        <f t="shared" ref="I11:L11" si="5">I9*2*PI()*$E$17/12/IF($B$4, 3.281, 1)</f>
        <v>3.780310429498098</v>
      </c>
      <c r="J11" s="96">
        <f t="shared" si="5"/>
        <v>1.6602227068408093</v>
      </c>
      <c r="K11" s="96">
        <f t="shared" si="5"/>
        <v>0</v>
      </c>
      <c r="L11" s="96">
        <f t="shared" si="5"/>
        <v>1.0471975511965974</v>
      </c>
      <c r="M11" s="9">
        <v>1.9999999999999996</v>
      </c>
      <c r="N11" s="96">
        <f t="shared" si="4"/>
        <v>2.7109605985797303</v>
      </c>
      <c r="O11" s="96">
        <f t="shared" si="4"/>
        <v>3.1386254159533729</v>
      </c>
      <c r="P11" s="96">
        <f t="shared" si="4"/>
        <v>1.2508451040228523</v>
      </c>
    </row>
    <row r="12" spans="2:16" x14ac:dyDescent="0.3">
      <c r="G12" s="65" t="s">
        <v>37</v>
      </c>
      <c r="H12" s="76">
        <f t="shared" ref="H12:M12" si="6">($E$10-$E$9)/$E$8*$E$17*$E$18/H7/$D$13/0.2248/39.37 + $E$9/$D$13</f>
        <v>35.633623577919614</v>
      </c>
      <c r="I12" s="76">
        <f t="shared" si="6"/>
        <v>61.273728489866095</v>
      </c>
      <c r="J12" s="76">
        <f t="shared" si="6"/>
        <v>17.240211334660238</v>
      </c>
      <c r="K12" s="76">
        <f t="shared" si="6"/>
        <v>120.07245697973218</v>
      </c>
      <c r="L12" s="76">
        <f t="shared" si="6"/>
        <v>11.277961545884864</v>
      </c>
      <c r="M12" s="76">
        <f t="shared" si="6"/>
        <v>20.922780342012295</v>
      </c>
      <c r="N12" s="10">
        <v>30</v>
      </c>
      <c r="O12" s="76">
        <f t="shared" ref="O12:P12" si="7">($E$10-$E$9)/$E$8*$E$17*$E$18/O7/$D$13/0.2248/39.37 + $E$9/$D$13</f>
        <v>37.048652352041266</v>
      </c>
      <c r="P12" s="76">
        <f t="shared" si="7"/>
        <v>109.38177907248382</v>
      </c>
    </row>
    <row r="13" spans="2:16" x14ac:dyDescent="0.3">
      <c r="C13" s="41" t="s">
        <v>31</v>
      </c>
      <c r="D13" s="11">
        <v>2</v>
      </c>
      <c r="G13" s="65" t="str">
        <f>"Stall Load (" &amp; IF($B$4, "kgf", "lbf") &amp; ")"</f>
        <v>Stall Load (lbf)</v>
      </c>
      <c r="H13" s="97">
        <f>$E$8*H7*39.37*0.2248/$E$17/IF($B$4, 2.205, 1)</f>
        <v>312.83129034666672</v>
      </c>
      <c r="I13" s="97">
        <f>2*D18</f>
        <v>176.4</v>
      </c>
      <c r="J13" s="97">
        <f>$E$8*J7*39.37*0.2248/$E$17/IF($B$4, 2.205, 1)</f>
        <v>702.53345955503016</v>
      </c>
      <c r="K13" s="97">
        <f>D18</f>
        <v>88.2</v>
      </c>
      <c r="L13" s="97">
        <f>$E$8*L7*39.37*0.2248/$E$17/IF($B$4, 2.205, 1)</f>
        <v>1178.3596856502354</v>
      </c>
      <c r="M13" s="97">
        <f>$E$8*M7*39.37*0.2248/$E$17/IF($B$4, 2.205, 1)</f>
        <v>562.29285083023171</v>
      </c>
      <c r="N13" s="97">
        <f>$E$8*N7*39.37*0.2248/$E$17/IF($B$4, 2.205, 1)</f>
        <v>376.8594005449591</v>
      </c>
      <c r="O13" s="12">
        <v>300</v>
      </c>
      <c r="P13" s="97">
        <f>$E$8*P7*39.37*0.2248/$E$17/IF($B$4, 2.205, 1)</f>
        <v>97.028973185759966</v>
      </c>
    </row>
    <row r="14" spans="2:16" x14ac:dyDescent="0.3">
      <c r="C14" s="41" t="s">
        <v>32</v>
      </c>
      <c r="D14" s="11">
        <v>11</v>
      </c>
      <c r="G14" s="66" t="s">
        <v>38</v>
      </c>
      <c r="H14" s="98">
        <f t="shared" ref="H14:O14" si="8">12*0.113*$E$17*$E$18/($D$15*$D$8*$D$13*H7)</f>
        <v>3.1016390041493764</v>
      </c>
      <c r="I14" s="98">
        <f t="shared" si="8"/>
        <v>5.4999999999999991</v>
      </c>
      <c r="J14" s="98">
        <f t="shared" si="8"/>
        <v>1.3811295656610589</v>
      </c>
      <c r="K14" s="98">
        <f t="shared" si="8"/>
        <v>10.999999999999998</v>
      </c>
      <c r="L14" s="98">
        <f t="shared" si="8"/>
        <v>0.82342407303435561</v>
      </c>
      <c r="M14" s="98">
        <f t="shared" si="8"/>
        <v>1.7255949998740978</v>
      </c>
      <c r="N14" s="98">
        <f t="shared" ref="N14" si="9">12*0.113*$E$17*$E$18/($D$15*$D$8*$D$13*N7)</f>
        <v>2.5746730224972723</v>
      </c>
      <c r="O14" s="98">
        <f t="shared" si="8"/>
        <v>3.234</v>
      </c>
      <c r="P14" s="13">
        <v>10</v>
      </c>
    </row>
    <row r="15" spans="2:16" x14ac:dyDescent="0.3">
      <c r="C15" s="41" t="s">
        <v>33</v>
      </c>
      <c r="D15" s="14">
        <v>0.8</v>
      </c>
    </row>
    <row r="17" spans="3:15" x14ac:dyDescent="0.3">
      <c r="C17" s="41" t="str">
        <f>"Radius (" &amp; IF($B$4, "mm", "in") &amp; ")"</f>
        <v>Radius (in)</v>
      </c>
      <c r="D17" s="15">
        <v>1.9999999999999993</v>
      </c>
      <c r="E17" s="3">
        <f>D17/IF($B$4, 25.4, 1)</f>
        <v>1.9999999999999993</v>
      </c>
      <c r="H17" s="22" t="s">
        <v>48</v>
      </c>
      <c r="I17" s="99">
        <f>IF(PRODUCT(I18:I21)&gt;0,PRODUCT(I18:I21),1)/IF(PRODUCT(H18:H21)&gt;0,PRODUCT(H18:H21), 1)</f>
        <v>20</v>
      </c>
    </row>
    <row r="18" spans="3:15" x14ac:dyDescent="0.3">
      <c r="C18" s="41" t="str">
        <f>"Load (" &amp; IF($B$4, "kgf", "lbf") &amp; ")"</f>
        <v>Load (lbf)</v>
      </c>
      <c r="D18" s="16">
        <v>88.2</v>
      </c>
      <c r="E18" s="3">
        <f>D18*IF($B$4, 2.205, 1)</f>
        <v>88.2</v>
      </c>
      <c r="H18" s="17"/>
      <c r="I18" s="18">
        <v>6</v>
      </c>
    </row>
    <row r="19" spans="3:15" x14ac:dyDescent="0.3">
      <c r="H19" s="17">
        <v>18</v>
      </c>
      <c r="I19" s="18">
        <v>60</v>
      </c>
    </row>
    <row r="20" spans="3:15" x14ac:dyDescent="0.3">
      <c r="H20" s="17"/>
      <c r="I20" s="18"/>
    </row>
    <row r="21" spans="3:15" x14ac:dyDescent="0.3">
      <c r="H21" s="17"/>
      <c r="I21" s="18"/>
    </row>
    <row r="23" spans="3:15" ht="15" thickBot="1" x14ac:dyDescent="0.35"/>
    <row r="24" spans="3:15" ht="18.75" customHeight="1" x14ac:dyDescent="0.3">
      <c r="D24" s="178" t="s">
        <v>49</v>
      </c>
      <c r="E24" s="179"/>
      <c r="F24" s="179"/>
      <c r="G24" s="179"/>
      <c r="H24" s="179"/>
      <c r="I24" s="179"/>
      <c r="J24" s="179"/>
      <c r="K24" s="179"/>
      <c r="L24" s="179"/>
      <c r="M24" s="179"/>
      <c r="N24" s="179"/>
      <c r="O24" s="180"/>
    </row>
    <row r="25" spans="3:15" ht="75" customHeight="1" x14ac:dyDescent="0.3">
      <c r="D25" s="181" t="s">
        <v>50</v>
      </c>
      <c r="E25" s="182"/>
      <c r="F25" s="182"/>
      <c r="G25" s="182"/>
      <c r="H25" s="182"/>
      <c r="I25" s="182"/>
      <c r="J25" s="182"/>
      <c r="K25" s="182"/>
      <c r="L25" s="182"/>
      <c r="M25" s="182"/>
      <c r="N25" s="182"/>
      <c r="O25" s="183"/>
    </row>
    <row r="26" spans="3:15" ht="72" customHeight="1" x14ac:dyDescent="0.3">
      <c r="D26" s="181" t="s">
        <v>51</v>
      </c>
      <c r="E26" s="182"/>
      <c r="F26" s="182"/>
      <c r="G26" s="182"/>
      <c r="H26" s="182"/>
      <c r="I26" s="182"/>
      <c r="J26" s="182"/>
      <c r="K26" s="182"/>
      <c r="L26" s="182"/>
      <c r="M26" s="182"/>
      <c r="N26" s="182"/>
      <c r="O26" s="183"/>
    </row>
    <row r="27" spans="3:15" ht="73.5" customHeight="1" thickBot="1" x14ac:dyDescent="0.35">
      <c r="D27" s="175" t="s">
        <v>52</v>
      </c>
      <c r="E27" s="176"/>
      <c r="F27" s="176"/>
      <c r="G27" s="176"/>
      <c r="H27" s="176"/>
      <c r="I27" s="176"/>
      <c r="J27" s="176"/>
      <c r="K27" s="176"/>
      <c r="L27" s="176"/>
      <c r="M27" s="176"/>
      <c r="N27" s="176"/>
      <c r="O27" s="177"/>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106" priority="18">
      <formula>$H$9&lt;=0</formula>
    </cfRule>
  </conditionalFormatting>
  <conditionalFormatting sqref="L7:L8 L12:L14">
    <cfRule type="expression" dxfId="105" priority="17">
      <formula>ISERROR($L$7)</formula>
    </cfRule>
  </conditionalFormatting>
  <conditionalFormatting sqref="M7:M10 M12:M14">
    <cfRule type="expression" dxfId="104" priority="16">
      <formula>ISERROR($M$7)</formula>
    </cfRule>
  </conditionalFormatting>
  <conditionalFormatting sqref="N7">
    <cfRule type="expression" dxfId="103" priority="15">
      <formula>$N$9&lt;0</formula>
    </cfRule>
  </conditionalFormatting>
  <conditionalFormatting sqref="P14 O13 N12 M11 L9 D13:D15 D17:D18">
    <cfRule type="containsBlanks" dxfId="102" priority="19">
      <formula>LEN(TRIM(D9))=0</formula>
    </cfRule>
  </conditionalFormatting>
  <conditionalFormatting sqref="O7">
    <cfRule type="expression" dxfId="101" priority="13">
      <formula>ISERROR($O$8)</formula>
    </cfRule>
  </conditionalFormatting>
  <conditionalFormatting sqref="P7">
    <cfRule type="expression" dxfId="100" priority="12">
      <formula>ISERROR($P$7)</formula>
    </cfRule>
  </conditionalFormatting>
  <conditionalFormatting sqref="H18:I21">
    <cfRule type="expression" dxfId="99" priority="11">
      <formula>$I$17=1</formula>
    </cfRule>
  </conditionalFormatting>
  <conditionalFormatting sqref="D14">
    <cfRule type="cellIs" dxfId="98" priority="10" operator="greaterThan">
      <formula>12</formula>
    </cfRule>
  </conditionalFormatting>
  <conditionalFormatting sqref="P14">
    <cfRule type="cellIs" dxfId="97" priority="9" operator="greaterThan">
      <formula>$D$14</formula>
    </cfRule>
  </conditionalFormatting>
  <conditionalFormatting sqref="D15">
    <cfRule type="cellIs" dxfId="96" priority="8" operator="greaterThan">
      <formula>1</formula>
    </cfRule>
  </conditionalFormatting>
  <conditionalFormatting sqref="D13:D15 D17:D18 L9 M11 N12 O13 P14">
    <cfRule type="cellIs" dxfId="95" priority="7" operator="lessThanOrEqual">
      <formula>0</formula>
    </cfRule>
  </conditionalFormatting>
  <conditionalFormatting sqref="N8:N11">
    <cfRule type="expression" dxfId="94" priority="6">
      <formula>$H$9&lt;=0</formula>
    </cfRule>
  </conditionalFormatting>
  <conditionalFormatting sqref="N13:N14">
    <cfRule type="expression" dxfId="93" priority="5">
      <formula>$H$9&lt;=0</formula>
    </cfRule>
  </conditionalFormatting>
  <conditionalFormatting sqref="O8:O12">
    <cfRule type="expression" dxfId="92" priority="4">
      <formula>$H$9&lt;=0</formula>
    </cfRule>
  </conditionalFormatting>
  <conditionalFormatting sqref="O14">
    <cfRule type="expression" dxfId="91" priority="3">
      <formula>$H$9&lt;=0</formula>
    </cfRule>
  </conditionalFormatting>
  <conditionalFormatting sqref="P8:P13">
    <cfRule type="expression" dxfId="90" priority="2">
      <formula>$H$9&lt;=0</formula>
    </cfRule>
  </conditionalFormatting>
  <conditionalFormatting sqref="D13:D15 D17:D18 H18:I21 L9 M11 N12 O13 P14">
    <cfRule type="expression" dxfId="89" priority="1">
      <formula>ISTEXT(D9)</formula>
    </cfRule>
  </conditionalFormatting>
  <dataValidations count="1">
    <dataValidation type="list" allowBlank="1" showErrorMessage="1" errorTitle="Error" error="Not a valid motor." sqref="C6:D6" xr:uid="{00000000-0002-0000-0100-000000000000}">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182880</xdr:rowOff>
                  </from>
                  <to>
                    <xdr:col>2</xdr:col>
                    <xdr:colOff>7620</xdr:colOff>
                    <xdr:row>4</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J23"/>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6640625" style="1" customWidth="1"/>
    <col min="8" max="16384" width="9.109375" style="1"/>
  </cols>
  <sheetData>
    <row r="2" spans="2:10" ht="31.2" x14ac:dyDescent="0.3">
      <c r="C2" s="2" t="s">
        <v>53</v>
      </c>
    </row>
    <row r="4" spans="2:10" x14ac:dyDescent="0.3">
      <c r="B4" s="8" t="b">
        <v>0</v>
      </c>
      <c r="C4" s="1" t="s">
        <v>0</v>
      </c>
    </row>
    <row r="6" spans="2:10" x14ac:dyDescent="0.3">
      <c r="C6" s="100" t="str">
        <f>"Diameter (" &amp; IF($B$4,"mm","in") &amp; ")"</f>
        <v>Diameter (in)</v>
      </c>
      <c r="D6" s="106">
        <v>0.375</v>
      </c>
      <c r="G6" s="89" t="s">
        <v>62</v>
      </c>
      <c r="H6" s="101">
        <f>(D7*D8/(PI()*(D6-D7/2)))/((PI()*(D6-D7/2)*D14+D7*D8*COS(0.5*RADIANS(D9)))/(PI()*(D6-D7/2)*COS(0.5*RADIANS(D9))-D14*D7*D8))</f>
        <v>0.41621760320185969</v>
      </c>
    </row>
    <row r="7" spans="2:10" x14ac:dyDescent="0.3">
      <c r="C7" s="100" t="str">
        <f>"Pitch (" &amp; IF($B$4, "mm", "in") &amp; "/rev)"</f>
        <v>Pitch (in/rev)</v>
      </c>
      <c r="D7" s="106">
        <v>0.1</v>
      </c>
      <c r="G7" s="89" t="str">
        <f>"Equivalent Radius (" &amp; IF($B$4, "mm", "in") &amp; ")"</f>
        <v>Equivalent Radius (in)</v>
      </c>
      <c r="H7" s="42">
        <f>D7*D8/(2*PI())</f>
        <v>1.5915494309189534E-2</v>
      </c>
    </row>
    <row r="8" spans="2:10" x14ac:dyDescent="0.3">
      <c r="C8" s="100" t="s">
        <v>54</v>
      </c>
      <c r="D8" s="18">
        <v>1</v>
      </c>
    </row>
    <row r="9" spans="2:10" x14ac:dyDescent="0.3">
      <c r="C9" s="100" t="s">
        <v>55</v>
      </c>
      <c r="D9" s="18">
        <v>29</v>
      </c>
      <c r="G9" s="64" t="str">
        <f>"Applied Force (" &amp; IF($B$4, "N", "lbf") &amp; ")"</f>
        <v>Applied Force (lbf)</v>
      </c>
      <c r="H9" s="19">
        <v>889.60000000000048</v>
      </c>
      <c r="I9" s="102">
        <f>I10/(($D$6-$D$7/2)/2*((PI()*($D$6-$D$7/2)*$D$14+$D$7*$D$8*COS(0.5*RADIANS($D$9)))/(PI()*($D$6-$D$7/2)*COS(0.5*RADIANS($D$9))-$D$14*$D$7*$D$8)))</f>
        <v>46.294429616346761</v>
      </c>
      <c r="J9" s="102">
        <f>J11/(($D$6-$D$7/2)/2*((PI()*$D$14*($D$6-$D$7/2)-$D$7*$D$8*COS(0.5*RADIANS($D$9)))/(PI()*($D$6-$D$7/2)*COS(0.5*RADIANS($D$9))+$D$14*$D$7*$D$8)))</f>
        <v>45.562656592416822</v>
      </c>
    </row>
    <row r="10" spans="2:10" x14ac:dyDescent="0.3">
      <c r="G10" s="65" t="str">
        <f>"Raise Torque (" &amp; IF($B$4, "Nmm", "in-lb") &amp; ")"</f>
        <v>Raise Torque (in-lb)</v>
      </c>
      <c r="H10" s="76">
        <f>H9*($D$6-$D$7/2)/2*((PI()*($D$6-$D$7/2)*$D$14+$D$7*$D$8*COS(0.5*RADIANS($D$9)))/(PI()*($D$6-$D$7/2)*COS(0.5*RADIANS($D$9))-$D$14*$D$7*$D$8))</f>
        <v>34.016878739721115</v>
      </c>
      <c r="I10" s="9">
        <v>1.7702248185519569</v>
      </c>
      <c r="J10" s="76">
        <f>J9*($D$6-$D$7/2)/2*((PI()*($D$6-$D$7/2)*$D$14+$D$7*$D$8*COS(0.5*RADIANS($D$9)))/(PI()*($D$6-$D$7/2)*COS(0.5*RADIANS($D$9))-$D$14*$D$7*$D$8))</f>
        <v>1.7422429905168582</v>
      </c>
    </row>
    <row r="11" spans="2:10" x14ac:dyDescent="0.3">
      <c r="C11" s="100" t="s">
        <v>56</v>
      </c>
      <c r="D11" s="18" t="s">
        <v>59</v>
      </c>
      <c r="G11" s="65" t="str">
        <f>"Lower Torque (" &amp; IF($B$4, "Nmm", "in-lb") &amp; ")"</f>
        <v>Lower Torque (in-lb)</v>
      </c>
      <c r="H11" s="76">
        <f>H9*($D$6-$D$7/2)/2*((PI()*$D$14*($D$6-$D$7/2)-$D$7*$D$8*COS(0.5*RADIANS($D$9)))/(PI()*($D$6-$D$7/2)*COS(0.5*RADIANS($D$9))+$D$14*$D$7*$D$8))</f>
        <v>5.1844825884645189</v>
      </c>
      <c r="I11" s="76">
        <f>I9*($D$6-$D$7/2)/2*((PI()*$D$14*($D$6-$D$7/2)-$D$7*$D$8*COS(0.5*RADIANS($D$9)))/(PI()*($D$6-$D$7/2)*COS(0.5*RADIANS($D$9))+$D$14*$D$7*$D$8))</f>
        <v>0.26979840859807303</v>
      </c>
      <c r="J11" s="9">
        <v>0.26553372278279341</v>
      </c>
    </row>
    <row r="12" spans="2:10" x14ac:dyDescent="0.3">
      <c r="C12" s="100" t="s">
        <v>57</v>
      </c>
      <c r="D12" s="18" t="s">
        <v>64</v>
      </c>
      <c r="G12" s="65" t="str">
        <f>"Eq. Raise Load (" &amp; IF($B$4, "kgf", "lbf") &amp; ")"</f>
        <v>Eq. Raise Load (lbf)</v>
      </c>
      <c r="H12" s="76">
        <f t="shared" ref="H12:J13" si="0">H10/$H$7/9.8</f>
        <v>218.09627825869933</v>
      </c>
      <c r="I12" s="76">
        <f t="shared" si="0"/>
        <v>11.349643439112555</v>
      </c>
      <c r="J12" s="76">
        <f t="shared" si="0"/>
        <v>11.170240366889946</v>
      </c>
    </row>
    <row r="13" spans="2:10" x14ac:dyDescent="0.3">
      <c r="C13" s="100" t="s">
        <v>58</v>
      </c>
      <c r="D13" s="18" t="s">
        <v>60</v>
      </c>
      <c r="G13" s="66" t="str">
        <f>"Eq. Lower Load (" &amp; IF($B$4, "kgf", "lbf") &amp; ")"</f>
        <v>Eq. Lower Load (lbf)</v>
      </c>
      <c r="H13" s="98">
        <f t="shared" si="0"/>
        <v>33.239862066498624</v>
      </c>
      <c r="I13" s="98">
        <f t="shared" si="0"/>
        <v>1.7297891804120888</v>
      </c>
      <c r="J13" s="98">
        <f t="shared" si="0"/>
        <v>1.7024465158668827</v>
      </c>
    </row>
    <row r="14" spans="2:10" x14ac:dyDescent="0.3">
      <c r="D14" s="3">
        <f>IF($D$11="Steel", IF($D$13="No",IF($D$12="Steel",0.2,IF($D$12="Bronze",0.19,IF($D$12="Brass",0.17,0.2))), IF($D$12="Steel",0.14,IF($D$12="Bronze",0.13,IF($D$12="Brass",0.13,0.14)))), IF($D$12="Steel",0.1,IF($D$12="Bronze",0.05,IF($D$12="Brass",0.05,0.08))))</f>
        <v>0.13</v>
      </c>
    </row>
    <row r="15" spans="2:10" x14ac:dyDescent="0.3">
      <c r="G15" s="64" t="s">
        <v>63</v>
      </c>
      <c r="H15" s="20">
        <v>5000</v>
      </c>
      <c r="I15" s="103">
        <f>I16*60/$D$7/$D$8*IF($B$4, 1000, 12)</f>
        <v>7200</v>
      </c>
    </row>
    <row r="16" spans="2:10" x14ac:dyDescent="0.3">
      <c r="C16" s="100" t="s">
        <v>61</v>
      </c>
      <c r="D16" s="104" t="b">
        <f>((PI()*$D$14*($D$6-$D$7/2)-$D$7*$D$8*COS(0.5*RADIANS($D$9)))/(PI()*($D$6-$D$7/2)*COS(0.5*RADIANS($D$9))+$D$14*$D$7*$D$8))&lt;0</f>
        <v>0</v>
      </c>
      <c r="G16" s="66" t="str">
        <f>"Linear Speed (" &amp; IF($B$4, "m", "ft") &amp; "/s)"</f>
        <v>Linear Speed (ft/s)</v>
      </c>
      <c r="H16" s="105">
        <f>H15/60*$D$7*$D$8/IF($B$4, 1000, 12)</f>
        <v>0.69444444444444453</v>
      </c>
      <c r="I16" s="21">
        <v>1</v>
      </c>
    </row>
    <row r="19" spans="3:10" ht="43.5" customHeight="1" x14ac:dyDescent="0.3">
      <c r="C19" s="186" t="s">
        <v>65</v>
      </c>
      <c r="D19" s="187"/>
      <c r="E19" s="187"/>
      <c r="F19" s="187"/>
      <c r="G19" s="187"/>
      <c r="H19" s="187"/>
      <c r="I19" s="187"/>
      <c r="J19" s="188"/>
    </row>
    <row r="20" spans="3:10" x14ac:dyDescent="0.3">
      <c r="C20" s="189" t="s">
        <v>66</v>
      </c>
      <c r="D20" s="190"/>
      <c r="E20" s="190"/>
      <c r="F20" s="190"/>
      <c r="G20" s="190"/>
      <c r="H20" s="190"/>
      <c r="I20" s="190"/>
      <c r="J20" s="191"/>
    </row>
    <row r="22" spans="3:10" ht="43.5" customHeight="1" x14ac:dyDescent="0.3">
      <c r="C22" s="186" t="s">
        <v>67</v>
      </c>
      <c r="D22" s="187"/>
      <c r="E22" s="187"/>
      <c r="F22" s="187"/>
      <c r="G22" s="187"/>
      <c r="H22" s="187"/>
      <c r="I22" s="187"/>
      <c r="J22" s="188"/>
    </row>
    <row r="23" spans="3:10" ht="29.25" customHeight="1" x14ac:dyDescent="0.3">
      <c r="C23" s="189" t="s">
        <v>68</v>
      </c>
      <c r="D23" s="190"/>
      <c r="E23" s="190"/>
      <c r="F23" s="190"/>
      <c r="G23" s="190"/>
      <c r="H23" s="190"/>
      <c r="I23" s="190"/>
      <c r="J23" s="191"/>
    </row>
  </sheetData>
  <sheetProtection sheet="1" objects="1" scenarios="1" formatCells="0" formatColumns="0" formatRows="0"/>
  <mergeCells count="4">
    <mergeCell ref="C19:J19"/>
    <mergeCell ref="C20:J20"/>
    <mergeCell ref="C22:J22"/>
    <mergeCell ref="C23:J23"/>
  </mergeCells>
  <conditionalFormatting sqref="J9:J10 J12:J13">
    <cfRule type="expression" dxfId="88" priority="6">
      <formula>$J$9&lt;0</formula>
    </cfRule>
  </conditionalFormatting>
  <conditionalFormatting sqref="I9 I11:I13">
    <cfRule type="expression" dxfId="87" priority="5">
      <formula>$I$9&lt;0</formula>
    </cfRule>
  </conditionalFormatting>
  <conditionalFormatting sqref="H9 I10 I16 H15 D6:D9">
    <cfRule type="cellIs" dxfId="86" priority="4" operator="lessThan">
      <formula>0</formula>
    </cfRule>
  </conditionalFormatting>
  <conditionalFormatting sqref="J11 I10 H9 I16 H15 D6:D9 D11:D13">
    <cfRule type="containsBlanks" dxfId="85" priority="3">
      <formula>LEN(TRIM(D6))=0</formula>
    </cfRule>
  </conditionalFormatting>
  <conditionalFormatting sqref="D9">
    <cfRule type="cellIs" dxfId="84" priority="2" operator="greaterThan">
      <formula>90</formula>
    </cfRule>
  </conditionalFormatting>
  <conditionalFormatting sqref="D6:D9 H9 I10 J11 H15 I16">
    <cfRule type="expression" dxfId="83" priority="1">
      <formula>ISTEXT(D6)</formula>
    </cfRule>
  </conditionalFormatting>
  <dataValidations count="4">
    <dataValidation type="list" allowBlank="1" showInputMessage="1" prompt="You can choose a common thread angle or enter a custom angle" sqref="D9" xr:uid="{00000000-0002-0000-0200-000000000000}">
      <formula1>"29,30,90"</formula1>
    </dataValidation>
    <dataValidation type="list" allowBlank="1" showInputMessage="1" showErrorMessage="1" sqref="D11" xr:uid="{00000000-0002-0000-0200-000001000000}">
      <formula1>"Steel,Bronze"</formula1>
    </dataValidation>
    <dataValidation type="list" allowBlank="1" showInputMessage="1" showErrorMessage="1" sqref="D12" xr:uid="{00000000-0002-0000-0200-000002000000}">
      <formula1>"Steel,Bronze,Brass,Cast Iron"</formula1>
    </dataValidation>
    <dataValidation type="list" allowBlank="1" showInputMessage="1" showErrorMessage="1" sqref="D13" xr:uid="{00000000-0002-0000-0200-000003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27"/>
  <sheetViews>
    <sheetView zoomScaleNormal="100" workbookViewId="0"/>
  </sheetViews>
  <sheetFormatPr defaultColWidth="9.109375" defaultRowHeight="14.4" x14ac:dyDescent="0.3"/>
  <cols>
    <col min="1" max="1" width="7.109375" style="1" customWidth="1"/>
    <col min="2" max="2" width="3.33203125" style="1" customWidth="1"/>
    <col min="3" max="3" width="21.5546875" style="1" customWidth="1"/>
    <col min="4" max="4" width="9.109375" style="1" customWidth="1"/>
    <col min="5" max="5" width="9.109375" style="1"/>
    <col min="6" max="6" width="14.33203125" style="1" customWidth="1"/>
    <col min="7" max="8" width="11.44140625" style="1" customWidth="1"/>
    <col min="9" max="9" width="9.109375" style="1" customWidth="1"/>
    <col min="10" max="10" width="13.33203125" style="1" customWidth="1"/>
    <col min="11" max="11" width="8.109375" style="1" customWidth="1"/>
    <col min="12" max="12" width="9.109375" style="1" customWidth="1"/>
    <col min="13" max="16384" width="9.109375" style="1"/>
  </cols>
  <sheetData>
    <row r="2" spans="2:14" ht="31.2" x14ac:dyDescent="0.3">
      <c r="C2" s="2" t="s">
        <v>69</v>
      </c>
    </row>
    <row r="4" spans="2:14" x14ac:dyDescent="0.3">
      <c r="B4" s="8" t="b">
        <v>0</v>
      </c>
      <c r="C4" s="1" t="s">
        <v>0</v>
      </c>
    </row>
    <row r="6" spans="2:14" x14ac:dyDescent="0.3">
      <c r="C6" s="184" t="s">
        <v>6</v>
      </c>
      <c r="D6" s="192"/>
      <c r="E6" s="22" t="s">
        <v>30</v>
      </c>
      <c r="G6" s="89" t="s">
        <v>75</v>
      </c>
      <c r="H6" s="90" t="s">
        <v>76</v>
      </c>
      <c r="I6" s="90" t="s">
        <v>77</v>
      </c>
      <c r="J6" s="23" t="str">
        <f>"C-C dist. (" &amp; IF($B$4, "mm", "in") &amp; ")"</f>
        <v>C-C dist. (in)</v>
      </c>
    </row>
    <row r="7" spans="2:14" x14ac:dyDescent="0.3">
      <c r="C7" s="24" t="s">
        <v>1</v>
      </c>
      <c r="D7" s="25">
        <f>VLOOKUP($C$6, MotorSpecs, 2, FALSE)</f>
        <v>5330</v>
      </c>
      <c r="E7" s="26">
        <f>D7*(D14/12)</f>
        <v>4885.833333333333</v>
      </c>
      <c r="G7" s="27">
        <v>12</v>
      </c>
      <c r="H7" s="28">
        <v>54</v>
      </c>
      <c r="I7" s="28">
        <v>20</v>
      </c>
      <c r="J7" s="29">
        <f>IF(COUNTBLANK(G7:I7)&gt;0, "", ((G7+H7)/(2*I7)+0.003)*IF($B$4, 25.4, 1))</f>
        <v>1.6529999999999998</v>
      </c>
    </row>
    <row r="8" spans="2:14"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3">
      <c r="C9" s="30" t="s">
        <v>3</v>
      </c>
      <c r="D9" s="33">
        <f>VLOOKUP($C$6, MotorSpecs, 4, FALSE)</f>
        <v>2.7</v>
      </c>
      <c r="E9" s="34">
        <f>D9*D13*(D14/12)</f>
        <v>14.850000000000001</v>
      </c>
      <c r="G9" s="27"/>
      <c r="H9" s="28"/>
      <c r="I9" s="28"/>
      <c r="J9" s="29" t="str">
        <f t="shared" si="0"/>
        <v/>
      </c>
    </row>
    <row r="10" spans="2:14" x14ac:dyDescent="0.3">
      <c r="C10" s="30" t="s">
        <v>4</v>
      </c>
      <c r="D10" s="35">
        <f>VLOOKUP($C$6, MotorSpecs, 5, FALSE)</f>
        <v>131</v>
      </c>
      <c r="E10" s="36">
        <f>D10*D13*(D14/12)</f>
        <v>720.5</v>
      </c>
      <c r="G10" s="27"/>
      <c r="H10" s="28"/>
      <c r="I10" s="28"/>
      <c r="J10" s="29" t="str">
        <f t="shared" si="0"/>
        <v/>
      </c>
    </row>
    <row r="11" spans="2:14" x14ac:dyDescent="0.3">
      <c r="C11" s="37" t="s">
        <v>5</v>
      </c>
      <c r="D11" s="38">
        <f>VLOOKUP($C$6, MotorSpecs, 6, FALSE)</f>
        <v>336.28916760964142</v>
      </c>
      <c r="E11" s="39">
        <f>(E7/60*2*PI())*E8/4</f>
        <v>1356.3663093588871</v>
      </c>
    </row>
    <row r="12" spans="2:14" x14ac:dyDescent="0.3">
      <c r="G12" s="195" t="s">
        <v>78</v>
      </c>
      <c r="H12" s="196"/>
      <c r="I12" s="40">
        <f>IF(COUNTBLANK($H$7:$H$10)&lt;4, PRODUCT($H$7:$H$10), 1)/IF(COUNTBLANK($G$7:$G$10)&lt;4, PRODUCT($G$7:$G$10), 1)</f>
        <v>12.5</v>
      </c>
    </row>
    <row r="13" spans="2:14" x14ac:dyDescent="0.3">
      <c r="C13" s="41" t="s">
        <v>80</v>
      </c>
      <c r="D13" s="11">
        <v>6</v>
      </c>
      <c r="G13" s="195" t="str">
        <f>"Adjusted Speed (" &amp; IF($B$4, "m", "ft") &amp; "/s)"</f>
        <v>Adjusted Speed (ft/s)</v>
      </c>
      <c r="H13" s="196"/>
      <c r="I13" s="42">
        <f>I14*$D$16</f>
        <v>6.0715001399693662</v>
      </c>
      <c r="N13" s="43"/>
    </row>
    <row r="14" spans="2:14" x14ac:dyDescent="0.3">
      <c r="C14" s="41" t="s">
        <v>32</v>
      </c>
      <c r="D14" s="11">
        <v>11</v>
      </c>
      <c r="G14" s="195" t="str">
        <f>"Free Speed (" &amp; IF($B$4, "m", "ft") &amp; "/s)"</f>
        <v>Free Speed (ft/s)</v>
      </c>
      <c r="H14" s="196"/>
      <c r="I14" s="42">
        <f>($E$7/60)/I12*((D20/IF($B$4,25.4,1))*PI()/12)/IF($B$4, 3.281, 1)</f>
        <v>6.8219102696285008</v>
      </c>
    </row>
    <row r="15" spans="2:14" x14ac:dyDescent="0.3">
      <c r="C15" s="41" t="s">
        <v>70</v>
      </c>
      <c r="D15" s="14">
        <v>0.8</v>
      </c>
      <c r="G15" s="195" t="s">
        <v>79</v>
      </c>
      <c r="H15" s="196"/>
      <c r="I15" s="44">
        <f>(($E$10-$E$9)/$E$8)*($D$19*IF($B$4,2.205,1))*$D$17*D21/$D$13*((D20/IF($B$4,25.4,1))/2)/I12*4.448*0.0254 + $E$9/$D$13</f>
        <v>33.350043284094035</v>
      </c>
    </row>
    <row r="16" spans="2:14" x14ac:dyDescent="0.3">
      <c r="C16" s="41" t="s">
        <v>71</v>
      </c>
      <c r="D16" s="14">
        <v>0.89</v>
      </c>
    </row>
    <row r="17" spans="3:12" x14ac:dyDescent="0.3">
      <c r="C17" s="41" t="s">
        <v>72</v>
      </c>
      <c r="D17" s="14">
        <v>1</v>
      </c>
      <c r="E17" s="3"/>
      <c r="G17" s="45" t="s">
        <v>75</v>
      </c>
      <c r="H17" s="46" t="s">
        <v>76</v>
      </c>
      <c r="J17" s="193" t="s">
        <v>78</v>
      </c>
      <c r="K17" s="194"/>
      <c r="L17" s="40">
        <f>IF(COUNTBLANK($H$7:$H$10)&lt;4, PRODUCT($H$7:$H$10), 1)*IF(ISBLANK(H18), 1, H18) / (IF(COUNTBLANK($G$7:$G$10)&lt;4, PRODUCT($G$7:$G$10), 1)*IF(ISBLANK(G18), 1, G18))</f>
        <v>15.625</v>
      </c>
    </row>
    <row r="18" spans="3:12" x14ac:dyDescent="0.3">
      <c r="D18" s="5"/>
      <c r="E18" s="3"/>
      <c r="G18" s="47">
        <v>12</v>
      </c>
      <c r="H18" s="48">
        <v>15</v>
      </c>
      <c r="J18" s="193" t="str">
        <f>"Adjusted Speed (" &amp; IF($B$4, "m", "ft") &amp; "/s)"</f>
        <v>Adjusted Speed (ft/s)</v>
      </c>
      <c r="K18" s="194"/>
      <c r="L18" s="42">
        <f>L19*$D$16</f>
        <v>4.8572001119754935</v>
      </c>
    </row>
    <row r="19" spans="3:12" x14ac:dyDescent="0.3">
      <c r="C19" s="41" t="str">
        <f>"Robot Weight  (" &amp; IF($B$4, "kg", "lbs") &amp; ")"</f>
        <v>Robot Weight  (lbs)</v>
      </c>
      <c r="D19" s="49">
        <v>154</v>
      </c>
      <c r="G19" s="50" t="s">
        <v>77</v>
      </c>
      <c r="H19" s="51"/>
      <c r="J19" s="193" t="str">
        <f>"Free Speed (" &amp; IF($B$4, "m", "ft") &amp; "/s)"</f>
        <v>Free Speed (ft/s)</v>
      </c>
      <c r="K19" s="194"/>
      <c r="L19" s="42">
        <f>($E$7/60)/L17*((D20/IF($B$4,25.4,1))*PI()/12)/IF($B$4, 3.281, 1)</f>
        <v>5.4575282157028013</v>
      </c>
    </row>
    <row r="20" spans="3:12" x14ac:dyDescent="0.3">
      <c r="C20" s="41" t="str">
        <f>"Wheel Diam. (" &amp; IF($B$4, "mm", "in") &amp; ")"</f>
        <v>Wheel Diam. (in)</v>
      </c>
      <c r="D20" s="52">
        <v>3.9999999999999987</v>
      </c>
      <c r="G20" s="53" t="str">
        <f>"C-C (" &amp; IF($B$4, "mm", "in") &amp; ")"</f>
        <v>C-C (in)</v>
      </c>
      <c r="H20" s="54" t="str">
        <f>IF(COUNTBLANK(G18:H19)&gt;0, "", ((G18+H18)/(2*H19)+0.003)*IF($B$4, 25.4, 1))</f>
        <v/>
      </c>
      <c r="J20" s="193" t="s">
        <v>79</v>
      </c>
      <c r="K20" s="194"/>
      <c r="L20" s="44">
        <f>(($E$10-$E$9)/$E$8)*($D$19*IF($B$4,2.205,1))*$D$17*D21/$D$13*((D20/IF($B$4,25.4,1))/2)/L17*4.448*0.0254 + $E$9/$D$13</f>
        <v>27.175034627275231</v>
      </c>
    </row>
    <row r="21" spans="3:12" x14ac:dyDescent="0.3">
      <c r="C21" s="41" t="s">
        <v>73</v>
      </c>
      <c r="D21" s="52">
        <v>1</v>
      </c>
    </row>
    <row r="22" spans="3:12" x14ac:dyDescent="0.3">
      <c r="G22" s="45" t="s">
        <v>75</v>
      </c>
      <c r="H22" s="46" t="s">
        <v>76</v>
      </c>
      <c r="J22" s="197" t="s">
        <v>78</v>
      </c>
      <c r="K22" s="198"/>
      <c r="L22" s="40">
        <f>IF(COUNTBLANK($H$7:$H$10)&lt;4, PRODUCT($H$7:$H$10), 1)*IF(ISBLANK(H23), 1, H23) / (IF(COUNTBLANK($G$7:$G$10)&lt;4, PRODUCT($G$7:$G$10), 1)*IF(ISBLANK(G23), 1, G23))</f>
        <v>25</v>
      </c>
    </row>
    <row r="23" spans="3:12" x14ac:dyDescent="0.3">
      <c r="C23" s="55" t="s">
        <v>74</v>
      </c>
      <c r="D23" s="8" t="b">
        <v>0</v>
      </c>
      <c r="G23" s="47"/>
      <c r="H23" s="48">
        <v>2</v>
      </c>
      <c r="J23" s="197" t="str">
        <f>"Adjusted Speed (" &amp; IF($B$4, "m", "ft") &amp; "/s)"</f>
        <v>Adjusted Speed (ft/s)</v>
      </c>
      <c r="K23" s="198"/>
      <c r="L23" s="42">
        <f>L24*$D$16</f>
        <v>3.0357500699846831</v>
      </c>
    </row>
    <row r="24" spans="3:12" x14ac:dyDescent="0.3">
      <c r="C24" s="55" t="s">
        <v>215</v>
      </c>
      <c r="D24" s="8" t="b">
        <v>0</v>
      </c>
      <c r="G24" s="50" t="s">
        <v>77</v>
      </c>
      <c r="H24" s="51"/>
      <c r="J24" s="197" t="str">
        <f>"Free Speed (" &amp; IF($B$4, "m", "ft") &amp; "/s)"</f>
        <v>Free Speed (ft/s)</v>
      </c>
      <c r="K24" s="198"/>
      <c r="L24" s="42">
        <f>($E$7/60)/L22*((IF(D24,D26,D20)/IF($B$4,25.4,1))*PI()/12)/IF($B$4, 3.281, 1)</f>
        <v>3.4109551348142504</v>
      </c>
    </row>
    <row r="25" spans="3:12" x14ac:dyDescent="0.3">
      <c r="G25" s="53" t="str">
        <f>"C-C (" &amp; IF($B$4, "mm", "in") &amp; ")"</f>
        <v>C-C (in)</v>
      </c>
      <c r="H25" s="54" t="str">
        <f>IF(COUNTBLANK(G23:H24)&gt;0, "", ((G23+H23)/(2*H24)+0.003)*IF($B$4, 25.4, 1))</f>
        <v/>
      </c>
      <c r="J25" s="197" t="s">
        <v>79</v>
      </c>
      <c r="K25" s="198"/>
      <c r="L25" s="44">
        <f>(($E$10-$E$9)/$E$8)*($D$19*IF($B$4,2.205,1))*$D$17*IF(D24,D27,D21)/$D$13*((IF(D24,D26,D20)/IF($B$4,25.4,1))/2)/L22*4.448*0.0254 + $E$9/$D$13</f>
        <v>17.912521642047018</v>
      </c>
    </row>
    <row r="26" spans="3:12" x14ac:dyDescent="0.3">
      <c r="C26" s="88" t="str">
        <f>"2nd Wheel Diam. (" &amp; IF($B$4, "mm", "in") &amp; ")"</f>
        <v>2nd Wheel Diam. (in)</v>
      </c>
      <c r="D26" s="52">
        <v>5.9999999999999991</v>
      </c>
    </row>
    <row r="27" spans="3:12" x14ac:dyDescent="0.3">
      <c r="C27" s="88" t="s">
        <v>100</v>
      </c>
      <c r="D27" s="11">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82" priority="23" operator="greaterThan">
      <formula>12</formula>
    </cfRule>
  </conditionalFormatting>
  <conditionalFormatting sqref="D13:D17 D19:D21">
    <cfRule type="cellIs" dxfId="81" priority="20" operator="lessThanOrEqual">
      <formula>0</formula>
    </cfRule>
  </conditionalFormatting>
  <conditionalFormatting sqref="D15:D17">
    <cfRule type="cellIs" dxfId="80" priority="13" operator="greaterThan">
      <formula>1</formula>
    </cfRule>
  </conditionalFormatting>
  <conditionalFormatting sqref="D13:D17 D19:D21">
    <cfRule type="containsBlanks" dxfId="79" priority="9">
      <formula>LEN(TRIM(D13))=0</formula>
    </cfRule>
  </conditionalFormatting>
  <conditionalFormatting sqref="G7:I10 G18:H18 H19 D26:D27 G23:H23 H24">
    <cfRule type="cellIs" dxfId="78" priority="7" operator="lessThan">
      <formula>0</formula>
    </cfRule>
  </conditionalFormatting>
  <conditionalFormatting sqref="C26:D27">
    <cfRule type="expression" dxfId="77" priority="24">
      <formula>NOT($D$24)</formula>
    </cfRule>
  </conditionalFormatting>
  <conditionalFormatting sqref="G17:L25">
    <cfRule type="expression" dxfId="76" priority="25">
      <formula>NOT($D$23)</formula>
    </cfRule>
  </conditionalFormatting>
  <conditionalFormatting sqref="G12:I15">
    <cfRule type="expression" dxfId="75" priority="2">
      <formula>$D$23</formula>
    </cfRule>
  </conditionalFormatting>
  <conditionalFormatting sqref="D13:D17 D19:D21 G7:I10 G18:H18 H19 G23:H23 H24">
    <cfRule type="expression" dxfId="74" priority="1">
      <formula>ISTEXT(D7)</formula>
    </cfRule>
  </conditionalFormatting>
  <dataValidations count="1">
    <dataValidation type="list" allowBlank="1" showErrorMessage="1" errorTitle="Error" error="Not a valid motor." sqref="C6:D6" xr:uid="{00000000-0002-0000-0300-000000000000}">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175260</xdr:rowOff>
                  </from>
                  <to>
                    <xdr:col>2</xdr:col>
                    <xdr:colOff>7620</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182880</xdr:rowOff>
                  </from>
                  <to>
                    <xdr:col>3</xdr:col>
                    <xdr:colOff>228600</xdr:colOff>
                    <xdr:row>22</xdr:row>
                    <xdr:rowOff>182880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182880</xdr:rowOff>
                  </from>
                  <to>
                    <xdr:col>3</xdr:col>
                    <xdr:colOff>228600</xdr:colOff>
                    <xdr:row>23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P23"/>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81</v>
      </c>
    </row>
    <row r="4" spans="2:16" x14ac:dyDescent="0.3">
      <c r="B4" s="8" t="b">
        <v>0</v>
      </c>
      <c r="C4" s="1" t="s">
        <v>0</v>
      </c>
    </row>
    <row r="6" spans="2:16" ht="18" x14ac:dyDescent="0.3">
      <c r="D6" s="5"/>
      <c r="F6" s="199" t="s">
        <v>86</v>
      </c>
      <c r="G6" s="199"/>
      <c r="I6" s="199" t="s">
        <v>85</v>
      </c>
      <c r="J6" s="199"/>
      <c r="L6" s="199" t="s">
        <v>87</v>
      </c>
      <c r="M6" s="199"/>
      <c r="O6" s="56" t="s">
        <v>88</v>
      </c>
      <c r="P6" s="56"/>
    </row>
    <row r="7" spans="2:16" x14ac:dyDescent="0.3">
      <c r="D7" s="5"/>
    </row>
    <row r="8" spans="2:16" x14ac:dyDescent="0.3">
      <c r="C8" s="89" t="s">
        <v>84</v>
      </c>
      <c r="D8" s="11" t="s">
        <v>221</v>
      </c>
      <c r="F8" s="89" t="str">
        <f>"Load Force (" &amp; IF($B$4, "kgf", "lbf") &amp; ")"</f>
        <v>Load Force (lbf)</v>
      </c>
      <c r="G8" s="52">
        <v>160</v>
      </c>
      <c r="I8" s="89" t="str">
        <f>"Load Force (" &amp; IF($B$4, "kgf", "lbf") &amp; ")"</f>
        <v>Load Force (lbf)</v>
      </c>
      <c r="J8" s="52">
        <v>160</v>
      </c>
      <c r="L8" s="89" t="str">
        <f>"Length (" &amp; IF($B$4, "mm", "in") &amp; ")"</f>
        <v>Length (in)</v>
      </c>
      <c r="M8" s="52">
        <v>20</v>
      </c>
      <c r="O8" s="89" t="str">
        <f>"Torque (" &amp; IF($B$4, "Nmm", "in-lbs") &amp; ")"</f>
        <v>Torque (in-lbs)</v>
      </c>
      <c r="P8" s="52">
        <v>1500</v>
      </c>
    </row>
    <row r="9" spans="2:16" x14ac:dyDescent="0.3">
      <c r="D9" s="57"/>
      <c r="F9" s="89" t="str">
        <f>"Distance To Support (" &amp; IF($B$4, "mm", "in") &amp; ")"</f>
        <v>Distance To Support (in)</v>
      </c>
      <c r="G9" s="52">
        <v>8</v>
      </c>
      <c r="H9" s="58"/>
      <c r="I9" s="89" t="str">
        <f>"Distance To Support (" &amp; IF($B$4, "mm", "in") &amp; ")"</f>
        <v>Distance To Support (in)</v>
      </c>
      <c r="J9" s="52">
        <v>3</v>
      </c>
      <c r="K9" s="58"/>
      <c r="L9" s="89" t="s">
        <v>220</v>
      </c>
      <c r="M9" s="16">
        <v>0.8</v>
      </c>
      <c r="N9" s="58"/>
      <c r="O9" s="89" t="str">
        <f>"Distance To Support (" &amp; IF($B$4, "mm", "in") &amp; ")"</f>
        <v>Distance To Support (in)</v>
      </c>
      <c r="P9" s="52">
        <v>3</v>
      </c>
    </row>
    <row r="10" spans="2:16" x14ac:dyDescent="0.3">
      <c r="C10" s="89" t="s">
        <v>82</v>
      </c>
      <c r="D10" s="11" t="s">
        <v>83</v>
      </c>
      <c r="F10" s="89" t="str">
        <f>"Dist. Btwn. Supports (" &amp; IF($B$4, "mm", "in") &amp; ")"</f>
        <v>Dist. Btwn. Supports (in)</v>
      </c>
      <c r="G10" s="52">
        <v>20</v>
      </c>
      <c r="I10" s="89" t="str">
        <f>"Length (" &amp; IF($B$4, "mm", "in") &amp; ")"</f>
        <v>Length (in)</v>
      </c>
      <c r="J10" s="52">
        <v>10</v>
      </c>
    </row>
    <row r="11" spans="2:16" x14ac:dyDescent="0.3">
      <c r="C11" s="89" t="str">
        <f>CHOOSE(MATCH($D$10,{"Hex","Round","Round Tube","Square","Rect. Tube"},0), "Size","Diameter","Outside Diam.","Size","║ Size") &amp; " (" &amp; IF($B$4,"mm","in") &amp; ")"</f>
        <v>Size (in)</v>
      </c>
      <c r="D11" s="15">
        <v>0.49999999999999983</v>
      </c>
    </row>
    <row r="12" spans="2:16" x14ac:dyDescent="0.3">
      <c r="C12" s="89" t="str">
        <f>CHOOSE(MATCH($D$10,{"Hex","Round","Round Tube","Square","Rect. Tube"},0), "","","Wall Thick. ("&amp;IF($B$4,"in","mm")&amp;")","","┴ Size ("&amp;IF($B$4,"mm","in")&amp;")")</f>
        <v/>
      </c>
      <c r="D12" s="15">
        <v>0.11811023622047244</v>
      </c>
    </row>
    <row r="13" spans="2:16" x14ac:dyDescent="0.3">
      <c r="C13" s="89" t="str">
        <f>CHOOSE(MATCH($D$10,{"Hex","Round","Round Tube","Square","Rect. Tube"},0), "","","","","Wall Thick. ("&amp;IF($B$4,"mm","in")&amp;")")</f>
        <v/>
      </c>
      <c r="D13" s="15">
        <v>0</v>
      </c>
      <c r="F13" s="89" t="str">
        <f>"Displacement (" &amp; IF($B$4, "mm", "in") &amp; ")"</f>
        <v>Displacement (in)</v>
      </c>
      <c r="G13" s="7">
        <f>4*G8*IF($B$4, 9.8, 1)*(MAX(G9,G10-G9))^3*(MIN(G9,G10-G9))^2 / (3*D20*D22*(3*MAX(G9,G10-G9)+MIN(G9,G10-G9))^2)</f>
        <v>0.31197632003203801</v>
      </c>
      <c r="I13" s="89" t="str">
        <f>"Displacement (" &amp; IF($B$4, "mm", "in") &amp; ")"</f>
        <v>Displacement (in)</v>
      </c>
      <c r="J13" s="42">
        <f>(J8*IF($B$4, 9.8, 1))*J9^2/(6*D22*D20)*(3*J10-J9)</f>
        <v>0.16588975220453583</v>
      </c>
      <c r="L13" s="89" t="str">
        <f>"Max. Force (" &amp; IF($B$4, "kgf", "lbf") &amp; ")"</f>
        <v>Max. Force (lbf)</v>
      </c>
      <c r="M13" s="6">
        <f>PI()^2*D22*D20/(M8*M9)^2 / IF($B$4, 9.8, 1)</f>
        <v>1505.9662099835457</v>
      </c>
      <c r="O13" s="89" t="s">
        <v>89</v>
      </c>
      <c r="P13" s="42">
        <f>DEGREES(P8*P9/(D23*D21))</f>
        <v>9.162526370559771</v>
      </c>
    </row>
    <row r="14" spans="2:16" x14ac:dyDescent="0.3">
      <c r="G14" s="57"/>
    </row>
    <row r="15" spans="2:16" ht="15" customHeight="1" x14ac:dyDescent="0.3">
      <c r="C15" s="200" t="s">
        <v>214</v>
      </c>
      <c r="D15" s="201"/>
    </row>
    <row r="16" spans="2:16" ht="15" customHeight="1" x14ac:dyDescent="0.3">
      <c r="C16" s="202"/>
      <c r="D16" s="203"/>
    </row>
    <row r="17" spans="3:4" ht="15" customHeight="1" x14ac:dyDescent="0.3">
      <c r="C17" s="202"/>
      <c r="D17" s="203"/>
    </row>
    <row r="18" spans="3:4" x14ac:dyDescent="0.3">
      <c r="C18" s="204"/>
      <c r="D18" s="205"/>
    </row>
    <row r="20" spans="3:4" x14ac:dyDescent="0.3">
      <c r="C20" s="59" t="s">
        <v>90</v>
      </c>
      <c r="D20" s="60">
        <f>CHOOSE(MATCH($D$10,{"Hex","Round","Round Tube","Square","Rect. Tube"},0), 0.0601*$D$11^4, PI()/64*$D$11^4, PI()/8*$D$11^3*$D$12, $D$11^4/12, $D$11^2*$D$12*$D$13/3)</f>
        <v>3.7562499999999948E-3</v>
      </c>
    </row>
    <row r="21" spans="3:4" x14ac:dyDescent="0.3">
      <c r="C21" s="59" t="s">
        <v>91</v>
      </c>
      <c r="D21" s="60">
        <f>CHOOSE(MATCH($D$10,{"Hex","Round","Round Tube","Square","Rect. Tube"},0), 0.1154*$D$11^4, PI()/32*$D$11^4, PI()/4*$D$11^3*$D$12, 9/64*$D$11^4, (2*$D$13^2*($D$12-$D$13)^2*($D$11-$D$13)^2)/($D$11*$D$13+$D$12*$D$13-2*$D$13^2))</f>
        <v>7.2124999999999906E-3</v>
      </c>
    </row>
    <row r="22" spans="3:4" x14ac:dyDescent="0.3">
      <c r="C22" s="59" t="s">
        <v>92</v>
      </c>
      <c r="D22" s="3">
        <f>VLOOKUP($D$8, MaterialSpecs, 2, 0)*IF($B$4, 1, 145.038)</f>
        <v>10399224.600000001</v>
      </c>
    </row>
    <row r="23" spans="3:4"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73" priority="4">
      <formula>NOT($D$10="Rect. Tube")</formula>
    </cfRule>
  </conditionalFormatting>
  <conditionalFormatting sqref="C12:D13">
    <cfRule type="expression" dxfId="72" priority="7">
      <formula>NOT(OR($D$10="Round Tube", $D$10="Rect. Tube"))</formula>
    </cfRule>
  </conditionalFormatting>
  <conditionalFormatting sqref="D11:D13 G8:G10 J8:J10 M8:M9 P8:P9">
    <cfRule type="cellIs" dxfId="71" priority="8" operator="lessThanOrEqual">
      <formula>0</formula>
    </cfRule>
  </conditionalFormatting>
  <conditionalFormatting sqref="G9">
    <cfRule type="cellIs" dxfId="70" priority="3" operator="greaterThanOrEqual">
      <formula>$G$10</formula>
    </cfRule>
  </conditionalFormatting>
  <conditionalFormatting sqref="D11 G8:G10 J8:J10 M8:M9 P8:P9">
    <cfRule type="expression" dxfId="69" priority="2">
      <formula>ISTEXT(D8)</formula>
    </cfRule>
  </conditionalFormatting>
  <conditionalFormatting sqref="D11">
    <cfRule type="containsBlanks" dxfId="68" priority="1">
      <formula>LEN(TRIM(D11))=0</formula>
    </cfRule>
  </conditionalFormatting>
  <dataValidations count="3">
    <dataValidation type="list" allowBlank="1" showInputMessage="1" showErrorMessage="1" sqref="D10" xr:uid="{00000000-0002-0000-0400-000000000000}">
      <formula1>"Hex,Round,Round Tube,Square,Rect. Tube"</formula1>
    </dataValidation>
    <dataValidation type="list" allowBlank="1" showInputMessage="1" showErrorMessage="1" sqref="D8" xr:uid="{00000000-0002-0000-0400-000001000000}">
      <formula1>Materials</formula1>
    </dataValidation>
    <dataValidation type="list" allowBlank="1" showInputMessage="1" showErrorMessage="1" prompt="Select a common value from the list or write in a custom value." sqref="M9" xr:uid="{00000000-0002-0000-0400-000002000000}">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B54EE-E45C-411D-BBDF-811B7D23ADFC}">
  <sheetPr codeName="Sheet13"/>
  <dimension ref="B2:EZ121"/>
  <sheetViews>
    <sheetView zoomScaleNormal="100" workbookViewId="0"/>
  </sheetViews>
  <sheetFormatPr defaultColWidth="9.109375" defaultRowHeight="14.4" x14ac:dyDescent="0.3"/>
  <cols>
    <col min="1" max="1" width="7.109375" style="1" customWidth="1"/>
    <col min="2" max="2" width="3.33203125" style="1" customWidth="1"/>
    <col min="3" max="3" width="21.109375" style="1" customWidth="1"/>
    <col min="4" max="4" width="10.33203125" style="1" customWidth="1"/>
    <col min="5" max="5" width="9.109375" style="1" customWidth="1"/>
    <col min="6" max="6" width="21.109375" style="1" customWidth="1"/>
    <col min="7" max="7" width="10.33203125" style="1" customWidth="1"/>
    <col min="8" max="8" width="9.109375" style="1"/>
    <col min="9" max="9" width="9.109375" style="1" customWidth="1"/>
    <col min="10" max="10" width="1.5546875" style="1" customWidth="1"/>
    <col min="11" max="19" width="9.109375" style="1"/>
    <col min="20" max="154" width="9.109375" style="3" hidden="1" customWidth="1"/>
    <col min="155" max="16384" width="9.109375" style="1"/>
  </cols>
  <sheetData>
    <row r="2" spans="2:156" ht="31.2" x14ac:dyDescent="0.3">
      <c r="C2" s="2" t="s">
        <v>94</v>
      </c>
    </row>
    <row r="3" spans="2:156" x14ac:dyDescent="0.3">
      <c r="I3" s="184" t="s">
        <v>98</v>
      </c>
      <c r="J3" s="185"/>
    </row>
    <row r="4" spans="2:156" x14ac:dyDescent="0.3">
      <c r="B4" s="8" t="b">
        <v>1</v>
      </c>
      <c r="C4" s="1" t="s">
        <v>0</v>
      </c>
      <c r="V4" s="78"/>
      <c r="W4" s="166"/>
      <c r="Y4" s="167"/>
      <c r="Z4" s="166"/>
    </row>
    <row r="5" spans="2:156" x14ac:dyDescent="0.3">
      <c r="T5" s="3">
        <f>IF($I$3="Forward",D7,G7)</f>
        <v>0.29999999999999993</v>
      </c>
      <c r="V5" s="78"/>
      <c r="W5" s="166"/>
      <c r="Y5" s="167"/>
      <c r="Z5" s="166"/>
    </row>
    <row r="6" spans="2:156" ht="18" x14ac:dyDescent="0.3">
      <c r="C6" s="199" t="s">
        <v>95</v>
      </c>
      <c r="D6" s="199"/>
      <c r="F6" s="199" t="s">
        <v>98</v>
      </c>
      <c r="G6" s="199"/>
    </row>
    <row r="7" spans="2:156" x14ac:dyDescent="0.3">
      <c r="C7" s="165" t="str">
        <f>"Release Height (" &amp; IF($B$4, "m", "ft") &amp; ")"</f>
        <v>Release Height (m)</v>
      </c>
      <c r="D7" s="52">
        <v>0.2</v>
      </c>
      <c r="F7" s="165" t="str">
        <f>"Release Height (" &amp; IF($B$4, "m", "ft") &amp; ")"</f>
        <v>Release Height (m)</v>
      </c>
      <c r="G7" s="52">
        <v>0.29999999999999993</v>
      </c>
      <c r="T7" s="78">
        <f>IF($I$3="Forward", $D$8-$D$9, $G$8-$G$9)</f>
        <v>1.9999999999999998</v>
      </c>
      <c r="U7" s="78">
        <f>$G$10-$G$11</f>
        <v>2.5</v>
      </c>
      <c r="V7" s="78">
        <f>$G$12-$G$13</f>
        <v>-80</v>
      </c>
      <c r="W7" s="78">
        <f>IF($I$3="Forward", $D$10*(1-$D$11), SQRT((IF($B$4, 9.807, 32.174)*T7)/(ABS(TAN(RADIANS(X7))-TAN(RADIANS(V7)))))/COS(RADIANS(X7)))</f>
        <v>9.5489346835634272</v>
      </c>
      <c r="X7" s="166">
        <f>IF($I$3="Forward", $D$12-$D$13, DEGREES(ATAN(2*(U7-$T$5)/T7-TAN(RADIANS(V7)))))</f>
        <v>82.759695716411017</v>
      </c>
      <c r="Y7" s="78">
        <f>IF($I$3="Forward", $D$8, $G$8)</f>
        <v>1.9999999999999998</v>
      </c>
      <c r="Z7" s="78">
        <f>$G$10-$G$11</f>
        <v>2.5</v>
      </c>
      <c r="AA7" s="78">
        <f>$G$12-$G$13</f>
        <v>-80</v>
      </c>
      <c r="AB7" s="78">
        <f>IF($I$3="Forward", $D$10*(1-$D$11), SQRT((IF($B$4, 9.807, 32.174)*Y7)/(ABS(TAN(RADIANS(AC7))-TAN(RADIANS(AA7)))))/COS(RADIANS(AC7)))</f>
        <v>9.5489346835634272</v>
      </c>
      <c r="AC7" s="166">
        <f>IF($I$3="Forward", $D$12-$D$13, DEGREES(ATAN(2*(Z7-$T$5)/Y7-TAN(RADIANS(AA7)))))</f>
        <v>82.759695716411017</v>
      </c>
      <c r="AD7" s="78">
        <f>IF($I$3="Forward", $D$8+$D$9, $G$8+$G$9)</f>
        <v>1.9999999999999998</v>
      </c>
      <c r="AE7" s="78">
        <f>$G$10-$G$11</f>
        <v>2.5</v>
      </c>
      <c r="AF7" s="78">
        <f>$G$12-$G$13</f>
        <v>-80</v>
      </c>
      <c r="AG7" s="78">
        <f>IF($I$3="Forward", $D$10*(1-$D$11), SQRT((IF($B$4, 9.807, 32.174)*AD7)/(ABS(TAN(RADIANS(AH7))-TAN(RADIANS(AF7)))))/COS(RADIANS(AH7)))</f>
        <v>9.5489346835634272</v>
      </c>
      <c r="AH7" s="166">
        <f>IF($I$3="Forward", $D$12-$D$13, DEGREES(ATAN(2*(AE7-$T$5)/AD7-TAN(RADIANS(AF7)))))</f>
        <v>82.759695716411017</v>
      </c>
      <c r="AI7" s="78">
        <f>IF($I$3="Forward", $D$8-$D$9, $G$8-$G$9)</f>
        <v>1.9999999999999998</v>
      </c>
      <c r="AJ7" s="78">
        <f>$G$10</f>
        <v>2.5</v>
      </c>
      <c r="AK7" s="78">
        <f>$G$12-$G$13</f>
        <v>-80</v>
      </c>
      <c r="AL7" s="78">
        <f>IF($I$3="Forward", $D$10, SQRT((IF($B$4, 9.807, 32.174)*AI7)/(ABS(TAN(RADIANS(AM7))-TAN(RADIANS(AK7)))))/COS(RADIANS(AM7)))</f>
        <v>9.5489346835634272</v>
      </c>
      <c r="AM7" s="166">
        <f>IF($I$3="Forward", $D$12-$D$13, DEGREES(ATAN(2*(AJ7-$T$5)/AI7-TAN(RADIANS(AK7)))))</f>
        <v>82.759695716411017</v>
      </c>
      <c r="AN7" s="78">
        <f>IF($I$3="Forward", $D$8, $G$8)</f>
        <v>1.9999999999999998</v>
      </c>
      <c r="AO7" s="78">
        <f>$G$10</f>
        <v>2.5</v>
      </c>
      <c r="AP7" s="78">
        <f>$G$12-$G$13</f>
        <v>-80</v>
      </c>
      <c r="AQ7" s="78">
        <f>IF($I$3="Forward", $D$10, SQRT((IF($B$4, 9.807, 32.174)*AN7)/(ABS(TAN(RADIANS(AR7))-TAN(RADIANS(AP7)))))/COS(RADIANS(AR7)))</f>
        <v>9.5489346835634272</v>
      </c>
      <c r="AR7" s="166">
        <f>IF($I$3="Forward", $D$12-$D$13, DEGREES(ATAN(2*(AO7-$T$5)/AN7-TAN(RADIANS(AP7)))))</f>
        <v>82.759695716411017</v>
      </c>
      <c r="AS7" s="78">
        <f>IF($I$3="Forward", $D$8+$D$9, $G$8+$G$9)</f>
        <v>1.9999999999999998</v>
      </c>
      <c r="AT7" s="78">
        <f>$G$10</f>
        <v>2.5</v>
      </c>
      <c r="AU7" s="78">
        <f>$G$12-$G$13</f>
        <v>-80</v>
      </c>
      <c r="AV7" s="78">
        <f>IF($I$3="Forward", $D$10, SQRT((IF($B$4, 9.807, 32.174)*AS7)/(ABS(TAN(RADIANS(AW7))-TAN(RADIANS(AU7)))))/COS(RADIANS(AW7)))</f>
        <v>9.5489346835634272</v>
      </c>
      <c r="AW7" s="166">
        <f>IF($I$3="Forward", $D$12-$D$13, DEGREES(ATAN(2*(AT7-$T$5)/AS7-TAN(RADIANS(AU7)))))</f>
        <v>82.759695716411017</v>
      </c>
      <c r="AX7" s="78">
        <f>IF($I$3="Forward", $D$8-$D$9, $G$8-$G$9)</f>
        <v>1.9999999999999998</v>
      </c>
      <c r="AY7" s="78">
        <f>$G$10+$G$11</f>
        <v>2.5</v>
      </c>
      <c r="AZ7" s="78">
        <f>$G$12-$G$13</f>
        <v>-80</v>
      </c>
      <c r="BA7" s="78">
        <f>IF($I$3="Forward", $D$10*(1+$D$11), SQRT((IF($B$4, 9.807, 32.174)*AX7)/(ABS(TAN(RADIANS(BB7))-TAN(RADIANS(AZ7)))))/COS(RADIANS(BB7)))</f>
        <v>9.5489346835634272</v>
      </c>
      <c r="BB7" s="166">
        <f>IF($I$3="Forward", $D$12-$D$13, DEGREES(ATAN(2*(AY7-$T$5)/AX7-TAN(RADIANS(AZ7)))))</f>
        <v>82.759695716411017</v>
      </c>
      <c r="BC7" s="78">
        <f>IF($I$3="Forward", $D$8, $G$8)</f>
        <v>1.9999999999999998</v>
      </c>
      <c r="BD7" s="78">
        <f>$G$10+$G$11</f>
        <v>2.5</v>
      </c>
      <c r="BE7" s="78">
        <f>$G$12-$G$13</f>
        <v>-80</v>
      </c>
      <c r="BF7" s="78">
        <f>IF($I$3="Forward", $D$10*(1+$D$11), SQRT((IF($B$4, 9.807, 32.174)*BC7)/(ABS(TAN(RADIANS(BG7))-TAN(RADIANS(BE7)))))/COS(RADIANS(BG7)))</f>
        <v>9.5489346835634272</v>
      </c>
      <c r="BG7" s="166">
        <f>IF($I$3="Forward", $D$12-$D$13, DEGREES(ATAN(2*(BD7-$T$5)/BC7-TAN(RADIANS(BE7)))))</f>
        <v>82.759695716411017</v>
      </c>
      <c r="BH7" s="78">
        <f>IF($I$3="Forward", $D$8+$D$9, $G$8+$G$9)</f>
        <v>1.9999999999999998</v>
      </c>
      <c r="BI7" s="78">
        <f>$G$10+$G$11</f>
        <v>2.5</v>
      </c>
      <c r="BJ7" s="78">
        <f>$G$12-$G$13</f>
        <v>-80</v>
      </c>
      <c r="BK7" s="78">
        <f>IF($I$3="Forward", $D$10*(1+$D$11), SQRT((IF($B$4, 9.807, 32.174)*BH7)/(ABS(TAN(RADIANS(BL7))-TAN(RADIANS(BJ7)))))/COS(RADIANS(BL7)))</f>
        <v>9.5489346835634272</v>
      </c>
      <c r="BL7" s="166">
        <f>IF($I$3="Forward", $D$12-$D$13, DEGREES(ATAN(2*(BI7-$T$5)/BH7-TAN(RADIANS(BJ7)))))</f>
        <v>82.759695716411017</v>
      </c>
      <c r="BM7" s="78">
        <f>IF($I$3="Forward", $D$8-$D$9, $G$8-$G$9)</f>
        <v>1.9999999999999998</v>
      </c>
      <c r="BN7" s="78">
        <f>$G$10-$G$11</f>
        <v>2.5</v>
      </c>
      <c r="BO7" s="78">
        <f>$G$12</f>
        <v>-80</v>
      </c>
      <c r="BP7" s="78">
        <f>IF($I$3="Forward", $D$10*(1-$D$11), SQRT((IF($B$4, 9.807, 32.174)*BM7)/(ABS(TAN(RADIANS(BQ7))-TAN(RADIANS(BO7)))))/COS(RADIANS(BQ7)))</f>
        <v>9.5489346835634272</v>
      </c>
      <c r="BQ7" s="166">
        <f>IF($I$3="Forward", $D$12, DEGREES(ATAN(2*(BN7-$T$5)/BM7-TAN(RADIANS(BO7)))))</f>
        <v>82.759695716411017</v>
      </c>
      <c r="BR7" s="78">
        <f>IF($I$3="Forward", $D$8, $G$8)</f>
        <v>1.9999999999999998</v>
      </c>
      <c r="BS7" s="78">
        <f>$G$10-$G$11</f>
        <v>2.5</v>
      </c>
      <c r="BT7" s="78">
        <f>$G$12</f>
        <v>-80</v>
      </c>
      <c r="BU7" s="78">
        <f>IF($I$3="Forward", $D$10*(1-$D$11), SQRT((IF($B$4, 9.807, 32.174)*BR7)/(ABS(TAN(RADIANS(BV7))-TAN(RADIANS(BT7)))))/COS(RADIANS(BV7)))</f>
        <v>9.5489346835634272</v>
      </c>
      <c r="BV7" s="166">
        <f>IF($I$3="Forward", $D$12, DEGREES(ATAN(2*(BS7-$T$5)/BR7-TAN(RADIANS(BT7)))))</f>
        <v>82.759695716411017</v>
      </c>
      <c r="BW7" s="78">
        <f>IF($I$3="Forward", $D$8+$D$9, $G$8+$G$9)</f>
        <v>1.9999999999999998</v>
      </c>
      <c r="BX7" s="78">
        <f>$G$10-$G$11</f>
        <v>2.5</v>
      </c>
      <c r="BY7" s="78">
        <f>$G$12</f>
        <v>-80</v>
      </c>
      <c r="BZ7" s="78">
        <f>IF($I$3="Forward", $D$10*(1-$D$11), SQRT((IF($B$4, 9.807, 32.174)*BW7)/(ABS(TAN(RADIANS(CA7))-TAN(RADIANS(BY7)))))/COS(RADIANS(CA7)))</f>
        <v>9.5489346835634272</v>
      </c>
      <c r="CA7" s="166">
        <f>IF($I$3="Forward", $D$12, DEGREES(ATAN(2*(BX7-$T$5)/BW7-TAN(RADIANS(BY7)))))</f>
        <v>82.759695716411017</v>
      </c>
      <c r="CB7" s="78">
        <f>IF($I$3="Forward", $D$8-$D$9, $G$8-$G$9)</f>
        <v>1.9999999999999998</v>
      </c>
      <c r="CC7" s="78">
        <f>$G$10</f>
        <v>2.5</v>
      </c>
      <c r="CD7" s="78">
        <f>$G$12</f>
        <v>-80</v>
      </c>
      <c r="CE7" s="78">
        <f>IF($I$3="Forward", $D$10, SQRT((IF($B$4, 9.807, 32.174)*CB7)/(ABS(TAN(RADIANS(CF7))-TAN(RADIANS(CD7)))))/COS(RADIANS(CF7)))</f>
        <v>9.5489346835634272</v>
      </c>
      <c r="CF7" s="166">
        <f>IF($I$3="Forward", $D$12, DEGREES(ATAN(2*(CC7-$T$5)/CB7-TAN(RADIANS(CD7)))))</f>
        <v>82.759695716411017</v>
      </c>
      <c r="CG7" s="78">
        <f>IF($I$3="Forward", $D$8, $G$8)</f>
        <v>1.9999999999999998</v>
      </c>
      <c r="CH7" s="78">
        <f>$G$10</f>
        <v>2.5</v>
      </c>
      <c r="CI7" s="78">
        <f>$G$12</f>
        <v>-80</v>
      </c>
      <c r="CJ7" s="78">
        <f>IF($I$3="Forward", $D$10, SQRT((IF($B$4, 9.807, 32.174)*CG7)/(ABS(TAN(RADIANS(CK7))-TAN(RADIANS(CI7)))))/COS(RADIANS(CK7)))</f>
        <v>9.5489346835634272</v>
      </c>
      <c r="CK7" s="166">
        <f>IF($I$3="Forward", $D$12, DEGREES(ATAN(2*(CH7-$T$5)/CG7-TAN(RADIANS(CI7)))))</f>
        <v>82.759695716411017</v>
      </c>
      <c r="CL7" s="78">
        <f>IF($I$3="Forward", $D$8+$D$9, $G$8+$G$9)</f>
        <v>1.9999999999999998</v>
      </c>
      <c r="CM7" s="78">
        <f>$G$10</f>
        <v>2.5</v>
      </c>
      <c r="CN7" s="78">
        <f>$G$12</f>
        <v>-80</v>
      </c>
      <c r="CO7" s="78">
        <f>IF($I$3="Forward", $D$10, SQRT((IF($B$4, 9.807, 32.174)*CL7)/(ABS(TAN(RADIANS(CP7))-TAN(RADIANS(CN7)))))/COS(RADIANS(CP7)))</f>
        <v>9.5489346835634272</v>
      </c>
      <c r="CP7" s="166">
        <f>IF($I$3="Forward", $D$12, DEGREES(ATAN(2*(CM7-$T$5)/CL7-TAN(RADIANS(CN7)))))</f>
        <v>82.759695716411017</v>
      </c>
      <c r="CQ7" s="78">
        <f>IF($I$3="Forward", $D$8-$D$9, $G$8-$G$9)</f>
        <v>1.9999999999999998</v>
      </c>
      <c r="CR7" s="78">
        <f>$G$10+$G$11</f>
        <v>2.5</v>
      </c>
      <c r="CS7" s="78">
        <f>$G$12</f>
        <v>-80</v>
      </c>
      <c r="CT7" s="78">
        <f>IF($I$3="Forward", $D$10*(1+$D$11), SQRT((IF($B$4, 9.807, 32.174)*CQ7)/(ABS(TAN(RADIANS(CU7))-TAN(RADIANS(CS7)))))/COS(RADIANS(CU7)))</f>
        <v>9.5489346835634272</v>
      </c>
      <c r="CU7" s="166">
        <f>IF($I$3="Forward", $D$12, DEGREES(ATAN(2*(CR7-$T$5)/CQ7-TAN(RADIANS(CS7)))))</f>
        <v>82.759695716411017</v>
      </c>
      <c r="CV7" s="78">
        <f>IF($I$3="Forward", $D$8, $G$8)</f>
        <v>1.9999999999999998</v>
      </c>
      <c r="CW7" s="78">
        <f>$G$10+$G$11</f>
        <v>2.5</v>
      </c>
      <c r="CX7" s="78">
        <f>$G$12</f>
        <v>-80</v>
      </c>
      <c r="CY7" s="78">
        <f>IF($I$3="Forward", $D$10*(1+$D$11), SQRT((IF($B$4, 9.807, 32.174)*CV7)/(ABS(TAN(RADIANS(CZ7))-TAN(RADIANS(CX7)))))/COS(RADIANS(CZ7)))</f>
        <v>9.5489346835634272</v>
      </c>
      <c r="CZ7" s="166">
        <f>IF($I$3="Forward", $D$12, DEGREES(ATAN(2*(CW7-$T$5)/CV7-TAN(RADIANS(CX7)))))</f>
        <v>82.759695716411017</v>
      </c>
      <c r="DA7" s="78">
        <f>IF($I$3="Forward", $D$8+$D$9, $G$8+$G$9)</f>
        <v>1.9999999999999998</v>
      </c>
      <c r="DB7" s="78">
        <f>$G$10+$G$11</f>
        <v>2.5</v>
      </c>
      <c r="DC7" s="78">
        <f>$G$12</f>
        <v>-80</v>
      </c>
      <c r="DD7" s="78">
        <f>IF($I$3="Forward", $D$10*(1+$D$11), SQRT((IF($B$4, 9.807, 32.174)*DA7)/(ABS(TAN(RADIANS(DE7))-TAN(RADIANS(DC7)))))/COS(RADIANS(DE7)))</f>
        <v>9.5489346835634272</v>
      </c>
      <c r="DE7" s="166">
        <f>IF($I$3="Forward", $D$12, DEGREES(ATAN(2*(DB7-$T$5)/DA7-TAN(RADIANS(DC7)))))</f>
        <v>82.759695716411017</v>
      </c>
      <c r="DF7" s="78">
        <f>IF($I$3="Forward", $D$8-$D$9, $G$8-$G$9)</f>
        <v>1.9999999999999998</v>
      </c>
      <c r="DG7" s="78">
        <f>$G$10-$G$11</f>
        <v>2.5</v>
      </c>
      <c r="DH7" s="78">
        <f>$G$12+$G$13</f>
        <v>-80</v>
      </c>
      <c r="DI7" s="78">
        <f>IF($I$3="Forward", $D$10*(1-$D$11), SQRT((IF($B$4, 9.807, 32.174)*DF7)/(ABS(TAN(RADIANS(DJ7))-TAN(RADIANS(DH7)))))/COS(RADIANS(DJ7)))</f>
        <v>9.5489346835634272</v>
      </c>
      <c r="DJ7" s="166">
        <f>IF($I$3="Forward", $D$12+$D$13, DEGREES(ATAN(2*(DG7-$T$5)/DF7-TAN(RADIANS(DH7)))))</f>
        <v>82.759695716411017</v>
      </c>
      <c r="DK7" s="78">
        <f>IF($I$3="Forward", $D$8, $G$8)</f>
        <v>1.9999999999999998</v>
      </c>
      <c r="DL7" s="78">
        <f>$G$10-$G$11</f>
        <v>2.5</v>
      </c>
      <c r="DM7" s="78">
        <f>$G$12+$G$13</f>
        <v>-80</v>
      </c>
      <c r="DN7" s="78">
        <f>IF($I$3="Forward", $D$10*(1-$D$11), SQRT((IF($B$4, 9.807, 32.174)*DK7)/(ABS(TAN(RADIANS(DO7))-TAN(RADIANS(DM7)))))/COS(RADIANS(DO7)))</f>
        <v>9.5489346835634272</v>
      </c>
      <c r="DO7" s="166">
        <f>IF($I$3="Forward", $D$12+$D$13, DEGREES(ATAN(2*(DL7-$T$5)/DK7-TAN(RADIANS(DM7)))))</f>
        <v>82.759695716411017</v>
      </c>
      <c r="DP7" s="78">
        <f>IF($I$3="Forward", $D$8+$D$9, $G$8+$G$9)</f>
        <v>1.9999999999999998</v>
      </c>
      <c r="DQ7" s="78">
        <f>$G$10-$G$11</f>
        <v>2.5</v>
      </c>
      <c r="DR7" s="78">
        <f>$G$12+$G$13</f>
        <v>-80</v>
      </c>
      <c r="DS7" s="78">
        <f>IF($I$3="Forward", $D$10*(1-$D$11), SQRT((IF($B$4, 9.807, 32.174)*DP7)/(ABS(TAN(RADIANS(DT7))-TAN(RADIANS(DR7)))))/COS(RADIANS(DT7)))</f>
        <v>9.5489346835634272</v>
      </c>
      <c r="DT7" s="166">
        <f>IF($I$3="Forward", $D$12+$D$13, DEGREES(ATAN(2*(DQ7-$T$5)/DP7-TAN(RADIANS(DR7)))))</f>
        <v>82.759695716411017</v>
      </c>
      <c r="DU7" s="78">
        <f>IF($I$3="Forward", $D$8-$D$9, $G$8-$G$9)</f>
        <v>1.9999999999999998</v>
      </c>
      <c r="DV7" s="78">
        <f>$G$10</f>
        <v>2.5</v>
      </c>
      <c r="DW7" s="78">
        <f>$G$12+$G$13</f>
        <v>-80</v>
      </c>
      <c r="DX7" s="78">
        <f>IF($I$3="Forward", $D$10, SQRT((IF($B$4, 9.807, 32.174)*DU7)/(ABS(TAN(RADIANS(DY7))-TAN(RADIANS(DW7)))))/COS(RADIANS(DY7)))</f>
        <v>9.5489346835634272</v>
      </c>
      <c r="DY7" s="166">
        <f>IF($I$3="Forward", $D$12+$D$13, DEGREES(ATAN(2*(DV7-$T$5)/DU7-TAN(RADIANS(DW7)))))</f>
        <v>82.759695716411017</v>
      </c>
      <c r="DZ7" s="78">
        <f>IF($I$3="Forward", $D$8, $G$8)</f>
        <v>1.9999999999999998</v>
      </c>
      <c r="EA7" s="78">
        <f>$G$10</f>
        <v>2.5</v>
      </c>
      <c r="EB7" s="78">
        <f>$G$12+$G$13</f>
        <v>-80</v>
      </c>
      <c r="EC7" s="78">
        <f>IF($I$3="Forward", $D$10, SQRT((IF($B$4, 9.807, 32.174)*DZ7)/(ABS(TAN(RADIANS(ED7))-TAN(RADIANS(EB7)))))/COS(RADIANS(ED7)))</f>
        <v>9.5489346835634272</v>
      </c>
      <c r="ED7" s="166">
        <f>IF($I$3="Forward", $D$12+$D$13, DEGREES(ATAN(2*(EA7-$T$5)/DZ7-TAN(RADIANS(EB7)))))</f>
        <v>82.759695716411017</v>
      </c>
      <c r="EE7" s="78">
        <f>IF($I$3="Forward", $D$8+$D$9, $G$8+$G$9)</f>
        <v>1.9999999999999998</v>
      </c>
      <c r="EF7" s="78">
        <f>$G$10</f>
        <v>2.5</v>
      </c>
      <c r="EG7" s="78">
        <f>$G$12+$G$13</f>
        <v>-80</v>
      </c>
      <c r="EH7" s="78">
        <f>IF($I$3="Forward", $D$10, SQRT((IF($B$4, 9.807, 32.174)*EE7)/(ABS(TAN(RADIANS(EI7))-TAN(RADIANS(EG7)))))/COS(RADIANS(EI7)))</f>
        <v>9.5489346835634272</v>
      </c>
      <c r="EI7" s="166">
        <f>IF($I$3="Forward", $D$12+$D$13, DEGREES(ATAN(2*(EF7-$T$5)/EE7-TAN(RADIANS(EG7)))))</f>
        <v>82.759695716411017</v>
      </c>
      <c r="EJ7" s="78">
        <f>IF($I$3="Forward", $D$8-$D$9, $G$8-$G$9)</f>
        <v>1.9999999999999998</v>
      </c>
      <c r="EK7" s="78">
        <f>$G$10+$G$11</f>
        <v>2.5</v>
      </c>
      <c r="EL7" s="78">
        <f>$G$12+$G$13</f>
        <v>-80</v>
      </c>
      <c r="EM7" s="78">
        <f>IF($I$3="Forward", $D$10*(1+$D$11), SQRT((IF($B$4, 9.807, 32.174)*EJ7)/(ABS(TAN(RADIANS(EN7))-TAN(RADIANS(EL7)))))/COS(RADIANS(EN7)))</f>
        <v>9.5489346835634272</v>
      </c>
      <c r="EN7" s="166">
        <f>IF($I$3="Forward", $D$12+$D$13, DEGREES(ATAN(2*(EK7-$T$5)/EJ7-TAN(RADIANS(EL7)))))</f>
        <v>82.759695716411017</v>
      </c>
      <c r="EO7" s="78">
        <f>IF($I$3="Forward", $D$8, $G$8)</f>
        <v>1.9999999999999998</v>
      </c>
      <c r="EP7" s="78">
        <f>$G$10+$G$11</f>
        <v>2.5</v>
      </c>
      <c r="EQ7" s="78">
        <f>$G$12+$G$13</f>
        <v>-80</v>
      </c>
      <c r="ER7" s="78">
        <f>IF($I$3="Forward", $D$10*(1+$D$11), SQRT((IF($B$4, 9.807, 32.174)*EO7)/(ABS(TAN(RADIANS(ES7))-TAN(RADIANS(EQ7)))))/COS(RADIANS(ES7)))</f>
        <v>9.5489346835634272</v>
      </c>
      <c r="ES7" s="166">
        <f>IF($I$3="Forward", $D$12+$D$13, DEGREES(ATAN(2*(EP7-$T$5)/EO7-TAN(RADIANS(EQ7)))))</f>
        <v>82.759695716411017</v>
      </c>
      <c r="ET7" s="78">
        <f>IF($I$3="Forward", $D$8+$D$9, $G$8+$G$9)</f>
        <v>1.9999999999999998</v>
      </c>
      <c r="EU7" s="78">
        <f>$G$10+$G$11</f>
        <v>2.5</v>
      </c>
      <c r="EV7" s="78">
        <f>$G$12+$G$13</f>
        <v>-80</v>
      </c>
      <c r="EW7" s="78">
        <f>IF($I$3="Forward", $D$10*(1+$D$11), SQRT((IF($B$4, 9.807, 32.174)*ET7)/(ABS(TAN(RADIANS(EX7))-TAN(RADIANS(EV7)))))/COS(RADIANS(EX7)))</f>
        <v>9.5489346835634272</v>
      </c>
      <c r="EX7" s="166">
        <f>IF($I$3="Forward", $D$12+$D$13, DEGREES(ATAN(2*(EU7-$T$5)/ET7-TAN(RADIANS(EV7)))))</f>
        <v>82.759695716411017</v>
      </c>
    </row>
    <row r="8" spans="2:156" x14ac:dyDescent="0.3">
      <c r="C8" s="165" t="str">
        <f>"Distance to Target (" &amp; IF($B$4, "m", "ft") &amp; ")"</f>
        <v>Distance to Target (m)</v>
      </c>
      <c r="D8" s="52">
        <v>4.6500000000000004</v>
      </c>
      <c r="F8" s="165" t="str">
        <f>"Distance to Target (" &amp; IF($B$4, "m", "ft") &amp; ")"</f>
        <v>Distance to Target (m)</v>
      </c>
      <c r="G8" s="52">
        <v>1.9999999999999998</v>
      </c>
      <c r="I8" s="58"/>
      <c r="J8" s="58">
        <v>0</v>
      </c>
      <c r="L8" s="58"/>
      <c r="M8" s="58"/>
      <c r="O8" s="58"/>
      <c r="P8" s="58"/>
      <c r="T8" s="3">
        <f>0</f>
        <v>0</v>
      </c>
      <c r="U8" s="168">
        <f>T8+IF($I$3="Forward", $D$9, $G$9)</f>
        <v>0</v>
      </c>
      <c r="V8" s="3">
        <f t="shared" ref="V8:V71" si="0">T8*TAN(RADIANS(X$7))-(IF($B$4, 9.807, 32.174)*T8^2)/(2*W$7^2*COS(RADIANS(X$7))^2)+$D$7</f>
        <v>0.2</v>
      </c>
      <c r="Y8" s="3">
        <f>0</f>
        <v>0</v>
      </c>
      <c r="Z8" s="3">
        <f>Y8</f>
        <v>0</v>
      </c>
      <c r="AA8" s="3">
        <f t="shared" ref="AA8:AA71" si="1">Y8*TAN(RADIANS(AC$7))-(IF($B$4, 9.807, 32.174)*Y8^2)/(2*AB$7^2*COS(RADIANS(AC$7))^2)+$D$7</f>
        <v>0.2</v>
      </c>
      <c r="AD8" s="3">
        <f>0</f>
        <v>0</v>
      </c>
      <c r="AE8" s="168">
        <f>AD8-IF($I$3="Forward", $D$9, $G$9)</f>
        <v>0</v>
      </c>
      <c r="AF8" s="3">
        <f t="shared" ref="AF8:AF71" si="2">AD8*TAN(RADIANS(AH$7))-(IF($B$4, 9.807, 32.174)*AD8^2)/(2*AG$7^2*COS(RADIANS(AH$7))^2)+$D$7</f>
        <v>0.2</v>
      </c>
      <c r="AI8" s="3">
        <f>0</f>
        <v>0</v>
      </c>
      <c r="AJ8" s="168">
        <f>AI8+IF($I$3="Forward", $D$9, $G$9)</f>
        <v>0</v>
      </c>
      <c r="AK8" s="3">
        <f t="shared" ref="AK8:AK71" si="3">AI8*TAN(RADIANS(AM$7))-(IF($B$4, 9.807, 32.174)*AI8^2)/(2*AL$7^2*COS(RADIANS(AM$7))^2)+$D$7</f>
        <v>0.2</v>
      </c>
      <c r="AN8" s="3">
        <f>0</f>
        <v>0</v>
      </c>
      <c r="AO8" s="3">
        <f>AN8</f>
        <v>0</v>
      </c>
      <c r="AP8" s="3">
        <f t="shared" ref="AP8:AP71" si="4">AN8*TAN(RADIANS(AR$7))-(IF($B$4, 9.807, 32.174)*AN8^2)/(2*AQ$7^2*COS(RADIANS(AR$7))^2)+$D$7</f>
        <v>0.2</v>
      </c>
      <c r="AS8" s="3">
        <f>0</f>
        <v>0</v>
      </c>
      <c r="AT8" s="168">
        <f>AS8-IF($I$3="Forward", $D$9, $G$9)</f>
        <v>0</v>
      </c>
      <c r="AU8" s="3">
        <f t="shared" ref="AU8:AU71" si="5">AS8*TAN(RADIANS(AW$7))-(IF($B$4, 9.807, 32.174)*AS8^2)/(2*AV$7^2*COS(RADIANS(AW$7))^2)+$D$7</f>
        <v>0.2</v>
      </c>
      <c r="AX8" s="3">
        <f>0</f>
        <v>0</v>
      </c>
      <c r="AY8" s="168">
        <f>AX8+IF($I$3="Forward", $D$9, $G$9)</f>
        <v>0</v>
      </c>
      <c r="AZ8" s="3">
        <f t="shared" ref="AZ8:AZ71" si="6">AX8*TAN(RADIANS(BB$7))-(IF($B$4, 9.807, 32.174)*AX8^2)/(2*BA$7^2*COS(RADIANS(BB$7))^2)+$D$7</f>
        <v>0.2</v>
      </c>
      <c r="BC8" s="3">
        <f>0</f>
        <v>0</v>
      </c>
      <c r="BD8" s="3">
        <f>BC8</f>
        <v>0</v>
      </c>
      <c r="BE8" s="3">
        <f t="shared" ref="BE8:BE71" si="7">BC8*TAN(RADIANS(BG$7))-(IF($B$4, 9.807, 32.174)*BC8^2)/(2*BF$7^2*COS(RADIANS(BG$7))^2)+$D$7</f>
        <v>0.2</v>
      </c>
      <c r="BH8" s="3">
        <f>0</f>
        <v>0</v>
      </c>
      <c r="BI8" s="168">
        <f>BH8-IF($I$3="Forward", $D$9, $G$9)</f>
        <v>0</v>
      </c>
      <c r="BJ8" s="3">
        <f t="shared" ref="BJ8:BJ71" si="8">BH8*TAN(RADIANS(BL$7))-(IF($B$4, 9.807, 32.174)*BH8^2)/(2*BK$7^2*COS(RADIANS(BL$7))^2)+$D$7</f>
        <v>0.2</v>
      </c>
      <c r="BM8" s="3">
        <f>0</f>
        <v>0</v>
      </c>
      <c r="BN8" s="168">
        <f>BM8+IF($I$3="Forward", $D$9, $G$9)</f>
        <v>0</v>
      </c>
      <c r="BO8" s="3">
        <f t="shared" ref="BO8:BO71" si="9">BM8*TAN(RADIANS(BQ$7))-(IF($B$4, 9.807, 32.174)*BM8^2)/(2*BP$7^2*COS(RADIANS(BQ$7))^2)+$D$7</f>
        <v>0.2</v>
      </c>
      <c r="BR8" s="3">
        <f>0</f>
        <v>0</v>
      </c>
      <c r="BS8" s="3">
        <f>BR8</f>
        <v>0</v>
      </c>
      <c r="BT8" s="3">
        <f t="shared" ref="BT8:BT71" si="10">BR8*TAN(RADIANS(BV$7))-(IF($B$4, 9.807, 32.174)*BR8^2)/(2*BU$7^2*COS(RADIANS(BV$7))^2)+$D$7</f>
        <v>0.2</v>
      </c>
      <c r="BW8" s="3">
        <f>0</f>
        <v>0</v>
      </c>
      <c r="BX8" s="168">
        <f>BW8-IF($I$3="Forward", $D$9, $G$9)</f>
        <v>0</v>
      </c>
      <c r="BY8" s="3">
        <f t="shared" ref="BY8:BY71" si="11">BW8*TAN(RADIANS(CA$7))-(IF($B$4, 9.807, 32.174)*BW8^2)/(2*BZ$7^2*COS(RADIANS(CA$7))^2)+$D$7</f>
        <v>0.2</v>
      </c>
      <c r="CB8" s="3">
        <f>0</f>
        <v>0</v>
      </c>
      <c r="CC8" s="168">
        <f>CB8+IF($I$3="Forward", $D$9, $G$9)</f>
        <v>0</v>
      </c>
      <c r="CD8" s="3">
        <f t="shared" ref="CD8:CD71" si="12">CB8*TAN(RADIANS(CF$7))-(IF($B$4, 9.807, 32.174)*CB8^2)/(2*CE$7^2*COS(RADIANS(CF$7))^2)+$D$7</f>
        <v>0.2</v>
      </c>
      <c r="CG8" s="3">
        <f>0</f>
        <v>0</v>
      </c>
      <c r="CH8" s="3">
        <f>CG8</f>
        <v>0</v>
      </c>
      <c r="CI8" s="3">
        <f t="shared" ref="CI8:CI71" si="13">CG8*TAN(RADIANS(CK$7))-(IF($B$4, 9.807, 32.174)*CG8^2)/(2*CJ$7^2*COS(RADIANS(CK$7))^2)+$D$7</f>
        <v>0.2</v>
      </c>
      <c r="CL8" s="3">
        <f>0</f>
        <v>0</v>
      </c>
      <c r="CM8" s="168">
        <f>CL8-IF($I$3="Forward", $D$9, $G$9)</f>
        <v>0</v>
      </c>
      <c r="CN8" s="3">
        <f t="shared" ref="CN8:CN71" si="14">CL8*TAN(RADIANS(CP$7))-(IF($B$4, 9.807, 32.174)*CL8^2)/(2*CO$7^2*COS(RADIANS(CP$7))^2)+$D$7</f>
        <v>0.2</v>
      </c>
      <c r="CQ8" s="3">
        <f>0</f>
        <v>0</v>
      </c>
      <c r="CR8" s="168">
        <f>CQ8+IF($I$3="Forward", $D$9, $G$9)</f>
        <v>0</v>
      </c>
      <c r="CS8" s="3">
        <f t="shared" ref="CS8:CS71" si="15">CQ8*TAN(RADIANS(CU$7))-(IF($B$4, 9.807, 32.174)*CQ8^2)/(2*CT$7^2*COS(RADIANS(CU$7))^2)+$D$7</f>
        <v>0.2</v>
      </c>
      <c r="CV8" s="3">
        <f>0</f>
        <v>0</v>
      </c>
      <c r="CW8" s="3">
        <f>CV8</f>
        <v>0</v>
      </c>
      <c r="CX8" s="3">
        <f t="shared" ref="CX8:CX71" si="16">CV8*TAN(RADIANS(CZ$7))-(IF($B$4, 9.807, 32.174)*CV8^2)/(2*CY$7^2*COS(RADIANS(CZ$7))^2)+$D$7</f>
        <v>0.2</v>
      </c>
      <c r="DA8" s="3">
        <f>0</f>
        <v>0</v>
      </c>
      <c r="DB8" s="168">
        <f>DA8-IF($I$3="Forward", $D$9, $G$9)</f>
        <v>0</v>
      </c>
      <c r="DC8" s="3">
        <f t="shared" ref="DC8:DC71" si="17">DA8*TAN(RADIANS(DE$7))-(IF($B$4, 9.807, 32.174)*DA8^2)/(2*DD$7^2*COS(RADIANS(DE$7))^2)+$D$7</f>
        <v>0.2</v>
      </c>
      <c r="DF8" s="3">
        <f>0</f>
        <v>0</v>
      </c>
      <c r="DG8" s="168">
        <f>DF8+IF($I$3="Forward", $D$9, $G$9)</f>
        <v>0</v>
      </c>
      <c r="DH8" s="3">
        <f t="shared" ref="DH8:DH71" si="18">DF8*TAN(RADIANS(DJ$7))-(IF($B$4, 9.807, 32.174)*DF8^2)/(2*DI$7^2*COS(RADIANS(DJ$7))^2)+$D$7</f>
        <v>0.2</v>
      </c>
      <c r="DK8" s="3">
        <f>0</f>
        <v>0</v>
      </c>
      <c r="DL8" s="3">
        <f>DK8</f>
        <v>0</v>
      </c>
      <c r="DM8" s="3">
        <f t="shared" ref="DM8:DM71" si="19">DK8*TAN(RADIANS(DO$7))-(IF($B$4, 9.807, 32.174)*DK8^2)/(2*DN$7^2*COS(RADIANS(DO$7))^2)+$D$7</f>
        <v>0.2</v>
      </c>
      <c r="DP8" s="3">
        <f>0</f>
        <v>0</v>
      </c>
      <c r="DQ8" s="168">
        <f>DP8-IF($I$3="Forward", $D$9, $G$9)</f>
        <v>0</v>
      </c>
      <c r="DR8" s="3">
        <f t="shared" ref="DR8:DR71" si="20">DP8*TAN(RADIANS(DT$7))-(IF($B$4, 9.807, 32.174)*DP8^2)/(2*DS$7^2*COS(RADIANS(DT$7))^2)+$D$7</f>
        <v>0.2</v>
      </c>
      <c r="DU8" s="3">
        <f>0</f>
        <v>0</v>
      </c>
      <c r="DV8" s="168">
        <f>DU8+IF($I$3="Forward", $D$9, $G$9)</f>
        <v>0</v>
      </c>
      <c r="DW8" s="3">
        <f t="shared" ref="DW8:DW71" si="21">DU8*TAN(RADIANS(DY$7))-(IF($B$4, 9.807, 32.174)*DU8^2)/(2*DX$7^2*COS(RADIANS(DY$7))^2)+$D$7</f>
        <v>0.2</v>
      </c>
      <c r="DZ8" s="3">
        <f>0</f>
        <v>0</v>
      </c>
      <c r="EA8" s="3">
        <f>DZ8</f>
        <v>0</v>
      </c>
      <c r="EB8" s="3">
        <f t="shared" ref="EB8:EB71" si="22">DZ8*TAN(RADIANS(ED$7))-(IF($B$4, 9.807, 32.174)*DZ8^2)/(2*EC$7^2*COS(RADIANS(ED$7))^2)+$D$7</f>
        <v>0.2</v>
      </c>
      <c r="EE8" s="3">
        <f>0</f>
        <v>0</v>
      </c>
      <c r="EF8" s="168">
        <f>EE8-IF($I$3="Forward", $D$9, $G$9)</f>
        <v>0</v>
      </c>
      <c r="EG8" s="3">
        <f t="shared" ref="EG8:EG71" si="23">EE8*TAN(RADIANS(EI$7))-(IF($B$4, 9.807, 32.174)*EE8^2)/(2*EH$7^2*COS(RADIANS(EI$7))^2)+$D$7</f>
        <v>0.2</v>
      </c>
      <c r="EJ8" s="3">
        <f>0</f>
        <v>0</v>
      </c>
      <c r="EK8" s="168">
        <f>EJ8+IF($I$3="Forward", $D$9, $G$9)</f>
        <v>0</v>
      </c>
      <c r="EL8" s="3">
        <f t="shared" ref="EL8:EL71" si="24">EJ8*TAN(RADIANS(EN$7))-(IF($B$4, 9.807, 32.174)*EJ8^2)/(2*EM$7^2*COS(RADIANS(EN$7))^2)+$D$7</f>
        <v>0.2</v>
      </c>
      <c r="EO8" s="3">
        <f>0</f>
        <v>0</v>
      </c>
      <c r="EP8" s="3">
        <f>EO8</f>
        <v>0</v>
      </c>
      <c r="EQ8" s="3">
        <f t="shared" ref="EQ8:EQ71" si="25">EO8*TAN(RADIANS(ES$7))-(IF($B$4, 9.807, 32.174)*EO8^2)/(2*ER$7^2*COS(RADIANS(ES$7))^2)+$D$7</f>
        <v>0.2</v>
      </c>
      <c r="ET8" s="3">
        <f>0</f>
        <v>0</v>
      </c>
      <c r="EU8" s="168">
        <f>ET8-IF($I$3="Forward", $D$9, $G$9)</f>
        <v>0</v>
      </c>
      <c r="EV8" s="3">
        <f t="shared" ref="EV8:EV71" si="26">ET8*TAN(RADIANS(EX$7))-(IF($B$4, 9.807, 32.174)*ET8^2)/(2*EW$7^2*COS(RADIANS(EX$7))^2)+$D$7</f>
        <v>0.2</v>
      </c>
      <c r="EZ8" s="58"/>
    </row>
    <row r="9" spans="2:156" x14ac:dyDescent="0.3">
      <c r="C9" s="165" t="str">
        <f>"     ^ Tolerance (" &amp; IF($B$4, "m", "ft") &amp; ")"</f>
        <v xml:space="preserve">     ^ Tolerance (m)</v>
      </c>
      <c r="D9" s="223">
        <v>0</v>
      </c>
      <c r="F9" s="165" t="str">
        <f>"     ^ Tolerance (" &amp; IF($B$4, "m", "ft") &amp; ")"</f>
        <v xml:space="preserve">     ^ Tolerance (m)</v>
      </c>
      <c r="G9" s="223">
        <v>0</v>
      </c>
      <c r="I9" s="58"/>
      <c r="J9" s="58">
        <v>0</v>
      </c>
      <c r="O9" s="58"/>
      <c r="P9" s="58"/>
      <c r="T9" s="3">
        <f t="shared" ref="T9:T72" si="27">T8+T$7/100</f>
        <v>1.9999999999999997E-2</v>
      </c>
      <c r="U9" s="168">
        <f t="shared" ref="U9:U72" si="28">T9+IF($I$3="Forward", $D$9, $G$9)</f>
        <v>1.9999999999999997E-2</v>
      </c>
      <c r="V9" s="3">
        <f t="shared" si="0"/>
        <v>0.35607138002843064</v>
      </c>
      <c r="Y9" s="3">
        <f t="shared" ref="Y9:Y72" si="29">Y8+Y$7/100</f>
        <v>1.9999999999999997E-2</v>
      </c>
      <c r="Z9" s="3">
        <f t="shared" ref="Z9:Z72" si="30">Y9</f>
        <v>1.9999999999999997E-2</v>
      </c>
      <c r="AA9" s="3">
        <f t="shared" si="1"/>
        <v>0.35607138002843064</v>
      </c>
      <c r="AD9" s="3">
        <f t="shared" ref="AD9:AD72" si="31">AD8+AD$7/100</f>
        <v>1.9999999999999997E-2</v>
      </c>
      <c r="AE9" s="168">
        <f t="shared" ref="AE9:AE72" si="32">AD9-IF($I$3="Forward", $D$9, $G$9)</f>
        <v>1.9999999999999997E-2</v>
      </c>
      <c r="AF9" s="3">
        <f t="shared" si="2"/>
        <v>0.35607138002843064</v>
      </c>
      <c r="AI9" s="3">
        <f t="shared" ref="AI9:AI72" si="33">AI8+AI$7/100</f>
        <v>1.9999999999999997E-2</v>
      </c>
      <c r="AJ9" s="168">
        <f t="shared" ref="AJ9:AJ72" si="34">AI9+IF($I$3="Forward", $D$9, $G$9)</f>
        <v>1.9999999999999997E-2</v>
      </c>
      <c r="AK9" s="3">
        <f t="shared" si="3"/>
        <v>0.35607138002843064</v>
      </c>
      <c r="AN9" s="3">
        <f t="shared" ref="AN9:AN72" si="35">AN8+AN$7/100</f>
        <v>1.9999999999999997E-2</v>
      </c>
      <c r="AO9" s="3">
        <f t="shared" ref="AO9:AO72" si="36">AN9</f>
        <v>1.9999999999999997E-2</v>
      </c>
      <c r="AP9" s="3">
        <f t="shared" si="4"/>
        <v>0.35607138002843064</v>
      </c>
      <c r="AS9" s="3">
        <f t="shared" ref="AS9:AS72" si="37">AS8+AS$7/100</f>
        <v>1.9999999999999997E-2</v>
      </c>
      <c r="AT9" s="168">
        <f t="shared" ref="AT9:AT72" si="38">AS9-IF($I$3="Forward", $D$9, $G$9)</f>
        <v>1.9999999999999997E-2</v>
      </c>
      <c r="AU9" s="3">
        <f t="shared" si="5"/>
        <v>0.35607138002843064</v>
      </c>
      <c r="AX9" s="3">
        <f t="shared" ref="AX9:AX72" si="39">AX8+AX$7/100</f>
        <v>1.9999999999999997E-2</v>
      </c>
      <c r="AY9" s="168">
        <f t="shared" ref="AY9:AY72" si="40">AX9+IF($I$3="Forward", $D$9, $G$9)</f>
        <v>1.9999999999999997E-2</v>
      </c>
      <c r="AZ9" s="3">
        <f t="shared" si="6"/>
        <v>0.35607138002843064</v>
      </c>
      <c r="BC9" s="3">
        <f t="shared" ref="BC9:BC72" si="41">BC8+BC$7/100</f>
        <v>1.9999999999999997E-2</v>
      </c>
      <c r="BD9" s="3">
        <f t="shared" ref="BD9:BD72" si="42">BC9</f>
        <v>1.9999999999999997E-2</v>
      </c>
      <c r="BE9" s="3">
        <f t="shared" si="7"/>
        <v>0.35607138002843064</v>
      </c>
      <c r="BH9" s="3">
        <f t="shared" ref="BH9:BH72" si="43">BH8+BH$7/100</f>
        <v>1.9999999999999997E-2</v>
      </c>
      <c r="BI9" s="168">
        <f t="shared" ref="BI9:BI72" si="44">BH9-IF($I$3="Forward", $D$9, $G$9)</f>
        <v>1.9999999999999997E-2</v>
      </c>
      <c r="BJ9" s="3">
        <f t="shared" si="8"/>
        <v>0.35607138002843064</v>
      </c>
      <c r="BM9" s="3">
        <f t="shared" ref="BM9:BM72" si="45">BM8+BM$7/100</f>
        <v>1.9999999999999997E-2</v>
      </c>
      <c r="BN9" s="168">
        <f t="shared" ref="BN9:BN72" si="46">BM9+IF($I$3="Forward", $D$9, $G$9)</f>
        <v>1.9999999999999997E-2</v>
      </c>
      <c r="BO9" s="3">
        <f t="shared" si="9"/>
        <v>0.35607138002843064</v>
      </c>
      <c r="BR9" s="3">
        <f t="shared" ref="BR9:BR72" si="47">BR8+BR$7/100</f>
        <v>1.9999999999999997E-2</v>
      </c>
      <c r="BS9" s="3">
        <f t="shared" ref="BS9:BS72" si="48">BR9</f>
        <v>1.9999999999999997E-2</v>
      </c>
      <c r="BT9" s="3">
        <f t="shared" si="10"/>
        <v>0.35607138002843064</v>
      </c>
      <c r="BW9" s="3">
        <f t="shared" ref="BW9:BW72" si="49">BW8+BW$7/100</f>
        <v>1.9999999999999997E-2</v>
      </c>
      <c r="BX9" s="168">
        <f t="shared" ref="BX9:BX72" si="50">BW9-IF($I$3="Forward", $D$9, $G$9)</f>
        <v>1.9999999999999997E-2</v>
      </c>
      <c r="BY9" s="3">
        <f t="shared" si="11"/>
        <v>0.35607138002843064</v>
      </c>
      <c r="CB9" s="3">
        <f t="shared" ref="CB9:CB72" si="51">CB8+CB$7/100</f>
        <v>1.9999999999999997E-2</v>
      </c>
      <c r="CC9" s="168">
        <f t="shared" ref="CC9:CC72" si="52">CB9+IF($I$3="Forward", $D$9, $G$9)</f>
        <v>1.9999999999999997E-2</v>
      </c>
      <c r="CD9" s="3">
        <f t="shared" si="12"/>
        <v>0.35607138002843064</v>
      </c>
      <c r="CG9" s="3">
        <f t="shared" ref="CG9:CG72" si="53">CG8+CG$7/100</f>
        <v>1.9999999999999997E-2</v>
      </c>
      <c r="CH9" s="3">
        <f t="shared" ref="CH9:CH72" si="54">CG9</f>
        <v>1.9999999999999997E-2</v>
      </c>
      <c r="CI9" s="3">
        <f t="shared" si="13"/>
        <v>0.35607138002843064</v>
      </c>
      <c r="CL9" s="3">
        <f t="shared" ref="CL9:CL72" si="55">CL8+CL$7/100</f>
        <v>1.9999999999999997E-2</v>
      </c>
      <c r="CM9" s="168">
        <f t="shared" ref="CM9:CM72" si="56">CL9-IF($I$3="Forward", $D$9, $G$9)</f>
        <v>1.9999999999999997E-2</v>
      </c>
      <c r="CN9" s="3">
        <f t="shared" si="14"/>
        <v>0.35607138002843064</v>
      </c>
      <c r="CQ9" s="3">
        <f t="shared" ref="CQ9:CQ72" si="57">CQ8+CQ$7/100</f>
        <v>1.9999999999999997E-2</v>
      </c>
      <c r="CR9" s="168">
        <f t="shared" ref="CR9:CR72" si="58">CQ9+IF($I$3="Forward", $D$9, $G$9)</f>
        <v>1.9999999999999997E-2</v>
      </c>
      <c r="CS9" s="3">
        <f t="shared" si="15"/>
        <v>0.35607138002843064</v>
      </c>
      <c r="CV9" s="3">
        <f t="shared" ref="CV9:CV72" si="59">CV8+CV$7/100</f>
        <v>1.9999999999999997E-2</v>
      </c>
      <c r="CW9" s="3">
        <f t="shared" ref="CW9:CW72" si="60">CV9</f>
        <v>1.9999999999999997E-2</v>
      </c>
      <c r="CX9" s="3">
        <f t="shared" si="16"/>
        <v>0.35607138002843064</v>
      </c>
      <c r="DA9" s="3">
        <f t="shared" ref="DA9:DA72" si="61">DA8+DA$7/100</f>
        <v>1.9999999999999997E-2</v>
      </c>
      <c r="DB9" s="168">
        <f t="shared" ref="DB9:DB72" si="62">DA9-IF($I$3="Forward", $D$9, $G$9)</f>
        <v>1.9999999999999997E-2</v>
      </c>
      <c r="DC9" s="3">
        <f t="shared" si="17"/>
        <v>0.35607138002843064</v>
      </c>
      <c r="DF9" s="3">
        <f t="shared" ref="DF9:DF72" si="63">DF8+DF$7/100</f>
        <v>1.9999999999999997E-2</v>
      </c>
      <c r="DG9" s="168">
        <f t="shared" ref="DG9:DG72" si="64">DF9+IF($I$3="Forward", $D$9, $G$9)</f>
        <v>1.9999999999999997E-2</v>
      </c>
      <c r="DH9" s="3">
        <f t="shared" si="18"/>
        <v>0.35607138002843064</v>
      </c>
      <c r="DK9" s="3">
        <f t="shared" ref="DK9:DK72" si="65">DK8+DK$7/100</f>
        <v>1.9999999999999997E-2</v>
      </c>
      <c r="DL9" s="3">
        <f t="shared" ref="DL9:DL72" si="66">DK9</f>
        <v>1.9999999999999997E-2</v>
      </c>
      <c r="DM9" s="3">
        <f t="shared" si="19"/>
        <v>0.35607138002843064</v>
      </c>
      <c r="DP9" s="3">
        <f t="shared" ref="DP9:DP72" si="67">DP8+DP$7/100</f>
        <v>1.9999999999999997E-2</v>
      </c>
      <c r="DQ9" s="168">
        <f t="shared" ref="DQ9:DQ72" si="68">DP9-IF($I$3="Forward", $D$9, $G$9)</f>
        <v>1.9999999999999997E-2</v>
      </c>
      <c r="DR9" s="3">
        <f t="shared" si="20"/>
        <v>0.35607138002843064</v>
      </c>
      <c r="DU9" s="3">
        <f t="shared" ref="DU9:DU72" si="69">DU8+DU$7/100</f>
        <v>1.9999999999999997E-2</v>
      </c>
      <c r="DV9" s="168">
        <f t="shared" ref="DV9:DV72" si="70">DU9+IF($I$3="Forward", $D$9, $G$9)</f>
        <v>1.9999999999999997E-2</v>
      </c>
      <c r="DW9" s="3">
        <f t="shared" si="21"/>
        <v>0.35607138002843064</v>
      </c>
      <c r="DZ9" s="3">
        <f t="shared" ref="DZ9:DZ72" si="71">DZ8+DZ$7/100</f>
        <v>1.9999999999999997E-2</v>
      </c>
      <c r="EA9" s="3">
        <f t="shared" ref="EA9:EA72" si="72">DZ9</f>
        <v>1.9999999999999997E-2</v>
      </c>
      <c r="EB9" s="3">
        <f t="shared" si="22"/>
        <v>0.35607138002843064</v>
      </c>
      <c r="EE9" s="3">
        <f t="shared" ref="EE9:EE72" si="73">EE8+EE$7/100</f>
        <v>1.9999999999999997E-2</v>
      </c>
      <c r="EF9" s="168">
        <f t="shared" ref="EF9:EF72" si="74">EE9-IF($I$3="Forward", $D$9, $G$9)</f>
        <v>1.9999999999999997E-2</v>
      </c>
      <c r="EG9" s="3">
        <f t="shared" si="23"/>
        <v>0.35607138002843064</v>
      </c>
      <c r="EJ9" s="3">
        <f t="shared" ref="EJ9:EJ72" si="75">EJ8+EJ$7/100</f>
        <v>1.9999999999999997E-2</v>
      </c>
      <c r="EK9" s="168">
        <f t="shared" ref="EK9:EK72" si="76">EJ9+IF($I$3="Forward", $D$9, $G$9)</f>
        <v>1.9999999999999997E-2</v>
      </c>
      <c r="EL9" s="3">
        <f t="shared" si="24"/>
        <v>0.35607138002843064</v>
      </c>
      <c r="EO9" s="3">
        <f t="shared" ref="EO9:EO72" si="77">EO8+EO$7/100</f>
        <v>1.9999999999999997E-2</v>
      </c>
      <c r="EP9" s="3">
        <f t="shared" ref="EP9:EP72" si="78">EO9</f>
        <v>1.9999999999999997E-2</v>
      </c>
      <c r="EQ9" s="3">
        <f t="shared" si="25"/>
        <v>0.35607138002843064</v>
      </c>
      <c r="ET9" s="3">
        <f t="shared" ref="ET9:ET72" si="79">ET8+ET$7/100</f>
        <v>1.9999999999999997E-2</v>
      </c>
      <c r="EU9" s="168">
        <f t="shared" ref="EU9:EU72" si="80">ET9-IF($I$3="Forward", $D$9, $G$9)</f>
        <v>1.9999999999999997E-2</v>
      </c>
      <c r="EV9" s="3">
        <f t="shared" si="26"/>
        <v>0.35607138002843064</v>
      </c>
    </row>
    <row r="10" spans="2:156" x14ac:dyDescent="0.3">
      <c r="C10" s="165" t="str">
        <f>"Release Velocity (" &amp; IF($B$4, "m", "ft") &amp; "/s)"</f>
        <v>Release Velocity (m/s)</v>
      </c>
      <c r="D10" s="52">
        <v>9.5999999999999979</v>
      </c>
      <c r="F10" s="165" t="str">
        <f>"Target Height (" &amp; IF($B$4, "m", "ft") &amp; ")"</f>
        <v>Target Height (m)</v>
      </c>
      <c r="G10" s="52">
        <v>2.5</v>
      </c>
      <c r="I10" s="226"/>
      <c r="J10" s="58">
        <v>0</v>
      </c>
      <c r="T10" s="3">
        <f t="shared" si="27"/>
        <v>3.9999999999999994E-2</v>
      </c>
      <c r="U10" s="168">
        <f t="shared" si="28"/>
        <v>3.9999999999999994E-2</v>
      </c>
      <c r="V10" s="3">
        <f t="shared" si="0"/>
        <v>0.50943424732901421</v>
      </c>
      <c r="Y10" s="3">
        <f t="shared" si="29"/>
        <v>3.9999999999999994E-2</v>
      </c>
      <c r="Z10" s="3">
        <f t="shared" si="30"/>
        <v>3.9999999999999994E-2</v>
      </c>
      <c r="AA10" s="3">
        <f t="shared" si="1"/>
        <v>0.50943424732901421</v>
      </c>
      <c r="AD10" s="3">
        <f t="shared" si="31"/>
        <v>3.9999999999999994E-2</v>
      </c>
      <c r="AE10" s="168">
        <f t="shared" si="32"/>
        <v>3.9999999999999994E-2</v>
      </c>
      <c r="AF10" s="3">
        <f t="shared" si="2"/>
        <v>0.50943424732901421</v>
      </c>
      <c r="AI10" s="3">
        <f t="shared" si="33"/>
        <v>3.9999999999999994E-2</v>
      </c>
      <c r="AJ10" s="168">
        <f t="shared" si="34"/>
        <v>3.9999999999999994E-2</v>
      </c>
      <c r="AK10" s="3">
        <f t="shared" si="3"/>
        <v>0.50943424732901421</v>
      </c>
      <c r="AN10" s="3">
        <f t="shared" si="35"/>
        <v>3.9999999999999994E-2</v>
      </c>
      <c r="AO10" s="3">
        <f t="shared" si="36"/>
        <v>3.9999999999999994E-2</v>
      </c>
      <c r="AP10" s="3">
        <f t="shared" si="4"/>
        <v>0.50943424732901421</v>
      </c>
      <c r="AS10" s="3">
        <f t="shared" si="37"/>
        <v>3.9999999999999994E-2</v>
      </c>
      <c r="AT10" s="168">
        <f t="shared" si="38"/>
        <v>3.9999999999999994E-2</v>
      </c>
      <c r="AU10" s="3">
        <f t="shared" si="5"/>
        <v>0.50943424732901421</v>
      </c>
      <c r="AX10" s="3">
        <f t="shared" si="39"/>
        <v>3.9999999999999994E-2</v>
      </c>
      <c r="AY10" s="168">
        <f t="shared" si="40"/>
        <v>3.9999999999999994E-2</v>
      </c>
      <c r="AZ10" s="3">
        <f t="shared" si="6"/>
        <v>0.50943424732901421</v>
      </c>
      <c r="BC10" s="3">
        <f t="shared" si="41"/>
        <v>3.9999999999999994E-2</v>
      </c>
      <c r="BD10" s="3">
        <f t="shared" si="42"/>
        <v>3.9999999999999994E-2</v>
      </c>
      <c r="BE10" s="3">
        <f t="shared" si="7"/>
        <v>0.50943424732901421</v>
      </c>
      <c r="BH10" s="3">
        <f t="shared" si="43"/>
        <v>3.9999999999999994E-2</v>
      </c>
      <c r="BI10" s="168">
        <f t="shared" si="44"/>
        <v>3.9999999999999994E-2</v>
      </c>
      <c r="BJ10" s="3">
        <f t="shared" si="8"/>
        <v>0.50943424732901421</v>
      </c>
      <c r="BM10" s="3">
        <f t="shared" si="45"/>
        <v>3.9999999999999994E-2</v>
      </c>
      <c r="BN10" s="168">
        <f t="shared" si="46"/>
        <v>3.9999999999999994E-2</v>
      </c>
      <c r="BO10" s="3">
        <f t="shared" si="9"/>
        <v>0.50943424732901421</v>
      </c>
      <c r="BR10" s="3">
        <f t="shared" si="47"/>
        <v>3.9999999999999994E-2</v>
      </c>
      <c r="BS10" s="3">
        <f t="shared" si="48"/>
        <v>3.9999999999999994E-2</v>
      </c>
      <c r="BT10" s="3">
        <f t="shared" si="10"/>
        <v>0.50943424732901421</v>
      </c>
      <c r="BW10" s="3">
        <f t="shared" si="49"/>
        <v>3.9999999999999994E-2</v>
      </c>
      <c r="BX10" s="168">
        <f t="shared" si="50"/>
        <v>3.9999999999999994E-2</v>
      </c>
      <c r="BY10" s="3">
        <f t="shared" si="11"/>
        <v>0.50943424732901421</v>
      </c>
      <c r="CB10" s="3">
        <f t="shared" si="51"/>
        <v>3.9999999999999994E-2</v>
      </c>
      <c r="CC10" s="168">
        <f t="shared" si="52"/>
        <v>3.9999999999999994E-2</v>
      </c>
      <c r="CD10" s="3">
        <f t="shared" si="12"/>
        <v>0.50943424732901421</v>
      </c>
      <c r="CG10" s="3">
        <f t="shared" si="53"/>
        <v>3.9999999999999994E-2</v>
      </c>
      <c r="CH10" s="3">
        <f t="shared" si="54"/>
        <v>3.9999999999999994E-2</v>
      </c>
      <c r="CI10" s="3">
        <f t="shared" si="13"/>
        <v>0.50943424732901421</v>
      </c>
      <c r="CL10" s="3">
        <f t="shared" si="55"/>
        <v>3.9999999999999994E-2</v>
      </c>
      <c r="CM10" s="168">
        <f t="shared" si="56"/>
        <v>3.9999999999999994E-2</v>
      </c>
      <c r="CN10" s="3">
        <f t="shared" si="14"/>
        <v>0.50943424732901421</v>
      </c>
      <c r="CQ10" s="3">
        <f t="shared" si="57"/>
        <v>3.9999999999999994E-2</v>
      </c>
      <c r="CR10" s="168">
        <f t="shared" si="58"/>
        <v>3.9999999999999994E-2</v>
      </c>
      <c r="CS10" s="3">
        <f t="shared" si="15"/>
        <v>0.50943424732901421</v>
      </c>
      <c r="CV10" s="3">
        <f t="shared" si="59"/>
        <v>3.9999999999999994E-2</v>
      </c>
      <c r="CW10" s="3">
        <f t="shared" si="60"/>
        <v>3.9999999999999994E-2</v>
      </c>
      <c r="CX10" s="3">
        <f t="shared" si="16"/>
        <v>0.50943424732901421</v>
      </c>
      <c r="DA10" s="3">
        <f t="shared" si="61"/>
        <v>3.9999999999999994E-2</v>
      </c>
      <c r="DB10" s="168">
        <f t="shared" si="62"/>
        <v>3.9999999999999994E-2</v>
      </c>
      <c r="DC10" s="3">
        <f t="shared" si="17"/>
        <v>0.50943424732901421</v>
      </c>
      <c r="DF10" s="3">
        <f t="shared" si="63"/>
        <v>3.9999999999999994E-2</v>
      </c>
      <c r="DG10" s="168">
        <f t="shared" si="64"/>
        <v>3.9999999999999994E-2</v>
      </c>
      <c r="DH10" s="3">
        <f t="shared" si="18"/>
        <v>0.50943424732901421</v>
      </c>
      <c r="DK10" s="3">
        <f t="shared" si="65"/>
        <v>3.9999999999999994E-2</v>
      </c>
      <c r="DL10" s="3">
        <f t="shared" si="66"/>
        <v>3.9999999999999994E-2</v>
      </c>
      <c r="DM10" s="3">
        <f t="shared" si="19"/>
        <v>0.50943424732901421</v>
      </c>
      <c r="DP10" s="3">
        <f t="shared" si="67"/>
        <v>3.9999999999999994E-2</v>
      </c>
      <c r="DQ10" s="168">
        <f t="shared" si="68"/>
        <v>3.9999999999999994E-2</v>
      </c>
      <c r="DR10" s="3">
        <f t="shared" si="20"/>
        <v>0.50943424732901421</v>
      </c>
      <c r="DU10" s="3">
        <f t="shared" si="69"/>
        <v>3.9999999999999994E-2</v>
      </c>
      <c r="DV10" s="168">
        <f t="shared" si="70"/>
        <v>3.9999999999999994E-2</v>
      </c>
      <c r="DW10" s="3">
        <f t="shared" si="21"/>
        <v>0.50943424732901421</v>
      </c>
      <c r="DZ10" s="3">
        <f t="shared" si="71"/>
        <v>3.9999999999999994E-2</v>
      </c>
      <c r="EA10" s="3">
        <f t="shared" si="72"/>
        <v>3.9999999999999994E-2</v>
      </c>
      <c r="EB10" s="3">
        <f t="shared" si="22"/>
        <v>0.50943424732901421</v>
      </c>
      <c r="EE10" s="3">
        <f t="shared" si="73"/>
        <v>3.9999999999999994E-2</v>
      </c>
      <c r="EF10" s="168">
        <f t="shared" si="74"/>
        <v>3.9999999999999994E-2</v>
      </c>
      <c r="EG10" s="3">
        <f t="shared" si="23"/>
        <v>0.50943424732901421</v>
      </c>
      <c r="EJ10" s="3">
        <f t="shared" si="75"/>
        <v>3.9999999999999994E-2</v>
      </c>
      <c r="EK10" s="168">
        <f t="shared" si="76"/>
        <v>3.9999999999999994E-2</v>
      </c>
      <c r="EL10" s="3">
        <f t="shared" si="24"/>
        <v>0.50943424732901421</v>
      </c>
      <c r="EO10" s="3">
        <f t="shared" si="77"/>
        <v>3.9999999999999994E-2</v>
      </c>
      <c r="EP10" s="3">
        <f t="shared" si="78"/>
        <v>3.9999999999999994E-2</v>
      </c>
      <c r="EQ10" s="3">
        <f t="shared" si="25"/>
        <v>0.50943424732901421</v>
      </c>
      <c r="ET10" s="3">
        <f t="shared" si="79"/>
        <v>3.9999999999999994E-2</v>
      </c>
      <c r="EU10" s="168">
        <f t="shared" si="80"/>
        <v>3.9999999999999994E-2</v>
      </c>
      <c r="EV10" s="3">
        <f t="shared" si="26"/>
        <v>0.50943424732901421</v>
      </c>
    </row>
    <row r="11" spans="2:156" x14ac:dyDescent="0.3">
      <c r="C11" s="165" t="s">
        <v>342</v>
      </c>
      <c r="D11" s="224">
        <v>0</v>
      </c>
      <c r="F11" s="165" t="str">
        <f>"     ^ Tolerance (" &amp; IF($B$4, "m", "ft") &amp; ")"</f>
        <v xml:space="preserve">     ^ Tolerance (m)</v>
      </c>
      <c r="G11" s="223">
        <v>0</v>
      </c>
      <c r="T11" s="3">
        <f t="shared" si="27"/>
        <v>5.9999999999999991E-2</v>
      </c>
      <c r="U11" s="168">
        <f t="shared" si="28"/>
        <v>5.9999999999999991E-2</v>
      </c>
      <c r="V11" s="3">
        <f t="shared" si="0"/>
        <v>0.66008860190175067</v>
      </c>
      <c r="Y11" s="3">
        <f t="shared" si="29"/>
        <v>5.9999999999999991E-2</v>
      </c>
      <c r="Z11" s="3">
        <f t="shared" si="30"/>
        <v>5.9999999999999991E-2</v>
      </c>
      <c r="AA11" s="3">
        <f t="shared" si="1"/>
        <v>0.66008860190175067</v>
      </c>
      <c r="AD11" s="3">
        <f t="shared" si="31"/>
        <v>5.9999999999999991E-2</v>
      </c>
      <c r="AE11" s="168">
        <f t="shared" si="32"/>
        <v>5.9999999999999991E-2</v>
      </c>
      <c r="AF11" s="3">
        <f t="shared" si="2"/>
        <v>0.66008860190175067</v>
      </c>
      <c r="AI11" s="3">
        <f t="shared" si="33"/>
        <v>5.9999999999999991E-2</v>
      </c>
      <c r="AJ11" s="168">
        <f t="shared" si="34"/>
        <v>5.9999999999999991E-2</v>
      </c>
      <c r="AK11" s="3">
        <f t="shared" si="3"/>
        <v>0.66008860190175067</v>
      </c>
      <c r="AN11" s="3">
        <f t="shared" si="35"/>
        <v>5.9999999999999991E-2</v>
      </c>
      <c r="AO11" s="3">
        <f t="shared" si="36"/>
        <v>5.9999999999999991E-2</v>
      </c>
      <c r="AP11" s="3">
        <f t="shared" si="4"/>
        <v>0.66008860190175067</v>
      </c>
      <c r="AS11" s="3">
        <f t="shared" si="37"/>
        <v>5.9999999999999991E-2</v>
      </c>
      <c r="AT11" s="168">
        <f t="shared" si="38"/>
        <v>5.9999999999999991E-2</v>
      </c>
      <c r="AU11" s="3">
        <f t="shared" si="5"/>
        <v>0.66008860190175067</v>
      </c>
      <c r="AX11" s="3">
        <f t="shared" si="39"/>
        <v>5.9999999999999991E-2</v>
      </c>
      <c r="AY11" s="168">
        <f t="shared" si="40"/>
        <v>5.9999999999999991E-2</v>
      </c>
      <c r="AZ11" s="3">
        <f t="shared" si="6"/>
        <v>0.66008860190175067</v>
      </c>
      <c r="BC11" s="3">
        <f t="shared" si="41"/>
        <v>5.9999999999999991E-2</v>
      </c>
      <c r="BD11" s="3">
        <f t="shared" si="42"/>
        <v>5.9999999999999991E-2</v>
      </c>
      <c r="BE11" s="3">
        <f t="shared" si="7"/>
        <v>0.66008860190175067</v>
      </c>
      <c r="BH11" s="3">
        <f t="shared" si="43"/>
        <v>5.9999999999999991E-2</v>
      </c>
      <c r="BI11" s="168">
        <f t="shared" si="44"/>
        <v>5.9999999999999991E-2</v>
      </c>
      <c r="BJ11" s="3">
        <f t="shared" si="8"/>
        <v>0.66008860190175067</v>
      </c>
      <c r="BM11" s="3">
        <f t="shared" si="45"/>
        <v>5.9999999999999991E-2</v>
      </c>
      <c r="BN11" s="168">
        <f t="shared" si="46"/>
        <v>5.9999999999999991E-2</v>
      </c>
      <c r="BO11" s="3">
        <f t="shared" si="9"/>
        <v>0.66008860190175067</v>
      </c>
      <c r="BR11" s="3">
        <f t="shared" si="47"/>
        <v>5.9999999999999991E-2</v>
      </c>
      <c r="BS11" s="3">
        <f t="shared" si="48"/>
        <v>5.9999999999999991E-2</v>
      </c>
      <c r="BT11" s="3">
        <f t="shared" si="10"/>
        <v>0.66008860190175067</v>
      </c>
      <c r="BW11" s="3">
        <f t="shared" si="49"/>
        <v>5.9999999999999991E-2</v>
      </c>
      <c r="BX11" s="168">
        <f t="shared" si="50"/>
        <v>5.9999999999999991E-2</v>
      </c>
      <c r="BY11" s="3">
        <f t="shared" si="11"/>
        <v>0.66008860190175067</v>
      </c>
      <c r="CB11" s="3">
        <f t="shared" si="51"/>
        <v>5.9999999999999991E-2</v>
      </c>
      <c r="CC11" s="168">
        <f t="shared" si="52"/>
        <v>5.9999999999999991E-2</v>
      </c>
      <c r="CD11" s="3">
        <f t="shared" si="12"/>
        <v>0.66008860190175067</v>
      </c>
      <c r="CG11" s="3">
        <f t="shared" si="53"/>
        <v>5.9999999999999991E-2</v>
      </c>
      <c r="CH11" s="3">
        <f t="shared" si="54"/>
        <v>5.9999999999999991E-2</v>
      </c>
      <c r="CI11" s="3">
        <f t="shared" si="13"/>
        <v>0.66008860190175067</v>
      </c>
      <c r="CL11" s="3">
        <f t="shared" si="55"/>
        <v>5.9999999999999991E-2</v>
      </c>
      <c r="CM11" s="168">
        <f t="shared" si="56"/>
        <v>5.9999999999999991E-2</v>
      </c>
      <c r="CN11" s="3">
        <f t="shared" si="14"/>
        <v>0.66008860190175067</v>
      </c>
      <c r="CQ11" s="3">
        <f t="shared" si="57"/>
        <v>5.9999999999999991E-2</v>
      </c>
      <c r="CR11" s="168">
        <f t="shared" si="58"/>
        <v>5.9999999999999991E-2</v>
      </c>
      <c r="CS11" s="3">
        <f t="shared" si="15"/>
        <v>0.66008860190175067</v>
      </c>
      <c r="CV11" s="3">
        <f t="shared" si="59"/>
        <v>5.9999999999999991E-2</v>
      </c>
      <c r="CW11" s="3">
        <f t="shared" si="60"/>
        <v>5.9999999999999991E-2</v>
      </c>
      <c r="CX11" s="3">
        <f t="shared" si="16"/>
        <v>0.66008860190175067</v>
      </c>
      <c r="DA11" s="3">
        <f t="shared" si="61"/>
        <v>5.9999999999999991E-2</v>
      </c>
      <c r="DB11" s="168">
        <f t="shared" si="62"/>
        <v>5.9999999999999991E-2</v>
      </c>
      <c r="DC11" s="3">
        <f t="shared" si="17"/>
        <v>0.66008860190175067</v>
      </c>
      <c r="DF11" s="3">
        <f t="shared" si="63"/>
        <v>5.9999999999999991E-2</v>
      </c>
      <c r="DG11" s="168">
        <f t="shared" si="64"/>
        <v>5.9999999999999991E-2</v>
      </c>
      <c r="DH11" s="3">
        <f t="shared" si="18"/>
        <v>0.66008860190175067</v>
      </c>
      <c r="DK11" s="3">
        <f t="shared" si="65"/>
        <v>5.9999999999999991E-2</v>
      </c>
      <c r="DL11" s="3">
        <f t="shared" si="66"/>
        <v>5.9999999999999991E-2</v>
      </c>
      <c r="DM11" s="3">
        <f t="shared" si="19"/>
        <v>0.66008860190175067</v>
      </c>
      <c r="DP11" s="3">
        <f t="shared" si="67"/>
        <v>5.9999999999999991E-2</v>
      </c>
      <c r="DQ11" s="168">
        <f t="shared" si="68"/>
        <v>5.9999999999999991E-2</v>
      </c>
      <c r="DR11" s="3">
        <f t="shared" si="20"/>
        <v>0.66008860190175067</v>
      </c>
      <c r="DU11" s="3">
        <f t="shared" si="69"/>
        <v>5.9999999999999991E-2</v>
      </c>
      <c r="DV11" s="168">
        <f t="shared" si="70"/>
        <v>5.9999999999999991E-2</v>
      </c>
      <c r="DW11" s="3">
        <f t="shared" si="21"/>
        <v>0.66008860190175067</v>
      </c>
      <c r="DZ11" s="3">
        <f t="shared" si="71"/>
        <v>5.9999999999999991E-2</v>
      </c>
      <c r="EA11" s="3">
        <f t="shared" si="72"/>
        <v>5.9999999999999991E-2</v>
      </c>
      <c r="EB11" s="3">
        <f t="shared" si="22"/>
        <v>0.66008860190175067</v>
      </c>
      <c r="EE11" s="3">
        <f t="shared" si="73"/>
        <v>5.9999999999999991E-2</v>
      </c>
      <c r="EF11" s="168">
        <f t="shared" si="74"/>
        <v>5.9999999999999991E-2</v>
      </c>
      <c r="EG11" s="3">
        <f t="shared" si="23"/>
        <v>0.66008860190175067</v>
      </c>
      <c r="EJ11" s="3">
        <f t="shared" si="75"/>
        <v>5.9999999999999991E-2</v>
      </c>
      <c r="EK11" s="168">
        <f t="shared" si="76"/>
        <v>5.9999999999999991E-2</v>
      </c>
      <c r="EL11" s="3">
        <f t="shared" si="24"/>
        <v>0.66008860190175067</v>
      </c>
      <c r="EO11" s="3">
        <f t="shared" si="77"/>
        <v>5.9999999999999991E-2</v>
      </c>
      <c r="EP11" s="3">
        <f t="shared" si="78"/>
        <v>5.9999999999999991E-2</v>
      </c>
      <c r="EQ11" s="3">
        <f t="shared" si="25"/>
        <v>0.66008860190175067</v>
      </c>
      <c r="ET11" s="3">
        <f t="shared" si="79"/>
        <v>5.9999999999999991E-2</v>
      </c>
      <c r="EU11" s="168">
        <f t="shared" si="80"/>
        <v>5.9999999999999991E-2</v>
      </c>
      <c r="EV11" s="3">
        <f t="shared" si="26"/>
        <v>0.66008860190175067</v>
      </c>
    </row>
    <row r="12" spans="2:156" x14ac:dyDescent="0.3">
      <c r="C12" s="165" t="s">
        <v>96</v>
      </c>
      <c r="D12" s="73">
        <v>43</v>
      </c>
      <c r="F12" s="165" t="s">
        <v>99</v>
      </c>
      <c r="G12" s="73">
        <v>-80</v>
      </c>
      <c r="T12" s="3">
        <f t="shared" si="27"/>
        <v>7.9999999999999988E-2</v>
      </c>
      <c r="U12" s="168">
        <f t="shared" si="28"/>
        <v>7.9999999999999988E-2</v>
      </c>
      <c r="V12" s="3">
        <f t="shared" si="0"/>
        <v>0.80803444374664002</v>
      </c>
      <c r="Y12" s="3">
        <f t="shared" si="29"/>
        <v>7.9999999999999988E-2</v>
      </c>
      <c r="Z12" s="3">
        <f t="shared" si="30"/>
        <v>7.9999999999999988E-2</v>
      </c>
      <c r="AA12" s="3">
        <f t="shared" si="1"/>
        <v>0.80803444374664002</v>
      </c>
      <c r="AD12" s="3">
        <f t="shared" si="31"/>
        <v>7.9999999999999988E-2</v>
      </c>
      <c r="AE12" s="168">
        <f t="shared" si="32"/>
        <v>7.9999999999999988E-2</v>
      </c>
      <c r="AF12" s="3">
        <f t="shared" si="2"/>
        <v>0.80803444374664002</v>
      </c>
      <c r="AI12" s="3">
        <f t="shared" si="33"/>
        <v>7.9999999999999988E-2</v>
      </c>
      <c r="AJ12" s="168">
        <f t="shared" si="34"/>
        <v>7.9999999999999988E-2</v>
      </c>
      <c r="AK12" s="3">
        <f t="shared" si="3"/>
        <v>0.80803444374664002</v>
      </c>
      <c r="AN12" s="3">
        <f t="shared" si="35"/>
        <v>7.9999999999999988E-2</v>
      </c>
      <c r="AO12" s="3">
        <f t="shared" si="36"/>
        <v>7.9999999999999988E-2</v>
      </c>
      <c r="AP12" s="3">
        <f t="shared" si="4"/>
        <v>0.80803444374664002</v>
      </c>
      <c r="AS12" s="3">
        <f t="shared" si="37"/>
        <v>7.9999999999999988E-2</v>
      </c>
      <c r="AT12" s="168">
        <f t="shared" si="38"/>
        <v>7.9999999999999988E-2</v>
      </c>
      <c r="AU12" s="3">
        <f t="shared" si="5"/>
        <v>0.80803444374664002</v>
      </c>
      <c r="AX12" s="3">
        <f t="shared" si="39"/>
        <v>7.9999999999999988E-2</v>
      </c>
      <c r="AY12" s="168">
        <f t="shared" si="40"/>
        <v>7.9999999999999988E-2</v>
      </c>
      <c r="AZ12" s="3">
        <f t="shared" si="6"/>
        <v>0.80803444374664002</v>
      </c>
      <c r="BC12" s="3">
        <f t="shared" si="41"/>
        <v>7.9999999999999988E-2</v>
      </c>
      <c r="BD12" s="3">
        <f t="shared" si="42"/>
        <v>7.9999999999999988E-2</v>
      </c>
      <c r="BE12" s="3">
        <f t="shared" si="7"/>
        <v>0.80803444374664002</v>
      </c>
      <c r="BH12" s="3">
        <f t="shared" si="43"/>
        <v>7.9999999999999988E-2</v>
      </c>
      <c r="BI12" s="168">
        <f t="shared" si="44"/>
        <v>7.9999999999999988E-2</v>
      </c>
      <c r="BJ12" s="3">
        <f t="shared" si="8"/>
        <v>0.80803444374664002</v>
      </c>
      <c r="BM12" s="3">
        <f t="shared" si="45"/>
        <v>7.9999999999999988E-2</v>
      </c>
      <c r="BN12" s="168">
        <f t="shared" si="46"/>
        <v>7.9999999999999988E-2</v>
      </c>
      <c r="BO12" s="3">
        <f t="shared" si="9"/>
        <v>0.80803444374664002</v>
      </c>
      <c r="BR12" s="3">
        <f t="shared" si="47"/>
        <v>7.9999999999999988E-2</v>
      </c>
      <c r="BS12" s="3">
        <f t="shared" si="48"/>
        <v>7.9999999999999988E-2</v>
      </c>
      <c r="BT12" s="3">
        <f t="shared" si="10"/>
        <v>0.80803444374664002</v>
      </c>
      <c r="BW12" s="3">
        <f t="shared" si="49"/>
        <v>7.9999999999999988E-2</v>
      </c>
      <c r="BX12" s="168">
        <f t="shared" si="50"/>
        <v>7.9999999999999988E-2</v>
      </c>
      <c r="BY12" s="3">
        <f t="shared" si="11"/>
        <v>0.80803444374664002</v>
      </c>
      <c r="CB12" s="3">
        <f t="shared" si="51"/>
        <v>7.9999999999999988E-2</v>
      </c>
      <c r="CC12" s="168">
        <f t="shared" si="52"/>
        <v>7.9999999999999988E-2</v>
      </c>
      <c r="CD12" s="3">
        <f t="shared" si="12"/>
        <v>0.80803444374664002</v>
      </c>
      <c r="CG12" s="3">
        <f t="shared" si="53"/>
        <v>7.9999999999999988E-2</v>
      </c>
      <c r="CH12" s="3">
        <f t="shared" si="54"/>
        <v>7.9999999999999988E-2</v>
      </c>
      <c r="CI12" s="3">
        <f t="shared" si="13"/>
        <v>0.80803444374664002</v>
      </c>
      <c r="CL12" s="3">
        <f t="shared" si="55"/>
        <v>7.9999999999999988E-2</v>
      </c>
      <c r="CM12" s="168">
        <f t="shared" si="56"/>
        <v>7.9999999999999988E-2</v>
      </c>
      <c r="CN12" s="3">
        <f t="shared" si="14"/>
        <v>0.80803444374664002</v>
      </c>
      <c r="CQ12" s="3">
        <f t="shared" si="57"/>
        <v>7.9999999999999988E-2</v>
      </c>
      <c r="CR12" s="168">
        <f t="shared" si="58"/>
        <v>7.9999999999999988E-2</v>
      </c>
      <c r="CS12" s="3">
        <f t="shared" si="15"/>
        <v>0.80803444374664002</v>
      </c>
      <c r="CV12" s="3">
        <f t="shared" si="59"/>
        <v>7.9999999999999988E-2</v>
      </c>
      <c r="CW12" s="3">
        <f t="shared" si="60"/>
        <v>7.9999999999999988E-2</v>
      </c>
      <c r="CX12" s="3">
        <f t="shared" si="16"/>
        <v>0.80803444374664002</v>
      </c>
      <c r="DA12" s="3">
        <f t="shared" si="61"/>
        <v>7.9999999999999988E-2</v>
      </c>
      <c r="DB12" s="168">
        <f t="shared" si="62"/>
        <v>7.9999999999999988E-2</v>
      </c>
      <c r="DC12" s="3">
        <f t="shared" si="17"/>
        <v>0.80803444374664002</v>
      </c>
      <c r="DF12" s="3">
        <f t="shared" si="63"/>
        <v>7.9999999999999988E-2</v>
      </c>
      <c r="DG12" s="168">
        <f t="shared" si="64"/>
        <v>7.9999999999999988E-2</v>
      </c>
      <c r="DH12" s="3">
        <f t="shared" si="18"/>
        <v>0.80803444374664002</v>
      </c>
      <c r="DK12" s="3">
        <f t="shared" si="65"/>
        <v>7.9999999999999988E-2</v>
      </c>
      <c r="DL12" s="3">
        <f t="shared" si="66"/>
        <v>7.9999999999999988E-2</v>
      </c>
      <c r="DM12" s="3">
        <f t="shared" si="19"/>
        <v>0.80803444374664002</v>
      </c>
      <c r="DP12" s="3">
        <f t="shared" si="67"/>
        <v>7.9999999999999988E-2</v>
      </c>
      <c r="DQ12" s="168">
        <f t="shared" si="68"/>
        <v>7.9999999999999988E-2</v>
      </c>
      <c r="DR12" s="3">
        <f t="shared" si="20"/>
        <v>0.80803444374664002</v>
      </c>
      <c r="DU12" s="3">
        <f t="shared" si="69"/>
        <v>7.9999999999999988E-2</v>
      </c>
      <c r="DV12" s="168">
        <f t="shared" si="70"/>
        <v>7.9999999999999988E-2</v>
      </c>
      <c r="DW12" s="3">
        <f t="shared" si="21"/>
        <v>0.80803444374664002</v>
      </c>
      <c r="DZ12" s="3">
        <f t="shared" si="71"/>
        <v>7.9999999999999988E-2</v>
      </c>
      <c r="EA12" s="3">
        <f t="shared" si="72"/>
        <v>7.9999999999999988E-2</v>
      </c>
      <c r="EB12" s="3">
        <f t="shared" si="22"/>
        <v>0.80803444374664002</v>
      </c>
      <c r="EE12" s="3">
        <f t="shared" si="73"/>
        <v>7.9999999999999988E-2</v>
      </c>
      <c r="EF12" s="168">
        <f t="shared" si="74"/>
        <v>7.9999999999999988E-2</v>
      </c>
      <c r="EG12" s="3">
        <f t="shared" si="23"/>
        <v>0.80803444374664002</v>
      </c>
      <c r="EJ12" s="3">
        <f t="shared" si="75"/>
        <v>7.9999999999999988E-2</v>
      </c>
      <c r="EK12" s="168">
        <f t="shared" si="76"/>
        <v>7.9999999999999988E-2</v>
      </c>
      <c r="EL12" s="3">
        <f t="shared" si="24"/>
        <v>0.80803444374664002</v>
      </c>
      <c r="EO12" s="3">
        <f t="shared" si="77"/>
        <v>7.9999999999999988E-2</v>
      </c>
      <c r="EP12" s="3">
        <f t="shared" si="78"/>
        <v>7.9999999999999988E-2</v>
      </c>
      <c r="EQ12" s="3">
        <f t="shared" si="25"/>
        <v>0.80803444374664002</v>
      </c>
      <c r="ET12" s="3">
        <f t="shared" si="79"/>
        <v>7.9999999999999988E-2</v>
      </c>
      <c r="EU12" s="168">
        <f t="shared" si="80"/>
        <v>7.9999999999999988E-2</v>
      </c>
      <c r="EV12" s="3">
        <f t="shared" si="26"/>
        <v>0.80803444374664002</v>
      </c>
    </row>
    <row r="13" spans="2:156" x14ac:dyDescent="0.3">
      <c r="C13" s="165" t="s">
        <v>343</v>
      </c>
      <c r="D13" s="225">
        <v>0</v>
      </c>
      <c r="F13" s="165" t="s">
        <v>343</v>
      </c>
      <c r="G13" s="225">
        <v>0</v>
      </c>
      <c r="T13" s="3">
        <f t="shared" si="27"/>
        <v>9.9999999999999978E-2</v>
      </c>
      <c r="U13" s="168">
        <f t="shared" si="28"/>
        <v>9.9999999999999978E-2</v>
      </c>
      <c r="V13" s="3">
        <f t="shared" si="0"/>
        <v>0.95327177286368237</v>
      </c>
      <c r="Y13" s="3">
        <f t="shared" si="29"/>
        <v>9.9999999999999978E-2</v>
      </c>
      <c r="Z13" s="3">
        <f t="shared" si="30"/>
        <v>9.9999999999999978E-2</v>
      </c>
      <c r="AA13" s="3">
        <f t="shared" si="1"/>
        <v>0.95327177286368237</v>
      </c>
      <c r="AD13" s="3">
        <f t="shared" si="31"/>
        <v>9.9999999999999978E-2</v>
      </c>
      <c r="AE13" s="168">
        <f t="shared" si="32"/>
        <v>9.9999999999999978E-2</v>
      </c>
      <c r="AF13" s="3">
        <f t="shared" si="2"/>
        <v>0.95327177286368237</v>
      </c>
      <c r="AI13" s="3">
        <f t="shared" si="33"/>
        <v>9.9999999999999978E-2</v>
      </c>
      <c r="AJ13" s="168">
        <f t="shared" si="34"/>
        <v>9.9999999999999978E-2</v>
      </c>
      <c r="AK13" s="3">
        <f t="shared" si="3"/>
        <v>0.95327177286368237</v>
      </c>
      <c r="AN13" s="3">
        <f t="shared" si="35"/>
        <v>9.9999999999999978E-2</v>
      </c>
      <c r="AO13" s="3">
        <f t="shared" si="36"/>
        <v>9.9999999999999978E-2</v>
      </c>
      <c r="AP13" s="3">
        <f t="shared" si="4"/>
        <v>0.95327177286368237</v>
      </c>
      <c r="AS13" s="3">
        <f t="shared" si="37"/>
        <v>9.9999999999999978E-2</v>
      </c>
      <c r="AT13" s="168">
        <f t="shared" si="38"/>
        <v>9.9999999999999978E-2</v>
      </c>
      <c r="AU13" s="3">
        <f t="shared" si="5"/>
        <v>0.95327177286368237</v>
      </c>
      <c r="AX13" s="3">
        <f t="shared" si="39"/>
        <v>9.9999999999999978E-2</v>
      </c>
      <c r="AY13" s="168">
        <f t="shared" si="40"/>
        <v>9.9999999999999978E-2</v>
      </c>
      <c r="AZ13" s="3">
        <f t="shared" si="6"/>
        <v>0.95327177286368237</v>
      </c>
      <c r="BC13" s="3">
        <f t="shared" si="41"/>
        <v>9.9999999999999978E-2</v>
      </c>
      <c r="BD13" s="3">
        <f t="shared" si="42"/>
        <v>9.9999999999999978E-2</v>
      </c>
      <c r="BE13" s="3">
        <f t="shared" si="7"/>
        <v>0.95327177286368237</v>
      </c>
      <c r="BH13" s="3">
        <f t="shared" si="43"/>
        <v>9.9999999999999978E-2</v>
      </c>
      <c r="BI13" s="168">
        <f t="shared" si="44"/>
        <v>9.9999999999999978E-2</v>
      </c>
      <c r="BJ13" s="3">
        <f t="shared" si="8"/>
        <v>0.95327177286368237</v>
      </c>
      <c r="BM13" s="3">
        <f t="shared" si="45"/>
        <v>9.9999999999999978E-2</v>
      </c>
      <c r="BN13" s="168">
        <f t="shared" si="46"/>
        <v>9.9999999999999978E-2</v>
      </c>
      <c r="BO13" s="3">
        <f t="shared" si="9"/>
        <v>0.95327177286368237</v>
      </c>
      <c r="BR13" s="3">
        <f t="shared" si="47"/>
        <v>9.9999999999999978E-2</v>
      </c>
      <c r="BS13" s="3">
        <f t="shared" si="48"/>
        <v>9.9999999999999978E-2</v>
      </c>
      <c r="BT13" s="3">
        <f t="shared" si="10"/>
        <v>0.95327177286368237</v>
      </c>
      <c r="BW13" s="3">
        <f t="shared" si="49"/>
        <v>9.9999999999999978E-2</v>
      </c>
      <c r="BX13" s="168">
        <f t="shared" si="50"/>
        <v>9.9999999999999978E-2</v>
      </c>
      <c r="BY13" s="3">
        <f t="shared" si="11"/>
        <v>0.95327177286368237</v>
      </c>
      <c r="CB13" s="3">
        <f t="shared" si="51"/>
        <v>9.9999999999999978E-2</v>
      </c>
      <c r="CC13" s="168">
        <f t="shared" si="52"/>
        <v>9.9999999999999978E-2</v>
      </c>
      <c r="CD13" s="3">
        <f t="shared" si="12"/>
        <v>0.95327177286368237</v>
      </c>
      <c r="CG13" s="3">
        <f t="shared" si="53"/>
        <v>9.9999999999999978E-2</v>
      </c>
      <c r="CH13" s="3">
        <f t="shared" si="54"/>
        <v>9.9999999999999978E-2</v>
      </c>
      <c r="CI13" s="3">
        <f t="shared" si="13"/>
        <v>0.95327177286368237</v>
      </c>
      <c r="CL13" s="3">
        <f t="shared" si="55"/>
        <v>9.9999999999999978E-2</v>
      </c>
      <c r="CM13" s="168">
        <f t="shared" si="56"/>
        <v>9.9999999999999978E-2</v>
      </c>
      <c r="CN13" s="3">
        <f t="shared" si="14"/>
        <v>0.95327177286368237</v>
      </c>
      <c r="CQ13" s="3">
        <f t="shared" si="57"/>
        <v>9.9999999999999978E-2</v>
      </c>
      <c r="CR13" s="168">
        <f t="shared" si="58"/>
        <v>9.9999999999999978E-2</v>
      </c>
      <c r="CS13" s="3">
        <f t="shared" si="15"/>
        <v>0.95327177286368237</v>
      </c>
      <c r="CV13" s="3">
        <f t="shared" si="59"/>
        <v>9.9999999999999978E-2</v>
      </c>
      <c r="CW13" s="3">
        <f t="shared" si="60"/>
        <v>9.9999999999999978E-2</v>
      </c>
      <c r="CX13" s="3">
        <f t="shared" si="16"/>
        <v>0.95327177286368237</v>
      </c>
      <c r="DA13" s="3">
        <f t="shared" si="61"/>
        <v>9.9999999999999978E-2</v>
      </c>
      <c r="DB13" s="168">
        <f t="shared" si="62"/>
        <v>9.9999999999999978E-2</v>
      </c>
      <c r="DC13" s="3">
        <f t="shared" si="17"/>
        <v>0.95327177286368237</v>
      </c>
      <c r="DF13" s="3">
        <f t="shared" si="63"/>
        <v>9.9999999999999978E-2</v>
      </c>
      <c r="DG13" s="168">
        <f t="shared" si="64"/>
        <v>9.9999999999999978E-2</v>
      </c>
      <c r="DH13" s="3">
        <f t="shared" si="18"/>
        <v>0.95327177286368237</v>
      </c>
      <c r="DK13" s="3">
        <f t="shared" si="65"/>
        <v>9.9999999999999978E-2</v>
      </c>
      <c r="DL13" s="3">
        <f t="shared" si="66"/>
        <v>9.9999999999999978E-2</v>
      </c>
      <c r="DM13" s="3">
        <f t="shared" si="19"/>
        <v>0.95327177286368237</v>
      </c>
      <c r="DP13" s="3">
        <f t="shared" si="67"/>
        <v>9.9999999999999978E-2</v>
      </c>
      <c r="DQ13" s="168">
        <f t="shared" si="68"/>
        <v>9.9999999999999978E-2</v>
      </c>
      <c r="DR13" s="3">
        <f t="shared" si="20"/>
        <v>0.95327177286368237</v>
      </c>
      <c r="DU13" s="3">
        <f t="shared" si="69"/>
        <v>9.9999999999999978E-2</v>
      </c>
      <c r="DV13" s="168">
        <f t="shared" si="70"/>
        <v>9.9999999999999978E-2</v>
      </c>
      <c r="DW13" s="3">
        <f t="shared" si="21"/>
        <v>0.95327177286368237</v>
      </c>
      <c r="DZ13" s="3">
        <f t="shared" si="71"/>
        <v>9.9999999999999978E-2</v>
      </c>
      <c r="EA13" s="3">
        <f t="shared" si="72"/>
        <v>9.9999999999999978E-2</v>
      </c>
      <c r="EB13" s="3">
        <f t="shared" si="22"/>
        <v>0.95327177286368237</v>
      </c>
      <c r="EE13" s="3">
        <f t="shared" si="73"/>
        <v>9.9999999999999978E-2</v>
      </c>
      <c r="EF13" s="168">
        <f t="shared" si="74"/>
        <v>9.9999999999999978E-2</v>
      </c>
      <c r="EG13" s="3">
        <f t="shared" si="23"/>
        <v>0.95327177286368237</v>
      </c>
      <c r="EJ13" s="3">
        <f t="shared" si="75"/>
        <v>9.9999999999999978E-2</v>
      </c>
      <c r="EK13" s="168">
        <f t="shared" si="76"/>
        <v>9.9999999999999978E-2</v>
      </c>
      <c r="EL13" s="3">
        <f t="shared" si="24"/>
        <v>0.95327177286368237</v>
      </c>
      <c r="EO13" s="3">
        <f t="shared" si="77"/>
        <v>9.9999999999999978E-2</v>
      </c>
      <c r="EP13" s="3">
        <f t="shared" si="78"/>
        <v>9.9999999999999978E-2</v>
      </c>
      <c r="EQ13" s="3">
        <f t="shared" si="25"/>
        <v>0.95327177286368237</v>
      </c>
      <c r="ET13" s="3">
        <f t="shared" si="79"/>
        <v>9.9999999999999978E-2</v>
      </c>
      <c r="EU13" s="168">
        <f t="shared" si="80"/>
        <v>9.9999999999999978E-2</v>
      </c>
      <c r="EV13" s="3">
        <f t="shared" si="26"/>
        <v>0.95327177286368237</v>
      </c>
    </row>
    <row r="14" spans="2:156" x14ac:dyDescent="0.3">
      <c r="D14" s="57"/>
      <c r="N14" s="1">
        <f>MAX(T8:EV108)</f>
        <v>4.7749685025177477</v>
      </c>
      <c r="T14" s="3">
        <f t="shared" si="27"/>
        <v>0.11999999999999997</v>
      </c>
      <c r="U14" s="168">
        <f t="shared" si="28"/>
        <v>0.11999999999999997</v>
      </c>
      <c r="V14" s="3">
        <f t="shared" si="0"/>
        <v>1.0958005892528775</v>
      </c>
      <c r="Y14" s="3">
        <f t="shared" si="29"/>
        <v>0.11999999999999997</v>
      </c>
      <c r="Z14" s="3">
        <f t="shared" si="30"/>
        <v>0.11999999999999997</v>
      </c>
      <c r="AA14" s="3">
        <f t="shared" si="1"/>
        <v>1.0958005892528775</v>
      </c>
      <c r="AD14" s="3">
        <f t="shared" si="31"/>
        <v>0.11999999999999997</v>
      </c>
      <c r="AE14" s="168">
        <f t="shared" si="32"/>
        <v>0.11999999999999997</v>
      </c>
      <c r="AF14" s="3">
        <f t="shared" si="2"/>
        <v>1.0958005892528775</v>
      </c>
      <c r="AI14" s="3">
        <f t="shared" si="33"/>
        <v>0.11999999999999997</v>
      </c>
      <c r="AJ14" s="168">
        <f t="shared" si="34"/>
        <v>0.11999999999999997</v>
      </c>
      <c r="AK14" s="3">
        <f t="shared" si="3"/>
        <v>1.0958005892528775</v>
      </c>
      <c r="AN14" s="3">
        <f t="shared" si="35"/>
        <v>0.11999999999999997</v>
      </c>
      <c r="AO14" s="3">
        <f t="shared" si="36"/>
        <v>0.11999999999999997</v>
      </c>
      <c r="AP14" s="3">
        <f t="shared" si="4"/>
        <v>1.0958005892528775</v>
      </c>
      <c r="AS14" s="3">
        <f t="shared" si="37"/>
        <v>0.11999999999999997</v>
      </c>
      <c r="AT14" s="168">
        <f t="shared" si="38"/>
        <v>0.11999999999999997</v>
      </c>
      <c r="AU14" s="3">
        <f t="shared" si="5"/>
        <v>1.0958005892528775</v>
      </c>
      <c r="AX14" s="3">
        <f t="shared" si="39"/>
        <v>0.11999999999999997</v>
      </c>
      <c r="AY14" s="168">
        <f t="shared" si="40"/>
        <v>0.11999999999999997</v>
      </c>
      <c r="AZ14" s="3">
        <f t="shared" si="6"/>
        <v>1.0958005892528775</v>
      </c>
      <c r="BC14" s="3">
        <f t="shared" si="41"/>
        <v>0.11999999999999997</v>
      </c>
      <c r="BD14" s="3">
        <f t="shared" si="42"/>
        <v>0.11999999999999997</v>
      </c>
      <c r="BE14" s="3">
        <f t="shared" si="7"/>
        <v>1.0958005892528775</v>
      </c>
      <c r="BH14" s="3">
        <f t="shared" si="43"/>
        <v>0.11999999999999997</v>
      </c>
      <c r="BI14" s="168">
        <f t="shared" si="44"/>
        <v>0.11999999999999997</v>
      </c>
      <c r="BJ14" s="3">
        <f t="shared" si="8"/>
        <v>1.0958005892528775</v>
      </c>
      <c r="BM14" s="3">
        <f t="shared" si="45"/>
        <v>0.11999999999999997</v>
      </c>
      <c r="BN14" s="168">
        <f t="shared" si="46"/>
        <v>0.11999999999999997</v>
      </c>
      <c r="BO14" s="3">
        <f t="shared" si="9"/>
        <v>1.0958005892528775</v>
      </c>
      <c r="BR14" s="3">
        <f t="shared" si="47"/>
        <v>0.11999999999999997</v>
      </c>
      <c r="BS14" s="3">
        <f t="shared" si="48"/>
        <v>0.11999999999999997</v>
      </c>
      <c r="BT14" s="3">
        <f t="shared" si="10"/>
        <v>1.0958005892528775</v>
      </c>
      <c r="BW14" s="3">
        <f t="shared" si="49"/>
        <v>0.11999999999999997</v>
      </c>
      <c r="BX14" s="168">
        <f t="shared" si="50"/>
        <v>0.11999999999999997</v>
      </c>
      <c r="BY14" s="3">
        <f t="shared" si="11"/>
        <v>1.0958005892528775</v>
      </c>
      <c r="CB14" s="3">
        <f t="shared" si="51"/>
        <v>0.11999999999999997</v>
      </c>
      <c r="CC14" s="168">
        <f t="shared" si="52"/>
        <v>0.11999999999999997</v>
      </c>
      <c r="CD14" s="3">
        <f t="shared" si="12"/>
        <v>1.0958005892528775</v>
      </c>
      <c r="CG14" s="3">
        <f t="shared" si="53"/>
        <v>0.11999999999999997</v>
      </c>
      <c r="CH14" s="3">
        <f t="shared" si="54"/>
        <v>0.11999999999999997</v>
      </c>
      <c r="CI14" s="3">
        <f t="shared" si="13"/>
        <v>1.0958005892528775</v>
      </c>
      <c r="CL14" s="3">
        <f t="shared" si="55"/>
        <v>0.11999999999999997</v>
      </c>
      <c r="CM14" s="168">
        <f t="shared" si="56"/>
        <v>0.11999999999999997</v>
      </c>
      <c r="CN14" s="3">
        <f t="shared" si="14"/>
        <v>1.0958005892528775</v>
      </c>
      <c r="CQ14" s="3">
        <f t="shared" si="57"/>
        <v>0.11999999999999997</v>
      </c>
      <c r="CR14" s="168">
        <f t="shared" si="58"/>
        <v>0.11999999999999997</v>
      </c>
      <c r="CS14" s="3">
        <f t="shared" si="15"/>
        <v>1.0958005892528775</v>
      </c>
      <c r="CV14" s="3">
        <f t="shared" si="59"/>
        <v>0.11999999999999997</v>
      </c>
      <c r="CW14" s="3">
        <f t="shared" si="60"/>
        <v>0.11999999999999997</v>
      </c>
      <c r="CX14" s="3">
        <f t="shared" si="16"/>
        <v>1.0958005892528775</v>
      </c>
      <c r="DA14" s="3">
        <f t="shared" si="61"/>
        <v>0.11999999999999997</v>
      </c>
      <c r="DB14" s="168">
        <f t="shared" si="62"/>
        <v>0.11999999999999997</v>
      </c>
      <c r="DC14" s="3">
        <f t="shared" si="17"/>
        <v>1.0958005892528775</v>
      </c>
      <c r="DF14" s="3">
        <f t="shared" si="63"/>
        <v>0.11999999999999997</v>
      </c>
      <c r="DG14" s="168">
        <f t="shared" si="64"/>
        <v>0.11999999999999997</v>
      </c>
      <c r="DH14" s="3">
        <f t="shared" si="18"/>
        <v>1.0958005892528775</v>
      </c>
      <c r="DK14" s="3">
        <f t="shared" si="65"/>
        <v>0.11999999999999997</v>
      </c>
      <c r="DL14" s="3">
        <f t="shared" si="66"/>
        <v>0.11999999999999997</v>
      </c>
      <c r="DM14" s="3">
        <f t="shared" si="19"/>
        <v>1.0958005892528775</v>
      </c>
      <c r="DP14" s="3">
        <f t="shared" si="67"/>
        <v>0.11999999999999997</v>
      </c>
      <c r="DQ14" s="168">
        <f t="shared" si="68"/>
        <v>0.11999999999999997</v>
      </c>
      <c r="DR14" s="3">
        <f t="shared" si="20"/>
        <v>1.0958005892528775</v>
      </c>
      <c r="DU14" s="3">
        <f t="shared" si="69"/>
        <v>0.11999999999999997</v>
      </c>
      <c r="DV14" s="168">
        <f t="shared" si="70"/>
        <v>0.11999999999999997</v>
      </c>
      <c r="DW14" s="3">
        <f t="shared" si="21"/>
        <v>1.0958005892528775</v>
      </c>
      <c r="DZ14" s="3">
        <f t="shared" si="71"/>
        <v>0.11999999999999997</v>
      </c>
      <c r="EA14" s="3">
        <f t="shared" si="72"/>
        <v>0.11999999999999997</v>
      </c>
      <c r="EB14" s="3">
        <f t="shared" si="22"/>
        <v>1.0958005892528775</v>
      </c>
      <c r="EE14" s="3">
        <f t="shared" si="73"/>
        <v>0.11999999999999997</v>
      </c>
      <c r="EF14" s="168">
        <f t="shared" si="74"/>
        <v>0.11999999999999997</v>
      </c>
      <c r="EG14" s="3">
        <f t="shared" si="23"/>
        <v>1.0958005892528775</v>
      </c>
      <c r="EJ14" s="3">
        <f t="shared" si="75"/>
        <v>0.11999999999999997</v>
      </c>
      <c r="EK14" s="168">
        <f t="shared" si="76"/>
        <v>0.11999999999999997</v>
      </c>
      <c r="EL14" s="3">
        <f t="shared" si="24"/>
        <v>1.0958005892528775</v>
      </c>
      <c r="EO14" s="3">
        <f t="shared" si="77"/>
        <v>0.11999999999999997</v>
      </c>
      <c r="EP14" s="3">
        <f t="shared" si="78"/>
        <v>0.11999999999999997</v>
      </c>
      <c r="EQ14" s="3">
        <f t="shared" si="25"/>
        <v>1.0958005892528775</v>
      </c>
      <c r="ET14" s="3">
        <f t="shared" si="79"/>
        <v>0.11999999999999997</v>
      </c>
      <c r="EU14" s="168">
        <f t="shared" si="80"/>
        <v>0.11999999999999997</v>
      </c>
      <c r="EV14" s="3">
        <f t="shared" si="26"/>
        <v>1.0958005892528775</v>
      </c>
    </row>
    <row r="15" spans="2:156" x14ac:dyDescent="0.3">
      <c r="N15" s="1">
        <f>MIN(T8:EV108)</f>
        <v>0</v>
      </c>
      <c r="T15" s="3">
        <f t="shared" si="27"/>
        <v>0.13999999999999996</v>
      </c>
      <c r="U15" s="168">
        <f t="shared" si="28"/>
        <v>0.13999999999999996</v>
      </c>
      <c r="V15" s="3">
        <f t="shared" si="0"/>
        <v>1.2356208929142256</v>
      </c>
      <c r="Y15" s="3">
        <f t="shared" si="29"/>
        <v>0.13999999999999996</v>
      </c>
      <c r="Z15" s="3">
        <f t="shared" si="30"/>
        <v>0.13999999999999996</v>
      </c>
      <c r="AA15" s="3">
        <f t="shared" si="1"/>
        <v>1.2356208929142256</v>
      </c>
      <c r="AD15" s="3">
        <f t="shared" si="31"/>
        <v>0.13999999999999996</v>
      </c>
      <c r="AE15" s="168">
        <f t="shared" si="32"/>
        <v>0.13999999999999996</v>
      </c>
      <c r="AF15" s="3">
        <f t="shared" si="2"/>
        <v>1.2356208929142256</v>
      </c>
      <c r="AI15" s="3">
        <f t="shared" si="33"/>
        <v>0.13999999999999996</v>
      </c>
      <c r="AJ15" s="168">
        <f t="shared" si="34"/>
        <v>0.13999999999999996</v>
      </c>
      <c r="AK15" s="3">
        <f t="shared" si="3"/>
        <v>1.2356208929142256</v>
      </c>
      <c r="AN15" s="3">
        <f t="shared" si="35"/>
        <v>0.13999999999999996</v>
      </c>
      <c r="AO15" s="3">
        <f t="shared" si="36"/>
        <v>0.13999999999999996</v>
      </c>
      <c r="AP15" s="3">
        <f t="shared" si="4"/>
        <v>1.2356208929142256</v>
      </c>
      <c r="AS15" s="3">
        <f t="shared" si="37"/>
        <v>0.13999999999999996</v>
      </c>
      <c r="AT15" s="168">
        <f t="shared" si="38"/>
        <v>0.13999999999999996</v>
      </c>
      <c r="AU15" s="3">
        <f t="shared" si="5"/>
        <v>1.2356208929142256</v>
      </c>
      <c r="AX15" s="3">
        <f t="shared" si="39"/>
        <v>0.13999999999999996</v>
      </c>
      <c r="AY15" s="168">
        <f t="shared" si="40"/>
        <v>0.13999999999999996</v>
      </c>
      <c r="AZ15" s="3">
        <f t="shared" si="6"/>
        <v>1.2356208929142256</v>
      </c>
      <c r="BC15" s="3">
        <f t="shared" si="41"/>
        <v>0.13999999999999996</v>
      </c>
      <c r="BD15" s="3">
        <f t="shared" si="42"/>
        <v>0.13999999999999996</v>
      </c>
      <c r="BE15" s="3">
        <f t="shared" si="7"/>
        <v>1.2356208929142256</v>
      </c>
      <c r="BH15" s="3">
        <f t="shared" si="43"/>
        <v>0.13999999999999996</v>
      </c>
      <c r="BI15" s="168">
        <f t="shared" si="44"/>
        <v>0.13999999999999996</v>
      </c>
      <c r="BJ15" s="3">
        <f t="shared" si="8"/>
        <v>1.2356208929142256</v>
      </c>
      <c r="BM15" s="3">
        <f t="shared" si="45"/>
        <v>0.13999999999999996</v>
      </c>
      <c r="BN15" s="168">
        <f t="shared" si="46"/>
        <v>0.13999999999999996</v>
      </c>
      <c r="BO15" s="3">
        <f t="shared" si="9"/>
        <v>1.2356208929142256</v>
      </c>
      <c r="BR15" s="3">
        <f t="shared" si="47"/>
        <v>0.13999999999999996</v>
      </c>
      <c r="BS15" s="3">
        <f t="shared" si="48"/>
        <v>0.13999999999999996</v>
      </c>
      <c r="BT15" s="3">
        <f t="shared" si="10"/>
        <v>1.2356208929142256</v>
      </c>
      <c r="BW15" s="3">
        <f t="shared" si="49"/>
        <v>0.13999999999999996</v>
      </c>
      <c r="BX15" s="168">
        <f t="shared" si="50"/>
        <v>0.13999999999999996</v>
      </c>
      <c r="BY15" s="3">
        <f t="shared" si="11"/>
        <v>1.2356208929142256</v>
      </c>
      <c r="CB15" s="3">
        <f t="shared" si="51"/>
        <v>0.13999999999999996</v>
      </c>
      <c r="CC15" s="168">
        <f t="shared" si="52"/>
        <v>0.13999999999999996</v>
      </c>
      <c r="CD15" s="3">
        <f t="shared" si="12"/>
        <v>1.2356208929142256</v>
      </c>
      <c r="CG15" s="3">
        <f t="shared" si="53"/>
        <v>0.13999999999999996</v>
      </c>
      <c r="CH15" s="3">
        <f t="shared" si="54"/>
        <v>0.13999999999999996</v>
      </c>
      <c r="CI15" s="3">
        <f t="shared" si="13"/>
        <v>1.2356208929142256</v>
      </c>
      <c r="CL15" s="3">
        <f t="shared" si="55"/>
        <v>0.13999999999999996</v>
      </c>
      <c r="CM15" s="168">
        <f t="shared" si="56"/>
        <v>0.13999999999999996</v>
      </c>
      <c r="CN15" s="3">
        <f t="shared" si="14"/>
        <v>1.2356208929142256</v>
      </c>
      <c r="CQ15" s="3">
        <f t="shared" si="57"/>
        <v>0.13999999999999996</v>
      </c>
      <c r="CR15" s="168">
        <f t="shared" si="58"/>
        <v>0.13999999999999996</v>
      </c>
      <c r="CS15" s="3">
        <f t="shared" si="15"/>
        <v>1.2356208929142256</v>
      </c>
      <c r="CV15" s="3">
        <f t="shared" si="59"/>
        <v>0.13999999999999996</v>
      </c>
      <c r="CW15" s="3">
        <f t="shared" si="60"/>
        <v>0.13999999999999996</v>
      </c>
      <c r="CX15" s="3">
        <f t="shared" si="16"/>
        <v>1.2356208929142256</v>
      </c>
      <c r="DA15" s="3">
        <f t="shared" si="61"/>
        <v>0.13999999999999996</v>
      </c>
      <c r="DB15" s="168">
        <f t="shared" si="62"/>
        <v>0.13999999999999996</v>
      </c>
      <c r="DC15" s="3">
        <f t="shared" si="17"/>
        <v>1.2356208929142256</v>
      </c>
      <c r="DF15" s="3">
        <f t="shared" si="63"/>
        <v>0.13999999999999996</v>
      </c>
      <c r="DG15" s="168">
        <f t="shared" si="64"/>
        <v>0.13999999999999996</v>
      </c>
      <c r="DH15" s="3">
        <f t="shared" si="18"/>
        <v>1.2356208929142256</v>
      </c>
      <c r="DK15" s="3">
        <f t="shared" si="65"/>
        <v>0.13999999999999996</v>
      </c>
      <c r="DL15" s="3">
        <f t="shared" si="66"/>
        <v>0.13999999999999996</v>
      </c>
      <c r="DM15" s="3">
        <f t="shared" si="19"/>
        <v>1.2356208929142256</v>
      </c>
      <c r="DP15" s="3">
        <f t="shared" si="67"/>
        <v>0.13999999999999996</v>
      </c>
      <c r="DQ15" s="168">
        <f t="shared" si="68"/>
        <v>0.13999999999999996</v>
      </c>
      <c r="DR15" s="3">
        <f t="shared" si="20"/>
        <v>1.2356208929142256</v>
      </c>
      <c r="DU15" s="3">
        <f t="shared" si="69"/>
        <v>0.13999999999999996</v>
      </c>
      <c r="DV15" s="168">
        <f t="shared" si="70"/>
        <v>0.13999999999999996</v>
      </c>
      <c r="DW15" s="3">
        <f t="shared" si="21"/>
        <v>1.2356208929142256</v>
      </c>
      <c r="DZ15" s="3">
        <f t="shared" si="71"/>
        <v>0.13999999999999996</v>
      </c>
      <c r="EA15" s="3">
        <f t="shared" si="72"/>
        <v>0.13999999999999996</v>
      </c>
      <c r="EB15" s="3">
        <f t="shared" si="22"/>
        <v>1.2356208929142256</v>
      </c>
      <c r="EE15" s="3">
        <f t="shared" si="73"/>
        <v>0.13999999999999996</v>
      </c>
      <c r="EF15" s="168">
        <f t="shared" si="74"/>
        <v>0.13999999999999996</v>
      </c>
      <c r="EG15" s="3">
        <f t="shared" si="23"/>
        <v>1.2356208929142256</v>
      </c>
      <c r="EJ15" s="3">
        <f t="shared" si="75"/>
        <v>0.13999999999999996</v>
      </c>
      <c r="EK15" s="168">
        <f t="shared" si="76"/>
        <v>0.13999999999999996</v>
      </c>
      <c r="EL15" s="3">
        <f t="shared" si="24"/>
        <v>1.2356208929142256</v>
      </c>
      <c r="EO15" s="3">
        <f t="shared" si="77"/>
        <v>0.13999999999999996</v>
      </c>
      <c r="EP15" s="3">
        <f t="shared" si="78"/>
        <v>0.13999999999999996</v>
      </c>
      <c r="EQ15" s="3">
        <f t="shared" si="25"/>
        <v>1.2356208929142256</v>
      </c>
      <c r="ET15" s="3">
        <f t="shared" si="79"/>
        <v>0.13999999999999996</v>
      </c>
      <c r="EU15" s="168">
        <f t="shared" si="80"/>
        <v>0.13999999999999996</v>
      </c>
      <c r="EV15" s="3">
        <f t="shared" si="26"/>
        <v>1.2356208929142256</v>
      </c>
    </row>
    <row r="16" spans="2:156" x14ac:dyDescent="0.3">
      <c r="C16" s="165" t="str">
        <f>"Final Height (" &amp; IF($B$4, "m", "ft") &amp; ")"</f>
        <v>Final Height (m)</v>
      </c>
      <c r="D16" s="44">
        <f>$D$8*TAN(RADIANS($D$12))-(IF($B$4, 9.807, 32.174)*$D$8^2)/(2*$D$10^2*COS(RADIANS($D$12))^2)+$D$7</f>
        <v>2.3853225280485435</v>
      </c>
      <c r="F16" s="165" t="str">
        <f>"Release Velocity (" &amp; IF($B$4, "m", "ft") &amp; "/s)"</f>
        <v>Release Velocity (m/s)</v>
      </c>
      <c r="G16" s="44">
        <f>SQRT((IF($B$4, 9.807, 32.174)*G8)/(ABS(TAN(RADIANS(G18))-TAN(RADIANS(G12)))))/COS(RADIANS(G18))</f>
        <v>9.5489346835634272</v>
      </c>
      <c r="T16" s="3">
        <f t="shared" si="27"/>
        <v>0.15999999999999995</v>
      </c>
      <c r="U16" s="168">
        <f t="shared" si="28"/>
        <v>0.15999999999999995</v>
      </c>
      <c r="V16" s="3">
        <f t="shared" si="0"/>
        <v>1.3727326838477265</v>
      </c>
      <c r="Y16" s="3">
        <f t="shared" si="29"/>
        <v>0.15999999999999995</v>
      </c>
      <c r="Z16" s="3">
        <f t="shared" si="30"/>
        <v>0.15999999999999995</v>
      </c>
      <c r="AA16" s="3">
        <f t="shared" si="1"/>
        <v>1.3727326838477265</v>
      </c>
      <c r="AD16" s="3">
        <f t="shared" si="31"/>
        <v>0.15999999999999995</v>
      </c>
      <c r="AE16" s="168">
        <f t="shared" si="32"/>
        <v>0.15999999999999995</v>
      </c>
      <c r="AF16" s="3">
        <f t="shared" si="2"/>
        <v>1.3727326838477265</v>
      </c>
      <c r="AI16" s="3">
        <f t="shared" si="33"/>
        <v>0.15999999999999995</v>
      </c>
      <c r="AJ16" s="168">
        <f t="shared" si="34"/>
        <v>0.15999999999999995</v>
      </c>
      <c r="AK16" s="3">
        <f t="shared" si="3"/>
        <v>1.3727326838477265</v>
      </c>
      <c r="AN16" s="3">
        <f t="shared" si="35"/>
        <v>0.15999999999999995</v>
      </c>
      <c r="AO16" s="3">
        <f t="shared" si="36"/>
        <v>0.15999999999999995</v>
      </c>
      <c r="AP16" s="3">
        <f t="shared" si="4"/>
        <v>1.3727326838477265</v>
      </c>
      <c r="AS16" s="3">
        <f t="shared" si="37"/>
        <v>0.15999999999999995</v>
      </c>
      <c r="AT16" s="168">
        <f t="shared" si="38"/>
        <v>0.15999999999999995</v>
      </c>
      <c r="AU16" s="3">
        <f t="shared" si="5"/>
        <v>1.3727326838477265</v>
      </c>
      <c r="AX16" s="3">
        <f t="shared" si="39"/>
        <v>0.15999999999999995</v>
      </c>
      <c r="AY16" s="168">
        <f t="shared" si="40"/>
        <v>0.15999999999999995</v>
      </c>
      <c r="AZ16" s="3">
        <f t="shared" si="6"/>
        <v>1.3727326838477265</v>
      </c>
      <c r="BC16" s="3">
        <f t="shared" si="41"/>
        <v>0.15999999999999995</v>
      </c>
      <c r="BD16" s="3">
        <f t="shared" si="42"/>
        <v>0.15999999999999995</v>
      </c>
      <c r="BE16" s="3">
        <f t="shared" si="7"/>
        <v>1.3727326838477265</v>
      </c>
      <c r="BH16" s="3">
        <f t="shared" si="43"/>
        <v>0.15999999999999995</v>
      </c>
      <c r="BI16" s="168">
        <f t="shared" si="44"/>
        <v>0.15999999999999995</v>
      </c>
      <c r="BJ16" s="3">
        <f t="shared" si="8"/>
        <v>1.3727326838477265</v>
      </c>
      <c r="BM16" s="3">
        <f t="shared" si="45"/>
        <v>0.15999999999999995</v>
      </c>
      <c r="BN16" s="168">
        <f t="shared" si="46"/>
        <v>0.15999999999999995</v>
      </c>
      <c r="BO16" s="3">
        <f t="shared" si="9"/>
        <v>1.3727326838477265</v>
      </c>
      <c r="BR16" s="3">
        <f t="shared" si="47"/>
        <v>0.15999999999999995</v>
      </c>
      <c r="BS16" s="3">
        <f t="shared" si="48"/>
        <v>0.15999999999999995</v>
      </c>
      <c r="BT16" s="3">
        <f t="shared" si="10"/>
        <v>1.3727326838477265</v>
      </c>
      <c r="BW16" s="3">
        <f t="shared" si="49"/>
        <v>0.15999999999999995</v>
      </c>
      <c r="BX16" s="168">
        <f t="shared" si="50"/>
        <v>0.15999999999999995</v>
      </c>
      <c r="BY16" s="3">
        <f t="shared" si="11"/>
        <v>1.3727326838477265</v>
      </c>
      <c r="CB16" s="3">
        <f t="shared" si="51"/>
        <v>0.15999999999999995</v>
      </c>
      <c r="CC16" s="168">
        <f t="shared" si="52"/>
        <v>0.15999999999999995</v>
      </c>
      <c r="CD16" s="3">
        <f t="shared" si="12"/>
        <v>1.3727326838477265</v>
      </c>
      <c r="CG16" s="3">
        <f t="shared" si="53"/>
        <v>0.15999999999999995</v>
      </c>
      <c r="CH16" s="3">
        <f t="shared" si="54"/>
        <v>0.15999999999999995</v>
      </c>
      <c r="CI16" s="3">
        <f t="shared" si="13"/>
        <v>1.3727326838477265</v>
      </c>
      <c r="CL16" s="3">
        <f t="shared" si="55"/>
        <v>0.15999999999999995</v>
      </c>
      <c r="CM16" s="168">
        <f t="shared" si="56"/>
        <v>0.15999999999999995</v>
      </c>
      <c r="CN16" s="3">
        <f t="shared" si="14"/>
        <v>1.3727326838477265</v>
      </c>
      <c r="CQ16" s="3">
        <f t="shared" si="57"/>
        <v>0.15999999999999995</v>
      </c>
      <c r="CR16" s="168">
        <f t="shared" si="58"/>
        <v>0.15999999999999995</v>
      </c>
      <c r="CS16" s="3">
        <f t="shared" si="15"/>
        <v>1.3727326838477265</v>
      </c>
      <c r="CV16" s="3">
        <f t="shared" si="59"/>
        <v>0.15999999999999995</v>
      </c>
      <c r="CW16" s="3">
        <f t="shared" si="60"/>
        <v>0.15999999999999995</v>
      </c>
      <c r="CX16" s="3">
        <f t="shared" si="16"/>
        <v>1.3727326838477265</v>
      </c>
      <c r="DA16" s="3">
        <f t="shared" si="61"/>
        <v>0.15999999999999995</v>
      </c>
      <c r="DB16" s="168">
        <f t="shared" si="62"/>
        <v>0.15999999999999995</v>
      </c>
      <c r="DC16" s="3">
        <f t="shared" si="17"/>
        <v>1.3727326838477265</v>
      </c>
      <c r="DF16" s="3">
        <f t="shared" si="63"/>
        <v>0.15999999999999995</v>
      </c>
      <c r="DG16" s="168">
        <f t="shared" si="64"/>
        <v>0.15999999999999995</v>
      </c>
      <c r="DH16" s="3">
        <f t="shared" si="18"/>
        <v>1.3727326838477265</v>
      </c>
      <c r="DK16" s="3">
        <f t="shared" si="65"/>
        <v>0.15999999999999995</v>
      </c>
      <c r="DL16" s="3">
        <f t="shared" si="66"/>
        <v>0.15999999999999995</v>
      </c>
      <c r="DM16" s="3">
        <f t="shared" si="19"/>
        <v>1.3727326838477265</v>
      </c>
      <c r="DP16" s="3">
        <f t="shared" si="67"/>
        <v>0.15999999999999995</v>
      </c>
      <c r="DQ16" s="168">
        <f t="shared" si="68"/>
        <v>0.15999999999999995</v>
      </c>
      <c r="DR16" s="3">
        <f t="shared" si="20"/>
        <v>1.3727326838477265</v>
      </c>
      <c r="DU16" s="3">
        <f t="shared" si="69"/>
        <v>0.15999999999999995</v>
      </c>
      <c r="DV16" s="168">
        <f t="shared" si="70"/>
        <v>0.15999999999999995</v>
      </c>
      <c r="DW16" s="3">
        <f t="shared" si="21"/>
        <v>1.3727326838477265</v>
      </c>
      <c r="DZ16" s="3">
        <f t="shared" si="71"/>
        <v>0.15999999999999995</v>
      </c>
      <c r="EA16" s="3">
        <f t="shared" si="72"/>
        <v>0.15999999999999995</v>
      </c>
      <c r="EB16" s="3">
        <f t="shared" si="22"/>
        <v>1.3727326838477265</v>
      </c>
      <c r="EE16" s="3">
        <f t="shared" si="73"/>
        <v>0.15999999999999995</v>
      </c>
      <c r="EF16" s="168">
        <f t="shared" si="74"/>
        <v>0.15999999999999995</v>
      </c>
      <c r="EG16" s="3">
        <f t="shared" si="23"/>
        <v>1.3727326838477265</v>
      </c>
      <c r="EJ16" s="3">
        <f t="shared" si="75"/>
        <v>0.15999999999999995</v>
      </c>
      <c r="EK16" s="168">
        <f t="shared" si="76"/>
        <v>0.15999999999999995</v>
      </c>
      <c r="EL16" s="3">
        <f t="shared" si="24"/>
        <v>1.3727326838477265</v>
      </c>
      <c r="EO16" s="3">
        <f t="shared" si="77"/>
        <v>0.15999999999999995</v>
      </c>
      <c r="EP16" s="3">
        <f t="shared" si="78"/>
        <v>0.15999999999999995</v>
      </c>
      <c r="EQ16" s="3">
        <f t="shared" si="25"/>
        <v>1.3727326838477265</v>
      </c>
      <c r="ET16" s="3">
        <f t="shared" si="79"/>
        <v>0.15999999999999995</v>
      </c>
      <c r="EU16" s="168">
        <f t="shared" si="80"/>
        <v>0.15999999999999995</v>
      </c>
      <c r="EV16" s="3">
        <f t="shared" si="26"/>
        <v>1.3727326838477265</v>
      </c>
    </row>
    <row r="17" spans="3:152" s="3" customFormat="1" x14ac:dyDescent="0.3">
      <c r="C17" s="165" t="str">
        <f>"     ^ Range (" &amp; IF($B$4, "m", "ft") &amp; ")"</f>
        <v xml:space="preserve">     ^ Range (m)</v>
      </c>
      <c r="D17" s="227" t="str">
        <f>IF(MAX(T114:AT114)=MIN(T114:AT114), "----", TEXT(MAX(T114:AT114), "0.0") &amp; " – " &amp; TEXT(MIN(T114:AT114), "0.0"))</f>
        <v>----</v>
      </c>
      <c r="E17" s="1"/>
      <c r="F17" s="165" t="str">
        <f>"     ^ Range (" &amp; IF($B$4, "m", "ft") &amp; "/s)"</f>
        <v xml:space="preserve">     ^ Range (m/s)</v>
      </c>
      <c r="G17" s="228" t="str">
        <f>IF(MAX(T120:AT120)=MIN(T120:AT120), "----", TEXT(MAX(T120:AT120), "0.0") &amp; " – " &amp; TEXT(MIN(T120:AT120), "0.0"))</f>
        <v>----</v>
      </c>
      <c r="H17" s="1"/>
      <c r="I17" s="1"/>
      <c r="J17" s="1"/>
      <c r="K17" s="1"/>
      <c r="L17" s="1"/>
      <c r="M17" s="1"/>
      <c r="N17" s="1"/>
      <c r="O17" s="1"/>
      <c r="P17" s="1"/>
      <c r="Q17" s="1"/>
      <c r="R17" s="1"/>
      <c r="S17" s="1"/>
      <c r="T17" s="3">
        <f t="shared" si="27"/>
        <v>0.17999999999999994</v>
      </c>
      <c r="U17" s="168">
        <f t="shared" si="28"/>
        <v>0.17999999999999994</v>
      </c>
      <c r="V17" s="3">
        <f t="shared" si="0"/>
        <v>1.5071359620533804</v>
      </c>
      <c r="Y17" s="3">
        <f t="shared" si="29"/>
        <v>0.17999999999999994</v>
      </c>
      <c r="Z17" s="3">
        <f t="shared" si="30"/>
        <v>0.17999999999999994</v>
      </c>
      <c r="AA17" s="3">
        <f t="shared" si="1"/>
        <v>1.5071359620533804</v>
      </c>
      <c r="AD17" s="3">
        <f t="shared" si="31"/>
        <v>0.17999999999999994</v>
      </c>
      <c r="AE17" s="168">
        <f t="shared" si="32"/>
        <v>0.17999999999999994</v>
      </c>
      <c r="AF17" s="3">
        <f t="shared" si="2"/>
        <v>1.5071359620533804</v>
      </c>
      <c r="AI17" s="3">
        <f t="shared" si="33"/>
        <v>0.17999999999999994</v>
      </c>
      <c r="AJ17" s="168">
        <f t="shared" si="34"/>
        <v>0.17999999999999994</v>
      </c>
      <c r="AK17" s="3">
        <f t="shared" si="3"/>
        <v>1.5071359620533804</v>
      </c>
      <c r="AN17" s="3">
        <f t="shared" si="35"/>
        <v>0.17999999999999994</v>
      </c>
      <c r="AO17" s="3">
        <f t="shared" si="36"/>
        <v>0.17999999999999994</v>
      </c>
      <c r="AP17" s="3">
        <f t="shared" si="4"/>
        <v>1.5071359620533804</v>
      </c>
      <c r="AS17" s="3">
        <f t="shared" si="37"/>
        <v>0.17999999999999994</v>
      </c>
      <c r="AT17" s="168">
        <f t="shared" si="38"/>
        <v>0.17999999999999994</v>
      </c>
      <c r="AU17" s="3">
        <f t="shared" si="5"/>
        <v>1.5071359620533804</v>
      </c>
      <c r="AX17" s="3">
        <f t="shared" si="39"/>
        <v>0.17999999999999994</v>
      </c>
      <c r="AY17" s="168">
        <f t="shared" si="40"/>
        <v>0.17999999999999994</v>
      </c>
      <c r="AZ17" s="3">
        <f t="shared" si="6"/>
        <v>1.5071359620533804</v>
      </c>
      <c r="BC17" s="3">
        <f t="shared" si="41"/>
        <v>0.17999999999999994</v>
      </c>
      <c r="BD17" s="3">
        <f t="shared" si="42"/>
        <v>0.17999999999999994</v>
      </c>
      <c r="BE17" s="3">
        <f t="shared" si="7"/>
        <v>1.5071359620533804</v>
      </c>
      <c r="BH17" s="3">
        <f t="shared" si="43"/>
        <v>0.17999999999999994</v>
      </c>
      <c r="BI17" s="168">
        <f t="shared" si="44"/>
        <v>0.17999999999999994</v>
      </c>
      <c r="BJ17" s="3">
        <f t="shared" si="8"/>
        <v>1.5071359620533804</v>
      </c>
      <c r="BM17" s="3">
        <f t="shared" si="45"/>
        <v>0.17999999999999994</v>
      </c>
      <c r="BN17" s="168">
        <f t="shared" si="46"/>
        <v>0.17999999999999994</v>
      </c>
      <c r="BO17" s="3">
        <f t="shared" si="9"/>
        <v>1.5071359620533804</v>
      </c>
      <c r="BR17" s="3">
        <f t="shared" si="47"/>
        <v>0.17999999999999994</v>
      </c>
      <c r="BS17" s="3">
        <f t="shared" si="48"/>
        <v>0.17999999999999994</v>
      </c>
      <c r="BT17" s="3">
        <f t="shared" si="10"/>
        <v>1.5071359620533804</v>
      </c>
      <c r="BW17" s="3">
        <f t="shared" si="49"/>
        <v>0.17999999999999994</v>
      </c>
      <c r="BX17" s="168">
        <f t="shared" si="50"/>
        <v>0.17999999999999994</v>
      </c>
      <c r="BY17" s="3">
        <f t="shared" si="11"/>
        <v>1.5071359620533804</v>
      </c>
      <c r="CB17" s="3">
        <f t="shared" si="51"/>
        <v>0.17999999999999994</v>
      </c>
      <c r="CC17" s="168">
        <f t="shared" si="52"/>
        <v>0.17999999999999994</v>
      </c>
      <c r="CD17" s="3">
        <f t="shared" si="12"/>
        <v>1.5071359620533804</v>
      </c>
      <c r="CG17" s="3">
        <f t="shared" si="53"/>
        <v>0.17999999999999994</v>
      </c>
      <c r="CH17" s="3">
        <f t="shared" si="54"/>
        <v>0.17999999999999994</v>
      </c>
      <c r="CI17" s="3">
        <f t="shared" si="13"/>
        <v>1.5071359620533804</v>
      </c>
      <c r="CL17" s="3">
        <f t="shared" si="55"/>
        <v>0.17999999999999994</v>
      </c>
      <c r="CM17" s="168">
        <f t="shared" si="56"/>
        <v>0.17999999999999994</v>
      </c>
      <c r="CN17" s="3">
        <f t="shared" si="14"/>
        <v>1.5071359620533804</v>
      </c>
      <c r="CQ17" s="3">
        <f t="shared" si="57"/>
        <v>0.17999999999999994</v>
      </c>
      <c r="CR17" s="168">
        <f t="shared" si="58"/>
        <v>0.17999999999999994</v>
      </c>
      <c r="CS17" s="3">
        <f t="shared" si="15"/>
        <v>1.5071359620533804</v>
      </c>
      <c r="CV17" s="3">
        <f t="shared" si="59"/>
        <v>0.17999999999999994</v>
      </c>
      <c r="CW17" s="3">
        <f t="shared" si="60"/>
        <v>0.17999999999999994</v>
      </c>
      <c r="CX17" s="3">
        <f t="shared" si="16"/>
        <v>1.5071359620533804</v>
      </c>
      <c r="DA17" s="3">
        <f t="shared" si="61"/>
        <v>0.17999999999999994</v>
      </c>
      <c r="DB17" s="168">
        <f t="shared" si="62"/>
        <v>0.17999999999999994</v>
      </c>
      <c r="DC17" s="3">
        <f t="shared" si="17"/>
        <v>1.5071359620533804</v>
      </c>
      <c r="DF17" s="3">
        <f t="shared" si="63"/>
        <v>0.17999999999999994</v>
      </c>
      <c r="DG17" s="168">
        <f t="shared" si="64"/>
        <v>0.17999999999999994</v>
      </c>
      <c r="DH17" s="3">
        <f t="shared" si="18"/>
        <v>1.5071359620533804</v>
      </c>
      <c r="DK17" s="3">
        <f t="shared" si="65"/>
        <v>0.17999999999999994</v>
      </c>
      <c r="DL17" s="3">
        <f t="shared" si="66"/>
        <v>0.17999999999999994</v>
      </c>
      <c r="DM17" s="3">
        <f t="shared" si="19"/>
        <v>1.5071359620533804</v>
      </c>
      <c r="DP17" s="3">
        <f t="shared" si="67"/>
        <v>0.17999999999999994</v>
      </c>
      <c r="DQ17" s="168">
        <f t="shared" si="68"/>
        <v>0.17999999999999994</v>
      </c>
      <c r="DR17" s="3">
        <f t="shared" si="20"/>
        <v>1.5071359620533804</v>
      </c>
      <c r="DU17" s="3">
        <f t="shared" si="69"/>
        <v>0.17999999999999994</v>
      </c>
      <c r="DV17" s="168">
        <f t="shared" si="70"/>
        <v>0.17999999999999994</v>
      </c>
      <c r="DW17" s="3">
        <f t="shared" si="21"/>
        <v>1.5071359620533804</v>
      </c>
      <c r="DZ17" s="3">
        <f t="shared" si="71"/>
        <v>0.17999999999999994</v>
      </c>
      <c r="EA17" s="3">
        <f t="shared" si="72"/>
        <v>0.17999999999999994</v>
      </c>
      <c r="EB17" s="3">
        <f t="shared" si="22"/>
        <v>1.5071359620533804</v>
      </c>
      <c r="EE17" s="3">
        <f t="shared" si="73"/>
        <v>0.17999999999999994</v>
      </c>
      <c r="EF17" s="168">
        <f t="shared" si="74"/>
        <v>0.17999999999999994</v>
      </c>
      <c r="EG17" s="3">
        <f t="shared" si="23"/>
        <v>1.5071359620533804</v>
      </c>
      <c r="EJ17" s="3">
        <f t="shared" si="75"/>
        <v>0.17999999999999994</v>
      </c>
      <c r="EK17" s="168">
        <f t="shared" si="76"/>
        <v>0.17999999999999994</v>
      </c>
      <c r="EL17" s="3">
        <f t="shared" si="24"/>
        <v>1.5071359620533804</v>
      </c>
      <c r="EO17" s="3">
        <f t="shared" si="77"/>
        <v>0.17999999999999994</v>
      </c>
      <c r="EP17" s="3">
        <f t="shared" si="78"/>
        <v>0.17999999999999994</v>
      </c>
      <c r="EQ17" s="3">
        <f t="shared" si="25"/>
        <v>1.5071359620533804</v>
      </c>
      <c r="ET17" s="3">
        <f t="shared" si="79"/>
        <v>0.17999999999999994</v>
      </c>
      <c r="EU17" s="168">
        <f t="shared" si="80"/>
        <v>0.17999999999999994</v>
      </c>
      <c r="EV17" s="3">
        <f t="shared" si="26"/>
        <v>1.5071359620533804</v>
      </c>
    </row>
    <row r="18" spans="3:152" s="3" customFormat="1" x14ac:dyDescent="0.3">
      <c r="C18" s="165" t="s">
        <v>97</v>
      </c>
      <c r="D18" s="61">
        <f>DEGREES(ATAN(2*($D$16-$D$7)/$D$8-TAN(RADIANS($D$12))))</f>
        <v>0.42447270571160217</v>
      </c>
      <c r="E18" s="1"/>
      <c r="F18" s="165" t="s">
        <v>96</v>
      </c>
      <c r="G18" s="61">
        <f>DEGREES(ATAN(2*(G10-G7)/G8-TAN(RADIANS(G12))))</f>
        <v>82.759695716411017</v>
      </c>
      <c r="H18" s="1"/>
      <c r="I18" s="1"/>
      <c r="J18" s="1"/>
      <c r="K18" s="1"/>
      <c r="L18" s="1"/>
      <c r="M18" s="1"/>
      <c r="N18" s="1"/>
      <c r="O18" s="1"/>
      <c r="P18" s="1"/>
      <c r="Q18" s="1"/>
      <c r="R18" s="1"/>
      <c r="S18" s="1"/>
      <c r="T18" s="3">
        <f t="shared" si="27"/>
        <v>0.19999999999999993</v>
      </c>
      <c r="U18" s="168">
        <f t="shared" si="28"/>
        <v>0.19999999999999993</v>
      </c>
      <c r="V18" s="3">
        <f t="shared" si="0"/>
        <v>1.6388307275311873</v>
      </c>
      <c r="Y18" s="3">
        <f t="shared" si="29"/>
        <v>0.19999999999999993</v>
      </c>
      <c r="Z18" s="3">
        <f t="shared" si="30"/>
        <v>0.19999999999999993</v>
      </c>
      <c r="AA18" s="3">
        <f t="shared" si="1"/>
        <v>1.6388307275311873</v>
      </c>
      <c r="AD18" s="3">
        <f t="shared" si="31"/>
        <v>0.19999999999999993</v>
      </c>
      <c r="AE18" s="168">
        <f t="shared" si="32"/>
        <v>0.19999999999999993</v>
      </c>
      <c r="AF18" s="3">
        <f t="shared" si="2"/>
        <v>1.6388307275311873</v>
      </c>
      <c r="AI18" s="3">
        <f t="shared" si="33"/>
        <v>0.19999999999999993</v>
      </c>
      <c r="AJ18" s="168">
        <f t="shared" si="34"/>
        <v>0.19999999999999993</v>
      </c>
      <c r="AK18" s="3">
        <f t="shared" si="3"/>
        <v>1.6388307275311873</v>
      </c>
      <c r="AN18" s="3">
        <f t="shared" si="35"/>
        <v>0.19999999999999993</v>
      </c>
      <c r="AO18" s="3">
        <f t="shared" si="36"/>
        <v>0.19999999999999993</v>
      </c>
      <c r="AP18" s="3">
        <f t="shared" si="4"/>
        <v>1.6388307275311873</v>
      </c>
      <c r="AS18" s="3">
        <f t="shared" si="37"/>
        <v>0.19999999999999993</v>
      </c>
      <c r="AT18" s="168">
        <f t="shared" si="38"/>
        <v>0.19999999999999993</v>
      </c>
      <c r="AU18" s="3">
        <f t="shared" si="5"/>
        <v>1.6388307275311873</v>
      </c>
      <c r="AX18" s="3">
        <f t="shared" si="39"/>
        <v>0.19999999999999993</v>
      </c>
      <c r="AY18" s="168">
        <f t="shared" si="40"/>
        <v>0.19999999999999993</v>
      </c>
      <c r="AZ18" s="3">
        <f t="shared" si="6"/>
        <v>1.6388307275311873</v>
      </c>
      <c r="BC18" s="3">
        <f t="shared" si="41"/>
        <v>0.19999999999999993</v>
      </c>
      <c r="BD18" s="3">
        <f t="shared" si="42"/>
        <v>0.19999999999999993</v>
      </c>
      <c r="BE18" s="3">
        <f t="shared" si="7"/>
        <v>1.6388307275311873</v>
      </c>
      <c r="BH18" s="3">
        <f t="shared" si="43"/>
        <v>0.19999999999999993</v>
      </c>
      <c r="BI18" s="168">
        <f t="shared" si="44"/>
        <v>0.19999999999999993</v>
      </c>
      <c r="BJ18" s="3">
        <f t="shared" si="8"/>
        <v>1.6388307275311873</v>
      </c>
      <c r="BM18" s="3">
        <f t="shared" si="45"/>
        <v>0.19999999999999993</v>
      </c>
      <c r="BN18" s="168">
        <f t="shared" si="46"/>
        <v>0.19999999999999993</v>
      </c>
      <c r="BO18" s="3">
        <f t="shared" si="9"/>
        <v>1.6388307275311873</v>
      </c>
      <c r="BR18" s="3">
        <f t="shared" si="47"/>
        <v>0.19999999999999993</v>
      </c>
      <c r="BS18" s="3">
        <f t="shared" si="48"/>
        <v>0.19999999999999993</v>
      </c>
      <c r="BT18" s="3">
        <f t="shared" si="10"/>
        <v>1.6388307275311873</v>
      </c>
      <c r="BW18" s="3">
        <f t="shared" si="49"/>
        <v>0.19999999999999993</v>
      </c>
      <c r="BX18" s="168">
        <f t="shared" si="50"/>
        <v>0.19999999999999993</v>
      </c>
      <c r="BY18" s="3">
        <f t="shared" si="11"/>
        <v>1.6388307275311873</v>
      </c>
      <c r="CB18" s="3">
        <f t="shared" si="51"/>
        <v>0.19999999999999993</v>
      </c>
      <c r="CC18" s="168">
        <f t="shared" si="52"/>
        <v>0.19999999999999993</v>
      </c>
      <c r="CD18" s="3">
        <f t="shared" si="12"/>
        <v>1.6388307275311873</v>
      </c>
      <c r="CG18" s="3">
        <f t="shared" si="53"/>
        <v>0.19999999999999993</v>
      </c>
      <c r="CH18" s="3">
        <f t="shared" si="54"/>
        <v>0.19999999999999993</v>
      </c>
      <c r="CI18" s="3">
        <f t="shared" si="13"/>
        <v>1.6388307275311873</v>
      </c>
      <c r="CL18" s="3">
        <f t="shared" si="55"/>
        <v>0.19999999999999993</v>
      </c>
      <c r="CM18" s="168">
        <f t="shared" si="56"/>
        <v>0.19999999999999993</v>
      </c>
      <c r="CN18" s="3">
        <f t="shared" si="14"/>
        <v>1.6388307275311873</v>
      </c>
      <c r="CQ18" s="3">
        <f t="shared" si="57"/>
        <v>0.19999999999999993</v>
      </c>
      <c r="CR18" s="168">
        <f t="shared" si="58"/>
        <v>0.19999999999999993</v>
      </c>
      <c r="CS18" s="3">
        <f t="shared" si="15"/>
        <v>1.6388307275311873</v>
      </c>
      <c r="CV18" s="3">
        <f t="shared" si="59"/>
        <v>0.19999999999999993</v>
      </c>
      <c r="CW18" s="3">
        <f t="shared" si="60"/>
        <v>0.19999999999999993</v>
      </c>
      <c r="CX18" s="3">
        <f t="shared" si="16"/>
        <v>1.6388307275311873</v>
      </c>
      <c r="DA18" s="3">
        <f t="shared" si="61"/>
        <v>0.19999999999999993</v>
      </c>
      <c r="DB18" s="168">
        <f t="shared" si="62"/>
        <v>0.19999999999999993</v>
      </c>
      <c r="DC18" s="3">
        <f t="shared" si="17"/>
        <v>1.6388307275311873</v>
      </c>
      <c r="DF18" s="3">
        <f t="shared" si="63"/>
        <v>0.19999999999999993</v>
      </c>
      <c r="DG18" s="168">
        <f t="shared" si="64"/>
        <v>0.19999999999999993</v>
      </c>
      <c r="DH18" s="3">
        <f t="shared" si="18"/>
        <v>1.6388307275311873</v>
      </c>
      <c r="DK18" s="3">
        <f t="shared" si="65"/>
        <v>0.19999999999999993</v>
      </c>
      <c r="DL18" s="3">
        <f t="shared" si="66"/>
        <v>0.19999999999999993</v>
      </c>
      <c r="DM18" s="3">
        <f t="shared" si="19"/>
        <v>1.6388307275311873</v>
      </c>
      <c r="DP18" s="3">
        <f t="shared" si="67"/>
        <v>0.19999999999999993</v>
      </c>
      <c r="DQ18" s="168">
        <f t="shared" si="68"/>
        <v>0.19999999999999993</v>
      </c>
      <c r="DR18" s="3">
        <f t="shared" si="20"/>
        <v>1.6388307275311873</v>
      </c>
      <c r="DU18" s="3">
        <f t="shared" si="69"/>
        <v>0.19999999999999993</v>
      </c>
      <c r="DV18" s="168">
        <f t="shared" si="70"/>
        <v>0.19999999999999993</v>
      </c>
      <c r="DW18" s="3">
        <f t="shared" si="21"/>
        <v>1.6388307275311873</v>
      </c>
      <c r="DZ18" s="3">
        <f t="shared" si="71"/>
        <v>0.19999999999999993</v>
      </c>
      <c r="EA18" s="3">
        <f t="shared" si="72"/>
        <v>0.19999999999999993</v>
      </c>
      <c r="EB18" s="3">
        <f t="shared" si="22"/>
        <v>1.6388307275311873</v>
      </c>
      <c r="EE18" s="3">
        <f t="shared" si="73"/>
        <v>0.19999999999999993</v>
      </c>
      <c r="EF18" s="168">
        <f t="shared" si="74"/>
        <v>0.19999999999999993</v>
      </c>
      <c r="EG18" s="3">
        <f t="shared" si="23"/>
        <v>1.6388307275311873</v>
      </c>
      <c r="EJ18" s="3">
        <f t="shared" si="75"/>
        <v>0.19999999999999993</v>
      </c>
      <c r="EK18" s="168">
        <f t="shared" si="76"/>
        <v>0.19999999999999993</v>
      </c>
      <c r="EL18" s="3">
        <f t="shared" si="24"/>
        <v>1.6388307275311873</v>
      </c>
      <c r="EO18" s="3">
        <f t="shared" si="77"/>
        <v>0.19999999999999993</v>
      </c>
      <c r="EP18" s="3">
        <f t="shared" si="78"/>
        <v>0.19999999999999993</v>
      </c>
      <c r="EQ18" s="3">
        <f t="shared" si="25"/>
        <v>1.6388307275311873</v>
      </c>
      <c r="ET18" s="3">
        <f t="shared" si="79"/>
        <v>0.19999999999999993</v>
      </c>
      <c r="EU18" s="168">
        <f t="shared" si="80"/>
        <v>0.19999999999999993</v>
      </c>
      <c r="EV18" s="3">
        <f t="shared" si="26"/>
        <v>1.6388307275311873</v>
      </c>
    </row>
    <row r="19" spans="3:152" s="3" customFormat="1" x14ac:dyDescent="0.3">
      <c r="C19" s="165" t="s">
        <v>344</v>
      </c>
      <c r="D19" s="227" t="str">
        <f>IF(MAX(T115:AT115)=MIN(T115:AT115), "----", TEXT(MAX(T115:AT115), "0°") &amp; " – " &amp; TEXT(MIN(T115:AT115), "0°"))</f>
        <v>----</v>
      </c>
      <c r="E19" s="1"/>
      <c r="F19" s="165" t="s">
        <v>344</v>
      </c>
      <c r="G19" s="229" t="str">
        <f>IF(MAX(T121:AT121)=MIN(T121:AT121), "----", TEXT(MAX(T121:AT121), "0°") &amp; " – " &amp; TEXT(MIN(T121:AT121), "0°"))</f>
        <v>----</v>
      </c>
      <c r="H19" s="1"/>
      <c r="I19" s="1"/>
      <c r="J19" s="1"/>
      <c r="K19" s="1"/>
      <c r="L19" s="1"/>
      <c r="M19" s="1"/>
      <c r="N19" s="1"/>
      <c r="O19" s="1"/>
      <c r="P19" s="1"/>
      <c r="Q19" s="1"/>
      <c r="R19" s="1"/>
      <c r="S19" s="1"/>
      <c r="T19" s="3">
        <f t="shared" si="27"/>
        <v>0.21999999999999992</v>
      </c>
      <c r="U19" s="168">
        <f t="shared" si="28"/>
        <v>0.21999999999999992</v>
      </c>
      <c r="V19" s="3">
        <f t="shared" si="0"/>
        <v>1.7678169802811472</v>
      </c>
      <c r="Y19" s="3">
        <f t="shared" si="29"/>
        <v>0.21999999999999992</v>
      </c>
      <c r="Z19" s="3">
        <f t="shared" si="30"/>
        <v>0.21999999999999992</v>
      </c>
      <c r="AA19" s="3">
        <f t="shared" si="1"/>
        <v>1.7678169802811472</v>
      </c>
      <c r="AD19" s="3">
        <f t="shared" si="31"/>
        <v>0.21999999999999992</v>
      </c>
      <c r="AE19" s="168">
        <f t="shared" si="32"/>
        <v>0.21999999999999992</v>
      </c>
      <c r="AF19" s="3">
        <f t="shared" si="2"/>
        <v>1.7678169802811472</v>
      </c>
      <c r="AI19" s="3">
        <f t="shared" si="33"/>
        <v>0.21999999999999992</v>
      </c>
      <c r="AJ19" s="168">
        <f t="shared" si="34"/>
        <v>0.21999999999999992</v>
      </c>
      <c r="AK19" s="3">
        <f t="shared" si="3"/>
        <v>1.7678169802811472</v>
      </c>
      <c r="AN19" s="3">
        <f t="shared" si="35"/>
        <v>0.21999999999999992</v>
      </c>
      <c r="AO19" s="3">
        <f t="shared" si="36"/>
        <v>0.21999999999999992</v>
      </c>
      <c r="AP19" s="3">
        <f t="shared" si="4"/>
        <v>1.7678169802811472</v>
      </c>
      <c r="AS19" s="3">
        <f t="shared" si="37"/>
        <v>0.21999999999999992</v>
      </c>
      <c r="AT19" s="168">
        <f t="shared" si="38"/>
        <v>0.21999999999999992</v>
      </c>
      <c r="AU19" s="3">
        <f t="shared" si="5"/>
        <v>1.7678169802811472</v>
      </c>
      <c r="AX19" s="3">
        <f t="shared" si="39"/>
        <v>0.21999999999999992</v>
      </c>
      <c r="AY19" s="168">
        <f t="shared" si="40"/>
        <v>0.21999999999999992</v>
      </c>
      <c r="AZ19" s="3">
        <f t="shared" si="6"/>
        <v>1.7678169802811472</v>
      </c>
      <c r="BC19" s="3">
        <f t="shared" si="41"/>
        <v>0.21999999999999992</v>
      </c>
      <c r="BD19" s="3">
        <f t="shared" si="42"/>
        <v>0.21999999999999992</v>
      </c>
      <c r="BE19" s="3">
        <f t="shared" si="7"/>
        <v>1.7678169802811472</v>
      </c>
      <c r="BH19" s="3">
        <f t="shared" si="43"/>
        <v>0.21999999999999992</v>
      </c>
      <c r="BI19" s="168">
        <f t="shared" si="44"/>
        <v>0.21999999999999992</v>
      </c>
      <c r="BJ19" s="3">
        <f t="shared" si="8"/>
        <v>1.7678169802811472</v>
      </c>
      <c r="BM19" s="3">
        <f t="shared" si="45"/>
        <v>0.21999999999999992</v>
      </c>
      <c r="BN19" s="168">
        <f t="shared" si="46"/>
        <v>0.21999999999999992</v>
      </c>
      <c r="BO19" s="3">
        <f t="shared" si="9"/>
        <v>1.7678169802811472</v>
      </c>
      <c r="BR19" s="3">
        <f t="shared" si="47"/>
        <v>0.21999999999999992</v>
      </c>
      <c r="BS19" s="3">
        <f t="shared" si="48"/>
        <v>0.21999999999999992</v>
      </c>
      <c r="BT19" s="3">
        <f t="shared" si="10"/>
        <v>1.7678169802811472</v>
      </c>
      <c r="BW19" s="3">
        <f t="shared" si="49"/>
        <v>0.21999999999999992</v>
      </c>
      <c r="BX19" s="168">
        <f t="shared" si="50"/>
        <v>0.21999999999999992</v>
      </c>
      <c r="BY19" s="3">
        <f t="shared" si="11"/>
        <v>1.7678169802811472</v>
      </c>
      <c r="CB19" s="3">
        <f t="shared" si="51"/>
        <v>0.21999999999999992</v>
      </c>
      <c r="CC19" s="168">
        <f t="shared" si="52"/>
        <v>0.21999999999999992</v>
      </c>
      <c r="CD19" s="3">
        <f t="shared" si="12"/>
        <v>1.7678169802811472</v>
      </c>
      <c r="CG19" s="3">
        <f t="shared" si="53"/>
        <v>0.21999999999999992</v>
      </c>
      <c r="CH19" s="3">
        <f t="shared" si="54"/>
        <v>0.21999999999999992</v>
      </c>
      <c r="CI19" s="3">
        <f t="shared" si="13"/>
        <v>1.7678169802811472</v>
      </c>
      <c r="CL19" s="3">
        <f t="shared" si="55"/>
        <v>0.21999999999999992</v>
      </c>
      <c r="CM19" s="168">
        <f t="shared" si="56"/>
        <v>0.21999999999999992</v>
      </c>
      <c r="CN19" s="3">
        <f t="shared" si="14"/>
        <v>1.7678169802811472</v>
      </c>
      <c r="CQ19" s="3">
        <f t="shared" si="57"/>
        <v>0.21999999999999992</v>
      </c>
      <c r="CR19" s="168">
        <f t="shared" si="58"/>
        <v>0.21999999999999992</v>
      </c>
      <c r="CS19" s="3">
        <f t="shared" si="15"/>
        <v>1.7678169802811472</v>
      </c>
      <c r="CV19" s="3">
        <f t="shared" si="59"/>
        <v>0.21999999999999992</v>
      </c>
      <c r="CW19" s="3">
        <f t="shared" si="60"/>
        <v>0.21999999999999992</v>
      </c>
      <c r="CX19" s="3">
        <f t="shared" si="16"/>
        <v>1.7678169802811472</v>
      </c>
      <c r="DA19" s="3">
        <f t="shared" si="61"/>
        <v>0.21999999999999992</v>
      </c>
      <c r="DB19" s="168">
        <f t="shared" si="62"/>
        <v>0.21999999999999992</v>
      </c>
      <c r="DC19" s="3">
        <f t="shared" si="17"/>
        <v>1.7678169802811472</v>
      </c>
      <c r="DF19" s="3">
        <f t="shared" si="63"/>
        <v>0.21999999999999992</v>
      </c>
      <c r="DG19" s="168">
        <f t="shared" si="64"/>
        <v>0.21999999999999992</v>
      </c>
      <c r="DH19" s="3">
        <f t="shared" si="18"/>
        <v>1.7678169802811472</v>
      </c>
      <c r="DK19" s="3">
        <f t="shared" si="65"/>
        <v>0.21999999999999992</v>
      </c>
      <c r="DL19" s="3">
        <f t="shared" si="66"/>
        <v>0.21999999999999992</v>
      </c>
      <c r="DM19" s="3">
        <f t="shared" si="19"/>
        <v>1.7678169802811472</v>
      </c>
      <c r="DP19" s="3">
        <f t="shared" si="67"/>
        <v>0.21999999999999992</v>
      </c>
      <c r="DQ19" s="168">
        <f t="shared" si="68"/>
        <v>0.21999999999999992</v>
      </c>
      <c r="DR19" s="3">
        <f t="shared" si="20"/>
        <v>1.7678169802811472</v>
      </c>
      <c r="DU19" s="3">
        <f t="shared" si="69"/>
        <v>0.21999999999999992</v>
      </c>
      <c r="DV19" s="168">
        <f t="shared" si="70"/>
        <v>0.21999999999999992</v>
      </c>
      <c r="DW19" s="3">
        <f t="shared" si="21"/>
        <v>1.7678169802811472</v>
      </c>
      <c r="DZ19" s="3">
        <f t="shared" si="71"/>
        <v>0.21999999999999992</v>
      </c>
      <c r="EA19" s="3">
        <f t="shared" si="72"/>
        <v>0.21999999999999992</v>
      </c>
      <c r="EB19" s="3">
        <f t="shared" si="22"/>
        <v>1.7678169802811472</v>
      </c>
      <c r="EE19" s="3">
        <f t="shared" si="73"/>
        <v>0.21999999999999992</v>
      </c>
      <c r="EF19" s="168">
        <f t="shared" si="74"/>
        <v>0.21999999999999992</v>
      </c>
      <c r="EG19" s="3">
        <f t="shared" si="23"/>
        <v>1.7678169802811472</v>
      </c>
      <c r="EJ19" s="3">
        <f t="shared" si="75"/>
        <v>0.21999999999999992</v>
      </c>
      <c r="EK19" s="168">
        <f t="shared" si="76"/>
        <v>0.21999999999999992</v>
      </c>
      <c r="EL19" s="3">
        <f t="shared" si="24"/>
        <v>1.7678169802811472</v>
      </c>
      <c r="EO19" s="3">
        <f t="shared" si="77"/>
        <v>0.21999999999999992</v>
      </c>
      <c r="EP19" s="3">
        <f t="shared" si="78"/>
        <v>0.21999999999999992</v>
      </c>
      <c r="EQ19" s="3">
        <f t="shared" si="25"/>
        <v>1.7678169802811472</v>
      </c>
      <c r="ET19" s="3">
        <f t="shared" si="79"/>
        <v>0.21999999999999992</v>
      </c>
      <c r="EU19" s="168">
        <f t="shared" si="80"/>
        <v>0.21999999999999992</v>
      </c>
      <c r="EV19" s="3">
        <f t="shared" si="26"/>
        <v>1.7678169802811472</v>
      </c>
    </row>
    <row r="20" spans="3:152" s="3" customFormat="1" x14ac:dyDescent="0.3">
      <c r="C20" s="1"/>
      <c r="D20" s="1"/>
      <c r="E20" s="1"/>
      <c r="F20" s="1"/>
      <c r="G20" s="1"/>
      <c r="H20" s="1"/>
      <c r="I20" s="1"/>
      <c r="J20" s="1"/>
      <c r="K20" s="1"/>
      <c r="L20" s="1"/>
      <c r="M20" s="1"/>
      <c r="N20" s="1"/>
      <c r="O20" s="1"/>
      <c r="P20" s="1"/>
      <c r="Q20" s="1"/>
      <c r="R20" s="1"/>
      <c r="S20" s="1"/>
      <c r="T20" s="3">
        <f t="shared" si="27"/>
        <v>0.23999999999999991</v>
      </c>
      <c r="U20" s="168">
        <f t="shared" si="28"/>
        <v>0.23999999999999991</v>
      </c>
      <c r="V20" s="3">
        <f t="shared" si="0"/>
        <v>1.8940947203032599</v>
      </c>
      <c r="Y20" s="3">
        <f t="shared" si="29"/>
        <v>0.23999999999999991</v>
      </c>
      <c r="Z20" s="3">
        <f t="shared" si="30"/>
        <v>0.23999999999999991</v>
      </c>
      <c r="AA20" s="3">
        <f t="shared" si="1"/>
        <v>1.8940947203032599</v>
      </c>
      <c r="AD20" s="3">
        <f t="shared" si="31"/>
        <v>0.23999999999999991</v>
      </c>
      <c r="AE20" s="168">
        <f t="shared" si="32"/>
        <v>0.23999999999999991</v>
      </c>
      <c r="AF20" s="3">
        <f t="shared" si="2"/>
        <v>1.8940947203032599</v>
      </c>
      <c r="AI20" s="3">
        <f t="shared" si="33"/>
        <v>0.23999999999999991</v>
      </c>
      <c r="AJ20" s="168">
        <f t="shared" si="34"/>
        <v>0.23999999999999991</v>
      </c>
      <c r="AK20" s="3">
        <f t="shared" si="3"/>
        <v>1.8940947203032599</v>
      </c>
      <c r="AN20" s="3">
        <f t="shared" si="35"/>
        <v>0.23999999999999991</v>
      </c>
      <c r="AO20" s="3">
        <f t="shared" si="36"/>
        <v>0.23999999999999991</v>
      </c>
      <c r="AP20" s="3">
        <f t="shared" si="4"/>
        <v>1.8940947203032599</v>
      </c>
      <c r="AS20" s="3">
        <f t="shared" si="37"/>
        <v>0.23999999999999991</v>
      </c>
      <c r="AT20" s="168">
        <f t="shared" si="38"/>
        <v>0.23999999999999991</v>
      </c>
      <c r="AU20" s="3">
        <f t="shared" si="5"/>
        <v>1.8940947203032599</v>
      </c>
      <c r="AX20" s="3">
        <f t="shared" si="39"/>
        <v>0.23999999999999991</v>
      </c>
      <c r="AY20" s="168">
        <f t="shared" si="40"/>
        <v>0.23999999999999991</v>
      </c>
      <c r="AZ20" s="3">
        <f t="shared" si="6"/>
        <v>1.8940947203032599</v>
      </c>
      <c r="BC20" s="3">
        <f t="shared" si="41"/>
        <v>0.23999999999999991</v>
      </c>
      <c r="BD20" s="3">
        <f t="shared" si="42"/>
        <v>0.23999999999999991</v>
      </c>
      <c r="BE20" s="3">
        <f t="shared" si="7"/>
        <v>1.8940947203032599</v>
      </c>
      <c r="BH20" s="3">
        <f t="shared" si="43"/>
        <v>0.23999999999999991</v>
      </c>
      <c r="BI20" s="168">
        <f t="shared" si="44"/>
        <v>0.23999999999999991</v>
      </c>
      <c r="BJ20" s="3">
        <f t="shared" si="8"/>
        <v>1.8940947203032599</v>
      </c>
      <c r="BM20" s="3">
        <f t="shared" si="45"/>
        <v>0.23999999999999991</v>
      </c>
      <c r="BN20" s="168">
        <f t="shared" si="46"/>
        <v>0.23999999999999991</v>
      </c>
      <c r="BO20" s="3">
        <f t="shared" si="9"/>
        <v>1.8940947203032599</v>
      </c>
      <c r="BR20" s="3">
        <f t="shared" si="47"/>
        <v>0.23999999999999991</v>
      </c>
      <c r="BS20" s="3">
        <f t="shared" si="48"/>
        <v>0.23999999999999991</v>
      </c>
      <c r="BT20" s="3">
        <f t="shared" si="10"/>
        <v>1.8940947203032599</v>
      </c>
      <c r="BW20" s="3">
        <f t="shared" si="49"/>
        <v>0.23999999999999991</v>
      </c>
      <c r="BX20" s="168">
        <f t="shared" si="50"/>
        <v>0.23999999999999991</v>
      </c>
      <c r="BY20" s="3">
        <f t="shared" si="11"/>
        <v>1.8940947203032599</v>
      </c>
      <c r="CB20" s="3">
        <f t="shared" si="51"/>
        <v>0.23999999999999991</v>
      </c>
      <c r="CC20" s="168">
        <f t="shared" si="52"/>
        <v>0.23999999999999991</v>
      </c>
      <c r="CD20" s="3">
        <f t="shared" si="12"/>
        <v>1.8940947203032599</v>
      </c>
      <c r="CG20" s="3">
        <f t="shared" si="53"/>
        <v>0.23999999999999991</v>
      </c>
      <c r="CH20" s="3">
        <f t="shared" si="54"/>
        <v>0.23999999999999991</v>
      </c>
      <c r="CI20" s="3">
        <f t="shared" si="13"/>
        <v>1.8940947203032599</v>
      </c>
      <c r="CL20" s="3">
        <f t="shared" si="55"/>
        <v>0.23999999999999991</v>
      </c>
      <c r="CM20" s="168">
        <f t="shared" si="56"/>
        <v>0.23999999999999991</v>
      </c>
      <c r="CN20" s="3">
        <f t="shared" si="14"/>
        <v>1.8940947203032599</v>
      </c>
      <c r="CQ20" s="3">
        <f t="shared" si="57"/>
        <v>0.23999999999999991</v>
      </c>
      <c r="CR20" s="168">
        <f t="shared" si="58"/>
        <v>0.23999999999999991</v>
      </c>
      <c r="CS20" s="3">
        <f t="shared" si="15"/>
        <v>1.8940947203032599</v>
      </c>
      <c r="CV20" s="3">
        <f t="shared" si="59"/>
        <v>0.23999999999999991</v>
      </c>
      <c r="CW20" s="3">
        <f t="shared" si="60"/>
        <v>0.23999999999999991</v>
      </c>
      <c r="CX20" s="3">
        <f t="shared" si="16"/>
        <v>1.8940947203032599</v>
      </c>
      <c r="DA20" s="3">
        <f t="shared" si="61"/>
        <v>0.23999999999999991</v>
      </c>
      <c r="DB20" s="168">
        <f t="shared" si="62"/>
        <v>0.23999999999999991</v>
      </c>
      <c r="DC20" s="3">
        <f t="shared" si="17"/>
        <v>1.8940947203032599</v>
      </c>
      <c r="DF20" s="3">
        <f t="shared" si="63"/>
        <v>0.23999999999999991</v>
      </c>
      <c r="DG20" s="168">
        <f t="shared" si="64"/>
        <v>0.23999999999999991</v>
      </c>
      <c r="DH20" s="3">
        <f t="shared" si="18"/>
        <v>1.8940947203032599</v>
      </c>
      <c r="DK20" s="3">
        <f t="shared" si="65"/>
        <v>0.23999999999999991</v>
      </c>
      <c r="DL20" s="3">
        <f t="shared" si="66"/>
        <v>0.23999999999999991</v>
      </c>
      <c r="DM20" s="3">
        <f t="shared" si="19"/>
        <v>1.8940947203032599</v>
      </c>
      <c r="DP20" s="3">
        <f t="shared" si="67"/>
        <v>0.23999999999999991</v>
      </c>
      <c r="DQ20" s="168">
        <f t="shared" si="68"/>
        <v>0.23999999999999991</v>
      </c>
      <c r="DR20" s="3">
        <f t="shared" si="20"/>
        <v>1.8940947203032599</v>
      </c>
      <c r="DU20" s="3">
        <f t="shared" si="69"/>
        <v>0.23999999999999991</v>
      </c>
      <c r="DV20" s="168">
        <f t="shared" si="70"/>
        <v>0.23999999999999991</v>
      </c>
      <c r="DW20" s="3">
        <f t="shared" si="21"/>
        <v>1.8940947203032599</v>
      </c>
      <c r="DZ20" s="3">
        <f t="shared" si="71"/>
        <v>0.23999999999999991</v>
      </c>
      <c r="EA20" s="3">
        <f t="shared" si="72"/>
        <v>0.23999999999999991</v>
      </c>
      <c r="EB20" s="3">
        <f t="shared" si="22"/>
        <v>1.8940947203032599</v>
      </c>
      <c r="EE20" s="3">
        <f t="shared" si="73"/>
        <v>0.23999999999999991</v>
      </c>
      <c r="EF20" s="168">
        <f t="shared" si="74"/>
        <v>0.23999999999999991</v>
      </c>
      <c r="EG20" s="3">
        <f t="shared" si="23"/>
        <v>1.8940947203032599</v>
      </c>
      <c r="EJ20" s="3">
        <f t="shared" si="75"/>
        <v>0.23999999999999991</v>
      </c>
      <c r="EK20" s="168">
        <f t="shared" si="76"/>
        <v>0.23999999999999991</v>
      </c>
      <c r="EL20" s="3">
        <f t="shared" si="24"/>
        <v>1.8940947203032599</v>
      </c>
      <c r="EO20" s="3">
        <f t="shared" si="77"/>
        <v>0.23999999999999991</v>
      </c>
      <c r="EP20" s="3">
        <f t="shared" si="78"/>
        <v>0.23999999999999991</v>
      </c>
      <c r="EQ20" s="3">
        <f t="shared" si="25"/>
        <v>1.8940947203032599</v>
      </c>
      <c r="ET20" s="3">
        <f t="shared" si="79"/>
        <v>0.23999999999999991</v>
      </c>
      <c r="EU20" s="168">
        <f t="shared" si="80"/>
        <v>0.23999999999999991</v>
      </c>
      <c r="EV20" s="3">
        <f t="shared" si="26"/>
        <v>1.8940947203032599</v>
      </c>
    </row>
    <row r="21" spans="3:152" s="3" customFormat="1" x14ac:dyDescent="0.3">
      <c r="C21" s="1"/>
      <c r="D21" s="5"/>
      <c r="E21" s="1"/>
      <c r="F21" s="1"/>
      <c r="G21" s="1"/>
      <c r="H21" s="1"/>
      <c r="I21" s="1"/>
      <c r="J21" s="1"/>
      <c r="K21" s="1"/>
      <c r="L21" s="1"/>
      <c r="M21" s="1"/>
      <c r="N21" s="1"/>
      <c r="O21" s="1"/>
      <c r="P21" s="1"/>
      <c r="Q21" s="1"/>
      <c r="R21" s="1"/>
      <c r="S21" s="1"/>
      <c r="T21" s="3">
        <f t="shared" si="27"/>
        <v>0.2599999999999999</v>
      </c>
      <c r="U21" s="168">
        <f t="shared" si="28"/>
        <v>0.2599999999999999</v>
      </c>
      <c r="V21" s="3">
        <f t="shared" si="0"/>
        <v>2.0176639475975255</v>
      </c>
      <c r="Y21" s="3">
        <f t="shared" si="29"/>
        <v>0.2599999999999999</v>
      </c>
      <c r="Z21" s="3">
        <f t="shared" si="30"/>
        <v>0.2599999999999999</v>
      </c>
      <c r="AA21" s="3">
        <f t="shared" si="1"/>
        <v>2.0176639475975255</v>
      </c>
      <c r="AD21" s="3">
        <f t="shared" si="31"/>
        <v>0.2599999999999999</v>
      </c>
      <c r="AE21" s="168">
        <f t="shared" si="32"/>
        <v>0.2599999999999999</v>
      </c>
      <c r="AF21" s="3">
        <f t="shared" si="2"/>
        <v>2.0176639475975255</v>
      </c>
      <c r="AI21" s="3">
        <f t="shared" si="33"/>
        <v>0.2599999999999999</v>
      </c>
      <c r="AJ21" s="168">
        <f t="shared" si="34"/>
        <v>0.2599999999999999</v>
      </c>
      <c r="AK21" s="3">
        <f t="shared" si="3"/>
        <v>2.0176639475975255</v>
      </c>
      <c r="AN21" s="3">
        <f t="shared" si="35"/>
        <v>0.2599999999999999</v>
      </c>
      <c r="AO21" s="3">
        <f t="shared" si="36"/>
        <v>0.2599999999999999</v>
      </c>
      <c r="AP21" s="3">
        <f t="shared" si="4"/>
        <v>2.0176639475975255</v>
      </c>
      <c r="AS21" s="3">
        <f t="shared" si="37"/>
        <v>0.2599999999999999</v>
      </c>
      <c r="AT21" s="168">
        <f t="shared" si="38"/>
        <v>0.2599999999999999</v>
      </c>
      <c r="AU21" s="3">
        <f t="shared" si="5"/>
        <v>2.0176639475975255</v>
      </c>
      <c r="AX21" s="3">
        <f t="shared" si="39"/>
        <v>0.2599999999999999</v>
      </c>
      <c r="AY21" s="168">
        <f t="shared" si="40"/>
        <v>0.2599999999999999</v>
      </c>
      <c r="AZ21" s="3">
        <f t="shared" si="6"/>
        <v>2.0176639475975255</v>
      </c>
      <c r="BC21" s="3">
        <f t="shared" si="41"/>
        <v>0.2599999999999999</v>
      </c>
      <c r="BD21" s="3">
        <f t="shared" si="42"/>
        <v>0.2599999999999999</v>
      </c>
      <c r="BE21" s="3">
        <f t="shared" si="7"/>
        <v>2.0176639475975255</v>
      </c>
      <c r="BH21" s="3">
        <f t="shared" si="43"/>
        <v>0.2599999999999999</v>
      </c>
      <c r="BI21" s="168">
        <f t="shared" si="44"/>
        <v>0.2599999999999999</v>
      </c>
      <c r="BJ21" s="3">
        <f t="shared" si="8"/>
        <v>2.0176639475975255</v>
      </c>
      <c r="BM21" s="3">
        <f t="shared" si="45"/>
        <v>0.2599999999999999</v>
      </c>
      <c r="BN21" s="168">
        <f t="shared" si="46"/>
        <v>0.2599999999999999</v>
      </c>
      <c r="BO21" s="3">
        <f t="shared" si="9"/>
        <v>2.0176639475975255</v>
      </c>
      <c r="BR21" s="3">
        <f t="shared" si="47"/>
        <v>0.2599999999999999</v>
      </c>
      <c r="BS21" s="3">
        <f t="shared" si="48"/>
        <v>0.2599999999999999</v>
      </c>
      <c r="BT21" s="3">
        <f t="shared" si="10"/>
        <v>2.0176639475975255</v>
      </c>
      <c r="BW21" s="3">
        <f t="shared" si="49"/>
        <v>0.2599999999999999</v>
      </c>
      <c r="BX21" s="168">
        <f t="shared" si="50"/>
        <v>0.2599999999999999</v>
      </c>
      <c r="BY21" s="3">
        <f t="shared" si="11"/>
        <v>2.0176639475975255</v>
      </c>
      <c r="CB21" s="3">
        <f t="shared" si="51"/>
        <v>0.2599999999999999</v>
      </c>
      <c r="CC21" s="168">
        <f t="shared" si="52"/>
        <v>0.2599999999999999</v>
      </c>
      <c r="CD21" s="3">
        <f t="shared" si="12"/>
        <v>2.0176639475975255</v>
      </c>
      <c r="CG21" s="3">
        <f t="shared" si="53"/>
        <v>0.2599999999999999</v>
      </c>
      <c r="CH21" s="3">
        <f t="shared" si="54"/>
        <v>0.2599999999999999</v>
      </c>
      <c r="CI21" s="3">
        <f t="shared" si="13"/>
        <v>2.0176639475975255</v>
      </c>
      <c r="CL21" s="3">
        <f t="shared" si="55"/>
        <v>0.2599999999999999</v>
      </c>
      <c r="CM21" s="168">
        <f t="shared" si="56"/>
        <v>0.2599999999999999</v>
      </c>
      <c r="CN21" s="3">
        <f t="shared" si="14"/>
        <v>2.0176639475975255</v>
      </c>
      <c r="CQ21" s="3">
        <f t="shared" si="57"/>
        <v>0.2599999999999999</v>
      </c>
      <c r="CR21" s="168">
        <f t="shared" si="58"/>
        <v>0.2599999999999999</v>
      </c>
      <c r="CS21" s="3">
        <f t="shared" si="15"/>
        <v>2.0176639475975255</v>
      </c>
      <c r="CV21" s="3">
        <f t="shared" si="59"/>
        <v>0.2599999999999999</v>
      </c>
      <c r="CW21" s="3">
        <f t="shared" si="60"/>
        <v>0.2599999999999999</v>
      </c>
      <c r="CX21" s="3">
        <f t="shared" si="16"/>
        <v>2.0176639475975255</v>
      </c>
      <c r="DA21" s="3">
        <f t="shared" si="61"/>
        <v>0.2599999999999999</v>
      </c>
      <c r="DB21" s="168">
        <f t="shared" si="62"/>
        <v>0.2599999999999999</v>
      </c>
      <c r="DC21" s="3">
        <f t="shared" si="17"/>
        <v>2.0176639475975255</v>
      </c>
      <c r="DF21" s="3">
        <f t="shared" si="63"/>
        <v>0.2599999999999999</v>
      </c>
      <c r="DG21" s="168">
        <f t="shared" si="64"/>
        <v>0.2599999999999999</v>
      </c>
      <c r="DH21" s="3">
        <f t="shared" si="18"/>
        <v>2.0176639475975255</v>
      </c>
      <c r="DK21" s="3">
        <f t="shared" si="65"/>
        <v>0.2599999999999999</v>
      </c>
      <c r="DL21" s="3">
        <f t="shared" si="66"/>
        <v>0.2599999999999999</v>
      </c>
      <c r="DM21" s="3">
        <f t="shared" si="19"/>
        <v>2.0176639475975255</v>
      </c>
      <c r="DP21" s="3">
        <f t="shared" si="67"/>
        <v>0.2599999999999999</v>
      </c>
      <c r="DQ21" s="168">
        <f t="shared" si="68"/>
        <v>0.2599999999999999</v>
      </c>
      <c r="DR21" s="3">
        <f t="shared" si="20"/>
        <v>2.0176639475975255</v>
      </c>
      <c r="DU21" s="3">
        <f t="shared" si="69"/>
        <v>0.2599999999999999</v>
      </c>
      <c r="DV21" s="168">
        <f t="shared" si="70"/>
        <v>0.2599999999999999</v>
      </c>
      <c r="DW21" s="3">
        <f t="shared" si="21"/>
        <v>2.0176639475975255</v>
      </c>
      <c r="DZ21" s="3">
        <f t="shared" si="71"/>
        <v>0.2599999999999999</v>
      </c>
      <c r="EA21" s="3">
        <f t="shared" si="72"/>
        <v>0.2599999999999999</v>
      </c>
      <c r="EB21" s="3">
        <f t="shared" si="22"/>
        <v>2.0176639475975255</v>
      </c>
      <c r="EE21" s="3">
        <f t="shared" si="73"/>
        <v>0.2599999999999999</v>
      </c>
      <c r="EF21" s="168">
        <f t="shared" si="74"/>
        <v>0.2599999999999999</v>
      </c>
      <c r="EG21" s="3">
        <f t="shared" si="23"/>
        <v>2.0176639475975255</v>
      </c>
      <c r="EJ21" s="3">
        <f t="shared" si="75"/>
        <v>0.2599999999999999</v>
      </c>
      <c r="EK21" s="168">
        <f t="shared" si="76"/>
        <v>0.2599999999999999</v>
      </c>
      <c r="EL21" s="3">
        <f t="shared" si="24"/>
        <v>2.0176639475975255</v>
      </c>
      <c r="EO21" s="3">
        <f t="shared" si="77"/>
        <v>0.2599999999999999</v>
      </c>
      <c r="EP21" s="3">
        <f t="shared" si="78"/>
        <v>0.2599999999999999</v>
      </c>
      <c r="EQ21" s="3">
        <f t="shared" si="25"/>
        <v>2.0176639475975255</v>
      </c>
      <c r="ET21" s="3">
        <f t="shared" si="79"/>
        <v>0.2599999999999999</v>
      </c>
      <c r="EU21" s="168">
        <f t="shared" si="80"/>
        <v>0.2599999999999999</v>
      </c>
      <c r="EV21" s="3">
        <f t="shared" si="26"/>
        <v>2.0176639475975255</v>
      </c>
    </row>
    <row r="22" spans="3:152" s="3" customFormat="1" x14ac:dyDescent="0.3">
      <c r="C22" s="230" t="s">
        <v>345</v>
      </c>
      <c r="D22" s="231"/>
      <c r="E22" s="231"/>
      <c r="F22" s="231"/>
      <c r="G22" s="232"/>
      <c r="H22" s="1"/>
      <c r="I22" s="1"/>
      <c r="J22" s="1"/>
      <c r="K22" s="1"/>
      <c r="L22" s="1"/>
      <c r="M22" s="1"/>
      <c r="N22" s="1"/>
      <c r="O22" s="1"/>
      <c r="P22" s="1"/>
      <c r="Q22" s="1"/>
      <c r="R22" s="1"/>
      <c r="S22" s="1"/>
      <c r="T22" s="3">
        <f t="shared" si="27"/>
        <v>0.27999999999999992</v>
      </c>
      <c r="U22" s="168">
        <f t="shared" si="28"/>
        <v>0.27999999999999992</v>
      </c>
      <c r="V22" s="3">
        <f t="shared" si="0"/>
        <v>2.1385246621639444</v>
      </c>
      <c r="Y22" s="3">
        <f t="shared" si="29"/>
        <v>0.27999999999999992</v>
      </c>
      <c r="Z22" s="3">
        <f t="shared" si="30"/>
        <v>0.27999999999999992</v>
      </c>
      <c r="AA22" s="3">
        <f t="shared" si="1"/>
        <v>2.1385246621639444</v>
      </c>
      <c r="AD22" s="3">
        <f t="shared" si="31"/>
        <v>0.27999999999999992</v>
      </c>
      <c r="AE22" s="168">
        <f t="shared" si="32"/>
        <v>0.27999999999999992</v>
      </c>
      <c r="AF22" s="3">
        <f t="shared" si="2"/>
        <v>2.1385246621639444</v>
      </c>
      <c r="AI22" s="3">
        <f t="shared" si="33"/>
        <v>0.27999999999999992</v>
      </c>
      <c r="AJ22" s="168">
        <f t="shared" si="34"/>
        <v>0.27999999999999992</v>
      </c>
      <c r="AK22" s="3">
        <f t="shared" si="3"/>
        <v>2.1385246621639444</v>
      </c>
      <c r="AN22" s="3">
        <f t="shared" si="35"/>
        <v>0.27999999999999992</v>
      </c>
      <c r="AO22" s="3">
        <f t="shared" si="36"/>
        <v>0.27999999999999992</v>
      </c>
      <c r="AP22" s="3">
        <f t="shared" si="4"/>
        <v>2.1385246621639444</v>
      </c>
      <c r="AS22" s="3">
        <f t="shared" si="37"/>
        <v>0.27999999999999992</v>
      </c>
      <c r="AT22" s="168">
        <f t="shared" si="38"/>
        <v>0.27999999999999992</v>
      </c>
      <c r="AU22" s="3">
        <f t="shared" si="5"/>
        <v>2.1385246621639444</v>
      </c>
      <c r="AX22" s="3">
        <f t="shared" si="39"/>
        <v>0.27999999999999992</v>
      </c>
      <c r="AY22" s="168">
        <f t="shared" si="40"/>
        <v>0.27999999999999992</v>
      </c>
      <c r="AZ22" s="3">
        <f t="shared" si="6"/>
        <v>2.1385246621639444</v>
      </c>
      <c r="BC22" s="3">
        <f t="shared" si="41"/>
        <v>0.27999999999999992</v>
      </c>
      <c r="BD22" s="3">
        <f t="shared" si="42"/>
        <v>0.27999999999999992</v>
      </c>
      <c r="BE22" s="3">
        <f t="shared" si="7"/>
        <v>2.1385246621639444</v>
      </c>
      <c r="BH22" s="3">
        <f t="shared" si="43"/>
        <v>0.27999999999999992</v>
      </c>
      <c r="BI22" s="168">
        <f t="shared" si="44"/>
        <v>0.27999999999999992</v>
      </c>
      <c r="BJ22" s="3">
        <f t="shared" si="8"/>
        <v>2.1385246621639444</v>
      </c>
      <c r="BM22" s="3">
        <f t="shared" si="45"/>
        <v>0.27999999999999992</v>
      </c>
      <c r="BN22" s="168">
        <f t="shared" si="46"/>
        <v>0.27999999999999992</v>
      </c>
      <c r="BO22" s="3">
        <f t="shared" si="9"/>
        <v>2.1385246621639444</v>
      </c>
      <c r="BR22" s="3">
        <f t="shared" si="47"/>
        <v>0.27999999999999992</v>
      </c>
      <c r="BS22" s="3">
        <f t="shared" si="48"/>
        <v>0.27999999999999992</v>
      </c>
      <c r="BT22" s="3">
        <f t="shared" si="10"/>
        <v>2.1385246621639444</v>
      </c>
      <c r="BW22" s="3">
        <f t="shared" si="49"/>
        <v>0.27999999999999992</v>
      </c>
      <c r="BX22" s="168">
        <f t="shared" si="50"/>
        <v>0.27999999999999992</v>
      </c>
      <c r="BY22" s="3">
        <f t="shared" si="11"/>
        <v>2.1385246621639444</v>
      </c>
      <c r="CB22" s="3">
        <f t="shared" si="51"/>
        <v>0.27999999999999992</v>
      </c>
      <c r="CC22" s="168">
        <f t="shared" si="52"/>
        <v>0.27999999999999992</v>
      </c>
      <c r="CD22" s="3">
        <f t="shared" si="12"/>
        <v>2.1385246621639444</v>
      </c>
      <c r="CG22" s="3">
        <f t="shared" si="53"/>
        <v>0.27999999999999992</v>
      </c>
      <c r="CH22" s="3">
        <f t="shared" si="54"/>
        <v>0.27999999999999992</v>
      </c>
      <c r="CI22" s="3">
        <f t="shared" si="13"/>
        <v>2.1385246621639444</v>
      </c>
      <c r="CL22" s="3">
        <f t="shared" si="55"/>
        <v>0.27999999999999992</v>
      </c>
      <c r="CM22" s="168">
        <f t="shared" si="56"/>
        <v>0.27999999999999992</v>
      </c>
      <c r="CN22" s="3">
        <f t="shared" si="14"/>
        <v>2.1385246621639444</v>
      </c>
      <c r="CQ22" s="3">
        <f t="shared" si="57"/>
        <v>0.27999999999999992</v>
      </c>
      <c r="CR22" s="168">
        <f t="shared" si="58"/>
        <v>0.27999999999999992</v>
      </c>
      <c r="CS22" s="3">
        <f t="shared" si="15"/>
        <v>2.1385246621639444</v>
      </c>
      <c r="CV22" s="3">
        <f t="shared" si="59"/>
        <v>0.27999999999999992</v>
      </c>
      <c r="CW22" s="3">
        <f t="shared" si="60"/>
        <v>0.27999999999999992</v>
      </c>
      <c r="CX22" s="3">
        <f t="shared" si="16"/>
        <v>2.1385246621639444</v>
      </c>
      <c r="DA22" s="3">
        <f t="shared" si="61"/>
        <v>0.27999999999999992</v>
      </c>
      <c r="DB22" s="168">
        <f t="shared" si="62"/>
        <v>0.27999999999999992</v>
      </c>
      <c r="DC22" s="3">
        <f t="shared" si="17"/>
        <v>2.1385246621639444</v>
      </c>
      <c r="DF22" s="3">
        <f t="shared" si="63"/>
        <v>0.27999999999999992</v>
      </c>
      <c r="DG22" s="168">
        <f t="shared" si="64"/>
        <v>0.27999999999999992</v>
      </c>
      <c r="DH22" s="3">
        <f t="shared" si="18"/>
        <v>2.1385246621639444</v>
      </c>
      <c r="DK22" s="3">
        <f t="shared" si="65"/>
        <v>0.27999999999999992</v>
      </c>
      <c r="DL22" s="3">
        <f t="shared" si="66"/>
        <v>0.27999999999999992</v>
      </c>
      <c r="DM22" s="3">
        <f t="shared" si="19"/>
        <v>2.1385246621639444</v>
      </c>
      <c r="DP22" s="3">
        <f t="shared" si="67"/>
        <v>0.27999999999999992</v>
      </c>
      <c r="DQ22" s="168">
        <f t="shared" si="68"/>
        <v>0.27999999999999992</v>
      </c>
      <c r="DR22" s="3">
        <f t="shared" si="20"/>
        <v>2.1385246621639444</v>
      </c>
      <c r="DU22" s="3">
        <f t="shared" si="69"/>
        <v>0.27999999999999992</v>
      </c>
      <c r="DV22" s="168">
        <f t="shared" si="70"/>
        <v>0.27999999999999992</v>
      </c>
      <c r="DW22" s="3">
        <f t="shared" si="21"/>
        <v>2.1385246621639444</v>
      </c>
      <c r="DZ22" s="3">
        <f t="shared" si="71"/>
        <v>0.27999999999999992</v>
      </c>
      <c r="EA22" s="3">
        <f t="shared" si="72"/>
        <v>0.27999999999999992</v>
      </c>
      <c r="EB22" s="3">
        <f t="shared" si="22"/>
        <v>2.1385246621639444</v>
      </c>
      <c r="EE22" s="3">
        <f t="shared" si="73"/>
        <v>0.27999999999999992</v>
      </c>
      <c r="EF22" s="168">
        <f t="shared" si="74"/>
        <v>0.27999999999999992</v>
      </c>
      <c r="EG22" s="3">
        <f t="shared" si="23"/>
        <v>2.1385246621639444</v>
      </c>
      <c r="EJ22" s="3">
        <f t="shared" si="75"/>
        <v>0.27999999999999992</v>
      </c>
      <c r="EK22" s="168">
        <f t="shared" si="76"/>
        <v>0.27999999999999992</v>
      </c>
      <c r="EL22" s="3">
        <f t="shared" si="24"/>
        <v>2.1385246621639444</v>
      </c>
      <c r="EO22" s="3">
        <f t="shared" si="77"/>
        <v>0.27999999999999992</v>
      </c>
      <c r="EP22" s="3">
        <f t="shared" si="78"/>
        <v>0.27999999999999992</v>
      </c>
      <c r="EQ22" s="3">
        <f t="shared" si="25"/>
        <v>2.1385246621639444</v>
      </c>
      <c r="ET22" s="3">
        <f t="shared" si="79"/>
        <v>0.27999999999999992</v>
      </c>
      <c r="EU22" s="168">
        <f t="shared" si="80"/>
        <v>0.27999999999999992</v>
      </c>
      <c r="EV22" s="3">
        <f t="shared" si="26"/>
        <v>2.1385246621639444</v>
      </c>
    </row>
    <row r="23" spans="3:152" s="3" customFormat="1" x14ac:dyDescent="0.3">
      <c r="C23" s="233"/>
      <c r="D23" s="234"/>
      <c r="E23" s="234"/>
      <c r="F23" s="234"/>
      <c r="G23" s="235"/>
      <c r="H23" s="1"/>
      <c r="I23" s="1"/>
      <c r="J23" s="1"/>
      <c r="K23" s="1"/>
      <c r="L23" s="1"/>
      <c r="M23" s="1"/>
      <c r="N23" s="1"/>
      <c r="O23" s="1"/>
      <c r="P23" s="1"/>
      <c r="Q23" s="1"/>
      <c r="R23" s="1"/>
      <c r="S23" s="1"/>
      <c r="T23" s="3">
        <f t="shared" si="27"/>
        <v>0.29999999999999993</v>
      </c>
      <c r="U23" s="168">
        <f t="shared" si="28"/>
        <v>0.29999999999999993</v>
      </c>
      <c r="V23" s="3">
        <f t="shared" si="0"/>
        <v>2.2566768640025159</v>
      </c>
      <c r="Y23" s="3">
        <f t="shared" si="29"/>
        <v>0.29999999999999993</v>
      </c>
      <c r="Z23" s="3">
        <f t="shared" si="30"/>
        <v>0.29999999999999993</v>
      </c>
      <c r="AA23" s="3">
        <f t="shared" si="1"/>
        <v>2.2566768640025159</v>
      </c>
      <c r="AD23" s="3">
        <f t="shared" si="31"/>
        <v>0.29999999999999993</v>
      </c>
      <c r="AE23" s="168">
        <f t="shared" si="32"/>
        <v>0.29999999999999993</v>
      </c>
      <c r="AF23" s="3">
        <f t="shared" si="2"/>
        <v>2.2566768640025159</v>
      </c>
      <c r="AI23" s="3">
        <f t="shared" si="33"/>
        <v>0.29999999999999993</v>
      </c>
      <c r="AJ23" s="168">
        <f t="shared" si="34"/>
        <v>0.29999999999999993</v>
      </c>
      <c r="AK23" s="3">
        <f t="shared" si="3"/>
        <v>2.2566768640025159</v>
      </c>
      <c r="AN23" s="3">
        <f t="shared" si="35"/>
        <v>0.29999999999999993</v>
      </c>
      <c r="AO23" s="3">
        <f t="shared" si="36"/>
        <v>0.29999999999999993</v>
      </c>
      <c r="AP23" s="3">
        <f t="shared" si="4"/>
        <v>2.2566768640025159</v>
      </c>
      <c r="AS23" s="3">
        <f t="shared" si="37"/>
        <v>0.29999999999999993</v>
      </c>
      <c r="AT23" s="168">
        <f t="shared" si="38"/>
        <v>0.29999999999999993</v>
      </c>
      <c r="AU23" s="3">
        <f t="shared" si="5"/>
        <v>2.2566768640025159</v>
      </c>
      <c r="AX23" s="3">
        <f t="shared" si="39"/>
        <v>0.29999999999999993</v>
      </c>
      <c r="AY23" s="168">
        <f t="shared" si="40"/>
        <v>0.29999999999999993</v>
      </c>
      <c r="AZ23" s="3">
        <f t="shared" si="6"/>
        <v>2.2566768640025159</v>
      </c>
      <c r="BC23" s="3">
        <f t="shared" si="41"/>
        <v>0.29999999999999993</v>
      </c>
      <c r="BD23" s="3">
        <f t="shared" si="42"/>
        <v>0.29999999999999993</v>
      </c>
      <c r="BE23" s="3">
        <f t="shared" si="7"/>
        <v>2.2566768640025159</v>
      </c>
      <c r="BH23" s="3">
        <f t="shared" si="43"/>
        <v>0.29999999999999993</v>
      </c>
      <c r="BI23" s="168">
        <f t="shared" si="44"/>
        <v>0.29999999999999993</v>
      </c>
      <c r="BJ23" s="3">
        <f t="shared" si="8"/>
        <v>2.2566768640025159</v>
      </c>
      <c r="BM23" s="3">
        <f t="shared" si="45"/>
        <v>0.29999999999999993</v>
      </c>
      <c r="BN23" s="168">
        <f t="shared" si="46"/>
        <v>0.29999999999999993</v>
      </c>
      <c r="BO23" s="3">
        <f t="shared" si="9"/>
        <v>2.2566768640025159</v>
      </c>
      <c r="BR23" s="3">
        <f t="shared" si="47"/>
        <v>0.29999999999999993</v>
      </c>
      <c r="BS23" s="3">
        <f t="shared" si="48"/>
        <v>0.29999999999999993</v>
      </c>
      <c r="BT23" s="3">
        <f t="shared" si="10"/>
        <v>2.2566768640025159</v>
      </c>
      <c r="BW23" s="3">
        <f t="shared" si="49"/>
        <v>0.29999999999999993</v>
      </c>
      <c r="BX23" s="168">
        <f t="shared" si="50"/>
        <v>0.29999999999999993</v>
      </c>
      <c r="BY23" s="3">
        <f t="shared" si="11"/>
        <v>2.2566768640025159</v>
      </c>
      <c r="CB23" s="3">
        <f t="shared" si="51"/>
        <v>0.29999999999999993</v>
      </c>
      <c r="CC23" s="168">
        <f t="shared" si="52"/>
        <v>0.29999999999999993</v>
      </c>
      <c r="CD23" s="3">
        <f t="shared" si="12"/>
        <v>2.2566768640025159</v>
      </c>
      <c r="CG23" s="3">
        <f t="shared" si="53"/>
        <v>0.29999999999999993</v>
      </c>
      <c r="CH23" s="3">
        <f t="shared" si="54"/>
        <v>0.29999999999999993</v>
      </c>
      <c r="CI23" s="3">
        <f t="shared" si="13"/>
        <v>2.2566768640025159</v>
      </c>
      <c r="CL23" s="3">
        <f t="shared" si="55"/>
        <v>0.29999999999999993</v>
      </c>
      <c r="CM23" s="168">
        <f t="shared" si="56"/>
        <v>0.29999999999999993</v>
      </c>
      <c r="CN23" s="3">
        <f t="shared" si="14"/>
        <v>2.2566768640025159</v>
      </c>
      <c r="CQ23" s="3">
        <f t="shared" si="57"/>
        <v>0.29999999999999993</v>
      </c>
      <c r="CR23" s="168">
        <f t="shared" si="58"/>
        <v>0.29999999999999993</v>
      </c>
      <c r="CS23" s="3">
        <f t="shared" si="15"/>
        <v>2.2566768640025159</v>
      </c>
      <c r="CV23" s="3">
        <f t="shared" si="59"/>
        <v>0.29999999999999993</v>
      </c>
      <c r="CW23" s="3">
        <f t="shared" si="60"/>
        <v>0.29999999999999993</v>
      </c>
      <c r="CX23" s="3">
        <f t="shared" si="16"/>
        <v>2.2566768640025159</v>
      </c>
      <c r="DA23" s="3">
        <f t="shared" si="61"/>
        <v>0.29999999999999993</v>
      </c>
      <c r="DB23" s="168">
        <f t="shared" si="62"/>
        <v>0.29999999999999993</v>
      </c>
      <c r="DC23" s="3">
        <f t="shared" si="17"/>
        <v>2.2566768640025159</v>
      </c>
      <c r="DF23" s="3">
        <f t="shared" si="63"/>
        <v>0.29999999999999993</v>
      </c>
      <c r="DG23" s="168">
        <f t="shared" si="64"/>
        <v>0.29999999999999993</v>
      </c>
      <c r="DH23" s="3">
        <f t="shared" si="18"/>
        <v>2.2566768640025159</v>
      </c>
      <c r="DK23" s="3">
        <f t="shared" si="65"/>
        <v>0.29999999999999993</v>
      </c>
      <c r="DL23" s="3">
        <f t="shared" si="66"/>
        <v>0.29999999999999993</v>
      </c>
      <c r="DM23" s="3">
        <f t="shared" si="19"/>
        <v>2.2566768640025159</v>
      </c>
      <c r="DP23" s="3">
        <f t="shared" si="67"/>
        <v>0.29999999999999993</v>
      </c>
      <c r="DQ23" s="168">
        <f t="shared" si="68"/>
        <v>0.29999999999999993</v>
      </c>
      <c r="DR23" s="3">
        <f t="shared" si="20"/>
        <v>2.2566768640025159</v>
      </c>
      <c r="DU23" s="3">
        <f t="shared" si="69"/>
        <v>0.29999999999999993</v>
      </c>
      <c r="DV23" s="168">
        <f t="shared" si="70"/>
        <v>0.29999999999999993</v>
      </c>
      <c r="DW23" s="3">
        <f t="shared" si="21"/>
        <v>2.2566768640025159</v>
      </c>
      <c r="DZ23" s="3">
        <f t="shared" si="71"/>
        <v>0.29999999999999993</v>
      </c>
      <c r="EA23" s="3">
        <f t="shared" si="72"/>
        <v>0.29999999999999993</v>
      </c>
      <c r="EB23" s="3">
        <f t="shared" si="22"/>
        <v>2.2566768640025159</v>
      </c>
      <c r="EE23" s="3">
        <f t="shared" si="73"/>
        <v>0.29999999999999993</v>
      </c>
      <c r="EF23" s="168">
        <f t="shared" si="74"/>
        <v>0.29999999999999993</v>
      </c>
      <c r="EG23" s="3">
        <f t="shared" si="23"/>
        <v>2.2566768640025159</v>
      </c>
      <c r="EJ23" s="3">
        <f t="shared" si="75"/>
        <v>0.29999999999999993</v>
      </c>
      <c r="EK23" s="168">
        <f t="shared" si="76"/>
        <v>0.29999999999999993</v>
      </c>
      <c r="EL23" s="3">
        <f t="shared" si="24"/>
        <v>2.2566768640025159</v>
      </c>
      <c r="EO23" s="3">
        <f t="shared" si="77"/>
        <v>0.29999999999999993</v>
      </c>
      <c r="EP23" s="3">
        <f t="shared" si="78"/>
        <v>0.29999999999999993</v>
      </c>
      <c r="EQ23" s="3">
        <f t="shared" si="25"/>
        <v>2.2566768640025159</v>
      </c>
      <c r="ET23" s="3">
        <f t="shared" si="79"/>
        <v>0.29999999999999993</v>
      </c>
      <c r="EU23" s="168">
        <f t="shared" si="80"/>
        <v>0.29999999999999993</v>
      </c>
      <c r="EV23" s="3">
        <f t="shared" si="26"/>
        <v>2.2566768640025159</v>
      </c>
    </row>
    <row r="24" spans="3:152" s="3" customFormat="1" x14ac:dyDescent="0.3">
      <c r="C24" s="236"/>
      <c r="D24" s="237"/>
      <c r="E24" s="237"/>
      <c r="F24" s="237"/>
      <c r="G24" s="238"/>
      <c r="H24" s="1"/>
      <c r="I24" s="1"/>
      <c r="J24" s="1"/>
      <c r="K24" s="1"/>
      <c r="L24" s="1"/>
      <c r="M24" s="1"/>
      <c r="N24" s="1"/>
      <c r="O24" s="1"/>
      <c r="P24" s="1"/>
      <c r="Q24" s="1"/>
      <c r="R24" s="1"/>
      <c r="S24" s="1"/>
      <c r="T24" s="3">
        <f t="shared" si="27"/>
        <v>0.31999999999999995</v>
      </c>
      <c r="U24" s="168">
        <f t="shared" si="28"/>
        <v>0.31999999999999995</v>
      </c>
      <c r="V24" s="3">
        <f t="shared" si="0"/>
        <v>2.3721205531132403</v>
      </c>
      <c r="Y24" s="3">
        <f t="shared" si="29"/>
        <v>0.31999999999999995</v>
      </c>
      <c r="Z24" s="3">
        <f t="shared" si="30"/>
        <v>0.31999999999999995</v>
      </c>
      <c r="AA24" s="3">
        <f t="shared" si="1"/>
        <v>2.3721205531132403</v>
      </c>
      <c r="AD24" s="3">
        <f t="shared" si="31"/>
        <v>0.31999999999999995</v>
      </c>
      <c r="AE24" s="168">
        <f t="shared" si="32"/>
        <v>0.31999999999999995</v>
      </c>
      <c r="AF24" s="3">
        <f t="shared" si="2"/>
        <v>2.3721205531132403</v>
      </c>
      <c r="AI24" s="3">
        <f t="shared" si="33"/>
        <v>0.31999999999999995</v>
      </c>
      <c r="AJ24" s="168">
        <f t="shared" si="34"/>
        <v>0.31999999999999995</v>
      </c>
      <c r="AK24" s="3">
        <f t="shared" si="3"/>
        <v>2.3721205531132403</v>
      </c>
      <c r="AN24" s="3">
        <f t="shared" si="35"/>
        <v>0.31999999999999995</v>
      </c>
      <c r="AO24" s="3">
        <f t="shared" si="36"/>
        <v>0.31999999999999995</v>
      </c>
      <c r="AP24" s="3">
        <f t="shared" si="4"/>
        <v>2.3721205531132403</v>
      </c>
      <c r="AS24" s="3">
        <f t="shared" si="37"/>
        <v>0.31999999999999995</v>
      </c>
      <c r="AT24" s="168">
        <f t="shared" si="38"/>
        <v>0.31999999999999995</v>
      </c>
      <c r="AU24" s="3">
        <f t="shared" si="5"/>
        <v>2.3721205531132403</v>
      </c>
      <c r="AX24" s="3">
        <f t="shared" si="39"/>
        <v>0.31999999999999995</v>
      </c>
      <c r="AY24" s="168">
        <f t="shared" si="40"/>
        <v>0.31999999999999995</v>
      </c>
      <c r="AZ24" s="3">
        <f t="shared" si="6"/>
        <v>2.3721205531132403</v>
      </c>
      <c r="BC24" s="3">
        <f t="shared" si="41"/>
        <v>0.31999999999999995</v>
      </c>
      <c r="BD24" s="3">
        <f t="shared" si="42"/>
        <v>0.31999999999999995</v>
      </c>
      <c r="BE24" s="3">
        <f t="shared" si="7"/>
        <v>2.3721205531132403</v>
      </c>
      <c r="BH24" s="3">
        <f t="shared" si="43"/>
        <v>0.31999999999999995</v>
      </c>
      <c r="BI24" s="168">
        <f t="shared" si="44"/>
        <v>0.31999999999999995</v>
      </c>
      <c r="BJ24" s="3">
        <f t="shared" si="8"/>
        <v>2.3721205531132403</v>
      </c>
      <c r="BM24" s="3">
        <f t="shared" si="45"/>
        <v>0.31999999999999995</v>
      </c>
      <c r="BN24" s="168">
        <f t="shared" si="46"/>
        <v>0.31999999999999995</v>
      </c>
      <c r="BO24" s="3">
        <f t="shared" si="9"/>
        <v>2.3721205531132403</v>
      </c>
      <c r="BR24" s="3">
        <f t="shared" si="47"/>
        <v>0.31999999999999995</v>
      </c>
      <c r="BS24" s="3">
        <f t="shared" si="48"/>
        <v>0.31999999999999995</v>
      </c>
      <c r="BT24" s="3">
        <f t="shared" si="10"/>
        <v>2.3721205531132403</v>
      </c>
      <c r="BW24" s="3">
        <f t="shared" si="49"/>
        <v>0.31999999999999995</v>
      </c>
      <c r="BX24" s="168">
        <f t="shared" si="50"/>
        <v>0.31999999999999995</v>
      </c>
      <c r="BY24" s="3">
        <f t="shared" si="11"/>
        <v>2.3721205531132403</v>
      </c>
      <c r="CB24" s="3">
        <f t="shared" si="51"/>
        <v>0.31999999999999995</v>
      </c>
      <c r="CC24" s="168">
        <f t="shared" si="52"/>
        <v>0.31999999999999995</v>
      </c>
      <c r="CD24" s="3">
        <f t="shared" si="12"/>
        <v>2.3721205531132403</v>
      </c>
      <c r="CG24" s="3">
        <f t="shared" si="53"/>
        <v>0.31999999999999995</v>
      </c>
      <c r="CH24" s="3">
        <f t="shared" si="54"/>
        <v>0.31999999999999995</v>
      </c>
      <c r="CI24" s="3">
        <f t="shared" si="13"/>
        <v>2.3721205531132403</v>
      </c>
      <c r="CL24" s="3">
        <f t="shared" si="55"/>
        <v>0.31999999999999995</v>
      </c>
      <c r="CM24" s="168">
        <f t="shared" si="56"/>
        <v>0.31999999999999995</v>
      </c>
      <c r="CN24" s="3">
        <f t="shared" si="14"/>
        <v>2.3721205531132403</v>
      </c>
      <c r="CQ24" s="3">
        <f t="shared" si="57"/>
        <v>0.31999999999999995</v>
      </c>
      <c r="CR24" s="168">
        <f t="shared" si="58"/>
        <v>0.31999999999999995</v>
      </c>
      <c r="CS24" s="3">
        <f t="shared" si="15"/>
        <v>2.3721205531132403</v>
      </c>
      <c r="CV24" s="3">
        <f t="shared" si="59"/>
        <v>0.31999999999999995</v>
      </c>
      <c r="CW24" s="3">
        <f t="shared" si="60"/>
        <v>0.31999999999999995</v>
      </c>
      <c r="CX24" s="3">
        <f t="shared" si="16"/>
        <v>2.3721205531132403</v>
      </c>
      <c r="DA24" s="3">
        <f t="shared" si="61"/>
        <v>0.31999999999999995</v>
      </c>
      <c r="DB24" s="168">
        <f t="shared" si="62"/>
        <v>0.31999999999999995</v>
      </c>
      <c r="DC24" s="3">
        <f t="shared" si="17"/>
        <v>2.3721205531132403</v>
      </c>
      <c r="DF24" s="3">
        <f t="shared" si="63"/>
        <v>0.31999999999999995</v>
      </c>
      <c r="DG24" s="168">
        <f t="shared" si="64"/>
        <v>0.31999999999999995</v>
      </c>
      <c r="DH24" s="3">
        <f t="shared" si="18"/>
        <v>2.3721205531132403</v>
      </c>
      <c r="DK24" s="3">
        <f t="shared" si="65"/>
        <v>0.31999999999999995</v>
      </c>
      <c r="DL24" s="3">
        <f t="shared" si="66"/>
        <v>0.31999999999999995</v>
      </c>
      <c r="DM24" s="3">
        <f t="shared" si="19"/>
        <v>2.3721205531132403</v>
      </c>
      <c r="DP24" s="3">
        <f t="shared" si="67"/>
        <v>0.31999999999999995</v>
      </c>
      <c r="DQ24" s="168">
        <f t="shared" si="68"/>
        <v>0.31999999999999995</v>
      </c>
      <c r="DR24" s="3">
        <f t="shared" si="20"/>
        <v>2.3721205531132403</v>
      </c>
      <c r="DU24" s="3">
        <f t="shared" si="69"/>
        <v>0.31999999999999995</v>
      </c>
      <c r="DV24" s="168">
        <f t="shared" si="70"/>
        <v>0.31999999999999995</v>
      </c>
      <c r="DW24" s="3">
        <f t="shared" si="21"/>
        <v>2.3721205531132403</v>
      </c>
      <c r="DZ24" s="3">
        <f t="shared" si="71"/>
        <v>0.31999999999999995</v>
      </c>
      <c r="EA24" s="3">
        <f t="shared" si="72"/>
        <v>0.31999999999999995</v>
      </c>
      <c r="EB24" s="3">
        <f t="shared" si="22"/>
        <v>2.3721205531132403</v>
      </c>
      <c r="EE24" s="3">
        <f t="shared" si="73"/>
        <v>0.31999999999999995</v>
      </c>
      <c r="EF24" s="168">
        <f t="shared" si="74"/>
        <v>0.31999999999999995</v>
      </c>
      <c r="EG24" s="3">
        <f t="shared" si="23"/>
        <v>2.3721205531132403</v>
      </c>
      <c r="EJ24" s="3">
        <f t="shared" si="75"/>
        <v>0.31999999999999995</v>
      </c>
      <c r="EK24" s="168">
        <f t="shared" si="76"/>
        <v>0.31999999999999995</v>
      </c>
      <c r="EL24" s="3">
        <f t="shared" si="24"/>
        <v>2.3721205531132403</v>
      </c>
      <c r="EO24" s="3">
        <f t="shared" si="77"/>
        <v>0.31999999999999995</v>
      </c>
      <c r="EP24" s="3">
        <f t="shared" si="78"/>
        <v>0.31999999999999995</v>
      </c>
      <c r="EQ24" s="3">
        <f t="shared" si="25"/>
        <v>2.3721205531132403</v>
      </c>
      <c r="ET24" s="3">
        <f t="shared" si="79"/>
        <v>0.31999999999999995</v>
      </c>
      <c r="EU24" s="168">
        <f t="shared" si="80"/>
        <v>0.31999999999999995</v>
      </c>
      <c r="EV24" s="3">
        <f t="shared" si="26"/>
        <v>2.3721205531132403</v>
      </c>
    </row>
    <row r="25" spans="3:152" s="3" customFormat="1" x14ac:dyDescent="0.3">
      <c r="C25" s="1"/>
      <c r="D25" s="1"/>
      <c r="E25" s="1"/>
      <c r="F25" s="1"/>
      <c r="G25" s="1"/>
      <c r="H25" s="1"/>
      <c r="I25" s="1"/>
      <c r="J25" s="1"/>
      <c r="K25" s="1"/>
      <c r="L25" s="1"/>
      <c r="M25" s="1"/>
      <c r="N25" s="1"/>
      <c r="O25" s="1"/>
      <c r="P25" s="1"/>
      <c r="Q25" s="1"/>
      <c r="R25" s="1"/>
      <c r="S25" s="1"/>
      <c r="T25" s="3">
        <f t="shared" si="27"/>
        <v>0.33999999999999997</v>
      </c>
      <c r="U25" s="168">
        <f t="shared" si="28"/>
        <v>0.33999999999999997</v>
      </c>
      <c r="V25" s="3">
        <f t="shared" si="0"/>
        <v>2.4848557294961178</v>
      </c>
      <c r="Y25" s="3">
        <f t="shared" si="29"/>
        <v>0.33999999999999997</v>
      </c>
      <c r="Z25" s="3">
        <f t="shared" si="30"/>
        <v>0.33999999999999997</v>
      </c>
      <c r="AA25" s="3">
        <f t="shared" si="1"/>
        <v>2.4848557294961178</v>
      </c>
      <c r="AD25" s="3">
        <f t="shared" si="31"/>
        <v>0.33999999999999997</v>
      </c>
      <c r="AE25" s="168">
        <f t="shared" si="32"/>
        <v>0.33999999999999997</v>
      </c>
      <c r="AF25" s="3">
        <f t="shared" si="2"/>
        <v>2.4848557294961178</v>
      </c>
      <c r="AI25" s="3">
        <f t="shared" si="33"/>
        <v>0.33999999999999997</v>
      </c>
      <c r="AJ25" s="168">
        <f t="shared" si="34"/>
        <v>0.33999999999999997</v>
      </c>
      <c r="AK25" s="3">
        <f t="shared" si="3"/>
        <v>2.4848557294961178</v>
      </c>
      <c r="AN25" s="3">
        <f t="shared" si="35"/>
        <v>0.33999999999999997</v>
      </c>
      <c r="AO25" s="3">
        <f t="shared" si="36"/>
        <v>0.33999999999999997</v>
      </c>
      <c r="AP25" s="3">
        <f t="shared" si="4"/>
        <v>2.4848557294961178</v>
      </c>
      <c r="AS25" s="3">
        <f t="shared" si="37"/>
        <v>0.33999999999999997</v>
      </c>
      <c r="AT25" s="168">
        <f t="shared" si="38"/>
        <v>0.33999999999999997</v>
      </c>
      <c r="AU25" s="3">
        <f t="shared" si="5"/>
        <v>2.4848557294961178</v>
      </c>
      <c r="AX25" s="3">
        <f t="shared" si="39"/>
        <v>0.33999999999999997</v>
      </c>
      <c r="AY25" s="168">
        <f t="shared" si="40"/>
        <v>0.33999999999999997</v>
      </c>
      <c r="AZ25" s="3">
        <f t="shared" si="6"/>
        <v>2.4848557294961178</v>
      </c>
      <c r="BC25" s="3">
        <f t="shared" si="41"/>
        <v>0.33999999999999997</v>
      </c>
      <c r="BD25" s="3">
        <f t="shared" si="42"/>
        <v>0.33999999999999997</v>
      </c>
      <c r="BE25" s="3">
        <f t="shared" si="7"/>
        <v>2.4848557294961178</v>
      </c>
      <c r="BH25" s="3">
        <f t="shared" si="43"/>
        <v>0.33999999999999997</v>
      </c>
      <c r="BI25" s="168">
        <f t="shared" si="44"/>
        <v>0.33999999999999997</v>
      </c>
      <c r="BJ25" s="3">
        <f t="shared" si="8"/>
        <v>2.4848557294961178</v>
      </c>
      <c r="BM25" s="3">
        <f t="shared" si="45"/>
        <v>0.33999999999999997</v>
      </c>
      <c r="BN25" s="168">
        <f t="shared" si="46"/>
        <v>0.33999999999999997</v>
      </c>
      <c r="BO25" s="3">
        <f t="shared" si="9"/>
        <v>2.4848557294961178</v>
      </c>
      <c r="BR25" s="3">
        <f t="shared" si="47"/>
        <v>0.33999999999999997</v>
      </c>
      <c r="BS25" s="3">
        <f t="shared" si="48"/>
        <v>0.33999999999999997</v>
      </c>
      <c r="BT25" s="3">
        <f t="shared" si="10"/>
        <v>2.4848557294961178</v>
      </c>
      <c r="BW25" s="3">
        <f t="shared" si="49"/>
        <v>0.33999999999999997</v>
      </c>
      <c r="BX25" s="168">
        <f t="shared" si="50"/>
        <v>0.33999999999999997</v>
      </c>
      <c r="BY25" s="3">
        <f t="shared" si="11"/>
        <v>2.4848557294961178</v>
      </c>
      <c r="CB25" s="3">
        <f t="shared" si="51"/>
        <v>0.33999999999999997</v>
      </c>
      <c r="CC25" s="168">
        <f t="shared" si="52"/>
        <v>0.33999999999999997</v>
      </c>
      <c r="CD25" s="3">
        <f t="shared" si="12"/>
        <v>2.4848557294961178</v>
      </c>
      <c r="CG25" s="3">
        <f t="shared" si="53"/>
        <v>0.33999999999999997</v>
      </c>
      <c r="CH25" s="3">
        <f t="shared" si="54"/>
        <v>0.33999999999999997</v>
      </c>
      <c r="CI25" s="3">
        <f t="shared" si="13"/>
        <v>2.4848557294961178</v>
      </c>
      <c r="CL25" s="3">
        <f t="shared" si="55"/>
        <v>0.33999999999999997</v>
      </c>
      <c r="CM25" s="168">
        <f t="shared" si="56"/>
        <v>0.33999999999999997</v>
      </c>
      <c r="CN25" s="3">
        <f t="shared" si="14"/>
        <v>2.4848557294961178</v>
      </c>
      <c r="CQ25" s="3">
        <f t="shared" si="57"/>
        <v>0.33999999999999997</v>
      </c>
      <c r="CR25" s="168">
        <f t="shared" si="58"/>
        <v>0.33999999999999997</v>
      </c>
      <c r="CS25" s="3">
        <f t="shared" si="15"/>
        <v>2.4848557294961178</v>
      </c>
      <c r="CV25" s="3">
        <f t="shared" si="59"/>
        <v>0.33999999999999997</v>
      </c>
      <c r="CW25" s="3">
        <f t="shared" si="60"/>
        <v>0.33999999999999997</v>
      </c>
      <c r="CX25" s="3">
        <f t="shared" si="16"/>
        <v>2.4848557294961178</v>
      </c>
      <c r="DA25" s="3">
        <f t="shared" si="61"/>
        <v>0.33999999999999997</v>
      </c>
      <c r="DB25" s="168">
        <f t="shared" si="62"/>
        <v>0.33999999999999997</v>
      </c>
      <c r="DC25" s="3">
        <f t="shared" si="17"/>
        <v>2.4848557294961178</v>
      </c>
      <c r="DF25" s="3">
        <f t="shared" si="63"/>
        <v>0.33999999999999997</v>
      </c>
      <c r="DG25" s="168">
        <f t="shared" si="64"/>
        <v>0.33999999999999997</v>
      </c>
      <c r="DH25" s="3">
        <f t="shared" si="18"/>
        <v>2.4848557294961178</v>
      </c>
      <c r="DK25" s="3">
        <f t="shared" si="65"/>
        <v>0.33999999999999997</v>
      </c>
      <c r="DL25" s="3">
        <f t="shared" si="66"/>
        <v>0.33999999999999997</v>
      </c>
      <c r="DM25" s="3">
        <f t="shared" si="19"/>
        <v>2.4848557294961178</v>
      </c>
      <c r="DP25" s="3">
        <f t="shared" si="67"/>
        <v>0.33999999999999997</v>
      </c>
      <c r="DQ25" s="168">
        <f t="shared" si="68"/>
        <v>0.33999999999999997</v>
      </c>
      <c r="DR25" s="3">
        <f t="shared" si="20"/>
        <v>2.4848557294961178</v>
      </c>
      <c r="DU25" s="3">
        <f t="shared" si="69"/>
        <v>0.33999999999999997</v>
      </c>
      <c r="DV25" s="168">
        <f t="shared" si="70"/>
        <v>0.33999999999999997</v>
      </c>
      <c r="DW25" s="3">
        <f t="shared" si="21"/>
        <v>2.4848557294961178</v>
      </c>
      <c r="DZ25" s="3">
        <f t="shared" si="71"/>
        <v>0.33999999999999997</v>
      </c>
      <c r="EA25" s="3">
        <f t="shared" si="72"/>
        <v>0.33999999999999997</v>
      </c>
      <c r="EB25" s="3">
        <f t="shared" si="22"/>
        <v>2.4848557294961178</v>
      </c>
      <c r="EE25" s="3">
        <f t="shared" si="73"/>
        <v>0.33999999999999997</v>
      </c>
      <c r="EF25" s="168">
        <f t="shared" si="74"/>
        <v>0.33999999999999997</v>
      </c>
      <c r="EG25" s="3">
        <f t="shared" si="23"/>
        <v>2.4848557294961178</v>
      </c>
      <c r="EJ25" s="3">
        <f t="shared" si="75"/>
        <v>0.33999999999999997</v>
      </c>
      <c r="EK25" s="168">
        <f t="shared" si="76"/>
        <v>0.33999999999999997</v>
      </c>
      <c r="EL25" s="3">
        <f t="shared" si="24"/>
        <v>2.4848557294961178</v>
      </c>
      <c r="EO25" s="3">
        <f t="shared" si="77"/>
        <v>0.33999999999999997</v>
      </c>
      <c r="EP25" s="3">
        <f t="shared" si="78"/>
        <v>0.33999999999999997</v>
      </c>
      <c r="EQ25" s="3">
        <f t="shared" si="25"/>
        <v>2.4848557294961178</v>
      </c>
      <c r="ET25" s="3">
        <f t="shared" si="79"/>
        <v>0.33999999999999997</v>
      </c>
      <c r="EU25" s="168">
        <f t="shared" si="80"/>
        <v>0.33999999999999997</v>
      </c>
      <c r="EV25" s="3">
        <f t="shared" si="26"/>
        <v>2.4848557294961178</v>
      </c>
    </row>
    <row r="26" spans="3:152" s="3" customFormat="1" ht="14.4" customHeight="1" x14ac:dyDescent="0.3">
      <c r="C26" s="230" t="s">
        <v>346</v>
      </c>
      <c r="D26" s="231"/>
      <c r="E26" s="231"/>
      <c r="F26" s="231"/>
      <c r="G26" s="232"/>
      <c r="H26" s="1"/>
      <c r="I26" s="1"/>
      <c r="J26" s="1"/>
      <c r="K26" s="1"/>
      <c r="L26" s="1"/>
      <c r="M26" s="1"/>
      <c r="N26" s="1"/>
      <c r="O26" s="1"/>
      <c r="P26" s="1"/>
      <c r="Q26" s="1"/>
      <c r="R26" s="1"/>
      <c r="S26" s="1"/>
      <c r="T26" s="3">
        <f t="shared" si="27"/>
        <v>0.36</v>
      </c>
      <c r="U26" s="168">
        <f t="shared" si="28"/>
        <v>0.36</v>
      </c>
      <c r="V26" s="3">
        <f t="shared" si="0"/>
        <v>2.5948823931511482</v>
      </c>
      <c r="Y26" s="3">
        <f t="shared" si="29"/>
        <v>0.36</v>
      </c>
      <c r="Z26" s="3">
        <f t="shared" si="30"/>
        <v>0.36</v>
      </c>
      <c r="AA26" s="3">
        <f t="shared" si="1"/>
        <v>2.5948823931511482</v>
      </c>
      <c r="AD26" s="3">
        <f t="shared" si="31"/>
        <v>0.36</v>
      </c>
      <c r="AE26" s="168">
        <f t="shared" si="32"/>
        <v>0.36</v>
      </c>
      <c r="AF26" s="3">
        <f t="shared" si="2"/>
        <v>2.5948823931511482</v>
      </c>
      <c r="AI26" s="3">
        <f t="shared" si="33"/>
        <v>0.36</v>
      </c>
      <c r="AJ26" s="168">
        <f t="shared" si="34"/>
        <v>0.36</v>
      </c>
      <c r="AK26" s="3">
        <f t="shared" si="3"/>
        <v>2.5948823931511482</v>
      </c>
      <c r="AN26" s="3">
        <f t="shared" si="35"/>
        <v>0.36</v>
      </c>
      <c r="AO26" s="3">
        <f t="shared" si="36"/>
        <v>0.36</v>
      </c>
      <c r="AP26" s="3">
        <f t="shared" si="4"/>
        <v>2.5948823931511482</v>
      </c>
      <c r="AS26" s="3">
        <f t="shared" si="37"/>
        <v>0.36</v>
      </c>
      <c r="AT26" s="168">
        <f t="shared" si="38"/>
        <v>0.36</v>
      </c>
      <c r="AU26" s="3">
        <f t="shared" si="5"/>
        <v>2.5948823931511482</v>
      </c>
      <c r="AX26" s="3">
        <f t="shared" si="39"/>
        <v>0.36</v>
      </c>
      <c r="AY26" s="168">
        <f t="shared" si="40"/>
        <v>0.36</v>
      </c>
      <c r="AZ26" s="3">
        <f t="shared" si="6"/>
        <v>2.5948823931511482</v>
      </c>
      <c r="BC26" s="3">
        <f t="shared" si="41"/>
        <v>0.36</v>
      </c>
      <c r="BD26" s="3">
        <f t="shared" si="42"/>
        <v>0.36</v>
      </c>
      <c r="BE26" s="3">
        <f t="shared" si="7"/>
        <v>2.5948823931511482</v>
      </c>
      <c r="BH26" s="3">
        <f t="shared" si="43"/>
        <v>0.36</v>
      </c>
      <c r="BI26" s="168">
        <f t="shared" si="44"/>
        <v>0.36</v>
      </c>
      <c r="BJ26" s="3">
        <f t="shared" si="8"/>
        <v>2.5948823931511482</v>
      </c>
      <c r="BM26" s="3">
        <f t="shared" si="45"/>
        <v>0.36</v>
      </c>
      <c r="BN26" s="168">
        <f t="shared" si="46"/>
        <v>0.36</v>
      </c>
      <c r="BO26" s="3">
        <f t="shared" si="9"/>
        <v>2.5948823931511482</v>
      </c>
      <c r="BR26" s="3">
        <f t="shared" si="47"/>
        <v>0.36</v>
      </c>
      <c r="BS26" s="3">
        <f t="shared" si="48"/>
        <v>0.36</v>
      </c>
      <c r="BT26" s="3">
        <f t="shared" si="10"/>
        <v>2.5948823931511482</v>
      </c>
      <c r="BW26" s="3">
        <f t="shared" si="49"/>
        <v>0.36</v>
      </c>
      <c r="BX26" s="168">
        <f t="shared" si="50"/>
        <v>0.36</v>
      </c>
      <c r="BY26" s="3">
        <f t="shared" si="11"/>
        <v>2.5948823931511482</v>
      </c>
      <c r="CB26" s="3">
        <f t="shared" si="51"/>
        <v>0.36</v>
      </c>
      <c r="CC26" s="168">
        <f t="shared" si="52"/>
        <v>0.36</v>
      </c>
      <c r="CD26" s="3">
        <f t="shared" si="12"/>
        <v>2.5948823931511482</v>
      </c>
      <c r="CG26" s="3">
        <f t="shared" si="53"/>
        <v>0.36</v>
      </c>
      <c r="CH26" s="3">
        <f t="shared" si="54"/>
        <v>0.36</v>
      </c>
      <c r="CI26" s="3">
        <f t="shared" si="13"/>
        <v>2.5948823931511482</v>
      </c>
      <c r="CL26" s="3">
        <f t="shared" si="55"/>
        <v>0.36</v>
      </c>
      <c r="CM26" s="168">
        <f t="shared" si="56"/>
        <v>0.36</v>
      </c>
      <c r="CN26" s="3">
        <f t="shared" si="14"/>
        <v>2.5948823931511482</v>
      </c>
      <c r="CQ26" s="3">
        <f t="shared" si="57"/>
        <v>0.36</v>
      </c>
      <c r="CR26" s="168">
        <f t="shared" si="58"/>
        <v>0.36</v>
      </c>
      <c r="CS26" s="3">
        <f t="shared" si="15"/>
        <v>2.5948823931511482</v>
      </c>
      <c r="CV26" s="3">
        <f t="shared" si="59"/>
        <v>0.36</v>
      </c>
      <c r="CW26" s="3">
        <f t="shared" si="60"/>
        <v>0.36</v>
      </c>
      <c r="CX26" s="3">
        <f t="shared" si="16"/>
        <v>2.5948823931511482</v>
      </c>
      <c r="DA26" s="3">
        <f t="shared" si="61"/>
        <v>0.36</v>
      </c>
      <c r="DB26" s="168">
        <f t="shared" si="62"/>
        <v>0.36</v>
      </c>
      <c r="DC26" s="3">
        <f t="shared" si="17"/>
        <v>2.5948823931511482</v>
      </c>
      <c r="DF26" s="3">
        <f t="shared" si="63"/>
        <v>0.36</v>
      </c>
      <c r="DG26" s="168">
        <f t="shared" si="64"/>
        <v>0.36</v>
      </c>
      <c r="DH26" s="3">
        <f t="shared" si="18"/>
        <v>2.5948823931511482</v>
      </c>
      <c r="DK26" s="3">
        <f t="shared" si="65"/>
        <v>0.36</v>
      </c>
      <c r="DL26" s="3">
        <f t="shared" si="66"/>
        <v>0.36</v>
      </c>
      <c r="DM26" s="3">
        <f t="shared" si="19"/>
        <v>2.5948823931511482</v>
      </c>
      <c r="DP26" s="3">
        <f t="shared" si="67"/>
        <v>0.36</v>
      </c>
      <c r="DQ26" s="168">
        <f t="shared" si="68"/>
        <v>0.36</v>
      </c>
      <c r="DR26" s="3">
        <f t="shared" si="20"/>
        <v>2.5948823931511482</v>
      </c>
      <c r="DU26" s="3">
        <f t="shared" si="69"/>
        <v>0.36</v>
      </c>
      <c r="DV26" s="168">
        <f t="shared" si="70"/>
        <v>0.36</v>
      </c>
      <c r="DW26" s="3">
        <f t="shared" si="21"/>
        <v>2.5948823931511482</v>
      </c>
      <c r="DZ26" s="3">
        <f t="shared" si="71"/>
        <v>0.36</v>
      </c>
      <c r="EA26" s="3">
        <f t="shared" si="72"/>
        <v>0.36</v>
      </c>
      <c r="EB26" s="3">
        <f t="shared" si="22"/>
        <v>2.5948823931511482</v>
      </c>
      <c r="EE26" s="3">
        <f t="shared" si="73"/>
        <v>0.36</v>
      </c>
      <c r="EF26" s="168">
        <f t="shared" si="74"/>
        <v>0.36</v>
      </c>
      <c r="EG26" s="3">
        <f t="shared" si="23"/>
        <v>2.5948823931511482</v>
      </c>
      <c r="EJ26" s="3">
        <f t="shared" si="75"/>
        <v>0.36</v>
      </c>
      <c r="EK26" s="168">
        <f t="shared" si="76"/>
        <v>0.36</v>
      </c>
      <c r="EL26" s="3">
        <f t="shared" si="24"/>
        <v>2.5948823931511482</v>
      </c>
      <c r="EO26" s="3">
        <f t="shared" si="77"/>
        <v>0.36</v>
      </c>
      <c r="EP26" s="3">
        <f t="shared" si="78"/>
        <v>0.36</v>
      </c>
      <c r="EQ26" s="3">
        <f t="shared" si="25"/>
        <v>2.5948823931511482</v>
      </c>
      <c r="ET26" s="3">
        <f t="shared" si="79"/>
        <v>0.36</v>
      </c>
      <c r="EU26" s="168">
        <f t="shared" si="80"/>
        <v>0.36</v>
      </c>
      <c r="EV26" s="3">
        <f t="shared" si="26"/>
        <v>2.5948823931511482</v>
      </c>
    </row>
    <row r="27" spans="3:152" s="3" customFormat="1" x14ac:dyDescent="0.3">
      <c r="C27" s="233"/>
      <c r="D27" s="234"/>
      <c r="E27" s="234"/>
      <c r="F27" s="234"/>
      <c r="G27" s="235"/>
      <c r="H27" s="1"/>
      <c r="I27" s="1"/>
      <c r="J27" s="1"/>
      <c r="K27" s="1"/>
      <c r="L27" s="1"/>
      <c r="M27" s="1"/>
      <c r="N27" s="1"/>
      <c r="O27" s="1"/>
      <c r="P27" s="1"/>
      <c r="Q27" s="1"/>
      <c r="R27" s="1"/>
      <c r="S27" s="1"/>
      <c r="T27" s="3">
        <f t="shared" si="27"/>
        <v>0.38</v>
      </c>
      <c r="U27" s="168">
        <f t="shared" si="28"/>
        <v>0.38</v>
      </c>
      <c r="V27" s="3">
        <f t="shared" si="0"/>
        <v>2.7022005440783312</v>
      </c>
      <c r="Y27" s="3">
        <f t="shared" si="29"/>
        <v>0.38</v>
      </c>
      <c r="Z27" s="3">
        <f t="shared" si="30"/>
        <v>0.38</v>
      </c>
      <c r="AA27" s="3">
        <f t="shared" si="1"/>
        <v>2.7022005440783312</v>
      </c>
      <c r="AD27" s="3">
        <f t="shared" si="31"/>
        <v>0.38</v>
      </c>
      <c r="AE27" s="168">
        <f t="shared" si="32"/>
        <v>0.38</v>
      </c>
      <c r="AF27" s="3">
        <f t="shared" si="2"/>
        <v>2.7022005440783312</v>
      </c>
      <c r="AI27" s="3">
        <f t="shared" si="33"/>
        <v>0.38</v>
      </c>
      <c r="AJ27" s="168">
        <f t="shared" si="34"/>
        <v>0.38</v>
      </c>
      <c r="AK27" s="3">
        <f t="shared" si="3"/>
        <v>2.7022005440783312</v>
      </c>
      <c r="AN27" s="3">
        <f t="shared" si="35"/>
        <v>0.38</v>
      </c>
      <c r="AO27" s="3">
        <f t="shared" si="36"/>
        <v>0.38</v>
      </c>
      <c r="AP27" s="3">
        <f t="shared" si="4"/>
        <v>2.7022005440783312</v>
      </c>
      <c r="AS27" s="3">
        <f t="shared" si="37"/>
        <v>0.38</v>
      </c>
      <c r="AT27" s="168">
        <f t="shared" si="38"/>
        <v>0.38</v>
      </c>
      <c r="AU27" s="3">
        <f t="shared" si="5"/>
        <v>2.7022005440783312</v>
      </c>
      <c r="AX27" s="3">
        <f t="shared" si="39"/>
        <v>0.38</v>
      </c>
      <c r="AY27" s="168">
        <f t="shared" si="40"/>
        <v>0.38</v>
      </c>
      <c r="AZ27" s="3">
        <f t="shared" si="6"/>
        <v>2.7022005440783312</v>
      </c>
      <c r="BC27" s="3">
        <f t="shared" si="41"/>
        <v>0.38</v>
      </c>
      <c r="BD27" s="3">
        <f t="shared" si="42"/>
        <v>0.38</v>
      </c>
      <c r="BE27" s="3">
        <f t="shared" si="7"/>
        <v>2.7022005440783312</v>
      </c>
      <c r="BH27" s="3">
        <f t="shared" si="43"/>
        <v>0.38</v>
      </c>
      <c r="BI27" s="168">
        <f t="shared" si="44"/>
        <v>0.38</v>
      </c>
      <c r="BJ27" s="3">
        <f t="shared" si="8"/>
        <v>2.7022005440783312</v>
      </c>
      <c r="BM27" s="3">
        <f t="shared" si="45"/>
        <v>0.38</v>
      </c>
      <c r="BN27" s="168">
        <f t="shared" si="46"/>
        <v>0.38</v>
      </c>
      <c r="BO27" s="3">
        <f t="shared" si="9"/>
        <v>2.7022005440783312</v>
      </c>
      <c r="BR27" s="3">
        <f t="shared" si="47"/>
        <v>0.38</v>
      </c>
      <c r="BS27" s="3">
        <f t="shared" si="48"/>
        <v>0.38</v>
      </c>
      <c r="BT27" s="3">
        <f t="shared" si="10"/>
        <v>2.7022005440783312</v>
      </c>
      <c r="BW27" s="3">
        <f t="shared" si="49"/>
        <v>0.38</v>
      </c>
      <c r="BX27" s="168">
        <f t="shared" si="50"/>
        <v>0.38</v>
      </c>
      <c r="BY27" s="3">
        <f t="shared" si="11"/>
        <v>2.7022005440783312</v>
      </c>
      <c r="CB27" s="3">
        <f t="shared" si="51"/>
        <v>0.38</v>
      </c>
      <c r="CC27" s="168">
        <f t="shared" si="52"/>
        <v>0.38</v>
      </c>
      <c r="CD27" s="3">
        <f t="shared" si="12"/>
        <v>2.7022005440783312</v>
      </c>
      <c r="CG27" s="3">
        <f t="shared" si="53"/>
        <v>0.38</v>
      </c>
      <c r="CH27" s="3">
        <f t="shared" si="54"/>
        <v>0.38</v>
      </c>
      <c r="CI27" s="3">
        <f t="shared" si="13"/>
        <v>2.7022005440783312</v>
      </c>
      <c r="CL27" s="3">
        <f t="shared" si="55"/>
        <v>0.38</v>
      </c>
      <c r="CM27" s="168">
        <f t="shared" si="56"/>
        <v>0.38</v>
      </c>
      <c r="CN27" s="3">
        <f t="shared" si="14"/>
        <v>2.7022005440783312</v>
      </c>
      <c r="CQ27" s="3">
        <f t="shared" si="57"/>
        <v>0.38</v>
      </c>
      <c r="CR27" s="168">
        <f t="shared" si="58"/>
        <v>0.38</v>
      </c>
      <c r="CS27" s="3">
        <f t="shared" si="15"/>
        <v>2.7022005440783312</v>
      </c>
      <c r="CV27" s="3">
        <f t="shared" si="59"/>
        <v>0.38</v>
      </c>
      <c r="CW27" s="3">
        <f t="shared" si="60"/>
        <v>0.38</v>
      </c>
      <c r="CX27" s="3">
        <f t="shared" si="16"/>
        <v>2.7022005440783312</v>
      </c>
      <c r="DA27" s="3">
        <f t="shared" si="61"/>
        <v>0.38</v>
      </c>
      <c r="DB27" s="168">
        <f t="shared" si="62"/>
        <v>0.38</v>
      </c>
      <c r="DC27" s="3">
        <f t="shared" si="17"/>
        <v>2.7022005440783312</v>
      </c>
      <c r="DF27" s="3">
        <f t="shared" si="63"/>
        <v>0.38</v>
      </c>
      <c r="DG27" s="168">
        <f t="shared" si="64"/>
        <v>0.38</v>
      </c>
      <c r="DH27" s="3">
        <f t="shared" si="18"/>
        <v>2.7022005440783312</v>
      </c>
      <c r="DK27" s="3">
        <f t="shared" si="65"/>
        <v>0.38</v>
      </c>
      <c r="DL27" s="3">
        <f t="shared" si="66"/>
        <v>0.38</v>
      </c>
      <c r="DM27" s="3">
        <f t="shared" si="19"/>
        <v>2.7022005440783312</v>
      </c>
      <c r="DP27" s="3">
        <f t="shared" si="67"/>
        <v>0.38</v>
      </c>
      <c r="DQ27" s="168">
        <f t="shared" si="68"/>
        <v>0.38</v>
      </c>
      <c r="DR27" s="3">
        <f t="shared" si="20"/>
        <v>2.7022005440783312</v>
      </c>
      <c r="DU27" s="3">
        <f t="shared" si="69"/>
        <v>0.38</v>
      </c>
      <c r="DV27" s="168">
        <f t="shared" si="70"/>
        <v>0.38</v>
      </c>
      <c r="DW27" s="3">
        <f t="shared" si="21"/>
        <v>2.7022005440783312</v>
      </c>
      <c r="DZ27" s="3">
        <f t="shared" si="71"/>
        <v>0.38</v>
      </c>
      <c r="EA27" s="3">
        <f t="shared" si="72"/>
        <v>0.38</v>
      </c>
      <c r="EB27" s="3">
        <f t="shared" si="22"/>
        <v>2.7022005440783312</v>
      </c>
      <c r="EE27" s="3">
        <f t="shared" si="73"/>
        <v>0.38</v>
      </c>
      <c r="EF27" s="168">
        <f t="shared" si="74"/>
        <v>0.38</v>
      </c>
      <c r="EG27" s="3">
        <f t="shared" si="23"/>
        <v>2.7022005440783312</v>
      </c>
      <c r="EJ27" s="3">
        <f t="shared" si="75"/>
        <v>0.38</v>
      </c>
      <c r="EK27" s="168">
        <f t="shared" si="76"/>
        <v>0.38</v>
      </c>
      <c r="EL27" s="3">
        <f t="shared" si="24"/>
        <v>2.7022005440783312</v>
      </c>
      <c r="EO27" s="3">
        <f t="shared" si="77"/>
        <v>0.38</v>
      </c>
      <c r="EP27" s="3">
        <f t="shared" si="78"/>
        <v>0.38</v>
      </c>
      <c r="EQ27" s="3">
        <f t="shared" si="25"/>
        <v>2.7022005440783312</v>
      </c>
      <c r="ET27" s="3">
        <f t="shared" si="79"/>
        <v>0.38</v>
      </c>
      <c r="EU27" s="168">
        <f t="shared" si="80"/>
        <v>0.38</v>
      </c>
      <c r="EV27" s="3">
        <f t="shared" si="26"/>
        <v>2.7022005440783312</v>
      </c>
    </row>
    <row r="28" spans="3:152" s="3" customFormat="1" x14ac:dyDescent="0.3">
      <c r="C28" s="233"/>
      <c r="D28" s="234"/>
      <c r="E28" s="234"/>
      <c r="F28" s="234"/>
      <c r="G28" s="235"/>
      <c r="H28" s="1"/>
      <c r="I28" s="1"/>
      <c r="J28" s="1"/>
      <c r="K28" s="1"/>
      <c r="L28" s="1"/>
      <c r="M28" s="1"/>
      <c r="N28" s="1"/>
      <c r="O28" s="1"/>
      <c r="P28" s="1"/>
      <c r="Q28" s="1"/>
      <c r="R28" s="1"/>
      <c r="S28" s="1"/>
      <c r="T28" s="3">
        <f t="shared" si="27"/>
        <v>0.4</v>
      </c>
      <c r="U28" s="168">
        <f t="shared" si="28"/>
        <v>0.4</v>
      </c>
      <c r="V28" s="3">
        <f t="shared" si="0"/>
        <v>2.8068101822776672</v>
      </c>
      <c r="Y28" s="3">
        <f t="shared" si="29"/>
        <v>0.4</v>
      </c>
      <c r="Z28" s="3">
        <f t="shared" si="30"/>
        <v>0.4</v>
      </c>
      <c r="AA28" s="3">
        <f t="shared" si="1"/>
        <v>2.8068101822776672</v>
      </c>
      <c r="AD28" s="3">
        <f t="shared" si="31"/>
        <v>0.4</v>
      </c>
      <c r="AE28" s="168">
        <f t="shared" si="32"/>
        <v>0.4</v>
      </c>
      <c r="AF28" s="3">
        <f t="shared" si="2"/>
        <v>2.8068101822776672</v>
      </c>
      <c r="AI28" s="3">
        <f t="shared" si="33"/>
        <v>0.4</v>
      </c>
      <c r="AJ28" s="168">
        <f t="shared" si="34"/>
        <v>0.4</v>
      </c>
      <c r="AK28" s="3">
        <f t="shared" si="3"/>
        <v>2.8068101822776672</v>
      </c>
      <c r="AN28" s="3">
        <f t="shared" si="35"/>
        <v>0.4</v>
      </c>
      <c r="AO28" s="3">
        <f t="shared" si="36"/>
        <v>0.4</v>
      </c>
      <c r="AP28" s="3">
        <f t="shared" si="4"/>
        <v>2.8068101822776672</v>
      </c>
      <c r="AS28" s="3">
        <f t="shared" si="37"/>
        <v>0.4</v>
      </c>
      <c r="AT28" s="168">
        <f t="shared" si="38"/>
        <v>0.4</v>
      </c>
      <c r="AU28" s="3">
        <f t="shared" si="5"/>
        <v>2.8068101822776672</v>
      </c>
      <c r="AX28" s="3">
        <f t="shared" si="39"/>
        <v>0.4</v>
      </c>
      <c r="AY28" s="168">
        <f t="shared" si="40"/>
        <v>0.4</v>
      </c>
      <c r="AZ28" s="3">
        <f t="shared" si="6"/>
        <v>2.8068101822776672</v>
      </c>
      <c r="BC28" s="3">
        <f t="shared" si="41"/>
        <v>0.4</v>
      </c>
      <c r="BD28" s="3">
        <f t="shared" si="42"/>
        <v>0.4</v>
      </c>
      <c r="BE28" s="3">
        <f t="shared" si="7"/>
        <v>2.8068101822776672</v>
      </c>
      <c r="BH28" s="3">
        <f t="shared" si="43"/>
        <v>0.4</v>
      </c>
      <c r="BI28" s="168">
        <f t="shared" si="44"/>
        <v>0.4</v>
      </c>
      <c r="BJ28" s="3">
        <f t="shared" si="8"/>
        <v>2.8068101822776672</v>
      </c>
      <c r="BM28" s="3">
        <f t="shared" si="45"/>
        <v>0.4</v>
      </c>
      <c r="BN28" s="168">
        <f t="shared" si="46"/>
        <v>0.4</v>
      </c>
      <c r="BO28" s="3">
        <f t="shared" si="9"/>
        <v>2.8068101822776672</v>
      </c>
      <c r="BR28" s="3">
        <f t="shared" si="47"/>
        <v>0.4</v>
      </c>
      <c r="BS28" s="3">
        <f t="shared" si="48"/>
        <v>0.4</v>
      </c>
      <c r="BT28" s="3">
        <f t="shared" si="10"/>
        <v>2.8068101822776672</v>
      </c>
      <c r="BW28" s="3">
        <f t="shared" si="49"/>
        <v>0.4</v>
      </c>
      <c r="BX28" s="168">
        <f t="shared" si="50"/>
        <v>0.4</v>
      </c>
      <c r="BY28" s="3">
        <f t="shared" si="11"/>
        <v>2.8068101822776672</v>
      </c>
      <c r="CB28" s="3">
        <f t="shared" si="51"/>
        <v>0.4</v>
      </c>
      <c r="CC28" s="168">
        <f t="shared" si="52"/>
        <v>0.4</v>
      </c>
      <c r="CD28" s="3">
        <f t="shared" si="12"/>
        <v>2.8068101822776672</v>
      </c>
      <c r="CG28" s="3">
        <f t="shared" si="53"/>
        <v>0.4</v>
      </c>
      <c r="CH28" s="3">
        <f t="shared" si="54"/>
        <v>0.4</v>
      </c>
      <c r="CI28" s="3">
        <f t="shared" si="13"/>
        <v>2.8068101822776672</v>
      </c>
      <c r="CL28" s="3">
        <f t="shared" si="55"/>
        <v>0.4</v>
      </c>
      <c r="CM28" s="168">
        <f t="shared" si="56"/>
        <v>0.4</v>
      </c>
      <c r="CN28" s="3">
        <f t="shared" si="14"/>
        <v>2.8068101822776672</v>
      </c>
      <c r="CQ28" s="3">
        <f t="shared" si="57"/>
        <v>0.4</v>
      </c>
      <c r="CR28" s="168">
        <f t="shared" si="58"/>
        <v>0.4</v>
      </c>
      <c r="CS28" s="3">
        <f t="shared" si="15"/>
        <v>2.8068101822776672</v>
      </c>
      <c r="CV28" s="3">
        <f t="shared" si="59"/>
        <v>0.4</v>
      </c>
      <c r="CW28" s="3">
        <f t="shared" si="60"/>
        <v>0.4</v>
      </c>
      <c r="CX28" s="3">
        <f t="shared" si="16"/>
        <v>2.8068101822776672</v>
      </c>
      <c r="DA28" s="3">
        <f t="shared" si="61"/>
        <v>0.4</v>
      </c>
      <c r="DB28" s="168">
        <f t="shared" si="62"/>
        <v>0.4</v>
      </c>
      <c r="DC28" s="3">
        <f t="shared" si="17"/>
        <v>2.8068101822776672</v>
      </c>
      <c r="DF28" s="3">
        <f t="shared" si="63"/>
        <v>0.4</v>
      </c>
      <c r="DG28" s="168">
        <f t="shared" si="64"/>
        <v>0.4</v>
      </c>
      <c r="DH28" s="3">
        <f t="shared" si="18"/>
        <v>2.8068101822776672</v>
      </c>
      <c r="DK28" s="3">
        <f t="shared" si="65"/>
        <v>0.4</v>
      </c>
      <c r="DL28" s="3">
        <f t="shared" si="66"/>
        <v>0.4</v>
      </c>
      <c r="DM28" s="3">
        <f t="shared" si="19"/>
        <v>2.8068101822776672</v>
      </c>
      <c r="DP28" s="3">
        <f t="shared" si="67"/>
        <v>0.4</v>
      </c>
      <c r="DQ28" s="168">
        <f t="shared" si="68"/>
        <v>0.4</v>
      </c>
      <c r="DR28" s="3">
        <f t="shared" si="20"/>
        <v>2.8068101822776672</v>
      </c>
      <c r="DU28" s="3">
        <f t="shared" si="69"/>
        <v>0.4</v>
      </c>
      <c r="DV28" s="168">
        <f t="shared" si="70"/>
        <v>0.4</v>
      </c>
      <c r="DW28" s="3">
        <f t="shared" si="21"/>
        <v>2.8068101822776672</v>
      </c>
      <c r="DZ28" s="3">
        <f t="shared" si="71"/>
        <v>0.4</v>
      </c>
      <c r="EA28" s="3">
        <f t="shared" si="72"/>
        <v>0.4</v>
      </c>
      <c r="EB28" s="3">
        <f t="shared" si="22"/>
        <v>2.8068101822776672</v>
      </c>
      <c r="EE28" s="3">
        <f t="shared" si="73"/>
        <v>0.4</v>
      </c>
      <c r="EF28" s="168">
        <f t="shared" si="74"/>
        <v>0.4</v>
      </c>
      <c r="EG28" s="3">
        <f t="shared" si="23"/>
        <v>2.8068101822776672</v>
      </c>
      <c r="EJ28" s="3">
        <f t="shared" si="75"/>
        <v>0.4</v>
      </c>
      <c r="EK28" s="168">
        <f t="shared" si="76"/>
        <v>0.4</v>
      </c>
      <c r="EL28" s="3">
        <f t="shared" si="24"/>
        <v>2.8068101822776672</v>
      </c>
      <c r="EO28" s="3">
        <f t="shared" si="77"/>
        <v>0.4</v>
      </c>
      <c r="EP28" s="3">
        <f t="shared" si="78"/>
        <v>0.4</v>
      </c>
      <c r="EQ28" s="3">
        <f t="shared" si="25"/>
        <v>2.8068101822776672</v>
      </c>
      <c r="ET28" s="3">
        <f t="shared" si="79"/>
        <v>0.4</v>
      </c>
      <c r="EU28" s="168">
        <f t="shared" si="80"/>
        <v>0.4</v>
      </c>
      <c r="EV28" s="3">
        <f t="shared" si="26"/>
        <v>2.8068101822776672</v>
      </c>
    </row>
    <row r="29" spans="3:152" s="3" customFormat="1" x14ac:dyDescent="0.3">
      <c r="C29" s="236"/>
      <c r="D29" s="237"/>
      <c r="E29" s="237"/>
      <c r="F29" s="237"/>
      <c r="G29" s="238"/>
      <c r="H29" s="1"/>
      <c r="I29" s="1"/>
      <c r="J29" s="1"/>
      <c r="K29" s="1"/>
      <c r="L29" s="1"/>
      <c r="M29" s="1"/>
      <c r="N29" s="1"/>
      <c r="O29" s="1"/>
      <c r="P29" s="1"/>
      <c r="Q29" s="1"/>
      <c r="R29" s="1"/>
      <c r="S29" s="1"/>
      <c r="T29" s="3">
        <f t="shared" si="27"/>
        <v>0.42000000000000004</v>
      </c>
      <c r="U29" s="168">
        <f t="shared" si="28"/>
        <v>0.42000000000000004</v>
      </c>
      <c r="V29" s="3">
        <f t="shared" si="0"/>
        <v>2.9087113077491571</v>
      </c>
      <c r="Y29" s="3">
        <f t="shared" si="29"/>
        <v>0.42000000000000004</v>
      </c>
      <c r="Z29" s="3">
        <f t="shared" si="30"/>
        <v>0.42000000000000004</v>
      </c>
      <c r="AA29" s="3">
        <f t="shared" si="1"/>
        <v>2.9087113077491571</v>
      </c>
      <c r="AD29" s="3">
        <f t="shared" si="31"/>
        <v>0.42000000000000004</v>
      </c>
      <c r="AE29" s="168">
        <f t="shared" si="32"/>
        <v>0.42000000000000004</v>
      </c>
      <c r="AF29" s="3">
        <f t="shared" si="2"/>
        <v>2.9087113077491571</v>
      </c>
      <c r="AI29" s="3">
        <f t="shared" si="33"/>
        <v>0.42000000000000004</v>
      </c>
      <c r="AJ29" s="168">
        <f t="shared" si="34"/>
        <v>0.42000000000000004</v>
      </c>
      <c r="AK29" s="3">
        <f t="shared" si="3"/>
        <v>2.9087113077491571</v>
      </c>
      <c r="AN29" s="3">
        <f t="shared" si="35"/>
        <v>0.42000000000000004</v>
      </c>
      <c r="AO29" s="3">
        <f t="shared" si="36"/>
        <v>0.42000000000000004</v>
      </c>
      <c r="AP29" s="3">
        <f t="shared" si="4"/>
        <v>2.9087113077491571</v>
      </c>
      <c r="AS29" s="3">
        <f t="shared" si="37"/>
        <v>0.42000000000000004</v>
      </c>
      <c r="AT29" s="168">
        <f t="shared" si="38"/>
        <v>0.42000000000000004</v>
      </c>
      <c r="AU29" s="3">
        <f t="shared" si="5"/>
        <v>2.9087113077491571</v>
      </c>
      <c r="AX29" s="3">
        <f t="shared" si="39"/>
        <v>0.42000000000000004</v>
      </c>
      <c r="AY29" s="168">
        <f t="shared" si="40"/>
        <v>0.42000000000000004</v>
      </c>
      <c r="AZ29" s="3">
        <f t="shared" si="6"/>
        <v>2.9087113077491571</v>
      </c>
      <c r="BC29" s="3">
        <f t="shared" si="41"/>
        <v>0.42000000000000004</v>
      </c>
      <c r="BD29" s="3">
        <f t="shared" si="42"/>
        <v>0.42000000000000004</v>
      </c>
      <c r="BE29" s="3">
        <f t="shared" si="7"/>
        <v>2.9087113077491571</v>
      </c>
      <c r="BH29" s="3">
        <f t="shared" si="43"/>
        <v>0.42000000000000004</v>
      </c>
      <c r="BI29" s="168">
        <f t="shared" si="44"/>
        <v>0.42000000000000004</v>
      </c>
      <c r="BJ29" s="3">
        <f t="shared" si="8"/>
        <v>2.9087113077491571</v>
      </c>
      <c r="BM29" s="3">
        <f t="shared" si="45"/>
        <v>0.42000000000000004</v>
      </c>
      <c r="BN29" s="168">
        <f t="shared" si="46"/>
        <v>0.42000000000000004</v>
      </c>
      <c r="BO29" s="3">
        <f t="shared" si="9"/>
        <v>2.9087113077491571</v>
      </c>
      <c r="BR29" s="3">
        <f t="shared" si="47"/>
        <v>0.42000000000000004</v>
      </c>
      <c r="BS29" s="3">
        <f t="shared" si="48"/>
        <v>0.42000000000000004</v>
      </c>
      <c r="BT29" s="3">
        <f t="shared" si="10"/>
        <v>2.9087113077491571</v>
      </c>
      <c r="BW29" s="3">
        <f t="shared" si="49"/>
        <v>0.42000000000000004</v>
      </c>
      <c r="BX29" s="168">
        <f t="shared" si="50"/>
        <v>0.42000000000000004</v>
      </c>
      <c r="BY29" s="3">
        <f t="shared" si="11"/>
        <v>2.9087113077491571</v>
      </c>
      <c r="CB29" s="3">
        <f t="shared" si="51"/>
        <v>0.42000000000000004</v>
      </c>
      <c r="CC29" s="168">
        <f t="shared" si="52"/>
        <v>0.42000000000000004</v>
      </c>
      <c r="CD29" s="3">
        <f t="shared" si="12"/>
        <v>2.9087113077491571</v>
      </c>
      <c r="CG29" s="3">
        <f t="shared" si="53"/>
        <v>0.42000000000000004</v>
      </c>
      <c r="CH29" s="3">
        <f t="shared" si="54"/>
        <v>0.42000000000000004</v>
      </c>
      <c r="CI29" s="3">
        <f t="shared" si="13"/>
        <v>2.9087113077491571</v>
      </c>
      <c r="CL29" s="3">
        <f t="shared" si="55"/>
        <v>0.42000000000000004</v>
      </c>
      <c r="CM29" s="168">
        <f t="shared" si="56"/>
        <v>0.42000000000000004</v>
      </c>
      <c r="CN29" s="3">
        <f t="shared" si="14"/>
        <v>2.9087113077491571</v>
      </c>
      <c r="CQ29" s="3">
        <f t="shared" si="57"/>
        <v>0.42000000000000004</v>
      </c>
      <c r="CR29" s="168">
        <f t="shared" si="58"/>
        <v>0.42000000000000004</v>
      </c>
      <c r="CS29" s="3">
        <f t="shared" si="15"/>
        <v>2.9087113077491571</v>
      </c>
      <c r="CV29" s="3">
        <f t="shared" si="59"/>
        <v>0.42000000000000004</v>
      </c>
      <c r="CW29" s="3">
        <f t="shared" si="60"/>
        <v>0.42000000000000004</v>
      </c>
      <c r="CX29" s="3">
        <f t="shared" si="16"/>
        <v>2.9087113077491571</v>
      </c>
      <c r="DA29" s="3">
        <f t="shared" si="61"/>
        <v>0.42000000000000004</v>
      </c>
      <c r="DB29" s="168">
        <f t="shared" si="62"/>
        <v>0.42000000000000004</v>
      </c>
      <c r="DC29" s="3">
        <f t="shared" si="17"/>
        <v>2.9087113077491571</v>
      </c>
      <c r="DF29" s="3">
        <f t="shared" si="63"/>
        <v>0.42000000000000004</v>
      </c>
      <c r="DG29" s="168">
        <f t="shared" si="64"/>
        <v>0.42000000000000004</v>
      </c>
      <c r="DH29" s="3">
        <f t="shared" si="18"/>
        <v>2.9087113077491571</v>
      </c>
      <c r="DK29" s="3">
        <f t="shared" si="65"/>
        <v>0.42000000000000004</v>
      </c>
      <c r="DL29" s="3">
        <f t="shared" si="66"/>
        <v>0.42000000000000004</v>
      </c>
      <c r="DM29" s="3">
        <f t="shared" si="19"/>
        <v>2.9087113077491571</v>
      </c>
      <c r="DP29" s="3">
        <f t="shared" si="67"/>
        <v>0.42000000000000004</v>
      </c>
      <c r="DQ29" s="168">
        <f t="shared" si="68"/>
        <v>0.42000000000000004</v>
      </c>
      <c r="DR29" s="3">
        <f t="shared" si="20"/>
        <v>2.9087113077491571</v>
      </c>
      <c r="DU29" s="3">
        <f t="shared" si="69"/>
        <v>0.42000000000000004</v>
      </c>
      <c r="DV29" s="168">
        <f t="shared" si="70"/>
        <v>0.42000000000000004</v>
      </c>
      <c r="DW29" s="3">
        <f t="shared" si="21"/>
        <v>2.9087113077491571</v>
      </c>
      <c r="DZ29" s="3">
        <f t="shared" si="71"/>
        <v>0.42000000000000004</v>
      </c>
      <c r="EA29" s="3">
        <f t="shared" si="72"/>
        <v>0.42000000000000004</v>
      </c>
      <c r="EB29" s="3">
        <f t="shared" si="22"/>
        <v>2.9087113077491571</v>
      </c>
      <c r="EE29" s="3">
        <f t="shared" si="73"/>
        <v>0.42000000000000004</v>
      </c>
      <c r="EF29" s="168">
        <f t="shared" si="74"/>
        <v>0.42000000000000004</v>
      </c>
      <c r="EG29" s="3">
        <f t="shared" si="23"/>
        <v>2.9087113077491571</v>
      </c>
      <c r="EJ29" s="3">
        <f t="shared" si="75"/>
        <v>0.42000000000000004</v>
      </c>
      <c r="EK29" s="168">
        <f t="shared" si="76"/>
        <v>0.42000000000000004</v>
      </c>
      <c r="EL29" s="3">
        <f t="shared" si="24"/>
        <v>2.9087113077491571</v>
      </c>
      <c r="EO29" s="3">
        <f t="shared" si="77"/>
        <v>0.42000000000000004</v>
      </c>
      <c r="EP29" s="3">
        <f t="shared" si="78"/>
        <v>0.42000000000000004</v>
      </c>
      <c r="EQ29" s="3">
        <f t="shared" si="25"/>
        <v>2.9087113077491571</v>
      </c>
      <c r="ET29" s="3">
        <f t="shared" si="79"/>
        <v>0.42000000000000004</v>
      </c>
      <c r="EU29" s="168">
        <f t="shared" si="80"/>
        <v>0.42000000000000004</v>
      </c>
      <c r="EV29" s="3">
        <f t="shared" si="26"/>
        <v>2.9087113077491571</v>
      </c>
    </row>
    <row r="30" spans="3:152" s="3" customFormat="1" x14ac:dyDescent="0.3">
      <c r="C30" s="1"/>
      <c r="D30" s="1"/>
      <c r="E30" s="1"/>
      <c r="F30" s="1"/>
      <c r="G30" s="1"/>
      <c r="H30" s="1"/>
      <c r="I30" s="1"/>
      <c r="J30" s="1"/>
      <c r="K30" s="1"/>
      <c r="L30" s="1"/>
      <c r="M30" s="1"/>
      <c r="N30" s="1"/>
      <c r="O30" s="1"/>
      <c r="P30" s="1"/>
      <c r="Q30" s="1"/>
      <c r="R30" s="1"/>
      <c r="S30" s="1"/>
      <c r="T30" s="3">
        <f t="shared" si="27"/>
        <v>0.44000000000000006</v>
      </c>
      <c r="U30" s="168">
        <f t="shared" si="28"/>
        <v>0.44000000000000006</v>
      </c>
      <c r="V30" s="3">
        <f t="shared" si="0"/>
        <v>3.0079039204927986</v>
      </c>
      <c r="Y30" s="3">
        <f t="shared" si="29"/>
        <v>0.44000000000000006</v>
      </c>
      <c r="Z30" s="3">
        <f t="shared" si="30"/>
        <v>0.44000000000000006</v>
      </c>
      <c r="AA30" s="3">
        <f t="shared" si="1"/>
        <v>3.0079039204927986</v>
      </c>
      <c r="AD30" s="3">
        <f t="shared" si="31"/>
        <v>0.44000000000000006</v>
      </c>
      <c r="AE30" s="168">
        <f t="shared" si="32"/>
        <v>0.44000000000000006</v>
      </c>
      <c r="AF30" s="3">
        <f t="shared" si="2"/>
        <v>3.0079039204927986</v>
      </c>
      <c r="AI30" s="3">
        <f t="shared" si="33"/>
        <v>0.44000000000000006</v>
      </c>
      <c r="AJ30" s="168">
        <f t="shared" si="34"/>
        <v>0.44000000000000006</v>
      </c>
      <c r="AK30" s="3">
        <f t="shared" si="3"/>
        <v>3.0079039204927986</v>
      </c>
      <c r="AN30" s="3">
        <f t="shared" si="35"/>
        <v>0.44000000000000006</v>
      </c>
      <c r="AO30" s="3">
        <f t="shared" si="36"/>
        <v>0.44000000000000006</v>
      </c>
      <c r="AP30" s="3">
        <f t="shared" si="4"/>
        <v>3.0079039204927986</v>
      </c>
      <c r="AS30" s="3">
        <f t="shared" si="37"/>
        <v>0.44000000000000006</v>
      </c>
      <c r="AT30" s="168">
        <f t="shared" si="38"/>
        <v>0.44000000000000006</v>
      </c>
      <c r="AU30" s="3">
        <f t="shared" si="5"/>
        <v>3.0079039204927986</v>
      </c>
      <c r="AX30" s="3">
        <f t="shared" si="39"/>
        <v>0.44000000000000006</v>
      </c>
      <c r="AY30" s="168">
        <f t="shared" si="40"/>
        <v>0.44000000000000006</v>
      </c>
      <c r="AZ30" s="3">
        <f t="shared" si="6"/>
        <v>3.0079039204927986</v>
      </c>
      <c r="BC30" s="3">
        <f t="shared" si="41"/>
        <v>0.44000000000000006</v>
      </c>
      <c r="BD30" s="3">
        <f t="shared" si="42"/>
        <v>0.44000000000000006</v>
      </c>
      <c r="BE30" s="3">
        <f t="shared" si="7"/>
        <v>3.0079039204927986</v>
      </c>
      <c r="BH30" s="3">
        <f t="shared" si="43"/>
        <v>0.44000000000000006</v>
      </c>
      <c r="BI30" s="168">
        <f t="shared" si="44"/>
        <v>0.44000000000000006</v>
      </c>
      <c r="BJ30" s="3">
        <f t="shared" si="8"/>
        <v>3.0079039204927986</v>
      </c>
      <c r="BM30" s="3">
        <f t="shared" si="45"/>
        <v>0.44000000000000006</v>
      </c>
      <c r="BN30" s="168">
        <f t="shared" si="46"/>
        <v>0.44000000000000006</v>
      </c>
      <c r="BO30" s="3">
        <f t="shared" si="9"/>
        <v>3.0079039204927986</v>
      </c>
      <c r="BR30" s="3">
        <f t="shared" si="47"/>
        <v>0.44000000000000006</v>
      </c>
      <c r="BS30" s="3">
        <f t="shared" si="48"/>
        <v>0.44000000000000006</v>
      </c>
      <c r="BT30" s="3">
        <f t="shared" si="10"/>
        <v>3.0079039204927986</v>
      </c>
      <c r="BW30" s="3">
        <f t="shared" si="49"/>
        <v>0.44000000000000006</v>
      </c>
      <c r="BX30" s="168">
        <f t="shared" si="50"/>
        <v>0.44000000000000006</v>
      </c>
      <c r="BY30" s="3">
        <f t="shared" si="11"/>
        <v>3.0079039204927986</v>
      </c>
      <c r="CB30" s="3">
        <f t="shared" si="51"/>
        <v>0.44000000000000006</v>
      </c>
      <c r="CC30" s="168">
        <f t="shared" si="52"/>
        <v>0.44000000000000006</v>
      </c>
      <c r="CD30" s="3">
        <f t="shared" si="12"/>
        <v>3.0079039204927986</v>
      </c>
      <c r="CG30" s="3">
        <f t="shared" si="53"/>
        <v>0.44000000000000006</v>
      </c>
      <c r="CH30" s="3">
        <f t="shared" si="54"/>
        <v>0.44000000000000006</v>
      </c>
      <c r="CI30" s="3">
        <f t="shared" si="13"/>
        <v>3.0079039204927986</v>
      </c>
      <c r="CL30" s="3">
        <f t="shared" si="55"/>
        <v>0.44000000000000006</v>
      </c>
      <c r="CM30" s="168">
        <f t="shared" si="56"/>
        <v>0.44000000000000006</v>
      </c>
      <c r="CN30" s="3">
        <f t="shared" si="14"/>
        <v>3.0079039204927986</v>
      </c>
      <c r="CQ30" s="3">
        <f t="shared" si="57"/>
        <v>0.44000000000000006</v>
      </c>
      <c r="CR30" s="168">
        <f t="shared" si="58"/>
        <v>0.44000000000000006</v>
      </c>
      <c r="CS30" s="3">
        <f t="shared" si="15"/>
        <v>3.0079039204927986</v>
      </c>
      <c r="CV30" s="3">
        <f t="shared" si="59"/>
        <v>0.44000000000000006</v>
      </c>
      <c r="CW30" s="3">
        <f t="shared" si="60"/>
        <v>0.44000000000000006</v>
      </c>
      <c r="CX30" s="3">
        <f t="shared" si="16"/>
        <v>3.0079039204927986</v>
      </c>
      <c r="DA30" s="3">
        <f t="shared" si="61"/>
        <v>0.44000000000000006</v>
      </c>
      <c r="DB30" s="168">
        <f t="shared" si="62"/>
        <v>0.44000000000000006</v>
      </c>
      <c r="DC30" s="3">
        <f t="shared" si="17"/>
        <v>3.0079039204927986</v>
      </c>
      <c r="DF30" s="3">
        <f t="shared" si="63"/>
        <v>0.44000000000000006</v>
      </c>
      <c r="DG30" s="168">
        <f t="shared" si="64"/>
        <v>0.44000000000000006</v>
      </c>
      <c r="DH30" s="3">
        <f t="shared" si="18"/>
        <v>3.0079039204927986</v>
      </c>
      <c r="DK30" s="3">
        <f t="shared" si="65"/>
        <v>0.44000000000000006</v>
      </c>
      <c r="DL30" s="3">
        <f t="shared" si="66"/>
        <v>0.44000000000000006</v>
      </c>
      <c r="DM30" s="3">
        <f t="shared" si="19"/>
        <v>3.0079039204927986</v>
      </c>
      <c r="DP30" s="3">
        <f t="shared" si="67"/>
        <v>0.44000000000000006</v>
      </c>
      <c r="DQ30" s="168">
        <f t="shared" si="68"/>
        <v>0.44000000000000006</v>
      </c>
      <c r="DR30" s="3">
        <f t="shared" si="20"/>
        <v>3.0079039204927986</v>
      </c>
      <c r="DU30" s="3">
        <f t="shared" si="69"/>
        <v>0.44000000000000006</v>
      </c>
      <c r="DV30" s="168">
        <f t="shared" si="70"/>
        <v>0.44000000000000006</v>
      </c>
      <c r="DW30" s="3">
        <f t="shared" si="21"/>
        <v>3.0079039204927986</v>
      </c>
      <c r="DZ30" s="3">
        <f t="shared" si="71"/>
        <v>0.44000000000000006</v>
      </c>
      <c r="EA30" s="3">
        <f t="shared" si="72"/>
        <v>0.44000000000000006</v>
      </c>
      <c r="EB30" s="3">
        <f t="shared" si="22"/>
        <v>3.0079039204927986</v>
      </c>
      <c r="EE30" s="3">
        <f t="shared" si="73"/>
        <v>0.44000000000000006</v>
      </c>
      <c r="EF30" s="168">
        <f t="shared" si="74"/>
        <v>0.44000000000000006</v>
      </c>
      <c r="EG30" s="3">
        <f t="shared" si="23"/>
        <v>3.0079039204927986</v>
      </c>
      <c r="EJ30" s="3">
        <f t="shared" si="75"/>
        <v>0.44000000000000006</v>
      </c>
      <c r="EK30" s="168">
        <f t="shared" si="76"/>
        <v>0.44000000000000006</v>
      </c>
      <c r="EL30" s="3">
        <f t="shared" si="24"/>
        <v>3.0079039204927986</v>
      </c>
      <c r="EO30" s="3">
        <f t="shared" si="77"/>
        <v>0.44000000000000006</v>
      </c>
      <c r="EP30" s="3">
        <f t="shared" si="78"/>
        <v>0.44000000000000006</v>
      </c>
      <c r="EQ30" s="3">
        <f t="shared" si="25"/>
        <v>3.0079039204927986</v>
      </c>
      <c r="ET30" s="3">
        <f t="shared" si="79"/>
        <v>0.44000000000000006</v>
      </c>
      <c r="EU30" s="168">
        <f t="shared" si="80"/>
        <v>0.44000000000000006</v>
      </c>
      <c r="EV30" s="3">
        <f t="shared" si="26"/>
        <v>3.0079039204927986</v>
      </c>
    </row>
    <row r="31" spans="3:152" s="3" customFormat="1" x14ac:dyDescent="0.3">
      <c r="C31" s="1"/>
      <c r="D31" s="1"/>
      <c r="E31" s="1"/>
      <c r="F31" s="1"/>
      <c r="G31" s="1"/>
      <c r="H31" s="1"/>
      <c r="I31" s="1"/>
      <c r="J31" s="1"/>
      <c r="K31" s="1"/>
      <c r="L31" s="1"/>
      <c r="M31" s="1"/>
      <c r="N31" s="1"/>
      <c r="O31" s="1"/>
      <c r="P31" s="1"/>
      <c r="Q31" s="1"/>
      <c r="R31" s="1"/>
      <c r="S31" s="1"/>
      <c r="T31" s="3">
        <f t="shared" si="27"/>
        <v>0.46000000000000008</v>
      </c>
      <c r="U31" s="168">
        <f t="shared" si="28"/>
        <v>0.46000000000000008</v>
      </c>
      <c r="V31" s="3">
        <f t="shared" si="0"/>
        <v>3.1043880205085936</v>
      </c>
      <c r="Y31" s="3">
        <f t="shared" si="29"/>
        <v>0.46000000000000008</v>
      </c>
      <c r="Z31" s="3">
        <f t="shared" si="30"/>
        <v>0.46000000000000008</v>
      </c>
      <c r="AA31" s="3">
        <f t="shared" si="1"/>
        <v>3.1043880205085936</v>
      </c>
      <c r="AD31" s="3">
        <f t="shared" si="31"/>
        <v>0.46000000000000008</v>
      </c>
      <c r="AE31" s="168">
        <f t="shared" si="32"/>
        <v>0.46000000000000008</v>
      </c>
      <c r="AF31" s="3">
        <f t="shared" si="2"/>
        <v>3.1043880205085936</v>
      </c>
      <c r="AI31" s="3">
        <f t="shared" si="33"/>
        <v>0.46000000000000008</v>
      </c>
      <c r="AJ31" s="168">
        <f t="shared" si="34"/>
        <v>0.46000000000000008</v>
      </c>
      <c r="AK31" s="3">
        <f t="shared" si="3"/>
        <v>3.1043880205085936</v>
      </c>
      <c r="AN31" s="3">
        <f t="shared" si="35"/>
        <v>0.46000000000000008</v>
      </c>
      <c r="AO31" s="3">
        <f t="shared" si="36"/>
        <v>0.46000000000000008</v>
      </c>
      <c r="AP31" s="3">
        <f t="shared" si="4"/>
        <v>3.1043880205085936</v>
      </c>
      <c r="AS31" s="3">
        <f t="shared" si="37"/>
        <v>0.46000000000000008</v>
      </c>
      <c r="AT31" s="168">
        <f t="shared" si="38"/>
        <v>0.46000000000000008</v>
      </c>
      <c r="AU31" s="3">
        <f t="shared" si="5"/>
        <v>3.1043880205085936</v>
      </c>
      <c r="AX31" s="3">
        <f t="shared" si="39"/>
        <v>0.46000000000000008</v>
      </c>
      <c r="AY31" s="168">
        <f t="shared" si="40"/>
        <v>0.46000000000000008</v>
      </c>
      <c r="AZ31" s="3">
        <f t="shared" si="6"/>
        <v>3.1043880205085936</v>
      </c>
      <c r="BC31" s="3">
        <f t="shared" si="41"/>
        <v>0.46000000000000008</v>
      </c>
      <c r="BD31" s="3">
        <f t="shared" si="42"/>
        <v>0.46000000000000008</v>
      </c>
      <c r="BE31" s="3">
        <f t="shared" si="7"/>
        <v>3.1043880205085936</v>
      </c>
      <c r="BH31" s="3">
        <f t="shared" si="43"/>
        <v>0.46000000000000008</v>
      </c>
      <c r="BI31" s="168">
        <f t="shared" si="44"/>
        <v>0.46000000000000008</v>
      </c>
      <c r="BJ31" s="3">
        <f t="shared" si="8"/>
        <v>3.1043880205085936</v>
      </c>
      <c r="BM31" s="3">
        <f t="shared" si="45"/>
        <v>0.46000000000000008</v>
      </c>
      <c r="BN31" s="168">
        <f t="shared" si="46"/>
        <v>0.46000000000000008</v>
      </c>
      <c r="BO31" s="3">
        <f t="shared" si="9"/>
        <v>3.1043880205085936</v>
      </c>
      <c r="BR31" s="3">
        <f t="shared" si="47"/>
        <v>0.46000000000000008</v>
      </c>
      <c r="BS31" s="3">
        <f t="shared" si="48"/>
        <v>0.46000000000000008</v>
      </c>
      <c r="BT31" s="3">
        <f t="shared" si="10"/>
        <v>3.1043880205085936</v>
      </c>
      <c r="BW31" s="3">
        <f t="shared" si="49"/>
        <v>0.46000000000000008</v>
      </c>
      <c r="BX31" s="168">
        <f t="shared" si="50"/>
        <v>0.46000000000000008</v>
      </c>
      <c r="BY31" s="3">
        <f t="shared" si="11"/>
        <v>3.1043880205085936</v>
      </c>
      <c r="CB31" s="3">
        <f t="shared" si="51"/>
        <v>0.46000000000000008</v>
      </c>
      <c r="CC31" s="168">
        <f t="shared" si="52"/>
        <v>0.46000000000000008</v>
      </c>
      <c r="CD31" s="3">
        <f t="shared" si="12"/>
        <v>3.1043880205085936</v>
      </c>
      <c r="CG31" s="3">
        <f t="shared" si="53"/>
        <v>0.46000000000000008</v>
      </c>
      <c r="CH31" s="3">
        <f t="shared" si="54"/>
        <v>0.46000000000000008</v>
      </c>
      <c r="CI31" s="3">
        <f t="shared" si="13"/>
        <v>3.1043880205085936</v>
      </c>
      <c r="CL31" s="3">
        <f t="shared" si="55"/>
        <v>0.46000000000000008</v>
      </c>
      <c r="CM31" s="168">
        <f t="shared" si="56"/>
        <v>0.46000000000000008</v>
      </c>
      <c r="CN31" s="3">
        <f t="shared" si="14"/>
        <v>3.1043880205085936</v>
      </c>
      <c r="CQ31" s="3">
        <f t="shared" si="57"/>
        <v>0.46000000000000008</v>
      </c>
      <c r="CR31" s="168">
        <f t="shared" si="58"/>
        <v>0.46000000000000008</v>
      </c>
      <c r="CS31" s="3">
        <f t="shared" si="15"/>
        <v>3.1043880205085936</v>
      </c>
      <c r="CV31" s="3">
        <f t="shared" si="59"/>
        <v>0.46000000000000008</v>
      </c>
      <c r="CW31" s="3">
        <f t="shared" si="60"/>
        <v>0.46000000000000008</v>
      </c>
      <c r="CX31" s="3">
        <f t="shared" si="16"/>
        <v>3.1043880205085936</v>
      </c>
      <c r="DA31" s="3">
        <f t="shared" si="61"/>
        <v>0.46000000000000008</v>
      </c>
      <c r="DB31" s="168">
        <f t="shared" si="62"/>
        <v>0.46000000000000008</v>
      </c>
      <c r="DC31" s="3">
        <f t="shared" si="17"/>
        <v>3.1043880205085936</v>
      </c>
      <c r="DF31" s="3">
        <f t="shared" si="63"/>
        <v>0.46000000000000008</v>
      </c>
      <c r="DG31" s="168">
        <f t="shared" si="64"/>
        <v>0.46000000000000008</v>
      </c>
      <c r="DH31" s="3">
        <f t="shared" si="18"/>
        <v>3.1043880205085936</v>
      </c>
      <c r="DK31" s="3">
        <f t="shared" si="65"/>
        <v>0.46000000000000008</v>
      </c>
      <c r="DL31" s="3">
        <f t="shared" si="66"/>
        <v>0.46000000000000008</v>
      </c>
      <c r="DM31" s="3">
        <f t="shared" si="19"/>
        <v>3.1043880205085936</v>
      </c>
      <c r="DP31" s="3">
        <f t="shared" si="67"/>
        <v>0.46000000000000008</v>
      </c>
      <c r="DQ31" s="168">
        <f t="shared" si="68"/>
        <v>0.46000000000000008</v>
      </c>
      <c r="DR31" s="3">
        <f t="shared" si="20"/>
        <v>3.1043880205085936</v>
      </c>
      <c r="DU31" s="3">
        <f t="shared" si="69"/>
        <v>0.46000000000000008</v>
      </c>
      <c r="DV31" s="168">
        <f t="shared" si="70"/>
        <v>0.46000000000000008</v>
      </c>
      <c r="DW31" s="3">
        <f t="shared" si="21"/>
        <v>3.1043880205085936</v>
      </c>
      <c r="DZ31" s="3">
        <f t="shared" si="71"/>
        <v>0.46000000000000008</v>
      </c>
      <c r="EA31" s="3">
        <f t="shared" si="72"/>
        <v>0.46000000000000008</v>
      </c>
      <c r="EB31" s="3">
        <f t="shared" si="22"/>
        <v>3.1043880205085936</v>
      </c>
      <c r="EE31" s="3">
        <f t="shared" si="73"/>
        <v>0.46000000000000008</v>
      </c>
      <c r="EF31" s="168">
        <f t="shared" si="74"/>
        <v>0.46000000000000008</v>
      </c>
      <c r="EG31" s="3">
        <f t="shared" si="23"/>
        <v>3.1043880205085936</v>
      </c>
      <c r="EJ31" s="3">
        <f t="shared" si="75"/>
        <v>0.46000000000000008</v>
      </c>
      <c r="EK31" s="168">
        <f t="shared" si="76"/>
        <v>0.46000000000000008</v>
      </c>
      <c r="EL31" s="3">
        <f t="shared" si="24"/>
        <v>3.1043880205085936</v>
      </c>
      <c r="EO31" s="3">
        <f t="shared" si="77"/>
        <v>0.46000000000000008</v>
      </c>
      <c r="EP31" s="3">
        <f t="shared" si="78"/>
        <v>0.46000000000000008</v>
      </c>
      <c r="EQ31" s="3">
        <f t="shared" si="25"/>
        <v>3.1043880205085936</v>
      </c>
      <c r="ET31" s="3">
        <f t="shared" si="79"/>
        <v>0.46000000000000008</v>
      </c>
      <c r="EU31" s="168">
        <f t="shared" si="80"/>
        <v>0.46000000000000008</v>
      </c>
      <c r="EV31" s="3">
        <f t="shared" si="26"/>
        <v>3.1043880205085936</v>
      </c>
    </row>
    <row r="32" spans="3:152" s="3" customFormat="1" x14ac:dyDescent="0.3">
      <c r="C32" s="1"/>
      <c r="D32" s="1"/>
      <c r="E32" s="1"/>
      <c r="F32" s="1"/>
      <c r="G32" s="1"/>
      <c r="H32" s="1"/>
      <c r="I32" s="1"/>
      <c r="J32" s="1"/>
      <c r="K32" s="1"/>
      <c r="L32" s="1"/>
      <c r="M32" s="1"/>
      <c r="N32" s="1"/>
      <c r="O32" s="1"/>
      <c r="P32" s="1"/>
      <c r="Q32" s="1"/>
      <c r="R32" s="1"/>
      <c r="S32" s="1"/>
      <c r="T32" s="3">
        <f t="shared" si="27"/>
        <v>0.48000000000000009</v>
      </c>
      <c r="U32" s="168">
        <f t="shared" si="28"/>
        <v>0.48000000000000009</v>
      </c>
      <c r="V32" s="3">
        <f t="shared" si="0"/>
        <v>3.1981636077965412</v>
      </c>
      <c r="Y32" s="3">
        <f t="shared" si="29"/>
        <v>0.48000000000000009</v>
      </c>
      <c r="Z32" s="3">
        <f t="shared" si="30"/>
        <v>0.48000000000000009</v>
      </c>
      <c r="AA32" s="3">
        <f t="shared" si="1"/>
        <v>3.1981636077965412</v>
      </c>
      <c r="AD32" s="3">
        <f t="shared" si="31"/>
        <v>0.48000000000000009</v>
      </c>
      <c r="AE32" s="168">
        <f t="shared" si="32"/>
        <v>0.48000000000000009</v>
      </c>
      <c r="AF32" s="3">
        <f t="shared" si="2"/>
        <v>3.1981636077965412</v>
      </c>
      <c r="AI32" s="3">
        <f t="shared" si="33"/>
        <v>0.48000000000000009</v>
      </c>
      <c r="AJ32" s="168">
        <f t="shared" si="34"/>
        <v>0.48000000000000009</v>
      </c>
      <c r="AK32" s="3">
        <f t="shared" si="3"/>
        <v>3.1981636077965412</v>
      </c>
      <c r="AN32" s="3">
        <f t="shared" si="35"/>
        <v>0.48000000000000009</v>
      </c>
      <c r="AO32" s="3">
        <f t="shared" si="36"/>
        <v>0.48000000000000009</v>
      </c>
      <c r="AP32" s="3">
        <f t="shared" si="4"/>
        <v>3.1981636077965412</v>
      </c>
      <c r="AS32" s="3">
        <f t="shared" si="37"/>
        <v>0.48000000000000009</v>
      </c>
      <c r="AT32" s="168">
        <f t="shared" si="38"/>
        <v>0.48000000000000009</v>
      </c>
      <c r="AU32" s="3">
        <f t="shared" si="5"/>
        <v>3.1981636077965412</v>
      </c>
      <c r="AX32" s="3">
        <f t="shared" si="39"/>
        <v>0.48000000000000009</v>
      </c>
      <c r="AY32" s="168">
        <f t="shared" si="40"/>
        <v>0.48000000000000009</v>
      </c>
      <c r="AZ32" s="3">
        <f t="shared" si="6"/>
        <v>3.1981636077965412</v>
      </c>
      <c r="BC32" s="3">
        <f t="shared" si="41"/>
        <v>0.48000000000000009</v>
      </c>
      <c r="BD32" s="3">
        <f t="shared" si="42"/>
        <v>0.48000000000000009</v>
      </c>
      <c r="BE32" s="3">
        <f t="shared" si="7"/>
        <v>3.1981636077965412</v>
      </c>
      <c r="BH32" s="3">
        <f t="shared" si="43"/>
        <v>0.48000000000000009</v>
      </c>
      <c r="BI32" s="168">
        <f t="shared" si="44"/>
        <v>0.48000000000000009</v>
      </c>
      <c r="BJ32" s="3">
        <f t="shared" si="8"/>
        <v>3.1981636077965412</v>
      </c>
      <c r="BM32" s="3">
        <f t="shared" si="45"/>
        <v>0.48000000000000009</v>
      </c>
      <c r="BN32" s="168">
        <f t="shared" si="46"/>
        <v>0.48000000000000009</v>
      </c>
      <c r="BO32" s="3">
        <f t="shared" si="9"/>
        <v>3.1981636077965412</v>
      </c>
      <c r="BR32" s="3">
        <f t="shared" si="47"/>
        <v>0.48000000000000009</v>
      </c>
      <c r="BS32" s="3">
        <f t="shared" si="48"/>
        <v>0.48000000000000009</v>
      </c>
      <c r="BT32" s="3">
        <f t="shared" si="10"/>
        <v>3.1981636077965412</v>
      </c>
      <c r="BW32" s="3">
        <f t="shared" si="49"/>
        <v>0.48000000000000009</v>
      </c>
      <c r="BX32" s="168">
        <f t="shared" si="50"/>
        <v>0.48000000000000009</v>
      </c>
      <c r="BY32" s="3">
        <f t="shared" si="11"/>
        <v>3.1981636077965412</v>
      </c>
      <c r="CB32" s="3">
        <f t="shared" si="51"/>
        <v>0.48000000000000009</v>
      </c>
      <c r="CC32" s="168">
        <f t="shared" si="52"/>
        <v>0.48000000000000009</v>
      </c>
      <c r="CD32" s="3">
        <f t="shared" si="12"/>
        <v>3.1981636077965412</v>
      </c>
      <c r="CG32" s="3">
        <f t="shared" si="53"/>
        <v>0.48000000000000009</v>
      </c>
      <c r="CH32" s="3">
        <f t="shared" si="54"/>
        <v>0.48000000000000009</v>
      </c>
      <c r="CI32" s="3">
        <f t="shared" si="13"/>
        <v>3.1981636077965412</v>
      </c>
      <c r="CL32" s="3">
        <f t="shared" si="55"/>
        <v>0.48000000000000009</v>
      </c>
      <c r="CM32" s="168">
        <f t="shared" si="56"/>
        <v>0.48000000000000009</v>
      </c>
      <c r="CN32" s="3">
        <f t="shared" si="14"/>
        <v>3.1981636077965412</v>
      </c>
      <c r="CQ32" s="3">
        <f t="shared" si="57"/>
        <v>0.48000000000000009</v>
      </c>
      <c r="CR32" s="168">
        <f t="shared" si="58"/>
        <v>0.48000000000000009</v>
      </c>
      <c r="CS32" s="3">
        <f t="shared" si="15"/>
        <v>3.1981636077965412</v>
      </c>
      <c r="CV32" s="3">
        <f t="shared" si="59"/>
        <v>0.48000000000000009</v>
      </c>
      <c r="CW32" s="3">
        <f t="shared" si="60"/>
        <v>0.48000000000000009</v>
      </c>
      <c r="CX32" s="3">
        <f t="shared" si="16"/>
        <v>3.1981636077965412</v>
      </c>
      <c r="DA32" s="3">
        <f t="shared" si="61"/>
        <v>0.48000000000000009</v>
      </c>
      <c r="DB32" s="168">
        <f t="shared" si="62"/>
        <v>0.48000000000000009</v>
      </c>
      <c r="DC32" s="3">
        <f t="shared" si="17"/>
        <v>3.1981636077965412</v>
      </c>
      <c r="DF32" s="3">
        <f t="shared" si="63"/>
        <v>0.48000000000000009</v>
      </c>
      <c r="DG32" s="168">
        <f t="shared" si="64"/>
        <v>0.48000000000000009</v>
      </c>
      <c r="DH32" s="3">
        <f t="shared" si="18"/>
        <v>3.1981636077965412</v>
      </c>
      <c r="DK32" s="3">
        <f t="shared" si="65"/>
        <v>0.48000000000000009</v>
      </c>
      <c r="DL32" s="3">
        <f t="shared" si="66"/>
        <v>0.48000000000000009</v>
      </c>
      <c r="DM32" s="3">
        <f t="shared" si="19"/>
        <v>3.1981636077965412</v>
      </c>
      <c r="DP32" s="3">
        <f t="shared" si="67"/>
        <v>0.48000000000000009</v>
      </c>
      <c r="DQ32" s="168">
        <f t="shared" si="68"/>
        <v>0.48000000000000009</v>
      </c>
      <c r="DR32" s="3">
        <f t="shared" si="20"/>
        <v>3.1981636077965412</v>
      </c>
      <c r="DU32" s="3">
        <f t="shared" si="69"/>
        <v>0.48000000000000009</v>
      </c>
      <c r="DV32" s="168">
        <f t="shared" si="70"/>
        <v>0.48000000000000009</v>
      </c>
      <c r="DW32" s="3">
        <f t="shared" si="21"/>
        <v>3.1981636077965412</v>
      </c>
      <c r="DZ32" s="3">
        <f t="shared" si="71"/>
        <v>0.48000000000000009</v>
      </c>
      <c r="EA32" s="3">
        <f t="shared" si="72"/>
        <v>0.48000000000000009</v>
      </c>
      <c r="EB32" s="3">
        <f t="shared" si="22"/>
        <v>3.1981636077965412</v>
      </c>
      <c r="EE32" s="3">
        <f t="shared" si="73"/>
        <v>0.48000000000000009</v>
      </c>
      <c r="EF32" s="168">
        <f t="shared" si="74"/>
        <v>0.48000000000000009</v>
      </c>
      <c r="EG32" s="3">
        <f t="shared" si="23"/>
        <v>3.1981636077965412</v>
      </c>
      <c r="EJ32" s="3">
        <f t="shared" si="75"/>
        <v>0.48000000000000009</v>
      </c>
      <c r="EK32" s="168">
        <f t="shared" si="76"/>
        <v>0.48000000000000009</v>
      </c>
      <c r="EL32" s="3">
        <f t="shared" si="24"/>
        <v>3.1981636077965412</v>
      </c>
      <c r="EO32" s="3">
        <f t="shared" si="77"/>
        <v>0.48000000000000009</v>
      </c>
      <c r="EP32" s="3">
        <f t="shared" si="78"/>
        <v>0.48000000000000009</v>
      </c>
      <c r="EQ32" s="3">
        <f t="shared" si="25"/>
        <v>3.1981636077965412</v>
      </c>
      <c r="ET32" s="3">
        <f t="shared" si="79"/>
        <v>0.48000000000000009</v>
      </c>
      <c r="EU32" s="168">
        <f t="shared" si="80"/>
        <v>0.48000000000000009</v>
      </c>
      <c r="EV32" s="3">
        <f t="shared" si="26"/>
        <v>3.1981636077965412</v>
      </c>
    </row>
    <row r="33" spans="20:152" s="3" customFormat="1" x14ac:dyDescent="0.3">
      <c r="T33" s="3">
        <f t="shared" si="27"/>
        <v>0.50000000000000011</v>
      </c>
      <c r="U33" s="168">
        <f t="shared" si="28"/>
        <v>0.50000000000000011</v>
      </c>
      <c r="V33" s="3">
        <f t="shared" si="0"/>
        <v>3.2892306823566422</v>
      </c>
      <c r="Y33" s="3">
        <f t="shared" si="29"/>
        <v>0.50000000000000011</v>
      </c>
      <c r="Z33" s="3">
        <f t="shared" si="30"/>
        <v>0.50000000000000011</v>
      </c>
      <c r="AA33" s="3">
        <f t="shared" si="1"/>
        <v>3.2892306823566422</v>
      </c>
      <c r="AD33" s="3">
        <f t="shared" si="31"/>
        <v>0.50000000000000011</v>
      </c>
      <c r="AE33" s="168">
        <f t="shared" si="32"/>
        <v>0.50000000000000011</v>
      </c>
      <c r="AF33" s="3">
        <f t="shared" si="2"/>
        <v>3.2892306823566422</v>
      </c>
      <c r="AI33" s="3">
        <f t="shared" si="33"/>
        <v>0.50000000000000011</v>
      </c>
      <c r="AJ33" s="168">
        <f t="shared" si="34"/>
        <v>0.50000000000000011</v>
      </c>
      <c r="AK33" s="3">
        <f t="shared" si="3"/>
        <v>3.2892306823566422</v>
      </c>
      <c r="AN33" s="3">
        <f t="shared" si="35"/>
        <v>0.50000000000000011</v>
      </c>
      <c r="AO33" s="3">
        <f t="shared" si="36"/>
        <v>0.50000000000000011</v>
      </c>
      <c r="AP33" s="3">
        <f t="shared" si="4"/>
        <v>3.2892306823566422</v>
      </c>
      <c r="AS33" s="3">
        <f t="shared" si="37"/>
        <v>0.50000000000000011</v>
      </c>
      <c r="AT33" s="168">
        <f t="shared" si="38"/>
        <v>0.50000000000000011</v>
      </c>
      <c r="AU33" s="3">
        <f t="shared" si="5"/>
        <v>3.2892306823566422</v>
      </c>
      <c r="AX33" s="3">
        <f t="shared" si="39"/>
        <v>0.50000000000000011</v>
      </c>
      <c r="AY33" s="168">
        <f t="shared" si="40"/>
        <v>0.50000000000000011</v>
      </c>
      <c r="AZ33" s="3">
        <f t="shared" si="6"/>
        <v>3.2892306823566422</v>
      </c>
      <c r="BC33" s="3">
        <f t="shared" si="41"/>
        <v>0.50000000000000011</v>
      </c>
      <c r="BD33" s="3">
        <f t="shared" si="42"/>
        <v>0.50000000000000011</v>
      </c>
      <c r="BE33" s="3">
        <f t="shared" si="7"/>
        <v>3.2892306823566422</v>
      </c>
      <c r="BH33" s="3">
        <f t="shared" si="43"/>
        <v>0.50000000000000011</v>
      </c>
      <c r="BI33" s="168">
        <f t="shared" si="44"/>
        <v>0.50000000000000011</v>
      </c>
      <c r="BJ33" s="3">
        <f t="shared" si="8"/>
        <v>3.2892306823566422</v>
      </c>
      <c r="BM33" s="3">
        <f t="shared" si="45"/>
        <v>0.50000000000000011</v>
      </c>
      <c r="BN33" s="168">
        <f t="shared" si="46"/>
        <v>0.50000000000000011</v>
      </c>
      <c r="BO33" s="3">
        <f t="shared" si="9"/>
        <v>3.2892306823566422</v>
      </c>
      <c r="BR33" s="3">
        <f t="shared" si="47"/>
        <v>0.50000000000000011</v>
      </c>
      <c r="BS33" s="3">
        <f t="shared" si="48"/>
        <v>0.50000000000000011</v>
      </c>
      <c r="BT33" s="3">
        <f t="shared" si="10"/>
        <v>3.2892306823566422</v>
      </c>
      <c r="BW33" s="3">
        <f t="shared" si="49"/>
        <v>0.50000000000000011</v>
      </c>
      <c r="BX33" s="168">
        <f t="shared" si="50"/>
        <v>0.50000000000000011</v>
      </c>
      <c r="BY33" s="3">
        <f t="shared" si="11"/>
        <v>3.2892306823566422</v>
      </c>
      <c r="CB33" s="3">
        <f t="shared" si="51"/>
        <v>0.50000000000000011</v>
      </c>
      <c r="CC33" s="168">
        <f t="shared" si="52"/>
        <v>0.50000000000000011</v>
      </c>
      <c r="CD33" s="3">
        <f t="shared" si="12"/>
        <v>3.2892306823566422</v>
      </c>
      <c r="CG33" s="3">
        <f t="shared" si="53"/>
        <v>0.50000000000000011</v>
      </c>
      <c r="CH33" s="3">
        <f t="shared" si="54"/>
        <v>0.50000000000000011</v>
      </c>
      <c r="CI33" s="3">
        <f t="shared" si="13"/>
        <v>3.2892306823566422</v>
      </c>
      <c r="CL33" s="3">
        <f t="shared" si="55"/>
        <v>0.50000000000000011</v>
      </c>
      <c r="CM33" s="168">
        <f t="shared" si="56"/>
        <v>0.50000000000000011</v>
      </c>
      <c r="CN33" s="3">
        <f t="shared" si="14"/>
        <v>3.2892306823566422</v>
      </c>
      <c r="CQ33" s="3">
        <f t="shared" si="57"/>
        <v>0.50000000000000011</v>
      </c>
      <c r="CR33" s="168">
        <f t="shared" si="58"/>
        <v>0.50000000000000011</v>
      </c>
      <c r="CS33" s="3">
        <f t="shared" si="15"/>
        <v>3.2892306823566422</v>
      </c>
      <c r="CV33" s="3">
        <f t="shared" si="59"/>
        <v>0.50000000000000011</v>
      </c>
      <c r="CW33" s="3">
        <f t="shared" si="60"/>
        <v>0.50000000000000011</v>
      </c>
      <c r="CX33" s="3">
        <f t="shared" si="16"/>
        <v>3.2892306823566422</v>
      </c>
      <c r="DA33" s="3">
        <f t="shared" si="61"/>
        <v>0.50000000000000011</v>
      </c>
      <c r="DB33" s="168">
        <f t="shared" si="62"/>
        <v>0.50000000000000011</v>
      </c>
      <c r="DC33" s="3">
        <f t="shared" si="17"/>
        <v>3.2892306823566422</v>
      </c>
      <c r="DF33" s="3">
        <f t="shared" si="63"/>
        <v>0.50000000000000011</v>
      </c>
      <c r="DG33" s="168">
        <f t="shared" si="64"/>
        <v>0.50000000000000011</v>
      </c>
      <c r="DH33" s="3">
        <f t="shared" si="18"/>
        <v>3.2892306823566422</v>
      </c>
      <c r="DK33" s="3">
        <f t="shared" si="65"/>
        <v>0.50000000000000011</v>
      </c>
      <c r="DL33" s="3">
        <f t="shared" si="66"/>
        <v>0.50000000000000011</v>
      </c>
      <c r="DM33" s="3">
        <f t="shared" si="19"/>
        <v>3.2892306823566422</v>
      </c>
      <c r="DP33" s="3">
        <f t="shared" si="67"/>
        <v>0.50000000000000011</v>
      </c>
      <c r="DQ33" s="168">
        <f t="shared" si="68"/>
        <v>0.50000000000000011</v>
      </c>
      <c r="DR33" s="3">
        <f t="shared" si="20"/>
        <v>3.2892306823566422</v>
      </c>
      <c r="DU33" s="3">
        <f t="shared" si="69"/>
        <v>0.50000000000000011</v>
      </c>
      <c r="DV33" s="168">
        <f t="shared" si="70"/>
        <v>0.50000000000000011</v>
      </c>
      <c r="DW33" s="3">
        <f t="shared" si="21"/>
        <v>3.2892306823566422</v>
      </c>
      <c r="DZ33" s="3">
        <f t="shared" si="71"/>
        <v>0.50000000000000011</v>
      </c>
      <c r="EA33" s="3">
        <f t="shared" si="72"/>
        <v>0.50000000000000011</v>
      </c>
      <c r="EB33" s="3">
        <f t="shared" si="22"/>
        <v>3.2892306823566422</v>
      </c>
      <c r="EE33" s="3">
        <f t="shared" si="73"/>
        <v>0.50000000000000011</v>
      </c>
      <c r="EF33" s="168">
        <f t="shared" si="74"/>
        <v>0.50000000000000011</v>
      </c>
      <c r="EG33" s="3">
        <f t="shared" si="23"/>
        <v>3.2892306823566422</v>
      </c>
      <c r="EJ33" s="3">
        <f t="shared" si="75"/>
        <v>0.50000000000000011</v>
      </c>
      <c r="EK33" s="168">
        <f t="shared" si="76"/>
        <v>0.50000000000000011</v>
      </c>
      <c r="EL33" s="3">
        <f t="shared" si="24"/>
        <v>3.2892306823566422</v>
      </c>
      <c r="EO33" s="3">
        <f t="shared" si="77"/>
        <v>0.50000000000000011</v>
      </c>
      <c r="EP33" s="3">
        <f t="shared" si="78"/>
        <v>0.50000000000000011</v>
      </c>
      <c r="EQ33" s="3">
        <f t="shared" si="25"/>
        <v>3.2892306823566422</v>
      </c>
      <c r="ET33" s="3">
        <f t="shared" si="79"/>
        <v>0.50000000000000011</v>
      </c>
      <c r="EU33" s="168">
        <f t="shared" si="80"/>
        <v>0.50000000000000011</v>
      </c>
      <c r="EV33" s="3">
        <f t="shared" si="26"/>
        <v>3.2892306823566422</v>
      </c>
    </row>
    <row r="34" spans="20:152" s="3" customFormat="1" x14ac:dyDescent="0.3">
      <c r="T34" s="3">
        <f t="shared" si="27"/>
        <v>0.52000000000000013</v>
      </c>
      <c r="U34" s="168">
        <f t="shared" si="28"/>
        <v>0.52000000000000013</v>
      </c>
      <c r="V34" s="3">
        <f t="shared" si="0"/>
        <v>3.3775892441888962</v>
      </c>
      <c r="Y34" s="3">
        <f t="shared" si="29"/>
        <v>0.52000000000000013</v>
      </c>
      <c r="Z34" s="3">
        <f t="shared" si="30"/>
        <v>0.52000000000000013</v>
      </c>
      <c r="AA34" s="3">
        <f t="shared" si="1"/>
        <v>3.3775892441888962</v>
      </c>
      <c r="AD34" s="3">
        <f t="shared" si="31"/>
        <v>0.52000000000000013</v>
      </c>
      <c r="AE34" s="168">
        <f t="shared" si="32"/>
        <v>0.52000000000000013</v>
      </c>
      <c r="AF34" s="3">
        <f t="shared" si="2"/>
        <v>3.3775892441888962</v>
      </c>
      <c r="AI34" s="3">
        <f t="shared" si="33"/>
        <v>0.52000000000000013</v>
      </c>
      <c r="AJ34" s="168">
        <f t="shared" si="34"/>
        <v>0.52000000000000013</v>
      </c>
      <c r="AK34" s="3">
        <f t="shared" si="3"/>
        <v>3.3775892441888962</v>
      </c>
      <c r="AN34" s="3">
        <f t="shared" si="35"/>
        <v>0.52000000000000013</v>
      </c>
      <c r="AO34" s="3">
        <f t="shared" si="36"/>
        <v>0.52000000000000013</v>
      </c>
      <c r="AP34" s="3">
        <f t="shared" si="4"/>
        <v>3.3775892441888962</v>
      </c>
      <c r="AS34" s="3">
        <f t="shared" si="37"/>
        <v>0.52000000000000013</v>
      </c>
      <c r="AT34" s="168">
        <f t="shared" si="38"/>
        <v>0.52000000000000013</v>
      </c>
      <c r="AU34" s="3">
        <f t="shared" si="5"/>
        <v>3.3775892441888962</v>
      </c>
      <c r="AX34" s="3">
        <f t="shared" si="39"/>
        <v>0.52000000000000013</v>
      </c>
      <c r="AY34" s="168">
        <f t="shared" si="40"/>
        <v>0.52000000000000013</v>
      </c>
      <c r="AZ34" s="3">
        <f t="shared" si="6"/>
        <v>3.3775892441888962</v>
      </c>
      <c r="BC34" s="3">
        <f t="shared" si="41"/>
        <v>0.52000000000000013</v>
      </c>
      <c r="BD34" s="3">
        <f t="shared" si="42"/>
        <v>0.52000000000000013</v>
      </c>
      <c r="BE34" s="3">
        <f t="shared" si="7"/>
        <v>3.3775892441888962</v>
      </c>
      <c r="BH34" s="3">
        <f t="shared" si="43"/>
        <v>0.52000000000000013</v>
      </c>
      <c r="BI34" s="168">
        <f t="shared" si="44"/>
        <v>0.52000000000000013</v>
      </c>
      <c r="BJ34" s="3">
        <f t="shared" si="8"/>
        <v>3.3775892441888962</v>
      </c>
      <c r="BM34" s="3">
        <f t="shared" si="45"/>
        <v>0.52000000000000013</v>
      </c>
      <c r="BN34" s="168">
        <f t="shared" si="46"/>
        <v>0.52000000000000013</v>
      </c>
      <c r="BO34" s="3">
        <f t="shared" si="9"/>
        <v>3.3775892441888962</v>
      </c>
      <c r="BR34" s="3">
        <f t="shared" si="47"/>
        <v>0.52000000000000013</v>
      </c>
      <c r="BS34" s="3">
        <f t="shared" si="48"/>
        <v>0.52000000000000013</v>
      </c>
      <c r="BT34" s="3">
        <f t="shared" si="10"/>
        <v>3.3775892441888962</v>
      </c>
      <c r="BW34" s="3">
        <f t="shared" si="49"/>
        <v>0.52000000000000013</v>
      </c>
      <c r="BX34" s="168">
        <f t="shared" si="50"/>
        <v>0.52000000000000013</v>
      </c>
      <c r="BY34" s="3">
        <f t="shared" si="11"/>
        <v>3.3775892441888962</v>
      </c>
      <c r="CB34" s="3">
        <f t="shared" si="51"/>
        <v>0.52000000000000013</v>
      </c>
      <c r="CC34" s="168">
        <f t="shared" si="52"/>
        <v>0.52000000000000013</v>
      </c>
      <c r="CD34" s="3">
        <f t="shared" si="12"/>
        <v>3.3775892441888962</v>
      </c>
      <c r="CG34" s="3">
        <f t="shared" si="53"/>
        <v>0.52000000000000013</v>
      </c>
      <c r="CH34" s="3">
        <f t="shared" si="54"/>
        <v>0.52000000000000013</v>
      </c>
      <c r="CI34" s="3">
        <f t="shared" si="13"/>
        <v>3.3775892441888962</v>
      </c>
      <c r="CL34" s="3">
        <f t="shared" si="55"/>
        <v>0.52000000000000013</v>
      </c>
      <c r="CM34" s="168">
        <f t="shared" si="56"/>
        <v>0.52000000000000013</v>
      </c>
      <c r="CN34" s="3">
        <f t="shared" si="14"/>
        <v>3.3775892441888962</v>
      </c>
      <c r="CQ34" s="3">
        <f t="shared" si="57"/>
        <v>0.52000000000000013</v>
      </c>
      <c r="CR34" s="168">
        <f t="shared" si="58"/>
        <v>0.52000000000000013</v>
      </c>
      <c r="CS34" s="3">
        <f t="shared" si="15"/>
        <v>3.3775892441888962</v>
      </c>
      <c r="CV34" s="3">
        <f t="shared" si="59"/>
        <v>0.52000000000000013</v>
      </c>
      <c r="CW34" s="3">
        <f t="shared" si="60"/>
        <v>0.52000000000000013</v>
      </c>
      <c r="CX34" s="3">
        <f t="shared" si="16"/>
        <v>3.3775892441888962</v>
      </c>
      <c r="DA34" s="3">
        <f t="shared" si="61"/>
        <v>0.52000000000000013</v>
      </c>
      <c r="DB34" s="168">
        <f t="shared" si="62"/>
        <v>0.52000000000000013</v>
      </c>
      <c r="DC34" s="3">
        <f t="shared" si="17"/>
        <v>3.3775892441888962</v>
      </c>
      <c r="DF34" s="3">
        <f t="shared" si="63"/>
        <v>0.52000000000000013</v>
      </c>
      <c r="DG34" s="168">
        <f t="shared" si="64"/>
        <v>0.52000000000000013</v>
      </c>
      <c r="DH34" s="3">
        <f t="shared" si="18"/>
        <v>3.3775892441888962</v>
      </c>
      <c r="DK34" s="3">
        <f t="shared" si="65"/>
        <v>0.52000000000000013</v>
      </c>
      <c r="DL34" s="3">
        <f t="shared" si="66"/>
        <v>0.52000000000000013</v>
      </c>
      <c r="DM34" s="3">
        <f t="shared" si="19"/>
        <v>3.3775892441888962</v>
      </c>
      <c r="DP34" s="3">
        <f t="shared" si="67"/>
        <v>0.52000000000000013</v>
      </c>
      <c r="DQ34" s="168">
        <f t="shared" si="68"/>
        <v>0.52000000000000013</v>
      </c>
      <c r="DR34" s="3">
        <f t="shared" si="20"/>
        <v>3.3775892441888962</v>
      </c>
      <c r="DU34" s="3">
        <f t="shared" si="69"/>
        <v>0.52000000000000013</v>
      </c>
      <c r="DV34" s="168">
        <f t="shared" si="70"/>
        <v>0.52000000000000013</v>
      </c>
      <c r="DW34" s="3">
        <f t="shared" si="21"/>
        <v>3.3775892441888962</v>
      </c>
      <c r="DZ34" s="3">
        <f t="shared" si="71"/>
        <v>0.52000000000000013</v>
      </c>
      <c r="EA34" s="3">
        <f t="shared" si="72"/>
        <v>0.52000000000000013</v>
      </c>
      <c r="EB34" s="3">
        <f t="shared" si="22"/>
        <v>3.3775892441888962</v>
      </c>
      <c r="EE34" s="3">
        <f t="shared" si="73"/>
        <v>0.52000000000000013</v>
      </c>
      <c r="EF34" s="168">
        <f t="shared" si="74"/>
        <v>0.52000000000000013</v>
      </c>
      <c r="EG34" s="3">
        <f t="shared" si="23"/>
        <v>3.3775892441888962</v>
      </c>
      <c r="EJ34" s="3">
        <f t="shared" si="75"/>
        <v>0.52000000000000013</v>
      </c>
      <c r="EK34" s="168">
        <f t="shared" si="76"/>
        <v>0.52000000000000013</v>
      </c>
      <c r="EL34" s="3">
        <f t="shared" si="24"/>
        <v>3.3775892441888962</v>
      </c>
      <c r="EO34" s="3">
        <f t="shared" si="77"/>
        <v>0.52000000000000013</v>
      </c>
      <c r="EP34" s="3">
        <f t="shared" si="78"/>
        <v>0.52000000000000013</v>
      </c>
      <c r="EQ34" s="3">
        <f t="shared" si="25"/>
        <v>3.3775892441888962</v>
      </c>
      <c r="ET34" s="3">
        <f t="shared" si="79"/>
        <v>0.52000000000000013</v>
      </c>
      <c r="EU34" s="168">
        <f t="shared" si="80"/>
        <v>0.52000000000000013</v>
      </c>
      <c r="EV34" s="3">
        <f t="shared" si="26"/>
        <v>3.3775892441888962</v>
      </c>
    </row>
    <row r="35" spans="20:152" s="3" customFormat="1" x14ac:dyDescent="0.3">
      <c r="T35" s="3">
        <f t="shared" si="27"/>
        <v>0.54000000000000015</v>
      </c>
      <c r="U35" s="168">
        <f t="shared" si="28"/>
        <v>0.54000000000000015</v>
      </c>
      <c r="V35" s="3">
        <f t="shared" si="0"/>
        <v>3.4632392932933023</v>
      </c>
      <c r="Y35" s="3">
        <f t="shared" si="29"/>
        <v>0.54000000000000015</v>
      </c>
      <c r="Z35" s="3">
        <f t="shared" si="30"/>
        <v>0.54000000000000015</v>
      </c>
      <c r="AA35" s="3">
        <f t="shared" si="1"/>
        <v>3.4632392932933023</v>
      </c>
      <c r="AD35" s="3">
        <f t="shared" si="31"/>
        <v>0.54000000000000015</v>
      </c>
      <c r="AE35" s="168">
        <f t="shared" si="32"/>
        <v>0.54000000000000015</v>
      </c>
      <c r="AF35" s="3">
        <f t="shared" si="2"/>
        <v>3.4632392932933023</v>
      </c>
      <c r="AI35" s="3">
        <f t="shared" si="33"/>
        <v>0.54000000000000015</v>
      </c>
      <c r="AJ35" s="168">
        <f t="shared" si="34"/>
        <v>0.54000000000000015</v>
      </c>
      <c r="AK35" s="3">
        <f t="shared" si="3"/>
        <v>3.4632392932933023</v>
      </c>
      <c r="AN35" s="3">
        <f t="shared" si="35"/>
        <v>0.54000000000000015</v>
      </c>
      <c r="AO35" s="3">
        <f t="shared" si="36"/>
        <v>0.54000000000000015</v>
      </c>
      <c r="AP35" s="3">
        <f t="shared" si="4"/>
        <v>3.4632392932933023</v>
      </c>
      <c r="AS35" s="3">
        <f t="shared" si="37"/>
        <v>0.54000000000000015</v>
      </c>
      <c r="AT35" s="168">
        <f t="shared" si="38"/>
        <v>0.54000000000000015</v>
      </c>
      <c r="AU35" s="3">
        <f t="shared" si="5"/>
        <v>3.4632392932933023</v>
      </c>
      <c r="AX35" s="3">
        <f t="shared" si="39"/>
        <v>0.54000000000000015</v>
      </c>
      <c r="AY35" s="168">
        <f t="shared" si="40"/>
        <v>0.54000000000000015</v>
      </c>
      <c r="AZ35" s="3">
        <f t="shared" si="6"/>
        <v>3.4632392932933023</v>
      </c>
      <c r="BC35" s="3">
        <f t="shared" si="41"/>
        <v>0.54000000000000015</v>
      </c>
      <c r="BD35" s="3">
        <f t="shared" si="42"/>
        <v>0.54000000000000015</v>
      </c>
      <c r="BE35" s="3">
        <f t="shared" si="7"/>
        <v>3.4632392932933023</v>
      </c>
      <c r="BH35" s="3">
        <f t="shared" si="43"/>
        <v>0.54000000000000015</v>
      </c>
      <c r="BI35" s="168">
        <f t="shared" si="44"/>
        <v>0.54000000000000015</v>
      </c>
      <c r="BJ35" s="3">
        <f t="shared" si="8"/>
        <v>3.4632392932933023</v>
      </c>
      <c r="BM35" s="3">
        <f t="shared" si="45"/>
        <v>0.54000000000000015</v>
      </c>
      <c r="BN35" s="168">
        <f t="shared" si="46"/>
        <v>0.54000000000000015</v>
      </c>
      <c r="BO35" s="3">
        <f t="shared" si="9"/>
        <v>3.4632392932933023</v>
      </c>
      <c r="BR35" s="3">
        <f t="shared" si="47"/>
        <v>0.54000000000000015</v>
      </c>
      <c r="BS35" s="3">
        <f t="shared" si="48"/>
        <v>0.54000000000000015</v>
      </c>
      <c r="BT35" s="3">
        <f t="shared" si="10"/>
        <v>3.4632392932933023</v>
      </c>
      <c r="BW35" s="3">
        <f t="shared" si="49"/>
        <v>0.54000000000000015</v>
      </c>
      <c r="BX35" s="168">
        <f t="shared" si="50"/>
        <v>0.54000000000000015</v>
      </c>
      <c r="BY35" s="3">
        <f t="shared" si="11"/>
        <v>3.4632392932933023</v>
      </c>
      <c r="CB35" s="3">
        <f t="shared" si="51"/>
        <v>0.54000000000000015</v>
      </c>
      <c r="CC35" s="168">
        <f t="shared" si="52"/>
        <v>0.54000000000000015</v>
      </c>
      <c r="CD35" s="3">
        <f t="shared" si="12"/>
        <v>3.4632392932933023</v>
      </c>
      <c r="CG35" s="3">
        <f t="shared" si="53"/>
        <v>0.54000000000000015</v>
      </c>
      <c r="CH35" s="3">
        <f t="shared" si="54"/>
        <v>0.54000000000000015</v>
      </c>
      <c r="CI35" s="3">
        <f t="shared" si="13"/>
        <v>3.4632392932933023</v>
      </c>
      <c r="CL35" s="3">
        <f t="shared" si="55"/>
        <v>0.54000000000000015</v>
      </c>
      <c r="CM35" s="168">
        <f t="shared" si="56"/>
        <v>0.54000000000000015</v>
      </c>
      <c r="CN35" s="3">
        <f t="shared" si="14"/>
        <v>3.4632392932933023</v>
      </c>
      <c r="CQ35" s="3">
        <f t="shared" si="57"/>
        <v>0.54000000000000015</v>
      </c>
      <c r="CR35" s="168">
        <f t="shared" si="58"/>
        <v>0.54000000000000015</v>
      </c>
      <c r="CS35" s="3">
        <f t="shared" si="15"/>
        <v>3.4632392932933023</v>
      </c>
      <c r="CV35" s="3">
        <f t="shared" si="59"/>
        <v>0.54000000000000015</v>
      </c>
      <c r="CW35" s="3">
        <f t="shared" si="60"/>
        <v>0.54000000000000015</v>
      </c>
      <c r="CX35" s="3">
        <f t="shared" si="16"/>
        <v>3.4632392932933023</v>
      </c>
      <c r="DA35" s="3">
        <f t="shared" si="61"/>
        <v>0.54000000000000015</v>
      </c>
      <c r="DB35" s="168">
        <f t="shared" si="62"/>
        <v>0.54000000000000015</v>
      </c>
      <c r="DC35" s="3">
        <f t="shared" si="17"/>
        <v>3.4632392932933023</v>
      </c>
      <c r="DF35" s="3">
        <f t="shared" si="63"/>
        <v>0.54000000000000015</v>
      </c>
      <c r="DG35" s="168">
        <f t="shared" si="64"/>
        <v>0.54000000000000015</v>
      </c>
      <c r="DH35" s="3">
        <f t="shared" si="18"/>
        <v>3.4632392932933023</v>
      </c>
      <c r="DK35" s="3">
        <f t="shared" si="65"/>
        <v>0.54000000000000015</v>
      </c>
      <c r="DL35" s="3">
        <f t="shared" si="66"/>
        <v>0.54000000000000015</v>
      </c>
      <c r="DM35" s="3">
        <f t="shared" si="19"/>
        <v>3.4632392932933023</v>
      </c>
      <c r="DP35" s="3">
        <f t="shared" si="67"/>
        <v>0.54000000000000015</v>
      </c>
      <c r="DQ35" s="168">
        <f t="shared" si="68"/>
        <v>0.54000000000000015</v>
      </c>
      <c r="DR35" s="3">
        <f t="shared" si="20"/>
        <v>3.4632392932933023</v>
      </c>
      <c r="DU35" s="3">
        <f t="shared" si="69"/>
        <v>0.54000000000000015</v>
      </c>
      <c r="DV35" s="168">
        <f t="shared" si="70"/>
        <v>0.54000000000000015</v>
      </c>
      <c r="DW35" s="3">
        <f t="shared" si="21"/>
        <v>3.4632392932933023</v>
      </c>
      <c r="DZ35" s="3">
        <f t="shared" si="71"/>
        <v>0.54000000000000015</v>
      </c>
      <c r="EA35" s="3">
        <f t="shared" si="72"/>
        <v>0.54000000000000015</v>
      </c>
      <c r="EB35" s="3">
        <f t="shared" si="22"/>
        <v>3.4632392932933023</v>
      </c>
      <c r="EE35" s="3">
        <f t="shared" si="73"/>
        <v>0.54000000000000015</v>
      </c>
      <c r="EF35" s="168">
        <f t="shared" si="74"/>
        <v>0.54000000000000015</v>
      </c>
      <c r="EG35" s="3">
        <f t="shared" si="23"/>
        <v>3.4632392932933023</v>
      </c>
      <c r="EJ35" s="3">
        <f t="shared" si="75"/>
        <v>0.54000000000000015</v>
      </c>
      <c r="EK35" s="168">
        <f t="shared" si="76"/>
        <v>0.54000000000000015</v>
      </c>
      <c r="EL35" s="3">
        <f t="shared" si="24"/>
        <v>3.4632392932933023</v>
      </c>
      <c r="EO35" s="3">
        <f t="shared" si="77"/>
        <v>0.54000000000000015</v>
      </c>
      <c r="EP35" s="3">
        <f t="shared" si="78"/>
        <v>0.54000000000000015</v>
      </c>
      <c r="EQ35" s="3">
        <f t="shared" si="25"/>
        <v>3.4632392932933023</v>
      </c>
      <c r="ET35" s="3">
        <f t="shared" si="79"/>
        <v>0.54000000000000015</v>
      </c>
      <c r="EU35" s="168">
        <f t="shared" si="80"/>
        <v>0.54000000000000015</v>
      </c>
      <c r="EV35" s="3">
        <f t="shared" si="26"/>
        <v>3.4632392932933023</v>
      </c>
    </row>
    <row r="36" spans="20:152" s="3" customFormat="1" x14ac:dyDescent="0.3">
      <c r="T36" s="3">
        <f t="shared" si="27"/>
        <v>0.56000000000000016</v>
      </c>
      <c r="U36" s="168">
        <f t="shared" si="28"/>
        <v>0.56000000000000016</v>
      </c>
      <c r="V36" s="3">
        <f t="shared" si="0"/>
        <v>3.5461808296698623</v>
      </c>
      <c r="Y36" s="3">
        <f t="shared" si="29"/>
        <v>0.56000000000000016</v>
      </c>
      <c r="Z36" s="3">
        <f t="shared" si="30"/>
        <v>0.56000000000000016</v>
      </c>
      <c r="AA36" s="3">
        <f t="shared" si="1"/>
        <v>3.5461808296698623</v>
      </c>
      <c r="AD36" s="3">
        <f t="shared" si="31"/>
        <v>0.56000000000000016</v>
      </c>
      <c r="AE36" s="168">
        <f t="shared" si="32"/>
        <v>0.56000000000000016</v>
      </c>
      <c r="AF36" s="3">
        <f t="shared" si="2"/>
        <v>3.5461808296698623</v>
      </c>
      <c r="AI36" s="3">
        <f t="shared" si="33"/>
        <v>0.56000000000000016</v>
      </c>
      <c r="AJ36" s="168">
        <f t="shared" si="34"/>
        <v>0.56000000000000016</v>
      </c>
      <c r="AK36" s="3">
        <f t="shared" si="3"/>
        <v>3.5461808296698623</v>
      </c>
      <c r="AN36" s="3">
        <f t="shared" si="35"/>
        <v>0.56000000000000016</v>
      </c>
      <c r="AO36" s="3">
        <f t="shared" si="36"/>
        <v>0.56000000000000016</v>
      </c>
      <c r="AP36" s="3">
        <f t="shared" si="4"/>
        <v>3.5461808296698623</v>
      </c>
      <c r="AS36" s="3">
        <f t="shared" si="37"/>
        <v>0.56000000000000016</v>
      </c>
      <c r="AT36" s="168">
        <f t="shared" si="38"/>
        <v>0.56000000000000016</v>
      </c>
      <c r="AU36" s="3">
        <f t="shared" si="5"/>
        <v>3.5461808296698623</v>
      </c>
      <c r="AX36" s="3">
        <f t="shared" si="39"/>
        <v>0.56000000000000016</v>
      </c>
      <c r="AY36" s="168">
        <f t="shared" si="40"/>
        <v>0.56000000000000016</v>
      </c>
      <c r="AZ36" s="3">
        <f t="shared" si="6"/>
        <v>3.5461808296698623</v>
      </c>
      <c r="BC36" s="3">
        <f t="shared" si="41"/>
        <v>0.56000000000000016</v>
      </c>
      <c r="BD36" s="3">
        <f t="shared" si="42"/>
        <v>0.56000000000000016</v>
      </c>
      <c r="BE36" s="3">
        <f t="shared" si="7"/>
        <v>3.5461808296698623</v>
      </c>
      <c r="BH36" s="3">
        <f t="shared" si="43"/>
        <v>0.56000000000000016</v>
      </c>
      <c r="BI36" s="168">
        <f t="shared" si="44"/>
        <v>0.56000000000000016</v>
      </c>
      <c r="BJ36" s="3">
        <f t="shared" si="8"/>
        <v>3.5461808296698623</v>
      </c>
      <c r="BM36" s="3">
        <f t="shared" si="45"/>
        <v>0.56000000000000016</v>
      </c>
      <c r="BN36" s="168">
        <f t="shared" si="46"/>
        <v>0.56000000000000016</v>
      </c>
      <c r="BO36" s="3">
        <f t="shared" si="9"/>
        <v>3.5461808296698623</v>
      </c>
      <c r="BR36" s="3">
        <f t="shared" si="47"/>
        <v>0.56000000000000016</v>
      </c>
      <c r="BS36" s="3">
        <f t="shared" si="48"/>
        <v>0.56000000000000016</v>
      </c>
      <c r="BT36" s="3">
        <f t="shared" si="10"/>
        <v>3.5461808296698623</v>
      </c>
      <c r="BW36" s="3">
        <f t="shared" si="49"/>
        <v>0.56000000000000016</v>
      </c>
      <c r="BX36" s="168">
        <f t="shared" si="50"/>
        <v>0.56000000000000016</v>
      </c>
      <c r="BY36" s="3">
        <f t="shared" si="11"/>
        <v>3.5461808296698623</v>
      </c>
      <c r="CB36" s="3">
        <f t="shared" si="51"/>
        <v>0.56000000000000016</v>
      </c>
      <c r="CC36" s="168">
        <f t="shared" si="52"/>
        <v>0.56000000000000016</v>
      </c>
      <c r="CD36" s="3">
        <f t="shared" si="12"/>
        <v>3.5461808296698623</v>
      </c>
      <c r="CG36" s="3">
        <f t="shared" si="53"/>
        <v>0.56000000000000016</v>
      </c>
      <c r="CH36" s="3">
        <f t="shared" si="54"/>
        <v>0.56000000000000016</v>
      </c>
      <c r="CI36" s="3">
        <f t="shared" si="13"/>
        <v>3.5461808296698623</v>
      </c>
      <c r="CL36" s="3">
        <f t="shared" si="55"/>
        <v>0.56000000000000016</v>
      </c>
      <c r="CM36" s="168">
        <f t="shared" si="56"/>
        <v>0.56000000000000016</v>
      </c>
      <c r="CN36" s="3">
        <f t="shared" si="14"/>
        <v>3.5461808296698623</v>
      </c>
      <c r="CQ36" s="3">
        <f t="shared" si="57"/>
        <v>0.56000000000000016</v>
      </c>
      <c r="CR36" s="168">
        <f t="shared" si="58"/>
        <v>0.56000000000000016</v>
      </c>
      <c r="CS36" s="3">
        <f t="shared" si="15"/>
        <v>3.5461808296698623</v>
      </c>
      <c r="CV36" s="3">
        <f t="shared" si="59"/>
        <v>0.56000000000000016</v>
      </c>
      <c r="CW36" s="3">
        <f t="shared" si="60"/>
        <v>0.56000000000000016</v>
      </c>
      <c r="CX36" s="3">
        <f t="shared" si="16"/>
        <v>3.5461808296698623</v>
      </c>
      <c r="DA36" s="3">
        <f t="shared" si="61"/>
        <v>0.56000000000000016</v>
      </c>
      <c r="DB36" s="168">
        <f t="shared" si="62"/>
        <v>0.56000000000000016</v>
      </c>
      <c r="DC36" s="3">
        <f t="shared" si="17"/>
        <v>3.5461808296698623</v>
      </c>
      <c r="DF36" s="3">
        <f t="shared" si="63"/>
        <v>0.56000000000000016</v>
      </c>
      <c r="DG36" s="168">
        <f t="shared" si="64"/>
        <v>0.56000000000000016</v>
      </c>
      <c r="DH36" s="3">
        <f t="shared" si="18"/>
        <v>3.5461808296698623</v>
      </c>
      <c r="DK36" s="3">
        <f t="shared" si="65"/>
        <v>0.56000000000000016</v>
      </c>
      <c r="DL36" s="3">
        <f t="shared" si="66"/>
        <v>0.56000000000000016</v>
      </c>
      <c r="DM36" s="3">
        <f t="shared" si="19"/>
        <v>3.5461808296698623</v>
      </c>
      <c r="DP36" s="3">
        <f t="shared" si="67"/>
        <v>0.56000000000000016</v>
      </c>
      <c r="DQ36" s="168">
        <f t="shared" si="68"/>
        <v>0.56000000000000016</v>
      </c>
      <c r="DR36" s="3">
        <f t="shared" si="20"/>
        <v>3.5461808296698623</v>
      </c>
      <c r="DU36" s="3">
        <f t="shared" si="69"/>
        <v>0.56000000000000016</v>
      </c>
      <c r="DV36" s="168">
        <f t="shared" si="70"/>
        <v>0.56000000000000016</v>
      </c>
      <c r="DW36" s="3">
        <f t="shared" si="21"/>
        <v>3.5461808296698623</v>
      </c>
      <c r="DZ36" s="3">
        <f t="shared" si="71"/>
        <v>0.56000000000000016</v>
      </c>
      <c r="EA36" s="3">
        <f t="shared" si="72"/>
        <v>0.56000000000000016</v>
      </c>
      <c r="EB36" s="3">
        <f t="shared" si="22"/>
        <v>3.5461808296698623</v>
      </c>
      <c r="EE36" s="3">
        <f t="shared" si="73"/>
        <v>0.56000000000000016</v>
      </c>
      <c r="EF36" s="168">
        <f t="shared" si="74"/>
        <v>0.56000000000000016</v>
      </c>
      <c r="EG36" s="3">
        <f t="shared" si="23"/>
        <v>3.5461808296698623</v>
      </c>
      <c r="EJ36" s="3">
        <f t="shared" si="75"/>
        <v>0.56000000000000016</v>
      </c>
      <c r="EK36" s="168">
        <f t="shared" si="76"/>
        <v>0.56000000000000016</v>
      </c>
      <c r="EL36" s="3">
        <f t="shared" si="24"/>
        <v>3.5461808296698623</v>
      </c>
      <c r="EO36" s="3">
        <f t="shared" si="77"/>
        <v>0.56000000000000016</v>
      </c>
      <c r="EP36" s="3">
        <f t="shared" si="78"/>
        <v>0.56000000000000016</v>
      </c>
      <c r="EQ36" s="3">
        <f t="shared" si="25"/>
        <v>3.5461808296698623</v>
      </c>
      <c r="ET36" s="3">
        <f t="shared" si="79"/>
        <v>0.56000000000000016</v>
      </c>
      <c r="EU36" s="168">
        <f t="shared" si="80"/>
        <v>0.56000000000000016</v>
      </c>
      <c r="EV36" s="3">
        <f t="shared" si="26"/>
        <v>3.5461808296698623</v>
      </c>
    </row>
    <row r="37" spans="20:152" s="3" customFormat="1" x14ac:dyDescent="0.3">
      <c r="T37" s="3">
        <f t="shared" si="27"/>
        <v>0.58000000000000018</v>
      </c>
      <c r="U37" s="168">
        <f t="shared" si="28"/>
        <v>0.58000000000000018</v>
      </c>
      <c r="V37" s="3">
        <f t="shared" si="0"/>
        <v>3.6264138533185739</v>
      </c>
      <c r="Y37" s="3">
        <f t="shared" si="29"/>
        <v>0.58000000000000018</v>
      </c>
      <c r="Z37" s="3">
        <f t="shared" si="30"/>
        <v>0.58000000000000018</v>
      </c>
      <c r="AA37" s="3">
        <f t="shared" si="1"/>
        <v>3.6264138533185739</v>
      </c>
      <c r="AD37" s="3">
        <f t="shared" si="31"/>
        <v>0.58000000000000018</v>
      </c>
      <c r="AE37" s="168">
        <f t="shared" si="32"/>
        <v>0.58000000000000018</v>
      </c>
      <c r="AF37" s="3">
        <f t="shared" si="2"/>
        <v>3.6264138533185739</v>
      </c>
      <c r="AI37" s="3">
        <f t="shared" si="33"/>
        <v>0.58000000000000018</v>
      </c>
      <c r="AJ37" s="168">
        <f t="shared" si="34"/>
        <v>0.58000000000000018</v>
      </c>
      <c r="AK37" s="3">
        <f t="shared" si="3"/>
        <v>3.6264138533185739</v>
      </c>
      <c r="AN37" s="3">
        <f t="shared" si="35"/>
        <v>0.58000000000000018</v>
      </c>
      <c r="AO37" s="3">
        <f t="shared" si="36"/>
        <v>0.58000000000000018</v>
      </c>
      <c r="AP37" s="3">
        <f t="shared" si="4"/>
        <v>3.6264138533185739</v>
      </c>
      <c r="AS37" s="3">
        <f t="shared" si="37"/>
        <v>0.58000000000000018</v>
      </c>
      <c r="AT37" s="168">
        <f t="shared" si="38"/>
        <v>0.58000000000000018</v>
      </c>
      <c r="AU37" s="3">
        <f t="shared" si="5"/>
        <v>3.6264138533185739</v>
      </c>
      <c r="AX37" s="3">
        <f t="shared" si="39"/>
        <v>0.58000000000000018</v>
      </c>
      <c r="AY37" s="168">
        <f t="shared" si="40"/>
        <v>0.58000000000000018</v>
      </c>
      <c r="AZ37" s="3">
        <f t="shared" si="6"/>
        <v>3.6264138533185739</v>
      </c>
      <c r="BC37" s="3">
        <f t="shared" si="41"/>
        <v>0.58000000000000018</v>
      </c>
      <c r="BD37" s="3">
        <f t="shared" si="42"/>
        <v>0.58000000000000018</v>
      </c>
      <c r="BE37" s="3">
        <f t="shared" si="7"/>
        <v>3.6264138533185739</v>
      </c>
      <c r="BH37" s="3">
        <f t="shared" si="43"/>
        <v>0.58000000000000018</v>
      </c>
      <c r="BI37" s="168">
        <f t="shared" si="44"/>
        <v>0.58000000000000018</v>
      </c>
      <c r="BJ37" s="3">
        <f t="shared" si="8"/>
        <v>3.6264138533185739</v>
      </c>
      <c r="BM37" s="3">
        <f t="shared" si="45"/>
        <v>0.58000000000000018</v>
      </c>
      <c r="BN37" s="168">
        <f t="shared" si="46"/>
        <v>0.58000000000000018</v>
      </c>
      <c r="BO37" s="3">
        <f t="shared" si="9"/>
        <v>3.6264138533185739</v>
      </c>
      <c r="BR37" s="3">
        <f t="shared" si="47"/>
        <v>0.58000000000000018</v>
      </c>
      <c r="BS37" s="3">
        <f t="shared" si="48"/>
        <v>0.58000000000000018</v>
      </c>
      <c r="BT37" s="3">
        <f t="shared" si="10"/>
        <v>3.6264138533185739</v>
      </c>
      <c r="BW37" s="3">
        <f t="shared" si="49"/>
        <v>0.58000000000000018</v>
      </c>
      <c r="BX37" s="168">
        <f t="shared" si="50"/>
        <v>0.58000000000000018</v>
      </c>
      <c r="BY37" s="3">
        <f t="shared" si="11"/>
        <v>3.6264138533185739</v>
      </c>
      <c r="CB37" s="3">
        <f t="shared" si="51"/>
        <v>0.58000000000000018</v>
      </c>
      <c r="CC37" s="168">
        <f t="shared" si="52"/>
        <v>0.58000000000000018</v>
      </c>
      <c r="CD37" s="3">
        <f t="shared" si="12"/>
        <v>3.6264138533185739</v>
      </c>
      <c r="CG37" s="3">
        <f t="shared" si="53"/>
        <v>0.58000000000000018</v>
      </c>
      <c r="CH37" s="3">
        <f t="shared" si="54"/>
        <v>0.58000000000000018</v>
      </c>
      <c r="CI37" s="3">
        <f t="shared" si="13"/>
        <v>3.6264138533185739</v>
      </c>
      <c r="CL37" s="3">
        <f t="shared" si="55"/>
        <v>0.58000000000000018</v>
      </c>
      <c r="CM37" s="168">
        <f t="shared" si="56"/>
        <v>0.58000000000000018</v>
      </c>
      <c r="CN37" s="3">
        <f t="shared" si="14"/>
        <v>3.6264138533185739</v>
      </c>
      <c r="CQ37" s="3">
        <f t="shared" si="57"/>
        <v>0.58000000000000018</v>
      </c>
      <c r="CR37" s="168">
        <f t="shared" si="58"/>
        <v>0.58000000000000018</v>
      </c>
      <c r="CS37" s="3">
        <f t="shared" si="15"/>
        <v>3.6264138533185739</v>
      </c>
      <c r="CV37" s="3">
        <f t="shared" si="59"/>
        <v>0.58000000000000018</v>
      </c>
      <c r="CW37" s="3">
        <f t="shared" si="60"/>
        <v>0.58000000000000018</v>
      </c>
      <c r="CX37" s="3">
        <f t="shared" si="16"/>
        <v>3.6264138533185739</v>
      </c>
      <c r="DA37" s="3">
        <f t="shared" si="61"/>
        <v>0.58000000000000018</v>
      </c>
      <c r="DB37" s="168">
        <f t="shared" si="62"/>
        <v>0.58000000000000018</v>
      </c>
      <c r="DC37" s="3">
        <f t="shared" si="17"/>
        <v>3.6264138533185739</v>
      </c>
      <c r="DF37" s="3">
        <f t="shared" si="63"/>
        <v>0.58000000000000018</v>
      </c>
      <c r="DG37" s="168">
        <f t="shared" si="64"/>
        <v>0.58000000000000018</v>
      </c>
      <c r="DH37" s="3">
        <f t="shared" si="18"/>
        <v>3.6264138533185739</v>
      </c>
      <c r="DK37" s="3">
        <f t="shared" si="65"/>
        <v>0.58000000000000018</v>
      </c>
      <c r="DL37" s="3">
        <f t="shared" si="66"/>
        <v>0.58000000000000018</v>
      </c>
      <c r="DM37" s="3">
        <f t="shared" si="19"/>
        <v>3.6264138533185739</v>
      </c>
      <c r="DP37" s="3">
        <f t="shared" si="67"/>
        <v>0.58000000000000018</v>
      </c>
      <c r="DQ37" s="168">
        <f t="shared" si="68"/>
        <v>0.58000000000000018</v>
      </c>
      <c r="DR37" s="3">
        <f t="shared" si="20"/>
        <v>3.6264138533185739</v>
      </c>
      <c r="DU37" s="3">
        <f t="shared" si="69"/>
        <v>0.58000000000000018</v>
      </c>
      <c r="DV37" s="168">
        <f t="shared" si="70"/>
        <v>0.58000000000000018</v>
      </c>
      <c r="DW37" s="3">
        <f t="shared" si="21"/>
        <v>3.6264138533185739</v>
      </c>
      <c r="DZ37" s="3">
        <f t="shared" si="71"/>
        <v>0.58000000000000018</v>
      </c>
      <c r="EA37" s="3">
        <f t="shared" si="72"/>
        <v>0.58000000000000018</v>
      </c>
      <c r="EB37" s="3">
        <f t="shared" si="22"/>
        <v>3.6264138533185739</v>
      </c>
      <c r="EE37" s="3">
        <f t="shared" si="73"/>
        <v>0.58000000000000018</v>
      </c>
      <c r="EF37" s="168">
        <f t="shared" si="74"/>
        <v>0.58000000000000018</v>
      </c>
      <c r="EG37" s="3">
        <f t="shared" si="23"/>
        <v>3.6264138533185739</v>
      </c>
      <c r="EJ37" s="3">
        <f t="shared" si="75"/>
        <v>0.58000000000000018</v>
      </c>
      <c r="EK37" s="168">
        <f t="shared" si="76"/>
        <v>0.58000000000000018</v>
      </c>
      <c r="EL37" s="3">
        <f t="shared" si="24"/>
        <v>3.6264138533185739</v>
      </c>
      <c r="EO37" s="3">
        <f t="shared" si="77"/>
        <v>0.58000000000000018</v>
      </c>
      <c r="EP37" s="3">
        <f t="shared" si="78"/>
        <v>0.58000000000000018</v>
      </c>
      <c r="EQ37" s="3">
        <f t="shared" si="25"/>
        <v>3.6264138533185739</v>
      </c>
      <c r="ET37" s="3">
        <f t="shared" si="79"/>
        <v>0.58000000000000018</v>
      </c>
      <c r="EU37" s="168">
        <f t="shared" si="80"/>
        <v>0.58000000000000018</v>
      </c>
      <c r="EV37" s="3">
        <f t="shared" si="26"/>
        <v>3.6264138533185739</v>
      </c>
    </row>
    <row r="38" spans="20:152" s="3" customFormat="1" x14ac:dyDescent="0.3">
      <c r="T38" s="3">
        <f t="shared" si="27"/>
        <v>0.6000000000000002</v>
      </c>
      <c r="U38" s="168">
        <f t="shared" si="28"/>
        <v>0.6000000000000002</v>
      </c>
      <c r="V38" s="3">
        <f t="shared" si="0"/>
        <v>3.7039383642394395</v>
      </c>
      <c r="Y38" s="3">
        <f t="shared" si="29"/>
        <v>0.6000000000000002</v>
      </c>
      <c r="Z38" s="3">
        <f t="shared" si="30"/>
        <v>0.6000000000000002</v>
      </c>
      <c r="AA38" s="3">
        <f t="shared" si="1"/>
        <v>3.7039383642394395</v>
      </c>
      <c r="AD38" s="3">
        <f t="shared" si="31"/>
        <v>0.6000000000000002</v>
      </c>
      <c r="AE38" s="168">
        <f t="shared" si="32"/>
        <v>0.6000000000000002</v>
      </c>
      <c r="AF38" s="3">
        <f t="shared" si="2"/>
        <v>3.7039383642394395</v>
      </c>
      <c r="AI38" s="3">
        <f t="shared" si="33"/>
        <v>0.6000000000000002</v>
      </c>
      <c r="AJ38" s="168">
        <f t="shared" si="34"/>
        <v>0.6000000000000002</v>
      </c>
      <c r="AK38" s="3">
        <f t="shared" si="3"/>
        <v>3.7039383642394395</v>
      </c>
      <c r="AN38" s="3">
        <f t="shared" si="35"/>
        <v>0.6000000000000002</v>
      </c>
      <c r="AO38" s="3">
        <f t="shared" si="36"/>
        <v>0.6000000000000002</v>
      </c>
      <c r="AP38" s="3">
        <f t="shared" si="4"/>
        <v>3.7039383642394395</v>
      </c>
      <c r="AS38" s="3">
        <f t="shared" si="37"/>
        <v>0.6000000000000002</v>
      </c>
      <c r="AT38" s="168">
        <f t="shared" si="38"/>
        <v>0.6000000000000002</v>
      </c>
      <c r="AU38" s="3">
        <f t="shared" si="5"/>
        <v>3.7039383642394395</v>
      </c>
      <c r="AX38" s="3">
        <f t="shared" si="39"/>
        <v>0.6000000000000002</v>
      </c>
      <c r="AY38" s="168">
        <f t="shared" si="40"/>
        <v>0.6000000000000002</v>
      </c>
      <c r="AZ38" s="3">
        <f t="shared" si="6"/>
        <v>3.7039383642394395</v>
      </c>
      <c r="BC38" s="3">
        <f t="shared" si="41"/>
        <v>0.6000000000000002</v>
      </c>
      <c r="BD38" s="3">
        <f t="shared" si="42"/>
        <v>0.6000000000000002</v>
      </c>
      <c r="BE38" s="3">
        <f t="shared" si="7"/>
        <v>3.7039383642394395</v>
      </c>
      <c r="BH38" s="3">
        <f t="shared" si="43"/>
        <v>0.6000000000000002</v>
      </c>
      <c r="BI38" s="168">
        <f t="shared" si="44"/>
        <v>0.6000000000000002</v>
      </c>
      <c r="BJ38" s="3">
        <f t="shared" si="8"/>
        <v>3.7039383642394395</v>
      </c>
      <c r="BM38" s="3">
        <f t="shared" si="45"/>
        <v>0.6000000000000002</v>
      </c>
      <c r="BN38" s="168">
        <f t="shared" si="46"/>
        <v>0.6000000000000002</v>
      </c>
      <c r="BO38" s="3">
        <f t="shared" si="9"/>
        <v>3.7039383642394395</v>
      </c>
      <c r="BR38" s="3">
        <f t="shared" si="47"/>
        <v>0.6000000000000002</v>
      </c>
      <c r="BS38" s="3">
        <f t="shared" si="48"/>
        <v>0.6000000000000002</v>
      </c>
      <c r="BT38" s="3">
        <f t="shared" si="10"/>
        <v>3.7039383642394395</v>
      </c>
      <c r="BW38" s="3">
        <f t="shared" si="49"/>
        <v>0.6000000000000002</v>
      </c>
      <c r="BX38" s="168">
        <f t="shared" si="50"/>
        <v>0.6000000000000002</v>
      </c>
      <c r="BY38" s="3">
        <f t="shared" si="11"/>
        <v>3.7039383642394395</v>
      </c>
      <c r="CB38" s="3">
        <f t="shared" si="51"/>
        <v>0.6000000000000002</v>
      </c>
      <c r="CC38" s="168">
        <f t="shared" si="52"/>
        <v>0.6000000000000002</v>
      </c>
      <c r="CD38" s="3">
        <f t="shared" si="12"/>
        <v>3.7039383642394395</v>
      </c>
      <c r="CG38" s="3">
        <f t="shared" si="53"/>
        <v>0.6000000000000002</v>
      </c>
      <c r="CH38" s="3">
        <f t="shared" si="54"/>
        <v>0.6000000000000002</v>
      </c>
      <c r="CI38" s="3">
        <f t="shared" si="13"/>
        <v>3.7039383642394395</v>
      </c>
      <c r="CL38" s="3">
        <f t="shared" si="55"/>
        <v>0.6000000000000002</v>
      </c>
      <c r="CM38" s="168">
        <f t="shared" si="56"/>
        <v>0.6000000000000002</v>
      </c>
      <c r="CN38" s="3">
        <f t="shared" si="14"/>
        <v>3.7039383642394395</v>
      </c>
      <c r="CQ38" s="3">
        <f t="shared" si="57"/>
        <v>0.6000000000000002</v>
      </c>
      <c r="CR38" s="168">
        <f t="shared" si="58"/>
        <v>0.6000000000000002</v>
      </c>
      <c r="CS38" s="3">
        <f t="shared" si="15"/>
        <v>3.7039383642394395</v>
      </c>
      <c r="CV38" s="3">
        <f t="shared" si="59"/>
        <v>0.6000000000000002</v>
      </c>
      <c r="CW38" s="3">
        <f t="shared" si="60"/>
        <v>0.6000000000000002</v>
      </c>
      <c r="CX38" s="3">
        <f t="shared" si="16"/>
        <v>3.7039383642394395</v>
      </c>
      <c r="DA38" s="3">
        <f t="shared" si="61"/>
        <v>0.6000000000000002</v>
      </c>
      <c r="DB38" s="168">
        <f t="shared" si="62"/>
        <v>0.6000000000000002</v>
      </c>
      <c r="DC38" s="3">
        <f t="shared" si="17"/>
        <v>3.7039383642394395</v>
      </c>
      <c r="DF38" s="3">
        <f t="shared" si="63"/>
        <v>0.6000000000000002</v>
      </c>
      <c r="DG38" s="168">
        <f t="shared" si="64"/>
        <v>0.6000000000000002</v>
      </c>
      <c r="DH38" s="3">
        <f t="shared" si="18"/>
        <v>3.7039383642394395</v>
      </c>
      <c r="DK38" s="3">
        <f t="shared" si="65"/>
        <v>0.6000000000000002</v>
      </c>
      <c r="DL38" s="3">
        <f t="shared" si="66"/>
        <v>0.6000000000000002</v>
      </c>
      <c r="DM38" s="3">
        <f t="shared" si="19"/>
        <v>3.7039383642394395</v>
      </c>
      <c r="DP38" s="3">
        <f t="shared" si="67"/>
        <v>0.6000000000000002</v>
      </c>
      <c r="DQ38" s="168">
        <f t="shared" si="68"/>
        <v>0.6000000000000002</v>
      </c>
      <c r="DR38" s="3">
        <f t="shared" si="20"/>
        <v>3.7039383642394395</v>
      </c>
      <c r="DU38" s="3">
        <f t="shared" si="69"/>
        <v>0.6000000000000002</v>
      </c>
      <c r="DV38" s="168">
        <f t="shared" si="70"/>
        <v>0.6000000000000002</v>
      </c>
      <c r="DW38" s="3">
        <f t="shared" si="21"/>
        <v>3.7039383642394395</v>
      </c>
      <c r="DZ38" s="3">
        <f t="shared" si="71"/>
        <v>0.6000000000000002</v>
      </c>
      <c r="EA38" s="3">
        <f t="shared" si="72"/>
        <v>0.6000000000000002</v>
      </c>
      <c r="EB38" s="3">
        <f t="shared" si="22"/>
        <v>3.7039383642394395</v>
      </c>
      <c r="EE38" s="3">
        <f t="shared" si="73"/>
        <v>0.6000000000000002</v>
      </c>
      <c r="EF38" s="168">
        <f t="shared" si="74"/>
        <v>0.6000000000000002</v>
      </c>
      <c r="EG38" s="3">
        <f t="shared" si="23"/>
        <v>3.7039383642394395</v>
      </c>
      <c r="EJ38" s="3">
        <f t="shared" si="75"/>
        <v>0.6000000000000002</v>
      </c>
      <c r="EK38" s="168">
        <f t="shared" si="76"/>
        <v>0.6000000000000002</v>
      </c>
      <c r="EL38" s="3">
        <f t="shared" si="24"/>
        <v>3.7039383642394395</v>
      </c>
      <c r="EO38" s="3">
        <f t="shared" si="77"/>
        <v>0.6000000000000002</v>
      </c>
      <c r="EP38" s="3">
        <f t="shared" si="78"/>
        <v>0.6000000000000002</v>
      </c>
      <c r="EQ38" s="3">
        <f t="shared" si="25"/>
        <v>3.7039383642394395</v>
      </c>
      <c r="ET38" s="3">
        <f t="shared" si="79"/>
        <v>0.6000000000000002</v>
      </c>
      <c r="EU38" s="168">
        <f t="shared" si="80"/>
        <v>0.6000000000000002</v>
      </c>
      <c r="EV38" s="3">
        <f t="shared" si="26"/>
        <v>3.7039383642394395</v>
      </c>
    </row>
    <row r="39" spans="20:152" s="3" customFormat="1" x14ac:dyDescent="0.3">
      <c r="T39" s="3">
        <f t="shared" si="27"/>
        <v>0.62000000000000022</v>
      </c>
      <c r="U39" s="168">
        <f t="shared" si="28"/>
        <v>0.62000000000000022</v>
      </c>
      <c r="V39" s="3">
        <f t="shared" si="0"/>
        <v>3.7787543624324571</v>
      </c>
      <c r="Y39" s="3">
        <f t="shared" si="29"/>
        <v>0.62000000000000022</v>
      </c>
      <c r="Z39" s="3">
        <f t="shared" si="30"/>
        <v>0.62000000000000022</v>
      </c>
      <c r="AA39" s="3">
        <f t="shared" si="1"/>
        <v>3.7787543624324571</v>
      </c>
      <c r="AD39" s="3">
        <f t="shared" si="31"/>
        <v>0.62000000000000022</v>
      </c>
      <c r="AE39" s="168">
        <f t="shared" si="32"/>
        <v>0.62000000000000022</v>
      </c>
      <c r="AF39" s="3">
        <f t="shared" si="2"/>
        <v>3.7787543624324571</v>
      </c>
      <c r="AI39" s="3">
        <f t="shared" si="33"/>
        <v>0.62000000000000022</v>
      </c>
      <c r="AJ39" s="168">
        <f t="shared" si="34"/>
        <v>0.62000000000000022</v>
      </c>
      <c r="AK39" s="3">
        <f t="shared" si="3"/>
        <v>3.7787543624324571</v>
      </c>
      <c r="AN39" s="3">
        <f t="shared" si="35"/>
        <v>0.62000000000000022</v>
      </c>
      <c r="AO39" s="3">
        <f t="shared" si="36"/>
        <v>0.62000000000000022</v>
      </c>
      <c r="AP39" s="3">
        <f t="shared" si="4"/>
        <v>3.7787543624324571</v>
      </c>
      <c r="AS39" s="3">
        <f t="shared" si="37"/>
        <v>0.62000000000000022</v>
      </c>
      <c r="AT39" s="168">
        <f t="shared" si="38"/>
        <v>0.62000000000000022</v>
      </c>
      <c r="AU39" s="3">
        <f t="shared" si="5"/>
        <v>3.7787543624324571</v>
      </c>
      <c r="AX39" s="3">
        <f t="shared" si="39"/>
        <v>0.62000000000000022</v>
      </c>
      <c r="AY39" s="168">
        <f t="shared" si="40"/>
        <v>0.62000000000000022</v>
      </c>
      <c r="AZ39" s="3">
        <f t="shared" si="6"/>
        <v>3.7787543624324571</v>
      </c>
      <c r="BC39" s="3">
        <f t="shared" si="41"/>
        <v>0.62000000000000022</v>
      </c>
      <c r="BD39" s="3">
        <f t="shared" si="42"/>
        <v>0.62000000000000022</v>
      </c>
      <c r="BE39" s="3">
        <f t="shared" si="7"/>
        <v>3.7787543624324571</v>
      </c>
      <c r="BH39" s="3">
        <f t="shared" si="43"/>
        <v>0.62000000000000022</v>
      </c>
      <c r="BI39" s="168">
        <f t="shared" si="44"/>
        <v>0.62000000000000022</v>
      </c>
      <c r="BJ39" s="3">
        <f t="shared" si="8"/>
        <v>3.7787543624324571</v>
      </c>
      <c r="BM39" s="3">
        <f t="shared" si="45"/>
        <v>0.62000000000000022</v>
      </c>
      <c r="BN39" s="168">
        <f t="shared" si="46"/>
        <v>0.62000000000000022</v>
      </c>
      <c r="BO39" s="3">
        <f t="shared" si="9"/>
        <v>3.7787543624324571</v>
      </c>
      <c r="BR39" s="3">
        <f t="shared" si="47"/>
        <v>0.62000000000000022</v>
      </c>
      <c r="BS39" s="3">
        <f t="shared" si="48"/>
        <v>0.62000000000000022</v>
      </c>
      <c r="BT39" s="3">
        <f t="shared" si="10"/>
        <v>3.7787543624324571</v>
      </c>
      <c r="BW39" s="3">
        <f t="shared" si="49"/>
        <v>0.62000000000000022</v>
      </c>
      <c r="BX39" s="168">
        <f t="shared" si="50"/>
        <v>0.62000000000000022</v>
      </c>
      <c r="BY39" s="3">
        <f t="shared" si="11"/>
        <v>3.7787543624324571</v>
      </c>
      <c r="CB39" s="3">
        <f t="shared" si="51"/>
        <v>0.62000000000000022</v>
      </c>
      <c r="CC39" s="168">
        <f t="shared" si="52"/>
        <v>0.62000000000000022</v>
      </c>
      <c r="CD39" s="3">
        <f t="shared" si="12"/>
        <v>3.7787543624324571</v>
      </c>
      <c r="CG39" s="3">
        <f t="shared" si="53"/>
        <v>0.62000000000000022</v>
      </c>
      <c r="CH39" s="3">
        <f t="shared" si="54"/>
        <v>0.62000000000000022</v>
      </c>
      <c r="CI39" s="3">
        <f t="shared" si="13"/>
        <v>3.7787543624324571</v>
      </c>
      <c r="CL39" s="3">
        <f t="shared" si="55"/>
        <v>0.62000000000000022</v>
      </c>
      <c r="CM39" s="168">
        <f t="shared" si="56"/>
        <v>0.62000000000000022</v>
      </c>
      <c r="CN39" s="3">
        <f t="shared" si="14"/>
        <v>3.7787543624324571</v>
      </c>
      <c r="CQ39" s="3">
        <f t="shared" si="57"/>
        <v>0.62000000000000022</v>
      </c>
      <c r="CR39" s="168">
        <f t="shared" si="58"/>
        <v>0.62000000000000022</v>
      </c>
      <c r="CS39" s="3">
        <f t="shared" si="15"/>
        <v>3.7787543624324571</v>
      </c>
      <c r="CV39" s="3">
        <f t="shared" si="59"/>
        <v>0.62000000000000022</v>
      </c>
      <c r="CW39" s="3">
        <f t="shared" si="60"/>
        <v>0.62000000000000022</v>
      </c>
      <c r="CX39" s="3">
        <f t="shared" si="16"/>
        <v>3.7787543624324571</v>
      </c>
      <c r="DA39" s="3">
        <f t="shared" si="61"/>
        <v>0.62000000000000022</v>
      </c>
      <c r="DB39" s="168">
        <f t="shared" si="62"/>
        <v>0.62000000000000022</v>
      </c>
      <c r="DC39" s="3">
        <f t="shared" si="17"/>
        <v>3.7787543624324571</v>
      </c>
      <c r="DF39" s="3">
        <f t="shared" si="63"/>
        <v>0.62000000000000022</v>
      </c>
      <c r="DG39" s="168">
        <f t="shared" si="64"/>
        <v>0.62000000000000022</v>
      </c>
      <c r="DH39" s="3">
        <f t="shared" si="18"/>
        <v>3.7787543624324571</v>
      </c>
      <c r="DK39" s="3">
        <f t="shared" si="65"/>
        <v>0.62000000000000022</v>
      </c>
      <c r="DL39" s="3">
        <f t="shared" si="66"/>
        <v>0.62000000000000022</v>
      </c>
      <c r="DM39" s="3">
        <f t="shared" si="19"/>
        <v>3.7787543624324571</v>
      </c>
      <c r="DP39" s="3">
        <f t="shared" si="67"/>
        <v>0.62000000000000022</v>
      </c>
      <c r="DQ39" s="168">
        <f t="shared" si="68"/>
        <v>0.62000000000000022</v>
      </c>
      <c r="DR39" s="3">
        <f t="shared" si="20"/>
        <v>3.7787543624324571</v>
      </c>
      <c r="DU39" s="3">
        <f t="shared" si="69"/>
        <v>0.62000000000000022</v>
      </c>
      <c r="DV39" s="168">
        <f t="shared" si="70"/>
        <v>0.62000000000000022</v>
      </c>
      <c r="DW39" s="3">
        <f t="shared" si="21"/>
        <v>3.7787543624324571</v>
      </c>
      <c r="DZ39" s="3">
        <f t="shared" si="71"/>
        <v>0.62000000000000022</v>
      </c>
      <c r="EA39" s="3">
        <f t="shared" si="72"/>
        <v>0.62000000000000022</v>
      </c>
      <c r="EB39" s="3">
        <f t="shared" si="22"/>
        <v>3.7787543624324571</v>
      </c>
      <c r="EE39" s="3">
        <f t="shared" si="73"/>
        <v>0.62000000000000022</v>
      </c>
      <c r="EF39" s="168">
        <f t="shared" si="74"/>
        <v>0.62000000000000022</v>
      </c>
      <c r="EG39" s="3">
        <f t="shared" si="23"/>
        <v>3.7787543624324571</v>
      </c>
      <c r="EJ39" s="3">
        <f t="shared" si="75"/>
        <v>0.62000000000000022</v>
      </c>
      <c r="EK39" s="168">
        <f t="shared" si="76"/>
        <v>0.62000000000000022</v>
      </c>
      <c r="EL39" s="3">
        <f t="shared" si="24"/>
        <v>3.7787543624324571</v>
      </c>
      <c r="EO39" s="3">
        <f t="shared" si="77"/>
        <v>0.62000000000000022</v>
      </c>
      <c r="EP39" s="3">
        <f t="shared" si="78"/>
        <v>0.62000000000000022</v>
      </c>
      <c r="EQ39" s="3">
        <f t="shared" si="25"/>
        <v>3.7787543624324571</v>
      </c>
      <c r="ET39" s="3">
        <f t="shared" si="79"/>
        <v>0.62000000000000022</v>
      </c>
      <c r="EU39" s="168">
        <f t="shared" si="80"/>
        <v>0.62000000000000022</v>
      </c>
      <c r="EV39" s="3">
        <f t="shared" si="26"/>
        <v>3.7787543624324571</v>
      </c>
    </row>
    <row r="40" spans="20:152" s="3" customFormat="1" x14ac:dyDescent="0.3">
      <c r="T40" s="3">
        <f t="shared" si="27"/>
        <v>0.64000000000000024</v>
      </c>
      <c r="U40" s="168">
        <f t="shared" si="28"/>
        <v>0.64000000000000024</v>
      </c>
      <c r="V40" s="3">
        <f t="shared" si="0"/>
        <v>3.8508618478976286</v>
      </c>
      <c r="Y40" s="3">
        <f t="shared" si="29"/>
        <v>0.64000000000000024</v>
      </c>
      <c r="Z40" s="3">
        <f t="shared" si="30"/>
        <v>0.64000000000000024</v>
      </c>
      <c r="AA40" s="3">
        <f t="shared" si="1"/>
        <v>3.8508618478976286</v>
      </c>
      <c r="AD40" s="3">
        <f t="shared" si="31"/>
        <v>0.64000000000000024</v>
      </c>
      <c r="AE40" s="168">
        <f t="shared" si="32"/>
        <v>0.64000000000000024</v>
      </c>
      <c r="AF40" s="3">
        <f t="shared" si="2"/>
        <v>3.8508618478976286</v>
      </c>
      <c r="AI40" s="3">
        <f t="shared" si="33"/>
        <v>0.64000000000000024</v>
      </c>
      <c r="AJ40" s="168">
        <f t="shared" si="34"/>
        <v>0.64000000000000024</v>
      </c>
      <c r="AK40" s="3">
        <f t="shared" si="3"/>
        <v>3.8508618478976286</v>
      </c>
      <c r="AN40" s="3">
        <f t="shared" si="35"/>
        <v>0.64000000000000024</v>
      </c>
      <c r="AO40" s="3">
        <f t="shared" si="36"/>
        <v>0.64000000000000024</v>
      </c>
      <c r="AP40" s="3">
        <f t="shared" si="4"/>
        <v>3.8508618478976286</v>
      </c>
      <c r="AS40" s="3">
        <f t="shared" si="37"/>
        <v>0.64000000000000024</v>
      </c>
      <c r="AT40" s="168">
        <f t="shared" si="38"/>
        <v>0.64000000000000024</v>
      </c>
      <c r="AU40" s="3">
        <f t="shared" si="5"/>
        <v>3.8508618478976286</v>
      </c>
      <c r="AX40" s="3">
        <f t="shared" si="39"/>
        <v>0.64000000000000024</v>
      </c>
      <c r="AY40" s="168">
        <f t="shared" si="40"/>
        <v>0.64000000000000024</v>
      </c>
      <c r="AZ40" s="3">
        <f t="shared" si="6"/>
        <v>3.8508618478976286</v>
      </c>
      <c r="BC40" s="3">
        <f t="shared" si="41"/>
        <v>0.64000000000000024</v>
      </c>
      <c r="BD40" s="3">
        <f t="shared" si="42"/>
        <v>0.64000000000000024</v>
      </c>
      <c r="BE40" s="3">
        <f t="shared" si="7"/>
        <v>3.8508618478976286</v>
      </c>
      <c r="BH40" s="3">
        <f t="shared" si="43"/>
        <v>0.64000000000000024</v>
      </c>
      <c r="BI40" s="168">
        <f t="shared" si="44"/>
        <v>0.64000000000000024</v>
      </c>
      <c r="BJ40" s="3">
        <f t="shared" si="8"/>
        <v>3.8508618478976286</v>
      </c>
      <c r="BM40" s="3">
        <f t="shared" si="45"/>
        <v>0.64000000000000024</v>
      </c>
      <c r="BN40" s="168">
        <f t="shared" si="46"/>
        <v>0.64000000000000024</v>
      </c>
      <c r="BO40" s="3">
        <f t="shared" si="9"/>
        <v>3.8508618478976286</v>
      </c>
      <c r="BR40" s="3">
        <f t="shared" si="47"/>
        <v>0.64000000000000024</v>
      </c>
      <c r="BS40" s="3">
        <f t="shared" si="48"/>
        <v>0.64000000000000024</v>
      </c>
      <c r="BT40" s="3">
        <f t="shared" si="10"/>
        <v>3.8508618478976286</v>
      </c>
      <c r="BW40" s="3">
        <f t="shared" si="49"/>
        <v>0.64000000000000024</v>
      </c>
      <c r="BX40" s="168">
        <f t="shared" si="50"/>
        <v>0.64000000000000024</v>
      </c>
      <c r="BY40" s="3">
        <f t="shared" si="11"/>
        <v>3.8508618478976286</v>
      </c>
      <c r="CB40" s="3">
        <f t="shared" si="51"/>
        <v>0.64000000000000024</v>
      </c>
      <c r="CC40" s="168">
        <f t="shared" si="52"/>
        <v>0.64000000000000024</v>
      </c>
      <c r="CD40" s="3">
        <f t="shared" si="12"/>
        <v>3.8508618478976286</v>
      </c>
      <c r="CG40" s="3">
        <f t="shared" si="53"/>
        <v>0.64000000000000024</v>
      </c>
      <c r="CH40" s="3">
        <f t="shared" si="54"/>
        <v>0.64000000000000024</v>
      </c>
      <c r="CI40" s="3">
        <f t="shared" si="13"/>
        <v>3.8508618478976286</v>
      </c>
      <c r="CL40" s="3">
        <f t="shared" si="55"/>
        <v>0.64000000000000024</v>
      </c>
      <c r="CM40" s="168">
        <f t="shared" si="56"/>
        <v>0.64000000000000024</v>
      </c>
      <c r="CN40" s="3">
        <f t="shared" si="14"/>
        <v>3.8508618478976286</v>
      </c>
      <c r="CQ40" s="3">
        <f t="shared" si="57"/>
        <v>0.64000000000000024</v>
      </c>
      <c r="CR40" s="168">
        <f t="shared" si="58"/>
        <v>0.64000000000000024</v>
      </c>
      <c r="CS40" s="3">
        <f t="shared" si="15"/>
        <v>3.8508618478976286</v>
      </c>
      <c r="CV40" s="3">
        <f t="shared" si="59"/>
        <v>0.64000000000000024</v>
      </c>
      <c r="CW40" s="3">
        <f t="shared" si="60"/>
        <v>0.64000000000000024</v>
      </c>
      <c r="CX40" s="3">
        <f t="shared" si="16"/>
        <v>3.8508618478976286</v>
      </c>
      <c r="DA40" s="3">
        <f t="shared" si="61"/>
        <v>0.64000000000000024</v>
      </c>
      <c r="DB40" s="168">
        <f t="shared" si="62"/>
        <v>0.64000000000000024</v>
      </c>
      <c r="DC40" s="3">
        <f t="shared" si="17"/>
        <v>3.8508618478976286</v>
      </c>
      <c r="DF40" s="3">
        <f t="shared" si="63"/>
        <v>0.64000000000000024</v>
      </c>
      <c r="DG40" s="168">
        <f t="shared" si="64"/>
        <v>0.64000000000000024</v>
      </c>
      <c r="DH40" s="3">
        <f t="shared" si="18"/>
        <v>3.8508618478976286</v>
      </c>
      <c r="DK40" s="3">
        <f t="shared" si="65"/>
        <v>0.64000000000000024</v>
      </c>
      <c r="DL40" s="3">
        <f t="shared" si="66"/>
        <v>0.64000000000000024</v>
      </c>
      <c r="DM40" s="3">
        <f t="shared" si="19"/>
        <v>3.8508618478976286</v>
      </c>
      <c r="DP40" s="3">
        <f t="shared" si="67"/>
        <v>0.64000000000000024</v>
      </c>
      <c r="DQ40" s="168">
        <f t="shared" si="68"/>
        <v>0.64000000000000024</v>
      </c>
      <c r="DR40" s="3">
        <f t="shared" si="20"/>
        <v>3.8508618478976286</v>
      </c>
      <c r="DU40" s="3">
        <f t="shared" si="69"/>
        <v>0.64000000000000024</v>
      </c>
      <c r="DV40" s="168">
        <f t="shared" si="70"/>
        <v>0.64000000000000024</v>
      </c>
      <c r="DW40" s="3">
        <f t="shared" si="21"/>
        <v>3.8508618478976286</v>
      </c>
      <c r="DZ40" s="3">
        <f t="shared" si="71"/>
        <v>0.64000000000000024</v>
      </c>
      <c r="EA40" s="3">
        <f t="shared" si="72"/>
        <v>0.64000000000000024</v>
      </c>
      <c r="EB40" s="3">
        <f t="shared" si="22"/>
        <v>3.8508618478976286</v>
      </c>
      <c r="EE40" s="3">
        <f t="shared" si="73"/>
        <v>0.64000000000000024</v>
      </c>
      <c r="EF40" s="168">
        <f t="shared" si="74"/>
        <v>0.64000000000000024</v>
      </c>
      <c r="EG40" s="3">
        <f t="shared" si="23"/>
        <v>3.8508618478976286</v>
      </c>
      <c r="EJ40" s="3">
        <f t="shared" si="75"/>
        <v>0.64000000000000024</v>
      </c>
      <c r="EK40" s="168">
        <f t="shared" si="76"/>
        <v>0.64000000000000024</v>
      </c>
      <c r="EL40" s="3">
        <f t="shared" si="24"/>
        <v>3.8508618478976286</v>
      </c>
      <c r="EO40" s="3">
        <f t="shared" si="77"/>
        <v>0.64000000000000024</v>
      </c>
      <c r="EP40" s="3">
        <f t="shared" si="78"/>
        <v>0.64000000000000024</v>
      </c>
      <c r="EQ40" s="3">
        <f t="shared" si="25"/>
        <v>3.8508618478976286</v>
      </c>
      <c r="ET40" s="3">
        <f t="shared" si="79"/>
        <v>0.64000000000000024</v>
      </c>
      <c r="EU40" s="168">
        <f t="shared" si="80"/>
        <v>0.64000000000000024</v>
      </c>
      <c r="EV40" s="3">
        <f t="shared" si="26"/>
        <v>3.8508618478976286</v>
      </c>
    </row>
    <row r="41" spans="20:152" s="3" customFormat="1" x14ac:dyDescent="0.3">
      <c r="T41" s="3">
        <f t="shared" si="27"/>
        <v>0.66000000000000025</v>
      </c>
      <c r="U41" s="168">
        <f t="shared" si="28"/>
        <v>0.66000000000000025</v>
      </c>
      <c r="V41" s="3">
        <f t="shared" si="0"/>
        <v>3.9202608206349523</v>
      </c>
      <c r="Y41" s="3">
        <f t="shared" si="29"/>
        <v>0.66000000000000025</v>
      </c>
      <c r="Z41" s="3">
        <f t="shared" si="30"/>
        <v>0.66000000000000025</v>
      </c>
      <c r="AA41" s="3">
        <f t="shared" si="1"/>
        <v>3.9202608206349523</v>
      </c>
      <c r="AD41" s="3">
        <f t="shared" si="31"/>
        <v>0.66000000000000025</v>
      </c>
      <c r="AE41" s="168">
        <f t="shared" si="32"/>
        <v>0.66000000000000025</v>
      </c>
      <c r="AF41" s="3">
        <f t="shared" si="2"/>
        <v>3.9202608206349523</v>
      </c>
      <c r="AI41" s="3">
        <f t="shared" si="33"/>
        <v>0.66000000000000025</v>
      </c>
      <c r="AJ41" s="168">
        <f t="shared" si="34"/>
        <v>0.66000000000000025</v>
      </c>
      <c r="AK41" s="3">
        <f t="shared" si="3"/>
        <v>3.9202608206349523</v>
      </c>
      <c r="AN41" s="3">
        <f t="shared" si="35"/>
        <v>0.66000000000000025</v>
      </c>
      <c r="AO41" s="3">
        <f t="shared" si="36"/>
        <v>0.66000000000000025</v>
      </c>
      <c r="AP41" s="3">
        <f t="shared" si="4"/>
        <v>3.9202608206349523</v>
      </c>
      <c r="AS41" s="3">
        <f t="shared" si="37"/>
        <v>0.66000000000000025</v>
      </c>
      <c r="AT41" s="168">
        <f t="shared" si="38"/>
        <v>0.66000000000000025</v>
      </c>
      <c r="AU41" s="3">
        <f t="shared" si="5"/>
        <v>3.9202608206349523</v>
      </c>
      <c r="AX41" s="3">
        <f t="shared" si="39"/>
        <v>0.66000000000000025</v>
      </c>
      <c r="AY41" s="168">
        <f t="shared" si="40"/>
        <v>0.66000000000000025</v>
      </c>
      <c r="AZ41" s="3">
        <f t="shared" si="6"/>
        <v>3.9202608206349523</v>
      </c>
      <c r="BC41" s="3">
        <f t="shared" si="41"/>
        <v>0.66000000000000025</v>
      </c>
      <c r="BD41" s="3">
        <f t="shared" si="42"/>
        <v>0.66000000000000025</v>
      </c>
      <c r="BE41" s="3">
        <f t="shared" si="7"/>
        <v>3.9202608206349523</v>
      </c>
      <c r="BH41" s="3">
        <f t="shared" si="43"/>
        <v>0.66000000000000025</v>
      </c>
      <c r="BI41" s="168">
        <f t="shared" si="44"/>
        <v>0.66000000000000025</v>
      </c>
      <c r="BJ41" s="3">
        <f t="shared" si="8"/>
        <v>3.9202608206349523</v>
      </c>
      <c r="BM41" s="3">
        <f t="shared" si="45"/>
        <v>0.66000000000000025</v>
      </c>
      <c r="BN41" s="168">
        <f t="shared" si="46"/>
        <v>0.66000000000000025</v>
      </c>
      <c r="BO41" s="3">
        <f t="shared" si="9"/>
        <v>3.9202608206349523</v>
      </c>
      <c r="BR41" s="3">
        <f t="shared" si="47"/>
        <v>0.66000000000000025</v>
      </c>
      <c r="BS41" s="3">
        <f t="shared" si="48"/>
        <v>0.66000000000000025</v>
      </c>
      <c r="BT41" s="3">
        <f t="shared" si="10"/>
        <v>3.9202608206349523</v>
      </c>
      <c r="BW41" s="3">
        <f t="shared" si="49"/>
        <v>0.66000000000000025</v>
      </c>
      <c r="BX41" s="168">
        <f t="shared" si="50"/>
        <v>0.66000000000000025</v>
      </c>
      <c r="BY41" s="3">
        <f t="shared" si="11"/>
        <v>3.9202608206349523</v>
      </c>
      <c r="CB41" s="3">
        <f t="shared" si="51"/>
        <v>0.66000000000000025</v>
      </c>
      <c r="CC41" s="168">
        <f t="shared" si="52"/>
        <v>0.66000000000000025</v>
      </c>
      <c r="CD41" s="3">
        <f t="shared" si="12"/>
        <v>3.9202608206349523</v>
      </c>
      <c r="CG41" s="3">
        <f t="shared" si="53"/>
        <v>0.66000000000000025</v>
      </c>
      <c r="CH41" s="3">
        <f t="shared" si="54"/>
        <v>0.66000000000000025</v>
      </c>
      <c r="CI41" s="3">
        <f t="shared" si="13"/>
        <v>3.9202608206349523</v>
      </c>
      <c r="CL41" s="3">
        <f t="shared" si="55"/>
        <v>0.66000000000000025</v>
      </c>
      <c r="CM41" s="168">
        <f t="shared" si="56"/>
        <v>0.66000000000000025</v>
      </c>
      <c r="CN41" s="3">
        <f t="shared" si="14"/>
        <v>3.9202608206349523</v>
      </c>
      <c r="CQ41" s="3">
        <f t="shared" si="57"/>
        <v>0.66000000000000025</v>
      </c>
      <c r="CR41" s="168">
        <f t="shared" si="58"/>
        <v>0.66000000000000025</v>
      </c>
      <c r="CS41" s="3">
        <f t="shared" si="15"/>
        <v>3.9202608206349523</v>
      </c>
      <c r="CV41" s="3">
        <f t="shared" si="59"/>
        <v>0.66000000000000025</v>
      </c>
      <c r="CW41" s="3">
        <f t="shared" si="60"/>
        <v>0.66000000000000025</v>
      </c>
      <c r="CX41" s="3">
        <f t="shared" si="16"/>
        <v>3.9202608206349523</v>
      </c>
      <c r="DA41" s="3">
        <f t="shared" si="61"/>
        <v>0.66000000000000025</v>
      </c>
      <c r="DB41" s="168">
        <f t="shared" si="62"/>
        <v>0.66000000000000025</v>
      </c>
      <c r="DC41" s="3">
        <f t="shared" si="17"/>
        <v>3.9202608206349523</v>
      </c>
      <c r="DF41" s="3">
        <f t="shared" si="63"/>
        <v>0.66000000000000025</v>
      </c>
      <c r="DG41" s="168">
        <f t="shared" si="64"/>
        <v>0.66000000000000025</v>
      </c>
      <c r="DH41" s="3">
        <f t="shared" si="18"/>
        <v>3.9202608206349523</v>
      </c>
      <c r="DK41" s="3">
        <f t="shared" si="65"/>
        <v>0.66000000000000025</v>
      </c>
      <c r="DL41" s="3">
        <f t="shared" si="66"/>
        <v>0.66000000000000025</v>
      </c>
      <c r="DM41" s="3">
        <f t="shared" si="19"/>
        <v>3.9202608206349523</v>
      </c>
      <c r="DP41" s="3">
        <f t="shared" si="67"/>
        <v>0.66000000000000025</v>
      </c>
      <c r="DQ41" s="168">
        <f t="shared" si="68"/>
        <v>0.66000000000000025</v>
      </c>
      <c r="DR41" s="3">
        <f t="shared" si="20"/>
        <v>3.9202608206349523</v>
      </c>
      <c r="DU41" s="3">
        <f t="shared" si="69"/>
        <v>0.66000000000000025</v>
      </c>
      <c r="DV41" s="168">
        <f t="shared" si="70"/>
        <v>0.66000000000000025</v>
      </c>
      <c r="DW41" s="3">
        <f t="shared" si="21"/>
        <v>3.9202608206349523</v>
      </c>
      <c r="DZ41" s="3">
        <f t="shared" si="71"/>
        <v>0.66000000000000025</v>
      </c>
      <c r="EA41" s="3">
        <f t="shared" si="72"/>
        <v>0.66000000000000025</v>
      </c>
      <c r="EB41" s="3">
        <f t="shared" si="22"/>
        <v>3.9202608206349523</v>
      </c>
      <c r="EE41" s="3">
        <f t="shared" si="73"/>
        <v>0.66000000000000025</v>
      </c>
      <c r="EF41" s="168">
        <f t="shared" si="74"/>
        <v>0.66000000000000025</v>
      </c>
      <c r="EG41" s="3">
        <f t="shared" si="23"/>
        <v>3.9202608206349523</v>
      </c>
      <c r="EJ41" s="3">
        <f t="shared" si="75"/>
        <v>0.66000000000000025</v>
      </c>
      <c r="EK41" s="168">
        <f t="shared" si="76"/>
        <v>0.66000000000000025</v>
      </c>
      <c r="EL41" s="3">
        <f t="shared" si="24"/>
        <v>3.9202608206349523</v>
      </c>
      <c r="EO41" s="3">
        <f t="shared" si="77"/>
        <v>0.66000000000000025</v>
      </c>
      <c r="EP41" s="3">
        <f t="shared" si="78"/>
        <v>0.66000000000000025</v>
      </c>
      <c r="EQ41" s="3">
        <f t="shared" si="25"/>
        <v>3.9202608206349523</v>
      </c>
      <c r="ET41" s="3">
        <f t="shared" si="79"/>
        <v>0.66000000000000025</v>
      </c>
      <c r="EU41" s="168">
        <f t="shared" si="80"/>
        <v>0.66000000000000025</v>
      </c>
      <c r="EV41" s="3">
        <f t="shared" si="26"/>
        <v>3.9202608206349523</v>
      </c>
    </row>
    <row r="42" spans="20:152" s="3" customFormat="1" x14ac:dyDescent="0.3">
      <c r="T42" s="3">
        <f t="shared" si="27"/>
        <v>0.68000000000000027</v>
      </c>
      <c r="U42" s="168">
        <f t="shared" si="28"/>
        <v>0.68000000000000027</v>
      </c>
      <c r="V42" s="3">
        <f t="shared" si="0"/>
        <v>3.9869512806444294</v>
      </c>
      <c r="Y42" s="3">
        <f t="shared" si="29"/>
        <v>0.68000000000000027</v>
      </c>
      <c r="Z42" s="3">
        <f t="shared" si="30"/>
        <v>0.68000000000000027</v>
      </c>
      <c r="AA42" s="3">
        <f t="shared" si="1"/>
        <v>3.9869512806444294</v>
      </c>
      <c r="AD42" s="3">
        <f t="shared" si="31"/>
        <v>0.68000000000000027</v>
      </c>
      <c r="AE42" s="168">
        <f t="shared" si="32"/>
        <v>0.68000000000000027</v>
      </c>
      <c r="AF42" s="3">
        <f t="shared" si="2"/>
        <v>3.9869512806444294</v>
      </c>
      <c r="AI42" s="3">
        <f t="shared" si="33"/>
        <v>0.68000000000000027</v>
      </c>
      <c r="AJ42" s="168">
        <f t="shared" si="34"/>
        <v>0.68000000000000027</v>
      </c>
      <c r="AK42" s="3">
        <f t="shared" si="3"/>
        <v>3.9869512806444294</v>
      </c>
      <c r="AN42" s="3">
        <f t="shared" si="35"/>
        <v>0.68000000000000027</v>
      </c>
      <c r="AO42" s="3">
        <f t="shared" si="36"/>
        <v>0.68000000000000027</v>
      </c>
      <c r="AP42" s="3">
        <f t="shared" si="4"/>
        <v>3.9869512806444294</v>
      </c>
      <c r="AS42" s="3">
        <f t="shared" si="37"/>
        <v>0.68000000000000027</v>
      </c>
      <c r="AT42" s="168">
        <f t="shared" si="38"/>
        <v>0.68000000000000027</v>
      </c>
      <c r="AU42" s="3">
        <f t="shared" si="5"/>
        <v>3.9869512806444294</v>
      </c>
      <c r="AX42" s="3">
        <f t="shared" si="39"/>
        <v>0.68000000000000027</v>
      </c>
      <c r="AY42" s="168">
        <f t="shared" si="40"/>
        <v>0.68000000000000027</v>
      </c>
      <c r="AZ42" s="3">
        <f t="shared" si="6"/>
        <v>3.9869512806444294</v>
      </c>
      <c r="BC42" s="3">
        <f t="shared" si="41"/>
        <v>0.68000000000000027</v>
      </c>
      <c r="BD42" s="3">
        <f t="shared" si="42"/>
        <v>0.68000000000000027</v>
      </c>
      <c r="BE42" s="3">
        <f t="shared" si="7"/>
        <v>3.9869512806444294</v>
      </c>
      <c r="BH42" s="3">
        <f t="shared" si="43"/>
        <v>0.68000000000000027</v>
      </c>
      <c r="BI42" s="168">
        <f t="shared" si="44"/>
        <v>0.68000000000000027</v>
      </c>
      <c r="BJ42" s="3">
        <f t="shared" si="8"/>
        <v>3.9869512806444294</v>
      </c>
      <c r="BM42" s="3">
        <f t="shared" si="45"/>
        <v>0.68000000000000027</v>
      </c>
      <c r="BN42" s="168">
        <f t="shared" si="46"/>
        <v>0.68000000000000027</v>
      </c>
      <c r="BO42" s="3">
        <f t="shared" si="9"/>
        <v>3.9869512806444294</v>
      </c>
      <c r="BR42" s="3">
        <f t="shared" si="47"/>
        <v>0.68000000000000027</v>
      </c>
      <c r="BS42" s="3">
        <f t="shared" si="48"/>
        <v>0.68000000000000027</v>
      </c>
      <c r="BT42" s="3">
        <f t="shared" si="10"/>
        <v>3.9869512806444294</v>
      </c>
      <c r="BW42" s="3">
        <f t="shared" si="49"/>
        <v>0.68000000000000027</v>
      </c>
      <c r="BX42" s="168">
        <f t="shared" si="50"/>
        <v>0.68000000000000027</v>
      </c>
      <c r="BY42" s="3">
        <f t="shared" si="11"/>
        <v>3.9869512806444294</v>
      </c>
      <c r="CB42" s="3">
        <f t="shared" si="51"/>
        <v>0.68000000000000027</v>
      </c>
      <c r="CC42" s="168">
        <f t="shared" si="52"/>
        <v>0.68000000000000027</v>
      </c>
      <c r="CD42" s="3">
        <f t="shared" si="12"/>
        <v>3.9869512806444294</v>
      </c>
      <c r="CG42" s="3">
        <f t="shared" si="53"/>
        <v>0.68000000000000027</v>
      </c>
      <c r="CH42" s="3">
        <f t="shared" si="54"/>
        <v>0.68000000000000027</v>
      </c>
      <c r="CI42" s="3">
        <f t="shared" si="13"/>
        <v>3.9869512806444294</v>
      </c>
      <c r="CL42" s="3">
        <f t="shared" si="55"/>
        <v>0.68000000000000027</v>
      </c>
      <c r="CM42" s="168">
        <f t="shared" si="56"/>
        <v>0.68000000000000027</v>
      </c>
      <c r="CN42" s="3">
        <f t="shared" si="14"/>
        <v>3.9869512806444294</v>
      </c>
      <c r="CQ42" s="3">
        <f t="shared" si="57"/>
        <v>0.68000000000000027</v>
      </c>
      <c r="CR42" s="168">
        <f t="shared" si="58"/>
        <v>0.68000000000000027</v>
      </c>
      <c r="CS42" s="3">
        <f t="shared" si="15"/>
        <v>3.9869512806444294</v>
      </c>
      <c r="CV42" s="3">
        <f t="shared" si="59"/>
        <v>0.68000000000000027</v>
      </c>
      <c r="CW42" s="3">
        <f t="shared" si="60"/>
        <v>0.68000000000000027</v>
      </c>
      <c r="CX42" s="3">
        <f t="shared" si="16"/>
        <v>3.9869512806444294</v>
      </c>
      <c r="DA42" s="3">
        <f t="shared" si="61"/>
        <v>0.68000000000000027</v>
      </c>
      <c r="DB42" s="168">
        <f t="shared" si="62"/>
        <v>0.68000000000000027</v>
      </c>
      <c r="DC42" s="3">
        <f t="shared" si="17"/>
        <v>3.9869512806444294</v>
      </c>
      <c r="DF42" s="3">
        <f t="shared" si="63"/>
        <v>0.68000000000000027</v>
      </c>
      <c r="DG42" s="168">
        <f t="shared" si="64"/>
        <v>0.68000000000000027</v>
      </c>
      <c r="DH42" s="3">
        <f t="shared" si="18"/>
        <v>3.9869512806444294</v>
      </c>
      <c r="DK42" s="3">
        <f t="shared" si="65"/>
        <v>0.68000000000000027</v>
      </c>
      <c r="DL42" s="3">
        <f t="shared" si="66"/>
        <v>0.68000000000000027</v>
      </c>
      <c r="DM42" s="3">
        <f t="shared" si="19"/>
        <v>3.9869512806444294</v>
      </c>
      <c r="DP42" s="3">
        <f t="shared" si="67"/>
        <v>0.68000000000000027</v>
      </c>
      <c r="DQ42" s="168">
        <f t="shared" si="68"/>
        <v>0.68000000000000027</v>
      </c>
      <c r="DR42" s="3">
        <f t="shared" si="20"/>
        <v>3.9869512806444294</v>
      </c>
      <c r="DU42" s="3">
        <f t="shared" si="69"/>
        <v>0.68000000000000027</v>
      </c>
      <c r="DV42" s="168">
        <f t="shared" si="70"/>
        <v>0.68000000000000027</v>
      </c>
      <c r="DW42" s="3">
        <f t="shared" si="21"/>
        <v>3.9869512806444294</v>
      </c>
      <c r="DZ42" s="3">
        <f t="shared" si="71"/>
        <v>0.68000000000000027</v>
      </c>
      <c r="EA42" s="3">
        <f t="shared" si="72"/>
        <v>0.68000000000000027</v>
      </c>
      <c r="EB42" s="3">
        <f t="shared" si="22"/>
        <v>3.9869512806444294</v>
      </c>
      <c r="EE42" s="3">
        <f t="shared" si="73"/>
        <v>0.68000000000000027</v>
      </c>
      <c r="EF42" s="168">
        <f t="shared" si="74"/>
        <v>0.68000000000000027</v>
      </c>
      <c r="EG42" s="3">
        <f t="shared" si="23"/>
        <v>3.9869512806444294</v>
      </c>
      <c r="EJ42" s="3">
        <f t="shared" si="75"/>
        <v>0.68000000000000027</v>
      </c>
      <c r="EK42" s="168">
        <f t="shared" si="76"/>
        <v>0.68000000000000027</v>
      </c>
      <c r="EL42" s="3">
        <f t="shared" si="24"/>
        <v>3.9869512806444294</v>
      </c>
      <c r="EO42" s="3">
        <f t="shared" si="77"/>
        <v>0.68000000000000027</v>
      </c>
      <c r="EP42" s="3">
        <f t="shared" si="78"/>
        <v>0.68000000000000027</v>
      </c>
      <c r="EQ42" s="3">
        <f t="shared" si="25"/>
        <v>3.9869512806444294</v>
      </c>
      <c r="ET42" s="3">
        <f t="shared" si="79"/>
        <v>0.68000000000000027</v>
      </c>
      <c r="EU42" s="168">
        <f t="shared" si="80"/>
        <v>0.68000000000000027</v>
      </c>
      <c r="EV42" s="3">
        <f t="shared" si="26"/>
        <v>3.9869512806444294</v>
      </c>
    </row>
    <row r="43" spans="20:152" s="3" customFormat="1" x14ac:dyDescent="0.3">
      <c r="T43" s="3">
        <f t="shared" si="27"/>
        <v>0.70000000000000029</v>
      </c>
      <c r="U43" s="168">
        <f t="shared" si="28"/>
        <v>0.70000000000000029</v>
      </c>
      <c r="V43" s="3">
        <f t="shared" si="0"/>
        <v>4.0509332279260599</v>
      </c>
      <c r="Y43" s="3">
        <f t="shared" si="29"/>
        <v>0.70000000000000029</v>
      </c>
      <c r="Z43" s="3">
        <f t="shared" si="30"/>
        <v>0.70000000000000029</v>
      </c>
      <c r="AA43" s="3">
        <f t="shared" si="1"/>
        <v>4.0509332279260599</v>
      </c>
      <c r="AD43" s="3">
        <f t="shared" si="31"/>
        <v>0.70000000000000029</v>
      </c>
      <c r="AE43" s="168">
        <f t="shared" si="32"/>
        <v>0.70000000000000029</v>
      </c>
      <c r="AF43" s="3">
        <f t="shared" si="2"/>
        <v>4.0509332279260599</v>
      </c>
      <c r="AI43" s="3">
        <f t="shared" si="33"/>
        <v>0.70000000000000029</v>
      </c>
      <c r="AJ43" s="168">
        <f t="shared" si="34"/>
        <v>0.70000000000000029</v>
      </c>
      <c r="AK43" s="3">
        <f t="shared" si="3"/>
        <v>4.0509332279260599</v>
      </c>
      <c r="AN43" s="3">
        <f t="shared" si="35"/>
        <v>0.70000000000000029</v>
      </c>
      <c r="AO43" s="3">
        <f t="shared" si="36"/>
        <v>0.70000000000000029</v>
      </c>
      <c r="AP43" s="3">
        <f t="shared" si="4"/>
        <v>4.0509332279260599</v>
      </c>
      <c r="AS43" s="3">
        <f t="shared" si="37"/>
        <v>0.70000000000000029</v>
      </c>
      <c r="AT43" s="168">
        <f t="shared" si="38"/>
        <v>0.70000000000000029</v>
      </c>
      <c r="AU43" s="3">
        <f t="shared" si="5"/>
        <v>4.0509332279260599</v>
      </c>
      <c r="AX43" s="3">
        <f t="shared" si="39"/>
        <v>0.70000000000000029</v>
      </c>
      <c r="AY43" s="168">
        <f t="shared" si="40"/>
        <v>0.70000000000000029</v>
      </c>
      <c r="AZ43" s="3">
        <f t="shared" si="6"/>
        <v>4.0509332279260599</v>
      </c>
      <c r="BC43" s="3">
        <f t="shared" si="41"/>
        <v>0.70000000000000029</v>
      </c>
      <c r="BD43" s="3">
        <f t="shared" si="42"/>
        <v>0.70000000000000029</v>
      </c>
      <c r="BE43" s="3">
        <f t="shared" si="7"/>
        <v>4.0509332279260599</v>
      </c>
      <c r="BH43" s="3">
        <f t="shared" si="43"/>
        <v>0.70000000000000029</v>
      </c>
      <c r="BI43" s="168">
        <f t="shared" si="44"/>
        <v>0.70000000000000029</v>
      </c>
      <c r="BJ43" s="3">
        <f t="shared" si="8"/>
        <v>4.0509332279260599</v>
      </c>
      <c r="BM43" s="3">
        <f t="shared" si="45"/>
        <v>0.70000000000000029</v>
      </c>
      <c r="BN43" s="168">
        <f t="shared" si="46"/>
        <v>0.70000000000000029</v>
      </c>
      <c r="BO43" s="3">
        <f t="shared" si="9"/>
        <v>4.0509332279260599</v>
      </c>
      <c r="BR43" s="3">
        <f t="shared" si="47"/>
        <v>0.70000000000000029</v>
      </c>
      <c r="BS43" s="3">
        <f t="shared" si="48"/>
        <v>0.70000000000000029</v>
      </c>
      <c r="BT43" s="3">
        <f t="shared" si="10"/>
        <v>4.0509332279260599</v>
      </c>
      <c r="BW43" s="3">
        <f t="shared" si="49"/>
        <v>0.70000000000000029</v>
      </c>
      <c r="BX43" s="168">
        <f t="shared" si="50"/>
        <v>0.70000000000000029</v>
      </c>
      <c r="BY43" s="3">
        <f t="shared" si="11"/>
        <v>4.0509332279260599</v>
      </c>
      <c r="CB43" s="3">
        <f t="shared" si="51"/>
        <v>0.70000000000000029</v>
      </c>
      <c r="CC43" s="168">
        <f t="shared" si="52"/>
        <v>0.70000000000000029</v>
      </c>
      <c r="CD43" s="3">
        <f t="shared" si="12"/>
        <v>4.0509332279260599</v>
      </c>
      <c r="CG43" s="3">
        <f t="shared" si="53"/>
        <v>0.70000000000000029</v>
      </c>
      <c r="CH43" s="3">
        <f t="shared" si="54"/>
        <v>0.70000000000000029</v>
      </c>
      <c r="CI43" s="3">
        <f t="shared" si="13"/>
        <v>4.0509332279260599</v>
      </c>
      <c r="CL43" s="3">
        <f t="shared" si="55"/>
        <v>0.70000000000000029</v>
      </c>
      <c r="CM43" s="168">
        <f t="shared" si="56"/>
        <v>0.70000000000000029</v>
      </c>
      <c r="CN43" s="3">
        <f t="shared" si="14"/>
        <v>4.0509332279260599</v>
      </c>
      <c r="CQ43" s="3">
        <f t="shared" si="57"/>
        <v>0.70000000000000029</v>
      </c>
      <c r="CR43" s="168">
        <f t="shared" si="58"/>
        <v>0.70000000000000029</v>
      </c>
      <c r="CS43" s="3">
        <f t="shared" si="15"/>
        <v>4.0509332279260599</v>
      </c>
      <c r="CV43" s="3">
        <f t="shared" si="59"/>
        <v>0.70000000000000029</v>
      </c>
      <c r="CW43" s="3">
        <f t="shared" si="60"/>
        <v>0.70000000000000029</v>
      </c>
      <c r="CX43" s="3">
        <f t="shared" si="16"/>
        <v>4.0509332279260599</v>
      </c>
      <c r="DA43" s="3">
        <f t="shared" si="61"/>
        <v>0.70000000000000029</v>
      </c>
      <c r="DB43" s="168">
        <f t="shared" si="62"/>
        <v>0.70000000000000029</v>
      </c>
      <c r="DC43" s="3">
        <f t="shared" si="17"/>
        <v>4.0509332279260599</v>
      </c>
      <c r="DF43" s="3">
        <f t="shared" si="63"/>
        <v>0.70000000000000029</v>
      </c>
      <c r="DG43" s="168">
        <f t="shared" si="64"/>
        <v>0.70000000000000029</v>
      </c>
      <c r="DH43" s="3">
        <f t="shared" si="18"/>
        <v>4.0509332279260599</v>
      </c>
      <c r="DK43" s="3">
        <f t="shared" si="65"/>
        <v>0.70000000000000029</v>
      </c>
      <c r="DL43" s="3">
        <f t="shared" si="66"/>
        <v>0.70000000000000029</v>
      </c>
      <c r="DM43" s="3">
        <f t="shared" si="19"/>
        <v>4.0509332279260599</v>
      </c>
      <c r="DP43" s="3">
        <f t="shared" si="67"/>
        <v>0.70000000000000029</v>
      </c>
      <c r="DQ43" s="168">
        <f t="shared" si="68"/>
        <v>0.70000000000000029</v>
      </c>
      <c r="DR43" s="3">
        <f t="shared" si="20"/>
        <v>4.0509332279260599</v>
      </c>
      <c r="DU43" s="3">
        <f t="shared" si="69"/>
        <v>0.70000000000000029</v>
      </c>
      <c r="DV43" s="168">
        <f t="shared" si="70"/>
        <v>0.70000000000000029</v>
      </c>
      <c r="DW43" s="3">
        <f t="shared" si="21"/>
        <v>4.0509332279260599</v>
      </c>
      <c r="DZ43" s="3">
        <f t="shared" si="71"/>
        <v>0.70000000000000029</v>
      </c>
      <c r="EA43" s="3">
        <f t="shared" si="72"/>
        <v>0.70000000000000029</v>
      </c>
      <c r="EB43" s="3">
        <f t="shared" si="22"/>
        <v>4.0509332279260599</v>
      </c>
      <c r="EE43" s="3">
        <f t="shared" si="73"/>
        <v>0.70000000000000029</v>
      </c>
      <c r="EF43" s="168">
        <f t="shared" si="74"/>
        <v>0.70000000000000029</v>
      </c>
      <c r="EG43" s="3">
        <f t="shared" si="23"/>
        <v>4.0509332279260599</v>
      </c>
      <c r="EJ43" s="3">
        <f t="shared" si="75"/>
        <v>0.70000000000000029</v>
      </c>
      <c r="EK43" s="168">
        <f t="shared" si="76"/>
        <v>0.70000000000000029</v>
      </c>
      <c r="EL43" s="3">
        <f t="shared" si="24"/>
        <v>4.0509332279260599</v>
      </c>
      <c r="EO43" s="3">
        <f t="shared" si="77"/>
        <v>0.70000000000000029</v>
      </c>
      <c r="EP43" s="3">
        <f t="shared" si="78"/>
        <v>0.70000000000000029</v>
      </c>
      <c r="EQ43" s="3">
        <f t="shared" si="25"/>
        <v>4.0509332279260599</v>
      </c>
      <c r="ET43" s="3">
        <f t="shared" si="79"/>
        <v>0.70000000000000029</v>
      </c>
      <c r="EU43" s="168">
        <f t="shared" si="80"/>
        <v>0.70000000000000029</v>
      </c>
      <c r="EV43" s="3">
        <f t="shared" si="26"/>
        <v>4.0509332279260599</v>
      </c>
    </row>
    <row r="44" spans="20:152" s="3" customFormat="1" x14ac:dyDescent="0.3">
      <c r="T44" s="3">
        <f t="shared" si="27"/>
        <v>0.72000000000000031</v>
      </c>
      <c r="U44" s="168">
        <f t="shared" si="28"/>
        <v>0.72000000000000031</v>
      </c>
      <c r="V44" s="3">
        <f t="shared" si="0"/>
        <v>4.1122066624798421</v>
      </c>
      <c r="Y44" s="3">
        <f t="shared" si="29"/>
        <v>0.72000000000000031</v>
      </c>
      <c r="Z44" s="3">
        <f t="shared" si="30"/>
        <v>0.72000000000000031</v>
      </c>
      <c r="AA44" s="3">
        <f t="shared" si="1"/>
        <v>4.1122066624798421</v>
      </c>
      <c r="AD44" s="3">
        <f t="shared" si="31"/>
        <v>0.72000000000000031</v>
      </c>
      <c r="AE44" s="168">
        <f t="shared" si="32"/>
        <v>0.72000000000000031</v>
      </c>
      <c r="AF44" s="3">
        <f t="shared" si="2"/>
        <v>4.1122066624798421</v>
      </c>
      <c r="AI44" s="3">
        <f t="shared" si="33"/>
        <v>0.72000000000000031</v>
      </c>
      <c r="AJ44" s="168">
        <f t="shared" si="34"/>
        <v>0.72000000000000031</v>
      </c>
      <c r="AK44" s="3">
        <f t="shared" si="3"/>
        <v>4.1122066624798421</v>
      </c>
      <c r="AN44" s="3">
        <f t="shared" si="35"/>
        <v>0.72000000000000031</v>
      </c>
      <c r="AO44" s="3">
        <f t="shared" si="36"/>
        <v>0.72000000000000031</v>
      </c>
      <c r="AP44" s="3">
        <f t="shared" si="4"/>
        <v>4.1122066624798421</v>
      </c>
      <c r="AS44" s="3">
        <f t="shared" si="37"/>
        <v>0.72000000000000031</v>
      </c>
      <c r="AT44" s="168">
        <f t="shared" si="38"/>
        <v>0.72000000000000031</v>
      </c>
      <c r="AU44" s="3">
        <f t="shared" si="5"/>
        <v>4.1122066624798421</v>
      </c>
      <c r="AX44" s="3">
        <f t="shared" si="39"/>
        <v>0.72000000000000031</v>
      </c>
      <c r="AY44" s="168">
        <f t="shared" si="40"/>
        <v>0.72000000000000031</v>
      </c>
      <c r="AZ44" s="3">
        <f t="shared" si="6"/>
        <v>4.1122066624798421</v>
      </c>
      <c r="BC44" s="3">
        <f t="shared" si="41"/>
        <v>0.72000000000000031</v>
      </c>
      <c r="BD44" s="3">
        <f t="shared" si="42"/>
        <v>0.72000000000000031</v>
      </c>
      <c r="BE44" s="3">
        <f t="shared" si="7"/>
        <v>4.1122066624798421</v>
      </c>
      <c r="BH44" s="3">
        <f t="shared" si="43"/>
        <v>0.72000000000000031</v>
      </c>
      <c r="BI44" s="168">
        <f t="shared" si="44"/>
        <v>0.72000000000000031</v>
      </c>
      <c r="BJ44" s="3">
        <f t="shared" si="8"/>
        <v>4.1122066624798421</v>
      </c>
      <c r="BM44" s="3">
        <f t="shared" si="45"/>
        <v>0.72000000000000031</v>
      </c>
      <c r="BN44" s="168">
        <f t="shared" si="46"/>
        <v>0.72000000000000031</v>
      </c>
      <c r="BO44" s="3">
        <f t="shared" si="9"/>
        <v>4.1122066624798421</v>
      </c>
      <c r="BR44" s="3">
        <f t="shared" si="47"/>
        <v>0.72000000000000031</v>
      </c>
      <c r="BS44" s="3">
        <f t="shared" si="48"/>
        <v>0.72000000000000031</v>
      </c>
      <c r="BT44" s="3">
        <f t="shared" si="10"/>
        <v>4.1122066624798421</v>
      </c>
      <c r="BW44" s="3">
        <f t="shared" si="49"/>
        <v>0.72000000000000031</v>
      </c>
      <c r="BX44" s="168">
        <f t="shared" si="50"/>
        <v>0.72000000000000031</v>
      </c>
      <c r="BY44" s="3">
        <f t="shared" si="11"/>
        <v>4.1122066624798421</v>
      </c>
      <c r="CB44" s="3">
        <f t="shared" si="51"/>
        <v>0.72000000000000031</v>
      </c>
      <c r="CC44" s="168">
        <f t="shared" si="52"/>
        <v>0.72000000000000031</v>
      </c>
      <c r="CD44" s="3">
        <f t="shared" si="12"/>
        <v>4.1122066624798421</v>
      </c>
      <c r="CG44" s="3">
        <f t="shared" si="53"/>
        <v>0.72000000000000031</v>
      </c>
      <c r="CH44" s="3">
        <f t="shared" si="54"/>
        <v>0.72000000000000031</v>
      </c>
      <c r="CI44" s="3">
        <f t="shared" si="13"/>
        <v>4.1122066624798421</v>
      </c>
      <c r="CL44" s="3">
        <f t="shared" si="55"/>
        <v>0.72000000000000031</v>
      </c>
      <c r="CM44" s="168">
        <f t="shared" si="56"/>
        <v>0.72000000000000031</v>
      </c>
      <c r="CN44" s="3">
        <f t="shared" si="14"/>
        <v>4.1122066624798421</v>
      </c>
      <c r="CQ44" s="3">
        <f t="shared" si="57"/>
        <v>0.72000000000000031</v>
      </c>
      <c r="CR44" s="168">
        <f t="shared" si="58"/>
        <v>0.72000000000000031</v>
      </c>
      <c r="CS44" s="3">
        <f t="shared" si="15"/>
        <v>4.1122066624798421</v>
      </c>
      <c r="CV44" s="3">
        <f t="shared" si="59"/>
        <v>0.72000000000000031</v>
      </c>
      <c r="CW44" s="3">
        <f t="shared" si="60"/>
        <v>0.72000000000000031</v>
      </c>
      <c r="CX44" s="3">
        <f t="shared" si="16"/>
        <v>4.1122066624798421</v>
      </c>
      <c r="DA44" s="3">
        <f t="shared" si="61"/>
        <v>0.72000000000000031</v>
      </c>
      <c r="DB44" s="168">
        <f t="shared" si="62"/>
        <v>0.72000000000000031</v>
      </c>
      <c r="DC44" s="3">
        <f t="shared" si="17"/>
        <v>4.1122066624798421</v>
      </c>
      <c r="DF44" s="3">
        <f t="shared" si="63"/>
        <v>0.72000000000000031</v>
      </c>
      <c r="DG44" s="168">
        <f t="shared" si="64"/>
        <v>0.72000000000000031</v>
      </c>
      <c r="DH44" s="3">
        <f t="shared" si="18"/>
        <v>4.1122066624798421</v>
      </c>
      <c r="DK44" s="3">
        <f t="shared" si="65"/>
        <v>0.72000000000000031</v>
      </c>
      <c r="DL44" s="3">
        <f t="shared" si="66"/>
        <v>0.72000000000000031</v>
      </c>
      <c r="DM44" s="3">
        <f t="shared" si="19"/>
        <v>4.1122066624798421</v>
      </c>
      <c r="DP44" s="3">
        <f t="shared" si="67"/>
        <v>0.72000000000000031</v>
      </c>
      <c r="DQ44" s="168">
        <f t="shared" si="68"/>
        <v>0.72000000000000031</v>
      </c>
      <c r="DR44" s="3">
        <f t="shared" si="20"/>
        <v>4.1122066624798421</v>
      </c>
      <c r="DU44" s="3">
        <f t="shared" si="69"/>
        <v>0.72000000000000031</v>
      </c>
      <c r="DV44" s="168">
        <f t="shared" si="70"/>
        <v>0.72000000000000031</v>
      </c>
      <c r="DW44" s="3">
        <f t="shared" si="21"/>
        <v>4.1122066624798421</v>
      </c>
      <c r="DZ44" s="3">
        <f t="shared" si="71"/>
        <v>0.72000000000000031</v>
      </c>
      <c r="EA44" s="3">
        <f t="shared" si="72"/>
        <v>0.72000000000000031</v>
      </c>
      <c r="EB44" s="3">
        <f t="shared" si="22"/>
        <v>4.1122066624798421</v>
      </c>
      <c r="EE44" s="3">
        <f t="shared" si="73"/>
        <v>0.72000000000000031</v>
      </c>
      <c r="EF44" s="168">
        <f t="shared" si="74"/>
        <v>0.72000000000000031</v>
      </c>
      <c r="EG44" s="3">
        <f t="shared" si="23"/>
        <v>4.1122066624798421</v>
      </c>
      <c r="EJ44" s="3">
        <f t="shared" si="75"/>
        <v>0.72000000000000031</v>
      </c>
      <c r="EK44" s="168">
        <f t="shared" si="76"/>
        <v>0.72000000000000031</v>
      </c>
      <c r="EL44" s="3">
        <f t="shared" si="24"/>
        <v>4.1122066624798421</v>
      </c>
      <c r="EO44" s="3">
        <f t="shared" si="77"/>
        <v>0.72000000000000031</v>
      </c>
      <c r="EP44" s="3">
        <f t="shared" si="78"/>
        <v>0.72000000000000031</v>
      </c>
      <c r="EQ44" s="3">
        <f t="shared" si="25"/>
        <v>4.1122066624798421</v>
      </c>
      <c r="ET44" s="3">
        <f t="shared" si="79"/>
        <v>0.72000000000000031</v>
      </c>
      <c r="EU44" s="168">
        <f t="shared" si="80"/>
        <v>0.72000000000000031</v>
      </c>
      <c r="EV44" s="3">
        <f t="shared" si="26"/>
        <v>4.1122066624798421</v>
      </c>
    </row>
    <row r="45" spans="20:152" s="3" customFormat="1" x14ac:dyDescent="0.3">
      <c r="T45" s="3">
        <f t="shared" si="27"/>
        <v>0.74000000000000032</v>
      </c>
      <c r="U45" s="168">
        <f t="shared" si="28"/>
        <v>0.74000000000000032</v>
      </c>
      <c r="V45" s="3">
        <f t="shared" si="0"/>
        <v>4.1707715843057773</v>
      </c>
      <c r="Y45" s="3">
        <f t="shared" si="29"/>
        <v>0.74000000000000032</v>
      </c>
      <c r="Z45" s="3">
        <f t="shared" si="30"/>
        <v>0.74000000000000032</v>
      </c>
      <c r="AA45" s="3">
        <f t="shared" si="1"/>
        <v>4.1707715843057773</v>
      </c>
      <c r="AD45" s="3">
        <f t="shared" si="31"/>
        <v>0.74000000000000032</v>
      </c>
      <c r="AE45" s="168">
        <f t="shared" si="32"/>
        <v>0.74000000000000032</v>
      </c>
      <c r="AF45" s="3">
        <f t="shared" si="2"/>
        <v>4.1707715843057773</v>
      </c>
      <c r="AI45" s="3">
        <f t="shared" si="33"/>
        <v>0.74000000000000032</v>
      </c>
      <c r="AJ45" s="168">
        <f t="shared" si="34"/>
        <v>0.74000000000000032</v>
      </c>
      <c r="AK45" s="3">
        <f t="shared" si="3"/>
        <v>4.1707715843057773</v>
      </c>
      <c r="AN45" s="3">
        <f t="shared" si="35"/>
        <v>0.74000000000000032</v>
      </c>
      <c r="AO45" s="3">
        <f t="shared" si="36"/>
        <v>0.74000000000000032</v>
      </c>
      <c r="AP45" s="3">
        <f t="shared" si="4"/>
        <v>4.1707715843057773</v>
      </c>
      <c r="AS45" s="3">
        <f t="shared" si="37"/>
        <v>0.74000000000000032</v>
      </c>
      <c r="AT45" s="168">
        <f t="shared" si="38"/>
        <v>0.74000000000000032</v>
      </c>
      <c r="AU45" s="3">
        <f t="shared" si="5"/>
        <v>4.1707715843057773</v>
      </c>
      <c r="AX45" s="3">
        <f t="shared" si="39"/>
        <v>0.74000000000000032</v>
      </c>
      <c r="AY45" s="168">
        <f t="shared" si="40"/>
        <v>0.74000000000000032</v>
      </c>
      <c r="AZ45" s="3">
        <f t="shared" si="6"/>
        <v>4.1707715843057773</v>
      </c>
      <c r="BC45" s="3">
        <f t="shared" si="41"/>
        <v>0.74000000000000032</v>
      </c>
      <c r="BD45" s="3">
        <f t="shared" si="42"/>
        <v>0.74000000000000032</v>
      </c>
      <c r="BE45" s="3">
        <f t="shared" si="7"/>
        <v>4.1707715843057773</v>
      </c>
      <c r="BH45" s="3">
        <f t="shared" si="43"/>
        <v>0.74000000000000032</v>
      </c>
      <c r="BI45" s="168">
        <f t="shared" si="44"/>
        <v>0.74000000000000032</v>
      </c>
      <c r="BJ45" s="3">
        <f t="shared" si="8"/>
        <v>4.1707715843057773</v>
      </c>
      <c r="BM45" s="3">
        <f t="shared" si="45"/>
        <v>0.74000000000000032</v>
      </c>
      <c r="BN45" s="168">
        <f t="shared" si="46"/>
        <v>0.74000000000000032</v>
      </c>
      <c r="BO45" s="3">
        <f t="shared" si="9"/>
        <v>4.1707715843057773</v>
      </c>
      <c r="BR45" s="3">
        <f t="shared" si="47"/>
        <v>0.74000000000000032</v>
      </c>
      <c r="BS45" s="3">
        <f t="shared" si="48"/>
        <v>0.74000000000000032</v>
      </c>
      <c r="BT45" s="3">
        <f t="shared" si="10"/>
        <v>4.1707715843057773</v>
      </c>
      <c r="BW45" s="3">
        <f t="shared" si="49"/>
        <v>0.74000000000000032</v>
      </c>
      <c r="BX45" s="168">
        <f t="shared" si="50"/>
        <v>0.74000000000000032</v>
      </c>
      <c r="BY45" s="3">
        <f t="shared" si="11"/>
        <v>4.1707715843057773</v>
      </c>
      <c r="CB45" s="3">
        <f t="shared" si="51"/>
        <v>0.74000000000000032</v>
      </c>
      <c r="CC45" s="168">
        <f t="shared" si="52"/>
        <v>0.74000000000000032</v>
      </c>
      <c r="CD45" s="3">
        <f t="shared" si="12"/>
        <v>4.1707715843057773</v>
      </c>
      <c r="CG45" s="3">
        <f t="shared" si="53"/>
        <v>0.74000000000000032</v>
      </c>
      <c r="CH45" s="3">
        <f t="shared" si="54"/>
        <v>0.74000000000000032</v>
      </c>
      <c r="CI45" s="3">
        <f t="shared" si="13"/>
        <v>4.1707715843057773</v>
      </c>
      <c r="CL45" s="3">
        <f t="shared" si="55"/>
        <v>0.74000000000000032</v>
      </c>
      <c r="CM45" s="168">
        <f t="shared" si="56"/>
        <v>0.74000000000000032</v>
      </c>
      <c r="CN45" s="3">
        <f t="shared" si="14"/>
        <v>4.1707715843057773</v>
      </c>
      <c r="CQ45" s="3">
        <f t="shared" si="57"/>
        <v>0.74000000000000032</v>
      </c>
      <c r="CR45" s="168">
        <f t="shared" si="58"/>
        <v>0.74000000000000032</v>
      </c>
      <c r="CS45" s="3">
        <f t="shared" si="15"/>
        <v>4.1707715843057773</v>
      </c>
      <c r="CV45" s="3">
        <f t="shared" si="59"/>
        <v>0.74000000000000032</v>
      </c>
      <c r="CW45" s="3">
        <f t="shared" si="60"/>
        <v>0.74000000000000032</v>
      </c>
      <c r="CX45" s="3">
        <f t="shared" si="16"/>
        <v>4.1707715843057773</v>
      </c>
      <c r="DA45" s="3">
        <f t="shared" si="61"/>
        <v>0.74000000000000032</v>
      </c>
      <c r="DB45" s="168">
        <f t="shared" si="62"/>
        <v>0.74000000000000032</v>
      </c>
      <c r="DC45" s="3">
        <f t="shared" si="17"/>
        <v>4.1707715843057773</v>
      </c>
      <c r="DF45" s="3">
        <f t="shared" si="63"/>
        <v>0.74000000000000032</v>
      </c>
      <c r="DG45" s="168">
        <f t="shared" si="64"/>
        <v>0.74000000000000032</v>
      </c>
      <c r="DH45" s="3">
        <f t="shared" si="18"/>
        <v>4.1707715843057773</v>
      </c>
      <c r="DK45" s="3">
        <f t="shared" si="65"/>
        <v>0.74000000000000032</v>
      </c>
      <c r="DL45" s="3">
        <f t="shared" si="66"/>
        <v>0.74000000000000032</v>
      </c>
      <c r="DM45" s="3">
        <f t="shared" si="19"/>
        <v>4.1707715843057773</v>
      </c>
      <c r="DP45" s="3">
        <f t="shared" si="67"/>
        <v>0.74000000000000032</v>
      </c>
      <c r="DQ45" s="168">
        <f t="shared" si="68"/>
        <v>0.74000000000000032</v>
      </c>
      <c r="DR45" s="3">
        <f t="shared" si="20"/>
        <v>4.1707715843057773</v>
      </c>
      <c r="DU45" s="3">
        <f t="shared" si="69"/>
        <v>0.74000000000000032</v>
      </c>
      <c r="DV45" s="168">
        <f t="shared" si="70"/>
        <v>0.74000000000000032</v>
      </c>
      <c r="DW45" s="3">
        <f t="shared" si="21"/>
        <v>4.1707715843057773</v>
      </c>
      <c r="DZ45" s="3">
        <f t="shared" si="71"/>
        <v>0.74000000000000032</v>
      </c>
      <c r="EA45" s="3">
        <f t="shared" si="72"/>
        <v>0.74000000000000032</v>
      </c>
      <c r="EB45" s="3">
        <f t="shared" si="22"/>
        <v>4.1707715843057773</v>
      </c>
      <c r="EE45" s="3">
        <f t="shared" si="73"/>
        <v>0.74000000000000032</v>
      </c>
      <c r="EF45" s="168">
        <f t="shared" si="74"/>
        <v>0.74000000000000032</v>
      </c>
      <c r="EG45" s="3">
        <f t="shared" si="23"/>
        <v>4.1707715843057773</v>
      </c>
      <c r="EJ45" s="3">
        <f t="shared" si="75"/>
        <v>0.74000000000000032</v>
      </c>
      <c r="EK45" s="168">
        <f t="shared" si="76"/>
        <v>0.74000000000000032</v>
      </c>
      <c r="EL45" s="3">
        <f t="shared" si="24"/>
        <v>4.1707715843057773</v>
      </c>
      <c r="EO45" s="3">
        <f t="shared" si="77"/>
        <v>0.74000000000000032</v>
      </c>
      <c r="EP45" s="3">
        <f t="shared" si="78"/>
        <v>0.74000000000000032</v>
      </c>
      <c r="EQ45" s="3">
        <f t="shared" si="25"/>
        <v>4.1707715843057773</v>
      </c>
      <c r="ET45" s="3">
        <f t="shared" si="79"/>
        <v>0.74000000000000032</v>
      </c>
      <c r="EU45" s="168">
        <f t="shared" si="80"/>
        <v>0.74000000000000032</v>
      </c>
      <c r="EV45" s="3">
        <f t="shared" si="26"/>
        <v>4.1707715843057773</v>
      </c>
    </row>
    <row r="46" spans="20:152" s="3" customFormat="1" x14ac:dyDescent="0.3">
      <c r="T46" s="3">
        <f t="shared" si="27"/>
        <v>0.76000000000000034</v>
      </c>
      <c r="U46" s="168">
        <f t="shared" si="28"/>
        <v>0.76000000000000034</v>
      </c>
      <c r="V46" s="3">
        <f t="shared" si="0"/>
        <v>4.2266279934038655</v>
      </c>
      <c r="Y46" s="3">
        <f t="shared" si="29"/>
        <v>0.76000000000000034</v>
      </c>
      <c r="Z46" s="3">
        <f t="shared" si="30"/>
        <v>0.76000000000000034</v>
      </c>
      <c r="AA46" s="3">
        <f t="shared" si="1"/>
        <v>4.2266279934038655</v>
      </c>
      <c r="AD46" s="3">
        <f t="shared" si="31"/>
        <v>0.76000000000000034</v>
      </c>
      <c r="AE46" s="168">
        <f t="shared" si="32"/>
        <v>0.76000000000000034</v>
      </c>
      <c r="AF46" s="3">
        <f t="shared" si="2"/>
        <v>4.2266279934038655</v>
      </c>
      <c r="AI46" s="3">
        <f t="shared" si="33"/>
        <v>0.76000000000000034</v>
      </c>
      <c r="AJ46" s="168">
        <f t="shared" si="34"/>
        <v>0.76000000000000034</v>
      </c>
      <c r="AK46" s="3">
        <f t="shared" si="3"/>
        <v>4.2266279934038655</v>
      </c>
      <c r="AN46" s="3">
        <f t="shared" si="35"/>
        <v>0.76000000000000034</v>
      </c>
      <c r="AO46" s="3">
        <f t="shared" si="36"/>
        <v>0.76000000000000034</v>
      </c>
      <c r="AP46" s="3">
        <f t="shared" si="4"/>
        <v>4.2266279934038655</v>
      </c>
      <c r="AS46" s="3">
        <f t="shared" si="37"/>
        <v>0.76000000000000034</v>
      </c>
      <c r="AT46" s="168">
        <f t="shared" si="38"/>
        <v>0.76000000000000034</v>
      </c>
      <c r="AU46" s="3">
        <f t="shared" si="5"/>
        <v>4.2266279934038655</v>
      </c>
      <c r="AX46" s="3">
        <f t="shared" si="39"/>
        <v>0.76000000000000034</v>
      </c>
      <c r="AY46" s="168">
        <f t="shared" si="40"/>
        <v>0.76000000000000034</v>
      </c>
      <c r="AZ46" s="3">
        <f t="shared" si="6"/>
        <v>4.2266279934038655</v>
      </c>
      <c r="BC46" s="3">
        <f t="shared" si="41"/>
        <v>0.76000000000000034</v>
      </c>
      <c r="BD46" s="3">
        <f t="shared" si="42"/>
        <v>0.76000000000000034</v>
      </c>
      <c r="BE46" s="3">
        <f t="shared" si="7"/>
        <v>4.2266279934038655</v>
      </c>
      <c r="BH46" s="3">
        <f t="shared" si="43"/>
        <v>0.76000000000000034</v>
      </c>
      <c r="BI46" s="168">
        <f t="shared" si="44"/>
        <v>0.76000000000000034</v>
      </c>
      <c r="BJ46" s="3">
        <f t="shared" si="8"/>
        <v>4.2266279934038655</v>
      </c>
      <c r="BM46" s="3">
        <f t="shared" si="45"/>
        <v>0.76000000000000034</v>
      </c>
      <c r="BN46" s="168">
        <f t="shared" si="46"/>
        <v>0.76000000000000034</v>
      </c>
      <c r="BO46" s="3">
        <f t="shared" si="9"/>
        <v>4.2266279934038655</v>
      </c>
      <c r="BR46" s="3">
        <f t="shared" si="47"/>
        <v>0.76000000000000034</v>
      </c>
      <c r="BS46" s="3">
        <f t="shared" si="48"/>
        <v>0.76000000000000034</v>
      </c>
      <c r="BT46" s="3">
        <f t="shared" si="10"/>
        <v>4.2266279934038655</v>
      </c>
      <c r="BW46" s="3">
        <f t="shared" si="49"/>
        <v>0.76000000000000034</v>
      </c>
      <c r="BX46" s="168">
        <f t="shared" si="50"/>
        <v>0.76000000000000034</v>
      </c>
      <c r="BY46" s="3">
        <f t="shared" si="11"/>
        <v>4.2266279934038655</v>
      </c>
      <c r="CB46" s="3">
        <f t="shared" si="51"/>
        <v>0.76000000000000034</v>
      </c>
      <c r="CC46" s="168">
        <f t="shared" si="52"/>
        <v>0.76000000000000034</v>
      </c>
      <c r="CD46" s="3">
        <f t="shared" si="12"/>
        <v>4.2266279934038655</v>
      </c>
      <c r="CG46" s="3">
        <f t="shared" si="53"/>
        <v>0.76000000000000034</v>
      </c>
      <c r="CH46" s="3">
        <f t="shared" si="54"/>
        <v>0.76000000000000034</v>
      </c>
      <c r="CI46" s="3">
        <f t="shared" si="13"/>
        <v>4.2266279934038655</v>
      </c>
      <c r="CL46" s="3">
        <f t="shared" si="55"/>
        <v>0.76000000000000034</v>
      </c>
      <c r="CM46" s="168">
        <f t="shared" si="56"/>
        <v>0.76000000000000034</v>
      </c>
      <c r="CN46" s="3">
        <f t="shared" si="14"/>
        <v>4.2266279934038655</v>
      </c>
      <c r="CQ46" s="3">
        <f t="shared" si="57"/>
        <v>0.76000000000000034</v>
      </c>
      <c r="CR46" s="168">
        <f t="shared" si="58"/>
        <v>0.76000000000000034</v>
      </c>
      <c r="CS46" s="3">
        <f t="shared" si="15"/>
        <v>4.2266279934038655</v>
      </c>
      <c r="CV46" s="3">
        <f t="shared" si="59"/>
        <v>0.76000000000000034</v>
      </c>
      <c r="CW46" s="3">
        <f t="shared" si="60"/>
        <v>0.76000000000000034</v>
      </c>
      <c r="CX46" s="3">
        <f t="shared" si="16"/>
        <v>4.2266279934038655</v>
      </c>
      <c r="DA46" s="3">
        <f t="shared" si="61"/>
        <v>0.76000000000000034</v>
      </c>
      <c r="DB46" s="168">
        <f t="shared" si="62"/>
        <v>0.76000000000000034</v>
      </c>
      <c r="DC46" s="3">
        <f t="shared" si="17"/>
        <v>4.2266279934038655</v>
      </c>
      <c r="DF46" s="3">
        <f t="shared" si="63"/>
        <v>0.76000000000000034</v>
      </c>
      <c r="DG46" s="168">
        <f t="shared" si="64"/>
        <v>0.76000000000000034</v>
      </c>
      <c r="DH46" s="3">
        <f t="shared" si="18"/>
        <v>4.2266279934038655</v>
      </c>
      <c r="DK46" s="3">
        <f t="shared" si="65"/>
        <v>0.76000000000000034</v>
      </c>
      <c r="DL46" s="3">
        <f t="shared" si="66"/>
        <v>0.76000000000000034</v>
      </c>
      <c r="DM46" s="3">
        <f t="shared" si="19"/>
        <v>4.2266279934038655</v>
      </c>
      <c r="DP46" s="3">
        <f t="shared" si="67"/>
        <v>0.76000000000000034</v>
      </c>
      <c r="DQ46" s="168">
        <f t="shared" si="68"/>
        <v>0.76000000000000034</v>
      </c>
      <c r="DR46" s="3">
        <f t="shared" si="20"/>
        <v>4.2266279934038655</v>
      </c>
      <c r="DU46" s="3">
        <f t="shared" si="69"/>
        <v>0.76000000000000034</v>
      </c>
      <c r="DV46" s="168">
        <f t="shared" si="70"/>
        <v>0.76000000000000034</v>
      </c>
      <c r="DW46" s="3">
        <f t="shared" si="21"/>
        <v>4.2266279934038655</v>
      </c>
      <c r="DZ46" s="3">
        <f t="shared" si="71"/>
        <v>0.76000000000000034</v>
      </c>
      <c r="EA46" s="3">
        <f t="shared" si="72"/>
        <v>0.76000000000000034</v>
      </c>
      <c r="EB46" s="3">
        <f t="shared" si="22"/>
        <v>4.2266279934038655</v>
      </c>
      <c r="EE46" s="3">
        <f t="shared" si="73"/>
        <v>0.76000000000000034</v>
      </c>
      <c r="EF46" s="168">
        <f t="shared" si="74"/>
        <v>0.76000000000000034</v>
      </c>
      <c r="EG46" s="3">
        <f t="shared" si="23"/>
        <v>4.2266279934038655</v>
      </c>
      <c r="EJ46" s="3">
        <f t="shared" si="75"/>
        <v>0.76000000000000034</v>
      </c>
      <c r="EK46" s="168">
        <f t="shared" si="76"/>
        <v>0.76000000000000034</v>
      </c>
      <c r="EL46" s="3">
        <f t="shared" si="24"/>
        <v>4.2266279934038655</v>
      </c>
      <c r="EO46" s="3">
        <f t="shared" si="77"/>
        <v>0.76000000000000034</v>
      </c>
      <c r="EP46" s="3">
        <f t="shared" si="78"/>
        <v>0.76000000000000034</v>
      </c>
      <c r="EQ46" s="3">
        <f t="shared" si="25"/>
        <v>4.2266279934038655</v>
      </c>
      <c r="ET46" s="3">
        <f t="shared" si="79"/>
        <v>0.76000000000000034</v>
      </c>
      <c r="EU46" s="168">
        <f t="shared" si="80"/>
        <v>0.76000000000000034</v>
      </c>
      <c r="EV46" s="3">
        <f t="shared" si="26"/>
        <v>4.2266279934038655</v>
      </c>
    </row>
    <row r="47" spans="20:152" s="3" customFormat="1" x14ac:dyDescent="0.3">
      <c r="T47" s="3">
        <f t="shared" si="27"/>
        <v>0.78000000000000036</v>
      </c>
      <c r="U47" s="168">
        <f t="shared" si="28"/>
        <v>0.78000000000000036</v>
      </c>
      <c r="V47" s="3">
        <f t="shared" si="0"/>
        <v>4.2797758897741076</v>
      </c>
      <c r="Y47" s="3">
        <f t="shared" si="29"/>
        <v>0.78000000000000036</v>
      </c>
      <c r="Z47" s="3">
        <f t="shared" si="30"/>
        <v>0.78000000000000036</v>
      </c>
      <c r="AA47" s="3">
        <f t="shared" si="1"/>
        <v>4.2797758897741076</v>
      </c>
      <c r="AD47" s="3">
        <f t="shared" si="31"/>
        <v>0.78000000000000036</v>
      </c>
      <c r="AE47" s="168">
        <f t="shared" si="32"/>
        <v>0.78000000000000036</v>
      </c>
      <c r="AF47" s="3">
        <f t="shared" si="2"/>
        <v>4.2797758897741076</v>
      </c>
      <c r="AI47" s="3">
        <f t="shared" si="33"/>
        <v>0.78000000000000036</v>
      </c>
      <c r="AJ47" s="168">
        <f t="shared" si="34"/>
        <v>0.78000000000000036</v>
      </c>
      <c r="AK47" s="3">
        <f t="shared" si="3"/>
        <v>4.2797758897741076</v>
      </c>
      <c r="AN47" s="3">
        <f t="shared" si="35"/>
        <v>0.78000000000000036</v>
      </c>
      <c r="AO47" s="3">
        <f t="shared" si="36"/>
        <v>0.78000000000000036</v>
      </c>
      <c r="AP47" s="3">
        <f t="shared" si="4"/>
        <v>4.2797758897741076</v>
      </c>
      <c r="AS47" s="3">
        <f t="shared" si="37"/>
        <v>0.78000000000000036</v>
      </c>
      <c r="AT47" s="168">
        <f t="shared" si="38"/>
        <v>0.78000000000000036</v>
      </c>
      <c r="AU47" s="3">
        <f t="shared" si="5"/>
        <v>4.2797758897741076</v>
      </c>
      <c r="AX47" s="3">
        <f t="shared" si="39"/>
        <v>0.78000000000000036</v>
      </c>
      <c r="AY47" s="168">
        <f t="shared" si="40"/>
        <v>0.78000000000000036</v>
      </c>
      <c r="AZ47" s="3">
        <f t="shared" si="6"/>
        <v>4.2797758897741076</v>
      </c>
      <c r="BC47" s="3">
        <f t="shared" si="41"/>
        <v>0.78000000000000036</v>
      </c>
      <c r="BD47" s="3">
        <f t="shared" si="42"/>
        <v>0.78000000000000036</v>
      </c>
      <c r="BE47" s="3">
        <f t="shared" si="7"/>
        <v>4.2797758897741076</v>
      </c>
      <c r="BH47" s="3">
        <f t="shared" si="43"/>
        <v>0.78000000000000036</v>
      </c>
      <c r="BI47" s="168">
        <f t="shared" si="44"/>
        <v>0.78000000000000036</v>
      </c>
      <c r="BJ47" s="3">
        <f t="shared" si="8"/>
        <v>4.2797758897741076</v>
      </c>
      <c r="BM47" s="3">
        <f t="shared" si="45"/>
        <v>0.78000000000000036</v>
      </c>
      <c r="BN47" s="168">
        <f t="shared" si="46"/>
        <v>0.78000000000000036</v>
      </c>
      <c r="BO47" s="3">
        <f t="shared" si="9"/>
        <v>4.2797758897741076</v>
      </c>
      <c r="BR47" s="3">
        <f t="shared" si="47"/>
        <v>0.78000000000000036</v>
      </c>
      <c r="BS47" s="3">
        <f t="shared" si="48"/>
        <v>0.78000000000000036</v>
      </c>
      <c r="BT47" s="3">
        <f t="shared" si="10"/>
        <v>4.2797758897741076</v>
      </c>
      <c r="BW47" s="3">
        <f t="shared" si="49"/>
        <v>0.78000000000000036</v>
      </c>
      <c r="BX47" s="168">
        <f t="shared" si="50"/>
        <v>0.78000000000000036</v>
      </c>
      <c r="BY47" s="3">
        <f t="shared" si="11"/>
        <v>4.2797758897741076</v>
      </c>
      <c r="CB47" s="3">
        <f t="shared" si="51"/>
        <v>0.78000000000000036</v>
      </c>
      <c r="CC47" s="168">
        <f t="shared" si="52"/>
        <v>0.78000000000000036</v>
      </c>
      <c r="CD47" s="3">
        <f t="shared" si="12"/>
        <v>4.2797758897741076</v>
      </c>
      <c r="CG47" s="3">
        <f t="shared" si="53"/>
        <v>0.78000000000000036</v>
      </c>
      <c r="CH47" s="3">
        <f t="shared" si="54"/>
        <v>0.78000000000000036</v>
      </c>
      <c r="CI47" s="3">
        <f t="shared" si="13"/>
        <v>4.2797758897741076</v>
      </c>
      <c r="CL47" s="3">
        <f t="shared" si="55"/>
        <v>0.78000000000000036</v>
      </c>
      <c r="CM47" s="168">
        <f t="shared" si="56"/>
        <v>0.78000000000000036</v>
      </c>
      <c r="CN47" s="3">
        <f t="shared" si="14"/>
        <v>4.2797758897741076</v>
      </c>
      <c r="CQ47" s="3">
        <f t="shared" si="57"/>
        <v>0.78000000000000036</v>
      </c>
      <c r="CR47" s="168">
        <f t="shared" si="58"/>
        <v>0.78000000000000036</v>
      </c>
      <c r="CS47" s="3">
        <f t="shared" si="15"/>
        <v>4.2797758897741076</v>
      </c>
      <c r="CV47" s="3">
        <f t="shared" si="59"/>
        <v>0.78000000000000036</v>
      </c>
      <c r="CW47" s="3">
        <f t="shared" si="60"/>
        <v>0.78000000000000036</v>
      </c>
      <c r="CX47" s="3">
        <f t="shared" si="16"/>
        <v>4.2797758897741076</v>
      </c>
      <c r="DA47" s="3">
        <f t="shared" si="61"/>
        <v>0.78000000000000036</v>
      </c>
      <c r="DB47" s="168">
        <f t="shared" si="62"/>
        <v>0.78000000000000036</v>
      </c>
      <c r="DC47" s="3">
        <f t="shared" si="17"/>
        <v>4.2797758897741076</v>
      </c>
      <c r="DF47" s="3">
        <f t="shared" si="63"/>
        <v>0.78000000000000036</v>
      </c>
      <c r="DG47" s="168">
        <f t="shared" si="64"/>
        <v>0.78000000000000036</v>
      </c>
      <c r="DH47" s="3">
        <f t="shared" si="18"/>
        <v>4.2797758897741076</v>
      </c>
      <c r="DK47" s="3">
        <f t="shared" si="65"/>
        <v>0.78000000000000036</v>
      </c>
      <c r="DL47" s="3">
        <f t="shared" si="66"/>
        <v>0.78000000000000036</v>
      </c>
      <c r="DM47" s="3">
        <f t="shared" si="19"/>
        <v>4.2797758897741076</v>
      </c>
      <c r="DP47" s="3">
        <f t="shared" si="67"/>
        <v>0.78000000000000036</v>
      </c>
      <c r="DQ47" s="168">
        <f t="shared" si="68"/>
        <v>0.78000000000000036</v>
      </c>
      <c r="DR47" s="3">
        <f t="shared" si="20"/>
        <v>4.2797758897741076</v>
      </c>
      <c r="DU47" s="3">
        <f t="shared" si="69"/>
        <v>0.78000000000000036</v>
      </c>
      <c r="DV47" s="168">
        <f t="shared" si="70"/>
        <v>0.78000000000000036</v>
      </c>
      <c r="DW47" s="3">
        <f t="shared" si="21"/>
        <v>4.2797758897741076</v>
      </c>
      <c r="DZ47" s="3">
        <f t="shared" si="71"/>
        <v>0.78000000000000036</v>
      </c>
      <c r="EA47" s="3">
        <f t="shared" si="72"/>
        <v>0.78000000000000036</v>
      </c>
      <c r="EB47" s="3">
        <f t="shared" si="22"/>
        <v>4.2797758897741076</v>
      </c>
      <c r="EE47" s="3">
        <f t="shared" si="73"/>
        <v>0.78000000000000036</v>
      </c>
      <c r="EF47" s="168">
        <f t="shared" si="74"/>
        <v>0.78000000000000036</v>
      </c>
      <c r="EG47" s="3">
        <f t="shared" si="23"/>
        <v>4.2797758897741076</v>
      </c>
      <c r="EJ47" s="3">
        <f t="shared" si="75"/>
        <v>0.78000000000000036</v>
      </c>
      <c r="EK47" s="168">
        <f t="shared" si="76"/>
        <v>0.78000000000000036</v>
      </c>
      <c r="EL47" s="3">
        <f t="shared" si="24"/>
        <v>4.2797758897741076</v>
      </c>
      <c r="EO47" s="3">
        <f t="shared" si="77"/>
        <v>0.78000000000000036</v>
      </c>
      <c r="EP47" s="3">
        <f t="shared" si="78"/>
        <v>0.78000000000000036</v>
      </c>
      <c r="EQ47" s="3">
        <f t="shared" si="25"/>
        <v>4.2797758897741076</v>
      </c>
      <c r="ET47" s="3">
        <f t="shared" si="79"/>
        <v>0.78000000000000036</v>
      </c>
      <c r="EU47" s="168">
        <f t="shared" si="80"/>
        <v>0.78000000000000036</v>
      </c>
      <c r="EV47" s="3">
        <f t="shared" si="26"/>
        <v>4.2797758897741076</v>
      </c>
    </row>
    <row r="48" spans="20:152" s="3" customFormat="1" x14ac:dyDescent="0.3">
      <c r="T48" s="3">
        <f t="shared" si="27"/>
        <v>0.80000000000000038</v>
      </c>
      <c r="U48" s="168">
        <f t="shared" si="28"/>
        <v>0.80000000000000038</v>
      </c>
      <c r="V48" s="3">
        <f t="shared" si="0"/>
        <v>4.3302152734165018</v>
      </c>
      <c r="Y48" s="3">
        <f t="shared" si="29"/>
        <v>0.80000000000000038</v>
      </c>
      <c r="Z48" s="3">
        <f t="shared" si="30"/>
        <v>0.80000000000000038</v>
      </c>
      <c r="AA48" s="3">
        <f t="shared" si="1"/>
        <v>4.3302152734165018</v>
      </c>
      <c r="AD48" s="3">
        <f t="shared" si="31"/>
        <v>0.80000000000000038</v>
      </c>
      <c r="AE48" s="168">
        <f t="shared" si="32"/>
        <v>0.80000000000000038</v>
      </c>
      <c r="AF48" s="3">
        <f t="shared" si="2"/>
        <v>4.3302152734165018</v>
      </c>
      <c r="AI48" s="3">
        <f t="shared" si="33"/>
        <v>0.80000000000000038</v>
      </c>
      <c r="AJ48" s="168">
        <f t="shared" si="34"/>
        <v>0.80000000000000038</v>
      </c>
      <c r="AK48" s="3">
        <f t="shared" si="3"/>
        <v>4.3302152734165018</v>
      </c>
      <c r="AN48" s="3">
        <f t="shared" si="35"/>
        <v>0.80000000000000038</v>
      </c>
      <c r="AO48" s="3">
        <f t="shared" si="36"/>
        <v>0.80000000000000038</v>
      </c>
      <c r="AP48" s="3">
        <f t="shared" si="4"/>
        <v>4.3302152734165018</v>
      </c>
      <c r="AS48" s="3">
        <f t="shared" si="37"/>
        <v>0.80000000000000038</v>
      </c>
      <c r="AT48" s="168">
        <f t="shared" si="38"/>
        <v>0.80000000000000038</v>
      </c>
      <c r="AU48" s="3">
        <f t="shared" si="5"/>
        <v>4.3302152734165018</v>
      </c>
      <c r="AX48" s="3">
        <f t="shared" si="39"/>
        <v>0.80000000000000038</v>
      </c>
      <c r="AY48" s="168">
        <f t="shared" si="40"/>
        <v>0.80000000000000038</v>
      </c>
      <c r="AZ48" s="3">
        <f t="shared" si="6"/>
        <v>4.3302152734165018</v>
      </c>
      <c r="BC48" s="3">
        <f t="shared" si="41"/>
        <v>0.80000000000000038</v>
      </c>
      <c r="BD48" s="3">
        <f t="shared" si="42"/>
        <v>0.80000000000000038</v>
      </c>
      <c r="BE48" s="3">
        <f t="shared" si="7"/>
        <v>4.3302152734165018</v>
      </c>
      <c r="BH48" s="3">
        <f t="shared" si="43"/>
        <v>0.80000000000000038</v>
      </c>
      <c r="BI48" s="168">
        <f t="shared" si="44"/>
        <v>0.80000000000000038</v>
      </c>
      <c r="BJ48" s="3">
        <f t="shared" si="8"/>
        <v>4.3302152734165018</v>
      </c>
      <c r="BM48" s="3">
        <f t="shared" si="45"/>
        <v>0.80000000000000038</v>
      </c>
      <c r="BN48" s="168">
        <f t="shared" si="46"/>
        <v>0.80000000000000038</v>
      </c>
      <c r="BO48" s="3">
        <f t="shared" si="9"/>
        <v>4.3302152734165018</v>
      </c>
      <c r="BR48" s="3">
        <f t="shared" si="47"/>
        <v>0.80000000000000038</v>
      </c>
      <c r="BS48" s="3">
        <f t="shared" si="48"/>
        <v>0.80000000000000038</v>
      </c>
      <c r="BT48" s="3">
        <f t="shared" si="10"/>
        <v>4.3302152734165018</v>
      </c>
      <c r="BW48" s="3">
        <f t="shared" si="49"/>
        <v>0.80000000000000038</v>
      </c>
      <c r="BX48" s="168">
        <f t="shared" si="50"/>
        <v>0.80000000000000038</v>
      </c>
      <c r="BY48" s="3">
        <f t="shared" si="11"/>
        <v>4.3302152734165018</v>
      </c>
      <c r="CB48" s="3">
        <f t="shared" si="51"/>
        <v>0.80000000000000038</v>
      </c>
      <c r="CC48" s="168">
        <f t="shared" si="52"/>
        <v>0.80000000000000038</v>
      </c>
      <c r="CD48" s="3">
        <f t="shared" si="12"/>
        <v>4.3302152734165018</v>
      </c>
      <c r="CG48" s="3">
        <f t="shared" si="53"/>
        <v>0.80000000000000038</v>
      </c>
      <c r="CH48" s="3">
        <f t="shared" si="54"/>
        <v>0.80000000000000038</v>
      </c>
      <c r="CI48" s="3">
        <f t="shared" si="13"/>
        <v>4.3302152734165018</v>
      </c>
      <c r="CL48" s="3">
        <f t="shared" si="55"/>
        <v>0.80000000000000038</v>
      </c>
      <c r="CM48" s="168">
        <f t="shared" si="56"/>
        <v>0.80000000000000038</v>
      </c>
      <c r="CN48" s="3">
        <f t="shared" si="14"/>
        <v>4.3302152734165018</v>
      </c>
      <c r="CQ48" s="3">
        <f t="shared" si="57"/>
        <v>0.80000000000000038</v>
      </c>
      <c r="CR48" s="168">
        <f t="shared" si="58"/>
        <v>0.80000000000000038</v>
      </c>
      <c r="CS48" s="3">
        <f t="shared" si="15"/>
        <v>4.3302152734165018</v>
      </c>
      <c r="CV48" s="3">
        <f t="shared" si="59"/>
        <v>0.80000000000000038</v>
      </c>
      <c r="CW48" s="3">
        <f t="shared" si="60"/>
        <v>0.80000000000000038</v>
      </c>
      <c r="CX48" s="3">
        <f t="shared" si="16"/>
        <v>4.3302152734165018</v>
      </c>
      <c r="DA48" s="3">
        <f t="shared" si="61"/>
        <v>0.80000000000000038</v>
      </c>
      <c r="DB48" s="168">
        <f t="shared" si="62"/>
        <v>0.80000000000000038</v>
      </c>
      <c r="DC48" s="3">
        <f t="shared" si="17"/>
        <v>4.3302152734165018</v>
      </c>
      <c r="DF48" s="3">
        <f t="shared" si="63"/>
        <v>0.80000000000000038</v>
      </c>
      <c r="DG48" s="168">
        <f t="shared" si="64"/>
        <v>0.80000000000000038</v>
      </c>
      <c r="DH48" s="3">
        <f t="shared" si="18"/>
        <v>4.3302152734165018</v>
      </c>
      <c r="DK48" s="3">
        <f t="shared" si="65"/>
        <v>0.80000000000000038</v>
      </c>
      <c r="DL48" s="3">
        <f t="shared" si="66"/>
        <v>0.80000000000000038</v>
      </c>
      <c r="DM48" s="3">
        <f t="shared" si="19"/>
        <v>4.3302152734165018</v>
      </c>
      <c r="DP48" s="3">
        <f t="shared" si="67"/>
        <v>0.80000000000000038</v>
      </c>
      <c r="DQ48" s="168">
        <f t="shared" si="68"/>
        <v>0.80000000000000038</v>
      </c>
      <c r="DR48" s="3">
        <f t="shared" si="20"/>
        <v>4.3302152734165018</v>
      </c>
      <c r="DU48" s="3">
        <f t="shared" si="69"/>
        <v>0.80000000000000038</v>
      </c>
      <c r="DV48" s="168">
        <f t="shared" si="70"/>
        <v>0.80000000000000038</v>
      </c>
      <c r="DW48" s="3">
        <f t="shared" si="21"/>
        <v>4.3302152734165018</v>
      </c>
      <c r="DZ48" s="3">
        <f t="shared" si="71"/>
        <v>0.80000000000000038</v>
      </c>
      <c r="EA48" s="3">
        <f t="shared" si="72"/>
        <v>0.80000000000000038</v>
      </c>
      <c r="EB48" s="3">
        <f t="shared" si="22"/>
        <v>4.3302152734165018</v>
      </c>
      <c r="EE48" s="3">
        <f t="shared" si="73"/>
        <v>0.80000000000000038</v>
      </c>
      <c r="EF48" s="168">
        <f t="shared" si="74"/>
        <v>0.80000000000000038</v>
      </c>
      <c r="EG48" s="3">
        <f t="shared" si="23"/>
        <v>4.3302152734165018</v>
      </c>
      <c r="EJ48" s="3">
        <f t="shared" si="75"/>
        <v>0.80000000000000038</v>
      </c>
      <c r="EK48" s="168">
        <f t="shared" si="76"/>
        <v>0.80000000000000038</v>
      </c>
      <c r="EL48" s="3">
        <f t="shared" si="24"/>
        <v>4.3302152734165018</v>
      </c>
      <c r="EO48" s="3">
        <f t="shared" si="77"/>
        <v>0.80000000000000038</v>
      </c>
      <c r="EP48" s="3">
        <f t="shared" si="78"/>
        <v>0.80000000000000038</v>
      </c>
      <c r="EQ48" s="3">
        <f t="shared" si="25"/>
        <v>4.3302152734165018</v>
      </c>
      <c r="ET48" s="3">
        <f t="shared" si="79"/>
        <v>0.80000000000000038</v>
      </c>
      <c r="EU48" s="168">
        <f t="shared" si="80"/>
        <v>0.80000000000000038</v>
      </c>
      <c r="EV48" s="3">
        <f t="shared" si="26"/>
        <v>4.3302152734165018</v>
      </c>
    </row>
    <row r="49" spans="20:152" s="3" customFormat="1" x14ac:dyDescent="0.3">
      <c r="T49" s="3">
        <f t="shared" si="27"/>
        <v>0.8200000000000004</v>
      </c>
      <c r="U49" s="168">
        <f t="shared" si="28"/>
        <v>0.8200000000000004</v>
      </c>
      <c r="V49" s="3">
        <f t="shared" si="0"/>
        <v>4.377946144331049</v>
      </c>
      <c r="Y49" s="3">
        <f t="shared" si="29"/>
        <v>0.8200000000000004</v>
      </c>
      <c r="Z49" s="3">
        <f t="shared" si="30"/>
        <v>0.8200000000000004</v>
      </c>
      <c r="AA49" s="3">
        <f t="shared" si="1"/>
        <v>4.377946144331049</v>
      </c>
      <c r="AD49" s="3">
        <f t="shared" si="31"/>
        <v>0.8200000000000004</v>
      </c>
      <c r="AE49" s="168">
        <f t="shared" si="32"/>
        <v>0.8200000000000004</v>
      </c>
      <c r="AF49" s="3">
        <f t="shared" si="2"/>
        <v>4.377946144331049</v>
      </c>
      <c r="AI49" s="3">
        <f t="shared" si="33"/>
        <v>0.8200000000000004</v>
      </c>
      <c r="AJ49" s="168">
        <f t="shared" si="34"/>
        <v>0.8200000000000004</v>
      </c>
      <c r="AK49" s="3">
        <f t="shared" si="3"/>
        <v>4.377946144331049</v>
      </c>
      <c r="AN49" s="3">
        <f t="shared" si="35"/>
        <v>0.8200000000000004</v>
      </c>
      <c r="AO49" s="3">
        <f t="shared" si="36"/>
        <v>0.8200000000000004</v>
      </c>
      <c r="AP49" s="3">
        <f t="shared" si="4"/>
        <v>4.377946144331049</v>
      </c>
      <c r="AS49" s="3">
        <f t="shared" si="37"/>
        <v>0.8200000000000004</v>
      </c>
      <c r="AT49" s="168">
        <f t="shared" si="38"/>
        <v>0.8200000000000004</v>
      </c>
      <c r="AU49" s="3">
        <f t="shared" si="5"/>
        <v>4.377946144331049</v>
      </c>
      <c r="AX49" s="3">
        <f t="shared" si="39"/>
        <v>0.8200000000000004</v>
      </c>
      <c r="AY49" s="168">
        <f t="shared" si="40"/>
        <v>0.8200000000000004</v>
      </c>
      <c r="AZ49" s="3">
        <f t="shared" si="6"/>
        <v>4.377946144331049</v>
      </c>
      <c r="BC49" s="3">
        <f t="shared" si="41"/>
        <v>0.8200000000000004</v>
      </c>
      <c r="BD49" s="3">
        <f t="shared" si="42"/>
        <v>0.8200000000000004</v>
      </c>
      <c r="BE49" s="3">
        <f t="shared" si="7"/>
        <v>4.377946144331049</v>
      </c>
      <c r="BH49" s="3">
        <f t="shared" si="43"/>
        <v>0.8200000000000004</v>
      </c>
      <c r="BI49" s="168">
        <f t="shared" si="44"/>
        <v>0.8200000000000004</v>
      </c>
      <c r="BJ49" s="3">
        <f t="shared" si="8"/>
        <v>4.377946144331049</v>
      </c>
      <c r="BM49" s="3">
        <f t="shared" si="45"/>
        <v>0.8200000000000004</v>
      </c>
      <c r="BN49" s="168">
        <f t="shared" si="46"/>
        <v>0.8200000000000004</v>
      </c>
      <c r="BO49" s="3">
        <f t="shared" si="9"/>
        <v>4.377946144331049</v>
      </c>
      <c r="BR49" s="3">
        <f t="shared" si="47"/>
        <v>0.8200000000000004</v>
      </c>
      <c r="BS49" s="3">
        <f t="shared" si="48"/>
        <v>0.8200000000000004</v>
      </c>
      <c r="BT49" s="3">
        <f t="shared" si="10"/>
        <v>4.377946144331049</v>
      </c>
      <c r="BW49" s="3">
        <f t="shared" si="49"/>
        <v>0.8200000000000004</v>
      </c>
      <c r="BX49" s="168">
        <f t="shared" si="50"/>
        <v>0.8200000000000004</v>
      </c>
      <c r="BY49" s="3">
        <f t="shared" si="11"/>
        <v>4.377946144331049</v>
      </c>
      <c r="CB49" s="3">
        <f t="shared" si="51"/>
        <v>0.8200000000000004</v>
      </c>
      <c r="CC49" s="168">
        <f t="shared" si="52"/>
        <v>0.8200000000000004</v>
      </c>
      <c r="CD49" s="3">
        <f t="shared" si="12"/>
        <v>4.377946144331049</v>
      </c>
      <c r="CG49" s="3">
        <f t="shared" si="53"/>
        <v>0.8200000000000004</v>
      </c>
      <c r="CH49" s="3">
        <f t="shared" si="54"/>
        <v>0.8200000000000004</v>
      </c>
      <c r="CI49" s="3">
        <f t="shared" si="13"/>
        <v>4.377946144331049</v>
      </c>
      <c r="CL49" s="3">
        <f t="shared" si="55"/>
        <v>0.8200000000000004</v>
      </c>
      <c r="CM49" s="168">
        <f t="shared" si="56"/>
        <v>0.8200000000000004</v>
      </c>
      <c r="CN49" s="3">
        <f t="shared" si="14"/>
        <v>4.377946144331049</v>
      </c>
      <c r="CQ49" s="3">
        <f t="shared" si="57"/>
        <v>0.8200000000000004</v>
      </c>
      <c r="CR49" s="168">
        <f t="shared" si="58"/>
        <v>0.8200000000000004</v>
      </c>
      <c r="CS49" s="3">
        <f t="shared" si="15"/>
        <v>4.377946144331049</v>
      </c>
      <c r="CV49" s="3">
        <f t="shared" si="59"/>
        <v>0.8200000000000004</v>
      </c>
      <c r="CW49" s="3">
        <f t="shared" si="60"/>
        <v>0.8200000000000004</v>
      </c>
      <c r="CX49" s="3">
        <f t="shared" si="16"/>
        <v>4.377946144331049</v>
      </c>
      <c r="DA49" s="3">
        <f t="shared" si="61"/>
        <v>0.8200000000000004</v>
      </c>
      <c r="DB49" s="168">
        <f t="shared" si="62"/>
        <v>0.8200000000000004</v>
      </c>
      <c r="DC49" s="3">
        <f t="shared" si="17"/>
        <v>4.377946144331049</v>
      </c>
      <c r="DF49" s="3">
        <f t="shared" si="63"/>
        <v>0.8200000000000004</v>
      </c>
      <c r="DG49" s="168">
        <f t="shared" si="64"/>
        <v>0.8200000000000004</v>
      </c>
      <c r="DH49" s="3">
        <f t="shared" si="18"/>
        <v>4.377946144331049</v>
      </c>
      <c r="DK49" s="3">
        <f t="shared" si="65"/>
        <v>0.8200000000000004</v>
      </c>
      <c r="DL49" s="3">
        <f t="shared" si="66"/>
        <v>0.8200000000000004</v>
      </c>
      <c r="DM49" s="3">
        <f t="shared" si="19"/>
        <v>4.377946144331049</v>
      </c>
      <c r="DP49" s="3">
        <f t="shared" si="67"/>
        <v>0.8200000000000004</v>
      </c>
      <c r="DQ49" s="168">
        <f t="shared" si="68"/>
        <v>0.8200000000000004</v>
      </c>
      <c r="DR49" s="3">
        <f t="shared" si="20"/>
        <v>4.377946144331049</v>
      </c>
      <c r="DU49" s="3">
        <f t="shared" si="69"/>
        <v>0.8200000000000004</v>
      </c>
      <c r="DV49" s="168">
        <f t="shared" si="70"/>
        <v>0.8200000000000004</v>
      </c>
      <c r="DW49" s="3">
        <f t="shared" si="21"/>
        <v>4.377946144331049</v>
      </c>
      <c r="DZ49" s="3">
        <f t="shared" si="71"/>
        <v>0.8200000000000004</v>
      </c>
      <c r="EA49" s="3">
        <f t="shared" si="72"/>
        <v>0.8200000000000004</v>
      </c>
      <c r="EB49" s="3">
        <f t="shared" si="22"/>
        <v>4.377946144331049</v>
      </c>
      <c r="EE49" s="3">
        <f t="shared" si="73"/>
        <v>0.8200000000000004</v>
      </c>
      <c r="EF49" s="168">
        <f t="shared" si="74"/>
        <v>0.8200000000000004</v>
      </c>
      <c r="EG49" s="3">
        <f t="shared" si="23"/>
        <v>4.377946144331049</v>
      </c>
      <c r="EJ49" s="3">
        <f t="shared" si="75"/>
        <v>0.8200000000000004</v>
      </c>
      <c r="EK49" s="168">
        <f t="shared" si="76"/>
        <v>0.8200000000000004</v>
      </c>
      <c r="EL49" s="3">
        <f t="shared" si="24"/>
        <v>4.377946144331049</v>
      </c>
      <c r="EO49" s="3">
        <f t="shared" si="77"/>
        <v>0.8200000000000004</v>
      </c>
      <c r="EP49" s="3">
        <f t="shared" si="78"/>
        <v>0.8200000000000004</v>
      </c>
      <c r="EQ49" s="3">
        <f t="shared" si="25"/>
        <v>4.377946144331049</v>
      </c>
      <c r="ET49" s="3">
        <f t="shared" si="79"/>
        <v>0.8200000000000004</v>
      </c>
      <c r="EU49" s="168">
        <f t="shared" si="80"/>
        <v>0.8200000000000004</v>
      </c>
      <c r="EV49" s="3">
        <f t="shared" si="26"/>
        <v>4.377946144331049</v>
      </c>
    </row>
    <row r="50" spans="20:152" s="3" customFormat="1" x14ac:dyDescent="0.3">
      <c r="T50" s="3">
        <f t="shared" si="27"/>
        <v>0.84000000000000041</v>
      </c>
      <c r="U50" s="168">
        <f t="shared" si="28"/>
        <v>0.84000000000000041</v>
      </c>
      <c r="V50" s="3">
        <f t="shared" si="0"/>
        <v>4.4229685025177492</v>
      </c>
      <c r="Y50" s="3">
        <f t="shared" si="29"/>
        <v>0.84000000000000041</v>
      </c>
      <c r="Z50" s="3">
        <f t="shared" si="30"/>
        <v>0.84000000000000041</v>
      </c>
      <c r="AA50" s="3">
        <f t="shared" si="1"/>
        <v>4.4229685025177492</v>
      </c>
      <c r="AD50" s="3">
        <f t="shared" si="31"/>
        <v>0.84000000000000041</v>
      </c>
      <c r="AE50" s="168">
        <f t="shared" si="32"/>
        <v>0.84000000000000041</v>
      </c>
      <c r="AF50" s="3">
        <f t="shared" si="2"/>
        <v>4.4229685025177492</v>
      </c>
      <c r="AI50" s="3">
        <f t="shared" si="33"/>
        <v>0.84000000000000041</v>
      </c>
      <c r="AJ50" s="168">
        <f t="shared" si="34"/>
        <v>0.84000000000000041</v>
      </c>
      <c r="AK50" s="3">
        <f t="shared" si="3"/>
        <v>4.4229685025177492</v>
      </c>
      <c r="AN50" s="3">
        <f t="shared" si="35"/>
        <v>0.84000000000000041</v>
      </c>
      <c r="AO50" s="3">
        <f t="shared" si="36"/>
        <v>0.84000000000000041</v>
      </c>
      <c r="AP50" s="3">
        <f t="shared" si="4"/>
        <v>4.4229685025177492</v>
      </c>
      <c r="AS50" s="3">
        <f t="shared" si="37"/>
        <v>0.84000000000000041</v>
      </c>
      <c r="AT50" s="168">
        <f t="shared" si="38"/>
        <v>0.84000000000000041</v>
      </c>
      <c r="AU50" s="3">
        <f t="shared" si="5"/>
        <v>4.4229685025177492</v>
      </c>
      <c r="AX50" s="3">
        <f t="shared" si="39"/>
        <v>0.84000000000000041</v>
      </c>
      <c r="AY50" s="168">
        <f t="shared" si="40"/>
        <v>0.84000000000000041</v>
      </c>
      <c r="AZ50" s="3">
        <f t="shared" si="6"/>
        <v>4.4229685025177492</v>
      </c>
      <c r="BC50" s="3">
        <f t="shared" si="41"/>
        <v>0.84000000000000041</v>
      </c>
      <c r="BD50" s="3">
        <f t="shared" si="42"/>
        <v>0.84000000000000041</v>
      </c>
      <c r="BE50" s="3">
        <f t="shared" si="7"/>
        <v>4.4229685025177492</v>
      </c>
      <c r="BH50" s="3">
        <f t="shared" si="43"/>
        <v>0.84000000000000041</v>
      </c>
      <c r="BI50" s="168">
        <f t="shared" si="44"/>
        <v>0.84000000000000041</v>
      </c>
      <c r="BJ50" s="3">
        <f t="shared" si="8"/>
        <v>4.4229685025177492</v>
      </c>
      <c r="BM50" s="3">
        <f t="shared" si="45"/>
        <v>0.84000000000000041</v>
      </c>
      <c r="BN50" s="168">
        <f t="shared" si="46"/>
        <v>0.84000000000000041</v>
      </c>
      <c r="BO50" s="3">
        <f t="shared" si="9"/>
        <v>4.4229685025177492</v>
      </c>
      <c r="BR50" s="3">
        <f t="shared" si="47"/>
        <v>0.84000000000000041</v>
      </c>
      <c r="BS50" s="3">
        <f t="shared" si="48"/>
        <v>0.84000000000000041</v>
      </c>
      <c r="BT50" s="3">
        <f t="shared" si="10"/>
        <v>4.4229685025177492</v>
      </c>
      <c r="BW50" s="3">
        <f t="shared" si="49"/>
        <v>0.84000000000000041</v>
      </c>
      <c r="BX50" s="168">
        <f t="shared" si="50"/>
        <v>0.84000000000000041</v>
      </c>
      <c r="BY50" s="3">
        <f t="shared" si="11"/>
        <v>4.4229685025177492</v>
      </c>
      <c r="CB50" s="3">
        <f t="shared" si="51"/>
        <v>0.84000000000000041</v>
      </c>
      <c r="CC50" s="168">
        <f t="shared" si="52"/>
        <v>0.84000000000000041</v>
      </c>
      <c r="CD50" s="3">
        <f t="shared" si="12"/>
        <v>4.4229685025177492</v>
      </c>
      <c r="CG50" s="3">
        <f t="shared" si="53"/>
        <v>0.84000000000000041</v>
      </c>
      <c r="CH50" s="3">
        <f t="shared" si="54"/>
        <v>0.84000000000000041</v>
      </c>
      <c r="CI50" s="3">
        <f t="shared" si="13"/>
        <v>4.4229685025177492</v>
      </c>
      <c r="CL50" s="3">
        <f t="shared" si="55"/>
        <v>0.84000000000000041</v>
      </c>
      <c r="CM50" s="168">
        <f t="shared" si="56"/>
        <v>0.84000000000000041</v>
      </c>
      <c r="CN50" s="3">
        <f t="shared" si="14"/>
        <v>4.4229685025177492</v>
      </c>
      <c r="CQ50" s="3">
        <f t="shared" si="57"/>
        <v>0.84000000000000041</v>
      </c>
      <c r="CR50" s="168">
        <f t="shared" si="58"/>
        <v>0.84000000000000041</v>
      </c>
      <c r="CS50" s="3">
        <f t="shared" si="15"/>
        <v>4.4229685025177492</v>
      </c>
      <c r="CV50" s="3">
        <f t="shared" si="59"/>
        <v>0.84000000000000041</v>
      </c>
      <c r="CW50" s="3">
        <f t="shared" si="60"/>
        <v>0.84000000000000041</v>
      </c>
      <c r="CX50" s="3">
        <f t="shared" si="16"/>
        <v>4.4229685025177492</v>
      </c>
      <c r="DA50" s="3">
        <f t="shared" si="61"/>
        <v>0.84000000000000041</v>
      </c>
      <c r="DB50" s="168">
        <f t="shared" si="62"/>
        <v>0.84000000000000041</v>
      </c>
      <c r="DC50" s="3">
        <f t="shared" si="17"/>
        <v>4.4229685025177492</v>
      </c>
      <c r="DF50" s="3">
        <f t="shared" si="63"/>
        <v>0.84000000000000041</v>
      </c>
      <c r="DG50" s="168">
        <f t="shared" si="64"/>
        <v>0.84000000000000041</v>
      </c>
      <c r="DH50" s="3">
        <f t="shared" si="18"/>
        <v>4.4229685025177492</v>
      </c>
      <c r="DK50" s="3">
        <f t="shared" si="65"/>
        <v>0.84000000000000041</v>
      </c>
      <c r="DL50" s="3">
        <f t="shared" si="66"/>
        <v>0.84000000000000041</v>
      </c>
      <c r="DM50" s="3">
        <f t="shared" si="19"/>
        <v>4.4229685025177492</v>
      </c>
      <c r="DP50" s="3">
        <f t="shared" si="67"/>
        <v>0.84000000000000041</v>
      </c>
      <c r="DQ50" s="168">
        <f t="shared" si="68"/>
        <v>0.84000000000000041</v>
      </c>
      <c r="DR50" s="3">
        <f t="shared" si="20"/>
        <v>4.4229685025177492</v>
      </c>
      <c r="DU50" s="3">
        <f t="shared" si="69"/>
        <v>0.84000000000000041</v>
      </c>
      <c r="DV50" s="168">
        <f t="shared" si="70"/>
        <v>0.84000000000000041</v>
      </c>
      <c r="DW50" s="3">
        <f t="shared" si="21"/>
        <v>4.4229685025177492</v>
      </c>
      <c r="DZ50" s="3">
        <f t="shared" si="71"/>
        <v>0.84000000000000041</v>
      </c>
      <c r="EA50" s="3">
        <f t="shared" si="72"/>
        <v>0.84000000000000041</v>
      </c>
      <c r="EB50" s="3">
        <f t="shared" si="22"/>
        <v>4.4229685025177492</v>
      </c>
      <c r="EE50" s="3">
        <f t="shared" si="73"/>
        <v>0.84000000000000041</v>
      </c>
      <c r="EF50" s="168">
        <f t="shared" si="74"/>
        <v>0.84000000000000041</v>
      </c>
      <c r="EG50" s="3">
        <f t="shared" si="23"/>
        <v>4.4229685025177492</v>
      </c>
      <c r="EJ50" s="3">
        <f t="shared" si="75"/>
        <v>0.84000000000000041</v>
      </c>
      <c r="EK50" s="168">
        <f t="shared" si="76"/>
        <v>0.84000000000000041</v>
      </c>
      <c r="EL50" s="3">
        <f t="shared" si="24"/>
        <v>4.4229685025177492</v>
      </c>
      <c r="EO50" s="3">
        <f t="shared" si="77"/>
        <v>0.84000000000000041</v>
      </c>
      <c r="EP50" s="3">
        <f t="shared" si="78"/>
        <v>0.84000000000000041</v>
      </c>
      <c r="EQ50" s="3">
        <f t="shared" si="25"/>
        <v>4.4229685025177492</v>
      </c>
      <c r="ET50" s="3">
        <f t="shared" si="79"/>
        <v>0.84000000000000041</v>
      </c>
      <c r="EU50" s="168">
        <f t="shared" si="80"/>
        <v>0.84000000000000041</v>
      </c>
      <c r="EV50" s="3">
        <f t="shared" si="26"/>
        <v>4.4229685025177492</v>
      </c>
    </row>
    <row r="51" spans="20:152" s="3" customFormat="1" x14ac:dyDescent="0.3">
      <c r="T51" s="3">
        <f t="shared" si="27"/>
        <v>0.86000000000000043</v>
      </c>
      <c r="U51" s="168">
        <f t="shared" si="28"/>
        <v>0.86000000000000043</v>
      </c>
      <c r="V51" s="3">
        <f t="shared" si="0"/>
        <v>4.4652823479766033</v>
      </c>
      <c r="Y51" s="3">
        <f t="shared" si="29"/>
        <v>0.86000000000000043</v>
      </c>
      <c r="Z51" s="3">
        <f t="shared" si="30"/>
        <v>0.86000000000000043</v>
      </c>
      <c r="AA51" s="3">
        <f t="shared" si="1"/>
        <v>4.4652823479766033</v>
      </c>
      <c r="AD51" s="3">
        <f t="shared" si="31"/>
        <v>0.86000000000000043</v>
      </c>
      <c r="AE51" s="168">
        <f t="shared" si="32"/>
        <v>0.86000000000000043</v>
      </c>
      <c r="AF51" s="3">
        <f t="shared" si="2"/>
        <v>4.4652823479766033</v>
      </c>
      <c r="AI51" s="3">
        <f t="shared" si="33"/>
        <v>0.86000000000000043</v>
      </c>
      <c r="AJ51" s="168">
        <f t="shared" si="34"/>
        <v>0.86000000000000043</v>
      </c>
      <c r="AK51" s="3">
        <f t="shared" si="3"/>
        <v>4.4652823479766033</v>
      </c>
      <c r="AN51" s="3">
        <f t="shared" si="35"/>
        <v>0.86000000000000043</v>
      </c>
      <c r="AO51" s="3">
        <f t="shared" si="36"/>
        <v>0.86000000000000043</v>
      </c>
      <c r="AP51" s="3">
        <f t="shared" si="4"/>
        <v>4.4652823479766033</v>
      </c>
      <c r="AS51" s="3">
        <f t="shared" si="37"/>
        <v>0.86000000000000043</v>
      </c>
      <c r="AT51" s="168">
        <f t="shared" si="38"/>
        <v>0.86000000000000043</v>
      </c>
      <c r="AU51" s="3">
        <f t="shared" si="5"/>
        <v>4.4652823479766033</v>
      </c>
      <c r="AX51" s="3">
        <f t="shared" si="39"/>
        <v>0.86000000000000043</v>
      </c>
      <c r="AY51" s="168">
        <f t="shared" si="40"/>
        <v>0.86000000000000043</v>
      </c>
      <c r="AZ51" s="3">
        <f t="shared" si="6"/>
        <v>4.4652823479766033</v>
      </c>
      <c r="BC51" s="3">
        <f t="shared" si="41"/>
        <v>0.86000000000000043</v>
      </c>
      <c r="BD51" s="3">
        <f t="shared" si="42"/>
        <v>0.86000000000000043</v>
      </c>
      <c r="BE51" s="3">
        <f t="shared" si="7"/>
        <v>4.4652823479766033</v>
      </c>
      <c r="BH51" s="3">
        <f t="shared" si="43"/>
        <v>0.86000000000000043</v>
      </c>
      <c r="BI51" s="168">
        <f t="shared" si="44"/>
        <v>0.86000000000000043</v>
      </c>
      <c r="BJ51" s="3">
        <f t="shared" si="8"/>
        <v>4.4652823479766033</v>
      </c>
      <c r="BM51" s="3">
        <f t="shared" si="45"/>
        <v>0.86000000000000043</v>
      </c>
      <c r="BN51" s="168">
        <f t="shared" si="46"/>
        <v>0.86000000000000043</v>
      </c>
      <c r="BO51" s="3">
        <f t="shared" si="9"/>
        <v>4.4652823479766033</v>
      </c>
      <c r="BR51" s="3">
        <f t="shared" si="47"/>
        <v>0.86000000000000043</v>
      </c>
      <c r="BS51" s="3">
        <f t="shared" si="48"/>
        <v>0.86000000000000043</v>
      </c>
      <c r="BT51" s="3">
        <f t="shared" si="10"/>
        <v>4.4652823479766033</v>
      </c>
      <c r="BW51" s="3">
        <f t="shared" si="49"/>
        <v>0.86000000000000043</v>
      </c>
      <c r="BX51" s="168">
        <f t="shared" si="50"/>
        <v>0.86000000000000043</v>
      </c>
      <c r="BY51" s="3">
        <f t="shared" si="11"/>
        <v>4.4652823479766033</v>
      </c>
      <c r="CB51" s="3">
        <f t="shared" si="51"/>
        <v>0.86000000000000043</v>
      </c>
      <c r="CC51" s="168">
        <f t="shared" si="52"/>
        <v>0.86000000000000043</v>
      </c>
      <c r="CD51" s="3">
        <f t="shared" si="12"/>
        <v>4.4652823479766033</v>
      </c>
      <c r="CG51" s="3">
        <f t="shared" si="53"/>
        <v>0.86000000000000043</v>
      </c>
      <c r="CH51" s="3">
        <f t="shared" si="54"/>
        <v>0.86000000000000043</v>
      </c>
      <c r="CI51" s="3">
        <f t="shared" si="13"/>
        <v>4.4652823479766033</v>
      </c>
      <c r="CL51" s="3">
        <f t="shared" si="55"/>
        <v>0.86000000000000043</v>
      </c>
      <c r="CM51" s="168">
        <f t="shared" si="56"/>
        <v>0.86000000000000043</v>
      </c>
      <c r="CN51" s="3">
        <f t="shared" si="14"/>
        <v>4.4652823479766033</v>
      </c>
      <c r="CQ51" s="3">
        <f t="shared" si="57"/>
        <v>0.86000000000000043</v>
      </c>
      <c r="CR51" s="168">
        <f t="shared" si="58"/>
        <v>0.86000000000000043</v>
      </c>
      <c r="CS51" s="3">
        <f t="shared" si="15"/>
        <v>4.4652823479766033</v>
      </c>
      <c r="CV51" s="3">
        <f t="shared" si="59"/>
        <v>0.86000000000000043</v>
      </c>
      <c r="CW51" s="3">
        <f t="shared" si="60"/>
        <v>0.86000000000000043</v>
      </c>
      <c r="CX51" s="3">
        <f t="shared" si="16"/>
        <v>4.4652823479766033</v>
      </c>
      <c r="DA51" s="3">
        <f t="shared" si="61"/>
        <v>0.86000000000000043</v>
      </c>
      <c r="DB51" s="168">
        <f t="shared" si="62"/>
        <v>0.86000000000000043</v>
      </c>
      <c r="DC51" s="3">
        <f t="shared" si="17"/>
        <v>4.4652823479766033</v>
      </c>
      <c r="DF51" s="3">
        <f t="shared" si="63"/>
        <v>0.86000000000000043</v>
      </c>
      <c r="DG51" s="168">
        <f t="shared" si="64"/>
        <v>0.86000000000000043</v>
      </c>
      <c r="DH51" s="3">
        <f t="shared" si="18"/>
        <v>4.4652823479766033</v>
      </c>
      <c r="DK51" s="3">
        <f t="shared" si="65"/>
        <v>0.86000000000000043</v>
      </c>
      <c r="DL51" s="3">
        <f t="shared" si="66"/>
        <v>0.86000000000000043</v>
      </c>
      <c r="DM51" s="3">
        <f t="shared" si="19"/>
        <v>4.4652823479766033</v>
      </c>
      <c r="DP51" s="3">
        <f t="shared" si="67"/>
        <v>0.86000000000000043</v>
      </c>
      <c r="DQ51" s="168">
        <f t="shared" si="68"/>
        <v>0.86000000000000043</v>
      </c>
      <c r="DR51" s="3">
        <f t="shared" si="20"/>
        <v>4.4652823479766033</v>
      </c>
      <c r="DU51" s="3">
        <f t="shared" si="69"/>
        <v>0.86000000000000043</v>
      </c>
      <c r="DV51" s="168">
        <f t="shared" si="70"/>
        <v>0.86000000000000043</v>
      </c>
      <c r="DW51" s="3">
        <f t="shared" si="21"/>
        <v>4.4652823479766033</v>
      </c>
      <c r="DZ51" s="3">
        <f t="shared" si="71"/>
        <v>0.86000000000000043</v>
      </c>
      <c r="EA51" s="3">
        <f t="shared" si="72"/>
        <v>0.86000000000000043</v>
      </c>
      <c r="EB51" s="3">
        <f t="shared" si="22"/>
        <v>4.4652823479766033</v>
      </c>
      <c r="EE51" s="3">
        <f t="shared" si="73"/>
        <v>0.86000000000000043</v>
      </c>
      <c r="EF51" s="168">
        <f t="shared" si="74"/>
        <v>0.86000000000000043</v>
      </c>
      <c r="EG51" s="3">
        <f t="shared" si="23"/>
        <v>4.4652823479766033</v>
      </c>
      <c r="EJ51" s="3">
        <f t="shared" si="75"/>
        <v>0.86000000000000043</v>
      </c>
      <c r="EK51" s="168">
        <f t="shared" si="76"/>
        <v>0.86000000000000043</v>
      </c>
      <c r="EL51" s="3">
        <f t="shared" si="24"/>
        <v>4.4652823479766033</v>
      </c>
      <c r="EO51" s="3">
        <f t="shared" si="77"/>
        <v>0.86000000000000043</v>
      </c>
      <c r="EP51" s="3">
        <f t="shared" si="78"/>
        <v>0.86000000000000043</v>
      </c>
      <c r="EQ51" s="3">
        <f t="shared" si="25"/>
        <v>4.4652823479766033</v>
      </c>
      <c r="ET51" s="3">
        <f t="shared" si="79"/>
        <v>0.86000000000000043</v>
      </c>
      <c r="EU51" s="168">
        <f t="shared" si="80"/>
        <v>0.86000000000000043</v>
      </c>
      <c r="EV51" s="3">
        <f t="shared" si="26"/>
        <v>4.4652823479766033</v>
      </c>
    </row>
    <row r="52" spans="20:152" s="3" customFormat="1" x14ac:dyDescent="0.3">
      <c r="T52" s="3">
        <f t="shared" si="27"/>
        <v>0.88000000000000045</v>
      </c>
      <c r="U52" s="168">
        <f t="shared" si="28"/>
        <v>0.88000000000000045</v>
      </c>
      <c r="V52" s="3">
        <f t="shared" si="0"/>
        <v>4.5048876807076086</v>
      </c>
      <c r="Y52" s="3">
        <f t="shared" si="29"/>
        <v>0.88000000000000045</v>
      </c>
      <c r="Z52" s="3">
        <f t="shared" si="30"/>
        <v>0.88000000000000045</v>
      </c>
      <c r="AA52" s="3">
        <f t="shared" si="1"/>
        <v>4.5048876807076086</v>
      </c>
      <c r="AD52" s="3">
        <f t="shared" si="31"/>
        <v>0.88000000000000045</v>
      </c>
      <c r="AE52" s="168">
        <f t="shared" si="32"/>
        <v>0.88000000000000045</v>
      </c>
      <c r="AF52" s="3">
        <f t="shared" si="2"/>
        <v>4.5048876807076086</v>
      </c>
      <c r="AI52" s="3">
        <f t="shared" si="33"/>
        <v>0.88000000000000045</v>
      </c>
      <c r="AJ52" s="168">
        <f t="shared" si="34"/>
        <v>0.88000000000000045</v>
      </c>
      <c r="AK52" s="3">
        <f t="shared" si="3"/>
        <v>4.5048876807076086</v>
      </c>
      <c r="AN52" s="3">
        <f t="shared" si="35"/>
        <v>0.88000000000000045</v>
      </c>
      <c r="AO52" s="3">
        <f t="shared" si="36"/>
        <v>0.88000000000000045</v>
      </c>
      <c r="AP52" s="3">
        <f t="shared" si="4"/>
        <v>4.5048876807076086</v>
      </c>
      <c r="AS52" s="3">
        <f t="shared" si="37"/>
        <v>0.88000000000000045</v>
      </c>
      <c r="AT52" s="168">
        <f t="shared" si="38"/>
        <v>0.88000000000000045</v>
      </c>
      <c r="AU52" s="3">
        <f t="shared" si="5"/>
        <v>4.5048876807076086</v>
      </c>
      <c r="AX52" s="3">
        <f t="shared" si="39"/>
        <v>0.88000000000000045</v>
      </c>
      <c r="AY52" s="168">
        <f t="shared" si="40"/>
        <v>0.88000000000000045</v>
      </c>
      <c r="AZ52" s="3">
        <f t="shared" si="6"/>
        <v>4.5048876807076086</v>
      </c>
      <c r="BC52" s="3">
        <f t="shared" si="41"/>
        <v>0.88000000000000045</v>
      </c>
      <c r="BD52" s="3">
        <f t="shared" si="42"/>
        <v>0.88000000000000045</v>
      </c>
      <c r="BE52" s="3">
        <f t="shared" si="7"/>
        <v>4.5048876807076086</v>
      </c>
      <c r="BH52" s="3">
        <f t="shared" si="43"/>
        <v>0.88000000000000045</v>
      </c>
      <c r="BI52" s="168">
        <f t="shared" si="44"/>
        <v>0.88000000000000045</v>
      </c>
      <c r="BJ52" s="3">
        <f t="shared" si="8"/>
        <v>4.5048876807076086</v>
      </c>
      <c r="BM52" s="3">
        <f t="shared" si="45"/>
        <v>0.88000000000000045</v>
      </c>
      <c r="BN52" s="168">
        <f t="shared" si="46"/>
        <v>0.88000000000000045</v>
      </c>
      <c r="BO52" s="3">
        <f t="shared" si="9"/>
        <v>4.5048876807076086</v>
      </c>
      <c r="BR52" s="3">
        <f t="shared" si="47"/>
        <v>0.88000000000000045</v>
      </c>
      <c r="BS52" s="3">
        <f t="shared" si="48"/>
        <v>0.88000000000000045</v>
      </c>
      <c r="BT52" s="3">
        <f t="shared" si="10"/>
        <v>4.5048876807076086</v>
      </c>
      <c r="BW52" s="3">
        <f t="shared" si="49"/>
        <v>0.88000000000000045</v>
      </c>
      <c r="BX52" s="168">
        <f t="shared" si="50"/>
        <v>0.88000000000000045</v>
      </c>
      <c r="BY52" s="3">
        <f t="shared" si="11"/>
        <v>4.5048876807076086</v>
      </c>
      <c r="CB52" s="3">
        <f t="shared" si="51"/>
        <v>0.88000000000000045</v>
      </c>
      <c r="CC52" s="168">
        <f t="shared" si="52"/>
        <v>0.88000000000000045</v>
      </c>
      <c r="CD52" s="3">
        <f t="shared" si="12"/>
        <v>4.5048876807076086</v>
      </c>
      <c r="CG52" s="3">
        <f t="shared" si="53"/>
        <v>0.88000000000000045</v>
      </c>
      <c r="CH52" s="3">
        <f t="shared" si="54"/>
        <v>0.88000000000000045</v>
      </c>
      <c r="CI52" s="3">
        <f t="shared" si="13"/>
        <v>4.5048876807076086</v>
      </c>
      <c r="CL52" s="3">
        <f t="shared" si="55"/>
        <v>0.88000000000000045</v>
      </c>
      <c r="CM52" s="168">
        <f t="shared" si="56"/>
        <v>0.88000000000000045</v>
      </c>
      <c r="CN52" s="3">
        <f t="shared" si="14"/>
        <v>4.5048876807076086</v>
      </c>
      <c r="CQ52" s="3">
        <f t="shared" si="57"/>
        <v>0.88000000000000045</v>
      </c>
      <c r="CR52" s="168">
        <f t="shared" si="58"/>
        <v>0.88000000000000045</v>
      </c>
      <c r="CS52" s="3">
        <f t="shared" si="15"/>
        <v>4.5048876807076086</v>
      </c>
      <c r="CV52" s="3">
        <f t="shared" si="59"/>
        <v>0.88000000000000045</v>
      </c>
      <c r="CW52" s="3">
        <f t="shared" si="60"/>
        <v>0.88000000000000045</v>
      </c>
      <c r="CX52" s="3">
        <f t="shared" si="16"/>
        <v>4.5048876807076086</v>
      </c>
      <c r="DA52" s="3">
        <f t="shared" si="61"/>
        <v>0.88000000000000045</v>
      </c>
      <c r="DB52" s="168">
        <f t="shared" si="62"/>
        <v>0.88000000000000045</v>
      </c>
      <c r="DC52" s="3">
        <f t="shared" si="17"/>
        <v>4.5048876807076086</v>
      </c>
      <c r="DF52" s="3">
        <f t="shared" si="63"/>
        <v>0.88000000000000045</v>
      </c>
      <c r="DG52" s="168">
        <f t="shared" si="64"/>
        <v>0.88000000000000045</v>
      </c>
      <c r="DH52" s="3">
        <f t="shared" si="18"/>
        <v>4.5048876807076086</v>
      </c>
      <c r="DK52" s="3">
        <f t="shared" si="65"/>
        <v>0.88000000000000045</v>
      </c>
      <c r="DL52" s="3">
        <f t="shared" si="66"/>
        <v>0.88000000000000045</v>
      </c>
      <c r="DM52" s="3">
        <f t="shared" si="19"/>
        <v>4.5048876807076086</v>
      </c>
      <c r="DP52" s="3">
        <f t="shared" si="67"/>
        <v>0.88000000000000045</v>
      </c>
      <c r="DQ52" s="168">
        <f t="shared" si="68"/>
        <v>0.88000000000000045</v>
      </c>
      <c r="DR52" s="3">
        <f t="shared" si="20"/>
        <v>4.5048876807076086</v>
      </c>
      <c r="DU52" s="3">
        <f t="shared" si="69"/>
        <v>0.88000000000000045</v>
      </c>
      <c r="DV52" s="168">
        <f t="shared" si="70"/>
        <v>0.88000000000000045</v>
      </c>
      <c r="DW52" s="3">
        <f t="shared" si="21"/>
        <v>4.5048876807076086</v>
      </c>
      <c r="DZ52" s="3">
        <f t="shared" si="71"/>
        <v>0.88000000000000045</v>
      </c>
      <c r="EA52" s="3">
        <f t="shared" si="72"/>
        <v>0.88000000000000045</v>
      </c>
      <c r="EB52" s="3">
        <f t="shared" si="22"/>
        <v>4.5048876807076086</v>
      </c>
      <c r="EE52" s="3">
        <f t="shared" si="73"/>
        <v>0.88000000000000045</v>
      </c>
      <c r="EF52" s="168">
        <f t="shared" si="74"/>
        <v>0.88000000000000045</v>
      </c>
      <c r="EG52" s="3">
        <f t="shared" si="23"/>
        <v>4.5048876807076086</v>
      </c>
      <c r="EJ52" s="3">
        <f t="shared" si="75"/>
        <v>0.88000000000000045</v>
      </c>
      <c r="EK52" s="168">
        <f t="shared" si="76"/>
        <v>0.88000000000000045</v>
      </c>
      <c r="EL52" s="3">
        <f t="shared" si="24"/>
        <v>4.5048876807076086</v>
      </c>
      <c r="EO52" s="3">
        <f t="shared" si="77"/>
        <v>0.88000000000000045</v>
      </c>
      <c r="EP52" s="3">
        <f t="shared" si="78"/>
        <v>0.88000000000000045</v>
      </c>
      <c r="EQ52" s="3">
        <f t="shared" si="25"/>
        <v>4.5048876807076086</v>
      </c>
      <c r="ET52" s="3">
        <f t="shared" si="79"/>
        <v>0.88000000000000045</v>
      </c>
      <c r="EU52" s="168">
        <f t="shared" si="80"/>
        <v>0.88000000000000045</v>
      </c>
      <c r="EV52" s="3">
        <f t="shared" si="26"/>
        <v>4.5048876807076086</v>
      </c>
    </row>
    <row r="53" spans="20:152" s="3" customFormat="1" x14ac:dyDescent="0.3">
      <c r="T53" s="3">
        <f t="shared" si="27"/>
        <v>0.90000000000000047</v>
      </c>
      <c r="U53" s="168">
        <f t="shared" si="28"/>
        <v>0.90000000000000047</v>
      </c>
      <c r="V53" s="3">
        <f t="shared" si="0"/>
        <v>4.5417845007107678</v>
      </c>
      <c r="Y53" s="3">
        <f t="shared" si="29"/>
        <v>0.90000000000000047</v>
      </c>
      <c r="Z53" s="3">
        <f t="shared" si="30"/>
        <v>0.90000000000000047</v>
      </c>
      <c r="AA53" s="3">
        <f t="shared" si="1"/>
        <v>4.5417845007107678</v>
      </c>
      <c r="AD53" s="3">
        <f t="shared" si="31"/>
        <v>0.90000000000000047</v>
      </c>
      <c r="AE53" s="168">
        <f t="shared" si="32"/>
        <v>0.90000000000000047</v>
      </c>
      <c r="AF53" s="3">
        <f t="shared" si="2"/>
        <v>4.5417845007107678</v>
      </c>
      <c r="AI53" s="3">
        <f t="shared" si="33"/>
        <v>0.90000000000000047</v>
      </c>
      <c r="AJ53" s="168">
        <f t="shared" si="34"/>
        <v>0.90000000000000047</v>
      </c>
      <c r="AK53" s="3">
        <f t="shared" si="3"/>
        <v>4.5417845007107678</v>
      </c>
      <c r="AN53" s="3">
        <f t="shared" si="35"/>
        <v>0.90000000000000047</v>
      </c>
      <c r="AO53" s="3">
        <f t="shared" si="36"/>
        <v>0.90000000000000047</v>
      </c>
      <c r="AP53" s="3">
        <f t="shared" si="4"/>
        <v>4.5417845007107678</v>
      </c>
      <c r="AS53" s="3">
        <f t="shared" si="37"/>
        <v>0.90000000000000047</v>
      </c>
      <c r="AT53" s="168">
        <f t="shared" si="38"/>
        <v>0.90000000000000047</v>
      </c>
      <c r="AU53" s="3">
        <f t="shared" si="5"/>
        <v>4.5417845007107678</v>
      </c>
      <c r="AX53" s="3">
        <f t="shared" si="39"/>
        <v>0.90000000000000047</v>
      </c>
      <c r="AY53" s="168">
        <f t="shared" si="40"/>
        <v>0.90000000000000047</v>
      </c>
      <c r="AZ53" s="3">
        <f t="shared" si="6"/>
        <v>4.5417845007107678</v>
      </c>
      <c r="BC53" s="3">
        <f t="shared" si="41"/>
        <v>0.90000000000000047</v>
      </c>
      <c r="BD53" s="3">
        <f t="shared" si="42"/>
        <v>0.90000000000000047</v>
      </c>
      <c r="BE53" s="3">
        <f t="shared" si="7"/>
        <v>4.5417845007107678</v>
      </c>
      <c r="BH53" s="3">
        <f t="shared" si="43"/>
        <v>0.90000000000000047</v>
      </c>
      <c r="BI53" s="168">
        <f t="shared" si="44"/>
        <v>0.90000000000000047</v>
      </c>
      <c r="BJ53" s="3">
        <f t="shared" si="8"/>
        <v>4.5417845007107678</v>
      </c>
      <c r="BM53" s="3">
        <f t="shared" si="45"/>
        <v>0.90000000000000047</v>
      </c>
      <c r="BN53" s="168">
        <f t="shared" si="46"/>
        <v>0.90000000000000047</v>
      </c>
      <c r="BO53" s="3">
        <f t="shared" si="9"/>
        <v>4.5417845007107678</v>
      </c>
      <c r="BR53" s="3">
        <f t="shared" si="47"/>
        <v>0.90000000000000047</v>
      </c>
      <c r="BS53" s="3">
        <f t="shared" si="48"/>
        <v>0.90000000000000047</v>
      </c>
      <c r="BT53" s="3">
        <f t="shared" si="10"/>
        <v>4.5417845007107678</v>
      </c>
      <c r="BW53" s="3">
        <f t="shared" si="49"/>
        <v>0.90000000000000047</v>
      </c>
      <c r="BX53" s="168">
        <f t="shared" si="50"/>
        <v>0.90000000000000047</v>
      </c>
      <c r="BY53" s="3">
        <f t="shared" si="11"/>
        <v>4.5417845007107678</v>
      </c>
      <c r="CB53" s="3">
        <f t="shared" si="51"/>
        <v>0.90000000000000047</v>
      </c>
      <c r="CC53" s="168">
        <f t="shared" si="52"/>
        <v>0.90000000000000047</v>
      </c>
      <c r="CD53" s="3">
        <f t="shared" si="12"/>
        <v>4.5417845007107678</v>
      </c>
      <c r="CG53" s="3">
        <f t="shared" si="53"/>
        <v>0.90000000000000047</v>
      </c>
      <c r="CH53" s="3">
        <f t="shared" si="54"/>
        <v>0.90000000000000047</v>
      </c>
      <c r="CI53" s="3">
        <f t="shared" si="13"/>
        <v>4.5417845007107678</v>
      </c>
      <c r="CL53" s="3">
        <f t="shared" si="55"/>
        <v>0.90000000000000047</v>
      </c>
      <c r="CM53" s="168">
        <f t="shared" si="56"/>
        <v>0.90000000000000047</v>
      </c>
      <c r="CN53" s="3">
        <f t="shared" si="14"/>
        <v>4.5417845007107678</v>
      </c>
      <c r="CQ53" s="3">
        <f t="shared" si="57"/>
        <v>0.90000000000000047</v>
      </c>
      <c r="CR53" s="168">
        <f t="shared" si="58"/>
        <v>0.90000000000000047</v>
      </c>
      <c r="CS53" s="3">
        <f t="shared" si="15"/>
        <v>4.5417845007107678</v>
      </c>
      <c r="CV53" s="3">
        <f t="shared" si="59"/>
        <v>0.90000000000000047</v>
      </c>
      <c r="CW53" s="3">
        <f t="shared" si="60"/>
        <v>0.90000000000000047</v>
      </c>
      <c r="CX53" s="3">
        <f t="shared" si="16"/>
        <v>4.5417845007107678</v>
      </c>
      <c r="DA53" s="3">
        <f t="shared" si="61"/>
        <v>0.90000000000000047</v>
      </c>
      <c r="DB53" s="168">
        <f t="shared" si="62"/>
        <v>0.90000000000000047</v>
      </c>
      <c r="DC53" s="3">
        <f t="shared" si="17"/>
        <v>4.5417845007107678</v>
      </c>
      <c r="DF53" s="3">
        <f t="shared" si="63"/>
        <v>0.90000000000000047</v>
      </c>
      <c r="DG53" s="168">
        <f t="shared" si="64"/>
        <v>0.90000000000000047</v>
      </c>
      <c r="DH53" s="3">
        <f t="shared" si="18"/>
        <v>4.5417845007107678</v>
      </c>
      <c r="DK53" s="3">
        <f t="shared" si="65"/>
        <v>0.90000000000000047</v>
      </c>
      <c r="DL53" s="3">
        <f t="shared" si="66"/>
        <v>0.90000000000000047</v>
      </c>
      <c r="DM53" s="3">
        <f t="shared" si="19"/>
        <v>4.5417845007107678</v>
      </c>
      <c r="DP53" s="3">
        <f t="shared" si="67"/>
        <v>0.90000000000000047</v>
      </c>
      <c r="DQ53" s="168">
        <f t="shared" si="68"/>
        <v>0.90000000000000047</v>
      </c>
      <c r="DR53" s="3">
        <f t="shared" si="20"/>
        <v>4.5417845007107678</v>
      </c>
      <c r="DU53" s="3">
        <f t="shared" si="69"/>
        <v>0.90000000000000047</v>
      </c>
      <c r="DV53" s="168">
        <f t="shared" si="70"/>
        <v>0.90000000000000047</v>
      </c>
      <c r="DW53" s="3">
        <f t="shared" si="21"/>
        <v>4.5417845007107678</v>
      </c>
      <c r="DZ53" s="3">
        <f t="shared" si="71"/>
        <v>0.90000000000000047</v>
      </c>
      <c r="EA53" s="3">
        <f t="shared" si="72"/>
        <v>0.90000000000000047</v>
      </c>
      <c r="EB53" s="3">
        <f t="shared" si="22"/>
        <v>4.5417845007107678</v>
      </c>
      <c r="EE53" s="3">
        <f t="shared" si="73"/>
        <v>0.90000000000000047</v>
      </c>
      <c r="EF53" s="168">
        <f t="shared" si="74"/>
        <v>0.90000000000000047</v>
      </c>
      <c r="EG53" s="3">
        <f t="shared" si="23"/>
        <v>4.5417845007107678</v>
      </c>
      <c r="EJ53" s="3">
        <f t="shared" si="75"/>
        <v>0.90000000000000047</v>
      </c>
      <c r="EK53" s="168">
        <f t="shared" si="76"/>
        <v>0.90000000000000047</v>
      </c>
      <c r="EL53" s="3">
        <f t="shared" si="24"/>
        <v>4.5417845007107678</v>
      </c>
      <c r="EO53" s="3">
        <f t="shared" si="77"/>
        <v>0.90000000000000047</v>
      </c>
      <c r="EP53" s="3">
        <f t="shared" si="78"/>
        <v>0.90000000000000047</v>
      </c>
      <c r="EQ53" s="3">
        <f t="shared" si="25"/>
        <v>4.5417845007107678</v>
      </c>
      <c r="ET53" s="3">
        <f t="shared" si="79"/>
        <v>0.90000000000000047</v>
      </c>
      <c r="EU53" s="168">
        <f t="shared" si="80"/>
        <v>0.90000000000000047</v>
      </c>
      <c r="EV53" s="3">
        <f t="shared" si="26"/>
        <v>4.5417845007107678</v>
      </c>
    </row>
    <row r="54" spans="20:152" s="3" customFormat="1" x14ac:dyDescent="0.3">
      <c r="T54" s="3">
        <f t="shared" si="27"/>
        <v>0.92000000000000048</v>
      </c>
      <c r="U54" s="168">
        <f t="shared" si="28"/>
        <v>0.92000000000000048</v>
      </c>
      <c r="V54" s="3">
        <f t="shared" si="0"/>
        <v>4.5759728079860791</v>
      </c>
      <c r="Y54" s="3">
        <f t="shared" si="29"/>
        <v>0.92000000000000048</v>
      </c>
      <c r="Z54" s="3">
        <f t="shared" si="30"/>
        <v>0.92000000000000048</v>
      </c>
      <c r="AA54" s="3">
        <f t="shared" si="1"/>
        <v>4.5759728079860791</v>
      </c>
      <c r="AD54" s="3">
        <f t="shared" si="31"/>
        <v>0.92000000000000048</v>
      </c>
      <c r="AE54" s="168">
        <f t="shared" si="32"/>
        <v>0.92000000000000048</v>
      </c>
      <c r="AF54" s="3">
        <f t="shared" si="2"/>
        <v>4.5759728079860791</v>
      </c>
      <c r="AI54" s="3">
        <f t="shared" si="33"/>
        <v>0.92000000000000048</v>
      </c>
      <c r="AJ54" s="168">
        <f t="shared" si="34"/>
        <v>0.92000000000000048</v>
      </c>
      <c r="AK54" s="3">
        <f t="shared" si="3"/>
        <v>4.5759728079860791</v>
      </c>
      <c r="AN54" s="3">
        <f t="shared" si="35"/>
        <v>0.92000000000000048</v>
      </c>
      <c r="AO54" s="3">
        <f t="shared" si="36"/>
        <v>0.92000000000000048</v>
      </c>
      <c r="AP54" s="3">
        <f t="shared" si="4"/>
        <v>4.5759728079860791</v>
      </c>
      <c r="AS54" s="3">
        <f t="shared" si="37"/>
        <v>0.92000000000000048</v>
      </c>
      <c r="AT54" s="168">
        <f t="shared" si="38"/>
        <v>0.92000000000000048</v>
      </c>
      <c r="AU54" s="3">
        <f t="shared" si="5"/>
        <v>4.5759728079860791</v>
      </c>
      <c r="AX54" s="3">
        <f t="shared" si="39"/>
        <v>0.92000000000000048</v>
      </c>
      <c r="AY54" s="168">
        <f t="shared" si="40"/>
        <v>0.92000000000000048</v>
      </c>
      <c r="AZ54" s="3">
        <f t="shared" si="6"/>
        <v>4.5759728079860791</v>
      </c>
      <c r="BC54" s="3">
        <f t="shared" si="41"/>
        <v>0.92000000000000048</v>
      </c>
      <c r="BD54" s="3">
        <f t="shared" si="42"/>
        <v>0.92000000000000048</v>
      </c>
      <c r="BE54" s="3">
        <f t="shared" si="7"/>
        <v>4.5759728079860791</v>
      </c>
      <c r="BH54" s="3">
        <f t="shared" si="43"/>
        <v>0.92000000000000048</v>
      </c>
      <c r="BI54" s="168">
        <f t="shared" si="44"/>
        <v>0.92000000000000048</v>
      </c>
      <c r="BJ54" s="3">
        <f t="shared" si="8"/>
        <v>4.5759728079860791</v>
      </c>
      <c r="BM54" s="3">
        <f t="shared" si="45"/>
        <v>0.92000000000000048</v>
      </c>
      <c r="BN54" s="168">
        <f t="shared" si="46"/>
        <v>0.92000000000000048</v>
      </c>
      <c r="BO54" s="3">
        <f t="shared" si="9"/>
        <v>4.5759728079860791</v>
      </c>
      <c r="BR54" s="3">
        <f t="shared" si="47"/>
        <v>0.92000000000000048</v>
      </c>
      <c r="BS54" s="3">
        <f t="shared" si="48"/>
        <v>0.92000000000000048</v>
      </c>
      <c r="BT54" s="3">
        <f t="shared" si="10"/>
        <v>4.5759728079860791</v>
      </c>
      <c r="BW54" s="3">
        <f t="shared" si="49"/>
        <v>0.92000000000000048</v>
      </c>
      <c r="BX54" s="168">
        <f t="shared" si="50"/>
        <v>0.92000000000000048</v>
      </c>
      <c r="BY54" s="3">
        <f t="shared" si="11"/>
        <v>4.5759728079860791</v>
      </c>
      <c r="CB54" s="3">
        <f t="shared" si="51"/>
        <v>0.92000000000000048</v>
      </c>
      <c r="CC54" s="168">
        <f t="shared" si="52"/>
        <v>0.92000000000000048</v>
      </c>
      <c r="CD54" s="3">
        <f t="shared" si="12"/>
        <v>4.5759728079860791</v>
      </c>
      <c r="CG54" s="3">
        <f t="shared" si="53"/>
        <v>0.92000000000000048</v>
      </c>
      <c r="CH54" s="3">
        <f t="shared" si="54"/>
        <v>0.92000000000000048</v>
      </c>
      <c r="CI54" s="3">
        <f t="shared" si="13"/>
        <v>4.5759728079860791</v>
      </c>
      <c r="CL54" s="3">
        <f t="shared" si="55"/>
        <v>0.92000000000000048</v>
      </c>
      <c r="CM54" s="168">
        <f t="shared" si="56"/>
        <v>0.92000000000000048</v>
      </c>
      <c r="CN54" s="3">
        <f t="shared" si="14"/>
        <v>4.5759728079860791</v>
      </c>
      <c r="CQ54" s="3">
        <f t="shared" si="57"/>
        <v>0.92000000000000048</v>
      </c>
      <c r="CR54" s="168">
        <f t="shared" si="58"/>
        <v>0.92000000000000048</v>
      </c>
      <c r="CS54" s="3">
        <f t="shared" si="15"/>
        <v>4.5759728079860791</v>
      </c>
      <c r="CV54" s="3">
        <f t="shared" si="59"/>
        <v>0.92000000000000048</v>
      </c>
      <c r="CW54" s="3">
        <f t="shared" si="60"/>
        <v>0.92000000000000048</v>
      </c>
      <c r="CX54" s="3">
        <f t="shared" si="16"/>
        <v>4.5759728079860791</v>
      </c>
      <c r="DA54" s="3">
        <f t="shared" si="61"/>
        <v>0.92000000000000048</v>
      </c>
      <c r="DB54" s="168">
        <f t="shared" si="62"/>
        <v>0.92000000000000048</v>
      </c>
      <c r="DC54" s="3">
        <f t="shared" si="17"/>
        <v>4.5759728079860791</v>
      </c>
      <c r="DF54" s="3">
        <f t="shared" si="63"/>
        <v>0.92000000000000048</v>
      </c>
      <c r="DG54" s="168">
        <f t="shared" si="64"/>
        <v>0.92000000000000048</v>
      </c>
      <c r="DH54" s="3">
        <f t="shared" si="18"/>
        <v>4.5759728079860791</v>
      </c>
      <c r="DK54" s="3">
        <f t="shared" si="65"/>
        <v>0.92000000000000048</v>
      </c>
      <c r="DL54" s="3">
        <f t="shared" si="66"/>
        <v>0.92000000000000048</v>
      </c>
      <c r="DM54" s="3">
        <f t="shared" si="19"/>
        <v>4.5759728079860791</v>
      </c>
      <c r="DP54" s="3">
        <f t="shared" si="67"/>
        <v>0.92000000000000048</v>
      </c>
      <c r="DQ54" s="168">
        <f t="shared" si="68"/>
        <v>0.92000000000000048</v>
      </c>
      <c r="DR54" s="3">
        <f t="shared" si="20"/>
        <v>4.5759728079860791</v>
      </c>
      <c r="DU54" s="3">
        <f t="shared" si="69"/>
        <v>0.92000000000000048</v>
      </c>
      <c r="DV54" s="168">
        <f t="shared" si="70"/>
        <v>0.92000000000000048</v>
      </c>
      <c r="DW54" s="3">
        <f t="shared" si="21"/>
        <v>4.5759728079860791</v>
      </c>
      <c r="DZ54" s="3">
        <f t="shared" si="71"/>
        <v>0.92000000000000048</v>
      </c>
      <c r="EA54" s="3">
        <f t="shared" si="72"/>
        <v>0.92000000000000048</v>
      </c>
      <c r="EB54" s="3">
        <f t="shared" si="22"/>
        <v>4.5759728079860791</v>
      </c>
      <c r="EE54" s="3">
        <f t="shared" si="73"/>
        <v>0.92000000000000048</v>
      </c>
      <c r="EF54" s="168">
        <f t="shared" si="74"/>
        <v>0.92000000000000048</v>
      </c>
      <c r="EG54" s="3">
        <f t="shared" si="23"/>
        <v>4.5759728079860791</v>
      </c>
      <c r="EJ54" s="3">
        <f t="shared" si="75"/>
        <v>0.92000000000000048</v>
      </c>
      <c r="EK54" s="168">
        <f t="shared" si="76"/>
        <v>0.92000000000000048</v>
      </c>
      <c r="EL54" s="3">
        <f t="shared" si="24"/>
        <v>4.5759728079860791</v>
      </c>
      <c r="EO54" s="3">
        <f t="shared" si="77"/>
        <v>0.92000000000000048</v>
      </c>
      <c r="EP54" s="3">
        <f t="shared" si="78"/>
        <v>0.92000000000000048</v>
      </c>
      <c r="EQ54" s="3">
        <f t="shared" si="25"/>
        <v>4.5759728079860791</v>
      </c>
      <c r="ET54" s="3">
        <f t="shared" si="79"/>
        <v>0.92000000000000048</v>
      </c>
      <c r="EU54" s="168">
        <f t="shared" si="80"/>
        <v>0.92000000000000048</v>
      </c>
      <c r="EV54" s="3">
        <f t="shared" si="26"/>
        <v>4.5759728079860791</v>
      </c>
    </row>
    <row r="55" spans="20:152" s="3" customFormat="1" x14ac:dyDescent="0.3">
      <c r="T55" s="3">
        <f t="shared" si="27"/>
        <v>0.9400000000000005</v>
      </c>
      <c r="U55" s="168">
        <f t="shared" si="28"/>
        <v>0.9400000000000005</v>
      </c>
      <c r="V55" s="3">
        <f t="shared" si="0"/>
        <v>4.6074526025335443</v>
      </c>
      <c r="Y55" s="3">
        <f t="shared" si="29"/>
        <v>0.9400000000000005</v>
      </c>
      <c r="Z55" s="3">
        <f t="shared" si="30"/>
        <v>0.9400000000000005</v>
      </c>
      <c r="AA55" s="3">
        <f t="shared" si="1"/>
        <v>4.6074526025335443</v>
      </c>
      <c r="AD55" s="3">
        <f t="shared" si="31"/>
        <v>0.9400000000000005</v>
      </c>
      <c r="AE55" s="168">
        <f t="shared" si="32"/>
        <v>0.9400000000000005</v>
      </c>
      <c r="AF55" s="3">
        <f t="shared" si="2"/>
        <v>4.6074526025335443</v>
      </c>
      <c r="AI55" s="3">
        <f t="shared" si="33"/>
        <v>0.9400000000000005</v>
      </c>
      <c r="AJ55" s="168">
        <f t="shared" si="34"/>
        <v>0.9400000000000005</v>
      </c>
      <c r="AK55" s="3">
        <f t="shared" si="3"/>
        <v>4.6074526025335443</v>
      </c>
      <c r="AN55" s="3">
        <f t="shared" si="35"/>
        <v>0.9400000000000005</v>
      </c>
      <c r="AO55" s="3">
        <f t="shared" si="36"/>
        <v>0.9400000000000005</v>
      </c>
      <c r="AP55" s="3">
        <f t="shared" si="4"/>
        <v>4.6074526025335443</v>
      </c>
      <c r="AS55" s="3">
        <f t="shared" si="37"/>
        <v>0.9400000000000005</v>
      </c>
      <c r="AT55" s="168">
        <f t="shared" si="38"/>
        <v>0.9400000000000005</v>
      </c>
      <c r="AU55" s="3">
        <f t="shared" si="5"/>
        <v>4.6074526025335443</v>
      </c>
      <c r="AX55" s="3">
        <f t="shared" si="39"/>
        <v>0.9400000000000005</v>
      </c>
      <c r="AY55" s="168">
        <f t="shared" si="40"/>
        <v>0.9400000000000005</v>
      </c>
      <c r="AZ55" s="3">
        <f t="shared" si="6"/>
        <v>4.6074526025335443</v>
      </c>
      <c r="BC55" s="3">
        <f t="shared" si="41"/>
        <v>0.9400000000000005</v>
      </c>
      <c r="BD55" s="3">
        <f t="shared" si="42"/>
        <v>0.9400000000000005</v>
      </c>
      <c r="BE55" s="3">
        <f t="shared" si="7"/>
        <v>4.6074526025335443</v>
      </c>
      <c r="BH55" s="3">
        <f t="shared" si="43"/>
        <v>0.9400000000000005</v>
      </c>
      <c r="BI55" s="168">
        <f t="shared" si="44"/>
        <v>0.9400000000000005</v>
      </c>
      <c r="BJ55" s="3">
        <f t="shared" si="8"/>
        <v>4.6074526025335443</v>
      </c>
      <c r="BM55" s="3">
        <f t="shared" si="45"/>
        <v>0.9400000000000005</v>
      </c>
      <c r="BN55" s="168">
        <f t="shared" si="46"/>
        <v>0.9400000000000005</v>
      </c>
      <c r="BO55" s="3">
        <f t="shared" si="9"/>
        <v>4.6074526025335443</v>
      </c>
      <c r="BR55" s="3">
        <f t="shared" si="47"/>
        <v>0.9400000000000005</v>
      </c>
      <c r="BS55" s="3">
        <f t="shared" si="48"/>
        <v>0.9400000000000005</v>
      </c>
      <c r="BT55" s="3">
        <f t="shared" si="10"/>
        <v>4.6074526025335443</v>
      </c>
      <c r="BW55" s="3">
        <f t="shared" si="49"/>
        <v>0.9400000000000005</v>
      </c>
      <c r="BX55" s="168">
        <f t="shared" si="50"/>
        <v>0.9400000000000005</v>
      </c>
      <c r="BY55" s="3">
        <f t="shared" si="11"/>
        <v>4.6074526025335443</v>
      </c>
      <c r="CB55" s="3">
        <f t="shared" si="51"/>
        <v>0.9400000000000005</v>
      </c>
      <c r="CC55" s="168">
        <f t="shared" si="52"/>
        <v>0.9400000000000005</v>
      </c>
      <c r="CD55" s="3">
        <f t="shared" si="12"/>
        <v>4.6074526025335443</v>
      </c>
      <c r="CG55" s="3">
        <f t="shared" si="53"/>
        <v>0.9400000000000005</v>
      </c>
      <c r="CH55" s="3">
        <f t="shared" si="54"/>
        <v>0.9400000000000005</v>
      </c>
      <c r="CI55" s="3">
        <f t="shared" si="13"/>
        <v>4.6074526025335443</v>
      </c>
      <c r="CL55" s="3">
        <f t="shared" si="55"/>
        <v>0.9400000000000005</v>
      </c>
      <c r="CM55" s="168">
        <f t="shared" si="56"/>
        <v>0.9400000000000005</v>
      </c>
      <c r="CN55" s="3">
        <f t="shared" si="14"/>
        <v>4.6074526025335443</v>
      </c>
      <c r="CQ55" s="3">
        <f t="shared" si="57"/>
        <v>0.9400000000000005</v>
      </c>
      <c r="CR55" s="168">
        <f t="shared" si="58"/>
        <v>0.9400000000000005</v>
      </c>
      <c r="CS55" s="3">
        <f t="shared" si="15"/>
        <v>4.6074526025335443</v>
      </c>
      <c r="CV55" s="3">
        <f t="shared" si="59"/>
        <v>0.9400000000000005</v>
      </c>
      <c r="CW55" s="3">
        <f t="shared" si="60"/>
        <v>0.9400000000000005</v>
      </c>
      <c r="CX55" s="3">
        <f t="shared" si="16"/>
        <v>4.6074526025335443</v>
      </c>
      <c r="DA55" s="3">
        <f t="shared" si="61"/>
        <v>0.9400000000000005</v>
      </c>
      <c r="DB55" s="168">
        <f t="shared" si="62"/>
        <v>0.9400000000000005</v>
      </c>
      <c r="DC55" s="3">
        <f t="shared" si="17"/>
        <v>4.6074526025335443</v>
      </c>
      <c r="DF55" s="3">
        <f t="shared" si="63"/>
        <v>0.9400000000000005</v>
      </c>
      <c r="DG55" s="168">
        <f t="shared" si="64"/>
        <v>0.9400000000000005</v>
      </c>
      <c r="DH55" s="3">
        <f t="shared" si="18"/>
        <v>4.6074526025335443</v>
      </c>
      <c r="DK55" s="3">
        <f t="shared" si="65"/>
        <v>0.9400000000000005</v>
      </c>
      <c r="DL55" s="3">
        <f t="shared" si="66"/>
        <v>0.9400000000000005</v>
      </c>
      <c r="DM55" s="3">
        <f t="shared" si="19"/>
        <v>4.6074526025335443</v>
      </c>
      <c r="DP55" s="3">
        <f t="shared" si="67"/>
        <v>0.9400000000000005</v>
      </c>
      <c r="DQ55" s="168">
        <f t="shared" si="68"/>
        <v>0.9400000000000005</v>
      </c>
      <c r="DR55" s="3">
        <f t="shared" si="20"/>
        <v>4.6074526025335443</v>
      </c>
      <c r="DU55" s="3">
        <f t="shared" si="69"/>
        <v>0.9400000000000005</v>
      </c>
      <c r="DV55" s="168">
        <f t="shared" si="70"/>
        <v>0.9400000000000005</v>
      </c>
      <c r="DW55" s="3">
        <f t="shared" si="21"/>
        <v>4.6074526025335443</v>
      </c>
      <c r="DZ55" s="3">
        <f t="shared" si="71"/>
        <v>0.9400000000000005</v>
      </c>
      <c r="EA55" s="3">
        <f t="shared" si="72"/>
        <v>0.9400000000000005</v>
      </c>
      <c r="EB55" s="3">
        <f t="shared" si="22"/>
        <v>4.6074526025335443</v>
      </c>
      <c r="EE55" s="3">
        <f t="shared" si="73"/>
        <v>0.9400000000000005</v>
      </c>
      <c r="EF55" s="168">
        <f t="shared" si="74"/>
        <v>0.9400000000000005</v>
      </c>
      <c r="EG55" s="3">
        <f t="shared" si="23"/>
        <v>4.6074526025335443</v>
      </c>
      <c r="EJ55" s="3">
        <f t="shared" si="75"/>
        <v>0.9400000000000005</v>
      </c>
      <c r="EK55" s="168">
        <f t="shared" si="76"/>
        <v>0.9400000000000005</v>
      </c>
      <c r="EL55" s="3">
        <f t="shared" si="24"/>
        <v>4.6074526025335443</v>
      </c>
      <c r="EO55" s="3">
        <f t="shared" si="77"/>
        <v>0.9400000000000005</v>
      </c>
      <c r="EP55" s="3">
        <f t="shared" si="78"/>
        <v>0.9400000000000005</v>
      </c>
      <c r="EQ55" s="3">
        <f t="shared" si="25"/>
        <v>4.6074526025335443</v>
      </c>
      <c r="ET55" s="3">
        <f t="shared" si="79"/>
        <v>0.9400000000000005</v>
      </c>
      <c r="EU55" s="168">
        <f t="shared" si="80"/>
        <v>0.9400000000000005</v>
      </c>
      <c r="EV55" s="3">
        <f t="shared" si="26"/>
        <v>4.6074526025335443</v>
      </c>
    </row>
    <row r="56" spans="20:152" s="3" customFormat="1" x14ac:dyDescent="0.3">
      <c r="T56" s="3">
        <f t="shared" si="27"/>
        <v>0.96000000000000052</v>
      </c>
      <c r="U56" s="168">
        <f t="shared" si="28"/>
        <v>0.96000000000000052</v>
      </c>
      <c r="V56" s="3">
        <f t="shared" si="0"/>
        <v>4.6362238843531625</v>
      </c>
      <c r="Y56" s="3">
        <f t="shared" si="29"/>
        <v>0.96000000000000052</v>
      </c>
      <c r="Z56" s="3">
        <f t="shared" si="30"/>
        <v>0.96000000000000052</v>
      </c>
      <c r="AA56" s="3">
        <f t="shared" si="1"/>
        <v>4.6362238843531625</v>
      </c>
      <c r="AD56" s="3">
        <f t="shared" si="31"/>
        <v>0.96000000000000052</v>
      </c>
      <c r="AE56" s="168">
        <f t="shared" si="32"/>
        <v>0.96000000000000052</v>
      </c>
      <c r="AF56" s="3">
        <f t="shared" si="2"/>
        <v>4.6362238843531625</v>
      </c>
      <c r="AI56" s="3">
        <f t="shared" si="33"/>
        <v>0.96000000000000052</v>
      </c>
      <c r="AJ56" s="168">
        <f t="shared" si="34"/>
        <v>0.96000000000000052</v>
      </c>
      <c r="AK56" s="3">
        <f t="shared" si="3"/>
        <v>4.6362238843531625</v>
      </c>
      <c r="AN56" s="3">
        <f t="shared" si="35"/>
        <v>0.96000000000000052</v>
      </c>
      <c r="AO56" s="3">
        <f t="shared" si="36"/>
        <v>0.96000000000000052</v>
      </c>
      <c r="AP56" s="3">
        <f t="shared" si="4"/>
        <v>4.6362238843531625</v>
      </c>
      <c r="AS56" s="3">
        <f t="shared" si="37"/>
        <v>0.96000000000000052</v>
      </c>
      <c r="AT56" s="168">
        <f t="shared" si="38"/>
        <v>0.96000000000000052</v>
      </c>
      <c r="AU56" s="3">
        <f t="shared" si="5"/>
        <v>4.6362238843531625</v>
      </c>
      <c r="AX56" s="3">
        <f t="shared" si="39"/>
        <v>0.96000000000000052</v>
      </c>
      <c r="AY56" s="168">
        <f t="shared" si="40"/>
        <v>0.96000000000000052</v>
      </c>
      <c r="AZ56" s="3">
        <f t="shared" si="6"/>
        <v>4.6362238843531625</v>
      </c>
      <c r="BC56" s="3">
        <f t="shared" si="41"/>
        <v>0.96000000000000052</v>
      </c>
      <c r="BD56" s="3">
        <f t="shared" si="42"/>
        <v>0.96000000000000052</v>
      </c>
      <c r="BE56" s="3">
        <f t="shared" si="7"/>
        <v>4.6362238843531625</v>
      </c>
      <c r="BH56" s="3">
        <f t="shared" si="43"/>
        <v>0.96000000000000052</v>
      </c>
      <c r="BI56" s="168">
        <f t="shared" si="44"/>
        <v>0.96000000000000052</v>
      </c>
      <c r="BJ56" s="3">
        <f t="shared" si="8"/>
        <v>4.6362238843531625</v>
      </c>
      <c r="BM56" s="3">
        <f t="shared" si="45"/>
        <v>0.96000000000000052</v>
      </c>
      <c r="BN56" s="168">
        <f t="shared" si="46"/>
        <v>0.96000000000000052</v>
      </c>
      <c r="BO56" s="3">
        <f t="shared" si="9"/>
        <v>4.6362238843531625</v>
      </c>
      <c r="BR56" s="3">
        <f t="shared" si="47"/>
        <v>0.96000000000000052</v>
      </c>
      <c r="BS56" s="3">
        <f t="shared" si="48"/>
        <v>0.96000000000000052</v>
      </c>
      <c r="BT56" s="3">
        <f t="shared" si="10"/>
        <v>4.6362238843531625</v>
      </c>
      <c r="BW56" s="3">
        <f t="shared" si="49"/>
        <v>0.96000000000000052</v>
      </c>
      <c r="BX56" s="168">
        <f t="shared" si="50"/>
        <v>0.96000000000000052</v>
      </c>
      <c r="BY56" s="3">
        <f t="shared" si="11"/>
        <v>4.6362238843531625</v>
      </c>
      <c r="CB56" s="3">
        <f t="shared" si="51"/>
        <v>0.96000000000000052</v>
      </c>
      <c r="CC56" s="168">
        <f t="shared" si="52"/>
        <v>0.96000000000000052</v>
      </c>
      <c r="CD56" s="3">
        <f t="shared" si="12"/>
        <v>4.6362238843531625</v>
      </c>
      <c r="CG56" s="3">
        <f t="shared" si="53"/>
        <v>0.96000000000000052</v>
      </c>
      <c r="CH56" s="3">
        <f t="shared" si="54"/>
        <v>0.96000000000000052</v>
      </c>
      <c r="CI56" s="3">
        <f t="shared" si="13"/>
        <v>4.6362238843531625</v>
      </c>
      <c r="CL56" s="3">
        <f t="shared" si="55"/>
        <v>0.96000000000000052</v>
      </c>
      <c r="CM56" s="168">
        <f t="shared" si="56"/>
        <v>0.96000000000000052</v>
      </c>
      <c r="CN56" s="3">
        <f t="shared" si="14"/>
        <v>4.6362238843531625</v>
      </c>
      <c r="CQ56" s="3">
        <f t="shared" si="57"/>
        <v>0.96000000000000052</v>
      </c>
      <c r="CR56" s="168">
        <f t="shared" si="58"/>
        <v>0.96000000000000052</v>
      </c>
      <c r="CS56" s="3">
        <f t="shared" si="15"/>
        <v>4.6362238843531625</v>
      </c>
      <c r="CV56" s="3">
        <f t="shared" si="59"/>
        <v>0.96000000000000052</v>
      </c>
      <c r="CW56" s="3">
        <f t="shared" si="60"/>
        <v>0.96000000000000052</v>
      </c>
      <c r="CX56" s="3">
        <f t="shared" si="16"/>
        <v>4.6362238843531625</v>
      </c>
      <c r="DA56" s="3">
        <f t="shared" si="61"/>
        <v>0.96000000000000052</v>
      </c>
      <c r="DB56" s="168">
        <f t="shared" si="62"/>
        <v>0.96000000000000052</v>
      </c>
      <c r="DC56" s="3">
        <f t="shared" si="17"/>
        <v>4.6362238843531625</v>
      </c>
      <c r="DF56" s="3">
        <f t="shared" si="63"/>
        <v>0.96000000000000052</v>
      </c>
      <c r="DG56" s="168">
        <f t="shared" si="64"/>
        <v>0.96000000000000052</v>
      </c>
      <c r="DH56" s="3">
        <f t="shared" si="18"/>
        <v>4.6362238843531625</v>
      </c>
      <c r="DK56" s="3">
        <f t="shared" si="65"/>
        <v>0.96000000000000052</v>
      </c>
      <c r="DL56" s="3">
        <f t="shared" si="66"/>
        <v>0.96000000000000052</v>
      </c>
      <c r="DM56" s="3">
        <f t="shared" si="19"/>
        <v>4.6362238843531625</v>
      </c>
      <c r="DP56" s="3">
        <f t="shared" si="67"/>
        <v>0.96000000000000052</v>
      </c>
      <c r="DQ56" s="168">
        <f t="shared" si="68"/>
        <v>0.96000000000000052</v>
      </c>
      <c r="DR56" s="3">
        <f t="shared" si="20"/>
        <v>4.6362238843531625</v>
      </c>
      <c r="DU56" s="3">
        <f t="shared" si="69"/>
        <v>0.96000000000000052</v>
      </c>
      <c r="DV56" s="168">
        <f t="shared" si="70"/>
        <v>0.96000000000000052</v>
      </c>
      <c r="DW56" s="3">
        <f t="shared" si="21"/>
        <v>4.6362238843531625</v>
      </c>
      <c r="DZ56" s="3">
        <f t="shared" si="71"/>
        <v>0.96000000000000052</v>
      </c>
      <c r="EA56" s="3">
        <f t="shared" si="72"/>
        <v>0.96000000000000052</v>
      </c>
      <c r="EB56" s="3">
        <f t="shared" si="22"/>
        <v>4.6362238843531625</v>
      </c>
      <c r="EE56" s="3">
        <f t="shared" si="73"/>
        <v>0.96000000000000052</v>
      </c>
      <c r="EF56" s="168">
        <f t="shared" si="74"/>
        <v>0.96000000000000052</v>
      </c>
      <c r="EG56" s="3">
        <f t="shared" si="23"/>
        <v>4.6362238843531625</v>
      </c>
      <c r="EJ56" s="3">
        <f t="shared" si="75"/>
        <v>0.96000000000000052</v>
      </c>
      <c r="EK56" s="168">
        <f t="shared" si="76"/>
        <v>0.96000000000000052</v>
      </c>
      <c r="EL56" s="3">
        <f t="shared" si="24"/>
        <v>4.6362238843531625</v>
      </c>
      <c r="EO56" s="3">
        <f t="shared" si="77"/>
        <v>0.96000000000000052</v>
      </c>
      <c r="EP56" s="3">
        <f t="shared" si="78"/>
        <v>0.96000000000000052</v>
      </c>
      <c r="EQ56" s="3">
        <f t="shared" si="25"/>
        <v>4.6362238843531625</v>
      </c>
      <c r="ET56" s="3">
        <f t="shared" si="79"/>
        <v>0.96000000000000052</v>
      </c>
      <c r="EU56" s="168">
        <f t="shared" si="80"/>
        <v>0.96000000000000052</v>
      </c>
      <c r="EV56" s="3">
        <f t="shared" si="26"/>
        <v>4.6362238843531625</v>
      </c>
    </row>
    <row r="57" spans="20:152" s="3" customFormat="1" x14ac:dyDescent="0.3">
      <c r="T57" s="3">
        <f t="shared" si="27"/>
        <v>0.98000000000000054</v>
      </c>
      <c r="U57" s="168">
        <f t="shared" si="28"/>
        <v>0.98000000000000054</v>
      </c>
      <c r="V57" s="3">
        <f t="shared" si="0"/>
        <v>4.6622866534449319</v>
      </c>
      <c r="Y57" s="3">
        <f t="shared" si="29"/>
        <v>0.98000000000000054</v>
      </c>
      <c r="Z57" s="3">
        <f t="shared" si="30"/>
        <v>0.98000000000000054</v>
      </c>
      <c r="AA57" s="3">
        <f t="shared" si="1"/>
        <v>4.6622866534449319</v>
      </c>
      <c r="AD57" s="3">
        <f t="shared" si="31"/>
        <v>0.98000000000000054</v>
      </c>
      <c r="AE57" s="168">
        <f t="shared" si="32"/>
        <v>0.98000000000000054</v>
      </c>
      <c r="AF57" s="3">
        <f t="shared" si="2"/>
        <v>4.6622866534449319</v>
      </c>
      <c r="AI57" s="3">
        <f t="shared" si="33"/>
        <v>0.98000000000000054</v>
      </c>
      <c r="AJ57" s="168">
        <f t="shared" si="34"/>
        <v>0.98000000000000054</v>
      </c>
      <c r="AK57" s="3">
        <f t="shared" si="3"/>
        <v>4.6622866534449319</v>
      </c>
      <c r="AN57" s="3">
        <f t="shared" si="35"/>
        <v>0.98000000000000054</v>
      </c>
      <c r="AO57" s="3">
        <f t="shared" si="36"/>
        <v>0.98000000000000054</v>
      </c>
      <c r="AP57" s="3">
        <f t="shared" si="4"/>
        <v>4.6622866534449319</v>
      </c>
      <c r="AS57" s="3">
        <f t="shared" si="37"/>
        <v>0.98000000000000054</v>
      </c>
      <c r="AT57" s="168">
        <f t="shared" si="38"/>
        <v>0.98000000000000054</v>
      </c>
      <c r="AU57" s="3">
        <f t="shared" si="5"/>
        <v>4.6622866534449319</v>
      </c>
      <c r="AX57" s="3">
        <f t="shared" si="39"/>
        <v>0.98000000000000054</v>
      </c>
      <c r="AY57" s="168">
        <f t="shared" si="40"/>
        <v>0.98000000000000054</v>
      </c>
      <c r="AZ57" s="3">
        <f t="shared" si="6"/>
        <v>4.6622866534449319</v>
      </c>
      <c r="BC57" s="3">
        <f t="shared" si="41"/>
        <v>0.98000000000000054</v>
      </c>
      <c r="BD57" s="3">
        <f t="shared" si="42"/>
        <v>0.98000000000000054</v>
      </c>
      <c r="BE57" s="3">
        <f t="shared" si="7"/>
        <v>4.6622866534449319</v>
      </c>
      <c r="BH57" s="3">
        <f t="shared" si="43"/>
        <v>0.98000000000000054</v>
      </c>
      <c r="BI57" s="168">
        <f t="shared" si="44"/>
        <v>0.98000000000000054</v>
      </c>
      <c r="BJ57" s="3">
        <f t="shared" si="8"/>
        <v>4.6622866534449319</v>
      </c>
      <c r="BM57" s="3">
        <f t="shared" si="45"/>
        <v>0.98000000000000054</v>
      </c>
      <c r="BN57" s="168">
        <f t="shared" si="46"/>
        <v>0.98000000000000054</v>
      </c>
      <c r="BO57" s="3">
        <f t="shared" si="9"/>
        <v>4.6622866534449319</v>
      </c>
      <c r="BR57" s="3">
        <f t="shared" si="47"/>
        <v>0.98000000000000054</v>
      </c>
      <c r="BS57" s="3">
        <f t="shared" si="48"/>
        <v>0.98000000000000054</v>
      </c>
      <c r="BT57" s="3">
        <f t="shared" si="10"/>
        <v>4.6622866534449319</v>
      </c>
      <c r="BW57" s="3">
        <f t="shared" si="49"/>
        <v>0.98000000000000054</v>
      </c>
      <c r="BX57" s="168">
        <f t="shared" si="50"/>
        <v>0.98000000000000054</v>
      </c>
      <c r="BY57" s="3">
        <f t="shared" si="11"/>
        <v>4.6622866534449319</v>
      </c>
      <c r="CB57" s="3">
        <f t="shared" si="51"/>
        <v>0.98000000000000054</v>
      </c>
      <c r="CC57" s="168">
        <f t="shared" si="52"/>
        <v>0.98000000000000054</v>
      </c>
      <c r="CD57" s="3">
        <f t="shared" si="12"/>
        <v>4.6622866534449319</v>
      </c>
      <c r="CG57" s="3">
        <f t="shared" si="53"/>
        <v>0.98000000000000054</v>
      </c>
      <c r="CH57" s="3">
        <f t="shared" si="54"/>
        <v>0.98000000000000054</v>
      </c>
      <c r="CI57" s="3">
        <f t="shared" si="13"/>
        <v>4.6622866534449319</v>
      </c>
      <c r="CL57" s="3">
        <f t="shared" si="55"/>
        <v>0.98000000000000054</v>
      </c>
      <c r="CM57" s="168">
        <f t="shared" si="56"/>
        <v>0.98000000000000054</v>
      </c>
      <c r="CN57" s="3">
        <f t="shared" si="14"/>
        <v>4.6622866534449319</v>
      </c>
      <c r="CQ57" s="3">
        <f t="shared" si="57"/>
        <v>0.98000000000000054</v>
      </c>
      <c r="CR57" s="168">
        <f t="shared" si="58"/>
        <v>0.98000000000000054</v>
      </c>
      <c r="CS57" s="3">
        <f t="shared" si="15"/>
        <v>4.6622866534449319</v>
      </c>
      <c r="CV57" s="3">
        <f t="shared" si="59"/>
        <v>0.98000000000000054</v>
      </c>
      <c r="CW57" s="3">
        <f t="shared" si="60"/>
        <v>0.98000000000000054</v>
      </c>
      <c r="CX57" s="3">
        <f t="shared" si="16"/>
        <v>4.6622866534449319</v>
      </c>
      <c r="DA57" s="3">
        <f t="shared" si="61"/>
        <v>0.98000000000000054</v>
      </c>
      <c r="DB57" s="168">
        <f t="shared" si="62"/>
        <v>0.98000000000000054</v>
      </c>
      <c r="DC57" s="3">
        <f t="shared" si="17"/>
        <v>4.6622866534449319</v>
      </c>
      <c r="DF57" s="3">
        <f t="shared" si="63"/>
        <v>0.98000000000000054</v>
      </c>
      <c r="DG57" s="168">
        <f t="shared" si="64"/>
        <v>0.98000000000000054</v>
      </c>
      <c r="DH57" s="3">
        <f t="shared" si="18"/>
        <v>4.6622866534449319</v>
      </c>
      <c r="DK57" s="3">
        <f t="shared" si="65"/>
        <v>0.98000000000000054</v>
      </c>
      <c r="DL57" s="3">
        <f t="shared" si="66"/>
        <v>0.98000000000000054</v>
      </c>
      <c r="DM57" s="3">
        <f t="shared" si="19"/>
        <v>4.6622866534449319</v>
      </c>
      <c r="DP57" s="3">
        <f t="shared" si="67"/>
        <v>0.98000000000000054</v>
      </c>
      <c r="DQ57" s="168">
        <f t="shared" si="68"/>
        <v>0.98000000000000054</v>
      </c>
      <c r="DR57" s="3">
        <f t="shared" si="20"/>
        <v>4.6622866534449319</v>
      </c>
      <c r="DU57" s="3">
        <f t="shared" si="69"/>
        <v>0.98000000000000054</v>
      </c>
      <c r="DV57" s="168">
        <f t="shared" si="70"/>
        <v>0.98000000000000054</v>
      </c>
      <c r="DW57" s="3">
        <f t="shared" si="21"/>
        <v>4.6622866534449319</v>
      </c>
      <c r="DZ57" s="3">
        <f t="shared" si="71"/>
        <v>0.98000000000000054</v>
      </c>
      <c r="EA57" s="3">
        <f t="shared" si="72"/>
        <v>0.98000000000000054</v>
      </c>
      <c r="EB57" s="3">
        <f t="shared" si="22"/>
        <v>4.6622866534449319</v>
      </c>
      <c r="EE57" s="3">
        <f t="shared" si="73"/>
        <v>0.98000000000000054</v>
      </c>
      <c r="EF57" s="168">
        <f t="shared" si="74"/>
        <v>0.98000000000000054</v>
      </c>
      <c r="EG57" s="3">
        <f t="shared" si="23"/>
        <v>4.6622866534449319</v>
      </c>
      <c r="EJ57" s="3">
        <f t="shared" si="75"/>
        <v>0.98000000000000054</v>
      </c>
      <c r="EK57" s="168">
        <f t="shared" si="76"/>
        <v>0.98000000000000054</v>
      </c>
      <c r="EL57" s="3">
        <f t="shared" si="24"/>
        <v>4.6622866534449319</v>
      </c>
      <c r="EO57" s="3">
        <f t="shared" si="77"/>
        <v>0.98000000000000054</v>
      </c>
      <c r="EP57" s="3">
        <f t="shared" si="78"/>
        <v>0.98000000000000054</v>
      </c>
      <c r="EQ57" s="3">
        <f t="shared" si="25"/>
        <v>4.6622866534449319</v>
      </c>
      <c r="ET57" s="3">
        <f t="shared" si="79"/>
        <v>0.98000000000000054</v>
      </c>
      <c r="EU57" s="168">
        <f t="shared" si="80"/>
        <v>0.98000000000000054</v>
      </c>
      <c r="EV57" s="3">
        <f t="shared" si="26"/>
        <v>4.6622866534449319</v>
      </c>
    </row>
    <row r="58" spans="20:152" s="3" customFormat="1" x14ac:dyDescent="0.3">
      <c r="T58" s="3">
        <f t="shared" si="27"/>
        <v>1.0000000000000004</v>
      </c>
      <c r="U58" s="168">
        <f t="shared" si="28"/>
        <v>1.0000000000000004</v>
      </c>
      <c r="V58" s="3">
        <f t="shared" si="0"/>
        <v>4.6856409098088561</v>
      </c>
      <c r="Y58" s="3">
        <f t="shared" si="29"/>
        <v>1.0000000000000004</v>
      </c>
      <c r="Z58" s="3">
        <f t="shared" si="30"/>
        <v>1.0000000000000004</v>
      </c>
      <c r="AA58" s="3">
        <f t="shared" si="1"/>
        <v>4.6856409098088561</v>
      </c>
      <c r="AD58" s="3">
        <f t="shared" si="31"/>
        <v>1.0000000000000004</v>
      </c>
      <c r="AE58" s="168">
        <f t="shared" si="32"/>
        <v>1.0000000000000004</v>
      </c>
      <c r="AF58" s="3">
        <f t="shared" si="2"/>
        <v>4.6856409098088561</v>
      </c>
      <c r="AI58" s="3">
        <f t="shared" si="33"/>
        <v>1.0000000000000004</v>
      </c>
      <c r="AJ58" s="168">
        <f t="shared" si="34"/>
        <v>1.0000000000000004</v>
      </c>
      <c r="AK58" s="3">
        <f t="shared" si="3"/>
        <v>4.6856409098088561</v>
      </c>
      <c r="AN58" s="3">
        <f t="shared" si="35"/>
        <v>1.0000000000000004</v>
      </c>
      <c r="AO58" s="3">
        <f t="shared" si="36"/>
        <v>1.0000000000000004</v>
      </c>
      <c r="AP58" s="3">
        <f t="shared" si="4"/>
        <v>4.6856409098088561</v>
      </c>
      <c r="AS58" s="3">
        <f t="shared" si="37"/>
        <v>1.0000000000000004</v>
      </c>
      <c r="AT58" s="168">
        <f t="shared" si="38"/>
        <v>1.0000000000000004</v>
      </c>
      <c r="AU58" s="3">
        <f t="shared" si="5"/>
        <v>4.6856409098088561</v>
      </c>
      <c r="AX58" s="3">
        <f t="shared" si="39"/>
        <v>1.0000000000000004</v>
      </c>
      <c r="AY58" s="168">
        <f t="shared" si="40"/>
        <v>1.0000000000000004</v>
      </c>
      <c r="AZ58" s="3">
        <f t="shared" si="6"/>
        <v>4.6856409098088561</v>
      </c>
      <c r="BC58" s="3">
        <f t="shared" si="41"/>
        <v>1.0000000000000004</v>
      </c>
      <c r="BD58" s="3">
        <f t="shared" si="42"/>
        <v>1.0000000000000004</v>
      </c>
      <c r="BE58" s="3">
        <f t="shared" si="7"/>
        <v>4.6856409098088561</v>
      </c>
      <c r="BH58" s="3">
        <f t="shared" si="43"/>
        <v>1.0000000000000004</v>
      </c>
      <c r="BI58" s="168">
        <f t="shared" si="44"/>
        <v>1.0000000000000004</v>
      </c>
      <c r="BJ58" s="3">
        <f t="shared" si="8"/>
        <v>4.6856409098088561</v>
      </c>
      <c r="BM58" s="3">
        <f t="shared" si="45"/>
        <v>1.0000000000000004</v>
      </c>
      <c r="BN58" s="168">
        <f t="shared" si="46"/>
        <v>1.0000000000000004</v>
      </c>
      <c r="BO58" s="3">
        <f t="shared" si="9"/>
        <v>4.6856409098088561</v>
      </c>
      <c r="BR58" s="3">
        <f t="shared" si="47"/>
        <v>1.0000000000000004</v>
      </c>
      <c r="BS58" s="3">
        <f t="shared" si="48"/>
        <v>1.0000000000000004</v>
      </c>
      <c r="BT58" s="3">
        <f t="shared" si="10"/>
        <v>4.6856409098088561</v>
      </c>
      <c r="BW58" s="3">
        <f t="shared" si="49"/>
        <v>1.0000000000000004</v>
      </c>
      <c r="BX58" s="168">
        <f t="shared" si="50"/>
        <v>1.0000000000000004</v>
      </c>
      <c r="BY58" s="3">
        <f t="shared" si="11"/>
        <v>4.6856409098088561</v>
      </c>
      <c r="CB58" s="3">
        <f t="shared" si="51"/>
        <v>1.0000000000000004</v>
      </c>
      <c r="CC58" s="168">
        <f t="shared" si="52"/>
        <v>1.0000000000000004</v>
      </c>
      <c r="CD58" s="3">
        <f t="shared" si="12"/>
        <v>4.6856409098088561</v>
      </c>
      <c r="CG58" s="3">
        <f t="shared" si="53"/>
        <v>1.0000000000000004</v>
      </c>
      <c r="CH58" s="3">
        <f t="shared" si="54"/>
        <v>1.0000000000000004</v>
      </c>
      <c r="CI58" s="3">
        <f t="shared" si="13"/>
        <v>4.6856409098088561</v>
      </c>
      <c r="CL58" s="3">
        <f t="shared" si="55"/>
        <v>1.0000000000000004</v>
      </c>
      <c r="CM58" s="168">
        <f t="shared" si="56"/>
        <v>1.0000000000000004</v>
      </c>
      <c r="CN58" s="3">
        <f t="shared" si="14"/>
        <v>4.6856409098088561</v>
      </c>
      <c r="CQ58" s="3">
        <f t="shared" si="57"/>
        <v>1.0000000000000004</v>
      </c>
      <c r="CR58" s="168">
        <f t="shared" si="58"/>
        <v>1.0000000000000004</v>
      </c>
      <c r="CS58" s="3">
        <f t="shared" si="15"/>
        <v>4.6856409098088561</v>
      </c>
      <c r="CV58" s="3">
        <f t="shared" si="59"/>
        <v>1.0000000000000004</v>
      </c>
      <c r="CW58" s="3">
        <f t="shared" si="60"/>
        <v>1.0000000000000004</v>
      </c>
      <c r="CX58" s="3">
        <f t="shared" si="16"/>
        <v>4.6856409098088561</v>
      </c>
      <c r="DA58" s="3">
        <f t="shared" si="61"/>
        <v>1.0000000000000004</v>
      </c>
      <c r="DB58" s="168">
        <f t="shared" si="62"/>
        <v>1.0000000000000004</v>
      </c>
      <c r="DC58" s="3">
        <f t="shared" si="17"/>
        <v>4.6856409098088561</v>
      </c>
      <c r="DF58" s="3">
        <f t="shared" si="63"/>
        <v>1.0000000000000004</v>
      </c>
      <c r="DG58" s="168">
        <f t="shared" si="64"/>
        <v>1.0000000000000004</v>
      </c>
      <c r="DH58" s="3">
        <f t="shared" si="18"/>
        <v>4.6856409098088561</v>
      </c>
      <c r="DK58" s="3">
        <f t="shared" si="65"/>
        <v>1.0000000000000004</v>
      </c>
      <c r="DL58" s="3">
        <f t="shared" si="66"/>
        <v>1.0000000000000004</v>
      </c>
      <c r="DM58" s="3">
        <f t="shared" si="19"/>
        <v>4.6856409098088561</v>
      </c>
      <c r="DP58" s="3">
        <f t="shared" si="67"/>
        <v>1.0000000000000004</v>
      </c>
      <c r="DQ58" s="168">
        <f t="shared" si="68"/>
        <v>1.0000000000000004</v>
      </c>
      <c r="DR58" s="3">
        <f t="shared" si="20"/>
        <v>4.6856409098088561</v>
      </c>
      <c r="DU58" s="3">
        <f t="shared" si="69"/>
        <v>1.0000000000000004</v>
      </c>
      <c r="DV58" s="168">
        <f t="shared" si="70"/>
        <v>1.0000000000000004</v>
      </c>
      <c r="DW58" s="3">
        <f t="shared" si="21"/>
        <v>4.6856409098088561</v>
      </c>
      <c r="DZ58" s="3">
        <f t="shared" si="71"/>
        <v>1.0000000000000004</v>
      </c>
      <c r="EA58" s="3">
        <f t="shared" si="72"/>
        <v>1.0000000000000004</v>
      </c>
      <c r="EB58" s="3">
        <f t="shared" si="22"/>
        <v>4.6856409098088561</v>
      </c>
      <c r="EE58" s="3">
        <f t="shared" si="73"/>
        <v>1.0000000000000004</v>
      </c>
      <c r="EF58" s="168">
        <f t="shared" si="74"/>
        <v>1.0000000000000004</v>
      </c>
      <c r="EG58" s="3">
        <f t="shared" si="23"/>
        <v>4.6856409098088561</v>
      </c>
      <c r="EJ58" s="3">
        <f t="shared" si="75"/>
        <v>1.0000000000000004</v>
      </c>
      <c r="EK58" s="168">
        <f t="shared" si="76"/>
        <v>1.0000000000000004</v>
      </c>
      <c r="EL58" s="3">
        <f t="shared" si="24"/>
        <v>4.6856409098088561</v>
      </c>
      <c r="EO58" s="3">
        <f t="shared" si="77"/>
        <v>1.0000000000000004</v>
      </c>
      <c r="EP58" s="3">
        <f t="shared" si="78"/>
        <v>1.0000000000000004</v>
      </c>
      <c r="EQ58" s="3">
        <f t="shared" si="25"/>
        <v>4.6856409098088561</v>
      </c>
      <c r="ET58" s="3">
        <f t="shared" si="79"/>
        <v>1.0000000000000004</v>
      </c>
      <c r="EU58" s="168">
        <f t="shared" si="80"/>
        <v>1.0000000000000004</v>
      </c>
      <c r="EV58" s="3">
        <f t="shared" si="26"/>
        <v>4.6856409098088561</v>
      </c>
    </row>
    <row r="59" spans="20:152" s="3" customFormat="1" x14ac:dyDescent="0.3">
      <c r="T59" s="3">
        <f t="shared" si="27"/>
        <v>1.0200000000000005</v>
      </c>
      <c r="U59" s="168">
        <f t="shared" si="28"/>
        <v>1.0200000000000005</v>
      </c>
      <c r="V59" s="3">
        <f t="shared" si="0"/>
        <v>4.7062866534449324</v>
      </c>
      <c r="Y59" s="3">
        <f t="shared" si="29"/>
        <v>1.0200000000000005</v>
      </c>
      <c r="Z59" s="3">
        <f t="shared" si="30"/>
        <v>1.0200000000000005</v>
      </c>
      <c r="AA59" s="3">
        <f t="shared" si="1"/>
        <v>4.7062866534449324</v>
      </c>
      <c r="AD59" s="3">
        <f t="shared" si="31"/>
        <v>1.0200000000000005</v>
      </c>
      <c r="AE59" s="168">
        <f t="shared" si="32"/>
        <v>1.0200000000000005</v>
      </c>
      <c r="AF59" s="3">
        <f t="shared" si="2"/>
        <v>4.7062866534449324</v>
      </c>
      <c r="AI59" s="3">
        <f t="shared" si="33"/>
        <v>1.0200000000000005</v>
      </c>
      <c r="AJ59" s="168">
        <f t="shared" si="34"/>
        <v>1.0200000000000005</v>
      </c>
      <c r="AK59" s="3">
        <f t="shared" si="3"/>
        <v>4.7062866534449324</v>
      </c>
      <c r="AN59" s="3">
        <f t="shared" si="35"/>
        <v>1.0200000000000005</v>
      </c>
      <c r="AO59" s="3">
        <f t="shared" si="36"/>
        <v>1.0200000000000005</v>
      </c>
      <c r="AP59" s="3">
        <f t="shared" si="4"/>
        <v>4.7062866534449324</v>
      </c>
      <c r="AS59" s="3">
        <f t="shared" si="37"/>
        <v>1.0200000000000005</v>
      </c>
      <c r="AT59" s="168">
        <f t="shared" si="38"/>
        <v>1.0200000000000005</v>
      </c>
      <c r="AU59" s="3">
        <f t="shared" si="5"/>
        <v>4.7062866534449324</v>
      </c>
      <c r="AX59" s="3">
        <f t="shared" si="39"/>
        <v>1.0200000000000005</v>
      </c>
      <c r="AY59" s="168">
        <f t="shared" si="40"/>
        <v>1.0200000000000005</v>
      </c>
      <c r="AZ59" s="3">
        <f t="shared" si="6"/>
        <v>4.7062866534449324</v>
      </c>
      <c r="BC59" s="3">
        <f t="shared" si="41"/>
        <v>1.0200000000000005</v>
      </c>
      <c r="BD59" s="3">
        <f t="shared" si="42"/>
        <v>1.0200000000000005</v>
      </c>
      <c r="BE59" s="3">
        <f t="shared" si="7"/>
        <v>4.7062866534449324</v>
      </c>
      <c r="BH59" s="3">
        <f t="shared" si="43"/>
        <v>1.0200000000000005</v>
      </c>
      <c r="BI59" s="168">
        <f t="shared" si="44"/>
        <v>1.0200000000000005</v>
      </c>
      <c r="BJ59" s="3">
        <f t="shared" si="8"/>
        <v>4.7062866534449324</v>
      </c>
      <c r="BM59" s="3">
        <f t="shared" si="45"/>
        <v>1.0200000000000005</v>
      </c>
      <c r="BN59" s="168">
        <f t="shared" si="46"/>
        <v>1.0200000000000005</v>
      </c>
      <c r="BO59" s="3">
        <f t="shared" si="9"/>
        <v>4.7062866534449324</v>
      </c>
      <c r="BR59" s="3">
        <f t="shared" si="47"/>
        <v>1.0200000000000005</v>
      </c>
      <c r="BS59" s="3">
        <f t="shared" si="48"/>
        <v>1.0200000000000005</v>
      </c>
      <c r="BT59" s="3">
        <f t="shared" si="10"/>
        <v>4.7062866534449324</v>
      </c>
      <c r="BW59" s="3">
        <f t="shared" si="49"/>
        <v>1.0200000000000005</v>
      </c>
      <c r="BX59" s="168">
        <f t="shared" si="50"/>
        <v>1.0200000000000005</v>
      </c>
      <c r="BY59" s="3">
        <f t="shared" si="11"/>
        <v>4.7062866534449324</v>
      </c>
      <c r="CB59" s="3">
        <f t="shared" si="51"/>
        <v>1.0200000000000005</v>
      </c>
      <c r="CC59" s="168">
        <f t="shared" si="52"/>
        <v>1.0200000000000005</v>
      </c>
      <c r="CD59" s="3">
        <f t="shared" si="12"/>
        <v>4.7062866534449324</v>
      </c>
      <c r="CG59" s="3">
        <f t="shared" si="53"/>
        <v>1.0200000000000005</v>
      </c>
      <c r="CH59" s="3">
        <f t="shared" si="54"/>
        <v>1.0200000000000005</v>
      </c>
      <c r="CI59" s="3">
        <f t="shared" si="13"/>
        <v>4.7062866534449324</v>
      </c>
      <c r="CL59" s="3">
        <f t="shared" si="55"/>
        <v>1.0200000000000005</v>
      </c>
      <c r="CM59" s="168">
        <f t="shared" si="56"/>
        <v>1.0200000000000005</v>
      </c>
      <c r="CN59" s="3">
        <f t="shared" si="14"/>
        <v>4.7062866534449324</v>
      </c>
      <c r="CQ59" s="3">
        <f t="shared" si="57"/>
        <v>1.0200000000000005</v>
      </c>
      <c r="CR59" s="168">
        <f t="shared" si="58"/>
        <v>1.0200000000000005</v>
      </c>
      <c r="CS59" s="3">
        <f t="shared" si="15"/>
        <v>4.7062866534449324</v>
      </c>
      <c r="CV59" s="3">
        <f t="shared" si="59"/>
        <v>1.0200000000000005</v>
      </c>
      <c r="CW59" s="3">
        <f t="shared" si="60"/>
        <v>1.0200000000000005</v>
      </c>
      <c r="CX59" s="3">
        <f t="shared" si="16"/>
        <v>4.7062866534449324</v>
      </c>
      <c r="DA59" s="3">
        <f t="shared" si="61"/>
        <v>1.0200000000000005</v>
      </c>
      <c r="DB59" s="168">
        <f t="shared" si="62"/>
        <v>1.0200000000000005</v>
      </c>
      <c r="DC59" s="3">
        <f t="shared" si="17"/>
        <v>4.7062866534449324</v>
      </c>
      <c r="DF59" s="3">
        <f t="shared" si="63"/>
        <v>1.0200000000000005</v>
      </c>
      <c r="DG59" s="168">
        <f t="shared" si="64"/>
        <v>1.0200000000000005</v>
      </c>
      <c r="DH59" s="3">
        <f t="shared" si="18"/>
        <v>4.7062866534449324</v>
      </c>
      <c r="DK59" s="3">
        <f t="shared" si="65"/>
        <v>1.0200000000000005</v>
      </c>
      <c r="DL59" s="3">
        <f t="shared" si="66"/>
        <v>1.0200000000000005</v>
      </c>
      <c r="DM59" s="3">
        <f t="shared" si="19"/>
        <v>4.7062866534449324</v>
      </c>
      <c r="DP59" s="3">
        <f t="shared" si="67"/>
        <v>1.0200000000000005</v>
      </c>
      <c r="DQ59" s="168">
        <f t="shared" si="68"/>
        <v>1.0200000000000005</v>
      </c>
      <c r="DR59" s="3">
        <f t="shared" si="20"/>
        <v>4.7062866534449324</v>
      </c>
      <c r="DU59" s="3">
        <f t="shared" si="69"/>
        <v>1.0200000000000005</v>
      </c>
      <c r="DV59" s="168">
        <f t="shared" si="70"/>
        <v>1.0200000000000005</v>
      </c>
      <c r="DW59" s="3">
        <f t="shared" si="21"/>
        <v>4.7062866534449324</v>
      </c>
      <c r="DZ59" s="3">
        <f t="shared" si="71"/>
        <v>1.0200000000000005</v>
      </c>
      <c r="EA59" s="3">
        <f t="shared" si="72"/>
        <v>1.0200000000000005</v>
      </c>
      <c r="EB59" s="3">
        <f t="shared" si="22"/>
        <v>4.7062866534449324</v>
      </c>
      <c r="EE59" s="3">
        <f t="shared" si="73"/>
        <v>1.0200000000000005</v>
      </c>
      <c r="EF59" s="168">
        <f t="shared" si="74"/>
        <v>1.0200000000000005</v>
      </c>
      <c r="EG59" s="3">
        <f t="shared" si="23"/>
        <v>4.7062866534449324</v>
      </c>
      <c r="EJ59" s="3">
        <f t="shared" si="75"/>
        <v>1.0200000000000005</v>
      </c>
      <c r="EK59" s="168">
        <f t="shared" si="76"/>
        <v>1.0200000000000005</v>
      </c>
      <c r="EL59" s="3">
        <f t="shared" si="24"/>
        <v>4.7062866534449324</v>
      </c>
      <c r="EO59" s="3">
        <f t="shared" si="77"/>
        <v>1.0200000000000005</v>
      </c>
      <c r="EP59" s="3">
        <f t="shared" si="78"/>
        <v>1.0200000000000005</v>
      </c>
      <c r="EQ59" s="3">
        <f t="shared" si="25"/>
        <v>4.7062866534449324</v>
      </c>
      <c r="ET59" s="3">
        <f t="shared" si="79"/>
        <v>1.0200000000000005</v>
      </c>
      <c r="EU59" s="168">
        <f t="shared" si="80"/>
        <v>1.0200000000000005</v>
      </c>
      <c r="EV59" s="3">
        <f t="shared" si="26"/>
        <v>4.7062866534449324</v>
      </c>
    </row>
    <row r="60" spans="20:152" s="3" customFormat="1" x14ac:dyDescent="0.3">
      <c r="T60" s="3">
        <f t="shared" si="27"/>
        <v>1.0400000000000005</v>
      </c>
      <c r="U60" s="168">
        <f t="shared" si="28"/>
        <v>1.0400000000000005</v>
      </c>
      <c r="V60" s="3">
        <f t="shared" si="0"/>
        <v>4.7242238843531625</v>
      </c>
      <c r="Y60" s="3">
        <f t="shared" si="29"/>
        <v>1.0400000000000005</v>
      </c>
      <c r="Z60" s="3">
        <f t="shared" si="30"/>
        <v>1.0400000000000005</v>
      </c>
      <c r="AA60" s="3">
        <f t="shared" si="1"/>
        <v>4.7242238843531625</v>
      </c>
      <c r="AD60" s="3">
        <f t="shared" si="31"/>
        <v>1.0400000000000005</v>
      </c>
      <c r="AE60" s="168">
        <f t="shared" si="32"/>
        <v>1.0400000000000005</v>
      </c>
      <c r="AF60" s="3">
        <f t="shared" si="2"/>
        <v>4.7242238843531625</v>
      </c>
      <c r="AI60" s="3">
        <f t="shared" si="33"/>
        <v>1.0400000000000005</v>
      </c>
      <c r="AJ60" s="168">
        <f t="shared" si="34"/>
        <v>1.0400000000000005</v>
      </c>
      <c r="AK60" s="3">
        <f t="shared" si="3"/>
        <v>4.7242238843531625</v>
      </c>
      <c r="AN60" s="3">
        <f t="shared" si="35"/>
        <v>1.0400000000000005</v>
      </c>
      <c r="AO60" s="3">
        <f t="shared" si="36"/>
        <v>1.0400000000000005</v>
      </c>
      <c r="AP60" s="3">
        <f t="shared" si="4"/>
        <v>4.7242238843531625</v>
      </c>
      <c r="AS60" s="3">
        <f t="shared" si="37"/>
        <v>1.0400000000000005</v>
      </c>
      <c r="AT60" s="168">
        <f t="shared" si="38"/>
        <v>1.0400000000000005</v>
      </c>
      <c r="AU60" s="3">
        <f t="shared" si="5"/>
        <v>4.7242238843531625</v>
      </c>
      <c r="AX60" s="3">
        <f t="shared" si="39"/>
        <v>1.0400000000000005</v>
      </c>
      <c r="AY60" s="168">
        <f t="shared" si="40"/>
        <v>1.0400000000000005</v>
      </c>
      <c r="AZ60" s="3">
        <f t="shared" si="6"/>
        <v>4.7242238843531625</v>
      </c>
      <c r="BC60" s="3">
        <f t="shared" si="41"/>
        <v>1.0400000000000005</v>
      </c>
      <c r="BD60" s="3">
        <f t="shared" si="42"/>
        <v>1.0400000000000005</v>
      </c>
      <c r="BE60" s="3">
        <f t="shared" si="7"/>
        <v>4.7242238843531625</v>
      </c>
      <c r="BH60" s="3">
        <f t="shared" si="43"/>
        <v>1.0400000000000005</v>
      </c>
      <c r="BI60" s="168">
        <f t="shared" si="44"/>
        <v>1.0400000000000005</v>
      </c>
      <c r="BJ60" s="3">
        <f t="shared" si="8"/>
        <v>4.7242238843531625</v>
      </c>
      <c r="BM60" s="3">
        <f t="shared" si="45"/>
        <v>1.0400000000000005</v>
      </c>
      <c r="BN60" s="168">
        <f t="shared" si="46"/>
        <v>1.0400000000000005</v>
      </c>
      <c r="BO60" s="3">
        <f t="shared" si="9"/>
        <v>4.7242238843531625</v>
      </c>
      <c r="BR60" s="3">
        <f t="shared" si="47"/>
        <v>1.0400000000000005</v>
      </c>
      <c r="BS60" s="3">
        <f t="shared" si="48"/>
        <v>1.0400000000000005</v>
      </c>
      <c r="BT60" s="3">
        <f t="shared" si="10"/>
        <v>4.7242238843531625</v>
      </c>
      <c r="BW60" s="3">
        <f t="shared" si="49"/>
        <v>1.0400000000000005</v>
      </c>
      <c r="BX60" s="168">
        <f t="shared" si="50"/>
        <v>1.0400000000000005</v>
      </c>
      <c r="BY60" s="3">
        <f t="shared" si="11"/>
        <v>4.7242238843531625</v>
      </c>
      <c r="CB60" s="3">
        <f t="shared" si="51"/>
        <v>1.0400000000000005</v>
      </c>
      <c r="CC60" s="168">
        <f t="shared" si="52"/>
        <v>1.0400000000000005</v>
      </c>
      <c r="CD60" s="3">
        <f t="shared" si="12"/>
        <v>4.7242238843531625</v>
      </c>
      <c r="CG60" s="3">
        <f t="shared" si="53"/>
        <v>1.0400000000000005</v>
      </c>
      <c r="CH60" s="3">
        <f t="shared" si="54"/>
        <v>1.0400000000000005</v>
      </c>
      <c r="CI60" s="3">
        <f t="shared" si="13"/>
        <v>4.7242238843531625</v>
      </c>
      <c r="CL60" s="3">
        <f t="shared" si="55"/>
        <v>1.0400000000000005</v>
      </c>
      <c r="CM60" s="168">
        <f t="shared" si="56"/>
        <v>1.0400000000000005</v>
      </c>
      <c r="CN60" s="3">
        <f t="shared" si="14"/>
        <v>4.7242238843531625</v>
      </c>
      <c r="CQ60" s="3">
        <f t="shared" si="57"/>
        <v>1.0400000000000005</v>
      </c>
      <c r="CR60" s="168">
        <f t="shared" si="58"/>
        <v>1.0400000000000005</v>
      </c>
      <c r="CS60" s="3">
        <f t="shared" si="15"/>
        <v>4.7242238843531625</v>
      </c>
      <c r="CV60" s="3">
        <f t="shared" si="59"/>
        <v>1.0400000000000005</v>
      </c>
      <c r="CW60" s="3">
        <f t="shared" si="60"/>
        <v>1.0400000000000005</v>
      </c>
      <c r="CX60" s="3">
        <f t="shared" si="16"/>
        <v>4.7242238843531625</v>
      </c>
      <c r="DA60" s="3">
        <f t="shared" si="61"/>
        <v>1.0400000000000005</v>
      </c>
      <c r="DB60" s="168">
        <f t="shared" si="62"/>
        <v>1.0400000000000005</v>
      </c>
      <c r="DC60" s="3">
        <f t="shared" si="17"/>
        <v>4.7242238843531625</v>
      </c>
      <c r="DF60" s="3">
        <f t="shared" si="63"/>
        <v>1.0400000000000005</v>
      </c>
      <c r="DG60" s="168">
        <f t="shared" si="64"/>
        <v>1.0400000000000005</v>
      </c>
      <c r="DH60" s="3">
        <f t="shared" si="18"/>
        <v>4.7242238843531625</v>
      </c>
      <c r="DK60" s="3">
        <f t="shared" si="65"/>
        <v>1.0400000000000005</v>
      </c>
      <c r="DL60" s="3">
        <f t="shared" si="66"/>
        <v>1.0400000000000005</v>
      </c>
      <c r="DM60" s="3">
        <f t="shared" si="19"/>
        <v>4.7242238843531625</v>
      </c>
      <c r="DP60" s="3">
        <f t="shared" si="67"/>
        <v>1.0400000000000005</v>
      </c>
      <c r="DQ60" s="168">
        <f t="shared" si="68"/>
        <v>1.0400000000000005</v>
      </c>
      <c r="DR60" s="3">
        <f t="shared" si="20"/>
        <v>4.7242238843531625</v>
      </c>
      <c r="DU60" s="3">
        <f t="shared" si="69"/>
        <v>1.0400000000000005</v>
      </c>
      <c r="DV60" s="168">
        <f t="shared" si="70"/>
        <v>1.0400000000000005</v>
      </c>
      <c r="DW60" s="3">
        <f t="shared" si="21"/>
        <v>4.7242238843531625</v>
      </c>
      <c r="DZ60" s="3">
        <f t="shared" si="71"/>
        <v>1.0400000000000005</v>
      </c>
      <c r="EA60" s="3">
        <f t="shared" si="72"/>
        <v>1.0400000000000005</v>
      </c>
      <c r="EB60" s="3">
        <f t="shared" si="22"/>
        <v>4.7242238843531625</v>
      </c>
      <c r="EE60" s="3">
        <f t="shared" si="73"/>
        <v>1.0400000000000005</v>
      </c>
      <c r="EF60" s="168">
        <f t="shared" si="74"/>
        <v>1.0400000000000005</v>
      </c>
      <c r="EG60" s="3">
        <f t="shared" si="23"/>
        <v>4.7242238843531625</v>
      </c>
      <c r="EJ60" s="3">
        <f t="shared" si="75"/>
        <v>1.0400000000000005</v>
      </c>
      <c r="EK60" s="168">
        <f t="shared" si="76"/>
        <v>1.0400000000000005</v>
      </c>
      <c r="EL60" s="3">
        <f t="shared" si="24"/>
        <v>4.7242238843531625</v>
      </c>
      <c r="EO60" s="3">
        <f t="shared" si="77"/>
        <v>1.0400000000000005</v>
      </c>
      <c r="EP60" s="3">
        <f t="shared" si="78"/>
        <v>1.0400000000000005</v>
      </c>
      <c r="EQ60" s="3">
        <f t="shared" si="25"/>
        <v>4.7242238843531625</v>
      </c>
      <c r="ET60" s="3">
        <f t="shared" si="79"/>
        <v>1.0400000000000005</v>
      </c>
      <c r="EU60" s="168">
        <f t="shared" si="80"/>
        <v>1.0400000000000005</v>
      </c>
      <c r="EV60" s="3">
        <f t="shared" si="26"/>
        <v>4.7242238843531625</v>
      </c>
    </row>
    <row r="61" spans="20:152" s="3" customFormat="1" x14ac:dyDescent="0.3">
      <c r="T61" s="3">
        <f t="shared" si="27"/>
        <v>1.0600000000000005</v>
      </c>
      <c r="U61" s="168">
        <f t="shared" si="28"/>
        <v>1.0600000000000005</v>
      </c>
      <c r="V61" s="3">
        <f t="shared" si="0"/>
        <v>4.7394526025335439</v>
      </c>
      <c r="Y61" s="3">
        <f t="shared" si="29"/>
        <v>1.0600000000000005</v>
      </c>
      <c r="Z61" s="3">
        <f t="shared" si="30"/>
        <v>1.0600000000000005</v>
      </c>
      <c r="AA61" s="3">
        <f t="shared" si="1"/>
        <v>4.7394526025335439</v>
      </c>
      <c r="AD61" s="3">
        <f t="shared" si="31"/>
        <v>1.0600000000000005</v>
      </c>
      <c r="AE61" s="168">
        <f t="shared" si="32"/>
        <v>1.0600000000000005</v>
      </c>
      <c r="AF61" s="3">
        <f t="shared" si="2"/>
        <v>4.7394526025335439</v>
      </c>
      <c r="AI61" s="3">
        <f t="shared" si="33"/>
        <v>1.0600000000000005</v>
      </c>
      <c r="AJ61" s="168">
        <f t="shared" si="34"/>
        <v>1.0600000000000005</v>
      </c>
      <c r="AK61" s="3">
        <f t="shared" si="3"/>
        <v>4.7394526025335439</v>
      </c>
      <c r="AN61" s="3">
        <f t="shared" si="35"/>
        <v>1.0600000000000005</v>
      </c>
      <c r="AO61" s="3">
        <f t="shared" si="36"/>
        <v>1.0600000000000005</v>
      </c>
      <c r="AP61" s="3">
        <f t="shared" si="4"/>
        <v>4.7394526025335439</v>
      </c>
      <c r="AS61" s="3">
        <f t="shared" si="37"/>
        <v>1.0600000000000005</v>
      </c>
      <c r="AT61" s="168">
        <f t="shared" si="38"/>
        <v>1.0600000000000005</v>
      </c>
      <c r="AU61" s="3">
        <f t="shared" si="5"/>
        <v>4.7394526025335439</v>
      </c>
      <c r="AX61" s="3">
        <f t="shared" si="39"/>
        <v>1.0600000000000005</v>
      </c>
      <c r="AY61" s="168">
        <f t="shared" si="40"/>
        <v>1.0600000000000005</v>
      </c>
      <c r="AZ61" s="3">
        <f t="shared" si="6"/>
        <v>4.7394526025335439</v>
      </c>
      <c r="BC61" s="3">
        <f t="shared" si="41"/>
        <v>1.0600000000000005</v>
      </c>
      <c r="BD61" s="3">
        <f t="shared" si="42"/>
        <v>1.0600000000000005</v>
      </c>
      <c r="BE61" s="3">
        <f t="shared" si="7"/>
        <v>4.7394526025335439</v>
      </c>
      <c r="BH61" s="3">
        <f t="shared" si="43"/>
        <v>1.0600000000000005</v>
      </c>
      <c r="BI61" s="168">
        <f t="shared" si="44"/>
        <v>1.0600000000000005</v>
      </c>
      <c r="BJ61" s="3">
        <f t="shared" si="8"/>
        <v>4.7394526025335439</v>
      </c>
      <c r="BM61" s="3">
        <f t="shared" si="45"/>
        <v>1.0600000000000005</v>
      </c>
      <c r="BN61" s="168">
        <f t="shared" si="46"/>
        <v>1.0600000000000005</v>
      </c>
      <c r="BO61" s="3">
        <f t="shared" si="9"/>
        <v>4.7394526025335439</v>
      </c>
      <c r="BR61" s="3">
        <f t="shared" si="47"/>
        <v>1.0600000000000005</v>
      </c>
      <c r="BS61" s="3">
        <f t="shared" si="48"/>
        <v>1.0600000000000005</v>
      </c>
      <c r="BT61" s="3">
        <f t="shared" si="10"/>
        <v>4.7394526025335439</v>
      </c>
      <c r="BW61" s="3">
        <f t="shared" si="49"/>
        <v>1.0600000000000005</v>
      </c>
      <c r="BX61" s="168">
        <f t="shared" si="50"/>
        <v>1.0600000000000005</v>
      </c>
      <c r="BY61" s="3">
        <f t="shared" si="11"/>
        <v>4.7394526025335439</v>
      </c>
      <c r="CB61" s="3">
        <f t="shared" si="51"/>
        <v>1.0600000000000005</v>
      </c>
      <c r="CC61" s="168">
        <f t="shared" si="52"/>
        <v>1.0600000000000005</v>
      </c>
      <c r="CD61" s="3">
        <f t="shared" si="12"/>
        <v>4.7394526025335439</v>
      </c>
      <c r="CG61" s="3">
        <f t="shared" si="53"/>
        <v>1.0600000000000005</v>
      </c>
      <c r="CH61" s="3">
        <f t="shared" si="54"/>
        <v>1.0600000000000005</v>
      </c>
      <c r="CI61" s="3">
        <f t="shared" si="13"/>
        <v>4.7394526025335439</v>
      </c>
      <c r="CL61" s="3">
        <f t="shared" si="55"/>
        <v>1.0600000000000005</v>
      </c>
      <c r="CM61" s="168">
        <f t="shared" si="56"/>
        <v>1.0600000000000005</v>
      </c>
      <c r="CN61" s="3">
        <f t="shared" si="14"/>
        <v>4.7394526025335439</v>
      </c>
      <c r="CQ61" s="3">
        <f t="shared" si="57"/>
        <v>1.0600000000000005</v>
      </c>
      <c r="CR61" s="168">
        <f t="shared" si="58"/>
        <v>1.0600000000000005</v>
      </c>
      <c r="CS61" s="3">
        <f t="shared" si="15"/>
        <v>4.7394526025335439</v>
      </c>
      <c r="CV61" s="3">
        <f t="shared" si="59"/>
        <v>1.0600000000000005</v>
      </c>
      <c r="CW61" s="3">
        <f t="shared" si="60"/>
        <v>1.0600000000000005</v>
      </c>
      <c r="CX61" s="3">
        <f t="shared" si="16"/>
        <v>4.7394526025335439</v>
      </c>
      <c r="DA61" s="3">
        <f t="shared" si="61"/>
        <v>1.0600000000000005</v>
      </c>
      <c r="DB61" s="168">
        <f t="shared" si="62"/>
        <v>1.0600000000000005</v>
      </c>
      <c r="DC61" s="3">
        <f t="shared" si="17"/>
        <v>4.7394526025335439</v>
      </c>
      <c r="DF61" s="3">
        <f t="shared" si="63"/>
        <v>1.0600000000000005</v>
      </c>
      <c r="DG61" s="168">
        <f t="shared" si="64"/>
        <v>1.0600000000000005</v>
      </c>
      <c r="DH61" s="3">
        <f t="shared" si="18"/>
        <v>4.7394526025335439</v>
      </c>
      <c r="DK61" s="3">
        <f t="shared" si="65"/>
        <v>1.0600000000000005</v>
      </c>
      <c r="DL61" s="3">
        <f t="shared" si="66"/>
        <v>1.0600000000000005</v>
      </c>
      <c r="DM61" s="3">
        <f t="shared" si="19"/>
        <v>4.7394526025335439</v>
      </c>
      <c r="DP61" s="3">
        <f t="shared" si="67"/>
        <v>1.0600000000000005</v>
      </c>
      <c r="DQ61" s="168">
        <f t="shared" si="68"/>
        <v>1.0600000000000005</v>
      </c>
      <c r="DR61" s="3">
        <f t="shared" si="20"/>
        <v>4.7394526025335439</v>
      </c>
      <c r="DU61" s="3">
        <f t="shared" si="69"/>
        <v>1.0600000000000005</v>
      </c>
      <c r="DV61" s="168">
        <f t="shared" si="70"/>
        <v>1.0600000000000005</v>
      </c>
      <c r="DW61" s="3">
        <f t="shared" si="21"/>
        <v>4.7394526025335439</v>
      </c>
      <c r="DZ61" s="3">
        <f t="shared" si="71"/>
        <v>1.0600000000000005</v>
      </c>
      <c r="EA61" s="3">
        <f t="shared" si="72"/>
        <v>1.0600000000000005</v>
      </c>
      <c r="EB61" s="3">
        <f t="shared" si="22"/>
        <v>4.7394526025335439</v>
      </c>
      <c r="EE61" s="3">
        <f t="shared" si="73"/>
        <v>1.0600000000000005</v>
      </c>
      <c r="EF61" s="168">
        <f t="shared" si="74"/>
        <v>1.0600000000000005</v>
      </c>
      <c r="EG61" s="3">
        <f t="shared" si="23"/>
        <v>4.7394526025335439</v>
      </c>
      <c r="EJ61" s="3">
        <f t="shared" si="75"/>
        <v>1.0600000000000005</v>
      </c>
      <c r="EK61" s="168">
        <f t="shared" si="76"/>
        <v>1.0600000000000005</v>
      </c>
      <c r="EL61" s="3">
        <f t="shared" si="24"/>
        <v>4.7394526025335439</v>
      </c>
      <c r="EO61" s="3">
        <f t="shared" si="77"/>
        <v>1.0600000000000005</v>
      </c>
      <c r="EP61" s="3">
        <f t="shared" si="78"/>
        <v>1.0600000000000005</v>
      </c>
      <c r="EQ61" s="3">
        <f t="shared" si="25"/>
        <v>4.7394526025335439</v>
      </c>
      <c r="ET61" s="3">
        <f t="shared" si="79"/>
        <v>1.0600000000000005</v>
      </c>
      <c r="EU61" s="168">
        <f t="shared" si="80"/>
        <v>1.0600000000000005</v>
      </c>
      <c r="EV61" s="3">
        <f t="shared" si="26"/>
        <v>4.7394526025335439</v>
      </c>
    </row>
    <row r="62" spans="20:152" s="3" customFormat="1" x14ac:dyDescent="0.3">
      <c r="T62" s="3">
        <f t="shared" si="27"/>
        <v>1.0800000000000005</v>
      </c>
      <c r="U62" s="168">
        <f t="shared" si="28"/>
        <v>1.0800000000000005</v>
      </c>
      <c r="V62" s="3">
        <f t="shared" si="0"/>
        <v>4.7519728079860784</v>
      </c>
      <c r="Y62" s="3">
        <f t="shared" si="29"/>
        <v>1.0800000000000005</v>
      </c>
      <c r="Z62" s="3">
        <f t="shared" si="30"/>
        <v>1.0800000000000005</v>
      </c>
      <c r="AA62" s="3">
        <f t="shared" si="1"/>
        <v>4.7519728079860784</v>
      </c>
      <c r="AD62" s="3">
        <f t="shared" si="31"/>
        <v>1.0800000000000005</v>
      </c>
      <c r="AE62" s="168">
        <f t="shared" si="32"/>
        <v>1.0800000000000005</v>
      </c>
      <c r="AF62" s="3">
        <f t="shared" si="2"/>
        <v>4.7519728079860784</v>
      </c>
      <c r="AI62" s="3">
        <f t="shared" si="33"/>
        <v>1.0800000000000005</v>
      </c>
      <c r="AJ62" s="168">
        <f t="shared" si="34"/>
        <v>1.0800000000000005</v>
      </c>
      <c r="AK62" s="3">
        <f t="shared" si="3"/>
        <v>4.7519728079860784</v>
      </c>
      <c r="AN62" s="3">
        <f t="shared" si="35"/>
        <v>1.0800000000000005</v>
      </c>
      <c r="AO62" s="3">
        <f t="shared" si="36"/>
        <v>1.0800000000000005</v>
      </c>
      <c r="AP62" s="3">
        <f t="shared" si="4"/>
        <v>4.7519728079860784</v>
      </c>
      <c r="AS62" s="3">
        <f t="shared" si="37"/>
        <v>1.0800000000000005</v>
      </c>
      <c r="AT62" s="168">
        <f t="shared" si="38"/>
        <v>1.0800000000000005</v>
      </c>
      <c r="AU62" s="3">
        <f t="shared" si="5"/>
        <v>4.7519728079860784</v>
      </c>
      <c r="AX62" s="3">
        <f t="shared" si="39"/>
        <v>1.0800000000000005</v>
      </c>
      <c r="AY62" s="168">
        <f t="shared" si="40"/>
        <v>1.0800000000000005</v>
      </c>
      <c r="AZ62" s="3">
        <f t="shared" si="6"/>
        <v>4.7519728079860784</v>
      </c>
      <c r="BC62" s="3">
        <f t="shared" si="41"/>
        <v>1.0800000000000005</v>
      </c>
      <c r="BD62" s="3">
        <f t="shared" si="42"/>
        <v>1.0800000000000005</v>
      </c>
      <c r="BE62" s="3">
        <f t="shared" si="7"/>
        <v>4.7519728079860784</v>
      </c>
      <c r="BH62" s="3">
        <f t="shared" si="43"/>
        <v>1.0800000000000005</v>
      </c>
      <c r="BI62" s="168">
        <f t="shared" si="44"/>
        <v>1.0800000000000005</v>
      </c>
      <c r="BJ62" s="3">
        <f t="shared" si="8"/>
        <v>4.7519728079860784</v>
      </c>
      <c r="BM62" s="3">
        <f t="shared" si="45"/>
        <v>1.0800000000000005</v>
      </c>
      <c r="BN62" s="168">
        <f t="shared" si="46"/>
        <v>1.0800000000000005</v>
      </c>
      <c r="BO62" s="3">
        <f t="shared" si="9"/>
        <v>4.7519728079860784</v>
      </c>
      <c r="BR62" s="3">
        <f t="shared" si="47"/>
        <v>1.0800000000000005</v>
      </c>
      <c r="BS62" s="3">
        <f t="shared" si="48"/>
        <v>1.0800000000000005</v>
      </c>
      <c r="BT62" s="3">
        <f t="shared" si="10"/>
        <v>4.7519728079860784</v>
      </c>
      <c r="BW62" s="3">
        <f t="shared" si="49"/>
        <v>1.0800000000000005</v>
      </c>
      <c r="BX62" s="168">
        <f t="shared" si="50"/>
        <v>1.0800000000000005</v>
      </c>
      <c r="BY62" s="3">
        <f t="shared" si="11"/>
        <v>4.7519728079860784</v>
      </c>
      <c r="CB62" s="3">
        <f t="shared" si="51"/>
        <v>1.0800000000000005</v>
      </c>
      <c r="CC62" s="168">
        <f t="shared" si="52"/>
        <v>1.0800000000000005</v>
      </c>
      <c r="CD62" s="3">
        <f t="shared" si="12"/>
        <v>4.7519728079860784</v>
      </c>
      <c r="CG62" s="3">
        <f t="shared" si="53"/>
        <v>1.0800000000000005</v>
      </c>
      <c r="CH62" s="3">
        <f t="shared" si="54"/>
        <v>1.0800000000000005</v>
      </c>
      <c r="CI62" s="3">
        <f t="shared" si="13"/>
        <v>4.7519728079860784</v>
      </c>
      <c r="CL62" s="3">
        <f t="shared" si="55"/>
        <v>1.0800000000000005</v>
      </c>
      <c r="CM62" s="168">
        <f t="shared" si="56"/>
        <v>1.0800000000000005</v>
      </c>
      <c r="CN62" s="3">
        <f t="shared" si="14"/>
        <v>4.7519728079860784</v>
      </c>
      <c r="CQ62" s="3">
        <f t="shared" si="57"/>
        <v>1.0800000000000005</v>
      </c>
      <c r="CR62" s="168">
        <f t="shared" si="58"/>
        <v>1.0800000000000005</v>
      </c>
      <c r="CS62" s="3">
        <f t="shared" si="15"/>
        <v>4.7519728079860784</v>
      </c>
      <c r="CV62" s="3">
        <f t="shared" si="59"/>
        <v>1.0800000000000005</v>
      </c>
      <c r="CW62" s="3">
        <f t="shared" si="60"/>
        <v>1.0800000000000005</v>
      </c>
      <c r="CX62" s="3">
        <f t="shared" si="16"/>
        <v>4.7519728079860784</v>
      </c>
      <c r="DA62" s="3">
        <f t="shared" si="61"/>
        <v>1.0800000000000005</v>
      </c>
      <c r="DB62" s="168">
        <f t="shared" si="62"/>
        <v>1.0800000000000005</v>
      </c>
      <c r="DC62" s="3">
        <f t="shared" si="17"/>
        <v>4.7519728079860784</v>
      </c>
      <c r="DF62" s="3">
        <f t="shared" si="63"/>
        <v>1.0800000000000005</v>
      </c>
      <c r="DG62" s="168">
        <f t="shared" si="64"/>
        <v>1.0800000000000005</v>
      </c>
      <c r="DH62" s="3">
        <f t="shared" si="18"/>
        <v>4.7519728079860784</v>
      </c>
      <c r="DK62" s="3">
        <f t="shared" si="65"/>
        <v>1.0800000000000005</v>
      </c>
      <c r="DL62" s="3">
        <f t="shared" si="66"/>
        <v>1.0800000000000005</v>
      </c>
      <c r="DM62" s="3">
        <f t="shared" si="19"/>
        <v>4.7519728079860784</v>
      </c>
      <c r="DP62" s="3">
        <f t="shared" si="67"/>
        <v>1.0800000000000005</v>
      </c>
      <c r="DQ62" s="168">
        <f t="shared" si="68"/>
        <v>1.0800000000000005</v>
      </c>
      <c r="DR62" s="3">
        <f t="shared" si="20"/>
        <v>4.7519728079860784</v>
      </c>
      <c r="DU62" s="3">
        <f t="shared" si="69"/>
        <v>1.0800000000000005</v>
      </c>
      <c r="DV62" s="168">
        <f t="shared" si="70"/>
        <v>1.0800000000000005</v>
      </c>
      <c r="DW62" s="3">
        <f t="shared" si="21"/>
        <v>4.7519728079860784</v>
      </c>
      <c r="DZ62" s="3">
        <f t="shared" si="71"/>
        <v>1.0800000000000005</v>
      </c>
      <c r="EA62" s="3">
        <f t="shared" si="72"/>
        <v>1.0800000000000005</v>
      </c>
      <c r="EB62" s="3">
        <f t="shared" si="22"/>
        <v>4.7519728079860784</v>
      </c>
      <c r="EE62" s="3">
        <f t="shared" si="73"/>
        <v>1.0800000000000005</v>
      </c>
      <c r="EF62" s="168">
        <f t="shared" si="74"/>
        <v>1.0800000000000005</v>
      </c>
      <c r="EG62" s="3">
        <f t="shared" si="23"/>
        <v>4.7519728079860784</v>
      </c>
      <c r="EJ62" s="3">
        <f t="shared" si="75"/>
        <v>1.0800000000000005</v>
      </c>
      <c r="EK62" s="168">
        <f t="shared" si="76"/>
        <v>1.0800000000000005</v>
      </c>
      <c r="EL62" s="3">
        <f t="shared" si="24"/>
        <v>4.7519728079860784</v>
      </c>
      <c r="EO62" s="3">
        <f t="shared" si="77"/>
        <v>1.0800000000000005</v>
      </c>
      <c r="EP62" s="3">
        <f t="shared" si="78"/>
        <v>1.0800000000000005</v>
      </c>
      <c r="EQ62" s="3">
        <f t="shared" si="25"/>
        <v>4.7519728079860784</v>
      </c>
      <c r="ET62" s="3">
        <f t="shared" si="79"/>
        <v>1.0800000000000005</v>
      </c>
      <c r="EU62" s="168">
        <f t="shared" si="80"/>
        <v>1.0800000000000005</v>
      </c>
      <c r="EV62" s="3">
        <f t="shared" si="26"/>
        <v>4.7519728079860784</v>
      </c>
    </row>
    <row r="63" spans="20:152" s="3" customFormat="1" x14ac:dyDescent="0.3">
      <c r="T63" s="3">
        <f t="shared" si="27"/>
        <v>1.1000000000000005</v>
      </c>
      <c r="U63" s="168">
        <f t="shared" si="28"/>
        <v>1.1000000000000005</v>
      </c>
      <c r="V63" s="3">
        <f t="shared" si="0"/>
        <v>4.7617845007107666</v>
      </c>
      <c r="Y63" s="3">
        <f t="shared" si="29"/>
        <v>1.1000000000000005</v>
      </c>
      <c r="Z63" s="3">
        <f t="shared" si="30"/>
        <v>1.1000000000000005</v>
      </c>
      <c r="AA63" s="3">
        <f t="shared" si="1"/>
        <v>4.7617845007107666</v>
      </c>
      <c r="AD63" s="3">
        <f t="shared" si="31"/>
        <v>1.1000000000000005</v>
      </c>
      <c r="AE63" s="168">
        <f t="shared" si="32"/>
        <v>1.1000000000000005</v>
      </c>
      <c r="AF63" s="3">
        <f t="shared" si="2"/>
        <v>4.7617845007107666</v>
      </c>
      <c r="AI63" s="3">
        <f t="shared" si="33"/>
        <v>1.1000000000000005</v>
      </c>
      <c r="AJ63" s="168">
        <f t="shared" si="34"/>
        <v>1.1000000000000005</v>
      </c>
      <c r="AK63" s="3">
        <f t="shared" si="3"/>
        <v>4.7617845007107666</v>
      </c>
      <c r="AN63" s="3">
        <f t="shared" si="35"/>
        <v>1.1000000000000005</v>
      </c>
      <c r="AO63" s="3">
        <f t="shared" si="36"/>
        <v>1.1000000000000005</v>
      </c>
      <c r="AP63" s="3">
        <f t="shared" si="4"/>
        <v>4.7617845007107666</v>
      </c>
      <c r="AS63" s="3">
        <f t="shared" si="37"/>
        <v>1.1000000000000005</v>
      </c>
      <c r="AT63" s="168">
        <f t="shared" si="38"/>
        <v>1.1000000000000005</v>
      </c>
      <c r="AU63" s="3">
        <f t="shared" si="5"/>
        <v>4.7617845007107666</v>
      </c>
      <c r="AX63" s="3">
        <f t="shared" si="39"/>
        <v>1.1000000000000005</v>
      </c>
      <c r="AY63" s="168">
        <f t="shared" si="40"/>
        <v>1.1000000000000005</v>
      </c>
      <c r="AZ63" s="3">
        <f t="shared" si="6"/>
        <v>4.7617845007107666</v>
      </c>
      <c r="BC63" s="3">
        <f t="shared" si="41"/>
        <v>1.1000000000000005</v>
      </c>
      <c r="BD63" s="3">
        <f t="shared" si="42"/>
        <v>1.1000000000000005</v>
      </c>
      <c r="BE63" s="3">
        <f t="shared" si="7"/>
        <v>4.7617845007107666</v>
      </c>
      <c r="BH63" s="3">
        <f t="shared" si="43"/>
        <v>1.1000000000000005</v>
      </c>
      <c r="BI63" s="168">
        <f t="shared" si="44"/>
        <v>1.1000000000000005</v>
      </c>
      <c r="BJ63" s="3">
        <f t="shared" si="8"/>
        <v>4.7617845007107666</v>
      </c>
      <c r="BM63" s="3">
        <f t="shared" si="45"/>
        <v>1.1000000000000005</v>
      </c>
      <c r="BN63" s="168">
        <f t="shared" si="46"/>
        <v>1.1000000000000005</v>
      </c>
      <c r="BO63" s="3">
        <f t="shared" si="9"/>
        <v>4.7617845007107666</v>
      </c>
      <c r="BR63" s="3">
        <f t="shared" si="47"/>
        <v>1.1000000000000005</v>
      </c>
      <c r="BS63" s="3">
        <f t="shared" si="48"/>
        <v>1.1000000000000005</v>
      </c>
      <c r="BT63" s="3">
        <f t="shared" si="10"/>
        <v>4.7617845007107666</v>
      </c>
      <c r="BW63" s="3">
        <f t="shared" si="49"/>
        <v>1.1000000000000005</v>
      </c>
      <c r="BX63" s="168">
        <f t="shared" si="50"/>
        <v>1.1000000000000005</v>
      </c>
      <c r="BY63" s="3">
        <f t="shared" si="11"/>
        <v>4.7617845007107666</v>
      </c>
      <c r="CB63" s="3">
        <f t="shared" si="51"/>
        <v>1.1000000000000005</v>
      </c>
      <c r="CC63" s="168">
        <f t="shared" si="52"/>
        <v>1.1000000000000005</v>
      </c>
      <c r="CD63" s="3">
        <f t="shared" si="12"/>
        <v>4.7617845007107666</v>
      </c>
      <c r="CG63" s="3">
        <f t="shared" si="53"/>
        <v>1.1000000000000005</v>
      </c>
      <c r="CH63" s="3">
        <f t="shared" si="54"/>
        <v>1.1000000000000005</v>
      </c>
      <c r="CI63" s="3">
        <f t="shared" si="13"/>
        <v>4.7617845007107666</v>
      </c>
      <c r="CL63" s="3">
        <f t="shared" si="55"/>
        <v>1.1000000000000005</v>
      </c>
      <c r="CM63" s="168">
        <f t="shared" si="56"/>
        <v>1.1000000000000005</v>
      </c>
      <c r="CN63" s="3">
        <f t="shared" si="14"/>
        <v>4.7617845007107666</v>
      </c>
      <c r="CQ63" s="3">
        <f t="shared" si="57"/>
        <v>1.1000000000000005</v>
      </c>
      <c r="CR63" s="168">
        <f t="shared" si="58"/>
        <v>1.1000000000000005</v>
      </c>
      <c r="CS63" s="3">
        <f t="shared" si="15"/>
        <v>4.7617845007107666</v>
      </c>
      <c r="CV63" s="3">
        <f t="shared" si="59"/>
        <v>1.1000000000000005</v>
      </c>
      <c r="CW63" s="3">
        <f t="shared" si="60"/>
        <v>1.1000000000000005</v>
      </c>
      <c r="CX63" s="3">
        <f t="shared" si="16"/>
        <v>4.7617845007107666</v>
      </c>
      <c r="DA63" s="3">
        <f t="shared" si="61"/>
        <v>1.1000000000000005</v>
      </c>
      <c r="DB63" s="168">
        <f t="shared" si="62"/>
        <v>1.1000000000000005</v>
      </c>
      <c r="DC63" s="3">
        <f t="shared" si="17"/>
        <v>4.7617845007107666</v>
      </c>
      <c r="DF63" s="3">
        <f t="shared" si="63"/>
        <v>1.1000000000000005</v>
      </c>
      <c r="DG63" s="168">
        <f t="shared" si="64"/>
        <v>1.1000000000000005</v>
      </c>
      <c r="DH63" s="3">
        <f t="shared" si="18"/>
        <v>4.7617845007107666</v>
      </c>
      <c r="DK63" s="3">
        <f t="shared" si="65"/>
        <v>1.1000000000000005</v>
      </c>
      <c r="DL63" s="3">
        <f t="shared" si="66"/>
        <v>1.1000000000000005</v>
      </c>
      <c r="DM63" s="3">
        <f t="shared" si="19"/>
        <v>4.7617845007107666</v>
      </c>
      <c r="DP63" s="3">
        <f t="shared" si="67"/>
        <v>1.1000000000000005</v>
      </c>
      <c r="DQ63" s="168">
        <f t="shared" si="68"/>
        <v>1.1000000000000005</v>
      </c>
      <c r="DR63" s="3">
        <f t="shared" si="20"/>
        <v>4.7617845007107666</v>
      </c>
      <c r="DU63" s="3">
        <f t="shared" si="69"/>
        <v>1.1000000000000005</v>
      </c>
      <c r="DV63" s="168">
        <f t="shared" si="70"/>
        <v>1.1000000000000005</v>
      </c>
      <c r="DW63" s="3">
        <f t="shared" si="21"/>
        <v>4.7617845007107666</v>
      </c>
      <c r="DZ63" s="3">
        <f t="shared" si="71"/>
        <v>1.1000000000000005</v>
      </c>
      <c r="EA63" s="3">
        <f t="shared" si="72"/>
        <v>1.1000000000000005</v>
      </c>
      <c r="EB63" s="3">
        <f t="shared" si="22"/>
        <v>4.7617845007107666</v>
      </c>
      <c r="EE63" s="3">
        <f t="shared" si="73"/>
        <v>1.1000000000000005</v>
      </c>
      <c r="EF63" s="168">
        <f t="shared" si="74"/>
        <v>1.1000000000000005</v>
      </c>
      <c r="EG63" s="3">
        <f t="shared" si="23"/>
        <v>4.7617845007107666</v>
      </c>
      <c r="EJ63" s="3">
        <f t="shared" si="75"/>
        <v>1.1000000000000005</v>
      </c>
      <c r="EK63" s="168">
        <f t="shared" si="76"/>
        <v>1.1000000000000005</v>
      </c>
      <c r="EL63" s="3">
        <f t="shared" si="24"/>
        <v>4.7617845007107666</v>
      </c>
      <c r="EO63" s="3">
        <f t="shared" si="77"/>
        <v>1.1000000000000005</v>
      </c>
      <c r="EP63" s="3">
        <f t="shared" si="78"/>
        <v>1.1000000000000005</v>
      </c>
      <c r="EQ63" s="3">
        <f t="shared" si="25"/>
        <v>4.7617845007107666</v>
      </c>
      <c r="ET63" s="3">
        <f t="shared" si="79"/>
        <v>1.1000000000000005</v>
      </c>
      <c r="EU63" s="168">
        <f t="shared" si="80"/>
        <v>1.1000000000000005</v>
      </c>
      <c r="EV63" s="3">
        <f t="shared" si="26"/>
        <v>4.7617845007107666</v>
      </c>
    </row>
    <row r="64" spans="20:152" s="3" customFormat="1" x14ac:dyDescent="0.3">
      <c r="T64" s="3">
        <f t="shared" si="27"/>
        <v>1.1200000000000006</v>
      </c>
      <c r="U64" s="168">
        <f t="shared" si="28"/>
        <v>1.1200000000000006</v>
      </c>
      <c r="V64" s="3">
        <f t="shared" si="0"/>
        <v>4.7688876807076088</v>
      </c>
      <c r="Y64" s="3">
        <f t="shared" si="29"/>
        <v>1.1200000000000006</v>
      </c>
      <c r="Z64" s="3">
        <f t="shared" si="30"/>
        <v>1.1200000000000006</v>
      </c>
      <c r="AA64" s="3">
        <f t="shared" si="1"/>
        <v>4.7688876807076088</v>
      </c>
      <c r="AD64" s="3">
        <f t="shared" si="31"/>
        <v>1.1200000000000006</v>
      </c>
      <c r="AE64" s="168">
        <f t="shared" si="32"/>
        <v>1.1200000000000006</v>
      </c>
      <c r="AF64" s="3">
        <f t="shared" si="2"/>
        <v>4.7688876807076088</v>
      </c>
      <c r="AI64" s="3">
        <f t="shared" si="33"/>
        <v>1.1200000000000006</v>
      </c>
      <c r="AJ64" s="168">
        <f t="shared" si="34"/>
        <v>1.1200000000000006</v>
      </c>
      <c r="AK64" s="3">
        <f t="shared" si="3"/>
        <v>4.7688876807076088</v>
      </c>
      <c r="AN64" s="3">
        <f t="shared" si="35"/>
        <v>1.1200000000000006</v>
      </c>
      <c r="AO64" s="3">
        <f t="shared" si="36"/>
        <v>1.1200000000000006</v>
      </c>
      <c r="AP64" s="3">
        <f t="shared" si="4"/>
        <v>4.7688876807076088</v>
      </c>
      <c r="AS64" s="3">
        <f t="shared" si="37"/>
        <v>1.1200000000000006</v>
      </c>
      <c r="AT64" s="168">
        <f t="shared" si="38"/>
        <v>1.1200000000000006</v>
      </c>
      <c r="AU64" s="3">
        <f t="shared" si="5"/>
        <v>4.7688876807076088</v>
      </c>
      <c r="AX64" s="3">
        <f t="shared" si="39"/>
        <v>1.1200000000000006</v>
      </c>
      <c r="AY64" s="168">
        <f t="shared" si="40"/>
        <v>1.1200000000000006</v>
      </c>
      <c r="AZ64" s="3">
        <f t="shared" si="6"/>
        <v>4.7688876807076088</v>
      </c>
      <c r="BC64" s="3">
        <f t="shared" si="41"/>
        <v>1.1200000000000006</v>
      </c>
      <c r="BD64" s="3">
        <f t="shared" si="42"/>
        <v>1.1200000000000006</v>
      </c>
      <c r="BE64" s="3">
        <f t="shared" si="7"/>
        <v>4.7688876807076088</v>
      </c>
      <c r="BH64" s="3">
        <f t="shared" si="43"/>
        <v>1.1200000000000006</v>
      </c>
      <c r="BI64" s="168">
        <f t="shared" si="44"/>
        <v>1.1200000000000006</v>
      </c>
      <c r="BJ64" s="3">
        <f t="shared" si="8"/>
        <v>4.7688876807076088</v>
      </c>
      <c r="BM64" s="3">
        <f t="shared" si="45"/>
        <v>1.1200000000000006</v>
      </c>
      <c r="BN64" s="168">
        <f t="shared" si="46"/>
        <v>1.1200000000000006</v>
      </c>
      <c r="BO64" s="3">
        <f t="shared" si="9"/>
        <v>4.7688876807076088</v>
      </c>
      <c r="BR64" s="3">
        <f t="shared" si="47"/>
        <v>1.1200000000000006</v>
      </c>
      <c r="BS64" s="3">
        <f t="shared" si="48"/>
        <v>1.1200000000000006</v>
      </c>
      <c r="BT64" s="3">
        <f t="shared" si="10"/>
        <v>4.7688876807076088</v>
      </c>
      <c r="BW64" s="3">
        <f t="shared" si="49"/>
        <v>1.1200000000000006</v>
      </c>
      <c r="BX64" s="168">
        <f t="shared" si="50"/>
        <v>1.1200000000000006</v>
      </c>
      <c r="BY64" s="3">
        <f t="shared" si="11"/>
        <v>4.7688876807076088</v>
      </c>
      <c r="CB64" s="3">
        <f t="shared" si="51"/>
        <v>1.1200000000000006</v>
      </c>
      <c r="CC64" s="168">
        <f t="shared" si="52"/>
        <v>1.1200000000000006</v>
      </c>
      <c r="CD64" s="3">
        <f t="shared" si="12"/>
        <v>4.7688876807076088</v>
      </c>
      <c r="CG64" s="3">
        <f t="shared" si="53"/>
        <v>1.1200000000000006</v>
      </c>
      <c r="CH64" s="3">
        <f t="shared" si="54"/>
        <v>1.1200000000000006</v>
      </c>
      <c r="CI64" s="3">
        <f t="shared" si="13"/>
        <v>4.7688876807076088</v>
      </c>
      <c r="CL64" s="3">
        <f t="shared" si="55"/>
        <v>1.1200000000000006</v>
      </c>
      <c r="CM64" s="168">
        <f t="shared" si="56"/>
        <v>1.1200000000000006</v>
      </c>
      <c r="CN64" s="3">
        <f t="shared" si="14"/>
        <v>4.7688876807076088</v>
      </c>
      <c r="CQ64" s="3">
        <f t="shared" si="57"/>
        <v>1.1200000000000006</v>
      </c>
      <c r="CR64" s="168">
        <f t="shared" si="58"/>
        <v>1.1200000000000006</v>
      </c>
      <c r="CS64" s="3">
        <f t="shared" si="15"/>
        <v>4.7688876807076088</v>
      </c>
      <c r="CV64" s="3">
        <f t="shared" si="59"/>
        <v>1.1200000000000006</v>
      </c>
      <c r="CW64" s="3">
        <f t="shared" si="60"/>
        <v>1.1200000000000006</v>
      </c>
      <c r="CX64" s="3">
        <f t="shared" si="16"/>
        <v>4.7688876807076088</v>
      </c>
      <c r="DA64" s="3">
        <f t="shared" si="61"/>
        <v>1.1200000000000006</v>
      </c>
      <c r="DB64" s="168">
        <f t="shared" si="62"/>
        <v>1.1200000000000006</v>
      </c>
      <c r="DC64" s="3">
        <f t="shared" si="17"/>
        <v>4.7688876807076088</v>
      </c>
      <c r="DF64" s="3">
        <f t="shared" si="63"/>
        <v>1.1200000000000006</v>
      </c>
      <c r="DG64" s="168">
        <f t="shared" si="64"/>
        <v>1.1200000000000006</v>
      </c>
      <c r="DH64" s="3">
        <f t="shared" si="18"/>
        <v>4.7688876807076088</v>
      </c>
      <c r="DK64" s="3">
        <f t="shared" si="65"/>
        <v>1.1200000000000006</v>
      </c>
      <c r="DL64" s="3">
        <f t="shared" si="66"/>
        <v>1.1200000000000006</v>
      </c>
      <c r="DM64" s="3">
        <f t="shared" si="19"/>
        <v>4.7688876807076088</v>
      </c>
      <c r="DP64" s="3">
        <f t="shared" si="67"/>
        <v>1.1200000000000006</v>
      </c>
      <c r="DQ64" s="168">
        <f t="shared" si="68"/>
        <v>1.1200000000000006</v>
      </c>
      <c r="DR64" s="3">
        <f t="shared" si="20"/>
        <v>4.7688876807076088</v>
      </c>
      <c r="DU64" s="3">
        <f t="shared" si="69"/>
        <v>1.1200000000000006</v>
      </c>
      <c r="DV64" s="168">
        <f t="shared" si="70"/>
        <v>1.1200000000000006</v>
      </c>
      <c r="DW64" s="3">
        <f t="shared" si="21"/>
        <v>4.7688876807076088</v>
      </c>
      <c r="DZ64" s="3">
        <f t="shared" si="71"/>
        <v>1.1200000000000006</v>
      </c>
      <c r="EA64" s="3">
        <f t="shared" si="72"/>
        <v>1.1200000000000006</v>
      </c>
      <c r="EB64" s="3">
        <f t="shared" si="22"/>
        <v>4.7688876807076088</v>
      </c>
      <c r="EE64" s="3">
        <f t="shared" si="73"/>
        <v>1.1200000000000006</v>
      </c>
      <c r="EF64" s="168">
        <f t="shared" si="74"/>
        <v>1.1200000000000006</v>
      </c>
      <c r="EG64" s="3">
        <f t="shared" si="23"/>
        <v>4.7688876807076088</v>
      </c>
      <c r="EJ64" s="3">
        <f t="shared" si="75"/>
        <v>1.1200000000000006</v>
      </c>
      <c r="EK64" s="168">
        <f t="shared" si="76"/>
        <v>1.1200000000000006</v>
      </c>
      <c r="EL64" s="3">
        <f t="shared" si="24"/>
        <v>4.7688876807076088</v>
      </c>
      <c r="EO64" s="3">
        <f t="shared" si="77"/>
        <v>1.1200000000000006</v>
      </c>
      <c r="EP64" s="3">
        <f t="shared" si="78"/>
        <v>1.1200000000000006</v>
      </c>
      <c r="EQ64" s="3">
        <f t="shared" si="25"/>
        <v>4.7688876807076088</v>
      </c>
      <c r="ET64" s="3">
        <f t="shared" si="79"/>
        <v>1.1200000000000006</v>
      </c>
      <c r="EU64" s="168">
        <f t="shared" si="80"/>
        <v>1.1200000000000006</v>
      </c>
      <c r="EV64" s="3">
        <f t="shared" si="26"/>
        <v>4.7688876807076088</v>
      </c>
    </row>
    <row r="65" spans="20:152" s="3" customFormat="1" x14ac:dyDescent="0.3">
      <c r="T65" s="3">
        <f t="shared" si="27"/>
        <v>1.1400000000000006</v>
      </c>
      <c r="U65" s="168">
        <f t="shared" si="28"/>
        <v>1.1400000000000006</v>
      </c>
      <c r="V65" s="3">
        <f t="shared" si="0"/>
        <v>4.7732823479766022</v>
      </c>
      <c r="Y65" s="3">
        <f t="shared" si="29"/>
        <v>1.1400000000000006</v>
      </c>
      <c r="Z65" s="3">
        <f t="shared" si="30"/>
        <v>1.1400000000000006</v>
      </c>
      <c r="AA65" s="3">
        <f t="shared" si="1"/>
        <v>4.7732823479766022</v>
      </c>
      <c r="AD65" s="3">
        <f t="shared" si="31"/>
        <v>1.1400000000000006</v>
      </c>
      <c r="AE65" s="168">
        <f t="shared" si="32"/>
        <v>1.1400000000000006</v>
      </c>
      <c r="AF65" s="3">
        <f t="shared" si="2"/>
        <v>4.7732823479766022</v>
      </c>
      <c r="AI65" s="3">
        <f t="shared" si="33"/>
        <v>1.1400000000000006</v>
      </c>
      <c r="AJ65" s="168">
        <f t="shared" si="34"/>
        <v>1.1400000000000006</v>
      </c>
      <c r="AK65" s="3">
        <f t="shared" si="3"/>
        <v>4.7732823479766022</v>
      </c>
      <c r="AN65" s="3">
        <f t="shared" si="35"/>
        <v>1.1400000000000006</v>
      </c>
      <c r="AO65" s="3">
        <f t="shared" si="36"/>
        <v>1.1400000000000006</v>
      </c>
      <c r="AP65" s="3">
        <f t="shared" si="4"/>
        <v>4.7732823479766022</v>
      </c>
      <c r="AS65" s="3">
        <f t="shared" si="37"/>
        <v>1.1400000000000006</v>
      </c>
      <c r="AT65" s="168">
        <f t="shared" si="38"/>
        <v>1.1400000000000006</v>
      </c>
      <c r="AU65" s="3">
        <f t="shared" si="5"/>
        <v>4.7732823479766022</v>
      </c>
      <c r="AX65" s="3">
        <f t="shared" si="39"/>
        <v>1.1400000000000006</v>
      </c>
      <c r="AY65" s="168">
        <f t="shared" si="40"/>
        <v>1.1400000000000006</v>
      </c>
      <c r="AZ65" s="3">
        <f t="shared" si="6"/>
        <v>4.7732823479766022</v>
      </c>
      <c r="BC65" s="3">
        <f t="shared" si="41"/>
        <v>1.1400000000000006</v>
      </c>
      <c r="BD65" s="3">
        <f t="shared" si="42"/>
        <v>1.1400000000000006</v>
      </c>
      <c r="BE65" s="3">
        <f t="shared" si="7"/>
        <v>4.7732823479766022</v>
      </c>
      <c r="BH65" s="3">
        <f t="shared" si="43"/>
        <v>1.1400000000000006</v>
      </c>
      <c r="BI65" s="168">
        <f t="shared" si="44"/>
        <v>1.1400000000000006</v>
      </c>
      <c r="BJ65" s="3">
        <f t="shared" si="8"/>
        <v>4.7732823479766022</v>
      </c>
      <c r="BM65" s="3">
        <f t="shared" si="45"/>
        <v>1.1400000000000006</v>
      </c>
      <c r="BN65" s="168">
        <f t="shared" si="46"/>
        <v>1.1400000000000006</v>
      </c>
      <c r="BO65" s="3">
        <f t="shared" si="9"/>
        <v>4.7732823479766022</v>
      </c>
      <c r="BR65" s="3">
        <f t="shared" si="47"/>
        <v>1.1400000000000006</v>
      </c>
      <c r="BS65" s="3">
        <f t="shared" si="48"/>
        <v>1.1400000000000006</v>
      </c>
      <c r="BT65" s="3">
        <f t="shared" si="10"/>
        <v>4.7732823479766022</v>
      </c>
      <c r="BW65" s="3">
        <f t="shared" si="49"/>
        <v>1.1400000000000006</v>
      </c>
      <c r="BX65" s="168">
        <f t="shared" si="50"/>
        <v>1.1400000000000006</v>
      </c>
      <c r="BY65" s="3">
        <f t="shared" si="11"/>
        <v>4.7732823479766022</v>
      </c>
      <c r="CB65" s="3">
        <f t="shared" si="51"/>
        <v>1.1400000000000006</v>
      </c>
      <c r="CC65" s="168">
        <f t="shared" si="52"/>
        <v>1.1400000000000006</v>
      </c>
      <c r="CD65" s="3">
        <f t="shared" si="12"/>
        <v>4.7732823479766022</v>
      </c>
      <c r="CG65" s="3">
        <f t="shared" si="53"/>
        <v>1.1400000000000006</v>
      </c>
      <c r="CH65" s="3">
        <f t="shared" si="54"/>
        <v>1.1400000000000006</v>
      </c>
      <c r="CI65" s="3">
        <f t="shared" si="13"/>
        <v>4.7732823479766022</v>
      </c>
      <c r="CL65" s="3">
        <f t="shared" si="55"/>
        <v>1.1400000000000006</v>
      </c>
      <c r="CM65" s="168">
        <f t="shared" si="56"/>
        <v>1.1400000000000006</v>
      </c>
      <c r="CN65" s="3">
        <f t="shared" si="14"/>
        <v>4.7732823479766022</v>
      </c>
      <c r="CQ65" s="3">
        <f t="shared" si="57"/>
        <v>1.1400000000000006</v>
      </c>
      <c r="CR65" s="168">
        <f t="shared" si="58"/>
        <v>1.1400000000000006</v>
      </c>
      <c r="CS65" s="3">
        <f t="shared" si="15"/>
        <v>4.7732823479766022</v>
      </c>
      <c r="CV65" s="3">
        <f t="shared" si="59"/>
        <v>1.1400000000000006</v>
      </c>
      <c r="CW65" s="3">
        <f t="shared" si="60"/>
        <v>1.1400000000000006</v>
      </c>
      <c r="CX65" s="3">
        <f t="shared" si="16"/>
        <v>4.7732823479766022</v>
      </c>
      <c r="DA65" s="3">
        <f t="shared" si="61"/>
        <v>1.1400000000000006</v>
      </c>
      <c r="DB65" s="168">
        <f t="shared" si="62"/>
        <v>1.1400000000000006</v>
      </c>
      <c r="DC65" s="3">
        <f t="shared" si="17"/>
        <v>4.7732823479766022</v>
      </c>
      <c r="DF65" s="3">
        <f t="shared" si="63"/>
        <v>1.1400000000000006</v>
      </c>
      <c r="DG65" s="168">
        <f t="shared" si="64"/>
        <v>1.1400000000000006</v>
      </c>
      <c r="DH65" s="3">
        <f t="shared" si="18"/>
        <v>4.7732823479766022</v>
      </c>
      <c r="DK65" s="3">
        <f t="shared" si="65"/>
        <v>1.1400000000000006</v>
      </c>
      <c r="DL65" s="3">
        <f t="shared" si="66"/>
        <v>1.1400000000000006</v>
      </c>
      <c r="DM65" s="3">
        <f t="shared" si="19"/>
        <v>4.7732823479766022</v>
      </c>
      <c r="DP65" s="3">
        <f t="shared" si="67"/>
        <v>1.1400000000000006</v>
      </c>
      <c r="DQ65" s="168">
        <f t="shared" si="68"/>
        <v>1.1400000000000006</v>
      </c>
      <c r="DR65" s="3">
        <f t="shared" si="20"/>
        <v>4.7732823479766022</v>
      </c>
      <c r="DU65" s="3">
        <f t="shared" si="69"/>
        <v>1.1400000000000006</v>
      </c>
      <c r="DV65" s="168">
        <f t="shared" si="70"/>
        <v>1.1400000000000006</v>
      </c>
      <c r="DW65" s="3">
        <f t="shared" si="21"/>
        <v>4.7732823479766022</v>
      </c>
      <c r="DZ65" s="3">
        <f t="shared" si="71"/>
        <v>1.1400000000000006</v>
      </c>
      <c r="EA65" s="3">
        <f t="shared" si="72"/>
        <v>1.1400000000000006</v>
      </c>
      <c r="EB65" s="3">
        <f t="shared" si="22"/>
        <v>4.7732823479766022</v>
      </c>
      <c r="EE65" s="3">
        <f t="shared" si="73"/>
        <v>1.1400000000000006</v>
      </c>
      <c r="EF65" s="168">
        <f t="shared" si="74"/>
        <v>1.1400000000000006</v>
      </c>
      <c r="EG65" s="3">
        <f t="shared" si="23"/>
        <v>4.7732823479766022</v>
      </c>
      <c r="EJ65" s="3">
        <f t="shared" si="75"/>
        <v>1.1400000000000006</v>
      </c>
      <c r="EK65" s="168">
        <f t="shared" si="76"/>
        <v>1.1400000000000006</v>
      </c>
      <c r="EL65" s="3">
        <f t="shared" si="24"/>
        <v>4.7732823479766022</v>
      </c>
      <c r="EO65" s="3">
        <f t="shared" si="77"/>
        <v>1.1400000000000006</v>
      </c>
      <c r="EP65" s="3">
        <f t="shared" si="78"/>
        <v>1.1400000000000006</v>
      </c>
      <c r="EQ65" s="3">
        <f t="shared" si="25"/>
        <v>4.7732823479766022</v>
      </c>
      <c r="ET65" s="3">
        <f t="shared" si="79"/>
        <v>1.1400000000000006</v>
      </c>
      <c r="EU65" s="168">
        <f t="shared" si="80"/>
        <v>1.1400000000000006</v>
      </c>
      <c r="EV65" s="3">
        <f t="shared" si="26"/>
        <v>4.7732823479766022</v>
      </c>
    </row>
    <row r="66" spans="20:152" s="3" customFormat="1" x14ac:dyDescent="0.3">
      <c r="T66" s="3">
        <f t="shared" si="27"/>
        <v>1.1600000000000006</v>
      </c>
      <c r="U66" s="168">
        <f t="shared" si="28"/>
        <v>1.1600000000000006</v>
      </c>
      <c r="V66" s="3">
        <f t="shared" si="0"/>
        <v>4.7749685025177477</v>
      </c>
      <c r="Y66" s="3">
        <f t="shared" si="29"/>
        <v>1.1600000000000006</v>
      </c>
      <c r="Z66" s="3">
        <f t="shared" si="30"/>
        <v>1.1600000000000006</v>
      </c>
      <c r="AA66" s="3">
        <f t="shared" si="1"/>
        <v>4.7749685025177477</v>
      </c>
      <c r="AD66" s="3">
        <f t="shared" si="31"/>
        <v>1.1600000000000006</v>
      </c>
      <c r="AE66" s="168">
        <f t="shared" si="32"/>
        <v>1.1600000000000006</v>
      </c>
      <c r="AF66" s="3">
        <f t="shared" si="2"/>
        <v>4.7749685025177477</v>
      </c>
      <c r="AI66" s="3">
        <f t="shared" si="33"/>
        <v>1.1600000000000006</v>
      </c>
      <c r="AJ66" s="168">
        <f t="shared" si="34"/>
        <v>1.1600000000000006</v>
      </c>
      <c r="AK66" s="3">
        <f t="shared" si="3"/>
        <v>4.7749685025177477</v>
      </c>
      <c r="AN66" s="3">
        <f t="shared" si="35"/>
        <v>1.1600000000000006</v>
      </c>
      <c r="AO66" s="3">
        <f t="shared" si="36"/>
        <v>1.1600000000000006</v>
      </c>
      <c r="AP66" s="3">
        <f t="shared" si="4"/>
        <v>4.7749685025177477</v>
      </c>
      <c r="AS66" s="3">
        <f t="shared" si="37"/>
        <v>1.1600000000000006</v>
      </c>
      <c r="AT66" s="168">
        <f t="shared" si="38"/>
        <v>1.1600000000000006</v>
      </c>
      <c r="AU66" s="3">
        <f t="shared" si="5"/>
        <v>4.7749685025177477</v>
      </c>
      <c r="AX66" s="3">
        <f t="shared" si="39"/>
        <v>1.1600000000000006</v>
      </c>
      <c r="AY66" s="168">
        <f t="shared" si="40"/>
        <v>1.1600000000000006</v>
      </c>
      <c r="AZ66" s="3">
        <f t="shared" si="6"/>
        <v>4.7749685025177477</v>
      </c>
      <c r="BC66" s="3">
        <f t="shared" si="41"/>
        <v>1.1600000000000006</v>
      </c>
      <c r="BD66" s="3">
        <f t="shared" si="42"/>
        <v>1.1600000000000006</v>
      </c>
      <c r="BE66" s="3">
        <f t="shared" si="7"/>
        <v>4.7749685025177477</v>
      </c>
      <c r="BH66" s="3">
        <f t="shared" si="43"/>
        <v>1.1600000000000006</v>
      </c>
      <c r="BI66" s="168">
        <f t="shared" si="44"/>
        <v>1.1600000000000006</v>
      </c>
      <c r="BJ66" s="3">
        <f t="shared" si="8"/>
        <v>4.7749685025177477</v>
      </c>
      <c r="BM66" s="3">
        <f t="shared" si="45"/>
        <v>1.1600000000000006</v>
      </c>
      <c r="BN66" s="168">
        <f t="shared" si="46"/>
        <v>1.1600000000000006</v>
      </c>
      <c r="BO66" s="3">
        <f t="shared" si="9"/>
        <v>4.7749685025177477</v>
      </c>
      <c r="BR66" s="3">
        <f t="shared" si="47"/>
        <v>1.1600000000000006</v>
      </c>
      <c r="BS66" s="3">
        <f t="shared" si="48"/>
        <v>1.1600000000000006</v>
      </c>
      <c r="BT66" s="3">
        <f t="shared" si="10"/>
        <v>4.7749685025177477</v>
      </c>
      <c r="BW66" s="3">
        <f t="shared" si="49"/>
        <v>1.1600000000000006</v>
      </c>
      <c r="BX66" s="168">
        <f t="shared" si="50"/>
        <v>1.1600000000000006</v>
      </c>
      <c r="BY66" s="3">
        <f t="shared" si="11"/>
        <v>4.7749685025177477</v>
      </c>
      <c r="CB66" s="3">
        <f t="shared" si="51"/>
        <v>1.1600000000000006</v>
      </c>
      <c r="CC66" s="168">
        <f t="shared" si="52"/>
        <v>1.1600000000000006</v>
      </c>
      <c r="CD66" s="3">
        <f t="shared" si="12"/>
        <v>4.7749685025177477</v>
      </c>
      <c r="CG66" s="3">
        <f t="shared" si="53"/>
        <v>1.1600000000000006</v>
      </c>
      <c r="CH66" s="3">
        <f t="shared" si="54"/>
        <v>1.1600000000000006</v>
      </c>
      <c r="CI66" s="3">
        <f t="shared" si="13"/>
        <v>4.7749685025177477</v>
      </c>
      <c r="CL66" s="3">
        <f t="shared" si="55"/>
        <v>1.1600000000000006</v>
      </c>
      <c r="CM66" s="168">
        <f t="shared" si="56"/>
        <v>1.1600000000000006</v>
      </c>
      <c r="CN66" s="3">
        <f t="shared" si="14"/>
        <v>4.7749685025177477</v>
      </c>
      <c r="CQ66" s="3">
        <f t="shared" si="57"/>
        <v>1.1600000000000006</v>
      </c>
      <c r="CR66" s="168">
        <f t="shared" si="58"/>
        <v>1.1600000000000006</v>
      </c>
      <c r="CS66" s="3">
        <f t="shared" si="15"/>
        <v>4.7749685025177477</v>
      </c>
      <c r="CV66" s="3">
        <f t="shared" si="59"/>
        <v>1.1600000000000006</v>
      </c>
      <c r="CW66" s="3">
        <f t="shared" si="60"/>
        <v>1.1600000000000006</v>
      </c>
      <c r="CX66" s="3">
        <f t="shared" si="16"/>
        <v>4.7749685025177477</v>
      </c>
      <c r="DA66" s="3">
        <f t="shared" si="61"/>
        <v>1.1600000000000006</v>
      </c>
      <c r="DB66" s="168">
        <f t="shared" si="62"/>
        <v>1.1600000000000006</v>
      </c>
      <c r="DC66" s="3">
        <f t="shared" si="17"/>
        <v>4.7749685025177477</v>
      </c>
      <c r="DF66" s="3">
        <f t="shared" si="63"/>
        <v>1.1600000000000006</v>
      </c>
      <c r="DG66" s="168">
        <f t="shared" si="64"/>
        <v>1.1600000000000006</v>
      </c>
      <c r="DH66" s="3">
        <f t="shared" si="18"/>
        <v>4.7749685025177477</v>
      </c>
      <c r="DK66" s="3">
        <f t="shared" si="65"/>
        <v>1.1600000000000006</v>
      </c>
      <c r="DL66" s="3">
        <f t="shared" si="66"/>
        <v>1.1600000000000006</v>
      </c>
      <c r="DM66" s="3">
        <f t="shared" si="19"/>
        <v>4.7749685025177477</v>
      </c>
      <c r="DP66" s="3">
        <f t="shared" si="67"/>
        <v>1.1600000000000006</v>
      </c>
      <c r="DQ66" s="168">
        <f t="shared" si="68"/>
        <v>1.1600000000000006</v>
      </c>
      <c r="DR66" s="3">
        <f t="shared" si="20"/>
        <v>4.7749685025177477</v>
      </c>
      <c r="DU66" s="3">
        <f t="shared" si="69"/>
        <v>1.1600000000000006</v>
      </c>
      <c r="DV66" s="168">
        <f t="shared" si="70"/>
        <v>1.1600000000000006</v>
      </c>
      <c r="DW66" s="3">
        <f t="shared" si="21"/>
        <v>4.7749685025177477</v>
      </c>
      <c r="DZ66" s="3">
        <f t="shared" si="71"/>
        <v>1.1600000000000006</v>
      </c>
      <c r="EA66" s="3">
        <f t="shared" si="72"/>
        <v>1.1600000000000006</v>
      </c>
      <c r="EB66" s="3">
        <f t="shared" si="22"/>
        <v>4.7749685025177477</v>
      </c>
      <c r="EE66" s="3">
        <f t="shared" si="73"/>
        <v>1.1600000000000006</v>
      </c>
      <c r="EF66" s="168">
        <f t="shared" si="74"/>
        <v>1.1600000000000006</v>
      </c>
      <c r="EG66" s="3">
        <f t="shared" si="23"/>
        <v>4.7749685025177477</v>
      </c>
      <c r="EJ66" s="3">
        <f t="shared" si="75"/>
        <v>1.1600000000000006</v>
      </c>
      <c r="EK66" s="168">
        <f t="shared" si="76"/>
        <v>1.1600000000000006</v>
      </c>
      <c r="EL66" s="3">
        <f t="shared" si="24"/>
        <v>4.7749685025177477</v>
      </c>
      <c r="EO66" s="3">
        <f t="shared" si="77"/>
        <v>1.1600000000000006</v>
      </c>
      <c r="EP66" s="3">
        <f t="shared" si="78"/>
        <v>1.1600000000000006</v>
      </c>
      <c r="EQ66" s="3">
        <f t="shared" si="25"/>
        <v>4.7749685025177477</v>
      </c>
      <c r="ET66" s="3">
        <f t="shared" si="79"/>
        <v>1.1600000000000006</v>
      </c>
      <c r="EU66" s="168">
        <f t="shared" si="80"/>
        <v>1.1600000000000006</v>
      </c>
      <c r="EV66" s="3">
        <f t="shared" si="26"/>
        <v>4.7749685025177477</v>
      </c>
    </row>
    <row r="67" spans="20:152" s="3" customFormat="1" x14ac:dyDescent="0.3">
      <c r="T67" s="3">
        <f t="shared" si="27"/>
        <v>1.1800000000000006</v>
      </c>
      <c r="U67" s="168">
        <f t="shared" si="28"/>
        <v>1.1800000000000006</v>
      </c>
      <c r="V67" s="3">
        <f t="shared" si="0"/>
        <v>4.773946144331048</v>
      </c>
      <c r="Y67" s="3">
        <f t="shared" si="29"/>
        <v>1.1800000000000006</v>
      </c>
      <c r="Z67" s="3">
        <f t="shared" si="30"/>
        <v>1.1800000000000006</v>
      </c>
      <c r="AA67" s="3">
        <f t="shared" si="1"/>
        <v>4.773946144331048</v>
      </c>
      <c r="AD67" s="3">
        <f t="shared" si="31"/>
        <v>1.1800000000000006</v>
      </c>
      <c r="AE67" s="168">
        <f t="shared" si="32"/>
        <v>1.1800000000000006</v>
      </c>
      <c r="AF67" s="3">
        <f t="shared" si="2"/>
        <v>4.773946144331048</v>
      </c>
      <c r="AI67" s="3">
        <f t="shared" si="33"/>
        <v>1.1800000000000006</v>
      </c>
      <c r="AJ67" s="168">
        <f t="shared" si="34"/>
        <v>1.1800000000000006</v>
      </c>
      <c r="AK67" s="3">
        <f t="shared" si="3"/>
        <v>4.773946144331048</v>
      </c>
      <c r="AN67" s="3">
        <f t="shared" si="35"/>
        <v>1.1800000000000006</v>
      </c>
      <c r="AO67" s="3">
        <f t="shared" si="36"/>
        <v>1.1800000000000006</v>
      </c>
      <c r="AP67" s="3">
        <f t="shared" si="4"/>
        <v>4.773946144331048</v>
      </c>
      <c r="AS67" s="3">
        <f t="shared" si="37"/>
        <v>1.1800000000000006</v>
      </c>
      <c r="AT67" s="168">
        <f t="shared" si="38"/>
        <v>1.1800000000000006</v>
      </c>
      <c r="AU67" s="3">
        <f t="shared" si="5"/>
        <v>4.773946144331048</v>
      </c>
      <c r="AX67" s="3">
        <f t="shared" si="39"/>
        <v>1.1800000000000006</v>
      </c>
      <c r="AY67" s="168">
        <f t="shared" si="40"/>
        <v>1.1800000000000006</v>
      </c>
      <c r="AZ67" s="3">
        <f t="shared" si="6"/>
        <v>4.773946144331048</v>
      </c>
      <c r="BC67" s="3">
        <f t="shared" si="41"/>
        <v>1.1800000000000006</v>
      </c>
      <c r="BD67" s="3">
        <f t="shared" si="42"/>
        <v>1.1800000000000006</v>
      </c>
      <c r="BE67" s="3">
        <f t="shared" si="7"/>
        <v>4.773946144331048</v>
      </c>
      <c r="BH67" s="3">
        <f t="shared" si="43"/>
        <v>1.1800000000000006</v>
      </c>
      <c r="BI67" s="168">
        <f t="shared" si="44"/>
        <v>1.1800000000000006</v>
      </c>
      <c r="BJ67" s="3">
        <f t="shared" si="8"/>
        <v>4.773946144331048</v>
      </c>
      <c r="BM67" s="3">
        <f t="shared" si="45"/>
        <v>1.1800000000000006</v>
      </c>
      <c r="BN67" s="168">
        <f t="shared" si="46"/>
        <v>1.1800000000000006</v>
      </c>
      <c r="BO67" s="3">
        <f t="shared" si="9"/>
        <v>4.773946144331048</v>
      </c>
      <c r="BR67" s="3">
        <f t="shared" si="47"/>
        <v>1.1800000000000006</v>
      </c>
      <c r="BS67" s="3">
        <f t="shared" si="48"/>
        <v>1.1800000000000006</v>
      </c>
      <c r="BT67" s="3">
        <f t="shared" si="10"/>
        <v>4.773946144331048</v>
      </c>
      <c r="BW67" s="3">
        <f t="shared" si="49"/>
        <v>1.1800000000000006</v>
      </c>
      <c r="BX67" s="168">
        <f t="shared" si="50"/>
        <v>1.1800000000000006</v>
      </c>
      <c r="BY67" s="3">
        <f t="shared" si="11"/>
        <v>4.773946144331048</v>
      </c>
      <c r="CB67" s="3">
        <f t="shared" si="51"/>
        <v>1.1800000000000006</v>
      </c>
      <c r="CC67" s="168">
        <f t="shared" si="52"/>
        <v>1.1800000000000006</v>
      </c>
      <c r="CD67" s="3">
        <f t="shared" si="12"/>
        <v>4.773946144331048</v>
      </c>
      <c r="CG67" s="3">
        <f t="shared" si="53"/>
        <v>1.1800000000000006</v>
      </c>
      <c r="CH67" s="3">
        <f t="shared" si="54"/>
        <v>1.1800000000000006</v>
      </c>
      <c r="CI67" s="3">
        <f t="shared" si="13"/>
        <v>4.773946144331048</v>
      </c>
      <c r="CL67" s="3">
        <f t="shared" si="55"/>
        <v>1.1800000000000006</v>
      </c>
      <c r="CM67" s="168">
        <f t="shared" si="56"/>
        <v>1.1800000000000006</v>
      </c>
      <c r="CN67" s="3">
        <f t="shared" si="14"/>
        <v>4.773946144331048</v>
      </c>
      <c r="CQ67" s="3">
        <f t="shared" si="57"/>
        <v>1.1800000000000006</v>
      </c>
      <c r="CR67" s="168">
        <f t="shared" si="58"/>
        <v>1.1800000000000006</v>
      </c>
      <c r="CS67" s="3">
        <f t="shared" si="15"/>
        <v>4.773946144331048</v>
      </c>
      <c r="CV67" s="3">
        <f t="shared" si="59"/>
        <v>1.1800000000000006</v>
      </c>
      <c r="CW67" s="3">
        <f t="shared" si="60"/>
        <v>1.1800000000000006</v>
      </c>
      <c r="CX67" s="3">
        <f t="shared" si="16"/>
        <v>4.773946144331048</v>
      </c>
      <c r="DA67" s="3">
        <f t="shared" si="61"/>
        <v>1.1800000000000006</v>
      </c>
      <c r="DB67" s="168">
        <f t="shared" si="62"/>
        <v>1.1800000000000006</v>
      </c>
      <c r="DC67" s="3">
        <f t="shared" si="17"/>
        <v>4.773946144331048</v>
      </c>
      <c r="DF67" s="3">
        <f t="shared" si="63"/>
        <v>1.1800000000000006</v>
      </c>
      <c r="DG67" s="168">
        <f t="shared" si="64"/>
        <v>1.1800000000000006</v>
      </c>
      <c r="DH67" s="3">
        <f t="shared" si="18"/>
        <v>4.773946144331048</v>
      </c>
      <c r="DK67" s="3">
        <f t="shared" si="65"/>
        <v>1.1800000000000006</v>
      </c>
      <c r="DL67" s="3">
        <f t="shared" si="66"/>
        <v>1.1800000000000006</v>
      </c>
      <c r="DM67" s="3">
        <f t="shared" si="19"/>
        <v>4.773946144331048</v>
      </c>
      <c r="DP67" s="3">
        <f t="shared" si="67"/>
        <v>1.1800000000000006</v>
      </c>
      <c r="DQ67" s="168">
        <f t="shared" si="68"/>
        <v>1.1800000000000006</v>
      </c>
      <c r="DR67" s="3">
        <f t="shared" si="20"/>
        <v>4.773946144331048</v>
      </c>
      <c r="DU67" s="3">
        <f t="shared" si="69"/>
        <v>1.1800000000000006</v>
      </c>
      <c r="DV67" s="168">
        <f t="shared" si="70"/>
        <v>1.1800000000000006</v>
      </c>
      <c r="DW67" s="3">
        <f t="shared" si="21"/>
        <v>4.773946144331048</v>
      </c>
      <c r="DZ67" s="3">
        <f t="shared" si="71"/>
        <v>1.1800000000000006</v>
      </c>
      <c r="EA67" s="3">
        <f t="shared" si="72"/>
        <v>1.1800000000000006</v>
      </c>
      <c r="EB67" s="3">
        <f t="shared" si="22"/>
        <v>4.773946144331048</v>
      </c>
      <c r="EE67" s="3">
        <f t="shared" si="73"/>
        <v>1.1800000000000006</v>
      </c>
      <c r="EF67" s="168">
        <f t="shared" si="74"/>
        <v>1.1800000000000006</v>
      </c>
      <c r="EG67" s="3">
        <f t="shared" si="23"/>
        <v>4.773946144331048</v>
      </c>
      <c r="EJ67" s="3">
        <f t="shared" si="75"/>
        <v>1.1800000000000006</v>
      </c>
      <c r="EK67" s="168">
        <f t="shared" si="76"/>
        <v>1.1800000000000006</v>
      </c>
      <c r="EL67" s="3">
        <f t="shared" si="24"/>
        <v>4.773946144331048</v>
      </c>
      <c r="EO67" s="3">
        <f t="shared" si="77"/>
        <v>1.1800000000000006</v>
      </c>
      <c r="EP67" s="3">
        <f t="shared" si="78"/>
        <v>1.1800000000000006</v>
      </c>
      <c r="EQ67" s="3">
        <f t="shared" si="25"/>
        <v>4.773946144331048</v>
      </c>
      <c r="ET67" s="3">
        <f t="shared" si="79"/>
        <v>1.1800000000000006</v>
      </c>
      <c r="EU67" s="168">
        <f t="shared" si="80"/>
        <v>1.1800000000000006</v>
      </c>
      <c r="EV67" s="3">
        <f t="shared" si="26"/>
        <v>4.773946144331048</v>
      </c>
    </row>
    <row r="68" spans="20:152" s="3" customFormat="1" x14ac:dyDescent="0.3">
      <c r="T68" s="3">
        <f t="shared" si="27"/>
        <v>1.2000000000000006</v>
      </c>
      <c r="U68" s="168">
        <f t="shared" si="28"/>
        <v>1.2000000000000006</v>
      </c>
      <c r="V68" s="3">
        <f t="shared" si="0"/>
        <v>4.7702152734165013</v>
      </c>
      <c r="Y68" s="3">
        <f t="shared" si="29"/>
        <v>1.2000000000000006</v>
      </c>
      <c r="Z68" s="3">
        <f t="shared" si="30"/>
        <v>1.2000000000000006</v>
      </c>
      <c r="AA68" s="3">
        <f t="shared" si="1"/>
        <v>4.7702152734165013</v>
      </c>
      <c r="AD68" s="3">
        <f t="shared" si="31"/>
        <v>1.2000000000000006</v>
      </c>
      <c r="AE68" s="168">
        <f t="shared" si="32"/>
        <v>1.2000000000000006</v>
      </c>
      <c r="AF68" s="3">
        <f t="shared" si="2"/>
        <v>4.7702152734165013</v>
      </c>
      <c r="AI68" s="3">
        <f t="shared" si="33"/>
        <v>1.2000000000000006</v>
      </c>
      <c r="AJ68" s="168">
        <f t="shared" si="34"/>
        <v>1.2000000000000006</v>
      </c>
      <c r="AK68" s="3">
        <f t="shared" si="3"/>
        <v>4.7702152734165013</v>
      </c>
      <c r="AN68" s="3">
        <f t="shared" si="35"/>
        <v>1.2000000000000006</v>
      </c>
      <c r="AO68" s="3">
        <f t="shared" si="36"/>
        <v>1.2000000000000006</v>
      </c>
      <c r="AP68" s="3">
        <f t="shared" si="4"/>
        <v>4.7702152734165013</v>
      </c>
      <c r="AS68" s="3">
        <f t="shared" si="37"/>
        <v>1.2000000000000006</v>
      </c>
      <c r="AT68" s="168">
        <f t="shared" si="38"/>
        <v>1.2000000000000006</v>
      </c>
      <c r="AU68" s="3">
        <f t="shared" si="5"/>
        <v>4.7702152734165013</v>
      </c>
      <c r="AX68" s="3">
        <f t="shared" si="39"/>
        <v>1.2000000000000006</v>
      </c>
      <c r="AY68" s="168">
        <f t="shared" si="40"/>
        <v>1.2000000000000006</v>
      </c>
      <c r="AZ68" s="3">
        <f t="shared" si="6"/>
        <v>4.7702152734165013</v>
      </c>
      <c r="BC68" s="3">
        <f t="shared" si="41"/>
        <v>1.2000000000000006</v>
      </c>
      <c r="BD68" s="3">
        <f t="shared" si="42"/>
        <v>1.2000000000000006</v>
      </c>
      <c r="BE68" s="3">
        <f t="shared" si="7"/>
        <v>4.7702152734165013</v>
      </c>
      <c r="BH68" s="3">
        <f t="shared" si="43"/>
        <v>1.2000000000000006</v>
      </c>
      <c r="BI68" s="168">
        <f t="shared" si="44"/>
        <v>1.2000000000000006</v>
      </c>
      <c r="BJ68" s="3">
        <f t="shared" si="8"/>
        <v>4.7702152734165013</v>
      </c>
      <c r="BM68" s="3">
        <f t="shared" si="45"/>
        <v>1.2000000000000006</v>
      </c>
      <c r="BN68" s="168">
        <f t="shared" si="46"/>
        <v>1.2000000000000006</v>
      </c>
      <c r="BO68" s="3">
        <f t="shared" si="9"/>
        <v>4.7702152734165013</v>
      </c>
      <c r="BR68" s="3">
        <f t="shared" si="47"/>
        <v>1.2000000000000006</v>
      </c>
      <c r="BS68" s="3">
        <f t="shared" si="48"/>
        <v>1.2000000000000006</v>
      </c>
      <c r="BT68" s="3">
        <f t="shared" si="10"/>
        <v>4.7702152734165013</v>
      </c>
      <c r="BW68" s="3">
        <f t="shared" si="49"/>
        <v>1.2000000000000006</v>
      </c>
      <c r="BX68" s="168">
        <f t="shared" si="50"/>
        <v>1.2000000000000006</v>
      </c>
      <c r="BY68" s="3">
        <f t="shared" si="11"/>
        <v>4.7702152734165013</v>
      </c>
      <c r="CB68" s="3">
        <f t="shared" si="51"/>
        <v>1.2000000000000006</v>
      </c>
      <c r="CC68" s="168">
        <f t="shared" si="52"/>
        <v>1.2000000000000006</v>
      </c>
      <c r="CD68" s="3">
        <f t="shared" si="12"/>
        <v>4.7702152734165013</v>
      </c>
      <c r="CG68" s="3">
        <f t="shared" si="53"/>
        <v>1.2000000000000006</v>
      </c>
      <c r="CH68" s="3">
        <f t="shared" si="54"/>
        <v>1.2000000000000006</v>
      </c>
      <c r="CI68" s="3">
        <f t="shared" si="13"/>
        <v>4.7702152734165013</v>
      </c>
      <c r="CL68" s="3">
        <f t="shared" si="55"/>
        <v>1.2000000000000006</v>
      </c>
      <c r="CM68" s="168">
        <f t="shared" si="56"/>
        <v>1.2000000000000006</v>
      </c>
      <c r="CN68" s="3">
        <f t="shared" si="14"/>
        <v>4.7702152734165013</v>
      </c>
      <c r="CQ68" s="3">
        <f t="shared" si="57"/>
        <v>1.2000000000000006</v>
      </c>
      <c r="CR68" s="168">
        <f t="shared" si="58"/>
        <v>1.2000000000000006</v>
      </c>
      <c r="CS68" s="3">
        <f t="shared" si="15"/>
        <v>4.7702152734165013</v>
      </c>
      <c r="CV68" s="3">
        <f t="shared" si="59"/>
        <v>1.2000000000000006</v>
      </c>
      <c r="CW68" s="3">
        <f t="shared" si="60"/>
        <v>1.2000000000000006</v>
      </c>
      <c r="CX68" s="3">
        <f t="shared" si="16"/>
        <v>4.7702152734165013</v>
      </c>
      <c r="DA68" s="3">
        <f t="shared" si="61"/>
        <v>1.2000000000000006</v>
      </c>
      <c r="DB68" s="168">
        <f t="shared" si="62"/>
        <v>1.2000000000000006</v>
      </c>
      <c r="DC68" s="3">
        <f t="shared" si="17"/>
        <v>4.7702152734165013</v>
      </c>
      <c r="DF68" s="3">
        <f t="shared" si="63"/>
        <v>1.2000000000000006</v>
      </c>
      <c r="DG68" s="168">
        <f t="shared" si="64"/>
        <v>1.2000000000000006</v>
      </c>
      <c r="DH68" s="3">
        <f t="shared" si="18"/>
        <v>4.7702152734165013</v>
      </c>
      <c r="DK68" s="3">
        <f t="shared" si="65"/>
        <v>1.2000000000000006</v>
      </c>
      <c r="DL68" s="3">
        <f t="shared" si="66"/>
        <v>1.2000000000000006</v>
      </c>
      <c r="DM68" s="3">
        <f t="shared" si="19"/>
        <v>4.7702152734165013</v>
      </c>
      <c r="DP68" s="3">
        <f t="shared" si="67"/>
        <v>1.2000000000000006</v>
      </c>
      <c r="DQ68" s="168">
        <f t="shared" si="68"/>
        <v>1.2000000000000006</v>
      </c>
      <c r="DR68" s="3">
        <f t="shared" si="20"/>
        <v>4.7702152734165013</v>
      </c>
      <c r="DU68" s="3">
        <f t="shared" si="69"/>
        <v>1.2000000000000006</v>
      </c>
      <c r="DV68" s="168">
        <f t="shared" si="70"/>
        <v>1.2000000000000006</v>
      </c>
      <c r="DW68" s="3">
        <f t="shared" si="21"/>
        <v>4.7702152734165013</v>
      </c>
      <c r="DZ68" s="3">
        <f t="shared" si="71"/>
        <v>1.2000000000000006</v>
      </c>
      <c r="EA68" s="3">
        <f t="shared" si="72"/>
        <v>1.2000000000000006</v>
      </c>
      <c r="EB68" s="3">
        <f t="shared" si="22"/>
        <v>4.7702152734165013</v>
      </c>
      <c r="EE68" s="3">
        <f t="shared" si="73"/>
        <v>1.2000000000000006</v>
      </c>
      <c r="EF68" s="168">
        <f t="shared" si="74"/>
        <v>1.2000000000000006</v>
      </c>
      <c r="EG68" s="3">
        <f t="shared" si="23"/>
        <v>4.7702152734165013</v>
      </c>
      <c r="EJ68" s="3">
        <f t="shared" si="75"/>
        <v>1.2000000000000006</v>
      </c>
      <c r="EK68" s="168">
        <f t="shared" si="76"/>
        <v>1.2000000000000006</v>
      </c>
      <c r="EL68" s="3">
        <f t="shared" si="24"/>
        <v>4.7702152734165013</v>
      </c>
      <c r="EO68" s="3">
        <f t="shared" si="77"/>
        <v>1.2000000000000006</v>
      </c>
      <c r="EP68" s="3">
        <f t="shared" si="78"/>
        <v>1.2000000000000006</v>
      </c>
      <c r="EQ68" s="3">
        <f t="shared" si="25"/>
        <v>4.7702152734165013</v>
      </c>
      <c r="ET68" s="3">
        <f t="shared" si="79"/>
        <v>1.2000000000000006</v>
      </c>
      <c r="EU68" s="168">
        <f t="shared" si="80"/>
        <v>1.2000000000000006</v>
      </c>
      <c r="EV68" s="3">
        <f t="shared" si="26"/>
        <v>4.7702152734165013</v>
      </c>
    </row>
    <row r="69" spans="20:152" s="3" customFormat="1" x14ac:dyDescent="0.3">
      <c r="T69" s="3">
        <f t="shared" si="27"/>
        <v>1.2200000000000006</v>
      </c>
      <c r="U69" s="168">
        <f t="shared" si="28"/>
        <v>1.2200000000000006</v>
      </c>
      <c r="V69" s="3">
        <f t="shared" si="0"/>
        <v>4.7637758897741067</v>
      </c>
      <c r="Y69" s="3">
        <f t="shared" si="29"/>
        <v>1.2200000000000006</v>
      </c>
      <c r="Z69" s="3">
        <f t="shared" si="30"/>
        <v>1.2200000000000006</v>
      </c>
      <c r="AA69" s="3">
        <f t="shared" si="1"/>
        <v>4.7637758897741067</v>
      </c>
      <c r="AD69" s="3">
        <f t="shared" si="31"/>
        <v>1.2200000000000006</v>
      </c>
      <c r="AE69" s="168">
        <f t="shared" si="32"/>
        <v>1.2200000000000006</v>
      </c>
      <c r="AF69" s="3">
        <f t="shared" si="2"/>
        <v>4.7637758897741067</v>
      </c>
      <c r="AI69" s="3">
        <f t="shared" si="33"/>
        <v>1.2200000000000006</v>
      </c>
      <c r="AJ69" s="168">
        <f t="shared" si="34"/>
        <v>1.2200000000000006</v>
      </c>
      <c r="AK69" s="3">
        <f t="shared" si="3"/>
        <v>4.7637758897741067</v>
      </c>
      <c r="AN69" s="3">
        <f t="shared" si="35"/>
        <v>1.2200000000000006</v>
      </c>
      <c r="AO69" s="3">
        <f t="shared" si="36"/>
        <v>1.2200000000000006</v>
      </c>
      <c r="AP69" s="3">
        <f t="shared" si="4"/>
        <v>4.7637758897741067</v>
      </c>
      <c r="AS69" s="3">
        <f t="shared" si="37"/>
        <v>1.2200000000000006</v>
      </c>
      <c r="AT69" s="168">
        <f t="shared" si="38"/>
        <v>1.2200000000000006</v>
      </c>
      <c r="AU69" s="3">
        <f t="shared" si="5"/>
        <v>4.7637758897741067</v>
      </c>
      <c r="AX69" s="3">
        <f t="shared" si="39"/>
        <v>1.2200000000000006</v>
      </c>
      <c r="AY69" s="168">
        <f t="shared" si="40"/>
        <v>1.2200000000000006</v>
      </c>
      <c r="AZ69" s="3">
        <f t="shared" si="6"/>
        <v>4.7637758897741067</v>
      </c>
      <c r="BC69" s="3">
        <f t="shared" si="41"/>
        <v>1.2200000000000006</v>
      </c>
      <c r="BD69" s="3">
        <f t="shared" si="42"/>
        <v>1.2200000000000006</v>
      </c>
      <c r="BE69" s="3">
        <f t="shared" si="7"/>
        <v>4.7637758897741067</v>
      </c>
      <c r="BH69" s="3">
        <f t="shared" si="43"/>
        <v>1.2200000000000006</v>
      </c>
      <c r="BI69" s="168">
        <f t="shared" si="44"/>
        <v>1.2200000000000006</v>
      </c>
      <c r="BJ69" s="3">
        <f t="shared" si="8"/>
        <v>4.7637758897741067</v>
      </c>
      <c r="BM69" s="3">
        <f t="shared" si="45"/>
        <v>1.2200000000000006</v>
      </c>
      <c r="BN69" s="168">
        <f t="shared" si="46"/>
        <v>1.2200000000000006</v>
      </c>
      <c r="BO69" s="3">
        <f t="shared" si="9"/>
        <v>4.7637758897741067</v>
      </c>
      <c r="BR69" s="3">
        <f t="shared" si="47"/>
        <v>1.2200000000000006</v>
      </c>
      <c r="BS69" s="3">
        <f t="shared" si="48"/>
        <v>1.2200000000000006</v>
      </c>
      <c r="BT69" s="3">
        <f t="shared" si="10"/>
        <v>4.7637758897741067</v>
      </c>
      <c r="BW69" s="3">
        <f t="shared" si="49"/>
        <v>1.2200000000000006</v>
      </c>
      <c r="BX69" s="168">
        <f t="shared" si="50"/>
        <v>1.2200000000000006</v>
      </c>
      <c r="BY69" s="3">
        <f t="shared" si="11"/>
        <v>4.7637758897741067</v>
      </c>
      <c r="CB69" s="3">
        <f t="shared" si="51"/>
        <v>1.2200000000000006</v>
      </c>
      <c r="CC69" s="168">
        <f t="shared" si="52"/>
        <v>1.2200000000000006</v>
      </c>
      <c r="CD69" s="3">
        <f t="shared" si="12"/>
        <v>4.7637758897741067</v>
      </c>
      <c r="CG69" s="3">
        <f t="shared" si="53"/>
        <v>1.2200000000000006</v>
      </c>
      <c r="CH69" s="3">
        <f t="shared" si="54"/>
        <v>1.2200000000000006</v>
      </c>
      <c r="CI69" s="3">
        <f t="shared" si="13"/>
        <v>4.7637758897741067</v>
      </c>
      <c r="CL69" s="3">
        <f t="shared" si="55"/>
        <v>1.2200000000000006</v>
      </c>
      <c r="CM69" s="168">
        <f t="shared" si="56"/>
        <v>1.2200000000000006</v>
      </c>
      <c r="CN69" s="3">
        <f t="shared" si="14"/>
        <v>4.7637758897741067</v>
      </c>
      <c r="CQ69" s="3">
        <f t="shared" si="57"/>
        <v>1.2200000000000006</v>
      </c>
      <c r="CR69" s="168">
        <f t="shared" si="58"/>
        <v>1.2200000000000006</v>
      </c>
      <c r="CS69" s="3">
        <f t="shared" si="15"/>
        <v>4.7637758897741067</v>
      </c>
      <c r="CV69" s="3">
        <f t="shared" si="59"/>
        <v>1.2200000000000006</v>
      </c>
      <c r="CW69" s="3">
        <f t="shared" si="60"/>
        <v>1.2200000000000006</v>
      </c>
      <c r="CX69" s="3">
        <f t="shared" si="16"/>
        <v>4.7637758897741067</v>
      </c>
      <c r="DA69" s="3">
        <f t="shared" si="61"/>
        <v>1.2200000000000006</v>
      </c>
      <c r="DB69" s="168">
        <f t="shared" si="62"/>
        <v>1.2200000000000006</v>
      </c>
      <c r="DC69" s="3">
        <f t="shared" si="17"/>
        <v>4.7637758897741067</v>
      </c>
      <c r="DF69" s="3">
        <f t="shared" si="63"/>
        <v>1.2200000000000006</v>
      </c>
      <c r="DG69" s="168">
        <f t="shared" si="64"/>
        <v>1.2200000000000006</v>
      </c>
      <c r="DH69" s="3">
        <f t="shared" si="18"/>
        <v>4.7637758897741067</v>
      </c>
      <c r="DK69" s="3">
        <f t="shared" si="65"/>
        <v>1.2200000000000006</v>
      </c>
      <c r="DL69" s="3">
        <f t="shared" si="66"/>
        <v>1.2200000000000006</v>
      </c>
      <c r="DM69" s="3">
        <f t="shared" si="19"/>
        <v>4.7637758897741067</v>
      </c>
      <c r="DP69" s="3">
        <f t="shared" si="67"/>
        <v>1.2200000000000006</v>
      </c>
      <c r="DQ69" s="168">
        <f t="shared" si="68"/>
        <v>1.2200000000000006</v>
      </c>
      <c r="DR69" s="3">
        <f t="shared" si="20"/>
        <v>4.7637758897741067</v>
      </c>
      <c r="DU69" s="3">
        <f t="shared" si="69"/>
        <v>1.2200000000000006</v>
      </c>
      <c r="DV69" s="168">
        <f t="shared" si="70"/>
        <v>1.2200000000000006</v>
      </c>
      <c r="DW69" s="3">
        <f t="shared" si="21"/>
        <v>4.7637758897741067</v>
      </c>
      <c r="DZ69" s="3">
        <f t="shared" si="71"/>
        <v>1.2200000000000006</v>
      </c>
      <c r="EA69" s="3">
        <f t="shared" si="72"/>
        <v>1.2200000000000006</v>
      </c>
      <c r="EB69" s="3">
        <f t="shared" si="22"/>
        <v>4.7637758897741067</v>
      </c>
      <c r="EE69" s="3">
        <f t="shared" si="73"/>
        <v>1.2200000000000006</v>
      </c>
      <c r="EF69" s="168">
        <f t="shared" si="74"/>
        <v>1.2200000000000006</v>
      </c>
      <c r="EG69" s="3">
        <f t="shared" si="23"/>
        <v>4.7637758897741067</v>
      </c>
      <c r="EJ69" s="3">
        <f t="shared" si="75"/>
        <v>1.2200000000000006</v>
      </c>
      <c r="EK69" s="168">
        <f t="shared" si="76"/>
        <v>1.2200000000000006</v>
      </c>
      <c r="EL69" s="3">
        <f t="shared" si="24"/>
        <v>4.7637758897741067</v>
      </c>
      <c r="EO69" s="3">
        <f t="shared" si="77"/>
        <v>1.2200000000000006</v>
      </c>
      <c r="EP69" s="3">
        <f t="shared" si="78"/>
        <v>1.2200000000000006</v>
      </c>
      <c r="EQ69" s="3">
        <f t="shared" si="25"/>
        <v>4.7637758897741067</v>
      </c>
      <c r="ET69" s="3">
        <f t="shared" si="79"/>
        <v>1.2200000000000006</v>
      </c>
      <c r="EU69" s="168">
        <f t="shared" si="80"/>
        <v>1.2200000000000006</v>
      </c>
      <c r="EV69" s="3">
        <f t="shared" si="26"/>
        <v>4.7637758897741067</v>
      </c>
    </row>
    <row r="70" spans="20:152" s="3" customFormat="1" x14ac:dyDescent="0.3">
      <c r="T70" s="3">
        <f t="shared" si="27"/>
        <v>1.2400000000000007</v>
      </c>
      <c r="U70" s="168">
        <f t="shared" si="28"/>
        <v>1.2400000000000007</v>
      </c>
      <c r="V70" s="3">
        <f t="shared" si="0"/>
        <v>4.7546279934038642</v>
      </c>
      <c r="Y70" s="3">
        <f t="shared" si="29"/>
        <v>1.2400000000000007</v>
      </c>
      <c r="Z70" s="3">
        <f t="shared" si="30"/>
        <v>1.2400000000000007</v>
      </c>
      <c r="AA70" s="3">
        <f t="shared" si="1"/>
        <v>4.7546279934038642</v>
      </c>
      <c r="AD70" s="3">
        <f t="shared" si="31"/>
        <v>1.2400000000000007</v>
      </c>
      <c r="AE70" s="168">
        <f t="shared" si="32"/>
        <v>1.2400000000000007</v>
      </c>
      <c r="AF70" s="3">
        <f t="shared" si="2"/>
        <v>4.7546279934038642</v>
      </c>
      <c r="AI70" s="3">
        <f t="shared" si="33"/>
        <v>1.2400000000000007</v>
      </c>
      <c r="AJ70" s="168">
        <f t="shared" si="34"/>
        <v>1.2400000000000007</v>
      </c>
      <c r="AK70" s="3">
        <f t="shared" si="3"/>
        <v>4.7546279934038642</v>
      </c>
      <c r="AN70" s="3">
        <f t="shared" si="35"/>
        <v>1.2400000000000007</v>
      </c>
      <c r="AO70" s="3">
        <f t="shared" si="36"/>
        <v>1.2400000000000007</v>
      </c>
      <c r="AP70" s="3">
        <f t="shared" si="4"/>
        <v>4.7546279934038642</v>
      </c>
      <c r="AS70" s="3">
        <f t="shared" si="37"/>
        <v>1.2400000000000007</v>
      </c>
      <c r="AT70" s="168">
        <f t="shared" si="38"/>
        <v>1.2400000000000007</v>
      </c>
      <c r="AU70" s="3">
        <f t="shared" si="5"/>
        <v>4.7546279934038642</v>
      </c>
      <c r="AX70" s="3">
        <f t="shared" si="39"/>
        <v>1.2400000000000007</v>
      </c>
      <c r="AY70" s="168">
        <f t="shared" si="40"/>
        <v>1.2400000000000007</v>
      </c>
      <c r="AZ70" s="3">
        <f t="shared" si="6"/>
        <v>4.7546279934038642</v>
      </c>
      <c r="BC70" s="3">
        <f t="shared" si="41"/>
        <v>1.2400000000000007</v>
      </c>
      <c r="BD70" s="3">
        <f t="shared" si="42"/>
        <v>1.2400000000000007</v>
      </c>
      <c r="BE70" s="3">
        <f t="shared" si="7"/>
        <v>4.7546279934038642</v>
      </c>
      <c r="BH70" s="3">
        <f t="shared" si="43"/>
        <v>1.2400000000000007</v>
      </c>
      <c r="BI70" s="168">
        <f t="shared" si="44"/>
        <v>1.2400000000000007</v>
      </c>
      <c r="BJ70" s="3">
        <f t="shared" si="8"/>
        <v>4.7546279934038642</v>
      </c>
      <c r="BM70" s="3">
        <f t="shared" si="45"/>
        <v>1.2400000000000007</v>
      </c>
      <c r="BN70" s="168">
        <f t="shared" si="46"/>
        <v>1.2400000000000007</v>
      </c>
      <c r="BO70" s="3">
        <f t="shared" si="9"/>
        <v>4.7546279934038642</v>
      </c>
      <c r="BR70" s="3">
        <f t="shared" si="47"/>
        <v>1.2400000000000007</v>
      </c>
      <c r="BS70" s="3">
        <f t="shared" si="48"/>
        <v>1.2400000000000007</v>
      </c>
      <c r="BT70" s="3">
        <f t="shared" si="10"/>
        <v>4.7546279934038642</v>
      </c>
      <c r="BW70" s="3">
        <f t="shared" si="49"/>
        <v>1.2400000000000007</v>
      </c>
      <c r="BX70" s="168">
        <f t="shared" si="50"/>
        <v>1.2400000000000007</v>
      </c>
      <c r="BY70" s="3">
        <f t="shared" si="11"/>
        <v>4.7546279934038642</v>
      </c>
      <c r="CB70" s="3">
        <f t="shared" si="51"/>
        <v>1.2400000000000007</v>
      </c>
      <c r="CC70" s="168">
        <f t="shared" si="52"/>
        <v>1.2400000000000007</v>
      </c>
      <c r="CD70" s="3">
        <f t="shared" si="12"/>
        <v>4.7546279934038642</v>
      </c>
      <c r="CG70" s="3">
        <f t="shared" si="53"/>
        <v>1.2400000000000007</v>
      </c>
      <c r="CH70" s="3">
        <f t="shared" si="54"/>
        <v>1.2400000000000007</v>
      </c>
      <c r="CI70" s="3">
        <f t="shared" si="13"/>
        <v>4.7546279934038642</v>
      </c>
      <c r="CL70" s="3">
        <f t="shared" si="55"/>
        <v>1.2400000000000007</v>
      </c>
      <c r="CM70" s="168">
        <f t="shared" si="56"/>
        <v>1.2400000000000007</v>
      </c>
      <c r="CN70" s="3">
        <f t="shared" si="14"/>
        <v>4.7546279934038642</v>
      </c>
      <c r="CQ70" s="3">
        <f t="shared" si="57"/>
        <v>1.2400000000000007</v>
      </c>
      <c r="CR70" s="168">
        <f t="shared" si="58"/>
        <v>1.2400000000000007</v>
      </c>
      <c r="CS70" s="3">
        <f t="shared" si="15"/>
        <v>4.7546279934038642</v>
      </c>
      <c r="CV70" s="3">
        <f t="shared" si="59"/>
        <v>1.2400000000000007</v>
      </c>
      <c r="CW70" s="3">
        <f t="shared" si="60"/>
        <v>1.2400000000000007</v>
      </c>
      <c r="CX70" s="3">
        <f t="shared" si="16"/>
        <v>4.7546279934038642</v>
      </c>
      <c r="DA70" s="3">
        <f t="shared" si="61"/>
        <v>1.2400000000000007</v>
      </c>
      <c r="DB70" s="168">
        <f t="shared" si="62"/>
        <v>1.2400000000000007</v>
      </c>
      <c r="DC70" s="3">
        <f t="shared" si="17"/>
        <v>4.7546279934038642</v>
      </c>
      <c r="DF70" s="3">
        <f t="shared" si="63"/>
        <v>1.2400000000000007</v>
      </c>
      <c r="DG70" s="168">
        <f t="shared" si="64"/>
        <v>1.2400000000000007</v>
      </c>
      <c r="DH70" s="3">
        <f t="shared" si="18"/>
        <v>4.7546279934038642</v>
      </c>
      <c r="DK70" s="3">
        <f t="shared" si="65"/>
        <v>1.2400000000000007</v>
      </c>
      <c r="DL70" s="3">
        <f t="shared" si="66"/>
        <v>1.2400000000000007</v>
      </c>
      <c r="DM70" s="3">
        <f t="shared" si="19"/>
        <v>4.7546279934038642</v>
      </c>
      <c r="DP70" s="3">
        <f t="shared" si="67"/>
        <v>1.2400000000000007</v>
      </c>
      <c r="DQ70" s="168">
        <f t="shared" si="68"/>
        <v>1.2400000000000007</v>
      </c>
      <c r="DR70" s="3">
        <f t="shared" si="20"/>
        <v>4.7546279934038642</v>
      </c>
      <c r="DU70" s="3">
        <f t="shared" si="69"/>
        <v>1.2400000000000007</v>
      </c>
      <c r="DV70" s="168">
        <f t="shared" si="70"/>
        <v>1.2400000000000007</v>
      </c>
      <c r="DW70" s="3">
        <f t="shared" si="21"/>
        <v>4.7546279934038642</v>
      </c>
      <c r="DZ70" s="3">
        <f t="shared" si="71"/>
        <v>1.2400000000000007</v>
      </c>
      <c r="EA70" s="3">
        <f t="shared" si="72"/>
        <v>1.2400000000000007</v>
      </c>
      <c r="EB70" s="3">
        <f t="shared" si="22"/>
        <v>4.7546279934038642</v>
      </c>
      <c r="EE70" s="3">
        <f t="shared" si="73"/>
        <v>1.2400000000000007</v>
      </c>
      <c r="EF70" s="168">
        <f t="shared" si="74"/>
        <v>1.2400000000000007</v>
      </c>
      <c r="EG70" s="3">
        <f t="shared" si="23"/>
        <v>4.7546279934038642</v>
      </c>
      <c r="EJ70" s="3">
        <f t="shared" si="75"/>
        <v>1.2400000000000007</v>
      </c>
      <c r="EK70" s="168">
        <f t="shared" si="76"/>
        <v>1.2400000000000007</v>
      </c>
      <c r="EL70" s="3">
        <f t="shared" si="24"/>
        <v>4.7546279934038642</v>
      </c>
      <c r="EO70" s="3">
        <f t="shared" si="77"/>
        <v>1.2400000000000007</v>
      </c>
      <c r="EP70" s="3">
        <f t="shared" si="78"/>
        <v>1.2400000000000007</v>
      </c>
      <c r="EQ70" s="3">
        <f t="shared" si="25"/>
        <v>4.7546279934038642</v>
      </c>
      <c r="ET70" s="3">
        <f t="shared" si="79"/>
        <v>1.2400000000000007</v>
      </c>
      <c r="EU70" s="168">
        <f t="shared" si="80"/>
        <v>1.2400000000000007</v>
      </c>
      <c r="EV70" s="3">
        <f t="shared" si="26"/>
        <v>4.7546279934038642</v>
      </c>
    </row>
    <row r="71" spans="20:152" s="3" customFormat="1" x14ac:dyDescent="0.3">
      <c r="T71" s="3">
        <f t="shared" si="27"/>
        <v>1.2600000000000007</v>
      </c>
      <c r="U71" s="168">
        <f t="shared" si="28"/>
        <v>1.2600000000000007</v>
      </c>
      <c r="V71" s="3">
        <f t="shared" si="0"/>
        <v>4.7427715843057765</v>
      </c>
      <c r="Y71" s="3">
        <f t="shared" si="29"/>
        <v>1.2600000000000007</v>
      </c>
      <c r="Z71" s="3">
        <f t="shared" si="30"/>
        <v>1.2600000000000007</v>
      </c>
      <c r="AA71" s="3">
        <f t="shared" si="1"/>
        <v>4.7427715843057765</v>
      </c>
      <c r="AD71" s="3">
        <f t="shared" si="31"/>
        <v>1.2600000000000007</v>
      </c>
      <c r="AE71" s="168">
        <f t="shared" si="32"/>
        <v>1.2600000000000007</v>
      </c>
      <c r="AF71" s="3">
        <f t="shared" si="2"/>
        <v>4.7427715843057765</v>
      </c>
      <c r="AI71" s="3">
        <f t="shared" si="33"/>
        <v>1.2600000000000007</v>
      </c>
      <c r="AJ71" s="168">
        <f t="shared" si="34"/>
        <v>1.2600000000000007</v>
      </c>
      <c r="AK71" s="3">
        <f t="shared" si="3"/>
        <v>4.7427715843057765</v>
      </c>
      <c r="AN71" s="3">
        <f t="shared" si="35"/>
        <v>1.2600000000000007</v>
      </c>
      <c r="AO71" s="3">
        <f t="shared" si="36"/>
        <v>1.2600000000000007</v>
      </c>
      <c r="AP71" s="3">
        <f t="shared" si="4"/>
        <v>4.7427715843057765</v>
      </c>
      <c r="AS71" s="3">
        <f t="shared" si="37"/>
        <v>1.2600000000000007</v>
      </c>
      <c r="AT71" s="168">
        <f t="shared" si="38"/>
        <v>1.2600000000000007</v>
      </c>
      <c r="AU71" s="3">
        <f t="shared" si="5"/>
        <v>4.7427715843057765</v>
      </c>
      <c r="AX71" s="3">
        <f t="shared" si="39"/>
        <v>1.2600000000000007</v>
      </c>
      <c r="AY71" s="168">
        <f t="shared" si="40"/>
        <v>1.2600000000000007</v>
      </c>
      <c r="AZ71" s="3">
        <f t="shared" si="6"/>
        <v>4.7427715843057765</v>
      </c>
      <c r="BC71" s="3">
        <f t="shared" si="41"/>
        <v>1.2600000000000007</v>
      </c>
      <c r="BD71" s="3">
        <f t="shared" si="42"/>
        <v>1.2600000000000007</v>
      </c>
      <c r="BE71" s="3">
        <f t="shared" si="7"/>
        <v>4.7427715843057765</v>
      </c>
      <c r="BH71" s="3">
        <f t="shared" si="43"/>
        <v>1.2600000000000007</v>
      </c>
      <c r="BI71" s="168">
        <f t="shared" si="44"/>
        <v>1.2600000000000007</v>
      </c>
      <c r="BJ71" s="3">
        <f t="shared" si="8"/>
        <v>4.7427715843057765</v>
      </c>
      <c r="BM71" s="3">
        <f t="shared" si="45"/>
        <v>1.2600000000000007</v>
      </c>
      <c r="BN71" s="168">
        <f t="shared" si="46"/>
        <v>1.2600000000000007</v>
      </c>
      <c r="BO71" s="3">
        <f t="shared" si="9"/>
        <v>4.7427715843057765</v>
      </c>
      <c r="BR71" s="3">
        <f t="shared" si="47"/>
        <v>1.2600000000000007</v>
      </c>
      <c r="BS71" s="3">
        <f t="shared" si="48"/>
        <v>1.2600000000000007</v>
      </c>
      <c r="BT71" s="3">
        <f t="shared" si="10"/>
        <v>4.7427715843057765</v>
      </c>
      <c r="BW71" s="3">
        <f t="shared" si="49"/>
        <v>1.2600000000000007</v>
      </c>
      <c r="BX71" s="168">
        <f t="shared" si="50"/>
        <v>1.2600000000000007</v>
      </c>
      <c r="BY71" s="3">
        <f t="shared" si="11"/>
        <v>4.7427715843057765</v>
      </c>
      <c r="CB71" s="3">
        <f t="shared" si="51"/>
        <v>1.2600000000000007</v>
      </c>
      <c r="CC71" s="168">
        <f t="shared" si="52"/>
        <v>1.2600000000000007</v>
      </c>
      <c r="CD71" s="3">
        <f t="shared" si="12"/>
        <v>4.7427715843057765</v>
      </c>
      <c r="CG71" s="3">
        <f t="shared" si="53"/>
        <v>1.2600000000000007</v>
      </c>
      <c r="CH71" s="3">
        <f t="shared" si="54"/>
        <v>1.2600000000000007</v>
      </c>
      <c r="CI71" s="3">
        <f t="shared" si="13"/>
        <v>4.7427715843057765</v>
      </c>
      <c r="CL71" s="3">
        <f t="shared" si="55"/>
        <v>1.2600000000000007</v>
      </c>
      <c r="CM71" s="168">
        <f t="shared" si="56"/>
        <v>1.2600000000000007</v>
      </c>
      <c r="CN71" s="3">
        <f t="shared" si="14"/>
        <v>4.7427715843057765</v>
      </c>
      <c r="CQ71" s="3">
        <f t="shared" si="57"/>
        <v>1.2600000000000007</v>
      </c>
      <c r="CR71" s="168">
        <f t="shared" si="58"/>
        <v>1.2600000000000007</v>
      </c>
      <c r="CS71" s="3">
        <f t="shared" si="15"/>
        <v>4.7427715843057765</v>
      </c>
      <c r="CV71" s="3">
        <f t="shared" si="59"/>
        <v>1.2600000000000007</v>
      </c>
      <c r="CW71" s="3">
        <f t="shared" si="60"/>
        <v>1.2600000000000007</v>
      </c>
      <c r="CX71" s="3">
        <f t="shared" si="16"/>
        <v>4.7427715843057765</v>
      </c>
      <c r="DA71" s="3">
        <f t="shared" si="61"/>
        <v>1.2600000000000007</v>
      </c>
      <c r="DB71" s="168">
        <f t="shared" si="62"/>
        <v>1.2600000000000007</v>
      </c>
      <c r="DC71" s="3">
        <f t="shared" si="17"/>
        <v>4.7427715843057765</v>
      </c>
      <c r="DF71" s="3">
        <f t="shared" si="63"/>
        <v>1.2600000000000007</v>
      </c>
      <c r="DG71" s="168">
        <f t="shared" si="64"/>
        <v>1.2600000000000007</v>
      </c>
      <c r="DH71" s="3">
        <f t="shared" si="18"/>
        <v>4.7427715843057765</v>
      </c>
      <c r="DK71" s="3">
        <f t="shared" si="65"/>
        <v>1.2600000000000007</v>
      </c>
      <c r="DL71" s="3">
        <f t="shared" si="66"/>
        <v>1.2600000000000007</v>
      </c>
      <c r="DM71" s="3">
        <f t="shared" si="19"/>
        <v>4.7427715843057765</v>
      </c>
      <c r="DP71" s="3">
        <f t="shared" si="67"/>
        <v>1.2600000000000007</v>
      </c>
      <c r="DQ71" s="168">
        <f t="shared" si="68"/>
        <v>1.2600000000000007</v>
      </c>
      <c r="DR71" s="3">
        <f t="shared" si="20"/>
        <v>4.7427715843057765</v>
      </c>
      <c r="DU71" s="3">
        <f t="shared" si="69"/>
        <v>1.2600000000000007</v>
      </c>
      <c r="DV71" s="168">
        <f t="shared" si="70"/>
        <v>1.2600000000000007</v>
      </c>
      <c r="DW71" s="3">
        <f t="shared" si="21"/>
        <v>4.7427715843057765</v>
      </c>
      <c r="DZ71" s="3">
        <f t="shared" si="71"/>
        <v>1.2600000000000007</v>
      </c>
      <c r="EA71" s="3">
        <f t="shared" si="72"/>
        <v>1.2600000000000007</v>
      </c>
      <c r="EB71" s="3">
        <f t="shared" si="22"/>
        <v>4.7427715843057765</v>
      </c>
      <c r="EE71" s="3">
        <f t="shared" si="73"/>
        <v>1.2600000000000007</v>
      </c>
      <c r="EF71" s="168">
        <f t="shared" si="74"/>
        <v>1.2600000000000007</v>
      </c>
      <c r="EG71" s="3">
        <f t="shared" si="23"/>
        <v>4.7427715843057765</v>
      </c>
      <c r="EJ71" s="3">
        <f t="shared" si="75"/>
        <v>1.2600000000000007</v>
      </c>
      <c r="EK71" s="168">
        <f t="shared" si="76"/>
        <v>1.2600000000000007</v>
      </c>
      <c r="EL71" s="3">
        <f t="shared" si="24"/>
        <v>4.7427715843057765</v>
      </c>
      <c r="EO71" s="3">
        <f t="shared" si="77"/>
        <v>1.2600000000000007</v>
      </c>
      <c r="EP71" s="3">
        <f t="shared" si="78"/>
        <v>1.2600000000000007</v>
      </c>
      <c r="EQ71" s="3">
        <f t="shared" si="25"/>
        <v>4.7427715843057765</v>
      </c>
      <c r="ET71" s="3">
        <f t="shared" si="79"/>
        <v>1.2600000000000007</v>
      </c>
      <c r="EU71" s="168">
        <f t="shared" si="80"/>
        <v>1.2600000000000007</v>
      </c>
      <c r="EV71" s="3">
        <f t="shared" si="26"/>
        <v>4.7427715843057765</v>
      </c>
    </row>
    <row r="72" spans="20:152" s="3" customFormat="1" x14ac:dyDescent="0.3">
      <c r="T72" s="3">
        <f t="shared" si="27"/>
        <v>1.2800000000000007</v>
      </c>
      <c r="U72" s="168">
        <f t="shared" si="28"/>
        <v>1.2800000000000007</v>
      </c>
      <c r="V72" s="3">
        <f t="shared" ref="V72:V108" si="81">T72*TAN(RADIANS(X$7))-(IF($B$4, 9.807, 32.174)*T72^2)/(2*W$7^2*COS(RADIANS(X$7))^2)+$D$7</f>
        <v>4.72820666247984</v>
      </c>
      <c r="Y72" s="3">
        <f t="shared" si="29"/>
        <v>1.2800000000000007</v>
      </c>
      <c r="Z72" s="3">
        <f t="shared" si="30"/>
        <v>1.2800000000000007</v>
      </c>
      <c r="AA72" s="3">
        <f t="shared" ref="AA72:AA108" si="82">Y72*TAN(RADIANS(AC$7))-(IF($B$4, 9.807, 32.174)*Y72^2)/(2*AB$7^2*COS(RADIANS(AC$7))^2)+$D$7</f>
        <v>4.72820666247984</v>
      </c>
      <c r="AD72" s="3">
        <f t="shared" si="31"/>
        <v>1.2800000000000007</v>
      </c>
      <c r="AE72" s="168">
        <f t="shared" si="32"/>
        <v>1.2800000000000007</v>
      </c>
      <c r="AF72" s="3">
        <f t="shared" ref="AF72:AF108" si="83">AD72*TAN(RADIANS(AH$7))-(IF($B$4, 9.807, 32.174)*AD72^2)/(2*AG$7^2*COS(RADIANS(AH$7))^2)+$D$7</f>
        <v>4.72820666247984</v>
      </c>
      <c r="AI72" s="3">
        <f t="shared" si="33"/>
        <v>1.2800000000000007</v>
      </c>
      <c r="AJ72" s="168">
        <f t="shared" si="34"/>
        <v>1.2800000000000007</v>
      </c>
      <c r="AK72" s="3">
        <f t="shared" ref="AK72:AK108" si="84">AI72*TAN(RADIANS(AM$7))-(IF($B$4, 9.807, 32.174)*AI72^2)/(2*AL$7^2*COS(RADIANS(AM$7))^2)+$D$7</f>
        <v>4.72820666247984</v>
      </c>
      <c r="AN72" s="3">
        <f t="shared" si="35"/>
        <v>1.2800000000000007</v>
      </c>
      <c r="AO72" s="3">
        <f t="shared" si="36"/>
        <v>1.2800000000000007</v>
      </c>
      <c r="AP72" s="3">
        <f t="shared" ref="AP72:AP108" si="85">AN72*TAN(RADIANS(AR$7))-(IF($B$4, 9.807, 32.174)*AN72^2)/(2*AQ$7^2*COS(RADIANS(AR$7))^2)+$D$7</f>
        <v>4.72820666247984</v>
      </c>
      <c r="AS72" s="3">
        <f t="shared" si="37"/>
        <v>1.2800000000000007</v>
      </c>
      <c r="AT72" s="168">
        <f t="shared" si="38"/>
        <v>1.2800000000000007</v>
      </c>
      <c r="AU72" s="3">
        <f t="shared" ref="AU72:AU108" si="86">AS72*TAN(RADIANS(AW$7))-(IF($B$4, 9.807, 32.174)*AS72^2)/(2*AV$7^2*COS(RADIANS(AW$7))^2)+$D$7</f>
        <v>4.72820666247984</v>
      </c>
      <c r="AX72" s="3">
        <f t="shared" si="39"/>
        <v>1.2800000000000007</v>
      </c>
      <c r="AY72" s="168">
        <f t="shared" si="40"/>
        <v>1.2800000000000007</v>
      </c>
      <c r="AZ72" s="3">
        <f t="shared" ref="AZ72:AZ108" si="87">AX72*TAN(RADIANS(BB$7))-(IF($B$4, 9.807, 32.174)*AX72^2)/(2*BA$7^2*COS(RADIANS(BB$7))^2)+$D$7</f>
        <v>4.72820666247984</v>
      </c>
      <c r="BC72" s="3">
        <f t="shared" si="41"/>
        <v>1.2800000000000007</v>
      </c>
      <c r="BD72" s="3">
        <f t="shared" si="42"/>
        <v>1.2800000000000007</v>
      </c>
      <c r="BE72" s="3">
        <f t="shared" ref="BE72:BE108" si="88">BC72*TAN(RADIANS(BG$7))-(IF($B$4, 9.807, 32.174)*BC72^2)/(2*BF$7^2*COS(RADIANS(BG$7))^2)+$D$7</f>
        <v>4.72820666247984</v>
      </c>
      <c r="BH72" s="3">
        <f t="shared" si="43"/>
        <v>1.2800000000000007</v>
      </c>
      <c r="BI72" s="168">
        <f t="shared" si="44"/>
        <v>1.2800000000000007</v>
      </c>
      <c r="BJ72" s="3">
        <f t="shared" ref="BJ72:BJ108" si="89">BH72*TAN(RADIANS(BL$7))-(IF($B$4, 9.807, 32.174)*BH72^2)/(2*BK$7^2*COS(RADIANS(BL$7))^2)+$D$7</f>
        <v>4.72820666247984</v>
      </c>
      <c r="BM72" s="3">
        <f t="shared" si="45"/>
        <v>1.2800000000000007</v>
      </c>
      <c r="BN72" s="168">
        <f t="shared" si="46"/>
        <v>1.2800000000000007</v>
      </c>
      <c r="BO72" s="3">
        <f t="shared" ref="BO72:BO108" si="90">BM72*TAN(RADIANS(BQ$7))-(IF($B$4, 9.807, 32.174)*BM72^2)/(2*BP$7^2*COS(RADIANS(BQ$7))^2)+$D$7</f>
        <v>4.72820666247984</v>
      </c>
      <c r="BR72" s="3">
        <f t="shared" si="47"/>
        <v>1.2800000000000007</v>
      </c>
      <c r="BS72" s="3">
        <f t="shared" si="48"/>
        <v>1.2800000000000007</v>
      </c>
      <c r="BT72" s="3">
        <f t="shared" ref="BT72:BT108" si="91">BR72*TAN(RADIANS(BV$7))-(IF($B$4, 9.807, 32.174)*BR72^2)/(2*BU$7^2*COS(RADIANS(BV$7))^2)+$D$7</f>
        <v>4.72820666247984</v>
      </c>
      <c r="BW72" s="3">
        <f t="shared" si="49"/>
        <v>1.2800000000000007</v>
      </c>
      <c r="BX72" s="168">
        <f t="shared" si="50"/>
        <v>1.2800000000000007</v>
      </c>
      <c r="BY72" s="3">
        <f t="shared" ref="BY72:BY108" si="92">BW72*TAN(RADIANS(CA$7))-(IF($B$4, 9.807, 32.174)*BW72^2)/(2*BZ$7^2*COS(RADIANS(CA$7))^2)+$D$7</f>
        <v>4.72820666247984</v>
      </c>
      <c r="CB72" s="3">
        <f t="shared" si="51"/>
        <v>1.2800000000000007</v>
      </c>
      <c r="CC72" s="168">
        <f t="shared" si="52"/>
        <v>1.2800000000000007</v>
      </c>
      <c r="CD72" s="3">
        <f t="shared" ref="CD72:CD108" si="93">CB72*TAN(RADIANS(CF$7))-(IF($B$4, 9.807, 32.174)*CB72^2)/(2*CE$7^2*COS(RADIANS(CF$7))^2)+$D$7</f>
        <v>4.72820666247984</v>
      </c>
      <c r="CG72" s="3">
        <f t="shared" si="53"/>
        <v>1.2800000000000007</v>
      </c>
      <c r="CH72" s="3">
        <f t="shared" si="54"/>
        <v>1.2800000000000007</v>
      </c>
      <c r="CI72" s="3">
        <f t="shared" ref="CI72:CI108" si="94">CG72*TAN(RADIANS(CK$7))-(IF($B$4, 9.807, 32.174)*CG72^2)/(2*CJ$7^2*COS(RADIANS(CK$7))^2)+$D$7</f>
        <v>4.72820666247984</v>
      </c>
      <c r="CL72" s="3">
        <f t="shared" si="55"/>
        <v>1.2800000000000007</v>
      </c>
      <c r="CM72" s="168">
        <f t="shared" si="56"/>
        <v>1.2800000000000007</v>
      </c>
      <c r="CN72" s="3">
        <f t="shared" ref="CN72:CN108" si="95">CL72*TAN(RADIANS(CP$7))-(IF($B$4, 9.807, 32.174)*CL72^2)/(2*CO$7^2*COS(RADIANS(CP$7))^2)+$D$7</f>
        <v>4.72820666247984</v>
      </c>
      <c r="CQ72" s="3">
        <f t="shared" si="57"/>
        <v>1.2800000000000007</v>
      </c>
      <c r="CR72" s="168">
        <f t="shared" si="58"/>
        <v>1.2800000000000007</v>
      </c>
      <c r="CS72" s="3">
        <f t="shared" ref="CS72:CS108" si="96">CQ72*TAN(RADIANS(CU$7))-(IF($B$4, 9.807, 32.174)*CQ72^2)/(2*CT$7^2*COS(RADIANS(CU$7))^2)+$D$7</f>
        <v>4.72820666247984</v>
      </c>
      <c r="CV72" s="3">
        <f t="shared" si="59"/>
        <v>1.2800000000000007</v>
      </c>
      <c r="CW72" s="3">
        <f t="shared" si="60"/>
        <v>1.2800000000000007</v>
      </c>
      <c r="CX72" s="3">
        <f t="shared" ref="CX72:CX108" si="97">CV72*TAN(RADIANS(CZ$7))-(IF($B$4, 9.807, 32.174)*CV72^2)/(2*CY$7^2*COS(RADIANS(CZ$7))^2)+$D$7</f>
        <v>4.72820666247984</v>
      </c>
      <c r="DA72" s="3">
        <f t="shared" si="61"/>
        <v>1.2800000000000007</v>
      </c>
      <c r="DB72" s="168">
        <f t="shared" si="62"/>
        <v>1.2800000000000007</v>
      </c>
      <c r="DC72" s="3">
        <f t="shared" ref="DC72:DC108" si="98">DA72*TAN(RADIANS(DE$7))-(IF($B$4, 9.807, 32.174)*DA72^2)/(2*DD$7^2*COS(RADIANS(DE$7))^2)+$D$7</f>
        <v>4.72820666247984</v>
      </c>
      <c r="DF72" s="3">
        <f t="shared" si="63"/>
        <v>1.2800000000000007</v>
      </c>
      <c r="DG72" s="168">
        <f t="shared" si="64"/>
        <v>1.2800000000000007</v>
      </c>
      <c r="DH72" s="3">
        <f t="shared" ref="DH72:DH108" si="99">DF72*TAN(RADIANS(DJ$7))-(IF($B$4, 9.807, 32.174)*DF72^2)/(2*DI$7^2*COS(RADIANS(DJ$7))^2)+$D$7</f>
        <v>4.72820666247984</v>
      </c>
      <c r="DK72" s="3">
        <f t="shared" si="65"/>
        <v>1.2800000000000007</v>
      </c>
      <c r="DL72" s="3">
        <f t="shared" si="66"/>
        <v>1.2800000000000007</v>
      </c>
      <c r="DM72" s="3">
        <f t="shared" ref="DM72:DM108" si="100">DK72*TAN(RADIANS(DO$7))-(IF($B$4, 9.807, 32.174)*DK72^2)/(2*DN$7^2*COS(RADIANS(DO$7))^2)+$D$7</f>
        <v>4.72820666247984</v>
      </c>
      <c r="DP72" s="3">
        <f t="shared" si="67"/>
        <v>1.2800000000000007</v>
      </c>
      <c r="DQ72" s="168">
        <f t="shared" si="68"/>
        <v>1.2800000000000007</v>
      </c>
      <c r="DR72" s="3">
        <f t="shared" ref="DR72:DR108" si="101">DP72*TAN(RADIANS(DT$7))-(IF($B$4, 9.807, 32.174)*DP72^2)/(2*DS$7^2*COS(RADIANS(DT$7))^2)+$D$7</f>
        <v>4.72820666247984</v>
      </c>
      <c r="DU72" s="3">
        <f t="shared" si="69"/>
        <v>1.2800000000000007</v>
      </c>
      <c r="DV72" s="168">
        <f t="shared" si="70"/>
        <v>1.2800000000000007</v>
      </c>
      <c r="DW72" s="3">
        <f t="shared" ref="DW72:DW108" si="102">DU72*TAN(RADIANS(DY$7))-(IF($B$4, 9.807, 32.174)*DU72^2)/(2*DX$7^2*COS(RADIANS(DY$7))^2)+$D$7</f>
        <v>4.72820666247984</v>
      </c>
      <c r="DZ72" s="3">
        <f t="shared" si="71"/>
        <v>1.2800000000000007</v>
      </c>
      <c r="EA72" s="3">
        <f t="shared" si="72"/>
        <v>1.2800000000000007</v>
      </c>
      <c r="EB72" s="3">
        <f t="shared" ref="EB72:EB108" si="103">DZ72*TAN(RADIANS(ED$7))-(IF($B$4, 9.807, 32.174)*DZ72^2)/(2*EC$7^2*COS(RADIANS(ED$7))^2)+$D$7</f>
        <v>4.72820666247984</v>
      </c>
      <c r="EE72" s="3">
        <f t="shared" si="73"/>
        <v>1.2800000000000007</v>
      </c>
      <c r="EF72" s="168">
        <f t="shared" si="74"/>
        <v>1.2800000000000007</v>
      </c>
      <c r="EG72" s="3">
        <f t="shared" ref="EG72:EG108" si="104">EE72*TAN(RADIANS(EI$7))-(IF($B$4, 9.807, 32.174)*EE72^2)/(2*EH$7^2*COS(RADIANS(EI$7))^2)+$D$7</f>
        <v>4.72820666247984</v>
      </c>
      <c r="EJ72" s="3">
        <f t="shared" si="75"/>
        <v>1.2800000000000007</v>
      </c>
      <c r="EK72" s="168">
        <f t="shared" si="76"/>
        <v>1.2800000000000007</v>
      </c>
      <c r="EL72" s="3">
        <f t="shared" ref="EL72:EL108" si="105">EJ72*TAN(RADIANS(EN$7))-(IF($B$4, 9.807, 32.174)*EJ72^2)/(2*EM$7^2*COS(RADIANS(EN$7))^2)+$D$7</f>
        <v>4.72820666247984</v>
      </c>
      <c r="EO72" s="3">
        <f t="shared" si="77"/>
        <v>1.2800000000000007</v>
      </c>
      <c r="EP72" s="3">
        <f t="shared" si="78"/>
        <v>1.2800000000000007</v>
      </c>
      <c r="EQ72" s="3">
        <f t="shared" ref="EQ72:EQ108" si="106">EO72*TAN(RADIANS(ES$7))-(IF($B$4, 9.807, 32.174)*EO72^2)/(2*ER$7^2*COS(RADIANS(ES$7))^2)+$D$7</f>
        <v>4.72820666247984</v>
      </c>
      <c r="ET72" s="3">
        <f t="shared" si="79"/>
        <v>1.2800000000000007</v>
      </c>
      <c r="EU72" s="168">
        <f t="shared" si="80"/>
        <v>1.2800000000000007</v>
      </c>
      <c r="EV72" s="3">
        <f t="shared" ref="EV72:EV108" si="107">ET72*TAN(RADIANS(EX$7))-(IF($B$4, 9.807, 32.174)*ET72^2)/(2*EW$7^2*COS(RADIANS(EX$7))^2)+$D$7</f>
        <v>4.72820666247984</v>
      </c>
    </row>
    <row r="73" spans="20:152" s="3" customFormat="1" x14ac:dyDescent="0.3">
      <c r="T73" s="3">
        <f t="shared" ref="T73:T108" si="108">T72+T$7/100</f>
        <v>1.3000000000000007</v>
      </c>
      <c r="U73" s="168">
        <f t="shared" ref="U73:U108" si="109">T73+IF($I$3="Forward", $D$9, $G$9)</f>
        <v>1.3000000000000007</v>
      </c>
      <c r="V73" s="3">
        <f t="shared" si="81"/>
        <v>4.7109332279260574</v>
      </c>
      <c r="Y73" s="3">
        <f t="shared" ref="Y73:Y108" si="110">Y72+Y$7/100</f>
        <v>1.3000000000000007</v>
      </c>
      <c r="Z73" s="3">
        <f t="shared" ref="Z73:Z108" si="111">Y73</f>
        <v>1.3000000000000007</v>
      </c>
      <c r="AA73" s="3">
        <f t="shared" si="82"/>
        <v>4.7109332279260574</v>
      </c>
      <c r="AD73" s="3">
        <f t="shared" ref="AD73:AD108" si="112">AD72+AD$7/100</f>
        <v>1.3000000000000007</v>
      </c>
      <c r="AE73" s="168">
        <f t="shared" ref="AE73:AE108" si="113">AD73-IF($I$3="Forward", $D$9, $G$9)</f>
        <v>1.3000000000000007</v>
      </c>
      <c r="AF73" s="3">
        <f t="shared" si="83"/>
        <v>4.7109332279260574</v>
      </c>
      <c r="AI73" s="3">
        <f t="shared" ref="AI73:AI108" si="114">AI72+AI$7/100</f>
        <v>1.3000000000000007</v>
      </c>
      <c r="AJ73" s="168">
        <f t="shared" ref="AJ73:AJ108" si="115">AI73+IF($I$3="Forward", $D$9, $G$9)</f>
        <v>1.3000000000000007</v>
      </c>
      <c r="AK73" s="3">
        <f t="shared" si="84"/>
        <v>4.7109332279260574</v>
      </c>
      <c r="AN73" s="3">
        <f t="shared" ref="AN73:AN108" si="116">AN72+AN$7/100</f>
        <v>1.3000000000000007</v>
      </c>
      <c r="AO73" s="3">
        <f t="shared" ref="AO73:AO108" si="117">AN73</f>
        <v>1.3000000000000007</v>
      </c>
      <c r="AP73" s="3">
        <f t="shared" si="85"/>
        <v>4.7109332279260574</v>
      </c>
      <c r="AS73" s="3">
        <f t="shared" ref="AS73:AS108" si="118">AS72+AS$7/100</f>
        <v>1.3000000000000007</v>
      </c>
      <c r="AT73" s="168">
        <f t="shared" ref="AT73:AT108" si="119">AS73-IF($I$3="Forward", $D$9, $G$9)</f>
        <v>1.3000000000000007</v>
      </c>
      <c r="AU73" s="3">
        <f t="shared" si="86"/>
        <v>4.7109332279260574</v>
      </c>
      <c r="AX73" s="3">
        <f t="shared" ref="AX73:AX108" si="120">AX72+AX$7/100</f>
        <v>1.3000000000000007</v>
      </c>
      <c r="AY73" s="168">
        <f t="shared" ref="AY73:AY108" si="121">AX73+IF($I$3="Forward", $D$9, $G$9)</f>
        <v>1.3000000000000007</v>
      </c>
      <c r="AZ73" s="3">
        <f t="shared" si="87"/>
        <v>4.7109332279260574</v>
      </c>
      <c r="BC73" s="3">
        <f t="shared" ref="BC73:BC108" si="122">BC72+BC$7/100</f>
        <v>1.3000000000000007</v>
      </c>
      <c r="BD73" s="3">
        <f t="shared" ref="BD73:BD108" si="123">BC73</f>
        <v>1.3000000000000007</v>
      </c>
      <c r="BE73" s="3">
        <f t="shared" si="88"/>
        <v>4.7109332279260574</v>
      </c>
      <c r="BH73" s="3">
        <f t="shared" ref="BH73:BH108" si="124">BH72+BH$7/100</f>
        <v>1.3000000000000007</v>
      </c>
      <c r="BI73" s="168">
        <f t="shared" ref="BI73:BI108" si="125">BH73-IF($I$3="Forward", $D$9, $G$9)</f>
        <v>1.3000000000000007</v>
      </c>
      <c r="BJ73" s="3">
        <f t="shared" si="89"/>
        <v>4.7109332279260574</v>
      </c>
      <c r="BM73" s="3">
        <f t="shared" ref="BM73:BM108" si="126">BM72+BM$7/100</f>
        <v>1.3000000000000007</v>
      </c>
      <c r="BN73" s="168">
        <f t="shared" ref="BN73:BN108" si="127">BM73+IF($I$3="Forward", $D$9, $G$9)</f>
        <v>1.3000000000000007</v>
      </c>
      <c r="BO73" s="3">
        <f t="shared" si="90"/>
        <v>4.7109332279260574</v>
      </c>
      <c r="BR73" s="3">
        <f t="shared" ref="BR73:BR108" si="128">BR72+BR$7/100</f>
        <v>1.3000000000000007</v>
      </c>
      <c r="BS73" s="3">
        <f t="shared" ref="BS73:BS108" si="129">BR73</f>
        <v>1.3000000000000007</v>
      </c>
      <c r="BT73" s="3">
        <f t="shared" si="91"/>
        <v>4.7109332279260574</v>
      </c>
      <c r="BW73" s="3">
        <f t="shared" ref="BW73:BW108" si="130">BW72+BW$7/100</f>
        <v>1.3000000000000007</v>
      </c>
      <c r="BX73" s="168">
        <f t="shared" ref="BX73:BX108" si="131">BW73-IF($I$3="Forward", $D$9, $G$9)</f>
        <v>1.3000000000000007</v>
      </c>
      <c r="BY73" s="3">
        <f t="shared" si="92"/>
        <v>4.7109332279260574</v>
      </c>
      <c r="CB73" s="3">
        <f t="shared" ref="CB73:CB108" si="132">CB72+CB$7/100</f>
        <v>1.3000000000000007</v>
      </c>
      <c r="CC73" s="168">
        <f t="shared" ref="CC73:CC108" si="133">CB73+IF($I$3="Forward", $D$9, $G$9)</f>
        <v>1.3000000000000007</v>
      </c>
      <c r="CD73" s="3">
        <f t="shared" si="93"/>
        <v>4.7109332279260574</v>
      </c>
      <c r="CG73" s="3">
        <f t="shared" ref="CG73:CG108" si="134">CG72+CG$7/100</f>
        <v>1.3000000000000007</v>
      </c>
      <c r="CH73" s="3">
        <f t="shared" ref="CH73:CH108" si="135">CG73</f>
        <v>1.3000000000000007</v>
      </c>
      <c r="CI73" s="3">
        <f t="shared" si="94"/>
        <v>4.7109332279260574</v>
      </c>
      <c r="CL73" s="3">
        <f t="shared" ref="CL73:CL108" si="136">CL72+CL$7/100</f>
        <v>1.3000000000000007</v>
      </c>
      <c r="CM73" s="168">
        <f t="shared" ref="CM73:CM108" si="137">CL73-IF($I$3="Forward", $D$9, $G$9)</f>
        <v>1.3000000000000007</v>
      </c>
      <c r="CN73" s="3">
        <f t="shared" si="95"/>
        <v>4.7109332279260574</v>
      </c>
      <c r="CQ73" s="3">
        <f t="shared" ref="CQ73:CQ108" si="138">CQ72+CQ$7/100</f>
        <v>1.3000000000000007</v>
      </c>
      <c r="CR73" s="168">
        <f t="shared" ref="CR73:CR108" si="139">CQ73+IF($I$3="Forward", $D$9, $G$9)</f>
        <v>1.3000000000000007</v>
      </c>
      <c r="CS73" s="3">
        <f t="shared" si="96"/>
        <v>4.7109332279260574</v>
      </c>
      <c r="CV73" s="3">
        <f t="shared" ref="CV73:CV108" si="140">CV72+CV$7/100</f>
        <v>1.3000000000000007</v>
      </c>
      <c r="CW73" s="3">
        <f t="shared" ref="CW73:CW108" si="141">CV73</f>
        <v>1.3000000000000007</v>
      </c>
      <c r="CX73" s="3">
        <f t="shared" si="97"/>
        <v>4.7109332279260574</v>
      </c>
      <c r="DA73" s="3">
        <f t="shared" ref="DA73:DA108" si="142">DA72+DA$7/100</f>
        <v>1.3000000000000007</v>
      </c>
      <c r="DB73" s="168">
        <f t="shared" ref="DB73:DB108" si="143">DA73-IF($I$3="Forward", $D$9, $G$9)</f>
        <v>1.3000000000000007</v>
      </c>
      <c r="DC73" s="3">
        <f t="shared" si="98"/>
        <v>4.7109332279260574</v>
      </c>
      <c r="DF73" s="3">
        <f t="shared" ref="DF73:DF108" si="144">DF72+DF$7/100</f>
        <v>1.3000000000000007</v>
      </c>
      <c r="DG73" s="168">
        <f t="shared" ref="DG73:DG108" si="145">DF73+IF($I$3="Forward", $D$9, $G$9)</f>
        <v>1.3000000000000007</v>
      </c>
      <c r="DH73" s="3">
        <f t="shared" si="99"/>
        <v>4.7109332279260574</v>
      </c>
      <c r="DK73" s="3">
        <f t="shared" ref="DK73:DK108" si="146">DK72+DK$7/100</f>
        <v>1.3000000000000007</v>
      </c>
      <c r="DL73" s="3">
        <f t="shared" ref="DL73:DL108" si="147">DK73</f>
        <v>1.3000000000000007</v>
      </c>
      <c r="DM73" s="3">
        <f t="shared" si="100"/>
        <v>4.7109332279260574</v>
      </c>
      <c r="DP73" s="3">
        <f t="shared" ref="DP73:DP108" si="148">DP72+DP$7/100</f>
        <v>1.3000000000000007</v>
      </c>
      <c r="DQ73" s="168">
        <f t="shared" ref="DQ73:DQ108" si="149">DP73-IF($I$3="Forward", $D$9, $G$9)</f>
        <v>1.3000000000000007</v>
      </c>
      <c r="DR73" s="3">
        <f t="shared" si="101"/>
        <v>4.7109332279260574</v>
      </c>
      <c r="DU73" s="3">
        <f t="shared" ref="DU73:DU108" si="150">DU72+DU$7/100</f>
        <v>1.3000000000000007</v>
      </c>
      <c r="DV73" s="168">
        <f t="shared" ref="DV73:DV108" si="151">DU73+IF($I$3="Forward", $D$9, $G$9)</f>
        <v>1.3000000000000007</v>
      </c>
      <c r="DW73" s="3">
        <f t="shared" si="102"/>
        <v>4.7109332279260574</v>
      </c>
      <c r="DZ73" s="3">
        <f t="shared" ref="DZ73:DZ108" si="152">DZ72+DZ$7/100</f>
        <v>1.3000000000000007</v>
      </c>
      <c r="EA73" s="3">
        <f t="shared" ref="EA73:EA108" si="153">DZ73</f>
        <v>1.3000000000000007</v>
      </c>
      <c r="EB73" s="3">
        <f t="shared" si="103"/>
        <v>4.7109332279260574</v>
      </c>
      <c r="EE73" s="3">
        <f t="shared" ref="EE73:EE108" si="154">EE72+EE$7/100</f>
        <v>1.3000000000000007</v>
      </c>
      <c r="EF73" s="168">
        <f t="shared" ref="EF73:EF108" si="155">EE73-IF($I$3="Forward", $D$9, $G$9)</f>
        <v>1.3000000000000007</v>
      </c>
      <c r="EG73" s="3">
        <f t="shared" si="104"/>
        <v>4.7109332279260574</v>
      </c>
      <c r="EJ73" s="3">
        <f t="shared" ref="EJ73:EJ108" si="156">EJ72+EJ$7/100</f>
        <v>1.3000000000000007</v>
      </c>
      <c r="EK73" s="168">
        <f t="shared" ref="EK73:EK108" si="157">EJ73+IF($I$3="Forward", $D$9, $G$9)</f>
        <v>1.3000000000000007</v>
      </c>
      <c r="EL73" s="3">
        <f t="shared" si="105"/>
        <v>4.7109332279260574</v>
      </c>
      <c r="EO73" s="3">
        <f t="shared" ref="EO73:EO108" si="158">EO72+EO$7/100</f>
        <v>1.3000000000000007</v>
      </c>
      <c r="EP73" s="3">
        <f t="shared" ref="EP73:EP108" si="159">EO73</f>
        <v>1.3000000000000007</v>
      </c>
      <c r="EQ73" s="3">
        <f t="shared" si="106"/>
        <v>4.7109332279260574</v>
      </c>
      <c r="ET73" s="3">
        <f t="shared" ref="ET73:ET108" si="160">ET72+ET$7/100</f>
        <v>1.3000000000000007</v>
      </c>
      <c r="EU73" s="168">
        <f t="shared" ref="EU73:EU108" si="161">ET73-IF($I$3="Forward", $D$9, $G$9)</f>
        <v>1.3000000000000007</v>
      </c>
      <c r="EV73" s="3">
        <f t="shared" si="107"/>
        <v>4.7109332279260574</v>
      </c>
    </row>
    <row r="74" spans="20:152" s="3" customFormat="1" x14ac:dyDescent="0.3">
      <c r="T74" s="3">
        <f t="shared" si="108"/>
        <v>1.3200000000000007</v>
      </c>
      <c r="U74" s="168">
        <f t="shared" si="109"/>
        <v>1.3200000000000007</v>
      </c>
      <c r="V74" s="3">
        <f t="shared" si="81"/>
        <v>4.6909512806444269</v>
      </c>
      <c r="Y74" s="3">
        <f t="shared" si="110"/>
        <v>1.3200000000000007</v>
      </c>
      <c r="Z74" s="3">
        <f t="shared" si="111"/>
        <v>1.3200000000000007</v>
      </c>
      <c r="AA74" s="3">
        <f t="shared" si="82"/>
        <v>4.6909512806444269</v>
      </c>
      <c r="AD74" s="3">
        <f t="shared" si="112"/>
        <v>1.3200000000000007</v>
      </c>
      <c r="AE74" s="168">
        <f t="shared" si="113"/>
        <v>1.3200000000000007</v>
      </c>
      <c r="AF74" s="3">
        <f t="shared" si="83"/>
        <v>4.6909512806444269</v>
      </c>
      <c r="AI74" s="3">
        <f t="shared" si="114"/>
        <v>1.3200000000000007</v>
      </c>
      <c r="AJ74" s="168">
        <f t="shared" si="115"/>
        <v>1.3200000000000007</v>
      </c>
      <c r="AK74" s="3">
        <f t="shared" si="84"/>
        <v>4.6909512806444269</v>
      </c>
      <c r="AN74" s="3">
        <f t="shared" si="116"/>
        <v>1.3200000000000007</v>
      </c>
      <c r="AO74" s="3">
        <f t="shared" si="117"/>
        <v>1.3200000000000007</v>
      </c>
      <c r="AP74" s="3">
        <f t="shared" si="85"/>
        <v>4.6909512806444269</v>
      </c>
      <c r="AS74" s="3">
        <f t="shared" si="118"/>
        <v>1.3200000000000007</v>
      </c>
      <c r="AT74" s="168">
        <f t="shared" si="119"/>
        <v>1.3200000000000007</v>
      </c>
      <c r="AU74" s="3">
        <f t="shared" si="86"/>
        <v>4.6909512806444269</v>
      </c>
      <c r="AX74" s="3">
        <f t="shared" si="120"/>
        <v>1.3200000000000007</v>
      </c>
      <c r="AY74" s="168">
        <f t="shared" si="121"/>
        <v>1.3200000000000007</v>
      </c>
      <c r="AZ74" s="3">
        <f t="shared" si="87"/>
        <v>4.6909512806444269</v>
      </c>
      <c r="BC74" s="3">
        <f t="shared" si="122"/>
        <v>1.3200000000000007</v>
      </c>
      <c r="BD74" s="3">
        <f t="shared" si="123"/>
        <v>1.3200000000000007</v>
      </c>
      <c r="BE74" s="3">
        <f t="shared" si="88"/>
        <v>4.6909512806444269</v>
      </c>
      <c r="BH74" s="3">
        <f t="shared" si="124"/>
        <v>1.3200000000000007</v>
      </c>
      <c r="BI74" s="168">
        <f t="shared" si="125"/>
        <v>1.3200000000000007</v>
      </c>
      <c r="BJ74" s="3">
        <f t="shared" si="89"/>
        <v>4.6909512806444269</v>
      </c>
      <c r="BM74" s="3">
        <f t="shared" si="126"/>
        <v>1.3200000000000007</v>
      </c>
      <c r="BN74" s="168">
        <f t="shared" si="127"/>
        <v>1.3200000000000007</v>
      </c>
      <c r="BO74" s="3">
        <f t="shared" si="90"/>
        <v>4.6909512806444269</v>
      </c>
      <c r="BR74" s="3">
        <f t="shared" si="128"/>
        <v>1.3200000000000007</v>
      </c>
      <c r="BS74" s="3">
        <f t="shared" si="129"/>
        <v>1.3200000000000007</v>
      </c>
      <c r="BT74" s="3">
        <f t="shared" si="91"/>
        <v>4.6909512806444269</v>
      </c>
      <c r="BW74" s="3">
        <f t="shared" si="130"/>
        <v>1.3200000000000007</v>
      </c>
      <c r="BX74" s="168">
        <f t="shared" si="131"/>
        <v>1.3200000000000007</v>
      </c>
      <c r="BY74" s="3">
        <f t="shared" si="92"/>
        <v>4.6909512806444269</v>
      </c>
      <c r="CB74" s="3">
        <f t="shared" si="132"/>
        <v>1.3200000000000007</v>
      </c>
      <c r="CC74" s="168">
        <f t="shared" si="133"/>
        <v>1.3200000000000007</v>
      </c>
      <c r="CD74" s="3">
        <f t="shared" si="93"/>
        <v>4.6909512806444269</v>
      </c>
      <c r="CG74" s="3">
        <f t="shared" si="134"/>
        <v>1.3200000000000007</v>
      </c>
      <c r="CH74" s="3">
        <f t="shared" si="135"/>
        <v>1.3200000000000007</v>
      </c>
      <c r="CI74" s="3">
        <f t="shared" si="94"/>
        <v>4.6909512806444269</v>
      </c>
      <c r="CL74" s="3">
        <f t="shared" si="136"/>
        <v>1.3200000000000007</v>
      </c>
      <c r="CM74" s="168">
        <f t="shared" si="137"/>
        <v>1.3200000000000007</v>
      </c>
      <c r="CN74" s="3">
        <f t="shared" si="95"/>
        <v>4.6909512806444269</v>
      </c>
      <c r="CQ74" s="3">
        <f t="shared" si="138"/>
        <v>1.3200000000000007</v>
      </c>
      <c r="CR74" s="168">
        <f t="shared" si="139"/>
        <v>1.3200000000000007</v>
      </c>
      <c r="CS74" s="3">
        <f t="shared" si="96"/>
        <v>4.6909512806444269</v>
      </c>
      <c r="CV74" s="3">
        <f t="shared" si="140"/>
        <v>1.3200000000000007</v>
      </c>
      <c r="CW74" s="3">
        <f t="shared" si="141"/>
        <v>1.3200000000000007</v>
      </c>
      <c r="CX74" s="3">
        <f t="shared" si="97"/>
        <v>4.6909512806444269</v>
      </c>
      <c r="DA74" s="3">
        <f t="shared" si="142"/>
        <v>1.3200000000000007</v>
      </c>
      <c r="DB74" s="168">
        <f t="shared" si="143"/>
        <v>1.3200000000000007</v>
      </c>
      <c r="DC74" s="3">
        <f t="shared" si="98"/>
        <v>4.6909512806444269</v>
      </c>
      <c r="DF74" s="3">
        <f t="shared" si="144"/>
        <v>1.3200000000000007</v>
      </c>
      <c r="DG74" s="168">
        <f t="shared" si="145"/>
        <v>1.3200000000000007</v>
      </c>
      <c r="DH74" s="3">
        <f t="shared" si="99"/>
        <v>4.6909512806444269</v>
      </c>
      <c r="DK74" s="3">
        <f t="shared" si="146"/>
        <v>1.3200000000000007</v>
      </c>
      <c r="DL74" s="3">
        <f t="shared" si="147"/>
        <v>1.3200000000000007</v>
      </c>
      <c r="DM74" s="3">
        <f t="shared" si="100"/>
        <v>4.6909512806444269</v>
      </c>
      <c r="DP74" s="3">
        <f t="shared" si="148"/>
        <v>1.3200000000000007</v>
      </c>
      <c r="DQ74" s="168">
        <f t="shared" si="149"/>
        <v>1.3200000000000007</v>
      </c>
      <c r="DR74" s="3">
        <f t="shared" si="101"/>
        <v>4.6909512806444269</v>
      </c>
      <c r="DU74" s="3">
        <f t="shared" si="150"/>
        <v>1.3200000000000007</v>
      </c>
      <c r="DV74" s="168">
        <f t="shared" si="151"/>
        <v>1.3200000000000007</v>
      </c>
      <c r="DW74" s="3">
        <f t="shared" si="102"/>
        <v>4.6909512806444269</v>
      </c>
      <c r="DZ74" s="3">
        <f t="shared" si="152"/>
        <v>1.3200000000000007</v>
      </c>
      <c r="EA74" s="3">
        <f t="shared" si="153"/>
        <v>1.3200000000000007</v>
      </c>
      <c r="EB74" s="3">
        <f t="shared" si="103"/>
        <v>4.6909512806444269</v>
      </c>
      <c r="EE74" s="3">
        <f t="shared" si="154"/>
        <v>1.3200000000000007</v>
      </c>
      <c r="EF74" s="168">
        <f t="shared" si="155"/>
        <v>1.3200000000000007</v>
      </c>
      <c r="EG74" s="3">
        <f t="shared" si="104"/>
        <v>4.6909512806444269</v>
      </c>
      <c r="EJ74" s="3">
        <f t="shared" si="156"/>
        <v>1.3200000000000007</v>
      </c>
      <c r="EK74" s="168">
        <f t="shared" si="157"/>
        <v>1.3200000000000007</v>
      </c>
      <c r="EL74" s="3">
        <f t="shared" si="105"/>
        <v>4.6909512806444269</v>
      </c>
      <c r="EO74" s="3">
        <f t="shared" si="158"/>
        <v>1.3200000000000007</v>
      </c>
      <c r="EP74" s="3">
        <f t="shared" si="159"/>
        <v>1.3200000000000007</v>
      </c>
      <c r="EQ74" s="3">
        <f t="shared" si="106"/>
        <v>4.6909512806444269</v>
      </c>
      <c r="ET74" s="3">
        <f t="shared" si="160"/>
        <v>1.3200000000000007</v>
      </c>
      <c r="EU74" s="168">
        <f t="shared" si="161"/>
        <v>1.3200000000000007</v>
      </c>
      <c r="EV74" s="3">
        <f t="shared" si="107"/>
        <v>4.6909512806444269</v>
      </c>
    </row>
    <row r="75" spans="20:152" s="3" customFormat="1" x14ac:dyDescent="0.3">
      <c r="T75" s="3">
        <f t="shared" si="108"/>
        <v>1.3400000000000007</v>
      </c>
      <c r="U75" s="168">
        <f t="shared" si="109"/>
        <v>1.3400000000000007</v>
      </c>
      <c r="V75" s="3">
        <f t="shared" si="81"/>
        <v>4.6682608206349512</v>
      </c>
      <c r="Y75" s="3">
        <f t="shared" si="110"/>
        <v>1.3400000000000007</v>
      </c>
      <c r="Z75" s="3">
        <f t="shared" si="111"/>
        <v>1.3400000000000007</v>
      </c>
      <c r="AA75" s="3">
        <f t="shared" si="82"/>
        <v>4.6682608206349512</v>
      </c>
      <c r="AD75" s="3">
        <f t="shared" si="112"/>
        <v>1.3400000000000007</v>
      </c>
      <c r="AE75" s="168">
        <f t="shared" si="113"/>
        <v>1.3400000000000007</v>
      </c>
      <c r="AF75" s="3">
        <f t="shared" si="83"/>
        <v>4.6682608206349512</v>
      </c>
      <c r="AI75" s="3">
        <f t="shared" si="114"/>
        <v>1.3400000000000007</v>
      </c>
      <c r="AJ75" s="168">
        <f t="shared" si="115"/>
        <v>1.3400000000000007</v>
      </c>
      <c r="AK75" s="3">
        <f t="shared" si="84"/>
        <v>4.6682608206349512</v>
      </c>
      <c r="AN75" s="3">
        <f t="shared" si="116"/>
        <v>1.3400000000000007</v>
      </c>
      <c r="AO75" s="3">
        <f t="shared" si="117"/>
        <v>1.3400000000000007</v>
      </c>
      <c r="AP75" s="3">
        <f t="shared" si="85"/>
        <v>4.6682608206349512</v>
      </c>
      <c r="AS75" s="3">
        <f t="shared" si="118"/>
        <v>1.3400000000000007</v>
      </c>
      <c r="AT75" s="168">
        <f t="shared" si="119"/>
        <v>1.3400000000000007</v>
      </c>
      <c r="AU75" s="3">
        <f t="shared" si="86"/>
        <v>4.6682608206349512</v>
      </c>
      <c r="AX75" s="3">
        <f t="shared" si="120"/>
        <v>1.3400000000000007</v>
      </c>
      <c r="AY75" s="168">
        <f t="shared" si="121"/>
        <v>1.3400000000000007</v>
      </c>
      <c r="AZ75" s="3">
        <f t="shared" si="87"/>
        <v>4.6682608206349512</v>
      </c>
      <c r="BC75" s="3">
        <f t="shared" si="122"/>
        <v>1.3400000000000007</v>
      </c>
      <c r="BD75" s="3">
        <f t="shared" si="123"/>
        <v>1.3400000000000007</v>
      </c>
      <c r="BE75" s="3">
        <f t="shared" si="88"/>
        <v>4.6682608206349512</v>
      </c>
      <c r="BH75" s="3">
        <f t="shared" si="124"/>
        <v>1.3400000000000007</v>
      </c>
      <c r="BI75" s="168">
        <f t="shared" si="125"/>
        <v>1.3400000000000007</v>
      </c>
      <c r="BJ75" s="3">
        <f t="shared" si="89"/>
        <v>4.6682608206349512</v>
      </c>
      <c r="BM75" s="3">
        <f t="shared" si="126"/>
        <v>1.3400000000000007</v>
      </c>
      <c r="BN75" s="168">
        <f t="shared" si="127"/>
        <v>1.3400000000000007</v>
      </c>
      <c r="BO75" s="3">
        <f t="shared" si="90"/>
        <v>4.6682608206349512</v>
      </c>
      <c r="BR75" s="3">
        <f t="shared" si="128"/>
        <v>1.3400000000000007</v>
      </c>
      <c r="BS75" s="3">
        <f t="shared" si="129"/>
        <v>1.3400000000000007</v>
      </c>
      <c r="BT75" s="3">
        <f t="shared" si="91"/>
        <v>4.6682608206349512</v>
      </c>
      <c r="BW75" s="3">
        <f t="shared" si="130"/>
        <v>1.3400000000000007</v>
      </c>
      <c r="BX75" s="168">
        <f t="shared" si="131"/>
        <v>1.3400000000000007</v>
      </c>
      <c r="BY75" s="3">
        <f t="shared" si="92"/>
        <v>4.6682608206349512</v>
      </c>
      <c r="CB75" s="3">
        <f t="shared" si="132"/>
        <v>1.3400000000000007</v>
      </c>
      <c r="CC75" s="168">
        <f t="shared" si="133"/>
        <v>1.3400000000000007</v>
      </c>
      <c r="CD75" s="3">
        <f t="shared" si="93"/>
        <v>4.6682608206349512</v>
      </c>
      <c r="CG75" s="3">
        <f t="shared" si="134"/>
        <v>1.3400000000000007</v>
      </c>
      <c r="CH75" s="3">
        <f t="shared" si="135"/>
        <v>1.3400000000000007</v>
      </c>
      <c r="CI75" s="3">
        <f t="shared" si="94"/>
        <v>4.6682608206349512</v>
      </c>
      <c r="CL75" s="3">
        <f t="shared" si="136"/>
        <v>1.3400000000000007</v>
      </c>
      <c r="CM75" s="168">
        <f t="shared" si="137"/>
        <v>1.3400000000000007</v>
      </c>
      <c r="CN75" s="3">
        <f t="shared" si="95"/>
        <v>4.6682608206349512</v>
      </c>
      <c r="CQ75" s="3">
        <f t="shared" si="138"/>
        <v>1.3400000000000007</v>
      </c>
      <c r="CR75" s="168">
        <f t="shared" si="139"/>
        <v>1.3400000000000007</v>
      </c>
      <c r="CS75" s="3">
        <f t="shared" si="96"/>
        <v>4.6682608206349512</v>
      </c>
      <c r="CV75" s="3">
        <f t="shared" si="140"/>
        <v>1.3400000000000007</v>
      </c>
      <c r="CW75" s="3">
        <f t="shared" si="141"/>
        <v>1.3400000000000007</v>
      </c>
      <c r="CX75" s="3">
        <f t="shared" si="97"/>
        <v>4.6682608206349512</v>
      </c>
      <c r="DA75" s="3">
        <f t="shared" si="142"/>
        <v>1.3400000000000007</v>
      </c>
      <c r="DB75" s="168">
        <f t="shared" si="143"/>
        <v>1.3400000000000007</v>
      </c>
      <c r="DC75" s="3">
        <f t="shared" si="98"/>
        <v>4.6682608206349512</v>
      </c>
      <c r="DF75" s="3">
        <f t="shared" si="144"/>
        <v>1.3400000000000007</v>
      </c>
      <c r="DG75" s="168">
        <f t="shared" si="145"/>
        <v>1.3400000000000007</v>
      </c>
      <c r="DH75" s="3">
        <f t="shared" si="99"/>
        <v>4.6682608206349512</v>
      </c>
      <c r="DK75" s="3">
        <f t="shared" si="146"/>
        <v>1.3400000000000007</v>
      </c>
      <c r="DL75" s="3">
        <f t="shared" si="147"/>
        <v>1.3400000000000007</v>
      </c>
      <c r="DM75" s="3">
        <f t="shared" si="100"/>
        <v>4.6682608206349512</v>
      </c>
      <c r="DP75" s="3">
        <f t="shared" si="148"/>
        <v>1.3400000000000007</v>
      </c>
      <c r="DQ75" s="168">
        <f t="shared" si="149"/>
        <v>1.3400000000000007</v>
      </c>
      <c r="DR75" s="3">
        <f t="shared" si="101"/>
        <v>4.6682608206349512</v>
      </c>
      <c r="DU75" s="3">
        <f t="shared" si="150"/>
        <v>1.3400000000000007</v>
      </c>
      <c r="DV75" s="168">
        <f t="shared" si="151"/>
        <v>1.3400000000000007</v>
      </c>
      <c r="DW75" s="3">
        <f t="shared" si="102"/>
        <v>4.6682608206349512</v>
      </c>
      <c r="DZ75" s="3">
        <f t="shared" si="152"/>
        <v>1.3400000000000007</v>
      </c>
      <c r="EA75" s="3">
        <f t="shared" si="153"/>
        <v>1.3400000000000007</v>
      </c>
      <c r="EB75" s="3">
        <f t="shared" si="103"/>
        <v>4.6682608206349512</v>
      </c>
      <c r="EE75" s="3">
        <f t="shared" si="154"/>
        <v>1.3400000000000007</v>
      </c>
      <c r="EF75" s="168">
        <f t="shared" si="155"/>
        <v>1.3400000000000007</v>
      </c>
      <c r="EG75" s="3">
        <f t="shared" si="104"/>
        <v>4.6682608206349512</v>
      </c>
      <c r="EJ75" s="3">
        <f t="shared" si="156"/>
        <v>1.3400000000000007</v>
      </c>
      <c r="EK75" s="168">
        <f t="shared" si="157"/>
        <v>1.3400000000000007</v>
      </c>
      <c r="EL75" s="3">
        <f t="shared" si="105"/>
        <v>4.6682608206349512</v>
      </c>
      <c r="EO75" s="3">
        <f t="shared" si="158"/>
        <v>1.3400000000000007</v>
      </c>
      <c r="EP75" s="3">
        <f t="shared" si="159"/>
        <v>1.3400000000000007</v>
      </c>
      <c r="EQ75" s="3">
        <f t="shared" si="106"/>
        <v>4.6682608206349512</v>
      </c>
      <c r="ET75" s="3">
        <f t="shared" si="160"/>
        <v>1.3400000000000007</v>
      </c>
      <c r="EU75" s="168">
        <f t="shared" si="161"/>
        <v>1.3400000000000007</v>
      </c>
      <c r="EV75" s="3">
        <f t="shared" si="107"/>
        <v>4.6682608206349512</v>
      </c>
    </row>
    <row r="76" spans="20:152" s="3" customFormat="1" x14ac:dyDescent="0.3">
      <c r="T76" s="3">
        <f t="shared" si="108"/>
        <v>1.3600000000000008</v>
      </c>
      <c r="U76" s="168">
        <f t="shared" si="109"/>
        <v>1.3600000000000008</v>
      </c>
      <c r="V76" s="3">
        <f t="shared" si="81"/>
        <v>4.6428618478976267</v>
      </c>
      <c r="Y76" s="3">
        <f t="shared" si="110"/>
        <v>1.3600000000000008</v>
      </c>
      <c r="Z76" s="3">
        <f t="shared" si="111"/>
        <v>1.3600000000000008</v>
      </c>
      <c r="AA76" s="3">
        <f t="shared" si="82"/>
        <v>4.6428618478976267</v>
      </c>
      <c r="AD76" s="3">
        <f t="shared" si="112"/>
        <v>1.3600000000000008</v>
      </c>
      <c r="AE76" s="168">
        <f t="shared" si="113"/>
        <v>1.3600000000000008</v>
      </c>
      <c r="AF76" s="3">
        <f t="shared" si="83"/>
        <v>4.6428618478976267</v>
      </c>
      <c r="AI76" s="3">
        <f t="shared" si="114"/>
        <v>1.3600000000000008</v>
      </c>
      <c r="AJ76" s="168">
        <f t="shared" si="115"/>
        <v>1.3600000000000008</v>
      </c>
      <c r="AK76" s="3">
        <f t="shared" si="84"/>
        <v>4.6428618478976267</v>
      </c>
      <c r="AN76" s="3">
        <f t="shared" si="116"/>
        <v>1.3600000000000008</v>
      </c>
      <c r="AO76" s="3">
        <f t="shared" si="117"/>
        <v>1.3600000000000008</v>
      </c>
      <c r="AP76" s="3">
        <f t="shared" si="85"/>
        <v>4.6428618478976267</v>
      </c>
      <c r="AS76" s="3">
        <f t="shared" si="118"/>
        <v>1.3600000000000008</v>
      </c>
      <c r="AT76" s="168">
        <f t="shared" si="119"/>
        <v>1.3600000000000008</v>
      </c>
      <c r="AU76" s="3">
        <f t="shared" si="86"/>
        <v>4.6428618478976267</v>
      </c>
      <c r="AX76" s="3">
        <f t="shared" si="120"/>
        <v>1.3600000000000008</v>
      </c>
      <c r="AY76" s="168">
        <f t="shared" si="121"/>
        <v>1.3600000000000008</v>
      </c>
      <c r="AZ76" s="3">
        <f t="shared" si="87"/>
        <v>4.6428618478976267</v>
      </c>
      <c r="BC76" s="3">
        <f t="shared" si="122"/>
        <v>1.3600000000000008</v>
      </c>
      <c r="BD76" s="3">
        <f t="shared" si="123"/>
        <v>1.3600000000000008</v>
      </c>
      <c r="BE76" s="3">
        <f t="shared" si="88"/>
        <v>4.6428618478976267</v>
      </c>
      <c r="BH76" s="3">
        <f t="shared" si="124"/>
        <v>1.3600000000000008</v>
      </c>
      <c r="BI76" s="168">
        <f t="shared" si="125"/>
        <v>1.3600000000000008</v>
      </c>
      <c r="BJ76" s="3">
        <f t="shared" si="89"/>
        <v>4.6428618478976267</v>
      </c>
      <c r="BM76" s="3">
        <f t="shared" si="126"/>
        <v>1.3600000000000008</v>
      </c>
      <c r="BN76" s="168">
        <f t="shared" si="127"/>
        <v>1.3600000000000008</v>
      </c>
      <c r="BO76" s="3">
        <f t="shared" si="90"/>
        <v>4.6428618478976267</v>
      </c>
      <c r="BR76" s="3">
        <f t="shared" si="128"/>
        <v>1.3600000000000008</v>
      </c>
      <c r="BS76" s="3">
        <f t="shared" si="129"/>
        <v>1.3600000000000008</v>
      </c>
      <c r="BT76" s="3">
        <f t="shared" si="91"/>
        <v>4.6428618478976267</v>
      </c>
      <c r="BW76" s="3">
        <f t="shared" si="130"/>
        <v>1.3600000000000008</v>
      </c>
      <c r="BX76" s="168">
        <f t="shared" si="131"/>
        <v>1.3600000000000008</v>
      </c>
      <c r="BY76" s="3">
        <f t="shared" si="92"/>
        <v>4.6428618478976267</v>
      </c>
      <c r="CB76" s="3">
        <f t="shared" si="132"/>
        <v>1.3600000000000008</v>
      </c>
      <c r="CC76" s="168">
        <f t="shared" si="133"/>
        <v>1.3600000000000008</v>
      </c>
      <c r="CD76" s="3">
        <f t="shared" si="93"/>
        <v>4.6428618478976267</v>
      </c>
      <c r="CG76" s="3">
        <f t="shared" si="134"/>
        <v>1.3600000000000008</v>
      </c>
      <c r="CH76" s="3">
        <f t="shared" si="135"/>
        <v>1.3600000000000008</v>
      </c>
      <c r="CI76" s="3">
        <f t="shared" si="94"/>
        <v>4.6428618478976267</v>
      </c>
      <c r="CL76" s="3">
        <f t="shared" si="136"/>
        <v>1.3600000000000008</v>
      </c>
      <c r="CM76" s="168">
        <f t="shared" si="137"/>
        <v>1.3600000000000008</v>
      </c>
      <c r="CN76" s="3">
        <f t="shared" si="95"/>
        <v>4.6428618478976267</v>
      </c>
      <c r="CQ76" s="3">
        <f t="shared" si="138"/>
        <v>1.3600000000000008</v>
      </c>
      <c r="CR76" s="168">
        <f t="shared" si="139"/>
        <v>1.3600000000000008</v>
      </c>
      <c r="CS76" s="3">
        <f t="shared" si="96"/>
        <v>4.6428618478976267</v>
      </c>
      <c r="CV76" s="3">
        <f t="shared" si="140"/>
        <v>1.3600000000000008</v>
      </c>
      <c r="CW76" s="3">
        <f t="shared" si="141"/>
        <v>1.3600000000000008</v>
      </c>
      <c r="CX76" s="3">
        <f t="shared" si="97"/>
        <v>4.6428618478976267</v>
      </c>
      <c r="DA76" s="3">
        <f t="shared" si="142"/>
        <v>1.3600000000000008</v>
      </c>
      <c r="DB76" s="168">
        <f t="shared" si="143"/>
        <v>1.3600000000000008</v>
      </c>
      <c r="DC76" s="3">
        <f t="shared" si="98"/>
        <v>4.6428618478976267</v>
      </c>
      <c r="DF76" s="3">
        <f t="shared" si="144"/>
        <v>1.3600000000000008</v>
      </c>
      <c r="DG76" s="168">
        <f t="shared" si="145"/>
        <v>1.3600000000000008</v>
      </c>
      <c r="DH76" s="3">
        <f t="shared" si="99"/>
        <v>4.6428618478976267</v>
      </c>
      <c r="DK76" s="3">
        <f t="shared" si="146"/>
        <v>1.3600000000000008</v>
      </c>
      <c r="DL76" s="3">
        <f t="shared" si="147"/>
        <v>1.3600000000000008</v>
      </c>
      <c r="DM76" s="3">
        <f t="shared" si="100"/>
        <v>4.6428618478976267</v>
      </c>
      <c r="DP76" s="3">
        <f t="shared" si="148"/>
        <v>1.3600000000000008</v>
      </c>
      <c r="DQ76" s="168">
        <f t="shared" si="149"/>
        <v>1.3600000000000008</v>
      </c>
      <c r="DR76" s="3">
        <f t="shared" si="101"/>
        <v>4.6428618478976267</v>
      </c>
      <c r="DU76" s="3">
        <f t="shared" si="150"/>
        <v>1.3600000000000008</v>
      </c>
      <c r="DV76" s="168">
        <f t="shared" si="151"/>
        <v>1.3600000000000008</v>
      </c>
      <c r="DW76" s="3">
        <f t="shared" si="102"/>
        <v>4.6428618478976267</v>
      </c>
      <c r="DZ76" s="3">
        <f t="shared" si="152"/>
        <v>1.3600000000000008</v>
      </c>
      <c r="EA76" s="3">
        <f t="shared" si="153"/>
        <v>1.3600000000000008</v>
      </c>
      <c r="EB76" s="3">
        <f t="shared" si="103"/>
        <v>4.6428618478976267</v>
      </c>
      <c r="EE76" s="3">
        <f t="shared" si="154"/>
        <v>1.3600000000000008</v>
      </c>
      <c r="EF76" s="168">
        <f t="shared" si="155"/>
        <v>1.3600000000000008</v>
      </c>
      <c r="EG76" s="3">
        <f t="shared" si="104"/>
        <v>4.6428618478976267</v>
      </c>
      <c r="EJ76" s="3">
        <f t="shared" si="156"/>
        <v>1.3600000000000008</v>
      </c>
      <c r="EK76" s="168">
        <f t="shared" si="157"/>
        <v>1.3600000000000008</v>
      </c>
      <c r="EL76" s="3">
        <f t="shared" si="105"/>
        <v>4.6428618478976267</v>
      </c>
      <c r="EO76" s="3">
        <f t="shared" si="158"/>
        <v>1.3600000000000008</v>
      </c>
      <c r="EP76" s="3">
        <f t="shared" si="159"/>
        <v>1.3600000000000008</v>
      </c>
      <c r="EQ76" s="3">
        <f t="shared" si="106"/>
        <v>4.6428618478976267</v>
      </c>
      <c r="ET76" s="3">
        <f t="shared" si="160"/>
        <v>1.3600000000000008</v>
      </c>
      <c r="EU76" s="168">
        <f t="shared" si="161"/>
        <v>1.3600000000000008</v>
      </c>
      <c r="EV76" s="3">
        <f t="shared" si="107"/>
        <v>4.6428618478976267</v>
      </c>
    </row>
    <row r="77" spans="20:152" s="3" customFormat="1" x14ac:dyDescent="0.3">
      <c r="T77" s="3">
        <f t="shared" si="108"/>
        <v>1.3800000000000008</v>
      </c>
      <c r="U77" s="168">
        <f t="shared" si="109"/>
        <v>1.3800000000000008</v>
      </c>
      <c r="V77" s="3">
        <f t="shared" si="81"/>
        <v>4.6147543624324552</v>
      </c>
      <c r="Y77" s="3">
        <f t="shared" si="110"/>
        <v>1.3800000000000008</v>
      </c>
      <c r="Z77" s="3">
        <f t="shared" si="111"/>
        <v>1.3800000000000008</v>
      </c>
      <c r="AA77" s="3">
        <f t="shared" si="82"/>
        <v>4.6147543624324552</v>
      </c>
      <c r="AD77" s="3">
        <f t="shared" si="112"/>
        <v>1.3800000000000008</v>
      </c>
      <c r="AE77" s="168">
        <f t="shared" si="113"/>
        <v>1.3800000000000008</v>
      </c>
      <c r="AF77" s="3">
        <f t="shared" si="83"/>
        <v>4.6147543624324552</v>
      </c>
      <c r="AI77" s="3">
        <f t="shared" si="114"/>
        <v>1.3800000000000008</v>
      </c>
      <c r="AJ77" s="168">
        <f t="shared" si="115"/>
        <v>1.3800000000000008</v>
      </c>
      <c r="AK77" s="3">
        <f t="shared" si="84"/>
        <v>4.6147543624324552</v>
      </c>
      <c r="AN77" s="3">
        <f t="shared" si="116"/>
        <v>1.3800000000000008</v>
      </c>
      <c r="AO77" s="3">
        <f t="shared" si="117"/>
        <v>1.3800000000000008</v>
      </c>
      <c r="AP77" s="3">
        <f t="shared" si="85"/>
        <v>4.6147543624324552</v>
      </c>
      <c r="AS77" s="3">
        <f t="shared" si="118"/>
        <v>1.3800000000000008</v>
      </c>
      <c r="AT77" s="168">
        <f t="shared" si="119"/>
        <v>1.3800000000000008</v>
      </c>
      <c r="AU77" s="3">
        <f t="shared" si="86"/>
        <v>4.6147543624324552</v>
      </c>
      <c r="AX77" s="3">
        <f t="shared" si="120"/>
        <v>1.3800000000000008</v>
      </c>
      <c r="AY77" s="168">
        <f t="shared" si="121"/>
        <v>1.3800000000000008</v>
      </c>
      <c r="AZ77" s="3">
        <f t="shared" si="87"/>
        <v>4.6147543624324552</v>
      </c>
      <c r="BC77" s="3">
        <f t="shared" si="122"/>
        <v>1.3800000000000008</v>
      </c>
      <c r="BD77" s="3">
        <f t="shared" si="123"/>
        <v>1.3800000000000008</v>
      </c>
      <c r="BE77" s="3">
        <f t="shared" si="88"/>
        <v>4.6147543624324552</v>
      </c>
      <c r="BH77" s="3">
        <f t="shared" si="124"/>
        <v>1.3800000000000008</v>
      </c>
      <c r="BI77" s="168">
        <f t="shared" si="125"/>
        <v>1.3800000000000008</v>
      </c>
      <c r="BJ77" s="3">
        <f t="shared" si="89"/>
        <v>4.6147543624324552</v>
      </c>
      <c r="BM77" s="3">
        <f t="shared" si="126"/>
        <v>1.3800000000000008</v>
      </c>
      <c r="BN77" s="168">
        <f t="shared" si="127"/>
        <v>1.3800000000000008</v>
      </c>
      <c r="BO77" s="3">
        <f t="shared" si="90"/>
        <v>4.6147543624324552</v>
      </c>
      <c r="BR77" s="3">
        <f t="shared" si="128"/>
        <v>1.3800000000000008</v>
      </c>
      <c r="BS77" s="3">
        <f t="shared" si="129"/>
        <v>1.3800000000000008</v>
      </c>
      <c r="BT77" s="3">
        <f t="shared" si="91"/>
        <v>4.6147543624324552</v>
      </c>
      <c r="BW77" s="3">
        <f t="shared" si="130"/>
        <v>1.3800000000000008</v>
      </c>
      <c r="BX77" s="168">
        <f t="shared" si="131"/>
        <v>1.3800000000000008</v>
      </c>
      <c r="BY77" s="3">
        <f t="shared" si="92"/>
        <v>4.6147543624324552</v>
      </c>
      <c r="CB77" s="3">
        <f t="shared" si="132"/>
        <v>1.3800000000000008</v>
      </c>
      <c r="CC77" s="168">
        <f t="shared" si="133"/>
        <v>1.3800000000000008</v>
      </c>
      <c r="CD77" s="3">
        <f t="shared" si="93"/>
        <v>4.6147543624324552</v>
      </c>
      <c r="CG77" s="3">
        <f t="shared" si="134"/>
        <v>1.3800000000000008</v>
      </c>
      <c r="CH77" s="3">
        <f t="shared" si="135"/>
        <v>1.3800000000000008</v>
      </c>
      <c r="CI77" s="3">
        <f t="shared" si="94"/>
        <v>4.6147543624324552</v>
      </c>
      <c r="CL77" s="3">
        <f t="shared" si="136"/>
        <v>1.3800000000000008</v>
      </c>
      <c r="CM77" s="168">
        <f t="shared" si="137"/>
        <v>1.3800000000000008</v>
      </c>
      <c r="CN77" s="3">
        <f t="shared" si="95"/>
        <v>4.6147543624324552</v>
      </c>
      <c r="CQ77" s="3">
        <f t="shared" si="138"/>
        <v>1.3800000000000008</v>
      </c>
      <c r="CR77" s="168">
        <f t="shared" si="139"/>
        <v>1.3800000000000008</v>
      </c>
      <c r="CS77" s="3">
        <f t="shared" si="96"/>
        <v>4.6147543624324552</v>
      </c>
      <c r="CV77" s="3">
        <f t="shared" si="140"/>
        <v>1.3800000000000008</v>
      </c>
      <c r="CW77" s="3">
        <f t="shared" si="141"/>
        <v>1.3800000000000008</v>
      </c>
      <c r="CX77" s="3">
        <f t="shared" si="97"/>
        <v>4.6147543624324552</v>
      </c>
      <c r="DA77" s="3">
        <f t="shared" si="142"/>
        <v>1.3800000000000008</v>
      </c>
      <c r="DB77" s="168">
        <f t="shared" si="143"/>
        <v>1.3800000000000008</v>
      </c>
      <c r="DC77" s="3">
        <f t="shared" si="98"/>
        <v>4.6147543624324552</v>
      </c>
      <c r="DF77" s="3">
        <f t="shared" si="144"/>
        <v>1.3800000000000008</v>
      </c>
      <c r="DG77" s="168">
        <f t="shared" si="145"/>
        <v>1.3800000000000008</v>
      </c>
      <c r="DH77" s="3">
        <f t="shared" si="99"/>
        <v>4.6147543624324552</v>
      </c>
      <c r="DK77" s="3">
        <f t="shared" si="146"/>
        <v>1.3800000000000008</v>
      </c>
      <c r="DL77" s="3">
        <f t="shared" si="147"/>
        <v>1.3800000000000008</v>
      </c>
      <c r="DM77" s="3">
        <f t="shared" si="100"/>
        <v>4.6147543624324552</v>
      </c>
      <c r="DP77" s="3">
        <f t="shared" si="148"/>
        <v>1.3800000000000008</v>
      </c>
      <c r="DQ77" s="168">
        <f t="shared" si="149"/>
        <v>1.3800000000000008</v>
      </c>
      <c r="DR77" s="3">
        <f t="shared" si="101"/>
        <v>4.6147543624324552</v>
      </c>
      <c r="DU77" s="3">
        <f t="shared" si="150"/>
        <v>1.3800000000000008</v>
      </c>
      <c r="DV77" s="168">
        <f t="shared" si="151"/>
        <v>1.3800000000000008</v>
      </c>
      <c r="DW77" s="3">
        <f t="shared" si="102"/>
        <v>4.6147543624324552</v>
      </c>
      <c r="DZ77" s="3">
        <f t="shared" si="152"/>
        <v>1.3800000000000008</v>
      </c>
      <c r="EA77" s="3">
        <f t="shared" si="153"/>
        <v>1.3800000000000008</v>
      </c>
      <c r="EB77" s="3">
        <f t="shared" si="103"/>
        <v>4.6147543624324552</v>
      </c>
      <c r="EE77" s="3">
        <f t="shared" si="154"/>
        <v>1.3800000000000008</v>
      </c>
      <c r="EF77" s="168">
        <f t="shared" si="155"/>
        <v>1.3800000000000008</v>
      </c>
      <c r="EG77" s="3">
        <f t="shared" si="104"/>
        <v>4.6147543624324552</v>
      </c>
      <c r="EJ77" s="3">
        <f t="shared" si="156"/>
        <v>1.3800000000000008</v>
      </c>
      <c r="EK77" s="168">
        <f t="shared" si="157"/>
        <v>1.3800000000000008</v>
      </c>
      <c r="EL77" s="3">
        <f t="shared" si="105"/>
        <v>4.6147543624324552</v>
      </c>
      <c r="EO77" s="3">
        <f t="shared" si="158"/>
        <v>1.3800000000000008</v>
      </c>
      <c r="EP77" s="3">
        <f t="shared" si="159"/>
        <v>1.3800000000000008</v>
      </c>
      <c r="EQ77" s="3">
        <f t="shared" si="106"/>
        <v>4.6147543624324552</v>
      </c>
      <c r="ET77" s="3">
        <f t="shared" si="160"/>
        <v>1.3800000000000008</v>
      </c>
      <c r="EU77" s="168">
        <f t="shared" si="161"/>
        <v>1.3800000000000008</v>
      </c>
      <c r="EV77" s="3">
        <f t="shared" si="107"/>
        <v>4.6147543624324552</v>
      </c>
    </row>
    <row r="78" spans="20:152" s="3" customFormat="1" x14ac:dyDescent="0.3">
      <c r="T78" s="3">
        <f t="shared" si="108"/>
        <v>1.4000000000000008</v>
      </c>
      <c r="U78" s="168">
        <f t="shared" si="109"/>
        <v>1.4000000000000008</v>
      </c>
      <c r="V78" s="3">
        <f t="shared" si="81"/>
        <v>4.5839383642394385</v>
      </c>
      <c r="Y78" s="3">
        <f t="shared" si="110"/>
        <v>1.4000000000000008</v>
      </c>
      <c r="Z78" s="3">
        <f t="shared" si="111"/>
        <v>1.4000000000000008</v>
      </c>
      <c r="AA78" s="3">
        <f t="shared" si="82"/>
        <v>4.5839383642394385</v>
      </c>
      <c r="AD78" s="3">
        <f t="shared" si="112"/>
        <v>1.4000000000000008</v>
      </c>
      <c r="AE78" s="168">
        <f t="shared" si="113"/>
        <v>1.4000000000000008</v>
      </c>
      <c r="AF78" s="3">
        <f t="shared" si="83"/>
        <v>4.5839383642394385</v>
      </c>
      <c r="AI78" s="3">
        <f t="shared" si="114"/>
        <v>1.4000000000000008</v>
      </c>
      <c r="AJ78" s="168">
        <f t="shared" si="115"/>
        <v>1.4000000000000008</v>
      </c>
      <c r="AK78" s="3">
        <f t="shared" si="84"/>
        <v>4.5839383642394385</v>
      </c>
      <c r="AN78" s="3">
        <f t="shared" si="116"/>
        <v>1.4000000000000008</v>
      </c>
      <c r="AO78" s="3">
        <f t="shared" si="117"/>
        <v>1.4000000000000008</v>
      </c>
      <c r="AP78" s="3">
        <f t="shared" si="85"/>
        <v>4.5839383642394385</v>
      </c>
      <c r="AS78" s="3">
        <f t="shared" si="118"/>
        <v>1.4000000000000008</v>
      </c>
      <c r="AT78" s="168">
        <f t="shared" si="119"/>
        <v>1.4000000000000008</v>
      </c>
      <c r="AU78" s="3">
        <f t="shared" si="86"/>
        <v>4.5839383642394385</v>
      </c>
      <c r="AX78" s="3">
        <f t="shared" si="120"/>
        <v>1.4000000000000008</v>
      </c>
      <c r="AY78" s="168">
        <f t="shared" si="121"/>
        <v>1.4000000000000008</v>
      </c>
      <c r="AZ78" s="3">
        <f t="shared" si="87"/>
        <v>4.5839383642394385</v>
      </c>
      <c r="BC78" s="3">
        <f t="shared" si="122"/>
        <v>1.4000000000000008</v>
      </c>
      <c r="BD78" s="3">
        <f t="shared" si="123"/>
        <v>1.4000000000000008</v>
      </c>
      <c r="BE78" s="3">
        <f t="shared" si="88"/>
        <v>4.5839383642394385</v>
      </c>
      <c r="BH78" s="3">
        <f t="shared" si="124"/>
        <v>1.4000000000000008</v>
      </c>
      <c r="BI78" s="168">
        <f t="shared" si="125"/>
        <v>1.4000000000000008</v>
      </c>
      <c r="BJ78" s="3">
        <f t="shared" si="89"/>
        <v>4.5839383642394385</v>
      </c>
      <c r="BM78" s="3">
        <f t="shared" si="126"/>
        <v>1.4000000000000008</v>
      </c>
      <c r="BN78" s="168">
        <f t="shared" si="127"/>
        <v>1.4000000000000008</v>
      </c>
      <c r="BO78" s="3">
        <f t="shared" si="90"/>
        <v>4.5839383642394385</v>
      </c>
      <c r="BR78" s="3">
        <f t="shared" si="128"/>
        <v>1.4000000000000008</v>
      </c>
      <c r="BS78" s="3">
        <f t="shared" si="129"/>
        <v>1.4000000000000008</v>
      </c>
      <c r="BT78" s="3">
        <f t="shared" si="91"/>
        <v>4.5839383642394385</v>
      </c>
      <c r="BW78" s="3">
        <f t="shared" si="130"/>
        <v>1.4000000000000008</v>
      </c>
      <c r="BX78" s="168">
        <f t="shared" si="131"/>
        <v>1.4000000000000008</v>
      </c>
      <c r="BY78" s="3">
        <f t="shared" si="92"/>
        <v>4.5839383642394385</v>
      </c>
      <c r="CB78" s="3">
        <f t="shared" si="132"/>
        <v>1.4000000000000008</v>
      </c>
      <c r="CC78" s="168">
        <f t="shared" si="133"/>
        <v>1.4000000000000008</v>
      </c>
      <c r="CD78" s="3">
        <f t="shared" si="93"/>
        <v>4.5839383642394385</v>
      </c>
      <c r="CG78" s="3">
        <f t="shared" si="134"/>
        <v>1.4000000000000008</v>
      </c>
      <c r="CH78" s="3">
        <f t="shared" si="135"/>
        <v>1.4000000000000008</v>
      </c>
      <c r="CI78" s="3">
        <f t="shared" si="94"/>
        <v>4.5839383642394385</v>
      </c>
      <c r="CL78" s="3">
        <f t="shared" si="136"/>
        <v>1.4000000000000008</v>
      </c>
      <c r="CM78" s="168">
        <f t="shared" si="137"/>
        <v>1.4000000000000008</v>
      </c>
      <c r="CN78" s="3">
        <f t="shared" si="95"/>
        <v>4.5839383642394385</v>
      </c>
      <c r="CQ78" s="3">
        <f t="shared" si="138"/>
        <v>1.4000000000000008</v>
      </c>
      <c r="CR78" s="168">
        <f t="shared" si="139"/>
        <v>1.4000000000000008</v>
      </c>
      <c r="CS78" s="3">
        <f t="shared" si="96"/>
        <v>4.5839383642394385</v>
      </c>
      <c r="CV78" s="3">
        <f t="shared" si="140"/>
        <v>1.4000000000000008</v>
      </c>
      <c r="CW78" s="3">
        <f t="shared" si="141"/>
        <v>1.4000000000000008</v>
      </c>
      <c r="CX78" s="3">
        <f t="shared" si="97"/>
        <v>4.5839383642394385</v>
      </c>
      <c r="DA78" s="3">
        <f t="shared" si="142"/>
        <v>1.4000000000000008</v>
      </c>
      <c r="DB78" s="168">
        <f t="shared" si="143"/>
        <v>1.4000000000000008</v>
      </c>
      <c r="DC78" s="3">
        <f t="shared" si="98"/>
        <v>4.5839383642394385</v>
      </c>
      <c r="DF78" s="3">
        <f t="shared" si="144"/>
        <v>1.4000000000000008</v>
      </c>
      <c r="DG78" s="168">
        <f t="shared" si="145"/>
        <v>1.4000000000000008</v>
      </c>
      <c r="DH78" s="3">
        <f t="shared" si="99"/>
        <v>4.5839383642394385</v>
      </c>
      <c r="DK78" s="3">
        <f t="shared" si="146"/>
        <v>1.4000000000000008</v>
      </c>
      <c r="DL78" s="3">
        <f t="shared" si="147"/>
        <v>1.4000000000000008</v>
      </c>
      <c r="DM78" s="3">
        <f t="shared" si="100"/>
        <v>4.5839383642394385</v>
      </c>
      <c r="DP78" s="3">
        <f t="shared" si="148"/>
        <v>1.4000000000000008</v>
      </c>
      <c r="DQ78" s="168">
        <f t="shared" si="149"/>
        <v>1.4000000000000008</v>
      </c>
      <c r="DR78" s="3">
        <f t="shared" si="101"/>
        <v>4.5839383642394385</v>
      </c>
      <c r="DU78" s="3">
        <f t="shared" si="150"/>
        <v>1.4000000000000008</v>
      </c>
      <c r="DV78" s="168">
        <f t="shared" si="151"/>
        <v>1.4000000000000008</v>
      </c>
      <c r="DW78" s="3">
        <f t="shared" si="102"/>
        <v>4.5839383642394385</v>
      </c>
      <c r="DZ78" s="3">
        <f t="shared" si="152"/>
        <v>1.4000000000000008</v>
      </c>
      <c r="EA78" s="3">
        <f t="shared" si="153"/>
        <v>1.4000000000000008</v>
      </c>
      <c r="EB78" s="3">
        <f t="shared" si="103"/>
        <v>4.5839383642394385</v>
      </c>
      <c r="EE78" s="3">
        <f t="shared" si="154"/>
        <v>1.4000000000000008</v>
      </c>
      <c r="EF78" s="168">
        <f t="shared" si="155"/>
        <v>1.4000000000000008</v>
      </c>
      <c r="EG78" s="3">
        <f t="shared" si="104"/>
        <v>4.5839383642394385</v>
      </c>
      <c r="EJ78" s="3">
        <f t="shared" si="156"/>
        <v>1.4000000000000008</v>
      </c>
      <c r="EK78" s="168">
        <f t="shared" si="157"/>
        <v>1.4000000000000008</v>
      </c>
      <c r="EL78" s="3">
        <f t="shared" si="105"/>
        <v>4.5839383642394385</v>
      </c>
      <c r="EO78" s="3">
        <f t="shared" si="158"/>
        <v>1.4000000000000008</v>
      </c>
      <c r="EP78" s="3">
        <f t="shared" si="159"/>
        <v>1.4000000000000008</v>
      </c>
      <c r="EQ78" s="3">
        <f t="shared" si="106"/>
        <v>4.5839383642394385</v>
      </c>
      <c r="ET78" s="3">
        <f t="shared" si="160"/>
        <v>1.4000000000000008</v>
      </c>
      <c r="EU78" s="168">
        <f t="shared" si="161"/>
        <v>1.4000000000000008</v>
      </c>
      <c r="EV78" s="3">
        <f t="shared" si="107"/>
        <v>4.5839383642394385</v>
      </c>
    </row>
    <row r="79" spans="20:152" s="3" customFormat="1" x14ac:dyDescent="0.3">
      <c r="T79" s="3">
        <f t="shared" si="108"/>
        <v>1.4200000000000008</v>
      </c>
      <c r="U79" s="168">
        <f t="shared" si="109"/>
        <v>1.4200000000000008</v>
      </c>
      <c r="V79" s="3">
        <f t="shared" si="81"/>
        <v>4.550413853318573</v>
      </c>
      <c r="Y79" s="3">
        <f t="shared" si="110"/>
        <v>1.4200000000000008</v>
      </c>
      <c r="Z79" s="3">
        <f t="shared" si="111"/>
        <v>1.4200000000000008</v>
      </c>
      <c r="AA79" s="3">
        <f t="shared" si="82"/>
        <v>4.550413853318573</v>
      </c>
      <c r="AD79" s="3">
        <f t="shared" si="112"/>
        <v>1.4200000000000008</v>
      </c>
      <c r="AE79" s="168">
        <f t="shared" si="113"/>
        <v>1.4200000000000008</v>
      </c>
      <c r="AF79" s="3">
        <f t="shared" si="83"/>
        <v>4.550413853318573</v>
      </c>
      <c r="AI79" s="3">
        <f t="shared" si="114"/>
        <v>1.4200000000000008</v>
      </c>
      <c r="AJ79" s="168">
        <f t="shared" si="115"/>
        <v>1.4200000000000008</v>
      </c>
      <c r="AK79" s="3">
        <f t="shared" si="84"/>
        <v>4.550413853318573</v>
      </c>
      <c r="AN79" s="3">
        <f t="shared" si="116"/>
        <v>1.4200000000000008</v>
      </c>
      <c r="AO79" s="3">
        <f t="shared" si="117"/>
        <v>1.4200000000000008</v>
      </c>
      <c r="AP79" s="3">
        <f t="shared" si="85"/>
        <v>4.550413853318573</v>
      </c>
      <c r="AS79" s="3">
        <f t="shared" si="118"/>
        <v>1.4200000000000008</v>
      </c>
      <c r="AT79" s="168">
        <f t="shared" si="119"/>
        <v>1.4200000000000008</v>
      </c>
      <c r="AU79" s="3">
        <f t="shared" si="86"/>
        <v>4.550413853318573</v>
      </c>
      <c r="AX79" s="3">
        <f t="shared" si="120"/>
        <v>1.4200000000000008</v>
      </c>
      <c r="AY79" s="168">
        <f t="shared" si="121"/>
        <v>1.4200000000000008</v>
      </c>
      <c r="AZ79" s="3">
        <f t="shared" si="87"/>
        <v>4.550413853318573</v>
      </c>
      <c r="BC79" s="3">
        <f t="shared" si="122"/>
        <v>1.4200000000000008</v>
      </c>
      <c r="BD79" s="3">
        <f t="shared" si="123"/>
        <v>1.4200000000000008</v>
      </c>
      <c r="BE79" s="3">
        <f t="shared" si="88"/>
        <v>4.550413853318573</v>
      </c>
      <c r="BH79" s="3">
        <f t="shared" si="124"/>
        <v>1.4200000000000008</v>
      </c>
      <c r="BI79" s="168">
        <f t="shared" si="125"/>
        <v>1.4200000000000008</v>
      </c>
      <c r="BJ79" s="3">
        <f t="shared" si="89"/>
        <v>4.550413853318573</v>
      </c>
      <c r="BM79" s="3">
        <f t="shared" si="126"/>
        <v>1.4200000000000008</v>
      </c>
      <c r="BN79" s="168">
        <f t="shared" si="127"/>
        <v>1.4200000000000008</v>
      </c>
      <c r="BO79" s="3">
        <f t="shared" si="90"/>
        <v>4.550413853318573</v>
      </c>
      <c r="BR79" s="3">
        <f t="shared" si="128"/>
        <v>1.4200000000000008</v>
      </c>
      <c r="BS79" s="3">
        <f t="shared" si="129"/>
        <v>1.4200000000000008</v>
      </c>
      <c r="BT79" s="3">
        <f t="shared" si="91"/>
        <v>4.550413853318573</v>
      </c>
      <c r="BW79" s="3">
        <f t="shared" si="130"/>
        <v>1.4200000000000008</v>
      </c>
      <c r="BX79" s="168">
        <f t="shared" si="131"/>
        <v>1.4200000000000008</v>
      </c>
      <c r="BY79" s="3">
        <f t="shared" si="92"/>
        <v>4.550413853318573</v>
      </c>
      <c r="CB79" s="3">
        <f t="shared" si="132"/>
        <v>1.4200000000000008</v>
      </c>
      <c r="CC79" s="168">
        <f t="shared" si="133"/>
        <v>1.4200000000000008</v>
      </c>
      <c r="CD79" s="3">
        <f t="shared" si="93"/>
        <v>4.550413853318573</v>
      </c>
      <c r="CG79" s="3">
        <f t="shared" si="134"/>
        <v>1.4200000000000008</v>
      </c>
      <c r="CH79" s="3">
        <f t="shared" si="135"/>
        <v>1.4200000000000008</v>
      </c>
      <c r="CI79" s="3">
        <f t="shared" si="94"/>
        <v>4.550413853318573</v>
      </c>
      <c r="CL79" s="3">
        <f t="shared" si="136"/>
        <v>1.4200000000000008</v>
      </c>
      <c r="CM79" s="168">
        <f t="shared" si="137"/>
        <v>1.4200000000000008</v>
      </c>
      <c r="CN79" s="3">
        <f t="shared" si="95"/>
        <v>4.550413853318573</v>
      </c>
      <c r="CQ79" s="3">
        <f t="shared" si="138"/>
        <v>1.4200000000000008</v>
      </c>
      <c r="CR79" s="168">
        <f t="shared" si="139"/>
        <v>1.4200000000000008</v>
      </c>
      <c r="CS79" s="3">
        <f t="shared" si="96"/>
        <v>4.550413853318573</v>
      </c>
      <c r="CV79" s="3">
        <f t="shared" si="140"/>
        <v>1.4200000000000008</v>
      </c>
      <c r="CW79" s="3">
        <f t="shared" si="141"/>
        <v>1.4200000000000008</v>
      </c>
      <c r="CX79" s="3">
        <f t="shared" si="97"/>
        <v>4.550413853318573</v>
      </c>
      <c r="DA79" s="3">
        <f t="shared" si="142"/>
        <v>1.4200000000000008</v>
      </c>
      <c r="DB79" s="168">
        <f t="shared" si="143"/>
        <v>1.4200000000000008</v>
      </c>
      <c r="DC79" s="3">
        <f t="shared" si="98"/>
        <v>4.550413853318573</v>
      </c>
      <c r="DF79" s="3">
        <f t="shared" si="144"/>
        <v>1.4200000000000008</v>
      </c>
      <c r="DG79" s="168">
        <f t="shared" si="145"/>
        <v>1.4200000000000008</v>
      </c>
      <c r="DH79" s="3">
        <f t="shared" si="99"/>
        <v>4.550413853318573</v>
      </c>
      <c r="DK79" s="3">
        <f t="shared" si="146"/>
        <v>1.4200000000000008</v>
      </c>
      <c r="DL79" s="3">
        <f t="shared" si="147"/>
        <v>1.4200000000000008</v>
      </c>
      <c r="DM79" s="3">
        <f t="shared" si="100"/>
        <v>4.550413853318573</v>
      </c>
      <c r="DP79" s="3">
        <f t="shared" si="148"/>
        <v>1.4200000000000008</v>
      </c>
      <c r="DQ79" s="168">
        <f t="shared" si="149"/>
        <v>1.4200000000000008</v>
      </c>
      <c r="DR79" s="3">
        <f t="shared" si="101"/>
        <v>4.550413853318573</v>
      </c>
      <c r="DU79" s="3">
        <f t="shared" si="150"/>
        <v>1.4200000000000008</v>
      </c>
      <c r="DV79" s="168">
        <f t="shared" si="151"/>
        <v>1.4200000000000008</v>
      </c>
      <c r="DW79" s="3">
        <f t="shared" si="102"/>
        <v>4.550413853318573</v>
      </c>
      <c r="DZ79" s="3">
        <f t="shared" si="152"/>
        <v>1.4200000000000008</v>
      </c>
      <c r="EA79" s="3">
        <f t="shared" si="153"/>
        <v>1.4200000000000008</v>
      </c>
      <c r="EB79" s="3">
        <f t="shared" si="103"/>
        <v>4.550413853318573</v>
      </c>
      <c r="EE79" s="3">
        <f t="shared" si="154"/>
        <v>1.4200000000000008</v>
      </c>
      <c r="EF79" s="168">
        <f t="shared" si="155"/>
        <v>1.4200000000000008</v>
      </c>
      <c r="EG79" s="3">
        <f t="shared" si="104"/>
        <v>4.550413853318573</v>
      </c>
      <c r="EJ79" s="3">
        <f t="shared" si="156"/>
        <v>1.4200000000000008</v>
      </c>
      <c r="EK79" s="168">
        <f t="shared" si="157"/>
        <v>1.4200000000000008</v>
      </c>
      <c r="EL79" s="3">
        <f t="shared" si="105"/>
        <v>4.550413853318573</v>
      </c>
      <c r="EO79" s="3">
        <f t="shared" si="158"/>
        <v>1.4200000000000008</v>
      </c>
      <c r="EP79" s="3">
        <f t="shared" si="159"/>
        <v>1.4200000000000008</v>
      </c>
      <c r="EQ79" s="3">
        <f t="shared" si="106"/>
        <v>4.550413853318573</v>
      </c>
      <c r="ET79" s="3">
        <f t="shared" si="160"/>
        <v>1.4200000000000008</v>
      </c>
      <c r="EU79" s="168">
        <f t="shared" si="161"/>
        <v>1.4200000000000008</v>
      </c>
      <c r="EV79" s="3">
        <f t="shared" si="107"/>
        <v>4.550413853318573</v>
      </c>
    </row>
    <row r="80" spans="20:152" s="3" customFormat="1" x14ac:dyDescent="0.3">
      <c r="T80" s="3">
        <f t="shared" si="108"/>
        <v>1.4400000000000008</v>
      </c>
      <c r="U80" s="168">
        <f t="shared" si="109"/>
        <v>1.4400000000000008</v>
      </c>
      <c r="V80" s="3">
        <f t="shared" si="81"/>
        <v>4.5141808296698596</v>
      </c>
      <c r="Y80" s="3">
        <f t="shared" si="110"/>
        <v>1.4400000000000008</v>
      </c>
      <c r="Z80" s="3">
        <f t="shared" si="111"/>
        <v>1.4400000000000008</v>
      </c>
      <c r="AA80" s="3">
        <f t="shared" si="82"/>
        <v>4.5141808296698596</v>
      </c>
      <c r="AD80" s="3">
        <f t="shared" si="112"/>
        <v>1.4400000000000008</v>
      </c>
      <c r="AE80" s="168">
        <f t="shared" si="113"/>
        <v>1.4400000000000008</v>
      </c>
      <c r="AF80" s="3">
        <f t="shared" si="83"/>
        <v>4.5141808296698596</v>
      </c>
      <c r="AI80" s="3">
        <f t="shared" si="114"/>
        <v>1.4400000000000008</v>
      </c>
      <c r="AJ80" s="168">
        <f t="shared" si="115"/>
        <v>1.4400000000000008</v>
      </c>
      <c r="AK80" s="3">
        <f t="shared" si="84"/>
        <v>4.5141808296698596</v>
      </c>
      <c r="AN80" s="3">
        <f t="shared" si="116"/>
        <v>1.4400000000000008</v>
      </c>
      <c r="AO80" s="3">
        <f t="shared" si="117"/>
        <v>1.4400000000000008</v>
      </c>
      <c r="AP80" s="3">
        <f t="shared" si="85"/>
        <v>4.5141808296698596</v>
      </c>
      <c r="AS80" s="3">
        <f t="shared" si="118"/>
        <v>1.4400000000000008</v>
      </c>
      <c r="AT80" s="168">
        <f t="shared" si="119"/>
        <v>1.4400000000000008</v>
      </c>
      <c r="AU80" s="3">
        <f t="shared" si="86"/>
        <v>4.5141808296698596</v>
      </c>
      <c r="AX80" s="3">
        <f t="shared" si="120"/>
        <v>1.4400000000000008</v>
      </c>
      <c r="AY80" s="168">
        <f t="shared" si="121"/>
        <v>1.4400000000000008</v>
      </c>
      <c r="AZ80" s="3">
        <f t="shared" si="87"/>
        <v>4.5141808296698596</v>
      </c>
      <c r="BC80" s="3">
        <f t="shared" si="122"/>
        <v>1.4400000000000008</v>
      </c>
      <c r="BD80" s="3">
        <f t="shared" si="123"/>
        <v>1.4400000000000008</v>
      </c>
      <c r="BE80" s="3">
        <f t="shared" si="88"/>
        <v>4.5141808296698596</v>
      </c>
      <c r="BH80" s="3">
        <f t="shared" si="124"/>
        <v>1.4400000000000008</v>
      </c>
      <c r="BI80" s="168">
        <f t="shared" si="125"/>
        <v>1.4400000000000008</v>
      </c>
      <c r="BJ80" s="3">
        <f t="shared" si="89"/>
        <v>4.5141808296698596</v>
      </c>
      <c r="BM80" s="3">
        <f t="shared" si="126"/>
        <v>1.4400000000000008</v>
      </c>
      <c r="BN80" s="168">
        <f t="shared" si="127"/>
        <v>1.4400000000000008</v>
      </c>
      <c r="BO80" s="3">
        <f t="shared" si="90"/>
        <v>4.5141808296698596</v>
      </c>
      <c r="BR80" s="3">
        <f t="shared" si="128"/>
        <v>1.4400000000000008</v>
      </c>
      <c r="BS80" s="3">
        <f t="shared" si="129"/>
        <v>1.4400000000000008</v>
      </c>
      <c r="BT80" s="3">
        <f t="shared" si="91"/>
        <v>4.5141808296698596</v>
      </c>
      <c r="BW80" s="3">
        <f t="shared" si="130"/>
        <v>1.4400000000000008</v>
      </c>
      <c r="BX80" s="168">
        <f t="shared" si="131"/>
        <v>1.4400000000000008</v>
      </c>
      <c r="BY80" s="3">
        <f t="shared" si="92"/>
        <v>4.5141808296698596</v>
      </c>
      <c r="CB80" s="3">
        <f t="shared" si="132"/>
        <v>1.4400000000000008</v>
      </c>
      <c r="CC80" s="168">
        <f t="shared" si="133"/>
        <v>1.4400000000000008</v>
      </c>
      <c r="CD80" s="3">
        <f t="shared" si="93"/>
        <v>4.5141808296698596</v>
      </c>
      <c r="CG80" s="3">
        <f t="shared" si="134"/>
        <v>1.4400000000000008</v>
      </c>
      <c r="CH80" s="3">
        <f t="shared" si="135"/>
        <v>1.4400000000000008</v>
      </c>
      <c r="CI80" s="3">
        <f t="shared" si="94"/>
        <v>4.5141808296698596</v>
      </c>
      <c r="CL80" s="3">
        <f t="shared" si="136"/>
        <v>1.4400000000000008</v>
      </c>
      <c r="CM80" s="168">
        <f t="shared" si="137"/>
        <v>1.4400000000000008</v>
      </c>
      <c r="CN80" s="3">
        <f t="shared" si="95"/>
        <v>4.5141808296698596</v>
      </c>
      <c r="CQ80" s="3">
        <f t="shared" si="138"/>
        <v>1.4400000000000008</v>
      </c>
      <c r="CR80" s="168">
        <f t="shared" si="139"/>
        <v>1.4400000000000008</v>
      </c>
      <c r="CS80" s="3">
        <f t="shared" si="96"/>
        <v>4.5141808296698596</v>
      </c>
      <c r="CV80" s="3">
        <f t="shared" si="140"/>
        <v>1.4400000000000008</v>
      </c>
      <c r="CW80" s="3">
        <f t="shared" si="141"/>
        <v>1.4400000000000008</v>
      </c>
      <c r="CX80" s="3">
        <f t="shared" si="97"/>
        <v>4.5141808296698596</v>
      </c>
      <c r="DA80" s="3">
        <f t="shared" si="142"/>
        <v>1.4400000000000008</v>
      </c>
      <c r="DB80" s="168">
        <f t="shared" si="143"/>
        <v>1.4400000000000008</v>
      </c>
      <c r="DC80" s="3">
        <f t="shared" si="98"/>
        <v>4.5141808296698596</v>
      </c>
      <c r="DF80" s="3">
        <f t="shared" si="144"/>
        <v>1.4400000000000008</v>
      </c>
      <c r="DG80" s="168">
        <f t="shared" si="145"/>
        <v>1.4400000000000008</v>
      </c>
      <c r="DH80" s="3">
        <f t="shared" si="99"/>
        <v>4.5141808296698596</v>
      </c>
      <c r="DK80" s="3">
        <f t="shared" si="146"/>
        <v>1.4400000000000008</v>
      </c>
      <c r="DL80" s="3">
        <f t="shared" si="147"/>
        <v>1.4400000000000008</v>
      </c>
      <c r="DM80" s="3">
        <f t="shared" si="100"/>
        <v>4.5141808296698596</v>
      </c>
      <c r="DP80" s="3">
        <f t="shared" si="148"/>
        <v>1.4400000000000008</v>
      </c>
      <c r="DQ80" s="168">
        <f t="shared" si="149"/>
        <v>1.4400000000000008</v>
      </c>
      <c r="DR80" s="3">
        <f t="shared" si="101"/>
        <v>4.5141808296698596</v>
      </c>
      <c r="DU80" s="3">
        <f t="shared" si="150"/>
        <v>1.4400000000000008</v>
      </c>
      <c r="DV80" s="168">
        <f t="shared" si="151"/>
        <v>1.4400000000000008</v>
      </c>
      <c r="DW80" s="3">
        <f t="shared" si="102"/>
        <v>4.5141808296698596</v>
      </c>
      <c r="DZ80" s="3">
        <f t="shared" si="152"/>
        <v>1.4400000000000008</v>
      </c>
      <c r="EA80" s="3">
        <f t="shared" si="153"/>
        <v>1.4400000000000008</v>
      </c>
      <c r="EB80" s="3">
        <f t="shared" si="103"/>
        <v>4.5141808296698596</v>
      </c>
      <c r="EE80" s="3">
        <f t="shared" si="154"/>
        <v>1.4400000000000008</v>
      </c>
      <c r="EF80" s="168">
        <f t="shared" si="155"/>
        <v>1.4400000000000008</v>
      </c>
      <c r="EG80" s="3">
        <f t="shared" si="104"/>
        <v>4.5141808296698596</v>
      </c>
      <c r="EJ80" s="3">
        <f t="shared" si="156"/>
        <v>1.4400000000000008</v>
      </c>
      <c r="EK80" s="168">
        <f t="shared" si="157"/>
        <v>1.4400000000000008</v>
      </c>
      <c r="EL80" s="3">
        <f t="shared" si="105"/>
        <v>4.5141808296698596</v>
      </c>
      <c r="EO80" s="3">
        <f t="shared" si="158"/>
        <v>1.4400000000000008</v>
      </c>
      <c r="EP80" s="3">
        <f t="shared" si="159"/>
        <v>1.4400000000000008</v>
      </c>
      <c r="EQ80" s="3">
        <f t="shared" si="106"/>
        <v>4.5141808296698596</v>
      </c>
      <c r="ET80" s="3">
        <f t="shared" si="160"/>
        <v>1.4400000000000008</v>
      </c>
      <c r="EU80" s="168">
        <f t="shared" si="161"/>
        <v>1.4400000000000008</v>
      </c>
      <c r="EV80" s="3">
        <f t="shared" si="107"/>
        <v>4.5141808296698596</v>
      </c>
    </row>
    <row r="81" spans="20:152" s="3" customFormat="1" x14ac:dyDescent="0.3">
      <c r="T81" s="3">
        <f t="shared" si="108"/>
        <v>1.4600000000000009</v>
      </c>
      <c r="U81" s="168">
        <f t="shared" si="109"/>
        <v>1.4600000000000009</v>
      </c>
      <c r="V81" s="3">
        <f t="shared" si="81"/>
        <v>4.4752392932933001</v>
      </c>
      <c r="Y81" s="3">
        <f t="shared" si="110"/>
        <v>1.4600000000000009</v>
      </c>
      <c r="Z81" s="3">
        <f t="shared" si="111"/>
        <v>1.4600000000000009</v>
      </c>
      <c r="AA81" s="3">
        <f t="shared" si="82"/>
        <v>4.4752392932933001</v>
      </c>
      <c r="AD81" s="3">
        <f t="shared" si="112"/>
        <v>1.4600000000000009</v>
      </c>
      <c r="AE81" s="168">
        <f t="shared" si="113"/>
        <v>1.4600000000000009</v>
      </c>
      <c r="AF81" s="3">
        <f t="shared" si="83"/>
        <v>4.4752392932933001</v>
      </c>
      <c r="AI81" s="3">
        <f t="shared" si="114"/>
        <v>1.4600000000000009</v>
      </c>
      <c r="AJ81" s="168">
        <f t="shared" si="115"/>
        <v>1.4600000000000009</v>
      </c>
      <c r="AK81" s="3">
        <f t="shared" si="84"/>
        <v>4.4752392932933001</v>
      </c>
      <c r="AN81" s="3">
        <f t="shared" si="116"/>
        <v>1.4600000000000009</v>
      </c>
      <c r="AO81" s="3">
        <f t="shared" si="117"/>
        <v>1.4600000000000009</v>
      </c>
      <c r="AP81" s="3">
        <f t="shared" si="85"/>
        <v>4.4752392932933001</v>
      </c>
      <c r="AS81" s="3">
        <f t="shared" si="118"/>
        <v>1.4600000000000009</v>
      </c>
      <c r="AT81" s="168">
        <f t="shared" si="119"/>
        <v>1.4600000000000009</v>
      </c>
      <c r="AU81" s="3">
        <f t="shared" si="86"/>
        <v>4.4752392932933001</v>
      </c>
      <c r="AX81" s="3">
        <f t="shared" si="120"/>
        <v>1.4600000000000009</v>
      </c>
      <c r="AY81" s="168">
        <f t="shared" si="121"/>
        <v>1.4600000000000009</v>
      </c>
      <c r="AZ81" s="3">
        <f t="shared" si="87"/>
        <v>4.4752392932933001</v>
      </c>
      <c r="BC81" s="3">
        <f t="shared" si="122"/>
        <v>1.4600000000000009</v>
      </c>
      <c r="BD81" s="3">
        <f t="shared" si="123"/>
        <v>1.4600000000000009</v>
      </c>
      <c r="BE81" s="3">
        <f t="shared" si="88"/>
        <v>4.4752392932933001</v>
      </c>
      <c r="BH81" s="3">
        <f t="shared" si="124"/>
        <v>1.4600000000000009</v>
      </c>
      <c r="BI81" s="168">
        <f t="shared" si="125"/>
        <v>1.4600000000000009</v>
      </c>
      <c r="BJ81" s="3">
        <f t="shared" si="89"/>
        <v>4.4752392932933001</v>
      </c>
      <c r="BM81" s="3">
        <f t="shared" si="126"/>
        <v>1.4600000000000009</v>
      </c>
      <c r="BN81" s="168">
        <f t="shared" si="127"/>
        <v>1.4600000000000009</v>
      </c>
      <c r="BO81" s="3">
        <f t="shared" si="90"/>
        <v>4.4752392932933001</v>
      </c>
      <c r="BR81" s="3">
        <f t="shared" si="128"/>
        <v>1.4600000000000009</v>
      </c>
      <c r="BS81" s="3">
        <f t="shared" si="129"/>
        <v>1.4600000000000009</v>
      </c>
      <c r="BT81" s="3">
        <f t="shared" si="91"/>
        <v>4.4752392932933001</v>
      </c>
      <c r="BW81" s="3">
        <f t="shared" si="130"/>
        <v>1.4600000000000009</v>
      </c>
      <c r="BX81" s="168">
        <f t="shared" si="131"/>
        <v>1.4600000000000009</v>
      </c>
      <c r="BY81" s="3">
        <f t="shared" si="92"/>
        <v>4.4752392932933001</v>
      </c>
      <c r="CB81" s="3">
        <f t="shared" si="132"/>
        <v>1.4600000000000009</v>
      </c>
      <c r="CC81" s="168">
        <f t="shared" si="133"/>
        <v>1.4600000000000009</v>
      </c>
      <c r="CD81" s="3">
        <f t="shared" si="93"/>
        <v>4.4752392932933001</v>
      </c>
      <c r="CG81" s="3">
        <f t="shared" si="134"/>
        <v>1.4600000000000009</v>
      </c>
      <c r="CH81" s="3">
        <f t="shared" si="135"/>
        <v>1.4600000000000009</v>
      </c>
      <c r="CI81" s="3">
        <f t="shared" si="94"/>
        <v>4.4752392932933001</v>
      </c>
      <c r="CL81" s="3">
        <f t="shared" si="136"/>
        <v>1.4600000000000009</v>
      </c>
      <c r="CM81" s="168">
        <f t="shared" si="137"/>
        <v>1.4600000000000009</v>
      </c>
      <c r="CN81" s="3">
        <f t="shared" si="95"/>
        <v>4.4752392932933001</v>
      </c>
      <c r="CQ81" s="3">
        <f t="shared" si="138"/>
        <v>1.4600000000000009</v>
      </c>
      <c r="CR81" s="168">
        <f t="shared" si="139"/>
        <v>1.4600000000000009</v>
      </c>
      <c r="CS81" s="3">
        <f t="shared" si="96"/>
        <v>4.4752392932933001</v>
      </c>
      <c r="CV81" s="3">
        <f t="shared" si="140"/>
        <v>1.4600000000000009</v>
      </c>
      <c r="CW81" s="3">
        <f t="shared" si="141"/>
        <v>1.4600000000000009</v>
      </c>
      <c r="CX81" s="3">
        <f t="shared" si="97"/>
        <v>4.4752392932933001</v>
      </c>
      <c r="DA81" s="3">
        <f t="shared" si="142"/>
        <v>1.4600000000000009</v>
      </c>
      <c r="DB81" s="168">
        <f t="shared" si="143"/>
        <v>1.4600000000000009</v>
      </c>
      <c r="DC81" s="3">
        <f t="shared" si="98"/>
        <v>4.4752392932933001</v>
      </c>
      <c r="DF81" s="3">
        <f t="shared" si="144"/>
        <v>1.4600000000000009</v>
      </c>
      <c r="DG81" s="168">
        <f t="shared" si="145"/>
        <v>1.4600000000000009</v>
      </c>
      <c r="DH81" s="3">
        <f t="shared" si="99"/>
        <v>4.4752392932933001</v>
      </c>
      <c r="DK81" s="3">
        <f t="shared" si="146"/>
        <v>1.4600000000000009</v>
      </c>
      <c r="DL81" s="3">
        <f t="shared" si="147"/>
        <v>1.4600000000000009</v>
      </c>
      <c r="DM81" s="3">
        <f t="shared" si="100"/>
        <v>4.4752392932933001</v>
      </c>
      <c r="DP81" s="3">
        <f t="shared" si="148"/>
        <v>1.4600000000000009</v>
      </c>
      <c r="DQ81" s="168">
        <f t="shared" si="149"/>
        <v>1.4600000000000009</v>
      </c>
      <c r="DR81" s="3">
        <f t="shared" si="101"/>
        <v>4.4752392932933001</v>
      </c>
      <c r="DU81" s="3">
        <f t="shared" si="150"/>
        <v>1.4600000000000009</v>
      </c>
      <c r="DV81" s="168">
        <f t="shared" si="151"/>
        <v>1.4600000000000009</v>
      </c>
      <c r="DW81" s="3">
        <f t="shared" si="102"/>
        <v>4.4752392932933001</v>
      </c>
      <c r="DZ81" s="3">
        <f t="shared" si="152"/>
        <v>1.4600000000000009</v>
      </c>
      <c r="EA81" s="3">
        <f t="shared" si="153"/>
        <v>1.4600000000000009</v>
      </c>
      <c r="EB81" s="3">
        <f t="shared" si="103"/>
        <v>4.4752392932933001</v>
      </c>
      <c r="EE81" s="3">
        <f t="shared" si="154"/>
        <v>1.4600000000000009</v>
      </c>
      <c r="EF81" s="168">
        <f t="shared" si="155"/>
        <v>1.4600000000000009</v>
      </c>
      <c r="EG81" s="3">
        <f t="shared" si="104"/>
        <v>4.4752392932933001</v>
      </c>
      <c r="EJ81" s="3">
        <f t="shared" si="156"/>
        <v>1.4600000000000009</v>
      </c>
      <c r="EK81" s="168">
        <f t="shared" si="157"/>
        <v>1.4600000000000009</v>
      </c>
      <c r="EL81" s="3">
        <f t="shared" si="105"/>
        <v>4.4752392932933001</v>
      </c>
      <c r="EO81" s="3">
        <f t="shared" si="158"/>
        <v>1.4600000000000009</v>
      </c>
      <c r="EP81" s="3">
        <f t="shared" si="159"/>
        <v>1.4600000000000009</v>
      </c>
      <c r="EQ81" s="3">
        <f t="shared" si="106"/>
        <v>4.4752392932933001</v>
      </c>
      <c r="ET81" s="3">
        <f t="shared" si="160"/>
        <v>1.4600000000000009</v>
      </c>
      <c r="EU81" s="168">
        <f t="shared" si="161"/>
        <v>1.4600000000000009</v>
      </c>
      <c r="EV81" s="3">
        <f t="shared" si="107"/>
        <v>4.4752392932933001</v>
      </c>
    </row>
    <row r="82" spans="20:152" s="3" customFormat="1" x14ac:dyDescent="0.3">
      <c r="T82" s="3">
        <f t="shared" si="108"/>
        <v>1.4800000000000009</v>
      </c>
      <c r="U82" s="168">
        <f t="shared" si="109"/>
        <v>1.4800000000000009</v>
      </c>
      <c r="V82" s="3">
        <f t="shared" si="81"/>
        <v>4.4335892441888944</v>
      </c>
      <c r="Y82" s="3">
        <f t="shared" si="110"/>
        <v>1.4800000000000009</v>
      </c>
      <c r="Z82" s="3">
        <f t="shared" si="111"/>
        <v>1.4800000000000009</v>
      </c>
      <c r="AA82" s="3">
        <f t="shared" si="82"/>
        <v>4.4335892441888944</v>
      </c>
      <c r="AD82" s="3">
        <f t="shared" si="112"/>
        <v>1.4800000000000009</v>
      </c>
      <c r="AE82" s="168">
        <f t="shared" si="113"/>
        <v>1.4800000000000009</v>
      </c>
      <c r="AF82" s="3">
        <f t="shared" si="83"/>
        <v>4.4335892441888944</v>
      </c>
      <c r="AI82" s="3">
        <f t="shared" si="114"/>
        <v>1.4800000000000009</v>
      </c>
      <c r="AJ82" s="168">
        <f t="shared" si="115"/>
        <v>1.4800000000000009</v>
      </c>
      <c r="AK82" s="3">
        <f t="shared" si="84"/>
        <v>4.4335892441888944</v>
      </c>
      <c r="AN82" s="3">
        <f t="shared" si="116"/>
        <v>1.4800000000000009</v>
      </c>
      <c r="AO82" s="3">
        <f t="shared" si="117"/>
        <v>1.4800000000000009</v>
      </c>
      <c r="AP82" s="3">
        <f t="shared" si="85"/>
        <v>4.4335892441888944</v>
      </c>
      <c r="AS82" s="3">
        <f t="shared" si="118"/>
        <v>1.4800000000000009</v>
      </c>
      <c r="AT82" s="168">
        <f t="shared" si="119"/>
        <v>1.4800000000000009</v>
      </c>
      <c r="AU82" s="3">
        <f t="shared" si="86"/>
        <v>4.4335892441888944</v>
      </c>
      <c r="AX82" s="3">
        <f t="shared" si="120"/>
        <v>1.4800000000000009</v>
      </c>
      <c r="AY82" s="168">
        <f t="shared" si="121"/>
        <v>1.4800000000000009</v>
      </c>
      <c r="AZ82" s="3">
        <f t="shared" si="87"/>
        <v>4.4335892441888944</v>
      </c>
      <c r="BC82" s="3">
        <f t="shared" si="122"/>
        <v>1.4800000000000009</v>
      </c>
      <c r="BD82" s="3">
        <f t="shared" si="123"/>
        <v>1.4800000000000009</v>
      </c>
      <c r="BE82" s="3">
        <f t="shared" si="88"/>
        <v>4.4335892441888944</v>
      </c>
      <c r="BH82" s="3">
        <f t="shared" si="124"/>
        <v>1.4800000000000009</v>
      </c>
      <c r="BI82" s="168">
        <f t="shared" si="125"/>
        <v>1.4800000000000009</v>
      </c>
      <c r="BJ82" s="3">
        <f t="shared" si="89"/>
        <v>4.4335892441888944</v>
      </c>
      <c r="BM82" s="3">
        <f t="shared" si="126"/>
        <v>1.4800000000000009</v>
      </c>
      <c r="BN82" s="168">
        <f t="shared" si="127"/>
        <v>1.4800000000000009</v>
      </c>
      <c r="BO82" s="3">
        <f t="shared" si="90"/>
        <v>4.4335892441888944</v>
      </c>
      <c r="BR82" s="3">
        <f t="shared" si="128"/>
        <v>1.4800000000000009</v>
      </c>
      <c r="BS82" s="3">
        <f t="shared" si="129"/>
        <v>1.4800000000000009</v>
      </c>
      <c r="BT82" s="3">
        <f t="shared" si="91"/>
        <v>4.4335892441888944</v>
      </c>
      <c r="BW82" s="3">
        <f t="shared" si="130"/>
        <v>1.4800000000000009</v>
      </c>
      <c r="BX82" s="168">
        <f t="shared" si="131"/>
        <v>1.4800000000000009</v>
      </c>
      <c r="BY82" s="3">
        <f t="shared" si="92"/>
        <v>4.4335892441888944</v>
      </c>
      <c r="CB82" s="3">
        <f t="shared" si="132"/>
        <v>1.4800000000000009</v>
      </c>
      <c r="CC82" s="168">
        <f t="shared" si="133"/>
        <v>1.4800000000000009</v>
      </c>
      <c r="CD82" s="3">
        <f t="shared" si="93"/>
        <v>4.4335892441888944</v>
      </c>
      <c r="CG82" s="3">
        <f t="shared" si="134"/>
        <v>1.4800000000000009</v>
      </c>
      <c r="CH82" s="3">
        <f t="shared" si="135"/>
        <v>1.4800000000000009</v>
      </c>
      <c r="CI82" s="3">
        <f t="shared" si="94"/>
        <v>4.4335892441888944</v>
      </c>
      <c r="CL82" s="3">
        <f t="shared" si="136"/>
        <v>1.4800000000000009</v>
      </c>
      <c r="CM82" s="168">
        <f t="shared" si="137"/>
        <v>1.4800000000000009</v>
      </c>
      <c r="CN82" s="3">
        <f t="shared" si="95"/>
        <v>4.4335892441888944</v>
      </c>
      <c r="CQ82" s="3">
        <f t="shared" si="138"/>
        <v>1.4800000000000009</v>
      </c>
      <c r="CR82" s="168">
        <f t="shared" si="139"/>
        <v>1.4800000000000009</v>
      </c>
      <c r="CS82" s="3">
        <f t="shared" si="96"/>
        <v>4.4335892441888944</v>
      </c>
      <c r="CV82" s="3">
        <f t="shared" si="140"/>
        <v>1.4800000000000009</v>
      </c>
      <c r="CW82" s="3">
        <f t="shared" si="141"/>
        <v>1.4800000000000009</v>
      </c>
      <c r="CX82" s="3">
        <f t="shared" si="97"/>
        <v>4.4335892441888944</v>
      </c>
      <c r="DA82" s="3">
        <f t="shared" si="142"/>
        <v>1.4800000000000009</v>
      </c>
      <c r="DB82" s="168">
        <f t="shared" si="143"/>
        <v>1.4800000000000009</v>
      </c>
      <c r="DC82" s="3">
        <f t="shared" si="98"/>
        <v>4.4335892441888944</v>
      </c>
      <c r="DF82" s="3">
        <f t="shared" si="144"/>
        <v>1.4800000000000009</v>
      </c>
      <c r="DG82" s="168">
        <f t="shared" si="145"/>
        <v>1.4800000000000009</v>
      </c>
      <c r="DH82" s="3">
        <f t="shared" si="99"/>
        <v>4.4335892441888944</v>
      </c>
      <c r="DK82" s="3">
        <f t="shared" si="146"/>
        <v>1.4800000000000009</v>
      </c>
      <c r="DL82" s="3">
        <f t="shared" si="147"/>
        <v>1.4800000000000009</v>
      </c>
      <c r="DM82" s="3">
        <f t="shared" si="100"/>
        <v>4.4335892441888944</v>
      </c>
      <c r="DP82" s="3">
        <f t="shared" si="148"/>
        <v>1.4800000000000009</v>
      </c>
      <c r="DQ82" s="168">
        <f t="shared" si="149"/>
        <v>1.4800000000000009</v>
      </c>
      <c r="DR82" s="3">
        <f t="shared" si="101"/>
        <v>4.4335892441888944</v>
      </c>
      <c r="DU82" s="3">
        <f t="shared" si="150"/>
        <v>1.4800000000000009</v>
      </c>
      <c r="DV82" s="168">
        <f t="shared" si="151"/>
        <v>1.4800000000000009</v>
      </c>
      <c r="DW82" s="3">
        <f t="shared" si="102"/>
        <v>4.4335892441888944</v>
      </c>
      <c r="DZ82" s="3">
        <f t="shared" si="152"/>
        <v>1.4800000000000009</v>
      </c>
      <c r="EA82" s="3">
        <f t="shared" si="153"/>
        <v>1.4800000000000009</v>
      </c>
      <c r="EB82" s="3">
        <f t="shared" si="103"/>
        <v>4.4335892441888944</v>
      </c>
      <c r="EE82" s="3">
        <f t="shared" si="154"/>
        <v>1.4800000000000009</v>
      </c>
      <c r="EF82" s="168">
        <f t="shared" si="155"/>
        <v>1.4800000000000009</v>
      </c>
      <c r="EG82" s="3">
        <f t="shared" si="104"/>
        <v>4.4335892441888944</v>
      </c>
      <c r="EJ82" s="3">
        <f t="shared" si="156"/>
        <v>1.4800000000000009</v>
      </c>
      <c r="EK82" s="168">
        <f t="shared" si="157"/>
        <v>1.4800000000000009</v>
      </c>
      <c r="EL82" s="3">
        <f t="shared" si="105"/>
        <v>4.4335892441888944</v>
      </c>
      <c r="EO82" s="3">
        <f t="shared" si="158"/>
        <v>1.4800000000000009</v>
      </c>
      <c r="EP82" s="3">
        <f t="shared" si="159"/>
        <v>1.4800000000000009</v>
      </c>
      <c r="EQ82" s="3">
        <f t="shared" si="106"/>
        <v>4.4335892441888944</v>
      </c>
      <c r="ET82" s="3">
        <f t="shared" si="160"/>
        <v>1.4800000000000009</v>
      </c>
      <c r="EU82" s="168">
        <f t="shared" si="161"/>
        <v>1.4800000000000009</v>
      </c>
      <c r="EV82" s="3">
        <f t="shared" si="107"/>
        <v>4.4335892441888944</v>
      </c>
    </row>
    <row r="83" spans="20:152" s="3" customFormat="1" x14ac:dyDescent="0.3">
      <c r="T83" s="3">
        <f t="shared" si="108"/>
        <v>1.5000000000000009</v>
      </c>
      <c r="U83" s="168">
        <f t="shared" si="109"/>
        <v>1.5000000000000009</v>
      </c>
      <c r="V83" s="3">
        <f t="shared" si="81"/>
        <v>4.38923068235664</v>
      </c>
      <c r="Y83" s="3">
        <f t="shared" si="110"/>
        <v>1.5000000000000009</v>
      </c>
      <c r="Z83" s="3">
        <f t="shared" si="111"/>
        <v>1.5000000000000009</v>
      </c>
      <c r="AA83" s="3">
        <f t="shared" si="82"/>
        <v>4.38923068235664</v>
      </c>
      <c r="AD83" s="3">
        <f t="shared" si="112"/>
        <v>1.5000000000000009</v>
      </c>
      <c r="AE83" s="168">
        <f t="shared" si="113"/>
        <v>1.5000000000000009</v>
      </c>
      <c r="AF83" s="3">
        <f t="shared" si="83"/>
        <v>4.38923068235664</v>
      </c>
      <c r="AI83" s="3">
        <f t="shared" si="114"/>
        <v>1.5000000000000009</v>
      </c>
      <c r="AJ83" s="168">
        <f t="shared" si="115"/>
        <v>1.5000000000000009</v>
      </c>
      <c r="AK83" s="3">
        <f t="shared" si="84"/>
        <v>4.38923068235664</v>
      </c>
      <c r="AN83" s="3">
        <f t="shared" si="116"/>
        <v>1.5000000000000009</v>
      </c>
      <c r="AO83" s="3">
        <f t="shared" si="117"/>
        <v>1.5000000000000009</v>
      </c>
      <c r="AP83" s="3">
        <f t="shared" si="85"/>
        <v>4.38923068235664</v>
      </c>
      <c r="AS83" s="3">
        <f t="shared" si="118"/>
        <v>1.5000000000000009</v>
      </c>
      <c r="AT83" s="168">
        <f t="shared" si="119"/>
        <v>1.5000000000000009</v>
      </c>
      <c r="AU83" s="3">
        <f t="shared" si="86"/>
        <v>4.38923068235664</v>
      </c>
      <c r="AX83" s="3">
        <f t="shared" si="120"/>
        <v>1.5000000000000009</v>
      </c>
      <c r="AY83" s="168">
        <f t="shared" si="121"/>
        <v>1.5000000000000009</v>
      </c>
      <c r="AZ83" s="3">
        <f t="shared" si="87"/>
        <v>4.38923068235664</v>
      </c>
      <c r="BC83" s="3">
        <f t="shared" si="122"/>
        <v>1.5000000000000009</v>
      </c>
      <c r="BD83" s="3">
        <f t="shared" si="123"/>
        <v>1.5000000000000009</v>
      </c>
      <c r="BE83" s="3">
        <f t="shared" si="88"/>
        <v>4.38923068235664</v>
      </c>
      <c r="BH83" s="3">
        <f t="shared" si="124"/>
        <v>1.5000000000000009</v>
      </c>
      <c r="BI83" s="168">
        <f t="shared" si="125"/>
        <v>1.5000000000000009</v>
      </c>
      <c r="BJ83" s="3">
        <f t="shared" si="89"/>
        <v>4.38923068235664</v>
      </c>
      <c r="BM83" s="3">
        <f t="shared" si="126"/>
        <v>1.5000000000000009</v>
      </c>
      <c r="BN83" s="168">
        <f t="shared" si="127"/>
        <v>1.5000000000000009</v>
      </c>
      <c r="BO83" s="3">
        <f t="shared" si="90"/>
        <v>4.38923068235664</v>
      </c>
      <c r="BR83" s="3">
        <f t="shared" si="128"/>
        <v>1.5000000000000009</v>
      </c>
      <c r="BS83" s="3">
        <f t="shared" si="129"/>
        <v>1.5000000000000009</v>
      </c>
      <c r="BT83" s="3">
        <f t="shared" si="91"/>
        <v>4.38923068235664</v>
      </c>
      <c r="BW83" s="3">
        <f t="shared" si="130"/>
        <v>1.5000000000000009</v>
      </c>
      <c r="BX83" s="168">
        <f t="shared" si="131"/>
        <v>1.5000000000000009</v>
      </c>
      <c r="BY83" s="3">
        <f t="shared" si="92"/>
        <v>4.38923068235664</v>
      </c>
      <c r="CB83" s="3">
        <f t="shared" si="132"/>
        <v>1.5000000000000009</v>
      </c>
      <c r="CC83" s="168">
        <f t="shared" si="133"/>
        <v>1.5000000000000009</v>
      </c>
      <c r="CD83" s="3">
        <f t="shared" si="93"/>
        <v>4.38923068235664</v>
      </c>
      <c r="CG83" s="3">
        <f t="shared" si="134"/>
        <v>1.5000000000000009</v>
      </c>
      <c r="CH83" s="3">
        <f t="shared" si="135"/>
        <v>1.5000000000000009</v>
      </c>
      <c r="CI83" s="3">
        <f t="shared" si="94"/>
        <v>4.38923068235664</v>
      </c>
      <c r="CL83" s="3">
        <f t="shared" si="136"/>
        <v>1.5000000000000009</v>
      </c>
      <c r="CM83" s="168">
        <f t="shared" si="137"/>
        <v>1.5000000000000009</v>
      </c>
      <c r="CN83" s="3">
        <f t="shared" si="95"/>
        <v>4.38923068235664</v>
      </c>
      <c r="CQ83" s="3">
        <f t="shared" si="138"/>
        <v>1.5000000000000009</v>
      </c>
      <c r="CR83" s="168">
        <f t="shared" si="139"/>
        <v>1.5000000000000009</v>
      </c>
      <c r="CS83" s="3">
        <f t="shared" si="96"/>
        <v>4.38923068235664</v>
      </c>
      <c r="CV83" s="3">
        <f t="shared" si="140"/>
        <v>1.5000000000000009</v>
      </c>
      <c r="CW83" s="3">
        <f t="shared" si="141"/>
        <v>1.5000000000000009</v>
      </c>
      <c r="CX83" s="3">
        <f t="shared" si="97"/>
        <v>4.38923068235664</v>
      </c>
      <c r="DA83" s="3">
        <f t="shared" si="142"/>
        <v>1.5000000000000009</v>
      </c>
      <c r="DB83" s="168">
        <f t="shared" si="143"/>
        <v>1.5000000000000009</v>
      </c>
      <c r="DC83" s="3">
        <f t="shared" si="98"/>
        <v>4.38923068235664</v>
      </c>
      <c r="DF83" s="3">
        <f t="shared" si="144"/>
        <v>1.5000000000000009</v>
      </c>
      <c r="DG83" s="168">
        <f t="shared" si="145"/>
        <v>1.5000000000000009</v>
      </c>
      <c r="DH83" s="3">
        <f t="shared" si="99"/>
        <v>4.38923068235664</v>
      </c>
      <c r="DK83" s="3">
        <f t="shared" si="146"/>
        <v>1.5000000000000009</v>
      </c>
      <c r="DL83" s="3">
        <f t="shared" si="147"/>
        <v>1.5000000000000009</v>
      </c>
      <c r="DM83" s="3">
        <f t="shared" si="100"/>
        <v>4.38923068235664</v>
      </c>
      <c r="DP83" s="3">
        <f t="shared" si="148"/>
        <v>1.5000000000000009</v>
      </c>
      <c r="DQ83" s="168">
        <f t="shared" si="149"/>
        <v>1.5000000000000009</v>
      </c>
      <c r="DR83" s="3">
        <f t="shared" si="101"/>
        <v>4.38923068235664</v>
      </c>
      <c r="DU83" s="3">
        <f t="shared" si="150"/>
        <v>1.5000000000000009</v>
      </c>
      <c r="DV83" s="168">
        <f t="shared" si="151"/>
        <v>1.5000000000000009</v>
      </c>
      <c r="DW83" s="3">
        <f t="shared" si="102"/>
        <v>4.38923068235664</v>
      </c>
      <c r="DZ83" s="3">
        <f t="shared" si="152"/>
        <v>1.5000000000000009</v>
      </c>
      <c r="EA83" s="3">
        <f t="shared" si="153"/>
        <v>1.5000000000000009</v>
      </c>
      <c r="EB83" s="3">
        <f t="shared" si="103"/>
        <v>4.38923068235664</v>
      </c>
      <c r="EE83" s="3">
        <f t="shared" si="154"/>
        <v>1.5000000000000009</v>
      </c>
      <c r="EF83" s="168">
        <f t="shared" si="155"/>
        <v>1.5000000000000009</v>
      </c>
      <c r="EG83" s="3">
        <f t="shared" si="104"/>
        <v>4.38923068235664</v>
      </c>
      <c r="EJ83" s="3">
        <f t="shared" si="156"/>
        <v>1.5000000000000009</v>
      </c>
      <c r="EK83" s="168">
        <f t="shared" si="157"/>
        <v>1.5000000000000009</v>
      </c>
      <c r="EL83" s="3">
        <f t="shared" si="105"/>
        <v>4.38923068235664</v>
      </c>
      <c r="EO83" s="3">
        <f t="shared" si="158"/>
        <v>1.5000000000000009</v>
      </c>
      <c r="EP83" s="3">
        <f t="shared" si="159"/>
        <v>1.5000000000000009</v>
      </c>
      <c r="EQ83" s="3">
        <f t="shared" si="106"/>
        <v>4.38923068235664</v>
      </c>
      <c r="ET83" s="3">
        <f t="shared" si="160"/>
        <v>1.5000000000000009</v>
      </c>
      <c r="EU83" s="168">
        <f t="shared" si="161"/>
        <v>1.5000000000000009</v>
      </c>
      <c r="EV83" s="3">
        <f t="shared" si="107"/>
        <v>4.38923068235664</v>
      </c>
    </row>
    <row r="84" spans="20:152" s="3" customFormat="1" x14ac:dyDescent="0.3">
      <c r="T84" s="3">
        <f t="shared" si="108"/>
        <v>1.5200000000000009</v>
      </c>
      <c r="U84" s="168">
        <f t="shared" si="109"/>
        <v>1.5200000000000009</v>
      </c>
      <c r="V84" s="3">
        <f t="shared" si="81"/>
        <v>4.3421636077965386</v>
      </c>
      <c r="Y84" s="3">
        <f t="shared" si="110"/>
        <v>1.5200000000000009</v>
      </c>
      <c r="Z84" s="3">
        <f t="shared" si="111"/>
        <v>1.5200000000000009</v>
      </c>
      <c r="AA84" s="3">
        <f t="shared" si="82"/>
        <v>4.3421636077965386</v>
      </c>
      <c r="AD84" s="3">
        <f t="shared" si="112"/>
        <v>1.5200000000000009</v>
      </c>
      <c r="AE84" s="168">
        <f t="shared" si="113"/>
        <v>1.5200000000000009</v>
      </c>
      <c r="AF84" s="3">
        <f t="shared" si="83"/>
        <v>4.3421636077965386</v>
      </c>
      <c r="AI84" s="3">
        <f t="shared" si="114"/>
        <v>1.5200000000000009</v>
      </c>
      <c r="AJ84" s="168">
        <f t="shared" si="115"/>
        <v>1.5200000000000009</v>
      </c>
      <c r="AK84" s="3">
        <f t="shared" si="84"/>
        <v>4.3421636077965386</v>
      </c>
      <c r="AN84" s="3">
        <f t="shared" si="116"/>
        <v>1.5200000000000009</v>
      </c>
      <c r="AO84" s="3">
        <f t="shared" si="117"/>
        <v>1.5200000000000009</v>
      </c>
      <c r="AP84" s="3">
        <f t="shared" si="85"/>
        <v>4.3421636077965386</v>
      </c>
      <c r="AS84" s="3">
        <f t="shared" si="118"/>
        <v>1.5200000000000009</v>
      </c>
      <c r="AT84" s="168">
        <f t="shared" si="119"/>
        <v>1.5200000000000009</v>
      </c>
      <c r="AU84" s="3">
        <f t="shared" si="86"/>
        <v>4.3421636077965386</v>
      </c>
      <c r="AX84" s="3">
        <f t="shared" si="120"/>
        <v>1.5200000000000009</v>
      </c>
      <c r="AY84" s="168">
        <f t="shared" si="121"/>
        <v>1.5200000000000009</v>
      </c>
      <c r="AZ84" s="3">
        <f t="shared" si="87"/>
        <v>4.3421636077965386</v>
      </c>
      <c r="BC84" s="3">
        <f t="shared" si="122"/>
        <v>1.5200000000000009</v>
      </c>
      <c r="BD84" s="3">
        <f t="shared" si="123"/>
        <v>1.5200000000000009</v>
      </c>
      <c r="BE84" s="3">
        <f t="shared" si="88"/>
        <v>4.3421636077965386</v>
      </c>
      <c r="BH84" s="3">
        <f t="shared" si="124"/>
        <v>1.5200000000000009</v>
      </c>
      <c r="BI84" s="168">
        <f t="shared" si="125"/>
        <v>1.5200000000000009</v>
      </c>
      <c r="BJ84" s="3">
        <f t="shared" si="89"/>
        <v>4.3421636077965386</v>
      </c>
      <c r="BM84" s="3">
        <f t="shared" si="126"/>
        <v>1.5200000000000009</v>
      </c>
      <c r="BN84" s="168">
        <f t="shared" si="127"/>
        <v>1.5200000000000009</v>
      </c>
      <c r="BO84" s="3">
        <f t="shared" si="90"/>
        <v>4.3421636077965386</v>
      </c>
      <c r="BR84" s="3">
        <f t="shared" si="128"/>
        <v>1.5200000000000009</v>
      </c>
      <c r="BS84" s="3">
        <f t="shared" si="129"/>
        <v>1.5200000000000009</v>
      </c>
      <c r="BT84" s="3">
        <f t="shared" si="91"/>
        <v>4.3421636077965386</v>
      </c>
      <c r="BW84" s="3">
        <f t="shared" si="130"/>
        <v>1.5200000000000009</v>
      </c>
      <c r="BX84" s="168">
        <f t="shared" si="131"/>
        <v>1.5200000000000009</v>
      </c>
      <c r="BY84" s="3">
        <f t="shared" si="92"/>
        <v>4.3421636077965386</v>
      </c>
      <c r="CB84" s="3">
        <f t="shared" si="132"/>
        <v>1.5200000000000009</v>
      </c>
      <c r="CC84" s="168">
        <f t="shared" si="133"/>
        <v>1.5200000000000009</v>
      </c>
      <c r="CD84" s="3">
        <f t="shared" si="93"/>
        <v>4.3421636077965386</v>
      </c>
      <c r="CG84" s="3">
        <f t="shared" si="134"/>
        <v>1.5200000000000009</v>
      </c>
      <c r="CH84" s="3">
        <f t="shared" si="135"/>
        <v>1.5200000000000009</v>
      </c>
      <c r="CI84" s="3">
        <f t="shared" si="94"/>
        <v>4.3421636077965386</v>
      </c>
      <c r="CL84" s="3">
        <f t="shared" si="136"/>
        <v>1.5200000000000009</v>
      </c>
      <c r="CM84" s="168">
        <f t="shared" si="137"/>
        <v>1.5200000000000009</v>
      </c>
      <c r="CN84" s="3">
        <f t="shared" si="95"/>
        <v>4.3421636077965386</v>
      </c>
      <c r="CQ84" s="3">
        <f t="shared" si="138"/>
        <v>1.5200000000000009</v>
      </c>
      <c r="CR84" s="168">
        <f t="shared" si="139"/>
        <v>1.5200000000000009</v>
      </c>
      <c r="CS84" s="3">
        <f t="shared" si="96"/>
        <v>4.3421636077965386</v>
      </c>
      <c r="CV84" s="3">
        <f t="shared" si="140"/>
        <v>1.5200000000000009</v>
      </c>
      <c r="CW84" s="3">
        <f t="shared" si="141"/>
        <v>1.5200000000000009</v>
      </c>
      <c r="CX84" s="3">
        <f t="shared" si="97"/>
        <v>4.3421636077965386</v>
      </c>
      <c r="DA84" s="3">
        <f t="shared" si="142"/>
        <v>1.5200000000000009</v>
      </c>
      <c r="DB84" s="168">
        <f t="shared" si="143"/>
        <v>1.5200000000000009</v>
      </c>
      <c r="DC84" s="3">
        <f t="shared" si="98"/>
        <v>4.3421636077965386</v>
      </c>
      <c r="DF84" s="3">
        <f t="shared" si="144"/>
        <v>1.5200000000000009</v>
      </c>
      <c r="DG84" s="168">
        <f t="shared" si="145"/>
        <v>1.5200000000000009</v>
      </c>
      <c r="DH84" s="3">
        <f t="shared" si="99"/>
        <v>4.3421636077965386</v>
      </c>
      <c r="DK84" s="3">
        <f t="shared" si="146"/>
        <v>1.5200000000000009</v>
      </c>
      <c r="DL84" s="3">
        <f t="shared" si="147"/>
        <v>1.5200000000000009</v>
      </c>
      <c r="DM84" s="3">
        <f t="shared" si="100"/>
        <v>4.3421636077965386</v>
      </c>
      <c r="DP84" s="3">
        <f t="shared" si="148"/>
        <v>1.5200000000000009</v>
      </c>
      <c r="DQ84" s="168">
        <f t="shared" si="149"/>
        <v>1.5200000000000009</v>
      </c>
      <c r="DR84" s="3">
        <f t="shared" si="101"/>
        <v>4.3421636077965386</v>
      </c>
      <c r="DU84" s="3">
        <f t="shared" si="150"/>
        <v>1.5200000000000009</v>
      </c>
      <c r="DV84" s="168">
        <f t="shared" si="151"/>
        <v>1.5200000000000009</v>
      </c>
      <c r="DW84" s="3">
        <f t="shared" si="102"/>
        <v>4.3421636077965386</v>
      </c>
      <c r="DZ84" s="3">
        <f t="shared" si="152"/>
        <v>1.5200000000000009</v>
      </c>
      <c r="EA84" s="3">
        <f t="shared" si="153"/>
        <v>1.5200000000000009</v>
      </c>
      <c r="EB84" s="3">
        <f t="shared" si="103"/>
        <v>4.3421636077965386</v>
      </c>
      <c r="EE84" s="3">
        <f t="shared" si="154"/>
        <v>1.5200000000000009</v>
      </c>
      <c r="EF84" s="168">
        <f t="shared" si="155"/>
        <v>1.5200000000000009</v>
      </c>
      <c r="EG84" s="3">
        <f t="shared" si="104"/>
        <v>4.3421636077965386</v>
      </c>
      <c r="EJ84" s="3">
        <f t="shared" si="156"/>
        <v>1.5200000000000009</v>
      </c>
      <c r="EK84" s="168">
        <f t="shared" si="157"/>
        <v>1.5200000000000009</v>
      </c>
      <c r="EL84" s="3">
        <f t="shared" si="105"/>
        <v>4.3421636077965386</v>
      </c>
      <c r="EO84" s="3">
        <f t="shared" si="158"/>
        <v>1.5200000000000009</v>
      </c>
      <c r="EP84" s="3">
        <f t="shared" si="159"/>
        <v>1.5200000000000009</v>
      </c>
      <c r="EQ84" s="3">
        <f t="shared" si="106"/>
        <v>4.3421636077965386</v>
      </c>
      <c r="ET84" s="3">
        <f t="shared" si="160"/>
        <v>1.5200000000000009</v>
      </c>
      <c r="EU84" s="168">
        <f t="shared" si="161"/>
        <v>1.5200000000000009</v>
      </c>
      <c r="EV84" s="3">
        <f t="shared" si="107"/>
        <v>4.3421636077965386</v>
      </c>
    </row>
    <row r="85" spans="20:152" s="3" customFormat="1" x14ac:dyDescent="0.3">
      <c r="T85" s="3">
        <f t="shared" si="108"/>
        <v>1.5400000000000009</v>
      </c>
      <c r="U85" s="168">
        <f t="shared" si="109"/>
        <v>1.5400000000000009</v>
      </c>
      <c r="V85" s="3">
        <f t="shared" si="81"/>
        <v>4.2923880205085885</v>
      </c>
      <c r="Y85" s="3">
        <f t="shared" si="110"/>
        <v>1.5400000000000009</v>
      </c>
      <c r="Z85" s="3">
        <f t="shared" si="111"/>
        <v>1.5400000000000009</v>
      </c>
      <c r="AA85" s="3">
        <f t="shared" si="82"/>
        <v>4.2923880205085885</v>
      </c>
      <c r="AD85" s="3">
        <f t="shared" si="112"/>
        <v>1.5400000000000009</v>
      </c>
      <c r="AE85" s="168">
        <f t="shared" si="113"/>
        <v>1.5400000000000009</v>
      </c>
      <c r="AF85" s="3">
        <f t="shared" si="83"/>
        <v>4.2923880205085885</v>
      </c>
      <c r="AI85" s="3">
        <f t="shared" si="114"/>
        <v>1.5400000000000009</v>
      </c>
      <c r="AJ85" s="168">
        <f t="shared" si="115"/>
        <v>1.5400000000000009</v>
      </c>
      <c r="AK85" s="3">
        <f t="shared" si="84"/>
        <v>4.2923880205085885</v>
      </c>
      <c r="AN85" s="3">
        <f t="shared" si="116"/>
        <v>1.5400000000000009</v>
      </c>
      <c r="AO85" s="3">
        <f t="shared" si="117"/>
        <v>1.5400000000000009</v>
      </c>
      <c r="AP85" s="3">
        <f t="shared" si="85"/>
        <v>4.2923880205085885</v>
      </c>
      <c r="AS85" s="3">
        <f t="shared" si="118"/>
        <v>1.5400000000000009</v>
      </c>
      <c r="AT85" s="168">
        <f t="shared" si="119"/>
        <v>1.5400000000000009</v>
      </c>
      <c r="AU85" s="3">
        <f t="shared" si="86"/>
        <v>4.2923880205085885</v>
      </c>
      <c r="AX85" s="3">
        <f t="shared" si="120"/>
        <v>1.5400000000000009</v>
      </c>
      <c r="AY85" s="168">
        <f t="shared" si="121"/>
        <v>1.5400000000000009</v>
      </c>
      <c r="AZ85" s="3">
        <f t="shared" si="87"/>
        <v>4.2923880205085885</v>
      </c>
      <c r="BC85" s="3">
        <f t="shared" si="122"/>
        <v>1.5400000000000009</v>
      </c>
      <c r="BD85" s="3">
        <f t="shared" si="123"/>
        <v>1.5400000000000009</v>
      </c>
      <c r="BE85" s="3">
        <f t="shared" si="88"/>
        <v>4.2923880205085885</v>
      </c>
      <c r="BH85" s="3">
        <f t="shared" si="124"/>
        <v>1.5400000000000009</v>
      </c>
      <c r="BI85" s="168">
        <f t="shared" si="125"/>
        <v>1.5400000000000009</v>
      </c>
      <c r="BJ85" s="3">
        <f t="shared" si="89"/>
        <v>4.2923880205085885</v>
      </c>
      <c r="BM85" s="3">
        <f t="shared" si="126"/>
        <v>1.5400000000000009</v>
      </c>
      <c r="BN85" s="168">
        <f t="shared" si="127"/>
        <v>1.5400000000000009</v>
      </c>
      <c r="BO85" s="3">
        <f t="shared" si="90"/>
        <v>4.2923880205085885</v>
      </c>
      <c r="BR85" s="3">
        <f t="shared" si="128"/>
        <v>1.5400000000000009</v>
      </c>
      <c r="BS85" s="3">
        <f t="shared" si="129"/>
        <v>1.5400000000000009</v>
      </c>
      <c r="BT85" s="3">
        <f t="shared" si="91"/>
        <v>4.2923880205085885</v>
      </c>
      <c r="BW85" s="3">
        <f t="shared" si="130"/>
        <v>1.5400000000000009</v>
      </c>
      <c r="BX85" s="168">
        <f t="shared" si="131"/>
        <v>1.5400000000000009</v>
      </c>
      <c r="BY85" s="3">
        <f t="shared" si="92"/>
        <v>4.2923880205085885</v>
      </c>
      <c r="CB85" s="3">
        <f t="shared" si="132"/>
        <v>1.5400000000000009</v>
      </c>
      <c r="CC85" s="168">
        <f t="shared" si="133"/>
        <v>1.5400000000000009</v>
      </c>
      <c r="CD85" s="3">
        <f t="shared" si="93"/>
        <v>4.2923880205085885</v>
      </c>
      <c r="CG85" s="3">
        <f t="shared" si="134"/>
        <v>1.5400000000000009</v>
      </c>
      <c r="CH85" s="3">
        <f t="shared" si="135"/>
        <v>1.5400000000000009</v>
      </c>
      <c r="CI85" s="3">
        <f t="shared" si="94"/>
        <v>4.2923880205085885</v>
      </c>
      <c r="CL85" s="3">
        <f t="shared" si="136"/>
        <v>1.5400000000000009</v>
      </c>
      <c r="CM85" s="168">
        <f t="shared" si="137"/>
        <v>1.5400000000000009</v>
      </c>
      <c r="CN85" s="3">
        <f t="shared" si="95"/>
        <v>4.2923880205085885</v>
      </c>
      <c r="CQ85" s="3">
        <f t="shared" si="138"/>
        <v>1.5400000000000009</v>
      </c>
      <c r="CR85" s="168">
        <f t="shared" si="139"/>
        <v>1.5400000000000009</v>
      </c>
      <c r="CS85" s="3">
        <f t="shared" si="96"/>
        <v>4.2923880205085885</v>
      </c>
      <c r="CV85" s="3">
        <f t="shared" si="140"/>
        <v>1.5400000000000009</v>
      </c>
      <c r="CW85" s="3">
        <f t="shared" si="141"/>
        <v>1.5400000000000009</v>
      </c>
      <c r="CX85" s="3">
        <f t="shared" si="97"/>
        <v>4.2923880205085885</v>
      </c>
      <c r="DA85" s="3">
        <f t="shared" si="142"/>
        <v>1.5400000000000009</v>
      </c>
      <c r="DB85" s="168">
        <f t="shared" si="143"/>
        <v>1.5400000000000009</v>
      </c>
      <c r="DC85" s="3">
        <f t="shared" si="98"/>
        <v>4.2923880205085885</v>
      </c>
      <c r="DF85" s="3">
        <f t="shared" si="144"/>
        <v>1.5400000000000009</v>
      </c>
      <c r="DG85" s="168">
        <f t="shared" si="145"/>
        <v>1.5400000000000009</v>
      </c>
      <c r="DH85" s="3">
        <f t="shared" si="99"/>
        <v>4.2923880205085885</v>
      </c>
      <c r="DK85" s="3">
        <f t="shared" si="146"/>
        <v>1.5400000000000009</v>
      </c>
      <c r="DL85" s="3">
        <f t="shared" si="147"/>
        <v>1.5400000000000009</v>
      </c>
      <c r="DM85" s="3">
        <f t="shared" si="100"/>
        <v>4.2923880205085885</v>
      </c>
      <c r="DP85" s="3">
        <f t="shared" si="148"/>
        <v>1.5400000000000009</v>
      </c>
      <c r="DQ85" s="168">
        <f t="shared" si="149"/>
        <v>1.5400000000000009</v>
      </c>
      <c r="DR85" s="3">
        <f t="shared" si="101"/>
        <v>4.2923880205085885</v>
      </c>
      <c r="DU85" s="3">
        <f t="shared" si="150"/>
        <v>1.5400000000000009</v>
      </c>
      <c r="DV85" s="168">
        <f t="shared" si="151"/>
        <v>1.5400000000000009</v>
      </c>
      <c r="DW85" s="3">
        <f t="shared" si="102"/>
        <v>4.2923880205085885</v>
      </c>
      <c r="DZ85" s="3">
        <f t="shared" si="152"/>
        <v>1.5400000000000009</v>
      </c>
      <c r="EA85" s="3">
        <f t="shared" si="153"/>
        <v>1.5400000000000009</v>
      </c>
      <c r="EB85" s="3">
        <f t="shared" si="103"/>
        <v>4.2923880205085885</v>
      </c>
      <c r="EE85" s="3">
        <f t="shared" si="154"/>
        <v>1.5400000000000009</v>
      </c>
      <c r="EF85" s="168">
        <f t="shared" si="155"/>
        <v>1.5400000000000009</v>
      </c>
      <c r="EG85" s="3">
        <f t="shared" si="104"/>
        <v>4.2923880205085885</v>
      </c>
      <c r="EJ85" s="3">
        <f t="shared" si="156"/>
        <v>1.5400000000000009</v>
      </c>
      <c r="EK85" s="168">
        <f t="shared" si="157"/>
        <v>1.5400000000000009</v>
      </c>
      <c r="EL85" s="3">
        <f t="shared" si="105"/>
        <v>4.2923880205085885</v>
      </c>
      <c r="EO85" s="3">
        <f t="shared" si="158"/>
        <v>1.5400000000000009</v>
      </c>
      <c r="EP85" s="3">
        <f t="shared" si="159"/>
        <v>1.5400000000000009</v>
      </c>
      <c r="EQ85" s="3">
        <f t="shared" si="106"/>
        <v>4.2923880205085885</v>
      </c>
      <c r="ET85" s="3">
        <f t="shared" si="160"/>
        <v>1.5400000000000009</v>
      </c>
      <c r="EU85" s="168">
        <f t="shared" si="161"/>
        <v>1.5400000000000009</v>
      </c>
      <c r="EV85" s="3">
        <f t="shared" si="107"/>
        <v>4.2923880205085885</v>
      </c>
    </row>
    <row r="86" spans="20:152" s="3" customFormat="1" x14ac:dyDescent="0.3">
      <c r="T86" s="3">
        <f t="shared" si="108"/>
        <v>1.5600000000000009</v>
      </c>
      <c r="U86" s="168">
        <f t="shared" si="109"/>
        <v>1.5600000000000009</v>
      </c>
      <c r="V86" s="3">
        <f t="shared" si="81"/>
        <v>4.2399039204927975</v>
      </c>
      <c r="Y86" s="3">
        <f t="shared" si="110"/>
        <v>1.5600000000000009</v>
      </c>
      <c r="Z86" s="3">
        <f t="shared" si="111"/>
        <v>1.5600000000000009</v>
      </c>
      <c r="AA86" s="3">
        <f t="shared" si="82"/>
        <v>4.2399039204927975</v>
      </c>
      <c r="AD86" s="3">
        <f t="shared" si="112"/>
        <v>1.5600000000000009</v>
      </c>
      <c r="AE86" s="168">
        <f t="shared" si="113"/>
        <v>1.5600000000000009</v>
      </c>
      <c r="AF86" s="3">
        <f t="shared" si="83"/>
        <v>4.2399039204927975</v>
      </c>
      <c r="AI86" s="3">
        <f t="shared" si="114"/>
        <v>1.5600000000000009</v>
      </c>
      <c r="AJ86" s="168">
        <f t="shared" si="115"/>
        <v>1.5600000000000009</v>
      </c>
      <c r="AK86" s="3">
        <f t="shared" si="84"/>
        <v>4.2399039204927975</v>
      </c>
      <c r="AN86" s="3">
        <f t="shared" si="116"/>
        <v>1.5600000000000009</v>
      </c>
      <c r="AO86" s="3">
        <f t="shared" si="117"/>
        <v>1.5600000000000009</v>
      </c>
      <c r="AP86" s="3">
        <f t="shared" si="85"/>
        <v>4.2399039204927975</v>
      </c>
      <c r="AS86" s="3">
        <f t="shared" si="118"/>
        <v>1.5600000000000009</v>
      </c>
      <c r="AT86" s="168">
        <f t="shared" si="119"/>
        <v>1.5600000000000009</v>
      </c>
      <c r="AU86" s="3">
        <f t="shared" si="86"/>
        <v>4.2399039204927975</v>
      </c>
      <c r="AX86" s="3">
        <f t="shared" si="120"/>
        <v>1.5600000000000009</v>
      </c>
      <c r="AY86" s="168">
        <f t="shared" si="121"/>
        <v>1.5600000000000009</v>
      </c>
      <c r="AZ86" s="3">
        <f t="shared" si="87"/>
        <v>4.2399039204927975</v>
      </c>
      <c r="BC86" s="3">
        <f t="shared" si="122"/>
        <v>1.5600000000000009</v>
      </c>
      <c r="BD86" s="3">
        <f t="shared" si="123"/>
        <v>1.5600000000000009</v>
      </c>
      <c r="BE86" s="3">
        <f t="shared" si="88"/>
        <v>4.2399039204927975</v>
      </c>
      <c r="BH86" s="3">
        <f t="shared" si="124"/>
        <v>1.5600000000000009</v>
      </c>
      <c r="BI86" s="168">
        <f t="shared" si="125"/>
        <v>1.5600000000000009</v>
      </c>
      <c r="BJ86" s="3">
        <f t="shared" si="89"/>
        <v>4.2399039204927975</v>
      </c>
      <c r="BM86" s="3">
        <f t="shared" si="126"/>
        <v>1.5600000000000009</v>
      </c>
      <c r="BN86" s="168">
        <f t="shared" si="127"/>
        <v>1.5600000000000009</v>
      </c>
      <c r="BO86" s="3">
        <f t="shared" si="90"/>
        <v>4.2399039204927975</v>
      </c>
      <c r="BR86" s="3">
        <f t="shared" si="128"/>
        <v>1.5600000000000009</v>
      </c>
      <c r="BS86" s="3">
        <f t="shared" si="129"/>
        <v>1.5600000000000009</v>
      </c>
      <c r="BT86" s="3">
        <f t="shared" si="91"/>
        <v>4.2399039204927975</v>
      </c>
      <c r="BW86" s="3">
        <f t="shared" si="130"/>
        <v>1.5600000000000009</v>
      </c>
      <c r="BX86" s="168">
        <f t="shared" si="131"/>
        <v>1.5600000000000009</v>
      </c>
      <c r="BY86" s="3">
        <f t="shared" si="92"/>
        <v>4.2399039204927975</v>
      </c>
      <c r="CB86" s="3">
        <f t="shared" si="132"/>
        <v>1.5600000000000009</v>
      </c>
      <c r="CC86" s="168">
        <f t="shared" si="133"/>
        <v>1.5600000000000009</v>
      </c>
      <c r="CD86" s="3">
        <f t="shared" si="93"/>
        <v>4.2399039204927975</v>
      </c>
      <c r="CG86" s="3">
        <f t="shared" si="134"/>
        <v>1.5600000000000009</v>
      </c>
      <c r="CH86" s="3">
        <f t="shared" si="135"/>
        <v>1.5600000000000009</v>
      </c>
      <c r="CI86" s="3">
        <f t="shared" si="94"/>
        <v>4.2399039204927975</v>
      </c>
      <c r="CL86" s="3">
        <f t="shared" si="136"/>
        <v>1.5600000000000009</v>
      </c>
      <c r="CM86" s="168">
        <f t="shared" si="137"/>
        <v>1.5600000000000009</v>
      </c>
      <c r="CN86" s="3">
        <f t="shared" si="95"/>
        <v>4.2399039204927975</v>
      </c>
      <c r="CQ86" s="3">
        <f t="shared" si="138"/>
        <v>1.5600000000000009</v>
      </c>
      <c r="CR86" s="168">
        <f t="shared" si="139"/>
        <v>1.5600000000000009</v>
      </c>
      <c r="CS86" s="3">
        <f t="shared" si="96"/>
        <v>4.2399039204927975</v>
      </c>
      <c r="CV86" s="3">
        <f t="shared" si="140"/>
        <v>1.5600000000000009</v>
      </c>
      <c r="CW86" s="3">
        <f t="shared" si="141"/>
        <v>1.5600000000000009</v>
      </c>
      <c r="CX86" s="3">
        <f t="shared" si="97"/>
        <v>4.2399039204927975</v>
      </c>
      <c r="DA86" s="3">
        <f t="shared" si="142"/>
        <v>1.5600000000000009</v>
      </c>
      <c r="DB86" s="168">
        <f t="shared" si="143"/>
        <v>1.5600000000000009</v>
      </c>
      <c r="DC86" s="3">
        <f t="shared" si="98"/>
        <v>4.2399039204927975</v>
      </c>
      <c r="DF86" s="3">
        <f t="shared" si="144"/>
        <v>1.5600000000000009</v>
      </c>
      <c r="DG86" s="168">
        <f t="shared" si="145"/>
        <v>1.5600000000000009</v>
      </c>
      <c r="DH86" s="3">
        <f t="shared" si="99"/>
        <v>4.2399039204927975</v>
      </c>
      <c r="DK86" s="3">
        <f t="shared" si="146"/>
        <v>1.5600000000000009</v>
      </c>
      <c r="DL86" s="3">
        <f t="shared" si="147"/>
        <v>1.5600000000000009</v>
      </c>
      <c r="DM86" s="3">
        <f t="shared" si="100"/>
        <v>4.2399039204927975</v>
      </c>
      <c r="DP86" s="3">
        <f t="shared" si="148"/>
        <v>1.5600000000000009</v>
      </c>
      <c r="DQ86" s="168">
        <f t="shared" si="149"/>
        <v>1.5600000000000009</v>
      </c>
      <c r="DR86" s="3">
        <f t="shared" si="101"/>
        <v>4.2399039204927975</v>
      </c>
      <c r="DU86" s="3">
        <f t="shared" si="150"/>
        <v>1.5600000000000009</v>
      </c>
      <c r="DV86" s="168">
        <f t="shared" si="151"/>
        <v>1.5600000000000009</v>
      </c>
      <c r="DW86" s="3">
        <f t="shared" si="102"/>
        <v>4.2399039204927975</v>
      </c>
      <c r="DZ86" s="3">
        <f t="shared" si="152"/>
        <v>1.5600000000000009</v>
      </c>
      <c r="EA86" s="3">
        <f t="shared" si="153"/>
        <v>1.5600000000000009</v>
      </c>
      <c r="EB86" s="3">
        <f t="shared" si="103"/>
        <v>4.2399039204927975</v>
      </c>
      <c r="EE86" s="3">
        <f t="shared" si="154"/>
        <v>1.5600000000000009</v>
      </c>
      <c r="EF86" s="168">
        <f t="shared" si="155"/>
        <v>1.5600000000000009</v>
      </c>
      <c r="EG86" s="3">
        <f t="shared" si="104"/>
        <v>4.2399039204927975</v>
      </c>
      <c r="EJ86" s="3">
        <f t="shared" si="156"/>
        <v>1.5600000000000009</v>
      </c>
      <c r="EK86" s="168">
        <f t="shared" si="157"/>
        <v>1.5600000000000009</v>
      </c>
      <c r="EL86" s="3">
        <f t="shared" si="105"/>
        <v>4.2399039204927975</v>
      </c>
      <c r="EO86" s="3">
        <f t="shared" si="158"/>
        <v>1.5600000000000009</v>
      </c>
      <c r="EP86" s="3">
        <f t="shared" si="159"/>
        <v>1.5600000000000009</v>
      </c>
      <c r="EQ86" s="3">
        <f t="shared" si="106"/>
        <v>4.2399039204927975</v>
      </c>
      <c r="ET86" s="3">
        <f t="shared" si="160"/>
        <v>1.5600000000000009</v>
      </c>
      <c r="EU86" s="168">
        <f t="shared" si="161"/>
        <v>1.5600000000000009</v>
      </c>
      <c r="EV86" s="3">
        <f t="shared" si="107"/>
        <v>4.2399039204927975</v>
      </c>
    </row>
    <row r="87" spans="20:152" s="3" customFormat="1" x14ac:dyDescent="0.3">
      <c r="T87" s="3">
        <f t="shared" si="108"/>
        <v>1.580000000000001</v>
      </c>
      <c r="U87" s="168">
        <f t="shared" si="109"/>
        <v>1.580000000000001</v>
      </c>
      <c r="V87" s="3">
        <f t="shared" si="81"/>
        <v>4.1847113077491533</v>
      </c>
      <c r="Y87" s="3">
        <f t="shared" si="110"/>
        <v>1.580000000000001</v>
      </c>
      <c r="Z87" s="3">
        <f t="shared" si="111"/>
        <v>1.580000000000001</v>
      </c>
      <c r="AA87" s="3">
        <f t="shared" si="82"/>
        <v>4.1847113077491533</v>
      </c>
      <c r="AD87" s="3">
        <f t="shared" si="112"/>
        <v>1.580000000000001</v>
      </c>
      <c r="AE87" s="168">
        <f t="shared" si="113"/>
        <v>1.580000000000001</v>
      </c>
      <c r="AF87" s="3">
        <f t="shared" si="83"/>
        <v>4.1847113077491533</v>
      </c>
      <c r="AI87" s="3">
        <f t="shared" si="114"/>
        <v>1.580000000000001</v>
      </c>
      <c r="AJ87" s="168">
        <f t="shared" si="115"/>
        <v>1.580000000000001</v>
      </c>
      <c r="AK87" s="3">
        <f t="shared" si="84"/>
        <v>4.1847113077491533</v>
      </c>
      <c r="AN87" s="3">
        <f t="shared" si="116"/>
        <v>1.580000000000001</v>
      </c>
      <c r="AO87" s="3">
        <f t="shared" si="117"/>
        <v>1.580000000000001</v>
      </c>
      <c r="AP87" s="3">
        <f t="shared" si="85"/>
        <v>4.1847113077491533</v>
      </c>
      <c r="AS87" s="3">
        <f t="shared" si="118"/>
        <v>1.580000000000001</v>
      </c>
      <c r="AT87" s="168">
        <f t="shared" si="119"/>
        <v>1.580000000000001</v>
      </c>
      <c r="AU87" s="3">
        <f t="shared" si="86"/>
        <v>4.1847113077491533</v>
      </c>
      <c r="AX87" s="3">
        <f t="shared" si="120"/>
        <v>1.580000000000001</v>
      </c>
      <c r="AY87" s="168">
        <f t="shared" si="121"/>
        <v>1.580000000000001</v>
      </c>
      <c r="AZ87" s="3">
        <f t="shared" si="87"/>
        <v>4.1847113077491533</v>
      </c>
      <c r="BC87" s="3">
        <f t="shared" si="122"/>
        <v>1.580000000000001</v>
      </c>
      <c r="BD87" s="3">
        <f t="shared" si="123"/>
        <v>1.580000000000001</v>
      </c>
      <c r="BE87" s="3">
        <f t="shared" si="88"/>
        <v>4.1847113077491533</v>
      </c>
      <c r="BH87" s="3">
        <f t="shared" si="124"/>
        <v>1.580000000000001</v>
      </c>
      <c r="BI87" s="168">
        <f t="shared" si="125"/>
        <v>1.580000000000001</v>
      </c>
      <c r="BJ87" s="3">
        <f t="shared" si="89"/>
        <v>4.1847113077491533</v>
      </c>
      <c r="BM87" s="3">
        <f t="shared" si="126"/>
        <v>1.580000000000001</v>
      </c>
      <c r="BN87" s="168">
        <f t="shared" si="127"/>
        <v>1.580000000000001</v>
      </c>
      <c r="BO87" s="3">
        <f t="shared" si="90"/>
        <v>4.1847113077491533</v>
      </c>
      <c r="BR87" s="3">
        <f t="shared" si="128"/>
        <v>1.580000000000001</v>
      </c>
      <c r="BS87" s="3">
        <f t="shared" si="129"/>
        <v>1.580000000000001</v>
      </c>
      <c r="BT87" s="3">
        <f t="shared" si="91"/>
        <v>4.1847113077491533</v>
      </c>
      <c r="BW87" s="3">
        <f t="shared" si="130"/>
        <v>1.580000000000001</v>
      </c>
      <c r="BX87" s="168">
        <f t="shared" si="131"/>
        <v>1.580000000000001</v>
      </c>
      <c r="BY87" s="3">
        <f t="shared" si="92"/>
        <v>4.1847113077491533</v>
      </c>
      <c r="CB87" s="3">
        <f t="shared" si="132"/>
        <v>1.580000000000001</v>
      </c>
      <c r="CC87" s="168">
        <f t="shared" si="133"/>
        <v>1.580000000000001</v>
      </c>
      <c r="CD87" s="3">
        <f t="shared" si="93"/>
        <v>4.1847113077491533</v>
      </c>
      <c r="CG87" s="3">
        <f t="shared" si="134"/>
        <v>1.580000000000001</v>
      </c>
      <c r="CH87" s="3">
        <f t="shared" si="135"/>
        <v>1.580000000000001</v>
      </c>
      <c r="CI87" s="3">
        <f t="shared" si="94"/>
        <v>4.1847113077491533</v>
      </c>
      <c r="CL87" s="3">
        <f t="shared" si="136"/>
        <v>1.580000000000001</v>
      </c>
      <c r="CM87" s="168">
        <f t="shared" si="137"/>
        <v>1.580000000000001</v>
      </c>
      <c r="CN87" s="3">
        <f t="shared" si="95"/>
        <v>4.1847113077491533</v>
      </c>
      <c r="CQ87" s="3">
        <f t="shared" si="138"/>
        <v>1.580000000000001</v>
      </c>
      <c r="CR87" s="168">
        <f t="shared" si="139"/>
        <v>1.580000000000001</v>
      </c>
      <c r="CS87" s="3">
        <f t="shared" si="96"/>
        <v>4.1847113077491533</v>
      </c>
      <c r="CV87" s="3">
        <f t="shared" si="140"/>
        <v>1.580000000000001</v>
      </c>
      <c r="CW87" s="3">
        <f t="shared" si="141"/>
        <v>1.580000000000001</v>
      </c>
      <c r="CX87" s="3">
        <f t="shared" si="97"/>
        <v>4.1847113077491533</v>
      </c>
      <c r="DA87" s="3">
        <f t="shared" si="142"/>
        <v>1.580000000000001</v>
      </c>
      <c r="DB87" s="168">
        <f t="shared" si="143"/>
        <v>1.580000000000001</v>
      </c>
      <c r="DC87" s="3">
        <f t="shared" si="98"/>
        <v>4.1847113077491533</v>
      </c>
      <c r="DF87" s="3">
        <f t="shared" si="144"/>
        <v>1.580000000000001</v>
      </c>
      <c r="DG87" s="168">
        <f t="shared" si="145"/>
        <v>1.580000000000001</v>
      </c>
      <c r="DH87" s="3">
        <f t="shared" si="99"/>
        <v>4.1847113077491533</v>
      </c>
      <c r="DK87" s="3">
        <f t="shared" si="146"/>
        <v>1.580000000000001</v>
      </c>
      <c r="DL87" s="3">
        <f t="shared" si="147"/>
        <v>1.580000000000001</v>
      </c>
      <c r="DM87" s="3">
        <f t="shared" si="100"/>
        <v>4.1847113077491533</v>
      </c>
      <c r="DP87" s="3">
        <f t="shared" si="148"/>
        <v>1.580000000000001</v>
      </c>
      <c r="DQ87" s="168">
        <f t="shared" si="149"/>
        <v>1.580000000000001</v>
      </c>
      <c r="DR87" s="3">
        <f t="shared" si="101"/>
        <v>4.1847113077491533</v>
      </c>
      <c r="DU87" s="3">
        <f t="shared" si="150"/>
        <v>1.580000000000001</v>
      </c>
      <c r="DV87" s="168">
        <f t="shared" si="151"/>
        <v>1.580000000000001</v>
      </c>
      <c r="DW87" s="3">
        <f t="shared" si="102"/>
        <v>4.1847113077491533</v>
      </c>
      <c r="DZ87" s="3">
        <f t="shared" si="152"/>
        <v>1.580000000000001</v>
      </c>
      <c r="EA87" s="3">
        <f t="shared" si="153"/>
        <v>1.580000000000001</v>
      </c>
      <c r="EB87" s="3">
        <f t="shared" si="103"/>
        <v>4.1847113077491533</v>
      </c>
      <c r="EE87" s="3">
        <f t="shared" si="154"/>
        <v>1.580000000000001</v>
      </c>
      <c r="EF87" s="168">
        <f t="shared" si="155"/>
        <v>1.580000000000001</v>
      </c>
      <c r="EG87" s="3">
        <f t="shared" si="104"/>
        <v>4.1847113077491533</v>
      </c>
      <c r="EJ87" s="3">
        <f t="shared" si="156"/>
        <v>1.580000000000001</v>
      </c>
      <c r="EK87" s="168">
        <f t="shared" si="157"/>
        <v>1.580000000000001</v>
      </c>
      <c r="EL87" s="3">
        <f t="shared" si="105"/>
        <v>4.1847113077491533</v>
      </c>
      <c r="EO87" s="3">
        <f t="shared" si="158"/>
        <v>1.580000000000001</v>
      </c>
      <c r="EP87" s="3">
        <f t="shared" si="159"/>
        <v>1.580000000000001</v>
      </c>
      <c r="EQ87" s="3">
        <f t="shared" si="106"/>
        <v>4.1847113077491533</v>
      </c>
      <c r="ET87" s="3">
        <f t="shared" si="160"/>
        <v>1.580000000000001</v>
      </c>
      <c r="EU87" s="168">
        <f t="shared" si="161"/>
        <v>1.580000000000001</v>
      </c>
      <c r="EV87" s="3">
        <f t="shared" si="107"/>
        <v>4.1847113077491533</v>
      </c>
    </row>
    <row r="88" spans="20:152" s="3" customFormat="1" x14ac:dyDescent="0.3">
      <c r="T88" s="3">
        <f t="shared" si="108"/>
        <v>1.600000000000001</v>
      </c>
      <c r="U88" s="168">
        <f t="shared" si="109"/>
        <v>1.600000000000001</v>
      </c>
      <c r="V88" s="3">
        <f t="shared" si="81"/>
        <v>4.1268101822776631</v>
      </c>
      <c r="Y88" s="3">
        <f t="shared" si="110"/>
        <v>1.600000000000001</v>
      </c>
      <c r="Z88" s="3">
        <f t="shared" si="111"/>
        <v>1.600000000000001</v>
      </c>
      <c r="AA88" s="3">
        <f t="shared" si="82"/>
        <v>4.1268101822776631</v>
      </c>
      <c r="AD88" s="3">
        <f t="shared" si="112"/>
        <v>1.600000000000001</v>
      </c>
      <c r="AE88" s="168">
        <f t="shared" si="113"/>
        <v>1.600000000000001</v>
      </c>
      <c r="AF88" s="3">
        <f t="shared" si="83"/>
        <v>4.1268101822776631</v>
      </c>
      <c r="AI88" s="3">
        <f t="shared" si="114"/>
        <v>1.600000000000001</v>
      </c>
      <c r="AJ88" s="168">
        <f t="shared" si="115"/>
        <v>1.600000000000001</v>
      </c>
      <c r="AK88" s="3">
        <f t="shared" si="84"/>
        <v>4.1268101822776631</v>
      </c>
      <c r="AN88" s="3">
        <f t="shared" si="116"/>
        <v>1.600000000000001</v>
      </c>
      <c r="AO88" s="3">
        <f t="shared" si="117"/>
        <v>1.600000000000001</v>
      </c>
      <c r="AP88" s="3">
        <f t="shared" si="85"/>
        <v>4.1268101822776631</v>
      </c>
      <c r="AS88" s="3">
        <f t="shared" si="118"/>
        <v>1.600000000000001</v>
      </c>
      <c r="AT88" s="168">
        <f t="shared" si="119"/>
        <v>1.600000000000001</v>
      </c>
      <c r="AU88" s="3">
        <f t="shared" si="86"/>
        <v>4.1268101822776631</v>
      </c>
      <c r="AX88" s="3">
        <f t="shared" si="120"/>
        <v>1.600000000000001</v>
      </c>
      <c r="AY88" s="168">
        <f t="shared" si="121"/>
        <v>1.600000000000001</v>
      </c>
      <c r="AZ88" s="3">
        <f t="shared" si="87"/>
        <v>4.1268101822776631</v>
      </c>
      <c r="BC88" s="3">
        <f t="shared" si="122"/>
        <v>1.600000000000001</v>
      </c>
      <c r="BD88" s="3">
        <f t="shared" si="123"/>
        <v>1.600000000000001</v>
      </c>
      <c r="BE88" s="3">
        <f t="shared" si="88"/>
        <v>4.1268101822776631</v>
      </c>
      <c r="BH88" s="3">
        <f t="shared" si="124"/>
        <v>1.600000000000001</v>
      </c>
      <c r="BI88" s="168">
        <f t="shared" si="125"/>
        <v>1.600000000000001</v>
      </c>
      <c r="BJ88" s="3">
        <f t="shared" si="89"/>
        <v>4.1268101822776631</v>
      </c>
      <c r="BM88" s="3">
        <f t="shared" si="126"/>
        <v>1.600000000000001</v>
      </c>
      <c r="BN88" s="168">
        <f t="shared" si="127"/>
        <v>1.600000000000001</v>
      </c>
      <c r="BO88" s="3">
        <f t="shared" si="90"/>
        <v>4.1268101822776631</v>
      </c>
      <c r="BR88" s="3">
        <f t="shared" si="128"/>
        <v>1.600000000000001</v>
      </c>
      <c r="BS88" s="3">
        <f t="shared" si="129"/>
        <v>1.600000000000001</v>
      </c>
      <c r="BT88" s="3">
        <f t="shared" si="91"/>
        <v>4.1268101822776631</v>
      </c>
      <c r="BW88" s="3">
        <f t="shared" si="130"/>
        <v>1.600000000000001</v>
      </c>
      <c r="BX88" s="168">
        <f t="shared" si="131"/>
        <v>1.600000000000001</v>
      </c>
      <c r="BY88" s="3">
        <f t="shared" si="92"/>
        <v>4.1268101822776631</v>
      </c>
      <c r="CB88" s="3">
        <f t="shared" si="132"/>
        <v>1.600000000000001</v>
      </c>
      <c r="CC88" s="168">
        <f t="shared" si="133"/>
        <v>1.600000000000001</v>
      </c>
      <c r="CD88" s="3">
        <f t="shared" si="93"/>
        <v>4.1268101822776631</v>
      </c>
      <c r="CG88" s="3">
        <f t="shared" si="134"/>
        <v>1.600000000000001</v>
      </c>
      <c r="CH88" s="3">
        <f t="shared" si="135"/>
        <v>1.600000000000001</v>
      </c>
      <c r="CI88" s="3">
        <f t="shared" si="94"/>
        <v>4.1268101822776631</v>
      </c>
      <c r="CL88" s="3">
        <f t="shared" si="136"/>
        <v>1.600000000000001</v>
      </c>
      <c r="CM88" s="168">
        <f t="shared" si="137"/>
        <v>1.600000000000001</v>
      </c>
      <c r="CN88" s="3">
        <f t="shared" si="95"/>
        <v>4.1268101822776631</v>
      </c>
      <c r="CQ88" s="3">
        <f t="shared" si="138"/>
        <v>1.600000000000001</v>
      </c>
      <c r="CR88" s="168">
        <f t="shared" si="139"/>
        <v>1.600000000000001</v>
      </c>
      <c r="CS88" s="3">
        <f t="shared" si="96"/>
        <v>4.1268101822776631</v>
      </c>
      <c r="CV88" s="3">
        <f t="shared" si="140"/>
        <v>1.600000000000001</v>
      </c>
      <c r="CW88" s="3">
        <f t="shared" si="141"/>
        <v>1.600000000000001</v>
      </c>
      <c r="CX88" s="3">
        <f t="shared" si="97"/>
        <v>4.1268101822776631</v>
      </c>
      <c r="DA88" s="3">
        <f t="shared" si="142"/>
        <v>1.600000000000001</v>
      </c>
      <c r="DB88" s="168">
        <f t="shared" si="143"/>
        <v>1.600000000000001</v>
      </c>
      <c r="DC88" s="3">
        <f t="shared" si="98"/>
        <v>4.1268101822776631</v>
      </c>
      <c r="DF88" s="3">
        <f t="shared" si="144"/>
        <v>1.600000000000001</v>
      </c>
      <c r="DG88" s="168">
        <f t="shared" si="145"/>
        <v>1.600000000000001</v>
      </c>
      <c r="DH88" s="3">
        <f t="shared" si="99"/>
        <v>4.1268101822776631</v>
      </c>
      <c r="DK88" s="3">
        <f t="shared" si="146"/>
        <v>1.600000000000001</v>
      </c>
      <c r="DL88" s="3">
        <f t="shared" si="147"/>
        <v>1.600000000000001</v>
      </c>
      <c r="DM88" s="3">
        <f t="shared" si="100"/>
        <v>4.1268101822776631</v>
      </c>
      <c r="DP88" s="3">
        <f t="shared" si="148"/>
        <v>1.600000000000001</v>
      </c>
      <c r="DQ88" s="168">
        <f t="shared" si="149"/>
        <v>1.600000000000001</v>
      </c>
      <c r="DR88" s="3">
        <f t="shared" si="101"/>
        <v>4.1268101822776631</v>
      </c>
      <c r="DU88" s="3">
        <f t="shared" si="150"/>
        <v>1.600000000000001</v>
      </c>
      <c r="DV88" s="168">
        <f t="shared" si="151"/>
        <v>1.600000000000001</v>
      </c>
      <c r="DW88" s="3">
        <f t="shared" si="102"/>
        <v>4.1268101822776631</v>
      </c>
      <c r="DZ88" s="3">
        <f t="shared" si="152"/>
        <v>1.600000000000001</v>
      </c>
      <c r="EA88" s="3">
        <f t="shared" si="153"/>
        <v>1.600000000000001</v>
      </c>
      <c r="EB88" s="3">
        <f t="shared" si="103"/>
        <v>4.1268101822776631</v>
      </c>
      <c r="EE88" s="3">
        <f t="shared" si="154"/>
        <v>1.600000000000001</v>
      </c>
      <c r="EF88" s="168">
        <f t="shared" si="155"/>
        <v>1.600000000000001</v>
      </c>
      <c r="EG88" s="3">
        <f t="shared" si="104"/>
        <v>4.1268101822776631</v>
      </c>
      <c r="EJ88" s="3">
        <f t="shared" si="156"/>
        <v>1.600000000000001</v>
      </c>
      <c r="EK88" s="168">
        <f t="shared" si="157"/>
        <v>1.600000000000001</v>
      </c>
      <c r="EL88" s="3">
        <f t="shared" si="105"/>
        <v>4.1268101822776631</v>
      </c>
      <c r="EO88" s="3">
        <f t="shared" si="158"/>
        <v>1.600000000000001</v>
      </c>
      <c r="EP88" s="3">
        <f t="shared" si="159"/>
        <v>1.600000000000001</v>
      </c>
      <c r="EQ88" s="3">
        <f t="shared" si="106"/>
        <v>4.1268101822776631</v>
      </c>
      <c r="ET88" s="3">
        <f t="shared" si="160"/>
        <v>1.600000000000001</v>
      </c>
      <c r="EU88" s="168">
        <f t="shared" si="161"/>
        <v>1.600000000000001</v>
      </c>
      <c r="EV88" s="3">
        <f t="shared" si="107"/>
        <v>4.1268101822776631</v>
      </c>
    </row>
    <row r="89" spans="20:152" s="3" customFormat="1" x14ac:dyDescent="0.3">
      <c r="T89" s="3">
        <f t="shared" si="108"/>
        <v>1.620000000000001</v>
      </c>
      <c r="U89" s="168">
        <f t="shared" si="109"/>
        <v>1.620000000000001</v>
      </c>
      <c r="V89" s="3">
        <f t="shared" si="81"/>
        <v>4.0662005440783302</v>
      </c>
      <c r="Y89" s="3">
        <f t="shared" si="110"/>
        <v>1.620000000000001</v>
      </c>
      <c r="Z89" s="3">
        <f t="shared" si="111"/>
        <v>1.620000000000001</v>
      </c>
      <c r="AA89" s="3">
        <f t="shared" si="82"/>
        <v>4.0662005440783302</v>
      </c>
      <c r="AD89" s="3">
        <f t="shared" si="112"/>
        <v>1.620000000000001</v>
      </c>
      <c r="AE89" s="168">
        <f t="shared" si="113"/>
        <v>1.620000000000001</v>
      </c>
      <c r="AF89" s="3">
        <f t="shared" si="83"/>
        <v>4.0662005440783302</v>
      </c>
      <c r="AI89" s="3">
        <f t="shared" si="114"/>
        <v>1.620000000000001</v>
      </c>
      <c r="AJ89" s="168">
        <f t="shared" si="115"/>
        <v>1.620000000000001</v>
      </c>
      <c r="AK89" s="3">
        <f t="shared" si="84"/>
        <v>4.0662005440783302</v>
      </c>
      <c r="AN89" s="3">
        <f t="shared" si="116"/>
        <v>1.620000000000001</v>
      </c>
      <c r="AO89" s="3">
        <f t="shared" si="117"/>
        <v>1.620000000000001</v>
      </c>
      <c r="AP89" s="3">
        <f t="shared" si="85"/>
        <v>4.0662005440783302</v>
      </c>
      <c r="AS89" s="3">
        <f t="shared" si="118"/>
        <v>1.620000000000001</v>
      </c>
      <c r="AT89" s="168">
        <f t="shared" si="119"/>
        <v>1.620000000000001</v>
      </c>
      <c r="AU89" s="3">
        <f t="shared" si="86"/>
        <v>4.0662005440783302</v>
      </c>
      <c r="AX89" s="3">
        <f t="shared" si="120"/>
        <v>1.620000000000001</v>
      </c>
      <c r="AY89" s="168">
        <f t="shared" si="121"/>
        <v>1.620000000000001</v>
      </c>
      <c r="AZ89" s="3">
        <f t="shared" si="87"/>
        <v>4.0662005440783302</v>
      </c>
      <c r="BC89" s="3">
        <f t="shared" si="122"/>
        <v>1.620000000000001</v>
      </c>
      <c r="BD89" s="3">
        <f t="shared" si="123"/>
        <v>1.620000000000001</v>
      </c>
      <c r="BE89" s="3">
        <f t="shared" si="88"/>
        <v>4.0662005440783302</v>
      </c>
      <c r="BH89" s="3">
        <f t="shared" si="124"/>
        <v>1.620000000000001</v>
      </c>
      <c r="BI89" s="168">
        <f t="shared" si="125"/>
        <v>1.620000000000001</v>
      </c>
      <c r="BJ89" s="3">
        <f t="shared" si="89"/>
        <v>4.0662005440783302</v>
      </c>
      <c r="BM89" s="3">
        <f t="shared" si="126"/>
        <v>1.620000000000001</v>
      </c>
      <c r="BN89" s="168">
        <f t="shared" si="127"/>
        <v>1.620000000000001</v>
      </c>
      <c r="BO89" s="3">
        <f t="shared" si="90"/>
        <v>4.0662005440783302</v>
      </c>
      <c r="BR89" s="3">
        <f t="shared" si="128"/>
        <v>1.620000000000001</v>
      </c>
      <c r="BS89" s="3">
        <f t="shared" si="129"/>
        <v>1.620000000000001</v>
      </c>
      <c r="BT89" s="3">
        <f t="shared" si="91"/>
        <v>4.0662005440783302</v>
      </c>
      <c r="BW89" s="3">
        <f t="shared" si="130"/>
        <v>1.620000000000001</v>
      </c>
      <c r="BX89" s="168">
        <f t="shared" si="131"/>
        <v>1.620000000000001</v>
      </c>
      <c r="BY89" s="3">
        <f t="shared" si="92"/>
        <v>4.0662005440783302</v>
      </c>
      <c r="CB89" s="3">
        <f t="shared" si="132"/>
        <v>1.620000000000001</v>
      </c>
      <c r="CC89" s="168">
        <f t="shared" si="133"/>
        <v>1.620000000000001</v>
      </c>
      <c r="CD89" s="3">
        <f t="shared" si="93"/>
        <v>4.0662005440783302</v>
      </c>
      <c r="CG89" s="3">
        <f t="shared" si="134"/>
        <v>1.620000000000001</v>
      </c>
      <c r="CH89" s="3">
        <f t="shared" si="135"/>
        <v>1.620000000000001</v>
      </c>
      <c r="CI89" s="3">
        <f t="shared" si="94"/>
        <v>4.0662005440783302</v>
      </c>
      <c r="CL89" s="3">
        <f t="shared" si="136"/>
        <v>1.620000000000001</v>
      </c>
      <c r="CM89" s="168">
        <f t="shared" si="137"/>
        <v>1.620000000000001</v>
      </c>
      <c r="CN89" s="3">
        <f t="shared" si="95"/>
        <v>4.0662005440783302</v>
      </c>
      <c r="CQ89" s="3">
        <f t="shared" si="138"/>
        <v>1.620000000000001</v>
      </c>
      <c r="CR89" s="168">
        <f t="shared" si="139"/>
        <v>1.620000000000001</v>
      </c>
      <c r="CS89" s="3">
        <f t="shared" si="96"/>
        <v>4.0662005440783302</v>
      </c>
      <c r="CV89" s="3">
        <f t="shared" si="140"/>
        <v>1.620000000000001</v>
      </c>
      <c r="CW89" s="3">
        <f t="shared" si="141"/>
        <v>1.620000000000001</v>
      </c>
      <c r="CX89" s="3">
        <f t="shared" si="97"/>
        <v>4.0662005440783302</v>
      </c>
      <c r="DA89" s="3">
        <f t="shared" si="142"/>
        <v>1.620000000000001</v>
      </c>
      <c r="DB89" s="168">
        <f t="shared" si="143"/>
        <v>1.620000000000001</v>
      </c>
      <c r="DC89" s="3">
        <f t="shared" si="98"/>
        <v>4.0662005440783302</v>
      </c>
      <c r="DF89" s="3">
        <f t="shared" si="144"/>
        <v>1.620000000000001</v>
      </c>
      <c r="DG89" s="168">
        <f t="shared" si="145"/>
        <v>1.620000000000001</v>
      </c>
      <c r="DH89" s="3">
        <f t="shared" si="99"/>
        <v>4.0662005440783302</v>
      </c>
      <c r="DK89" s="3">
        <f t="shared" si="146"/>
        <v>1.620000000000001</v>
      </c>
      <c r="DL89" s="3">
        <f t="shared" si="147"/>
        <v>1.620000000000001</v>
      </c>
      <c r="DM89" s="3">
        <f t="shared" si="100"/>
        <v>4.0662005440783302</v>
      </c>
      <c r="DP89" s="3">
        <f t="shared" si="148"/>
        <v>1.620000000000001</v>
      </c>
      <c r="DQ89" s="168">
        <f t="shared" si="149"/>
        <v>1.620000000000001</v>
      </c>
      <c r="DR89" s="3">
        <f t="shared" si="101"/>
        <v>4.0662005440783302</v>
      </c>
      <c r="DU89" s="3">
        <f t="shared" si="150"/>
        <v>1.620000000000001</v>
      </c>
      <c r="DV89" s="168">
        <f t="shared" si="151"/>
        <v>1.620000000000001</v>
      </c>
      <c r="DW89" s="3">
        <f t="shared" si="102"/>
        <v>4.0662005440783302</v>
      </c>
      <c r="DZ89" s="3">
        <f t="shared" si="152"/>
        <v>1.620000000000001</v>
      </c>
      <c r="EA89" s="3">
        <f t="shared" si="153"/>
        <v>1.620000000000001</v>
      </c>
      <c r="EB89" s="3">
        <f t="shared" si="103"/>
        <v>4.0662005440783302</v>
      </c>
      <c r="EE89" s="3">
        <f t="shared" si="154"/>
        <v>1.620000000000001</v>
      </c>
      <c r="EF89" s="168">
        <f t="shared" si="155"/>
        <v>1.620000000000001</v>
      </c>
      <c r="EG89" s="3">
        <f t="shared" si="104"/>
        <v>4.0662005440783302</v>
      </c>
      <c r="EJ89" s="3">
        <f t="shared" si="156"/>
        <v>1.620000000000001</v>
      </c>
      <c r="EK89" s="168">
        <f t="shared" si="157"/>
        <v>1.620000000000001</v>
      </c>
      <c r="EL89" s="3">
        <f t="shared" si="105"/>
        <v>4.0662005440783302</v>
      </c>
      <c r="EO89" s="3">
        <f t="shared" si="158"/>
        <v>1.620000000000001</v>
      </c>
      <c r="EP89" s="3">
        <f t="shared" si="159"/>
        <v>1.620000000000001</v>
      </c>
      <c r="EQ89" s="3">
        <f t="shared" si="106"/>
        <v>4.0662005440783302</v>
      </c>
      <c r="ET89" s="3">
        <f t="shared" si="160"/>
        <v>1.620000000000001</v>
      </c>
      <c r="EU89" s="168">
        <f t="shared" si="161"/>
        <v>1.620000000000001</v>
      </c>
      <c r="EV89" s="3">
        <f t="shared" si="107"/>
        <v>4.0662005440783302</v>
      </c>
    </row>
    <row r="90" spans="20:152" s="3" customFormat="1" x14ac:dyDescent="0.3">
      <c r="T90" s="3">
        <f t="shared" si="108"/>
        <v>1.640000000000001</v>
      </c>
      <c r="U90" s="168">
        <f t="shared" si="109"/>
        <v>1.640000000000001</v>
      </c>
      <c r="V90" s="3">
        <f t="shared" si="81"/>
        <v>4.0028823931511459</v>
      </c>
      <c r="Y90" s="3">
        <f t="shared" si="110"/>
        <v>1.640000000000001</v>
      </c>
      <c r="Z90" s="3">
        <f t="shared" si="111"/>
        <v>1.640000000000001</v>
      </c>
      <c r="AA90" s="3">
        <f t="shared" si="82"/>
        <v>4.0028823931511459</v>
      </c>
      <c r="AD90" s="3">
        <f t="shared" si="112"/>
        <v>1.640000000000001</v>
      </c>
      <c r="AE90" s="168">
        <f t="shared" si="113"/>
        <v>1.640000000000001</v>
      </c>
      <c r="AF90" s="3">
        <f t="shared" si="83"/>
        <v>4.0028823931511459</v>
      </c>
      <c r="AI90" s="3">
        <f t="shared" si="114"/>
        <v>1.640000000000001</v>
      </c>
      <c r="AJ90" s="168">
        <f t="shared" si="115"/>
        <v>1.640000000000001</v>
      </c>
      <c r="AK90" s="3">
        <f t="shared" si="84"/>
        <v>4.0028823931511459</v>
      </c>
      <c r="AN90" s="3">
        <f t="shared" si="116"/>
        <v>1.640000000000001</v>
      </c>
      <c r="AO90" s="3">
        <f t="shared" si="117"/>
        <v>1.640000000000001</v>
      </c>
      <c r="AP90" s="3">
        <f t="shared" si="85"/>
        <v>4.0028823931511459</v>
      </c>
      <c r="AS90" s="3">
        <f t="shared" si="118"/>
        <v>1.640000000000001</v>
      </c>
      <c r="AT90" s="168">
        <f t="shared" si="119"/>
        <v>1.640000000000001</v>
      </c>
      <c r="AU90" s="3">
        <f t="shared" si="86"/>
        <v>4.0028823931511459</v>
      </c>
      <c r="AX90" s="3">
        <f t="shared" si="120"/>
        <v>1.640000000000001</v>
      </c>
      <c r="AY90" s="168">
        <f t="shared" si="121"/>
        <v>1.640000000000001</v>
      </c>
      <c r="AZ90" s="3">
        <f t="shared" si="87"/>
        <v>4.0028823931511459</v>
      </c>
      <c r="BC90" s="3">
        <f t="shared" si="122"/>
        <v>1.640000000000001</v>
      </c>
      <c r="BD90" s="3">
        <f t="shared" si="123"/>
        <v>1.640000000000001</v>
      </c>
      <c r="BE90" s="3">
        <f t="shared" si="88"/>
        <v>4.0028823931511459</v>
      </c>
      <c r="BH90" s="3">
        <f t="shared" si="124"/>
        <v>1.640000000000001</v>
      </c>
      <c r="BI90" s="168">
        <f t="shared" si="125"/>
        <v>1.640000000000001</v>
      </c>
      <c r="BJ90" s="3">
        <f t="shared" si="89"/>
        <v>4.0028823931511459</v>
      </c>
      <c r="BM90" s="3">
        <f t="shared" si="126"/>
        <v>1.640000000000001</v>
      </c>
      <c r="BN90" s="168">
        <f t="shared" si="127"/>
        <v>1.640000000000001</v>
      </c>
      <c r="BO90" s="3">
        <f t="shared" si="90"/>
        <v>4.0028823931511459</v>
      </c>
      <c r="BR90" s="3">
        <f t="shared" si="128"/>
        <v>1.640000000000001</v>
      </c>
      <c r="BS90" s="3">
        <f t="shared" si="129"/>
        <v>1.640000000000001</v>
      </c>
      <c r="BT90" s="3">
        <f t="shared" si="91"/>
        <v>4.0028823931511459</v>
      </c>
      <c r="BW90" s="3">
        <f t="shared" si="130"/>
        <v>1.640000000000001</v>
      </c>
      <c r="BX90" s="168">
        <f t="shared" si="131"/>
        <v>1.640000000000001</v>
      </c>
      <c r="BY90" s="3">
        <f t="shared" si="92"/>
        <v>4.0028823931511459</v>
      </c>
      <c r="CB90" s="3">
        <f t="shared" si="132"/>
        <v>1.640000000000001</v>
      </c>
      <c r="CC90" s="168">
        <f t="shared" si="133"/>
        <v>1.640000000000001</v>
      </c>
      <c r="CD90" s="3">
        <f t="shared" si="93"/>
        <v>4.0028823931511459</v>
      </c>
      <c r="CG90" s="3">
        <f t="shared" si="134"/>
        <v>1.640000000000001</v>
      </c>
      <c r="CH90" s="3">
        <f t="shared" si="135"/>
        <v>1.640000000000001</v>
      </c>
      <c r="CI90" s="3">
        <f t="shared" si="94"/>
        <v>4.0028823931511459</v>
      </c>
      <c r="CL90" s="3">
        <f t="shared" si="136"/>
        <v>1.640000000000001</v>
      </c>
      <c r="CM90" s="168">
        <f t="shared" si="137"/>
        <v>1.640000000000001</v>
      </c>
      <c r="CN90" s="3">
        <f t="shared" si="95"/>
        <v>4.0028823931511459</v>
      </c>
      <c r="CQ90" s="3">
        <f t="shared" si="138"/>
        <v>1.640000000000001</v>
      </c>
      <c r="CR90" s="168">
        <f t="shared" si="139"/>
        <v>1.640000000000001</v>
      </c>
      <c r="CS90" s="3">
        <f t="shared" si="96"/>
        <v>4.0028823931511459</v>
      </c>
      <c r="CV90" s="3">
        <f t="shared" si="140"/>
        <v>1.640000000000001</v>
      </c>
      <c r="CW90" s="3">
        <f t="shared" si="141"/>
        <v>1.640000000000001</v>
      </c>
      <c r="CX90" s="3">
        <f t="shared" si="97"/>
        <v>4.0028823931511459</v>
      </c>
      <c r="DA90" s="3">
        <f t="shared" si="142"/>
        <v>1.640000000000001</v>
      </c>
      <c r="DB90" s="168">
        <f t="shared" si="143"/>
        <v>1.640000000000001</v>
      </c>
      <c r="DC90" s="3">
        <f t="shared" si="98"/>
        <v>4.0028823931511459</v>
      </c>
      <c r="DF90" s="3">
        <f t="shared" si="144"/>
        <v>1.640000000000001</v>
      </c>
      <c r="DG90" s="168">
        <f t="shared" si="145"/>
        <v>1.640000000000001</v>
      </c>
      <c r="DH90" s="3">
        <f t="shared" si="99"/>
        <v>4.0028823931511459</v>
      </c>
      <c r="DK90" s="3">
        <f t="shared" si="146"/>
        <v>1.640000000000001</v>
      </c>
      <c r="DL90" s="3">
        <f t="shared" si="147"/>
        <v>1.640000000000001</v>
      </c>
      <c r="DM90" s="3">
        <f t="shared" si="100"/>
        <v>4.0028823931511459</v>
      </c>
      <c r="DP90" s="3">
        <f t="shared" si="148"/>
        <v>1.640000000000001</v>
      </c>
      <c r="DQ90" s="168">
        <f t="shared" si="149"/>
        <v>1.640000000000001</v>
      </c>
      <c r="DR90" s="3">
        <f t="shared" si="101"/>
        <v>4.0028823931511459</v>
      </c>
      <c r="DU90" s="3">
        <f t="shared" si="150"/>
        <v>1.640000000000001</v>
      </c>
      <c r="DV90" s="168">
        <f t="shared" si="151"/>
        <v>1.640000000000001</v>
      </c>
      <c r="DW90" s="3">
        <f t="shared" si="102"/>
        <v>4.0028823931511459</v>
      </c>
      <c r="DZ90" s="3">
        <f t="shared" si="152"/>
        <v>1.640000000000001</v>
      </c>
      <c r="EA90" s="3">
        <f t="shared" si="153"/>
        <v>1.640000000000001</v>
      </c>
      <c r="EB90" s="3">
        <f t="shared" si="103"/>
        <v>4.0028823931511459</v>
      </c>
      <c r="EE90" s="3">
        <f t="shared" si="154"/>
        <v>1.640000000000001</v>
      </c>
      <c r="EF90" s="168">
        <f t="shared" si="155"/>
        <v>1.640000000000001</v>
      </c>
      <c r="EG90" s="3">
        <f t="shared" si="104"/>
        <v>4.0028823931511459</v>
      </c>
      <c r="EJ90" s="3">
        <f t="shared" si="156"/>
        <v>1.640000000000001</v>
      </c>
      <c r="EK90" s="168">
        <f t="shared" si="157"/>
        <v>1.640000000000001</v>
      </c>
      <c r="EL90" s="3">
        <f t="shared" si="105"/>
        <v>4.0028823931511459</v>
      </c>
      <c r="EO90" s="3">
        <f t="shared" si="158"/>
        <v>1.640000000000001</v>
      </c>
      <c r="EP90" s="3">
        <f t="shared" si="159"/>
        <v>1.640000000000001</v>
      </c>
      <c r="EQ90" s="3">
        <f t="shared" si="106"/>
        <v>4.0028823931511459</v>
      </c>
      <c r="ET90" s="3">
        <f t="shared" si="160"/>
        <v>1.640000000000001</v>
      </c>
      <c r="EU90" s="168">
        <f t="shared" si="161"/>
        <v>1.640000000000001</v>
      </c>
      <c r="EV90" s="3">
        <f t="shared" si="107"/>
        <v>4.0028823931511459</v>
      </c>
    </row>
    <row r="91" spans="20:152" s="3" customFormat="1" x14ac:dyDescent="0.3">
      <c r="T91" s="3">
        <f t="shared" si="108"/>
        <v>1.660000000000001</v>
      </c>
      <c r="U91" s="168">
        <f t="shared" si="109"/>
        <v>1.660000000000001</v>
      </c>
      <c r="V91" s="3">
        <f t="shared" si="81"/>
        <v>3.9368557294961137</v>
      </c>
      <c r="Y91" s="3">
        <f t="shared" si="110"/>
        <v>1.660000000000001</v>
      </c>
      <c r="Z91" s="3">
        <f t="shared" si="111"/>
        <v>1.660000000000001</v>
      </c>
      <c r="AA91" s="3">
        <f t="shared" si="82"/>
        <v>3.9368557294961137</v>
      </c>
      <c r="AD91" s="3">
        <f t="shared" si="112"/>
        <v>1.660000000000001</v>
      </c>
      <c r="AE91" s="168">
        <f t="shared" si="113"/>
        <v>1.660000000000001</v>
      </c>
      <c r="AF91" s="3">
        <f t="shared" si="83"/>
        <v>3.9368557294961137</v>
      </c>
      <c r="AI91" s="3">
        <f t="shared" si="114"/>
        <v>1.660000000000001</v>
      </c>
      <c r="AJ91" s="168">
        <f t="shared" si="115"/>
        <v>1.660000000000001</v>
      </c>
      <c r="AK91" s="3">
        <f t="shared" si="84"/>
        <v>3.9368557294961137</v>
      </c>
      <c r="AN91" s="3">
        <f t="shared" si="116"/>
        <v>1.660000000000001</v>
      </c>
      <c r="AO91" s="3">
        <f t="shared" si="117"/>
        <v>1.660000000000001</v>
      </c>
      <c r="AP91" s="3">
        <f t="shared" si="85"/>
        <v>3.9368557294961137</v>
      </c>
      <c r="AS91" s="3">
        <f t="shared" si="118"/>
        <v>1.660000000000001</v>
      </c>
      <c r="AT91" s="168">
        <f t="shared" si="119"/>
        <v>1.660000000000001</v>
      </c>
      <c r="AU91" s="3">
        <f t="shared" si="86"/>
        <v>3.9368557294961137</v>
      </c>
      <c r="AX91" s="3">
        <f t="shared" si="120"/>
        <v>1.660000000000001</v>
      </c>
      <c r="AY91" s="168">
        <f t="shared" si="121"/>
        <v>1.660000000000001</v>
      </c>
      <c r="AZ91" s="3">
        <f t="shared" si="87"/>
        <v>3.9368557294961137</v>
      </c>
      <c r="BC91" s="3">
        <f t="shared" si="122"/>
        <v>1.660000000000001</v>
      </c>
      <c r="BD91" s="3">
        <f t="shared" si="123"/>
        <v>1.660000000000001</v>
      </c>
      <c r="BE91" s="3">
        <f t="shared" si="88"/>
        <v>3.9368557294961137</v>
      </c>
      <c r="BH91" s="3">
        <f t="shared" si="124"/>
        <v>1.660000000000001</v>
      </c>
      <c r="BI91" s="168">
        <f t="shared" si="125"/>
        <v>1.660000000000001</v>
      </c>
      <c r="BJ91" s="3">
        <f t="shared" si="89"/>
        <v>3.9368557294961137</v>
      </c>
      <c r="BM91" s="3">
        <f t="shared" si="126"/>
        <v>1.660000000000001</v>
      </c>
      <c r="BN91" s="168">
        <f t="shared" si="127"/>
        <v>1.660000000000001</v>
      </c>
      <c r="BO91" s="3">
        <f t="shared" si="90"/>
        <v>3.9368557294961137</v>
      </c>
      <c r="BR91" s="3">
        <f t="shared" si="128"/>
        <v>1.660000000000001</v>
      </c>
      <c r="BS91" s="3">
        <f t="shared" si="129"/>
        <v>1.660000000000001</v>
      </c>
      <c r="BT91" s="3">
        <f t="shared" si="91"/>
        <v>3.9368557294961137</v>
      </c>
      <c r="BW91" s="3">
        <f t="shared" si="130"/>
        <v>1.660000000000001</v>
      </c>
      <c r="BX91" s="168">
        <f t="shared" si="131"/>
        <v>1.660000000000001</v>
      </c>
      <c r="BY91" s="3">
        <f t="shared" si="92"/>
        <v>3.9368557294961137</v>
      </c>
      <c r="CB91" s="3">
        <f t="shared" si="132"/>
        <v>1.660000000000001</v>
      </c>
      <c r="CC91" s="168">
        <f t="shared" si="133"/>
        <v>1.660000000000001</v>
      </c>
      <c r="CD91" s="3">
        <f t="shared" si="93"/>
        <v>3.9368557294961137</v>
      </c>
      <c r="CG91" s="3">
        <f t="shared" si="134"/>
        <v>1.660000000000001</v>
      </c>
      <c r="CH91" s="3">
        <f t="shared" si="135"/>
        <v>1.660000000000001</v>
      </c>
      <c r="CI91" s="3">
        <f t="shared" si="94"/>
        <v>3.9368557294961137</v>
      </c>
      <c r="CL91" s="3">
        <f t="shared" si="136"/>
        <v>1.660000000000001</v>
      </c>
      <c r="CM91" s="168">
        <f t="shared" si="137"/>
        <v>1.660000000000001</v>
      </c>
      <c r="CN91" s="3">
        <f t="shared" si="95"/>
        <v>3.9368557294961137</v>
      </c>
      <c r="CQ91" s="3">
        <f t="shared" si="138"/>
        <v>1.660000000000001</v>
      </c>
      <c r="CR91" s="168">
        <f t="shared" si="139"/>
        <v>1.660000000000001</v>
      </c>
      <c r="CS91" s="3">
        <f t="shared" si="96"/>
        <v>3.9368557294961137</v>
      </c>
      <c r="CV91" s="3">
        <f t="shared" si="140"/>
        <v>1.660000000000001</v>
      </c>
      <c r="CW91" s="3">
        <f t="shared" si="141"/>
        <v>1.660000000000001</v>
      </c>
      <c r="CX91" s="3">
        <f t="shared" si="97"/>
        <v>3.9368557294961137</v>
      </c>
      <c r="DA91" s="3">
        <f t="shared" si="142"/>
        <v>1.660000000000001</v>
      </c>
      <c r="DB91" s="168">
        <f t="shared" si="143"/>
        <v>1.660000000000001</v>
      </c>
      <c r="DC91" s="3">
        <f t="shared" si="98"/>
        <v>3.9368557294961137</v>
      </c>
      <c r="DF91" s="3">
        <f t="shared" si="144"/>
        <v>1.660000000000001</v>
      </c>
      <c r="DG91" s="168">
        <f t="shared" si="145"/>
        <v>1.660000000000001</v>
      </c>
      <c r="DH91" s="3">
        <f t="shared" si="99"/>
        <v>3.9368557294961137</v>
      </c>
      <c r="DK91" s="3">
        <f t="shared" si="146"/>
        <v>1.660000000000001</v>
      </c>
      <c r="DL91" s="3">
        <f t="shared" si="147"/>
        <v>1.660000000000001</v>
      </c>
      <c r="DM91" s="3">
        <f t="shared" si="100"/>
        <v>3.9368557294961137</v>
      </c>
      <c r="DP91" s="3">
        <f t="shared" si="148"/>
        <v>1.660000000000001</v>
      </c>
      <c r="DQ91" s="168">
        <f t="shared" si="149"/>
        <v>1.660000000000001</v>
      </c>
      <c r="DR91" s="3">
        <f t="shared" si="101"/>
        <v>3.9368557294961137</v>
      </c>
      <c r="DU91" s="3">
        <f t="shared" si="150"/>
        <v>1.660000000000001</v>
      </c>
      <c r="DV91" s="168">
        <f t="shared" si="151"/>
        <v>1.660000000000001</v>
      </c>
      <c r="DW91" s="3">
        <f t="shared" si="102"/>
        <v>3.9368557294961137</v>
      </c>
      <c r="DZ91" s="3">
        <f t="shared" si="152"/>
        <v>1.660000000000001</v>
      </c>
      <c r="EA91" s="3">
        <f t="shared" si="153"/>
        <v>1.660000000000001</v>
      </c>
      <c r="EB91" s="3">
        <f t="shared" si="103"/>
        <v>3.9368557294961137</v>
      </c>
      <c r="EE91" s="3">
        <f t="shared" si="154"/>
        <v>1.660000000000001</v>
      </c>
      <c r="EF91" s="168">
        <f t="shared" si="155"/>
        <v>1.660000000000001</v>
      </c>
      <c r="EG91" s="3">
        <f t="shared" si="104"/>
        <v>3.9368557294961137</v>
      </c>
      <c r="EJ91" s="3">
        <f t="shared" si="156"/>
        <v>1.660000000000001</v>
      </c>
      <c r="EK91" s="168">
        <f t="shared" si="157"/>
        <v>1.660000000000001</v>
      </c>
      <c r="EL91" s="3">
        <f t="shared" si="105"/>
        <v>3.9368557294961137</v>
      </c>
      <c r="EO91" s="3">
        <f t="shared" si="158"/>
        <v>1.660000000000001</v>
      </c>
      <c r="EP91" s="3">
        <f t="shared" si="159"/>
        <v>1.660000000000001</v>
      </c>
      <c r="EQ91" s="3">
        <f t="shared" si="106"/>
        <v>3.9368557294961137</v>
      </c>
      <c r="ET91" s="3">
        <f t="shared" si="160"/>
        <v>1.660000000000001</v>
      </c>
      <c r="EU91" s="168">
        <f t="shared" si="161"/>
        <v>1.660000000000001</v>
      </c>
      <c r="EV91" s="3">
        <f t="shared" si="107"/>
        <v>3.9368557294961137</v>
      </c>
    </row>
    <row r="92" spans="20:152" s="3" customFormat="1" x14ac:dyDescent="0.3">
      <c r="T92" s="3">
        <f t="shared" si="108"/>
        <v>1.680000000000001</v>
      </c>
      <c r="U92" s="168">
        <f t="shared" si="109"/>
        <v>1.680000000000001</v>
      </c>
      <c r="V92" s="3">
        <f t="shared" si="81"/>
        <v>3.8681205531132354</v>
      </c>
      <c r="Y92" s="3">
        <f t="shared" si="110"/>
        <v>1.680000000000001</v>
      </c>
      <c r="Z92" s="3">
        <f t="shared" si="111"/>
        <v>1.680000000000001</v>
      </c>
      <c r="AA92" s="3">
        <f t="shared" si="82"/>
        <v>3.8681205531132354</v>
      </c>
      <c r="AD92" s="3">
        <f t="shared" si="112"/>
        <v>1.680000000000001</v>
      </c>
      <c r="AE92" s="168">
        <f t="shared" si="113"/>
        <v>1.680000000000001</v>
      </c>
      <c r="AF92" s="3">
        <f t="shared" si="83"/>
        <v>3.8681205531132354</v>
      </c>
      <c r="AI92" s="3">
        <f t="shared" si="114"/>
        <v>1.680000000000001</v>
      </c>
      <c r="AJ92" s="168">
        <f t="shared" si="115"/>
        <v>1.680000000000001</v>
      </c>
      <c r="AK92" s="3">
        <f t="shared" si="84"/>
        <v>3.8681205531132354</v>
      </c>
      <c r="AN92" s="3">
        <f t="shared" si="116"/>
        <v>1.680000000000001</v>
      </c>
      <c r="AO92" s="3">
        <f t="shared" si="117"/>
        <v>1.680000000000001</v>
      </c>
      <c r="AP92" s="3">
        <f t="shared" si="85"/>
        <v>3.8681205531132354</v>
      </c>
      <c r="AS92" s="3">
        <f t="shared" si="118"/>
        <v>1.680000000000001</v>
      </c>
      <c r="AT92" s="168">
        <f t="shared" si="119"/>
        <v>1.680000000000001</v>
      </c>
      <c r="AU92" s="3">
        <f t="shared" si="86"/>
        <v>3.8681205531132354</v>
      </c>
      <c r="AX92" s="3">
        <f t="shared" si="120"/>
        <v>1.680000000000001</v>
      </c>
      <c r="AY92" s="168">
        <f t="shared" si="121"/>
        <v>1.680000000000001</v>
      </c>
      <c r="AZ92" s="3">
        <f t="shared" si="87"/>
        <v>3.8681205531132354</v>
      </c>
      <c r="BC92" s="3">
        <f t="shared" si="122"/>
        <v>1.680000000000001</v>
      </c>
      <c r="BD92" s="3">
        <f t="shared" si="123"/>
        <v>1.680000000000001</v>
      </c>
      <c r="BE92" s="3">
        <f t="shared" si="88"/>
        <v>3.8681205531132354</v>
      </c>
      <c r="BH92" s="3">
        <f t="shared" si="124"/>
        <v>1.680000000000001</v>
      </c>
      <c r="BI92" s="168">
        <f t="shared" si="125"/>
        <v>1.680000000000001</v>
      </c>
      <c r="BJ92" s="3">
        <f t="shared" si="89"/>
        <v>3.8681205531132354</v>
      </c>
      <c r="BM92" s="3">
        <f t="shared" si="126"/>
        <v>1.680000000000001</v>
      </c>
      <c r="BN92" s="168">
        <f t="shared" si="127"/>
        <v>1.680000000000001</v>
      </c>
      <c r="BO92" s="3">
        <f t="shared" si="90"/>
        <v>3.8681205531132354</v>
      </c>
      <c r="BR92" s="3">
        <f t="shared" si="128"/>
        <v>1.680000000000001</v>
      </c>
      <c r="BS92" s="3">
        <f t="shared" si="129"/>
        <v>1.680000000000001</v>
      </c>
      <c r="BT92" s="3">
        <f t="shared" si="91"/>
        <v>3.8681205531132354</v>
      </c>
      <c r="BW92" s="3">
        <f t="shared" si="130"/>
        <v>1.680000000000001</v>
      </c>
      <c r="BX92" s="168">
        <f t="shared" si="131"/>
        <v>1.680000000000001</v>
      </c>
      <c r="BY92" s="3">
        <f t="shared" si="92"/>
        <v>3.8681205531132354</v>
      </c>
      <c r="CB92" s="3">
        <f t="shared" si="132"/>
        <v>1.680000000000001</v>
      </c>
      <c r="CC92" s="168">
        <f t="shared" si="133"/>
        <v>1.680000000000001</v>
      </c>
      <c r="CD92" s="3">
        <f t="shared" si="93"/>
        <v>3.8681205531132354</v>
      </c>
      <c r="CG92" s="3">
        <f t="shared" si="134"/>
        <v>1.680000000000001</v>
      </c>
      <c r="CH92" s="3">
        <f t="shared" si="135"/>
        <v>1.680000000000001</v>
      </c>
      <c r="CI92" s="3">
        <f t="shared" si="94"/>
        <v>3.8681205531132354</v>
      </c>
      <c r="CL92" s="3">
        <f t="shared" si="136"/>
        <v>1.680000000000001</v>
      </c>
      <c r="CM92" s="168">
        <f t="shared" si="137"/>
        <v>1.680000000000001</v>
      </c>
      <c r="CN92" s="3">
        <f t="shared" si="95"/>
        <v>3.8681205531132354</v>
      </c>
      <c r="CQ92" s="3">
        <f t="shared" si="138"/>
        <v>1.680000000000001</v>
      </c>
      <c r="CR92" s="168">
        <f t="shared" si="139"/>
        <v>1.680000000000001</v>
      </c>
      <c r="CS92" s="3">
        <f t="shared" si="96"/>
        <v>3.8681205531132354</v>
      </c>
      <c r="CV92" s="3">
        <f t="shared" si="140"/>
        <v>1.680000000000001</v>
      </c>
      <c r="CW92" s="3">
        <f t="shared" si="141"/>
        <v>1.680000000000001</v>
      </c>
      <c r="CX92" s="3">
        <f t="shared" si="97"/>
        <v>3.8681205531132354</v>
      </c>
      <c r="DA92" s="3">
        <f t="shared" si="142"/>
        <v>1.680000000000001</v>
      </c>
      <c r="DB92" s="168">
        <f t="shared" si="143"/>
        <v>1.680000000000001</v>
      </c>
      <c r="DC92" s="3">
        <f t="shared" si="98"/>
        <v>3.8681205531132354</v>
      </c>
      <c r="DF92" s="3">
        <f t="shared" si="144"/>
        <v>1.680000000000001</v>
      </c>
      <c r="DG92" s="168">
        <f t="shared" si="145"/>
        <v>1.680000000000001</v>
      </c>
      <c r="DH92" s="3">
        <f t="shared" si="99"/>
        <v>3.8681205531132354</v>
      </c>
      <c r="DK92" s="3">
        <f t="shared" si="146"/>
        <v>1.680000000000001</v>
      </c>
      <c r="DL92" s="3">
        <f t="shared" si="147"/>
        <v>1.680000000000001</v>
      </c>
      <c r="DM92" s="3">
        <f t="shared" si="100"/>
        <v>3.8681205531132354</v>
      </c>
      <c r="DP92" s="3">
        <f t="shared" si="148"/>
        <v>1.680000000000001</v>
      </c>
      <c r="DQ92" s="168">
        <f t="shared" si="149"/>
        <v>1.680000000000001</v>
      </c>
      <c r="DR92" s="3">
        <f t="shared" si="101"/>
        <v>3.8681205531132354</v>
      </c>
      <c r="DU92" s="3">
        <f t="shared" si="150"/>
        <v>1.680000000000001</v>
      </c>
      <c r="DV92" s="168">
        <f t="shared" si="151"/>
        <v>1.680000000000001</v>
      </c>
      <c r="DW92" s="3">
        <f t="shared" si="102"/>
        <v>3.8681205531132354</v>
      </c>
      <c r="DZ92" s="3">
        <f t="shared" si="152"/>
        <v>1.680000000000001</v>
      </c>
      <c r="EA92" s="3">
        <f t="shared" si="153"/>
        <v>1.680000000000001</v>
      </c>
      <c r="EB92" s="3">
        <f t="shared" si="103"/>
        <v>3.8681205531132354</v>
      </c>
      <c r="EE92" s="3">
        <f t="shared" si="154"/>
        <v>1.680000000000001</v>
      </c>
      <c r="EF92" s="168">
        <f t="shared" si="155"/>
        <v>1.680000000000001</v>
      </c>
      <c r="EG92" s="3">
        <f t="shared" si="104"/>
        <v>3.8681205531132354</v>
      </c>
      <c r="EJ92" s="3">
        <f t="shared" si="156"/>
        <v>1.680000000000001</v>
      </c>
      <c r="EK92" s="168">
        <f t="shared" si="157"/>
        <v>1.680000000000001</v>
      </c>
      <c r="EL92" s="3">
        <f t="shared" si="105"/>
        <v>3.8681205531132354</v>
      </c>
      <c r="EO92" s="3">
        <f t="shared" si="158"/>
        <v>1.680000000000001</v>
      </c>
      <c r="EP92" s="3">
        <f t="shared" si="159"/>
        <v>1.680000000000001</v>
      </c>
      <c r="EQ92" s="3">
        <f t="shared" si="106"/>
        <v>3.8681205531132354</v>
      </c>
      <c r="ET92" s="3">
        <f t="shared" si="160"/>
        <v>1.680000000000001</v>
      </c>
      <c r="EU92" s="168">
        <f t="shared" si="161"/>
        <v>1.680000000000001</v>
      </c>
      <c r="EV92" s="3">
        <f t="shared" si="107"/>
        <v>3.8681205531132354</v>
      </c>
    </row>
    <row r="93" spans="20:152" s="3" customFormat="1" x14ac:dyDescent="0.3">
      <c r="T93" s="3">
        <f t="shared" si="108"/>
        <v>1.7000000000000011</v>
      </c>
      <c r="U93" s="168">
        <f t="shared" si="109"/>
        <v>1.7000000000000011</v>
      </c>
      <c r="V93" s="3">
        <f t="shared" si="81"/>
        <v>3.7966768640025128</v>
      </c>
      <c r="Y93" s="3">
        <f t="shared" si="110"/>
        <v>1.7000000000000011</v>
      </c>
      <c r="Z93" s="3">
        <f t="shared" si="111"/>
        <v>1.7000000000000011</v>
      </c>
      <c r="AA93" s="3">
        <f t="shared" si="82"/>
        <v>3.7966768640025128</v>
      </c>
      <c r="AD93" s="3">
        <f t="shared" si="112"/>
        <v>1.7000000000000011</v>
      </c>
      <c r="AE93" s="168">
        <f t="shared" si="113"/>
        <v>1.7000000000000011</v>
      </c>
      <c r="AF93" s="3">
        <f t="shared" si="83"/>
        <v>3.7966768640025128</v>
      </c>
      <c r="AI93" s="3">
        <f t="shared" si="114"/>
        <v>1.7000000000000011</v>
      </c>
      <c r="AJ93" s="168">
        <f t="shared" si="115"/>
        <v>1.7000000000000011</v>
      </c>
      <c r="AK93" s="3">
        <f t="shared" si="84"/>
        <v>3.7966768640025128</v>
      </c>
      <c r="AN93" s="3">
        <f t="shared" si="116"/>
        <v>1.7000000000000011</v>
      </c>
      <c r="AO93" s="3">
        <f t="shared" si="117"/>
        <v>1.7000000000000011</v>
      </c>
      <c r="AP93" s="3">
        <f t="shared" si="85"/>
        <v>3.7966768640025128</v>
      </c>
      <c r="AS93" s="3">
        <f t="shared" si="118"/>
        <v>1.7000000000000011</v>
      </c>
      <c r="AT93" s="168">
        <f t="shared" si="119"/>
        <v>1.7000000000000011</v>
      </c>
      <c r="AU93" s="3">
        <f t="shared" si="86"/>
        <v>3.7966768640025128</v>
      </c>
      <c r="AX93" s="3">
        <f t="shared" si="120"/>
        <v>1.7000000000000011</v>
      </c>
      <c r="AY93" s="168">
        <f t="shared" si="121"/>
        <v>1.7000000000000011</v>
      </c>
      <c r="AZ93" s="3">
        <f t="shared" si="87"/>
        <v>3.7966768640025128</v>
      </c>
      <c r="BC93" s="3">
        <f t="shared" si="122"/>
        <v>1.7000000000000011</v>
      </c>
      <c r="BD93" s="3">
        <f t="shared" si="123"/>
        <v>1.7000000000000011</v>
      </c>
      <c r="BE93" s="3">
        <f t="shared" si="88"/>
        <v>3.7966768640025128</v>
      </c>
      <c r="BH93" s="3">
        <f t="shared" si="124"/>
        <v>1.7000000000000011</v>
      </c>
      <c r="BI93" s="168">
        <f t="shared" si="125"/>
        <v>1.7000000000000011</v>
      </c>
      <c r="BJ93" s="3">
        <f t="shared" si="89"/>
        <v>3.7966768640025128</v>
      </c>
      <c r="BM93" s="3">
        <f t="shared" si="126"/>
        <v>1.7000000000000011</v>
      </c>
      <c r="BN93" s="168">
        <f t="shared" si="127"/>
        <v>1.7000000000000011</v>
      </c>
      <c r="BO93" s="3">
        <f t="shared" si="90"/>
        <v>3.7966768640025128</v>
      </c>
      <c r="BR93" s="3">
        <f t="shared" si="128"/>
        <v>1.7000000000000011</v>
      </c>
      <c r="BS93" s="3">
        <f t="shared" si="129"/>
        <v>1.7000000000000011</v>
      </c>
      <c r="BT93" s="3">
        <f t="shared" si="91"/>
        <v>3.7966768640025128</v>
      </c>
      <c r="BW93" s="3">
        <f t="shared" si="130"/>
        <v>1.7000000000000011</v>
      </c>
      <c r="BX93" s="168">
        <f t="shared" si="131"/>
        <v>1.7000000000000011</v>
      </c>
      <c r="BY93" s="3">
        <f t="shared" si="92"/>
        <v>3.7966768640025128</v>
      </c>
      <c r="CB93" s="3">
        <f t="shared" si="132"/>
        <v>1.7000000000000011</v>
      </c>
      <c r="CC93" s="168">
        <f t="shared" si="133"/>
        <v>1.7000000000000011</v>
      </c>
      <c r="CD93" s="3">
        <f t="shared" si="93"/>
        <v>3.7966768640025128</v>
      </c>
      <c r="CG93" s="3">
        <f t="shared" si="134"/>
        <v>1.7000000000000011</v>
      </c>
      <c r="CH93" s="3">
        <f t="shared" si="135"/>
        <v>1.7000000000000011</v>
      </c>
      <c r="CI93" s="3">
        <f t="shared" si="94"/>
        <v>3.7966768640025128</v>
      </c>
      <c r="CL93" s="3">
        <f t="shared" si="136"/>
        <v>1.7000000000000011</v>
      </c>
      <c r="CM93" s="168">
        <f t="shared" si="137"/>
        <v>1.7000000000000011</v>
      </c>
      <c r="CN93" s="3">
        <f t="shared" si="95"/>
        <v>3.7966768640025128</v>
      </c>
      <c r="CQ93" s="3">
        <f t="shared" si="138"/>
        <v>1.7000000000000011</v>
      </c>
      <c r="CR93" s="168">
        <f t="shared" si="139"/>
        <v>1.7000000000000011</v>
      </c>
      <c r="CS93" s="3">
        <f t="shared" si="96"/>
        <v>3.7966768640025128</v>
      </c>
      <c r="CV93" s="3">
        <f t="shared" si="140"/>
        <v>1.7000000000000011</v>
      </c>
      <c r="CW93" s="3">
        <f t="shared" si="141"/>
        <v>1.7000000000000011</v>
      </c>
      <c r="CX93" s="3">
        <f t="shared" si="97"/>
        <v>3.7966768640025128</v>
      </c>
      <c r="DA93" s="3">
        <f t="shared" si="142"/>
        <v>1.7000000000000011</v>
      </c>
      <c r="DB93" s="168">
        <f t="shared" si="143"/>
        <v>1.7000000000000011</v>
      </c>
      <c r="DC93" s="3">
        <f t="shared" si="98"/>
        <v>3.7966768640025128</v>
      </c>
      <c r="DF93" s="3">
        <f t="shared" si="144"/>
        <v>1.7000000000000011</v>
      </c>
      <c r="DG93" s="168">
        <f t="shared" si="145"/>
        <v>1.7000000000000011</v>
      </c>
      <c r="DH93" s="3">
        <f t="shared" si="99"/>
        <v>3.7966768640025128</v>
      </c>
      <c r="DK93" s="3">
        <f t="shared" si="146"/>
        <v>1.7000000000000011</v>
      </c>
      <c r="DL93" s="3">
        <f t="shared" si="147"/>
        <v>1.7000000000000011</v>
      </c>
      <c r="DM93" s="3">
        <f t="shared" si="100"/>
        <v>3.7966768640025128</v>
      </c>
      <c r="DP93" s="3">
        <f t="shared" si="148"/>
        <v>1.7000000000000011</v>
      </c>
      <c r="DQ93" s="168">
        <f t="shared" si="149"/>
        <v>1.7000000000000011</v>
      </c>
      <c r="DR93" s="3">
        <f t="shared" si="101"/>
        <v>3.7966768640025128</v>
      </c>
      <c r="DU93" s="3">
        <f t="shared" si="150"/>
        <v>1.7000000000000011</v>
      </c>
      <c r="DV93" s="168">
        <f t="shared" si="151"/>
        <v>1.7000000000000011</v>
      </c>
      <c r="DW93" s="3">
        <f t="shared" si="102"/>
        <v>3.7966768640025128</v>
      </c>
      <c r="DZ93" s="3">
        <f t="shared" si="152"/>
        <v>1.7000000000000011</v>
      </c>
      <c r="EA93" s="3">
        <f t="shared" si="153"/>
        <v>1.7000000000000011</v>
      </c>
      <c r="EB93" s="3">
        <f t="shared" si="103"/>
        <v>3.7966768640025128</v>
      </c>
      <c r="EE93" s="3">
        <f t="shared" si="154"/>
        <v>1.7000000000000011</v>
      </c>
      <c r="EF93" s="168">
        <f t="shared" si="155"/>
        <v>1.7000000000000011</v>
      </c>
      <c r="EG93" s="3">
        <f t="shared" si="104"/>
        <v>3.7966768640025128</v>
      </c>
      <c r="EJ93" s="3">
        <f t="shared" si="156"/>
        <v>1.7000000000000011</v>
      </c>
      <c r="EK93" s="168">
        <f t="shared" si="157"/>
        <v>1.7000000000000011</v>
      </c>
      <c r="EL93" s="3">
        <f t="shared" si="105"/>
        <v>3.7966768640025128</v>
      </c>
      <c r="EO93" s="3">
        <f t="shared" si="158"/>
        <v>1.7000000000000011</v>
      </c>
      <c r="EP93" s="3">
        <f t="shared" si="159"/>
        <v>1.7000000000000011</v>
      </c>
      <c r="EQ93" s="3">
        <f t="shared" si="106"/>
        <v>3.7966768640025128</v>
      </c>
      <c r="ET93" s="3">
        <f t="shared" si="160"/>
        <v>1.7000000000000011</v>
      </c>
      <c r="EU93" s="168">
        <f t="shared" si="161"/>
        <v>1.7000000000000011</v>
      </c>
      <c r="EV93" s="3">
        <f t="shared" si="107"/>
        <v>3.7966768640025128</v>
      </c>
    </row>
    <row r="94" spans="20:152" s="3" customFormat="1" x14ac:dyDescent="0.3">
      <c r="T94" s="3">
        <f t="shared" si="108"/>
        <v>1.7200000000000011</v>
      </c>
      <c r="U94" s="168">
        <f t="shared" si="109"/>
        <v>1.7200000000000011</v>
      </c>
      <c r="V94" s="3">
        <f t="shared" si="81"/>
        <v>3.7225246621639405</v>
      </c>
      <c r="Y94" s="3">
        <f t="shared" si="110"/>
        <v>1.7200000000000011</v>
      </c>
      <c r="Z94" s="3">
        <f t="shared" si="111"/>
        <v>1.7200000000000011</v>
      </c>
      <c r="AA94" s="3">
        <f t="shared" si="82"/>
        <v>3.7225246621639405</v>
      </c>
      <c r="AD94" s="3">
        <f t="shared" si="112"/>
        <v>1.7200000000000011</v>
      </c>
      <c r="AE94" s="168">
        <f t="shared" si="113"/>
        <v>1.7200000000000011</v>
      </c>
      <c r="AF94" s="3">
        <f t="shared" si="83"/>
        <v>3.7225246621639405</v>
      </c>
      <c r="AI94" s="3">
        <f t="shared" si="114"/>
        <v>1.7200000000000011</v>
      </c>
      <c r="AJ94" s="168">
        <f t="shared" si="115"/>
        <v>1.7200000000000011</v>
      </c>
      <c r="AK94" s="3">
        <f t="shared" si="84"/>
        <v>3.7225246621639405</v>
      </c>
      <c r="AN94" s="3">
        <f t="shared" si="116"/>
        <v>1.7200000000000011</v>
      </c>
      <c r="AO94" s="3">
        <f t="shared" si="117"/>
        <v>1.7200000000000011</v>
      </c>
      <c r="AP94" s="3">
        <f t="shared" si="85"/>
        <v>3.7225246621639405</v>
      </c>
      <c r="AS94" s="3">
        <f t="shared" si="118"/>
        <v>1.7200000000000011</v>
      </c>
      <c r="AT94" s="168">
        <f t="shared" si="119"/>
        <v>1.7200000000000011</v>
      </c>
      <c r="AU94" s="3">
        <f t="shared" si="86"/>
        <v>3.7225246621639405</v>
      </c>
      <c r="AX94" s="3">
        <f t="shared" si="120"/>
        <v>1.7200000000000011</v>
      </c>
      <c r="AY94" s="168">
        <f t="shared" si="121"/>
        <v>1.7200000000000011</v>
      </c>
      <c r="AZ94" s="3">
        <f t="shared" si="87"/>
        <v>3.7225246621639405</v>
      </c>
      <c r="BC94" s="3">
        <f t="shared" si="122"/>
        <v>1.7200000000000011</v>
      </c>
      <c r="BD94" s="3">
        <f t="shared" si="123"/>
        <v>1.7200000000000011</v>
      </c>
      <c r="BE94" s="3">
        <f t="shared" si="88"/>
        <v>3.7225246621639405</v>
      </c>
      <c r="BH94" s="3">
        <f t="shared" si="124"/>
        <v>1.7200000000000011</v>
      </c>
      <c r="BI94" s="168">
        <f t="shared" si="125"/>
        <v>1.7200000000000011</v>
      </c>
      <c r="BJ94" s="3">
        <f t="shared" si="89"/>
        <v>3.7225246621639405</v>
      </c>
      <c r="BM94" s="3">
        <f t="shared" si="126"/>
        <v>1.7200000000000011</v>
      </c>
      <c r="BN94" s="168">
        <f t="shared" si="127"/>
        <v>1.7200000000000011</v>
      </c>
      <c r="BO94" s="3">
        <f t="shared" si="90"/>
        <v>3.7225246621639405</v>
      </c>
      <c r="BR94" s="3">
        <f t="shared" si="128"/>
        <v>1.7200000000000011</v>
      </c>
      <c r="BS94" s="3">
        <f t="shared" si="129"/>
        <v>1.7200000000000011</v>
      </c>
      <c r="BT94" s="3">
        <f t="shared" si="91"/>
        <v>3.7225246621639405</v>
      </c>
      <c r="BW94" s="3">
        <f t="shared" si="130"/>
        <v>1.7200000000000011</v>
      </c>
      <c r="BX94" s="168">
        <f t="shared" si="131"/>
        <v>1.7200000000000011</v>
      </c>
      <c r="BY94" s="3">
        <f t="shared" si="92"/>
        <v>3.7225246621639405</v>
      </c>
      <c r="CB94" s="3">
        <f t="shared" si="132"/>
        <v>1.7200000000000011</v>
      </c>
      <c r="CC94" s="168">
        <f t="shared" si="133"/>
        <v>1.7200000000000011</v>
      </c>
      <c r="CD94" s="3">
        <f t="shared" si="93"/>
        <v>3.7225246621639405</v>
      </c>
      <c r="CG94" s="3">
        <f t="shared" si="134"/>
        <v>1.7200000000000011</v>
      </c>
      <c r="CH94" s="3">
        <f t="shared" si="135"/>
        <v>1.7200000000000011</v>
      </c>
      <c r="CI94" s="3">
        <f t="shared" si="94"/>
        <v>3.7225246621639405</v>
      </c>
      <c r="CL94" s="3">
        <f t="shared" si="136"/>
        <v>1.7200000000000011</v>
      </c>
      <c r="CM94" s="168">
        <f t="shared" si="137"/>
        <v>1.7200000000000011</v>
      </c>
      <c r="CN94" s="3">
        <f t="shared" si="95"/>
        <v>3.7225246621639405</v>
      </c>
      <c r="CQ94" s="3">
        <f t="shared" si="138"/>
        <v>1.7200000000000011</v>
      </c>
      <c r="CR94" s="168">
        <f t="shared" si="139"/>
        <v>1.7200000000000011</v>
      </c>
      <c r="CS94" s="3">
        <f t="shared" si="96"/>
        <v>3.7225246621639405</v>
      </c>
      <c r="CV94" s="3">
        <f t="shared" si="140"/>
        <v>1.7200000000000011</v>
      </c>
      <c r="CW94" s="3">
        <f t="shared" si="141"/>
        <v>1.7200000000000011</v>
      </c>
      <c r="CX94" s="3">
        <f t="shared" si="97"/>
        <v>3.7225246621639405</v>
      </c>
      <c r="DA94" s="3">
        <f t="shared" si="142"/>
        <v>1.7200000000000011</v>
      </c>
      <c r="DB94" s="168">
        <f t="shared" si="143"/>
        <v>1.7200000000000011</v>
      </c>
      <c r="DC94" s="3">
        <f t="shared" si="98"/>
        <v>3.7225246621639405</v>
      </c>
      <c r="DF94" s="3">
        <f t="shared" si="144"/>
        <v>1.7200000000000011</v>
      </c>
      <c r="DG94" s="168">
        <f t="shared" si="145"/>
        <v>1.7200000000000011</v>
      </c>
      <c r="DH94" s="3">
        <f t="shared" si="99"/>
        <v>3.7225246621639405</v>
      </c>
      <c r="DK94" s="3">
        <f t="shared" si="146"/>
        <v>1.7200000000000011</v>
      </c>
      <c r="DL94" s="3">
        <f t="shared" si="147"/>
        <v>1.7200000000000011</v>
      </c>
      <c r="DM94" s="3">
        <f t="shared" si="100"/>
        <v>3.7225246621639405</v>
      </c>
      <c r="DP94" s="3">
        <f t="shared" si="148"/>
        <v>1.7200000000000011</v>
      </c>
      <c r="DQ94" s="168">
        <f t="shared" si="149"/>
        <v>1.7200000000000011</v>
      </c>
      <c r="DR94" s="3">
        <f t="shared" si="101"/>
        <v>3.7225246621639405</v>
      </c>
      <c r="DU94" s="3">
        <f t="shared" si="150"/>
        <v>1.7200000000000011</v>
      </c>
      <c r="DV94" s="168">
        <f t="shared" si="151"/>
        <v>1.7200000000000011</v>
      </c>
      <c r="DW94" s="3">
        <f t="shared" si="102"/>
        <v>3.7225246621639405</v>
      </c>
      <c r="DZ94" s="3">
        <f t="shared" si="152"/>
        <v>1.7200000000000011</v>
      </c>
      <c r="EA94" s="3">
        <f t="shared" si="153"/>
        <v>1.7200000000000011</v>
      </c>
      <c r="EB94" s="3">
        <f t="shared" si="103"/>
        <v>3.7225246621639405</v>
      </c>
      <c r="EE94" s="3">
        <f t="shared" si="154"/>
        <v>1.7200000000000011</v>
      </c>
      <c r="EF94" s="168">
        <f t="shared" si="155"/>
        <v>1.7200000000000011</v>
      </c>
      <c r="EG94" s="3">
        <f t="shared" si="104"/>
        <v>3.7225246621639405</v>
      </c>
      <c r="EJ94" s="3">
        <f t="shared" si="156"/>
        <v>1.7200000000000011</v>
      </c>
      <c r="EK94" s="168">
        <f t="shared" si="157"/>
        <v>1.7200000000000011</v>
      </c>
      <c r="EL94" s="3">
        <f t="shared" si="105"/>
        <v>3.7225246621639405</v>
      </c>
      <c r="EO94" s="3">
        <f t="shared" si="158"/>
        <v>1.7200000000000011</v>
      </c>
      <c r="EP94" s="3">
        <f t="shared" si="159"/>
        <v>1.7200000000000011</v>
      </c>
      <c r="EQ94" s="3">
        <f t="shared" si="106"/>
        <v>3.7225246621639405</v>
      </c>
      <c r="ET94" s="3">
        <f t="shared" si="160"/>
        <v>1.7200000000000011</v>
      </c>
      <c r="EU94" s="168">
        <f t="shared" si="161"/>
        <v>1.7200000000000011</v>
      </c>
      <c r="EV94" s="3">
        <f t="shared" si="107"/>
        <v>3.7225246621639405</v>
      </c>
    </row>
    <row r="95" spans="20:152" s="3" customFormat="1" x14ac:dyDescent="0.3">
      <c r="T95" s="3">
        <f t="shared" si="108"/>
        <v>1.7400000000000011</v>
      </c>
      <c r="U95" s="168">
        <f t="shared" si="109"/>
        <v>1.7400000000000011</v>
      </c>
      <c r="V95" s="3">
        <f t="shared" si="81"/>
        <v>3.6456639475975221</v>
      </c>
      <c r="Y95" s="3">
        <f t="shared" si="110"/>
        <v>1.7400000000000011</v>
      </c>
      <c r="Z95" s="3">
        <f t="shared" si="111"/>
        <v>1.7400000000000011</v>
      </c>
      <c r="AA95" s="3">
        <f t="shared" si="82"/>
        <v>3.6456639475975221</v>
      </c>
      <c r="AD95" s="3">
        <f t="shared" si="112"/>
        <v>1.7400000000000011</v>
      </c>
      <c r="AE95" s="168">
        <f t="shared" si="113"/>
        <v>1.7400000000000011</v>
      </c>
      <c r="AF95" s="3">
        <f t="shared" si="83"/>
        <v>3.6456639475975221</v>
      </c>
      <c r="AI95" s="3">
        <f t="shared" si="114"/>
        <v>1.7400000000000011</v>
      </c>
      <c r="AJ95" s="168">
        <f t="shared" si="115"/>
        <v>1.7400000000000011</v>
      </c>
      <c r="AK95" s="3">
        <f t="shared" si="84"/>
        <v>3.6456639475975221</v>
      </c>
      <c r="AN95" s="3">
        <f t="shared" si="116"/>
        <v>1.7400000000000011</v>
      </c>
      <c r="AO95" s="3">
        <f t="shared" si="117"/>
        <v>1.7400000000000011</v>
      </c>
      <c r="AP95" s="3">
        <f t="shared" si="85"/>
        <v>3.6456639475975221</v>
      </c>
      <c r="AS95" s="3">
        <f t="shared" si="118"/>
        <v>1.7400000000000011</v>
      </c>
      <c r="AT95" s="168">
        <f t="shared" si="119"/>
        <v>1.7400000000000011</v>
      </c>
      <c r="AU95" s="3">
        <f t="shared" si="86"/>
        <v>3.6456639475975221</v>
      </c>
      <c r="AX95" s="3">
        <f t="shared" si="120"/>
        <v>1.7400000000000011</v>
      </c>
      <c r="AY95" s="168">
        <f t="shared" si="121"/>
        <v>1.7400000000000011</v>
      </c>
      <c r="AZ95" s="3">
        <f t="shared" si="87"/>
        <v>3.6456639475975221</v>
      </c>
      <c r="BC95" s="3">
        <f t="shared" si="122"/>
        <v>1.7400000000000011</v>
      </c>
      <c r="BD95" s="3">
        <f t="shared" si="123"/>
        <v>1.7400000000000011</v>
      </c>
      <c r="BE95" s="3">
        <f t="shared" si="88"/>
        <v>3.6456639475975221</v>
      </c>
      <c r="BH95" s="3">
        <f t="shared" si="124"/>
        <v>1.7400000000000011</v>
      </c>
      <c r="BI95" s="168">
        <f t="shared" si="125"/>
        <v>1.7400000000000011</v>
      </c>
      <c r="BJ95" s="3">
        <f t="shared" si="89"/>
        <v>3.6456639475975221</v>
      </c>
      <c r="BM95" s="3">
        <f t="shared" si="126"/>
        <v>1.7400000000000011</v>
      </c>
      <c r="BN95" s="168">
        <f t="shared" si="127"/>
        <v>1.7400000000000011</v>
      </c>
      <c r="BO95" s="3">
        <f t="shared" si="90"/>
        <v>3.6456639475975221</v>
      </c>
      <c r="BR95" s="3">
        <f t="shared" si="128"/>
        <v>1.7400000000000011</v>
      </c>
      <c r="BS95" s="3">
        <f t="shared" si="129"/>
        <v>1.7400000000000011</v>
      </c>
      <c r="BT95" s="3">
        <f t="shared" si="91"/>
        <v>3.6456639475975221</v>
      </c>
      <c r="BW95" s="3">
        <f t="shared" si="130"/>
        <v>1.7400000000000011</v>
      </c>
      <c r="BX95" s="168">
        <f t="shared" si="131"/>
        <v>1.7400000000000011</v>
      </c>
      <c r="BY95" s="3">
        <f t="shared" si="92"/>
        <v>3.6456639475975221</v>
      </c>
      <c r="CB95" s="3">
        <f t="shared" si="132"/>
        <v>1.7400000000000011</v>
      </c>
      <c r="CC95" s="168">
        <f t="shared" si="133"/>
        <v>1.7400000000000011</v>
      </c>
      <c r="CD95" s="3">
        <f t="shared" si="93"/>
        <v>3.6456639475975221</v>
      </c>
      <c r="CG95" s="3">
        <f t="shared" si="134"/>
        <v>1.7400000000000011</v>
      </c>
      <c r="CH95" s="3">
        <f t="shared" si="135"/>
        <v>1.7400000000000011</v>
      </c>
      <c r="CI95" s="3">
        <f t="shared" si="94"/>
        <v>3.6456639475975221</v>
      </c>
      <c r="CL95" s="3">
        <f t="shared" si="136"/>
        <v>1.7400000000000011</v>
      </c>
      <c r="CM95" s="168">
        <f t="shared" si="137"/>
        <v>1.7400000000000011</v>
      </c>
      <c r="CN95" s="3">
        <f t="shared" si="95"/>
        <v>3.6456639475975221</v>
      </c>
      <c r="CQ95" s="3">
        <f t="shared" si="138"/>
        <v>1.7400000000000011</v>
      </c>
      <c r="CR95" s="168">
        <f t="shared" si="139"/>
        <v>1.7400000000000011</v>
      </c>
      <c r="CS95" s="3">
        <f t="shared" si="96"/>
        <v>3.6456639475975221</v>
      </c>
      <c r="CV95" s="3">
        <f t="shared" si="140"/>
        <v>1.7400000000000011</v>
      </c>
      <c r="CW95" s="3">
        <f t="shared" si="141"/>
        <v>1.7400000000000011</v>
      </c>
      <c r="CX95" s="3">
        <f t="shared" si="97"/>
        <v>3.6456639475975221</v>
      </c>
      <c r="DA95" s="3">
        <f t="shared" si="142"/>
        <v>1.7400000000000011</v>
      </c>
      <c r="DB95" s="168">
        <f t="shared" si="143"/>
        <v>1.7400000000000011</v>
      </c>
      <c r="DC95" s="3">
        <f t="shared" si="98"/>
        <v>3.6456639475975221</v>
      </c>
      <c r="DF95" s="3">
        <f t="shared" si="144"/>
        <v>1.7400000000000011</v>
      </c>
      <c r="DG95" s="168">
        <f t="shared" si="145"/>
        <v>1.7400000000000011</v>
      </c>
      <c r="DH95" s="3">
        <f t="shared" si="99"/>
        <v>3.6456639475975221</v>
      </c>
      <c r="DK95" s="3">
        <f t="shared" si="146"/>
        <v>1.7400000000000011</v>
      </c>
      <c r="DL95" s="3">
        <f t="shared" si="147"/>
        <v>1.7400000000000011</v>
      </c>
      <c r="DM95" s="3">
        <f t="shared" si="100"/>
        <v>3.6456639475975221</v>
      </c>
      <c r="DP95" s="3">
        <f t="shared" si="148"/>
        <v>1.7400000000000011</v>
      </c>
      <c r="DQ95" s="168">
        <f t="shared" si="149"/>
        <v>1.7400000000000011</v>
      </c>
      <c r="DR95" s="3">
        <f t="shared" si="101"/>
        <v>3.6456639475975221</v>
      </c>
      <c r="DU95" s="3">
        <f t="shared" si="150"/>
        <v>1.7400000000000011</v>
      </c>
      <c r="DV95" s="168">
        <f t="shared" si="151"/>
        <v>1.7400000000000011</v>
      </c>
      <c r="DW95" s="3">
        <f t="shared" si="102"/>
        <v>3.6456639475975221</v>
      </c>
      <c r="DZ95" s="3">
        <f t="shared" si="152"/>
        <v>1.7400000000000011</v>
      </c>
      <c r="EA95" s="3">
        <f t="shared" si="153"/>
        <v>1.7400000000000011</v>
      </c>
      <c r="EB95" s="3">
        <f t="shared" si="103"/>
        <v>3.6456639475975221</v>
      </c>
      <c r="EE95" s="3">
        <f t="shared" si="154"/>
        <v>1.7400000000000011</v>
      </c>
      <c r="EF95" s="168">
        <f t="shared" si="155"/>
        <v>1.7400000000000011</v>
      </c>
      <c r="EG95" s="3">
        <f t="shared" si="104"/>
        <v>3.6456639475975221</v>
      </c>
      <c r="EJ95" s="3">
        <f t="shared" si="156"/>
        <v>1.7400000000000011</v>
      </c>
      <c r="EK95" s="168">
        <f t="shared" si="157"/>
        <v>1.7400000000000011</v>
      </c>
      <c r="EL95" s="3">
        <f t="shared" si="105"/>
        <v>3.6456639475975221</v>
      </c>
      <c r="EO95" s="3">
        <f t="shared" si="158"/>
        <v>1.7400000000000011</v>
      </c>
      <c r="EP95" s="3">
        <f t="shared" si="159"/>
        <v>1.7400000000000011</v>
      </c>
      <c r="EQ95" s="3">
        <f t="shared" si="106"/>
        <v>3.6456639475975221</v>
      </c>
      <c r="ET95" s="3">
        <f t="shared" si="160"/>
        <v>1.7400000000000011</v>
      </c>
      <c r="EU95" s="168">
        <f t="shared" si="161"/>
        <v>1.7400000000000011</v>
      </c>
      <c r="EV95" s="3">
        <f t="shared" si="107"/>
        <v>3.6456639475975221</v>
      </c>
    </row>
    <row r="96" spans="20:152" s="3" customFormat="1" x14ac:dyDescent="0.3">
      <c r="T96" s="3">
        <f t="shared" si="108"/>
        <v>1.7600000000000011</v>
      </c>
      <c r="U96" s="168">
        <f t="shared" si="109"/>
        <v>1.7600000000000011</v>
      </c>
      <c r="V96" s="3">
        <f t="shared" si="81"/>
        <v>3.5660947203032576</v>
      </c>
      <c r="Y96" s="3">
        <f t="shared" si="110"/>
        <v>1.7600000000000011</v>
      </c>
      <c r="Z96" s="3">
        <f t="shared" si="111"/>
        <v>1.7600000000000011</v>
      </c>
      <c r="AA96" s="3">
        <f t="shared" si="82"/>
        <v>3.5660947203032576</v>
      </c>
      <c r="AD96" s="3">
        <f t="shared" si="112"/>
        <v>1.7600000000000011</v>
      </c>
      <c r="AE96" s="168">
        <f t="shared" si="113"/>
        <v>1.7600000000000011</v>
      </c>
      <c r="AF96" s="3">
        <f t="shared" si="83"/>
        <v>3.5660947203032576</v>
      </c>
      <c r="AI96" s="3">
        <f t="shared" si="114"/>
        <v>1.7600000000000011</v>
      </c>
      <c r="AJ96" s="168">
        <f t="shared" si="115"/>
        <v>1.7600000000000011</v>
      </c>
      <c r="AK96" s="3">
        <f t="shared" si="84"/>
        <v>3.5660947203032576</v>
      </c>
      <c r="AN96" s="3">
        <f t="shared" si="116"/>
        <v>1.7600000000000011</v>
      </c>
      <c r="AO96" s="3">
        <f t="shared" si="117"/>
        <v>1.7600000000000011</v>
      </c>
      <c r="AP96" s="3">
        <f t="shared" si="85"/>
        <v>3.5660947203032576</v>
      </c>
      <c r="AS96" s="3">
        <f t="shared" si="118"/>
        <v>1.7600000000000011</v>
      </c>
      <c r="AT96" s="168">
        <f t="shared" si="119"/>
        <v>1.7600000000000011</v>
      </c>
      <c r="AU96" s="3">
        <f t="shared" si="86"/>
        <v>3.5660947203032576</v>
      </c>
      <c r="AX96" s="3">
        <f t="shared" si="120"/>
        <v>1.7600000000000011</v>
      </c>
      <c r="AY96" s="168">
        <f t="shared" si="121"/>
        <v>1.7600000000000011</v>
      </c>
      <c r="AZ96" s="3">
        <f t="shared" si="87"/>
        <v>3.5660947203032576</v>
      </c>
      <c r="BC96" s="3">
        <f t="shared" si="122"/>
        <v>1.7600000000000011</v>
      </c>
      <c r="BD96" s="3">
        <f t="shared" si="123"/>
        <v>1.7600000000000011</v>
      </c>
      <c r="BE96" s="3">
        <f t="shared" si="88"/>
        <v>3.5660947203032576</v>
      </c>
      <c r="BH96" s="3">
        <f t="shared" si="124"/>
        <v>1.7600000000000011</v>
      </c>
      <c r="BI96" s="168">
        <f t="shared" si="125"/>
        <v>1.7600000000000011</v>
      </c>
      <c r="BJ96" s="3">
        <f t="shared" si="89"/>
        <v>3.5660947203032576</v>
      </c>
      <c r="BM96" s="3">
        <f t="shared" si="126"/>
        <v>1.7600000000000011</v>
      </c>
      <c r="BN96" s="168">
        <f t="shared" si="127"/>
        <v>1.7600000000000011</v>
      </c>
      <c r="BO96" s="3">
        <f t="shared" si="90"/>
        <v>3.5660947203032576</v>
      </c>
      <c r="BR96" s="3">
        <f t="shared" si="128"/>
        <v>1.7600000000000011</v>
      </c>
      <c r="BS96" s="3">
        <f t="shared" si="129"/>
        <v>1.7600000000000011</v>
      </c>
      <c r="BT96" s="3">
        <f t="shared" si="91"/>
        <v>3.5660947203032576</v>
      </c>
      <c r="BW96" s="3">
        <f t="shared" si="130"/>
        <v>1.7600000000000011</v>
      </c>
      <c r="BX96" s="168">
        <f t="shared" si="131"/>
        <v>1.7600000000000011</v>
      </c>
      <c r="BY96" s="3">
        <f t="shared" si="92"/>
        <v>3.5660947203032576</v>
      </c>
      <c r="CB96" s="3">
        <f t="shared" si="132"/>
        <v>1.7600000000000011</v>
      </c>
      <c r="CC96" s="168">
        <f t="shared" si="133"/>
        <v>1.7600000000000011</v>
      </c>
      <c r="CD96" s="3">
        <f t="shared" si="93"/>
        <v>3.5660947203032576</v>
      </c>
      <c r="CG96" s="3">
        <f t="shared" si="134"/>
        <v>1.7600000000000011</v>
      </c>
      <c r="CH96" s="3">
        <f t="shared" si="135"/>
        <v>1.7600000000000011</v>
      </c>
      <c r="CI96" s="3">
        <f t="shared" si="94"/>
        <v>3.5660947203032576</v>
      </c>
      <c r="CL96" s="3">
        <f t="shared" si="136"/>
        <v>1.7600000000000011</v>
      </c>
      <c r="CM96" s="168">
        <f t="shared" si="137"/>
        <v>1.7600000000000011</v>
      </c>
      <c r="CN96" s="3">
        <f t="shared" si="95"/>
        <v>3.5660947203032576</v>
      </c>
      <c r="CQ96" s="3">
        <f t="shared" si="138"/>
        <v>1.7600000000000011</v>
      </c>
      <c r="CR96" s="168">
        <f t="shared" si="139"/>
        <v>1.7600000000000011</v>
      </c>
      <c r="CS96" s="3">
        <f t="shared" si="96"/>
        <v>3.5660947203032576</v>
      </c>
      <c r="CV96" s="3">
        <f t="shared" si="140"/>
        <v>1.7600000000000011</v>
      </c>
      <c r="CW96" s="3">
        <f t="shared" si="141"/>
        <v>1.7600000000000011</v>
      </c>
      <c r="CX96" s="3">
        <f t="shared" si="97"/>
        <v>3.5660947203032576</v>
      </c>
      <c r="DA96" s="3">
        <f t="shared" si="142"/>
        <v>1.7600000000000011</v>
      </c>
      <c r="DB96" s="168">
        <f t="shared" si="143"/>
        <v>1.7600000000000011</v>
      </c>
      <c r="DC96" s="3">
        <f t="shared" si="98"/>
        <v>3.5660947203032576</v>
      </c>
      <c r="DF96" s="3">
        <f t="shared" si="144"/>
        <v>1.7600000000000011</v>
      </c>
      <c r="DG96" s="168">
        <f t="shared" si="145"/>
        <v>1.7600000000000011</v>
      </c>
      <c r="DH96" s="3">
        <f t="shared" si="99"/>
        <v>3.5660947203032576</v>
      </c>
      <c r="DK96" s="3">
        <f t="shared" si="146"/>
        <v>1.7600000000000011</v>
      </c>
      <c r="DL96" s="3">
        <f t="shared" si="147"/>
        <v>1.7600000000000011</v>
      </c>
      <c r="DM96" s="3">
        <f t="shared" si="100"/>
        <v>3.5660947203032576</v>
      </c>
      <c r="DP96" s="3">
        <f t="shared" si="148"/>
        <v>1.7600000000000011</v>
      </c>
      <c r="DQ96" s="168">
        <f t="shared" si="149"/>
        <v>1.7600000000000011</v>
      </c>
      <c r="DR96" s="3">
        <f t="shared" si="101"/>
        <v>3.5660947203032576</v>
      </c>
      <c r="DU96" s="3">
        <f t="shared" si="150"/>
        <v>1.7600000000000011</v>
      </c>
      <c r="DV96" s="168">
        <f t="shared" si="151"/>
        <v>1.7600000000000011</v>
      </c>
      <c r="DW96" s="3">
        <f t="shared" si="102"/>
        <v>3.5660947203032576</v>
      </c>
      <c r="DZ96" s="3">
        <f t="shared" si="152"/>
        <v>1.7600000000000011</v>
      </c>
      <c r="EA96" s="3">
        <f t="shared" si="153"/>
        <v>1.7600000000000011</v>
      </c>
      <c r="EB96" s="3">
        <f t="shared" si="103"/>
        <v>3.5660947203032576</v>
      </c>
      <c r="EE96" s="3">
        <f t="shared" si="154"/>
        <v>1.7600000000000011</v>
      </c>
      <c r="EF96" s="168">
        <f t="shared" si="155"/>
        <v>1.7600000000000011</v>
      </c>
      <c r="EG96" s="3">
        <f t="shared" si="104"/>
        <v>3.5660947203032576</v>
      </c>
      <c r="EJ96" s="3">
        <f t="shared" si="156"/>
        <v>1.7600000000000011</v>
      </c>
      <c r="EK96" s="168">
        <f t="shared" si="157"/>
        <v>1.7600000000000011</v>
      </c>
      <c r="EL96" s="3">
        <f t="shared" si="105"/>
        <v>3.5660947203032576</v>
      </c>
      <c r="EO96" s="3">
        <f t="shared" si="158"/>
        <v>1.7600000000000011</v>
      </c>
      <c r="EP96" s="3">
        <f t="shared" si="159"/>
        <v>1.7600000000000011</v>
      </c>
      <c r="EQ96" s="3">
        <f t="shared" si="106"/>
        <v>3.5660947203032576</v>
      </c>
      <c r="ET96" s="3">
        <f t="shared" si="160"/>
        <v>1.7600000000000011</v>
      </c>
      <c r="EU96" s="168">
        <f t="shared" si="161"/>
        <v>1.7600000000000011</v>
      </c>
      <c r="EV96" s="3">
        <f t="shared" si="107"/>
        <v>3.5660947203032576</v>
      </c>
    </row>
    <row r="97" spans="20:152" s="3" customFormat="1" x14ac:dyDescent="0.3">
      <c r="T97" s="3">
        <f t="shared" si="108"/>
        <v>1.7800000000000011</v>
      </c>
      <c r="U97" s="168">
        <f t="shared" si="109"/>
        <v>1.7800000000000011</v>
      </c>
      <c r="V97" s="3">
        <f t="shared" si="81"/>
        <v>3.4838169802811434</v>
      </c>
      <c r="Y97" s="3">
        <f t="shared" si="110"/>
        <v>1.7800000000000011</v>
      </c>
      <c r="Z97" s="3">
        <f t="shared" si="111"/>
        <v>1.7800000000000011</v>
      </c>
      <c r="AA97" s="3">
        <f t="shared" si="82"/>
        <v>3.4838169802811434</v>
      </c>
      <c r="AD97" s="3">
        <f t="shared" si="112"/>
        <v>1.7800000000000011</v>
      </c>
      <c r="AE97" s="168">
        <f t="shared" si="113"/>
        <v>1.7800000000000011</v>
      </c>
      <c r="AF97" s="3">
        <f t="shared" si="83"/>
        <v>3.4838169802811434</v>
      </c>
      <c r="AI97" s="3">
        <f t="shared" si="114"/>
        <v>1.7800000000000011</v>
      </c>
      <c r="AJ97" s="168">
        <f t="shared" si="115"/>
        <v>1.7800000000000011</v>
      </c>
      <c r="AK97" s="3">
        <f t="shared" si="84"/>
        <v>3.4838169802811434</v>
      </c>
      <c r="AN97" s="3">
        <f t="shared" si="116"/>
        <v>1.7800000000000011</v>
      </c>
      <c r="AO97" s="3">
        <f t="shared" si="117"/>
        <v>1.7800000000000011</v>
      </c>
      <c r="AP97" s="3">
        <f t="shared" si="85"/>
        <v>3.4838169802811434</v>
      </c>
      <c r="AS97" s="3">
        <f t="shared" si="118"/>
        <v>1.7800000000000011</v>
      </c>
      <c r="AT97" s="168">
        <f t="shared" si="119"/>
        <v>1.7800000000000011</v>
      </c>
      <c r="AU97" s="3">
        <f t="shared" si="86"/>
        <v>3.4838169802811434</v>
      </c>
      <c r="AX97" s="3">
        <f t="shared" si="120"/>
        <v>1.7800000000000011</v>
      </c>
      <c r="AY97" s="168">
        <f t="shared" si="121"/>
        <v>1.7800000000000011</v>
      </c>
      <c r="AZ97" s="3">
        <f t="shared" si="87"/>
        <v>3.4838169802811434</v>
      </c>
      <c r="BC97" s="3">
        <f t="shared" si="122"/>
        <v>1.7800000000000011</v>
      </c>
      <c r="BD97" s="3">
        <f t="shared" si="123"/>
        <v>1.7800000000000011</v>
      </c>
      <c r="BE97" s="3">
        <f t="shared" si="88"/>
        <v>3.4838169802811434</v>
      </c>
      <c r="BH97" s="3">
        <f t="shared" si="124"/>
        <v>1.7800000000000011</v>
      </c>
      <c r="BI97" s="168">
        <f t="shared" si="125"/>
        <v>1.7800000000000011</v>
      </c>
      <c r="BJ97" s="3">
        <f t="shared" si="89"/>
        <v>3.4838169802811434</v>
      </c>
      <c r="BM97" s="3">
        <f t="shared" si="126"/>
        <v>1.7800000000000011</v>
      </c>
      <c r="BN97" s="168">
        <f t="shared" si="127"/>
        <v>1.7800000000000011</v>
      </c>
      <c r="BO97" s="3">
        <f t="shared" si="90"/>
        <v>3.4838169802811434</v>
      </c>
      <c r="BR97" s="3">
        <f t="shared" si="128"/>
        <v>1.7800000000000011</v>
      </c>
      <c r="BS97" s="3">
        <f t="shared" si="129"/>
        <v>1.7800000000000011</v>
      </c>
      <c r="BT97" s="3">
        <f t="shared" si="91"/>
        <v>3.4838169802811434</v>
      </c>
      <c r="BW97" s="3">
        <f t="shared" si="130"/>
        <v>1.7800000000000011</v>
      </c>
      <c r="BX97" s="168">
        <f t="shared" si="131"/>
        <v>1.7800000000000011</v>
      </c>
      <c r="BY97" s="3">
        <f t="shared" si="92"/>
        <v>3.4838169802811434</v>
      </c>
      <c r="CB97" s="3">
        <f t="shared" si="132"/>
        <v>1.7800000000000011</v>
      </c>
      <c r="CC97" s="168">
        <f t="shared" si="133"/>
        <v>1.7800000000000011</v>
      </c>
      <c r="CD97" s="3">
        <f t="shared" si="93"/>
        <v>3.4838169802811434</v>
      </c>
      <c r="CG97" s="3">
        <f t="shared" si="134"/>
        <v>1.7800000000000011</v>
      </c>
      <c r="CH97" s="3">
        <f t="shared" si="135"/>
        <v>1.7800000000000011</v>
      </c>
      <c r="CI97" s="3">
        <f t="shared" si="94"/>
        <v>3.4838169802811434</v>
      </c>
      <c r="CL97" s="3">
        <f t="shared" si="136"/>
        <v>1.7800000000000011</v>
      </c>
      <c r="CM97" s="168">
        <f t="shared" si="137"/>
        <v>1.7800000000000011</v>
      </c>
      <c r="CN97" s="3">
        <f t="shared" si="95"/>
        <v>3.4838169802811434</v>
      </c>
      <c r="CQ97" s="3">
        <f t="shared" si="138"/>
        <v>1.7800000000000011</v>
      </c>
      <c r="CR97" s="168">
        <f t="shared" si="139"/>
        <v>1.7800000000000011</v>
      </c>
      <c r="CS97" s="3">
        <f t="shared" si="96"/>
        <v>3.4838169802811434</v>
      </c>
      <c r="CV97" s="3">
        <f t="shared" si="140"/>
        <v>1.7800000000000011</v>
      </c>
      <c r="CW97" s="3">
        <f t="shared" si="141"/>
        <v>1.7800000000000011</v>
      </c>
      <c r="CX97" s="3">
        <f t="shared" si="97"/>
        <v>3.4838169802811434</v>
      </c>
      <c r="DA97" s="3">
        <f t="shared" si="142"/>
        <v>1.7800000000000011</v>
      </c>
      <c r="DB97" s="168">
        <f t="shared" si="143"/>
        <v>1.7800000000000011</v>
      </c>
      <c r="DC97" s="3">
        <f t="shared" si="98"/>
        <v>3.4838169802811434</v>
      </c>
      <c r="DF97" s="3">
        <f t="shared" si="144"/>
        <v>1.7800000000000011</v>
      </c>
      <c r="DG97" s="168">
        <f t="shared" si="145"/>
        <v>1.7800000000000011</v>
      </c>
      <c r="DH97" s="3">
        <f t="shared" si="99"/>
        <v>3.4838169802811434</v>
      </c>
      <c r="DK97" s="3">
        <f t="shared" si="146"/>
        <v>1.7800000000000011</v>
      </c>
      <c r="DL97" s="3">
        <f t="shared" si="147"/>
        <v>1.7800000000000011</v>
      </c>
      <c r="DM97" s="3">
        <f t="shared" si="100"/>
        <v>3.4838169802811434</v>
      </c>
      <c r="DP97" s="3">
        <f t="shared" si="148"/>
        <v>1.7800000000000011</v>
      </c>
      <c r="DQ97" s="168">
        <f t="shared" si="149"/>
        <v>1.7800000000000011</v>
      </c>
      <c r="DR97" s="3">
        <f t="shared" si="101"/>
        <v>3.4838169802811434</v>
      </c>
      <c r="DU97" s="3">
        <f t="shared" si="150"/>
        <v>1.7800000000000011</v>
      </c>
      <c r="DV97" s="168">
        <f t="shared" si="151"/>
        <v>1.7800000000000011</v>
      </c>
      <c r="DW97" s="3">
        <f t="shared" si="102"/>
        <v>3.4838169802811434</v>
      </c>
      <c r="DZ97" s="3">
        <f t="shared" si="152"/>
        <v>1.7800000000000011</v>
      </c>
      <c r="EA97" s="3">
        <f t="shared" si="153"/>
        <v>1.7800000000000011</v>
      </c>
      <c r="EB97" s="3">
        <f t="shared" si="103"/>
        <v>3.4838169802811434</v>
      </c>
      <c r="EE97" s="3">
        <f t="shared" si="154"/>
        <v>1.7800000000000011</v>
      </c>
      <c r="EF97" s="168">
        <f t="shared" si="155"/>
        <v>1.7800000000000011</v>
      </c>
      <c r="EG97" s="3">
        <f t="shared" si="104"/>
        <v>3.4838169802811434</v>
      </c>
      <c r="EJ97" s="3">
        <f t="shared" si="156"/>
        <v>1.7800000000000011</v>
      </c>
      <c r="EK97" s="168">
        <f t="shared" si="157"/>
        <v>1.7800000000000011</v>
      </c>
      <c r="EL97" s="3">
        <f t="shared" si="105"/>
        <v>3.4838169802811434</v>
      </c>
      <c r="EO97" s="3">
        <f t="shared" si="158"/>
        <v>1.7800000000000011</v>
      </c>
      <c r="EP97" s="3">
        <f t="shared" si="159"/>
        <v>1.7800000000000011</v>
      </c>
      <c r="EQ97" s="3">
        <f t="shared" si="106"/>
        <v>3.4838169802811434</v>
      </c>
      <c r="ET97" s="3">
        <f t="shared" si="160"/>
        <v>1.7800000000000011</v>
      </c>
      <c r="EU97" s="168">
        <f t="shared" si="161"/>
        <v>1.7800000000000011</v>
      </c>
      <c r="EV97" s="3">
        <f t="shared" si="107"/>
        <v>3.4838169802811434</v>
      </c>
    </row>
    <row r="98" spans="20:152" s="3" customFormat="1" x14ac:dyDescent="0.3">
      <c r="T98" s="3">
        <f t="shared" si="108"/>
        <v>1.8000000000000012</v>
      </c>
      <c r="U98" s="168">
        <f t="shared" si="109"/>
        <v>1.8000000000000012</v>
      </c>
      <c r="V98" s="3">
        <f t="shared" si="81"/>
        <v>3.3988307275311831</v>
      </c>
      <c r="Y98" s="3">
        <f t="shared" si="110"/>
        <v>1.8000000000000012</v>
      </c>
      <c r="Z98" s="3">
        <f t="shared" si="111"/>
        <v>1.8000000000000012</v>
      </c>
      <c r="AA98" s="3">
        <f t="shared" si="82"/>
        <v>3.3988307275311831</v>
      </c>
      <c r="AD98" s="3">
        <f t="shared" si="112"/>
        <v>1.8000000000000012</v>
      </c>
      <c r="AE98" s="168">
        <f t="shared" si="113"/>
        <v>1.8000000000000012</v>
      </c>
      <c r="AF98" s="3">
        <f t="shared" si="83"/>
        <v>3.3988307275311831</v>
      </c>
      <c r="AI98" s="3">
        <f t="shared" si="114"/>
        <v>1.8000000000000012</v>
      </c>
      <c r="AJ98" s="168">
        <f t="shared" si="115"/>
        <v>1.8000000000000012</v>
      </c>
      <c r="AK98" s="3">
        <f t="shared" si="84"/>
        <v>3.3988307275311831</v>
      </c>
      <c r="AN98" s="3">
        <f t="shared" si="116"/>
        <v>1.8000000000000012</v>
      </c>
      <c r="AO98" s="3">
        <f t="shared" si="117"/>
        <v>1.8000000000000012</v>
      </c>
      <c r="AP98" s="3">
        <f t="shared" si="85"/>
        <v>3.3988307275311831</v>
      </c>
      <c r="AS98" s="3">
        <f t="shared" si="118"/>
        <v>1.8000000000000012</v>
      </c>
      <c r="AT98" s="168">
        <f t="shared" si="119"/>
        <v>1.8000000000000012</v>
      </c>
      <c r="AU98" s="3">
        <f t="shared" si="86"/>
        <v>3.3988307275311831</v>
      </c>
      <c r="AX98" s="3">
        <f t="shared" si="120"/>
        <v>1.8000000000000012</v>
      </c>
      <c r="AY98" s="168">
        <f t="shared" si="121"/>
        <v>1.8000000000000012</v>
      </c>
      <c r="AZ98" s="3">
        <f t="shared" si="87"/>
        <v>3.3988307275311831</v>
      </c>
      <c r="BC98" s="3">
        <f t="shared" si="122"/>
        <v>1.8000000000000012</v>
      </c>
      <c r="BD98" s="3">
        <f t="shared" si="123"/>
        <v>1.8000000000000012</v>
      </c>
      <c r="BE98" s="3">
        <f t="shared" si="88"/>
        <v>3.3988307275311831</v>
      </c>
      <c r="BH98" s="3">
        <f t="shared" si="124"/>
        <v>1.8000000000000012</v>
      </c>
      <c r="BI98" s="168">
        <f t="shared" si="125"/>
        <v>1.8000000000000012</v>
      </c>
      <c r="BJ98" s="3">
        <f t="shared" si="89"/>
        <v>3.3988307275311831</v>
      </c>
      <c r="BM98" s="3">
        <f t="shared" si="126"/>
        <v>1.8000000000000012</v>
      </c>
      <c r="BN98" s="168">
        <f t="shared" si="127"/>
        <v>1.8000000000000012</v>
      </c>
      <c r="BO98" s="3">
        <f t="shared" si="90"/>
        <v>3.3988307275311831</v>
      </c>
      <c r="BR98" s="3">
        <f t="shared" si="128"/>
        <v>1.8000000000000012</v>
      </c>
      <c r="BS98" s="3">
        <f t="shared" si="129"/>
        <v>1.8000000000000012</v>
      </c>
      <c r="BT98" s="3">
        <f t="shared" si="91"/>
        <v>3.3988307275311831</v>
      </c>
      <c r="BW98" s="3">
        <f t="shared" si="130"/>
        <v>1.8000000000000012</v>
      </c>
      <c r="BX98" s="168">
        <f t="shared" si="131"/>
        <v>1.8000000000000012</v>
      </c>
      <c r="BY98" s="3">
        <f t="shared" si="92"/>
        <v>3.3988307275311831</v>
      </c>
      <c r="CB98" s="3">
        <f t="shared" si="132"/>
        <v>1.8000000000000012</v>
      </c>
      <c r="CC98" s="168">
        <f t="shared" si="133"/>
        <v>1.8000000000000012</v>
      </c>
      <c r="CD98" s="3">
        <f t="shared" si="93"/>
        <v>3.3988307275311831</v>
      </c>
      <c r="CG98" s="3">
        <f t="shared" si="134"/>
        <v>1.8000000000000012</v>
      </c>
      <c r="CH98" s="3">
        <f t="shared" si="135"/>
        <v>1.8000000000000012</v>
      </c>
      <c r="CI98" s="3">
        <f t="shared" si="94"/>
        <v>3.3988307275311831</v>
      </c>
      <c r="CL98" s="3">
        <f t="shared" si="136"/>
        <v>1.8000000000000012</v>
      </c>
      <c r="CM98" s="168">
        <f t="shared" si="137"/>
        <v>1.8000000000000012</v>
      </c>
      <c r="CN98" s="3">
        <f t="shared" si="95"/>
        <v>3.3988307275311831</v>
      </c>
      <c r="CQ98" s="3">
        <f t="shared" si="138"/>
        <v>1.8000000000000012</v>
      </c>
      <c r="CR98" s="168">
        <f t="shared" si="139"/>
        <v>1.8000000000000012</v>
      </c>
      <c r="CS98" s="3">
        <f t="shared" si="96"/>
        <v>3.3988307275311831</v>
      </c>
      <c r="CV98" s="3">
        <f t="shared" si="140"/>
        <v>1.8000000000000012</v>
      </c>
      <c r="CW98" s="3">
        <f t="shared" si="141"/>
        <v>1.8000000000000012</v>
      </c>
      <c r="CX98" s="3">
        <f t="shared" si="97"/>
        <v>3.3988307275311831</v>
      </c>
      <c r="DA98" s="3">
        <f t="shared" si="142"/>
        <v>1.8000000000000012</v>
      </c>
      <c r="DB98" s="168">
        <f t="shared" si="143"/>
        <v>1.8000000000000012</v>
      </c>
      <c r="DC98" s="3">
        <f t="shared" si="98"/>
        <v>3.3988307275311831</v>
      </c>
      <c r="DF98" s="3">
        <f t="shared" si="144"/>
        <v>1.8000000000000012</v>
      </c>
      <c r="DG98" s="168">
        <f t="shared" si="145"/>
        <v>1.8000000000000012</v>
      </c>
      <c r="DH98" s="3">
        <f t="shared" si="99"/>
        <v>3.3988307275311831</v>
      </c>
      <c r="DK98" s="3">
        <f t="shared" si="146"/>
        <v>1.8000000000000012</v>
      </c>
      <c r="DL98" s="3">
        <f t="shared" si="147"/>
        <v>1.8000000000000012</v>
      </c>
      <c r="DM98" s="3">
        <f t="shared" si="100"/>
        <v>3.3988307275311831</v>
      </c>
      <c r="DP98" s="3">
        <f t="shared" si="148"/>
        <v>1.8000000000000012</v>
      </c>
      <c r="DQ98" s="168">
        <f t="shared" si="149"/>
        <v>1.8000000000000012</v>
      </c>
      <c r="DR98" s="3">
        <f t="shared" si="101"/>
        <v>3.3988307275311831</v>
      </c>
      <c r="DU98" s="3">
        <f t="shared" si="150"/>
        <v>1.8000000000000012</v>
      </c>
      <c r="DV98" s="168">
        <f t="shared" si="151"/>
        <v>1.8000000000000012</v>
      </c>
      <c r="DW98" s="3">
        <f t="shared" si="102"/>
        <v>3.3988307275311831</v>
      </c>
      <c r="DZ98" s="3">
        <f t="shared" si="152"/>
        <v>1.8000000000000012</v>
      </c>
      <c r="EA98" s="3">
        <f t="shared" si="153"/>
        <v>1.8000000000000012</v>
      </c>
      <c r="EB98" s="3">
        <f t="shared" si="103"/>
        <v>3.3988307275311831</v>
      </c>
      <c r="EE98" s="3">
        <f t="shared" si="154"/>
        <v>1.8000000000000012</v>
      </c>
      <c r="EF98" s="168">
        <f t="shared" si="155"/>
        <v>1.8000000000000012</v>
      </c>
      <c r="EG98" s="3">
        <f t="shared" si="104"/>
        <v>3.3988307275311831</v>
      </c>
      <c r="EJ98" s="3">
        <f t="shared" si="156"/>
        <v>1.8000000000000012</v>
      </c>
      <c r="EK98" s="168">
        <f t="shared" si="157"/>
        <v>1.8000000000000012</v>
      </c>
      <c r="EL98" s="3">
        <f t="shared" si="105"/>
        <v>3.3988307275311831</v>
      </c>
      <c r="EO98" s="3">
        <f t="shared" si="158"/>
        <v>1.8000000000000012</v>
      </c>
      <c r="EP98" s="3">
        <f t="shared" si="159"/>
        <v>1.8000000000000012</v>
      </c>
      <c r="EQ98" s="3">
        <f t="shared" si="106"/>
        <v>3.3988307275311831</v>
      </c>
      <c r="ET98" s="3">
        <f t="shared" si="160"/>
        <v>1.8000000000000012</v>
      </c>
      <c r="EU98" s="168">
        <f t="shared" si="161"/>
        <v>1.8000000000000012</v>
      </c>
      <c r="EV98" s="3">
        <f t="shared" si="107"/>
        <v>3.3988307275311831</v>
      </c>
    </row>
    <row r="99" spans="20:152" s="3" customFormat="1" x14ac:dyDescent="0.3">
      <c r="T99" s="3">
        <f t="shared" si="108"/>
        <v>1.8200000000000012</v>
      </c>
      <c r="U99" s="168">
        <f t="shared" si="109"/>
        <v>1.8200000000000012</v>
      </c>
      <c r="V99" s="3">
        <f t="shared" si="81"/>
        <v>3.3111359620533767</v>
      </c>
      <c r="Y99" s="3">
        <f t="shared" si="110"/>
        <v>1.8200000000000012</v>
      </c>
      <c r="Z99" s="3">
        <f t="shared" si="111"/>
        <v>1.8200000000000012</v>
      </c>
      <c r="AA99" s="3">
        <f t="shared" si="82"/>
        <v>3.3111359620533767</v>
      </c>
      <c r="AD99" s="3">
        <f t="shared" si="112"/>
        <v>1.8200000000000012</v>
      </c>
      <c r="AE99" s="168">
        <f t="shared" si="113"/>
        <v>1.8200000000000012</v>
      </c>
      <c r="AF99" s="3">
        <f t="shared" si="83"/>
        <v>3.3111359620533767</v>
      </c>
      <c r="AI99" s="3">
        <f t="shared" si="114"/>
        <v>1.8200000000000012</v>
      </c>
      <c r="AJ99" s="168">
        <f t="shared" si="115"/>
        <v>1.8200000000000012</v>
      </c>
      <c r="AK99" s="3">
        <f t="shared" si="84"/>
        <v>3.3111359620533767</v>
      </c>
      <c r="AN99" s="3">
        <f t="shared" si="116"/>
        <v>1.8200000000000012</v>
      </c>
      <c r="AO99" s="3">
        <f t="shared" si="117"/>
        <v>1.8200000000000012</v>
      </c>
      <c r="AP99" s="3">
        <f t="shared" si="85"/>
        <v>3.3111359620533767</v>
      </c>
      <c r="AS99" s="3">
        <f t="shared" si="118"/>
        <v>1.8200000000000012</v>
      </c>
      <c r="AT99" s="168">
        <f t="shared" si="119"/>
        <v>1.8200000000000012</v>
      </c>
      <c r="AU99" s="3">
        <f t="shared" si="86"/>
        <v>3.3111359620533767</v>
      </c>
      <c r="AX99" s="3">
        <f t="shared" si="120"/>
        <v>1.8200000000000012</v>
      </c>
      <c r="AY99" s="168">
        <f t="shared" si="121"/>
        <v>1.8200000000000012</v>
      </c>
      <c r="AZ99" s="3">
        <f t="shared" si="87"/>
        <v>3.3111359620533767</v>
      </c>
      <c r="BC99" s="3">
        <f t="shared" si="122"/>
        <v>1.8200000000000012</v>
      </c>
      <c r="BD99" s="3">
        <f t="shared" si="123"/>
        <v>1.8200000000000012</v>
      </c>
      <c r="BE99" s="3">
        <f t="shared" si="88"/>
        <v>3.3111359620533767</v>
      </c>
      <c r="BH99" s="3">
        <f t="shared" si="124"/>
        <v>1.8200000000000012</v>
      </c>
      <c r="BI99" s="168">
        <f t="shared" si="125"/>
        <v>1.8200000000000012</v>
      </c>
      <c r="BJ99" s="3">
        <f t="shared" si="89"/>
        <v>3.3111359620533767</v>
      </c>
      <c r="BM99" s="3">
        <f t="shared" si="126"/>
        <v>1.8200000000000012</v>
      </c>
      <c r="BN99" s="168">
        <f t="shared" si="127"/>
        <v>1.8200000000000012</v>
      </c>
      <c r="BO99" s="3">
        <f t="shared" si="90"/>
        <v>3.3111359620533767</v>
      </c>
      <c r="BR99" s="3">
        <f t="shared" si="128"/>
        <v>1.8200000000000012</v>
      </c>
      <c r="BS99" s="3">
        <f t="shared" si="129"/>
        <v>1.8200000000000012</v>
      </c>
      <c r="BT99" s="3">
        <f t="shared" si="91"/>
        <v>3.3111359620533767</v>
      </c>
      <c r="BW99" s="3">
        <f t="shared" si="130"/>
        <v>1.8200000000000012</v>
      </c>
      <c r="BX99" s="168">
        <f t="shared" si="131"/>
        <v>1.8200000000000012</v>
      </c>
      <c r="BY99" s="3">
        <f t="shared" si="92"/>
        <v>3.3111359620533767</v>
      </c>
      <c r="CB99" s="3">
        <f t="shared" si="132"/>
        <v>1.8200000000000012</v>
      </c>
      <c r="CC99" s="168">
        <f t="shared" si="133"/>
        <v>1.8200000000000012</v>
      </c>
      <c r="CD99" s="3">
        <f t="shared" si="93"/>
        <v>3.3111359620533767</v>
      </c>
      <c r="CG99" s="3">
        <f t="shared" si="134"/>
        <v>1.8200000000000012</v>
      </c>
      <c r="CH99" s="3">
        <f t="shared" si="135"/>
        <v>1.8200000000000012</v>
      </c>
      <c r="CI99" s="3">
        <f t="shared" si="94"/>
        <v>3.3111359620533767</v>
      </c>
      <c r="CL99" s="3">
        <f t="shared" si="136"/>
        <v>1.8200000000000012</v>
      </c>
      <c r="CM99" s="168">
        <f t="shared" si="137"/>
        <v>1.8200000000000012</v>
      </c>
      <c r="CN99" s="3">
        <f t="shared" si="95"/>
        <v>3.3111359620533767</v>
      </c>
      <c r="CQ99" s="3">
        <f t="shared" si="138"/>
        <v>1.8200000000000012</v>
      </c>
      <c r="CR99" s="168">
        <f t="shared" si="139"/>
        <v>1.8200000000000012</v>
      </c>
      <c r="CS99" s="3">
        <f t="shared" si="96"/>
        <v>3.3111359620533767</v>
      </c>
      <c r="CV99" s="3">
        <f t="shared" si="140"/>
        <v>1.8200000000000012</v>
      </c>
      <c r="CW99" s="3">
        <f t="shared" si="141"/>
        <v>1.8200000000000012</v>
      </c>
      <c r="CX99" s="3">
        <f t="shared" si="97"/>
        <v>3.3111359620533767</v>
      </c>
      <c r="DA99" s="3">
        <f t="shared" si="142"/>
        <v>1.8200000000000012</v>
      </c>
      <c r="DB99" s="168">
        <f t="shared" si="143"/>
        <v>1.8200000000000012</v>
      </c>
      <c r="DC99" s="3">
        <f t="shared" si="98"/>
        <v>3.3111359620533767</v>
      </c>
      <c r="DF99" s="3">
        <f t="shared" si="144"/>
        <v>1.8200000000000012</v>
      </c>
      <c r="DG99" s="168">
        <f t="shared" si="145"/>
        <v>1.8200000000000012</v>
      </c>
      <c r="DH99" s="3">
        <f t="shared" si="99"/>
        <v>3.3111359620533767</v>
      </c>
      <c r="DK99" s="3">
        <f t="shared" si="146"/>
        <v>1.8200000000000012</v>
      </c>
      <c r="DL99" s="3">
        <f t="shared" si="147"/>
        <v>1.8200000000000012</v>
      </c>
      <c r="DM99" s="3">
        <f t="shared" si="100"/>
        <v>3.3111359620533767</v>
      </c>
      <c r="DP99" s="3">
        <f t="shared" si="148"/>
        <v>1.8200000000000012</v>
      </c>
      <c r="DQ99" s="168">
        <f t="shared" si="149"/>
        <v>1.8200000000000012</v>
      </c>
      <c r="DR99" s="3">
        <f t="shared" si="101"/>
        <v>3.3111359620533767</v>
      </c>
      <c r="DU99" s="3">
        <f t="shared" si="150"/>
        <v>1.8200000000000012</v>
      </c>
      <c r="DV99" s="168">
        <f t="shared" si="151"/>
        <v>1.8200000000000012</v>
      </c>
      <c r="DW99" s="3">
        <f t="shared" si="102"/>
        <v>3.3111359620533767</v>
      </c>
      <c r="DZ99" s="3">
        <f t="shared" si="152"/>
        <v>1.8200000000000012</v>
      </c>
      <c r="EA99" s="3">
        <f t="shared" si="153"/>
        <v>1.8200000000000012</v>
      </c>
      <c r="EB99" s="3">
        <f t="shared" si="103"/>
        <v>3.3111359620533767</v>
      </c>
      <c r="EE99" s="3">
        <f t="shared" si="154"/>
        <v>1.8200000000000012</v>
      </c>
      <c r="EF99" s="168">
        <f t="shared" si="155"/>
        <v>1.8200000000000012</v>
      </c>
      <c r="EG99" s="3">
        <f t="shared" si="104"/>
        <v>3.3111359620533767</v>
      </c>
      <c r="EJ99" s="3">
        <f t="shared" si="156"/>
        <v>1.8200000000000012</v>
      </c>
      <c r="EK99" s="168">
        <f t="shared" si="157"/>
        <v>1.8200000000000012</v>
      </c>
      <c r="EL99" s="3">
        <f t="shared" si="105"/>
        <v>3.3111359620533767</v>
      </c>
      <c r="EO99" s="3">
        <f t="shared" si="158"/>
        <v>1.8200000000000012</v>
      </c>
      <c r="EP99" s="3">
        <f t="shared" si="159"/>
        <v>1.8200000000000012</v>
      </c>
      <c r="EQ99" s="3">
        <f t="shared" si="106"/>
        <v>3.3111359620533767</v>
      </c>
      <c r="ET99" s="3">
        <f t="shared" si="160"/>
        <v>1.8200000000000012</v>
      </c>
      <c r="EU99" s="168">
        <f t="shared" si="161"/>
        <v>1.8200000000000012</v>
      </c>
      <c r="EV99" s="3">
        <f t="shared" si="107"/>
        <v>3.3111359620533767</v>
      </c>
    </row>
    <row r="100" spans="20:152" s="3" customFormat="1" x14ac:dyDescent="0.3">
      <c r="T100" s="3">
        <f t="shared" si="108"/>
        <v>1.8400000000000012</v>
      </c>
      <c r="U100" s="168">
        <f t="shared" si="109"/>
        <v>1.8400000000000012</v>
      </c>
      <c r="V100" s="3">
        <f t="shared" si="81"/>
        <v>3.2207326838477224</v>
      </c>
      <c r="Y100" s="3">
        <f t="shared" si="110"/>
        <v>1.8400000000000012</v>
      </c>
      <c r="Z100" s="3">
        <f t="shared" si="111"/>
        <v>1.8400000000000012</v>
      </c>
      <c r="AA100" s="3">
        <f t="shared" si="82"/>
        <v>3.2207326838477224</v>
      </c>
      <c r="AD100" s="3">
        <f t="shared" si="112"/>
        <v>1.8400000000000012</v>
      </c>
      <c r="AE100" s="168">
        <f t="shared" si="113"/>
        <v>1.8400000000000012</v>
      </c>
      <c r="AF100" s="3">
        <f t="shared" si="83"/>
        <v>3.2207326838477224</v>
      </c>
      <c r="AI100" s="3">
        <f t="shared" si="114"/>
        <v>1.8400000000000012</v>
      </c>
      <c r="AJ100" s="168">
        <f t="shared" si="115"/>
        <v>1.8400000000000012</v>
      </c>
      <c r="AK100" s="3">
        <f t="shared" si="84"/>
        <v>3.2207326838477224</v>
      </c>
      <c r="AN100" s="3">
        <f t="shared" si="116"/>
        <v>1.8400000000000012</v>
      </c>
      <c r="AO100" s="3">
        <f t="shared" si="117"/>
        <v>1.8400000000000012</v>
      </c>
      <c r="AP100" s="3">
        <f t="shared" si="85"/>
        <v>3.2207326838477224</v>
      </c>
      <c r="AS100" s="3">
        <f t="shared" si="118"/>
        <v>1.8400000000000012</v>
      </c>
      <c r="AT100" s="168">
        <f t="shared" si="119"/>
        <v>1.8400000000000012</v>
      </c>
      <c r="AU100" s="3">
        <f t="shared" si="86"/>
        <v>3.2207326838477224</v>
      </c>
      <c r="AX100" s="3">
        <f t="shared" si="120"/>
        <v>1.8400000000000012</v>
      </c>
      <c r="AY100" s="168">
        <f t="shared" si="121"/>
        <v>1.8400000000000012</v>
      </c>
      <c r="AZ100" s="3">
        <f t="shared" si="87"/>
        <v>3.2207326838477224</v>
      </c>
      <c r="BC100" s="3">
        <f t="shared" si="122"/>
        <v>1.8400000000000012</v>
      </c>
      <c r="BD100" s="3">
        <f t="shared" si="123"/>
        <v>1.8400000000000012</v>
      </c>
      <c r="BE100" s="3">
        <f t="shared" si="88"/>
        <v>3.2207326838477224</v>
      </c>
      <c r="BH100" s="3">
        <f t="shared" si="124"/>
        <v>1.8400000000000012</v>
      </c>
      <c r="BI100" s="168">
        <f t="shared" si="125"/>
        <v>1.8400000000000012</v>
      </c>
      <c r="BJ100" s="3">
        <f t="shared" si="89"/>
        <v>3.2207326838477224</v>
      </c>
      <c r="BM100" s="3">
        <f t="shared" si="126"/>
        <v>1.8400000000000012</v>
      </c>
      <c r="BN100" s="168">
        <f t="shared" si="127"/>
        <v>1.8400000000000012</v>
      </c>
      <c r="BO100" s="3">
        <f t="shared" si="90"/>
        <v>3.2207326838477224</v>
      </c>
      <c r="BR100" s="3">
        <f t="shared" si="128"/>
        <v>1.8400000000000012</v>
      </c>
      <c r="BS100" s="3">
        <f t="shared" si="129"/>
        <v>1.8400000000000012</v>
      </c>
      <c r="BT100" s="3">
        <f t="shared" si="91"/>
        <v>3.2207326838477224</v>
      </c>
      <c r="BW100" s="3">
        <f t="shared" si="130"/>
        <v>1.8400000000000012</v>
      </c>
      <c r="BX100" s="168">
        <f t="shared" si="131"/>
        <v>1.8400000000000012</v>
      </c>
      <c r="BY100" s="3">
        <f t="shared" si="92"/>
        <v>3.2207326838477224</v>
      </c>
      <c r="CB100" s="3">
        <f t="shared" si="132"/>
        <v>1.8400000000000012</v>
      </c>
      <c r="CC100" s="168">
        <f t="shared" si="133"/>
        <v>1.8400000000000012</v>
      </c>
      <c r="CD100" s="3">
        <f t="shared" si="93"/>
        <v>3.2207326838477224</v>
      </c>
      <c r="CG100" s="3">
        <f t="shared" si="134"/>
        <v>1.8400000000000012</v>
      </c>
      <c r="CH100" s="3">
        <f t="shared" si="135"/>
        <v>1.8400000000000012</v>
      </c>
      <c r="CI100" s="3">
        <f t="shared" si="94"/>
        <v>3.2207326838477224</v>
      </c>
      <c r="CL100" s="3">
        <f t="shared" si="136"/>
        <v>1.8400000000000012</v>
      </c>
      <c r="CM100" s="168">
        <f t="shared" si="137"/>
        <v>1.8400000000000012</v>
      </c>
      <c r="CN100" s="3">
        <f t="shared" si="95"/>
        <v>3.2207326838477224</v>
      </c>
      <c r="CQ100" s="3">
        <f t="shared" si="138"/>
        <v>1.8400000000000012</v>
      </c>
      <c r="CR100" s="168">
        <f t="shared" si="139"/>
        <v>1.8400000000000012</v>
      </c>
      <c r="CS100" s="3">
        <f t="shared" si="96"/>
        <v>3.2207326838477224</v>
      </c>
      <c r="CV100" s="3">
        <f t="shared" si="140"/>
        <v>1.8400000000000012</v>
      </c>
      <c r="CW100" s="3">
        <f t="shared" si="141"/>
        <v>1.8400000000000012</v>
      </c>
      <c r="CX100" s="3">
        <f t="shared" si="97"/>
        <v>3.2207326838477224</v>
      </c>
      <c r="DA100" s="3">
        <f t="shared" si="142"/>
        <v>1.8400000000000012</v>
      </c>
      <c r="DB100" s="168">
        <f t="shared" si="143"/>
        <v>1.8400000000000012</v>
      </c>
      <c r="DC100" s="3">
        <f t="shared" si="98"/>
        <v>3.2207326838477224</v>
      </c>
      <c r="DF100" s="3">
        <f t="shared" si="144"/>
        <v>1.8400000000000012</v>
      </c>
      <c r="DG100" s="168">
        <f t="shared" si="145"/>
        <v>1.8400000000000012</v>
      </c>
      <c r="DH100" s="3">
        <f t="shared" si="99"/>
        <v>3.2207326838477224</v>
      </c>
      <c r="DK100" s="3">
        <f t="shared" si="146"/>
        <v>1.8400000000000012</v>
      </c>
      <c r="DL100" s="3">
        <f t="shared" si="147"/>
        <v>1.8400000000000012</v>
      </c>
      <c r="DM100" s="3">
        <f t="shared" si="100"/>
        <v>3.2207326838477224</v>
      </c>
      <c r="DP100" s="3">
        <f t="shared" si="148"/>
        <v>1.8400000000000012</v>
      </c>
      <c r="DQ100" s="168">
        <f t="shared" si="149"/>
        <v>1.8400000000000012</v>
      </c>
      <c r="DR100" s="3">
        <f t="shared" si="101"/>
        <v>3.2207326838477224</v>
      </c>
      <c r="DU100" s="3">
        <f t="shared" si="150"/>
        <v>1.8400000000000012</v>
      </c>
      <c r="DV100" s="168">
        <f t="shared" si="151"/>
        <v>1.8400000000000012</v>
      </c>
      <c r="DW100" s="3">
        <f t="shared" si="102"/>
        <v>3.2207326838477224</v>
      </c>
      <c r="DZ100" s="3">
        <f t="shared" si="152"/>
        <v>1.8400000000000012</v>
      </c>
      <c r="EA100" s="3">
        <f t="shared" si="153"/>
        <v>1.8400000000000012</v>
      </c>
      <c r="EB100" s="3">
        <f t="shared" si="103"/>
        <v>3.2207326838477224</v>
      </c>
      <c r="EE100" s="3">
        <f t="shared" si="154"/>
        <v>1.8400000000000012</v>
      </c>
      <c r="EF100" s="168">
        <f t="shared" si="155"/>
        <v>1.8400000000000012</v>
      </c>
      <c r="EG100" s="3">
        <f t="shared" si="104"/>
        <v>3.2207326838477224</v>
      </c>
      <c r="EJ100" s="3">
        <f t="shared" si="156"/>
        <v>1.8400000000000012</v>
      </c>
      <c r="EK100" s="168">
        <f t="shared" si="157"/>
        <v>1.8400000000000012</v>
      </c>
      <c r="EL100" s="3">
        <f t="shared" si="105"/>
        <v>3.2207326838477224</v>
      </c>
      <c r="EO100" s="3">
        <f t="shared" si="158"/>
        <v>1.8400000000000012</v>
      </c>
      <c r="EP100" s="3">
        <f t="shared" si="159"/>
        <v>1.8400000000000012</v>
      </c>
      <c r="EQ100" s="3">
        <f t="shared" si="106"/>
        <v>3.2207326838477224</v>
      </c>
      <c r="ET100" s="3">
        <f t="shared" si="160"/>
        <v>1.8400000000000012</v>
      </c>
      <c r="EU100" s="168">
        <f t="shared" si="161"/>
        <v>1.8400000000000012</v>
      </c>
      <c r="EV100" s="3">
        <f t="shared" si="107"/>
        <v>3.2207326838477224</v>
      </c>
    </row>
    <row r="101" spans="20:152" s="3" customFormat="1" x14ac:dyDescent="0.3">
      <c r="T101" s="3">
        <f t="shared" si="108"/>
        <v>1.8600000000000012</v>
      </c>
      <c r="U101" s="168">
        <f t="shared" si="109"/>
        <v>1.8600000000000012</v>
      </c>
      <c r="V101" s="3">
        <f t="shared" si="81"/>
        <v>3.1276208929142202</v>
      </c>
      <c r="Y101" s="3">
        <f t="shared" si="110"/>
        <v>1.8600000000000012</v>
      </c>
      <c r="Z101" s="3">
        <f t="shared" si="111"/>
        <v>1.8600000000000012</v>
      </c>
      <c r="AA101" s="3">
        <f t="shared" si="82"/>
        <v>3.1276208929142202</v>
      </c>
      <c r="AD101" s="3">
        <f t="shared" si="112"/>
        <v>1.8600000000000012</v>
      </c>
      <c r="AE101" s="168">
        <f t="shared" si="113"/>
        <v>1.8600000000000012</v>
      </c>
      <c r="AF101" s="3">
        <f t="shared" si="83"/>
        <v>3.1276208929142202</v>
      </c>
      <c r="AI101" s="3">
        <f t="shared" si="114"/>
        <v>1.8600000000000012</v>
      </c>
      <c r="AJ101" s="168">
        <f t="shared" si="115"/>
        <v>1.8600000000000012</v>
      </c>
      <c r="AK101" s="3">
        <f t="shared" si="84"/>
        <v>3.1276208929142202</v>
      </c>
      <c r="AN101" s="3">
        <f t="shared" si="116"/>
        <v>1.8600000000000012</v>
      </c>
      <c r="AO101" s="3">
        <f t="shared" si="117"/>
        <v>1.8600000000000012</v>
      </c>
      <c r="AP101" s="3">
        <f t="shared" si="85"/>
        <v>3.1276208929142202</v>
      </c>
      <c r="AS101" s="3">
        <f t="shared" si="118"/>
        <v>1.8600000000000012</v>
      </c>
      <c r="AT101" s="168">
        <f t="shared" si="119"/>
        <v>1.8600000000000012</v>
      </c>
      <c r="AU101" s="3">
        <f t="shared" si="86"/>
        <v>3.1276208929142202</v>
      </c>
      <c r="AX101" s="3">
        <f t="shared" si="120"/>
        <v>1.8600000000000012</v>
      </c>
      <c r="AY101" s="168">
        <f t="shared" si="121"/>
        <v>1.8600000000000012</v>
      </c>
      <c r="AZ101" s="3">
        <f t="shared" si="87"/>
        <v>3.1276208929142202</v>
      </c>
      <c r="BC101" s="3">
        <f t="shared" si="122"/>
        <v>1.8600000000000012</v>
      </c>
      <c r="BD101" s="3">
        <f t="shared" si="123"/>
        <v>1.8600000000000012</v>
      </c>
      <c r="BE101" s="3">
        <f t="shared" si="88"/>
        <v>3.1276208929142202</v>
      </c>
      <c r="BH101" s="3">
        <f t="shared" si="124"/>
        <v>1.8600000000000012</v>
      </c>
      <c r="BI101" s="168">
        <f t="shared" si="125"/>
        <v>1.8600000000000012</v>
      </c>
      <c r="BJ101" s="3">
        <f t="shared" si="89"/>
        <v>3.1276208929142202</v>
      </c>
      <c r="BM101" s="3">
        <f t="shared" si="126"/>
        <v>1.8600000000000012</v>
      </c>
      <c r="BN101" s="168">
        <f t="shared" si="127"/>
        <v>1.8600000000000012</v>
      </c>
      <c r="BO101" s="3">
        <f t="shared" si="90"/>
        <v>3.1276208929142202</v>
      </c>
      <c r="BR101" s="3">
        <f t="shared" si="128"/>
        <v>1.8600000000000012</v>
      </c>
      <c r="BS101" s="3">
        <f t="shared" si="129"/>
        <v>1.8600000000000012</v>
      </c>
      <c r="BT101" s="3">
        <f t="shared" si="91"/>
        <v>3.1276208929142202</v>
      </c>
      <c r="BW101" s="3">
        <f t="shared" si="130"/>
        <v>1.8600000000000012</v>
      </c>
      <c r="BX101" s="168">
        <f t="shared" si="131"/>
        <v>1.8600000000000012</v>
      </c>
      <c r="BY101" s="3">
        <f t="shared" si="92"/>
        <v>3.1276208929142202</v>
      </c>
      <c r="CB101" s="3">
        <f t="shared" si="132"/>
        <v>1.8600000000000012</v>
      </c>
      <c r="CC101" s="168">
        <f t="shared" si="133"/>
        <v>1.8600000000000012</v>
      </c>
      <c r="CD101" s="3">
        <f t="shared" si="93"/>
        <v>3.1276208929142202</v>
      </c>
      <c r="CG101" s="3">
        <f t="shared" si="134"/>
        <v>1.8600000000000012</v>
      </c>
      <c r="CH101" s="3">
        <f t="shared" si="135"/>
        <v>1.8600000000000012</v>
      </c>
      <c r="CI101" s="3">
        <f t="shared" si="94"/>
        <v>3.1276208929142202</v>
      </c>
      <c r="CL101" s="3">
        <f t="shared" si="136"/>
        <v>1.8600000000000012</v>
      </c>
      <c r="CM101" s="168">
        <f t="shared" si="137"/>
        <v>1.8600000000000012</v>
      </c>
      <c r="CN101" s="3">
        <f t="shared" si="95"/>
        <v>3.1276208929142202</v>
      </c>
      <c r="CQ101" s="3">
        <f t="shared" si="138"/>
        <v>1.8600000000000012</v>
      </c>
      <c r="CR101" s="168">
        <f t="shared" si="139"/>
        <v>1.8600000000000012</v>
      </c>
      <c r="CS101" s="3">
        <f t="shared" si="96"/>
        <v>3.1276208929142202</v>
      </c>
      <c r="CV101" s="3">
        <f t="shared" si="140"/>
        <v>1.8600000000000012</v>
      </c>
      <c r="CW101" s="3">
        <f t="shared" si="141"/>
        <v>1.8600000000000012</v>
      </c>
      <c r="CX101" s="3">
        <f t="shared" si="97"/>
        <v>3.1276208929142202</v>
      </c>
      <c r="DA101" s="3">
        <f t="shared" si="142"/>
        <v>1.8600000000000012</v>
      </c>
      <c r="DB101" s="168">
        <f t="shared" si="143"/>
        <v>1.8600000000000012</v>
      </c>
      <c r="DC101" s="3">
        <f t="shared" si="98"/>
        <v>3.1276208929142202</v>
      </c>
      <c r="DF101" s="3">
        <f t="shared" si="144"/>
        <v>1.8600000000000012</v>
      </c>
      <c r="DG101" s="168">
        <f t="shared" si="145"/>
        <v>1.8600000000000012</v>
      </c>
      <c r="DH101" s="3">
        <f t="shared" si="99"/>
        <v>3.1276208929142202</v>
      </c>
      <c r="DK101" s="3">
        <f t="shared" si="146"/>
        <v>1.8600000000000012</v>
      </c>
      <c r="DL101" s="3">
        <f t="shared" si="147"/>
        <v>1.8600000000000012</v>
      </c>
      <c r="DM101" s="3">
        <f t="shared" si="100"/>
        <v>3.1276208929142202</v>
      </c>
      <c r="DP101" s="3">
        <f t="shared" si="148"/>
        <v>1.8600000000000012</v>
      </c>
      <c r="DQ101" s="168">
        <f t="shared" si="149"/>
        <v>1.8600000000000012</v>
      </c>
      <c r="DR101" s="3">
        <f t="shared" si="101"/>
        <v>3.1276208929142202</v>
      </c>
      <c r="DU101" s="3">
        <f t="shared" si="150"/>
        <v>1.8600000000000012</v>
      </c>
      <c r="DV101" s="168">
        <f t="shared" si="151"/>
        <v>1.8600000000000012</v>
      </c>
      <c r="DW101" s="3">
        <f t="shared" si="102"/>
        <v>3.1276208929142202</v>
      </c>
      <c r="DZ101" s="3">
        <f t="shared" si="152"/>
        <v>1.8600000000000012</v>
      </c>
      <c r="EA101" s="3">
        <f t="shared" si="153"/>
        <v>1.8600000000000012</v>
      </c>
      <c r="EB101" s="3">
        <f t="shared" si="103"/>
        <v>3.1276208929142202</v>
      </c>
      <c r="EE101" s="3">
        <f t="shared" si="154"/>
        <v>1.8600000000000012</v>
      </c>
      <c r="EF101" s="168">
        <f t="shared" si="155"/>
        <v>1.8600000000000012</v>
      </c>
      <c r="EG101" s="3">
        <f t="shared" si="104"/>
        <v>3.1276208929142202</v>
      </c>
      <c r="EJ101" s="3">
        <f t="shared" si="156"/>
        <v>1.8600000000000012</v>
      </c>
      <c r="EK101" s="168">
        <f t="shared" si="157"/>
        <v>1.8600000000000012</v>
      </c>
      <c r="EL101" s="3">
        <f t="shared" si="105"/>
        <v>3.1276208929142202</v>
      </c>
      <c r="EO101" s="3">
        <f t="shared" si="158"/>
        <v>1.8600000000000012</v>
      </c>
      <c r="EP101" s="3">
        <f t="shared" si="159"/>
        <v>1.8600000000000012</v>
      </c>
      <c r="EQ101" s="3">
        <f t="shared" si="106"/>
        <v>3.1276208929142202</v>
      </c>
      <c r="ET101" s="3">
        <f t="shared" si="160"/>
        <v>1.8600000000000012</v>
      </c>
      <c r="EU101" s="168">
        <f t="shared" si="161"/>
        <v>1.8600000000000012</v>
      </c>
      <c r="EV101" s="3">
        <f t="shared" si="107"/>
        <v>3.1276208929142202</v>
      </c>
    </row>
    <row r="102" spans="20:152" s="3" customFormat="1" x14ac:dyDescent="0.3">
      <c r="T102" s="3">
        <f t="shared" si="108"/>
        <v>1.8800000000000012</v>
      </c>
      <c r="U102" s="168">
        <f t="shared" si="109"/>
        <v>1.8800000000000012</v>
      </c>
      <c r="V102" s="3">
        <f t="shared" si="81"/>
        <v>3.0318005892528701</v>
      </c>
      <c r="Y102" s="3">
        <f t="shared" si="110"/>
        <v>1.8800000000000012</v>
      </c>
      <c r="Z102" s="3">
        <f t="shared" si="111"/>
        <v>1.8800000000000012</v>
      </c>
      <c r="AA102" s="3">
        <f t="shared" si="82"/>
        <v>3.0318005892528701</v>
      </c>
      <c r="AD102" s="3">
        <f t="shared" si="112"/>
        <v>1.8800000000000012</v>
      </c>
      <c r="AE102" s="168">
        <f t="shared" si="113"/>
        <v>1.8800000000000012</v>
      </c>
      <c r="AF102" s="3">
        <f t="shared" si="83"/>
        <v>3.0318005892528701</v>
      </c>
      <c r="AI102" s="3">
        <f t="shared" si="114"/>
        <v>1.8800000000000012</v>
      </c>
      <c r="AJ102" s="168">
        <f t="shared" si="115"/>
        <v>1.8800000000000012</v>
      </c>
      <c r="AK102" s="3">
        <f t="shared" si="84"/>
        <v>3.0318005892528701</v>
      </c>
      <c r="AN102" s="3">
        <f t="shared" si="116"/>
        <v>1.8800000000000012</v>
      </c>
      <c r="AO102" s="3">
        <f t="shared" si="117"/>
        <v>1.8800000000000012</v>
      </c>
      <c r="AP102" s="3">
        <f t="shared" si="85"/>
        <v>3.0318005892528701</v>
      </c>
      <c r="AS102" s="3">
        <f t="shared" si="118"/>
        <v>1.8800000000000012</v>
      </c>
      <c r="AT102" s="168">
        <f t="shared" si="119"/>
        <v>1.8800000000000012</v>
      </c>
      <c r="AU102" s="3">
        <f t="shared" si="86"/>
        <v>3.0318005892528701</v>
      </c>
      <c r="AX102" s="3">
        <f t="shared" si="120"/>
        <v>1.8800000000000012</v>
      </c>
      <c r="AY102" s="168">
        <f t="shared" si="121"/>
        <v>1.8800000000000012</v>
      </c>
      <c r="AZ102" s="3">
        <f t="shared" si="87"/>
        <v>3.0318005892528701</v>
      </c>
      <c r="BC102" s="3">
        <f t="shared" si="122"/>
        <v>1.8800000000000012</v>
      </c>
      <c r="BD102" s="3">
        <f t="shared" si="123"/>
        <v>1.8800000000000012</v>
      </c>
      <c r="BE102" s="3">
        <f t="shared" si="88"/>
        <v>3.0318005892528701</v>
      </c>
      <c r="BH102" s="3">
        <f t="shared" si="124"/>
        <v>1.8800000000000012</v>
      </c>
      <c r="BI102" s="168">
        <f t="shared" si="125"/>
        <v>1.8800000000000012</v>
      </c>
      <c r="BJ102" s="3">
        <f t="shared" si="89"/>
        <v>3.0318005892528701</v>
      </c>
      <c r="BM102" s="3">
        <f t="shared" si="126"/>
        <v>1.8800000000000012</v>
      </c>
      <c r="BN102" s="168">
        <f t="shared" si="127"/>
        <v>1.8800000000000012</v>
      </c>
      <c r="BO102" s="3">
        <f t="shared" si="90"/>
        <v>3.0318005892528701</v>
      </c>
      <c r="BR102" s="3">
        <f t="shared" si="128"/>
        <v>1.8800000000000012</v>
      </c>
      <c r="BS102" s="3">
        <f t="shared" si="129"/>
        <v>1.8800000000000012</v>
      </c>
      <c r="BT102" s="3">
        <f t="shared" si="91"/>
        <v>3.0318005892528701</v>
      </c>
      <c r="BW102" s="3">
        <f t="shared" si="130"/>
        <v>1.8800000000000012</v>
      </c>
      <c r="BX102" s="168">
        <f t="shared" si="131"/>
        <v>1.8800000000000012</v>
      </c>
      <c r="BY102" s="3">
        <f t="shared" si="92"/>
        <v>3.0318005892528701</v>
      </c>
      <c r="CB102" s="3">
        <f t="shared" si="132"/>
        <v>1.8800000000000012</v>
      </c>
      <c r="CC102" s="168">
        <f t="shared" si="133"/>
        <v>1.8800000000000012</v>
      </c>
      <c r="CD102" s="3">
        <f t="shared" si="93"/>
        <v>3.0318005892528701</v>
      </c>
      <c r="CG102" s="3">
        <f t="shared" si="134"/>
        <v>1.8800000000000012</v>
      </c>
      <c r="CH102" s="3">
        <f t="shared" si="135"/>
        <v>1.8800000000000012</v>
      </c>
      <c r="CI102" s="3">
        <f t="shared" si="94"/>
        <v>3.0318005892528701</v>
      </c>
      <c r="CL102" s="3">
        <f t="shared" si="136"/>
        <v>1.8800000000000012</v>
      </c>
      <c r="CM102" s="168">
        <f t="shared" si="137"/>
        <v>1.8800000000000012</v>
      </c>
      <c r="CN102" s="3">
        <f t="shared" si="95"/>
        <v>3.0318005892528701</v>
      </c>
      <c r="CQ102" s="3">
        <f t="shared" si="138"/>
        <v>1.8800000000000012</v>
      </c>
      <c r="CR102" s="168">
        <f t="shared" si="139"/>
        <v>1.8800000000000012</v>
      </c>
      <c r="CS102" s="3">
        <f t="shared" si="96"/>
        <v>3.0318005892528701</v>
      </c>
      <c r="CV102" s="3">
        <f t="shared" si="140"/>
        <v>1.8800000000000012</v>
      </c>
      <c r="CW102" s="3">
        <f t="shared" si="141"/>
        <v>1.8800000000000012</v>
      </c>
      <c r="CX102" s="3">
        <f t="shared" si="97"/>
        <v>3.0318005892528701</v>
      </c>
      <c r="DA102" s="3">
        <f t="shared" si="142"/>
        <v>1.8800000000000012</v>
      </c>
      <c r="DB102" s="168">
        <f t="shared" si="143"/>
        <v>1.8800000000000012</v>
      </c>
      <c r="DC102" s="3">
        <f t="shared" si="98"/>
        <v>3.0318005892528701</v>
      </c>
      <c r="DF102" s="3">
        <f t="shared" si="144"/>
        <v>1.8800000000000012</v>
      </c>
      <c r="DG102" s="168">
        <f t="shared" si="145"/>
        <v>1.8800000000000012</v>
      </c>
      <c r="DH102" s="3">
        <f t="shared" si="99"/>
        <v>3.0318005892528701</v>
      </c>
      <c r="DK102" s="3">
        <f t="shared" si="146"/>
        <v>1.8800000000000012</v>
      </c>
      <c r="DL102" s="3">
        <f t="shared" si="147"/>
        <v>1.8800000000000012</v>
      </c>
      <c r="DM102" s="3">
        <f t="shared" si="100"/>
        <v>3.0318005892528701</v>
      </c>
      <c r="DP102" s="3">
        <f t="shared" si="148"/>
        <v>1.8800000000000012</v>
      </c>
      <c r="DQ102" s="168">
        <f t="shared" si="149"/>
        <v>1.8800000000000012</v>
      </c>
      <c r="DR102" s="3">
        <f t="shared" si="101"/>
        <v>3.0318005892528701</v>
      </c>
      <c r="DU102" s="3">
        <f t="shared" si="150"/>
        <v>1.8800000000000012</v>
      </c>
      <c r="DV102" s="168">
        <f t="shared" si="151"/>
        <v>1.8800000000000012</v>
      </c>
      <c r="DW102" s="3">
        <f t="shared" si="102"/>
        <v>3.0318005892528701</v>
      </c>
      <c r="DZ102" s="3">
        <f t="shared" si="152"/>
        <v>1.8800000000000012</v>
      </c>
      <c r="EA102" s="3">
        <f t="shared" si="153"/>
        <v>1.8800000000000012</v>
      </c>
      <c r="EB102" s="3">
        <f t="shared" si="103"/>
        <v>3.0318005892528701</v>
      </c>
      <c r="EE102" s="3">
        <f t="shared" si="154"/>
        <v>1.8800000000000012</v>
      </c>
      <c r="EF102" s="168">
        <f t="shared" si="155"/>
        <v>1.8800000000000012</v>
      </c>
      <c r="EG102" s="3">
        <f t="shared" si="104"/>
        <v>3.0318005892528701</v>
      </c>
      <c r="EJ102" s="3">
        <f t="shared" si="156"/>
        <v>1.8800000000000012</v>
      </c>
      <c r="EK102" s="168">
        <f t="shared" si="157"/>
        <v>1.8800000000000012</v>
      </c>
      <c r="EL102" s="3">
        <f t="shared" si="105"/>
        <v>3.0318005892528701</v>
      </c>
      <c r="EO102" s="3">
        <f t="shared" si="158"/>
        <v>1.8800000000000012</v>
      </c>
      <c r="EP102" s="3">
        <f t="shared" si="159"/>
        <v>1.8800000000000012</v>
      </c>
      <c r="EQ102" s="3">
        <f t="shared" si="106"/>
        <v>3.0318005892528701</v>
      </c>
      <c r="ET102" s="3">
        <f t="shared" si="160"/>
        <v>1.8800000000000012</v>
      </c>
      <c r="EU102" s="168">
        <f t="shared" si="161"/>
        <v>1.8800000000000012</v>
      </c>
      <c r="EV102" s="3">
        <f t="shared" si="107"/>
        <v>3.0318005892528701</v>
      </c>
    </row>
    <row r="103" spans="20:152" s="3" customFormat="1" x14ac:dyDescent="0.3">
      <c r="T103" s="3">
        <f t="shared" si="108"/>
        <v>1.9000000000000012</v>
      </c>
      <c r="U103" s="168">
        <f t="shared" si="109"/>
        <v>1.9000000000000012</v>
      </c>
      <c r="V103" s="3">
        <f t="shared" si="81"/>
        <v>2.9332717728636775</v>
      </c>
      <c r="Y103" s="3">
        <f t="shared" si="110"/>
        <v>1.9000000000000012</v>
      </c>
      <c r="Z103" s="3">
        <f t="shared" si="111"/>
        <v>1.9000000000000012</v>
      </c>
      <c r="AA103" s="3">
        <f t="shared" si="82"/>
        <v>2.9332717728636775</v>
      </c>
      <c r="AD103" s="3">
        <f t="shared" si="112"/>
        <v>1.9000000000000012</v>
      </c>
      <c r="AE103" s="168">
        <f t="shared" si="113"/>
        <v>1.9000000000000012</v>
      </c>
      <c r="AF103" s="3">
        <f t="shared" si="83"/>
        <v>2.9332717728636775</v>
      </c>
      <c r="AI103" s="3">
        <f t="shared" si="114"/>
        <v>1.9000000000000012</v>
      </c>
      <c r="AJ103" s="168">
        <f t="shared" si="115"/>
        <v>1.9000000000000012</v>
      </c>
      <c r="AK103" s="3">
        <f t="shared" si="84"/>
        <v>2.9332717728636775</v>
      </c>
      <c r="AN103" s="3">
        <f t="shared" si="116"/>
        <v>1.9000000000000012</v>
      </c>
      <c r="AO103" s="3">
        <f t="shared" si="117"/>
        <v>1.9000000000000012</v>
      </c>
      <c r="AP103" s="3">
        <f t="shared" si="85"/>
        <v>2.9332717728636775</v>
      </c>
      <c r="AS103" s="3">
        <f t="shared" si="118"/>
        <v>1.9000000000000012</v>
      </c>
      <c r="AT103" s="168">
        <f t="shared" si="119"/>
        <v>1.9000000000000012</v>
      </c>
      <c r="AU103" s="3">
        <f t="shared" si="86"/>
        <v>2.9332717728636775</v>
      </c>
      <c r="AX103" s="3">
        <f t="shared" si="120"/>
        <v>1.9000000000000012</v>
      </c>
      <c r="AY103" s="168">
        <f t="shared" si="121"/>
        <v>1.9000000000000012</v>
      </c>
      <c r="AZ103" s="3">
        <f t="shared" si="87"/>
        <v>2.9332717728636775</v>
      </c>
      <c r="BC103" s="3">
        <f t="shared" si="122"/>
        <v>1.9000000000000012</v>
      </c>
      <c r="BD103" s="3">
        <f t="shared" si="123"/>
        <v>1.9000000000000012</v>
      </c>
      <c r="BE103" s="3">
        <f t="shared" si="88"/>
        <v>2.9332717728636775</v>
      </c>
      <c r="BH103" s="3">
        <f t="shared" si="124"/>
        <v>1.9000000000000012</v>
      </c>
      <c r="BI103" s="168">
        <f t="shared" si="125"/>
        <v>1.9000000000000012</v>
      </c>
      <c r="BJ103" s="3">
        <f t="shared" si="89"/>
        <v>2.9332717728636775</v>
      </c>
      <c r="BM103" s="3">
        <f t="shared" si="126"/>
        <v>1.9000000000000012</v>
      </c>
      <c r="BN103" s="168">
        <f t="shared" si="127"/>
        <v>1.9000000000000012</v>
      </c>
      <c r="BO103" s="3">
        <f t="shared" si="90"/>
        <v>2.9332717728636775</v>
      </c>
      <c r="BR103" s="3">
        <f t="shared" si="128"/>
        <v>1.9000000000000012</v>
      </c>
      <c r="BS103" s="3">
        <f t="shared" si="129"/>
        <v>1.9000000000000012</v>
      </c>
      <c r="BT103" s="3">
        <f t="shared" si="91"/>
        <v>2.9332717728636775</v>
      </c>
      <c r="BW103" s="3">
        <f t="shared" si="130"/>
        <v>1.9000000000000012</v>
      </c>
      <c r="BX103" s="168">
        <f t="shared" si="131"/>
        <v>1.9000000000000012</v>
      </c>
      <c r="BY103" s="3">
        <f t="shared" si="92"/>
        <v>2.9332717728636775</v>
      </c>
      <c r="CB103" s="3">
        <f t="shared" si="132"/>
        <v>1.9000000000000012</v>
      </c>
      <c r="CC103" s="168">
        <f t="shared" si="133"/>
        <v>1.9000000000000012</v>
      </c>
      <c r="CD103" s="3">
        <f t="shared" si="93"/>
        <v>2.9332717728636775</v>
      </c>
      <c r="CG103" s="3">
        <f t="shared" si="134"/>
        <v>1.9000000000000012</v>
      </c>
      <c r="CH103" s="3">
        <f t="shared" si="135"/>
        <v>1.9000000000000012</v>
      </c>
      <c r="CI103" s="3">
        <f t="shared" si="94"/>
        <v>2.9332717728636775</v>
      </c>
      <c r="CL103" s="3">
        <f t="shared" si="136"/>
        <v>1.9000000000000012</v>
      </c>
      <c r="CM103" s="168">
        <f t="shared" si="137"/>
        <v>1.9000000000000012</v>
      </c>
      <c r="CN103" s="3">
        <f t="shared" si="95"/>
        <v>2.9332717728636775</v>
      </c>
      <c r="CQ103" s="3">
        <f t="shared" si="138"/>
        <v>1.9000000000000012</v>
      </c>
      <c r="CR103" s="168">
        <f t="shared" si="139"/>
        <v>1.9000000000000012</v>
      </c>
      <c r="CS103" s="3">
        <f t="shared" si="96"/>
        <v>2.9332717728636775</v>
      </c>
      <c r="CV103" s="3">
        <f t="shared" si="140"/>
        <v>1.9000000000000012</v>
      </c>
      <c r="CW103" s="3">
        <f t="shared" si="141"/>
        <v>1.9000000000000012</v>
      </c>
      <c r="CX103" s="3">
        <f t="shared" si="97"/>
        <v>2.9332717728636775</v>
      </c>
      <c r="DA103" s="3">
        <f t="shared" si="142"/>
        <v>1.9000000000000012</v>
      </c>
      <c r="DB103" s="168">
        <f t="shared" si="143"/>
        <v>1.9000000000000012</v>
      </c>
      <c r="DC103" s="3">
        <f t="shared" si="98"/>
        <v>2.9332717728636775</v>
      </c>
      <c r="DF103" s="3">
        <f t="shared" si="144"/>
        <v>1.9000000000000012</v>
      </c>
      <c r="DG103" s="168">
        <f t="shared" si="145"/>
        <v>1.9000000000000012</v>
      </c>
      <c r="DH103" s="3">
        <f t="shared" si="99"/>
        <v>2.9332717728636775</v>
      </c>
      <c r="DK103" s="3">
        <f t="shared" si="146"/>
        <v>1.9000000000000012</v>
      </c>
      <c r="DL103" s="3">
        <f t="shared" si="147"/>
        <v>1.9000000000000012</v>
      </c>
      <c r="DM103" s="3">
        <f t="shared" si="100"/>
        <v>2.9332717728636775</v>
      </c>
      <c r="DP103" s="3">
        <f t="shared" si="148"/>
        <v>1.9000000000000012</v>
      </c>
      <c r="DQ103" s="168">
        <f t="shared" si="149"/>
        <v>1.9000000000000012</v>
      </c>
      <c r="DR103" s="3">
        <f t="shared" si="101"/>
        <v>2.9332717728636775</v>
      </c>
      <c r="DU103" s="3">
        <f t="shared" si="150"/>
        <v>1.9000000000000012</v>
      </c>
      <c r="DV103" s="168">
        <f t="shared" si="151"/>
        <v>1.9000000000000012</v>
      </c>
      <c r="DW103" s="3">
        <f t="shared" si="102"/>
        <v>2.9332717728636775</v>
      </c>
      <c r="DZ103" s="3">
        <f t="shared" si="152"/>
        <v>1.9000000000000012</v>
      </c>
      <c r="EA103" s="3">
        <f t="shared" si="153"/>
        <v>1.9000000000000012</v>
      </c>
      <c r="EB103" s="3">
        <f t="shared" si="103"/>
        <v>2.9332717728636775</v>
      </c>
      <c r="EE103" s="3">
        <f t="shared" si="154"/>
        <v>1.9000000000000012</v>
      </c>
      <c r="EF103" s="168">
        <f t="shared" si="155"/>
        <v>1.9000000000000012</v>
      </c>
      <c r="EG103" s="3">
        <f t="shared" si="104"/>
        <v>2.9332717728636775</v>
      </c>
      <c r="EJ103" s="3">
        <f t="shared" si="156"/>
        <v>1.9000000000000012</v>
      </c>
      <c r="EK103" s="168">
        <f t="shared" si="157"/>
        <v>1.9000000000000012</v>
      </c>
      <c r="EL103" s="3">
        <f t="shared" si="105"/>
        <v>2.9332717728636775</v>
      </c>
      <c r="EO103" s="3">
        <f t="shared" si="158"/>
        <v>1.9000000000000012</v>
      </c>
      <c r="EP103" s="3">
        <f t="shared" si="159"/>
        <v>1.9000000000000012</v>
      </c>
      <c r="EQ103" s="3">
        <f t="shared" si="106"/>
        <v>2.9332717728636775</v>
      </c>
      <c r="ET103" s="3">
        <f t="shared" si="160"/>
        <v>1.9000000000000012</v>
      </c>
      <c r="EU103" s="168">
        <f t="shared" si="161"/>
        <v>1.9000000000000012</v>
      </c>
      <c r="EV103" s="3">
        <f t="shared" si="107"/>
        <v>2.9332717728636775</v>
      </c>
    </row>
    <row r="104" spans="20:152" s="3" customFormat="1" x14ac:dyDescent="0.3">
      <c r="T104" s="3">
        <f t="shared" si="108"/>
        <v>1.9200000000000013</v>
      </c>
      <c r="U104" s="168">
        <f t="shared" si="109"/>
        <v>1.9200000000000013</v>
      </c>
      <c r="V104" s="3">
        <f t="shared" si="81"/>
        <v>2.8320344437466334</v>
      </c>
      <c r="Y104" s="3">
        <f t="shared" si="110"/>
        <v>1.9200000000000013</v>
      </c>
      <c r="Z104" s="3">
        <f t="shared" si="111"/>
        <v>1.9200000000000013</v>
      </c>
      <c r="AA104" s="3">
        <f t="shared" si="82"/>
        <v>2.8320344437466334</v>
      </c>
      <c r="AD104" s="3">
        <f t="shared" si="112"/>
        <v>1.9200000000000013</v>
      </c>
      <c r="AE104" s="168">
        <f t="shared" si="113"/>
        <v>1.9200000000000013</v>
      </c>
      <c r="AF104" s="3">
        <f t="shared" si="83"/>
        <v>2.8320344437466334</v>
      </c>
      <c r="AI104" s="3">
        <f t="shared" si="114"/>
        <v>1.9200000000000013</v>
      </c>
      <c r="AJ104" s="168">
        <f t="shared" si="115"/>
        <v>1.9200000000000013</v>
      </c>
      <c r="AK104" s="3">
        <f t="shared" si="84"/>
        <v>2.8320344437466334</v>
      </c>
      <c r="AN104" s="3">
        <f t="shared" si="116"/>
        <v>1.9200000000000013</v>
      </c>
      <c r="AO104" s="3">
        <f t="shared" si="117"/>
        <v>1.9200000000000013</v>
      </c>
      <c r="AP104" s="3">
        <f t="shared" si="85"/>
        <v>2.8320344437466334</v>
      </c>
      <c r="AS104" s="3">
        <f t="shared" si="118"/>
        <v>1.9200000000000013</v>
      </c>
      <c r="AT104" s="168">
        <f t="shared" si="119"/>
        <v>1.9200000000000013</v>
      </c>
      <c r="AU104" s="3">
        <f t="shared" si="86"/>
        <v>2.8320344437466334</v>
      </c>
      <c r="AX104" s="3">
        <f t="shared" si="120"/>
        <v>1.9200000000000013</v>
      </c>
      <c r="AY104" s="168">
        <f t="shared" si="121"/>
        <v>1.9200000000000013</v>
      </c>
      <c r="AZ104" s="3">
        <f t="shared" si="87"/>
        <v>2.8320344437466334</v>
      </c>
      <c r="BC104" s="3">
        <f t="shared" si="122"/>
        <v>1.9200000000000013</v>
      </c>
      <c r="BD104" s="3">
        <f t="shared" si="123"/>
        <v>1.9200000000000013</v>
      </c>
      <c r="BE104" s="3">
        <f t="shared" si="88"/>
        <v>2.8320344437466334</v>
      </c>
      <c r="BH104" s="3">
        <f t="shared" si="124"/>
        <v>1.9200000000000013</v>
      </c>
      <c r="BI104" s="168">
        <f t="shared" si="125"/>
        <v>1.9200000000000013</v>
      </c>
      <c r="BJ104" s="3">
        <f t="shared" si="89"/>
        <v>2.8320344437466334</v>
      </c>
      <c r="BM104" s="3">
        <f t="shared" si="126"/>
        <v>1.9200000000000013</v>
      </c>
      <c r="BN104" s="168">
        <f t="shared" si="127"/>
        <v>1.9200000000000013</v>
      </c>
      <c r="BO104" s="3">
        <f t="shared" si="90"/>
        <v>2.8320344437466334</v>
      </c>
      <c r="BR104" s="3">
        <f t="shared" si="128"/>
        <v>1.9200000000000013</v>
      </c>
      <c r="BS104" s="3">
        <f t="shared" si="129"/>
        <v>1.9200000000000013</v>
      </c>
      <c r="BT104" s="3">
        <f t="shared" si="91"/>
        <v>2.8320344437466334</v>
      </c>
      <c r="BW104" s="3">
        <f t="shared" si="130"/>
        <v>1.9200000000000013</v>
      </c>
      <c r="BX104" s="168">
        <f t="shared" si="131"/>
        <v>1.9200000000000013</v>
      </c>
      <c r="BY104" s="3">
        <f t="shared" si="92"/>
        <v>2.8320344437466334</v>
      </c>
      <c r="CB104" s="3">
        <f t="shared" si="132"/>
        <v>1.9200000000000013</v>
      </c>
      <c r="CC104" s="168">
        <f t="shared" si="133"/>
        <v>1.9200000000000013</v>
      </c>
      <c r="CD104" s="3">
        <f t="shared" si="93"/>
        <v>2.8320344437466334</v>
      </c>
      <c r="CG104" s="3">
        <f t="shared" si="134"/>
        <v>1.9200000000000013</v>
      </c>
      <c r="CH104" s="3">
        <f t="shared" si="135"/>
        <v>1.9200000000000013</v>
      </c>
      <c r="CI104" s="3">
        <f t="shared" si="94"/>
        <v>2.8320344437466334</v>
      </c>
      <c r="CL104" s="3">
        <f t="shared" si="136"/>
        <v>1.9200000000000013</v>
      </c>
      <c r="CM104" s="168">
        <f t="shared" si="137"/>
        <v>1.9200000000000013</v>
      </c>
      <c r="CN104" s="3">
        <f t="shared" si="95"/>
        <v>2.8320344437466334</v>
      </c>
      <c r="CQ104" s="3">
        <f t="shared" si="138"/>
        <v>1.9200000000000013</v>
      </c>
      <c r="CR104" s="168">
        <f t="shared" si="139"/>
        <v>1.9200000000000013</v>
      </c>
      <c r="CS104" s="3">
        <f t="shared" si="96"/>
        <v>2.8320344437466334</v>
      </c>
      <c r="CV104" s="3">
        <f t="shared" si="140"/>
        <v>1.9200000000000013</v>
      </c>
      <c r="CW104" s="3">
        <f t="shared" si="141"/>
        <v>1.9200000000000013</v>
      </c>
      <c r="CX104" s="3">
        <f t="shared" si="97"/>
        <v>2.8320344437466334</v>
      </c>
      <c r="DA104" s="3">
        <f t="shared" si="142"/>
        <v>1.9200000000000013</v>
      </c>
      <c r="DB104" s="168">
        <f t="shared" si="143"/>
        <v>1.9200000000000013</v>
      </c>
      <c r="DC104" s="3">
        <f t="shared" si="98"/>
        <v>2.8320344437466334</v>
      </c>
      <c r="DF104" s="3">
        <f t="shared" si="144"/>
        <v>1.9200000000000013</v>
      </c>
      <c r="DG104" s="168">
        <f t="shared" si="145"/>
        <v>1.9200000000000013</v>
      </c>
      <c r="DH104" s="3">
        <f t="shared" si="99"/>
        <v>2.8320344437466334</v>
      </c>
      <c r="DK104" s="3">
        <f t="shared" si="146"/>
        <v>1.9200000000000013</v>
      </c>
      <c r="DL104" s="3">
        <f t="shared" si="147"/>
        <v>1.9200000000000013</v>
      </c>
      <c r="DM104" s="3">
        <f t="shared" si="100"/>
        <v>2.8320344437466334</v>
      </c>
      <c r="DP104" s="3">
        <f t="shared" si="148"/>
        <v>1.9200000000000013</v>
      </c>
      <c r="DQ104" s="168">
        <f t="shared" si="149"/>
        <v>1.9200000000000013</v>
      </c>
      <c r="DR104" s="3">
        <f t="shared" si="101"/>
        <v>2.8320344437466334</v>
      </c>
      <c r="DU104" s="3">
        <f t="shared" si="150"/>
        <v>1.9200000000000013</v>
      </c>
      <c r="DV104" s="168">
        <f t="shared" si="151"/>
        <v>1.9200000000000013</v>
      </c>
      <c r="DW104" s="3">
        <f t="shared" si="102"/>
        <v>2.8320344437466334</v>
      </c>
      <c r="DZ104" s="3">
        <f t="shared" si="152"/>
        <v>1.9200000000000013</v>
      </c>
      <c r="EA104" s="3">
        <f t="shared" si="153"/>
        <v>1.9200000000000013</v>
      </c>
      <c r="EB104" s="3">
        <f t="shared" si="103"/>
        <v>2.8320344437466334</v>
      </c>
      <c r="EE104" s="3">
        <f t="shared" si="154"/>
        <v>1.9200000000000013</v>
      </c>
      <c r="EF104" s="168">
        <f t="shared" si="155"/>
        <v>1.9200000000000013</v>
      </c>
      <c r="EG104" s="3">
        <f t="shared" si="104"/>
        <v>2.8320344437466334</v>
      </c>
      <c r="EJ104" s="3">
        <f t="shared" si="156"/>
        <v>1.9200000000000013</v>
      </c>
      <c r="EK104" s="168">
        <f t="shared" si="157"/>
        <v>1.9200000000000013</v>
      </c>
      <c r="EL104" s="3">
        <f t="shared" si="105"/>
        <v>2.8320344437466334</v>
      </c>
      <c r="EO104" s="3">
        <f t="shared" si="158"/>
        <v>1.9200000000000013</v>
      </c>
      <c r="EP104" s="3">
        <f t="shared" si="159"/>
        <v>1.9200000000000013</v>
      </c>
      <c r="EQ104" s="3">
        <f t="shared" si="106"/>
        <v>2.8320344437466334</v>
      </c>
      <c r="ET104" s="3">
        <f t="shared" si="160"/>
        <v>1.9200000000000013</v>
      </c>
      <c r="EU104" s="168">
        <f t="shared" si="161"/>
        <v>1.9200000000000013</v>
      </c>
      <c r="EV104" s="3">
        <f t="shared" si="107"/>
        <v>2.8320344437466334</v>
      </c>
    </row>
    <row r="105" spans="20:152" s="3" customFormat="1" x14ac:dyDescent="0.3">
      <c r="T105" s="3">
        <f t="shared" si="108"/>
        <v>1.9400000000000013</v>
      </c>
      <c r="U105" s="168">
        <f t="shared" si="109"/>
        <v>1.9400000000000013</v>
      </c>
      <c r="V105" s="3">
        <f t="shared" si="81"/>
        <v>2.728088601901745</v>
      </c>
      <c r="Y105" s="3">
        <f t="shared" si="110"/>
        <v>1.9400000000000013</v>
      </c>
      <c r="Z105" s="3">
        <f t="shared" si="111"/>
        <v>1.9400000000000013</v>
      </c>
      <c r="AA105" s="3">
        <f t="shared" si="82"/>
        <v>2.728088601901745</v>
      </c>
      <c r="AD105" s="3">
        <f t="shared" si="112"/>
        <v>1.9400000000000013</v>
      </c>
      <c r="AE105" s="168">
        <f t="shared" si="113"/>
        <v>1.9400000000000013</v>
      </c>
      <c r="AF105" s="3">
        <f t="shared" si="83"/>
        <v>2.728088601901745</v>
      </c>
      <c r="AI105" s="3">
        <f t="shared" si="114"/>
        <v>1.9400000000000013</v>
      </c>
      <c r="AJ105" s="168">
        <f t="shared" si="115"/>
        <v>1.9400000000000013</v>
      </c>
      <c r="AK105" s="3">
        <f t="shared" si="84"/>
        <v>2.728088601901745</v>
      </c>
      <c r="AN105" s="3">
        <f t="shared" si="116"/>
        <v>1.9400000000000013</v>
      </c>
      <c r="AO105" s="3">
        <f t="shared" si="117"/>
        <v>1.9400000000000013</v>
      </c>
      <c r="AP105" s="3">
        <f t="shared" si="85"/>
        <v>2.728088601901745</v>
      </c>
      <c r="AS105" s="3">
        <f t="shared" si="118"/>
        <v>1.9400000000000013</v>
      </c>
      <c r="AT105" s="168">
        <f t="shared" si="119"/>
        <v>1.9400000000000013</v>
      </c>
      <c r="AU105" s="3">
        <f t="shared" si="86"/>
        <v>2.728088601901745</v>
      </c>
      <c r="AX105" s="3">
        <f t="shared" si="120"/>
        <v>1.9400000000000013</v>
      </c>
      <c r="AY105" s="168">
        <f t="shared" si="121"/>
        <v>1.9400000000000013</v>
      </c>
      <c r="AZ105" s="3">
        <f t="shared" si="87"/>
        <v>2.728088601901745</v>
      </c>
      <c r="BC105" s="3">
        <f t="shared" si="122"/>
        <v>1.9400000000000013</v>
      </c>
      <c r="BD105" s="3">
        <f t="shared" si="123"/>
        <v>1.9400000000000013</v>
      </c>
      <c r="BE105" s="3">
        <f t="shared" si="88"/>
        <v>2.728088601901745</v>
      </c>
      <c r="BH105" s="3">
        <f t="shared" si="124"/>
        <v>1.9400000000000013</v>
      </c>
      <c r="BI105" s="168">
        <f t="shared" si="125"/>
        <v>1.9400000000000013</v>
      </c>
      <c r="BJ105" s="3">
        <f t="shared" si="89"/>
        <v>2.728088601901745</v>
      </c>
      <c r="BM105" s="3">
        <f t="shared" si="126"/>
        <v>1.9400000000000013</v>
      </c>
      <c r="BN105" s="168">
        <f t="shared" si="127"/>
        <v>1.9400000000000013</v>
      </c>
      <c r="BO105" s="3">
        <f t="shared" si="90"/>
        <v>2.728088601901745</v>
      </c>
      <c r="BR105" s="3">
        <f t="shared" si="128"/>
        <v>1.9400000000000013</v>
      </c>
      <c r="BS105" s="3">
        <f t="shared" si="129"/>
        <v>1.9400000000000013</v>
      </c>
      <c r="BT105" s="3">
        <f t="shared" si="91"/>
        <v>2.728088601901745</v>
      </c>
      <c r="BW105" s="3">
        <f t="shared" si="130"/>
        <v>1.9400000000000013</v>
      </c>
      <c r="BX105" s="168">
        <f t="shared" si="131"/>
        <v>1.9400000000000013</v>
      </c>
      <c r="BY105" s="3">
        <f t="shared" si="92"/>
        <v>2.728088601901745</v>
      </c>
      <c r="CB105" s="3">
        <f t="shared" si="132"/>
        <v>1.9400000000000013</v>
      </c>
      <c r="CC105" s="168">
        <f t="shared" si="133"/>
        <v>1.9400000000000013</v>
      </c>
      <c r="CD105" s="3">
        <f t="shared" si="93"/>
        <v>2.728088601901745</v>
      </c>
      <c r="CG105" s="3">
        <f t="shared" si="134"/>
        <v>1.9400000000000013</v>
      </c>
      <c r="CH105" s="3">
        <f t="shared" si="135"/>
        <v>1.9400000000000013</v>
      </c>
      <c r="CI105" s="3">
        <f t="shared" si="94"/>
        <v>2.728088601901745</v>
      </c>
      <c r="CL105" s="3">
        <f t="shared" si="136"/>
        <v>1.9400000000000013</v>
      </c>
      <c r="CM105" s="168">
        <f t="shared" si="137"/>
        <v>1.9400000000000013</v>
      </c>
      <c r="CN105" s="3">
        <f t="shared" si="95"/>
        <v>2.728088601901745</v>
      </c>
      <c r="CQ105" s="3">
        <f t="shared" si="138"/>
        <v>1.9400000000000013</v>
      </c>
      <c r="CR105" s="168">
        <f t="shared" si="139"/>
        <v>1.9400000000000013</v>
      </c>
      <c r="CS105" s="3">
        <f t="shared" si="96"/>
        <v>2.728088601901745</v>
      </c>
      <c r="CV105" s="3">
        <f t="shared" si="140"/>
        <v>1.9400000000000013</v>
      </c>
      <c r="CW105" s="3">
        <f t="shared" si="141"/>
        <v>1.9400000000000013</v>
      </c>
      <c r="CX105" s="3">
        <f t="shared" si="97"/>
        <v>2.728088601901745</v>
      </c>
      <c r="DA105" s="3">
        <f t="shared" si="142"/>
        <v>1.9400000000000013</v>
      </c>
      <c r="DB105" s="168">
        <f t="shared" si="143"/>
        <v>1.9400000000000013</v>
      </c>
      <c r="DC105" s="3">
        <f t="shared" si="98"/>
        <v>2.728088601901745</v>
      </c>
      <c r="DF105" s="3">
        <f t="shared" si="144"/>
        <v>1.9400000000000013</v>
      </c>
      <c r="DG105" s="168">
        <f t="shared" si="145"/>
        <v>1.9400000000000013</v>
      </c>
      <c r="DH105" s="3">
        <f t="shared" si="99"/>
        <v>2.728088601901745</v>
      </c>
      <c r="DK105" s="3">
        <f t="shared" si="146"/>
        <v>1.9400000000000013</v>
      </c>
      <c r="DL105" s="3">
        <f t="shared" si="147"/>
        <v>1.9400000000000013</v>
      </c>
      <c r="DM105" s="3">
        <f t="shared" si="100"/>
        <v>2.728088601901745</v>
      </c>
      <c r="DP105" s="3">
        <f t="shared" si="148"/>
        <v>1.9400000000000013</v>
      </c>
      <c r="DQ105" s="168">
        <f t="shared" si="149"/>
        <v>1.9400000000000013</v>
      </c>
      <c r="DR105" s="3">
        <f t="shared" si="101"/>
        <v>2.728088601901745</v>
      </c>
      <c r="DU105" s="3">
        <f t="shared" si="150"/>
        <v>1.9400000000000013</v>
      </c>
      <c r="DV105" s="168">
        <f t="shared" si="151"/>
        <v>1.9400000000000013</v>
      </c>
      <c r="DW105" s="3">
        <f t="shared" si="102"/>
        <v>2.728088601901745</v>
      </c>
      <c r="DZ105" s="3">
        <f t="shared" si="152"/>
        <v>1.9400000000000013</v>
      </c>
      <c r="EA105" s="3">
        <f t="shared" si="153"/>
        <v>1.9400000000000013</v>
      </c>
      <c r="EB105" s="3">
        <f t="shared" si="103"/>
        <v>2.728088601901745</v>
      </c>
      <c r="EE105" s="3">
        <f t="shared" si="154"/>
        <v>1.9400000000000013</v>
      </c>
      <c r="EF105" s="168">
        <f t="shared" si="155"/>
        <v>1.9400000000000013</v>
      </c>
      <c r="EG105" s="3">
        <f t="shared" si="104"/>
        <v>2.728088601901745</v>
      </c>
      <c r="EJ105" s="3">
        <f t="shared" si="156"/>
        <v>1.9400000000000013</v>
      </c>
      <c r="EK105" s="168">
        <f t="shared" si="157"/>
        <v>1.9400000000000013</v>
      </c>
      <c r="EL105" s="3">
        <f t="shared" si="105"/>
        <v>2.728088601901745</v>
      </c>
      <c r="EO105" s="3">
        <f t="shared" si="158"/>
        <v>1.9400000000000013</v>
      </c>
      <c r="EP105" s="3">
        <f t="shared" si="159"/>
        <v>1.9400000000000013</v>
      </c>
      <c r="EQ105" s="3">
        <f t="shared" si="106"/>
        <v>2.728088601901745</v>
      </c>
      <c r="ET105" s="3">
        <f t="shared" si="160"/>
        <v>1.9400000000000013</v>
      </c>
      <c r="EU105" s="168">
        <f t="shared" si="161"/>
        <v>1.9400000000000013</v>
      </c>
      <c r="EV105" s="3">
        <f t="shared" si="107"/>
        <v>2.728088601901745</v>
      </c>
    </row>
    <row r="106" spans="20:152" s="3" customFormat="1" x14ac:dyDescent="0.3">
      <c r="T106" s="3">
        <f t="shared" si="108"/>
        <v>1.9600000000000013</v>
      </c>
      <c r="U106" s="168">
        <f t="shared" si="109"/>
        <v>1.9600000000000013</v>
      </c>
      <c r="V106" s="3">
        <f t="shared" si="81"/>
        <v>2.6214342473290069</v>
      </c>
      <c r="Y106" s="3">
        <f t="shared" si="110"/>
        <v>1.9600000000000013</v>
      </c>
      <c r="Z106" s="3">
        <f t="shared" si="111"/>
        <v>1.9600000000000013</v>
      </c>
      <c r="AA106" s="3">
        <f t="shared" si="82"/>
        <v>2.6214342473290069</v>
      </c>
      <c r="AD106" s="3">
        <f t="shared" si="112"/>
        <v>1.9600000000000013</v>
      </c>
      <c r="AE106" s="168">
        <f t="shared" si="113"/>
        <v>1.9600000000000013</v>
      </c>
      <c r="AF106" s="3">
        <f t="shared" si="83"/>
        <v>2.6214342473290069</v>
      </c>
      <c r="AI106" s="3">
        <f t="shared" si="114"/>
        <v>1.9600000000000013</v>
      </c>
      <c r="AJ106" s="168">
        <f t="shared" si="115"/>
        <v>1.9600000000000013</v>
      </c>
      <c r="AK106" s="3">
        <f t="shared" si="84"/>
        <v>2.6214342473290069</v>
      </c>
      <c r="AN106" s="3">
        <f t="shared" si="116"/>
        <v>1.9600000000000013</v>
      </c>
      <c r="AO106" s="3">
        <f t="shared" si="117"/>
        <v>1.9600000000000013</v>
      </c>
      <c r="AP106" s="3">
        <f t="shared" si="85"/>
        <v>2.6214342473290069</v>
      </c>
      <c r="AS106" s="3">
        <f t="shared" si="118"/>
        <v>1.9600000000000013</v>
      </c>
      <c r="AT106" s="168">
        <f t="shared" si="119"/>
        <v>1.9600000000000013</v>
      </c>
      <c r="AU106" s="3">
        <f t="shared" si="86"/>
        <v>2.6214342473290069</v>
      </c>
      <c r="AX106" s="3">
        <f t="shared" si="120"/>
        <v>1.9600000000000013</v>
      </c>
      <c r="AY106" s="168">
        <f t="shared" si="121"/>
        <v>1.9600000000000013</v>
      </c>
      <c r="AZ106" s="3">
        <f t="shared" si="87"/>
        <v>2.6214342473290069</v>
      </c>
      <c r="BC106" s="3">
        <f t="shared" si="122"/>
        <v>1.9600000000000013</v>
      </c>
      <c r="BD106" s="3">
        <f t="shared" si="123"/>
        <v>1.9600000000000013</v>
      </c>
      <c r="BE106" s="3">
        <f t="shared" si="88"/>
        <v>2.6214342473290069</v>
      </c>
      <c r="BH106" s="3">
        <f t="shared" si="124"/>
        <v>1.9600000000000013</v>
      </c>
      <c r="BI106" s="168">
        <f t="shared" si="125"/>
        <v>1.9600000000000013</v>
      </c>
      <c r="BJ106" s="3">
        <f t="shared" si="89"/>
        <v>2.6214342473290069</v>
      </c>
      <c r="BM106" s="3">
        <f t="shared" si="126"/>
        <v>1.9600000000000013</v>
      </c>
      <c r="BN106" s="168">
        <f t="shared" si="127"/>
        <v>1.9600000000000013</v>
      </c>
      <c r="BO106" s="3">
        <f t="shared" si="90"/>
        <v>2.6214342473290069</v>
      </c>
      <c r="BR106" s="3">
        <f t="shared" si="128"/>
        <v>1.9600000000000013</v>
      </c>
      <c r="BS106" s="3">
        <f t="shared" si="129"/>
        <v>1.9600000000000013</v>
      </c>
      <c r="BT106" s="3">
        <f t="shared" si="91"/>
        <v>2.6214342473290069</v>
      </c>
      <c r="BW106" s="3">
        <f t="shared" si="130"/>
        <v>1.9600000000000013</v>
      </c>
      <c r="BX106" s="168">
        <f t="shared" si="131"/>
        <v>1.9600000000000013</v>
      </c>
      <c r="BY106" s="3">
        <f t="shared" si="92"/>
        <v>2.6214342473290069</v>
      </c>
      <c r="CB106" s="3">
        <f t="shared" si="132"/>
        <v>1.9600000000000013</v>
      </c>
      <c r="CC106" s="168">
        <f t="shared" si="133"/>
        <v>1.9600000000000013</v>
      </c>
      <c r="CD106" s="3">
        <f t="shared" si="93"/>
        <v>2.6214342473290069</v>
      </c>
      <c r="CG106" s="3">
        <f t="shared" si="134"/>
        <v>1.9600000000000013</v>
      </c>
      <c r="CH106" s="3">
        <f t="shared" si="135"/>
        <v>1.9600000000000013</v>
      </c>
      <c r="CI106" s="3">
        <f t="shared" si="94"/>
        <v>2.6214342473290069</v>
      </c>
      <c r="CL106" s="3">
        <f t="shared" si="136"/>
        <v>1.9600000000000013</v>
      </c>
      <c r="CM106" s="168">
        <f t="shared" si="137"/>
        <v>1.9600000000000013</v>
      </c>
      <c r="CN106" s="3">
        <f t="shared" si="95"/>
        <v>2.6214342473290069</v>
      </c>
      <c r="CQ106" s="3">
        <f t="shared" si="138"/>
        <v>1.9600000000000013</v>
      </c>
      <c r="CR106" s="168">
        <f t="shared" si="139"/>
        <v>1.9600000000000013</v>
      </c>
      <c r="CS106" s="3">
        <f t="shared" si="96"/>
        <v>2.6214342473290069</v>
      </c>
      <c r="CV106" s="3">
        <f t="shared" si="140"/>
        <v>1.9600000000000013</v>
      </c>
      <c r="CW106" s="3">
        <f t="shared" si="141"/>
        <v>1.9600000000000013</v>
      </c>
      <c r="CX106" s="3">
        <f t="shared" si="97"/>
        <v>2.6214342473290069</v>
      </c>
      <c r="DA106" s="3">
        <f t="shared" si="142"/>
        <v>1.9600000000000013</v>
      </c>
      <c r="DB106" s="168">
        <f t="shared" si="143"/>
        <v>1.9600000000000013</v>
      </c>
      <c r="DC106" s="3">
        <f t="shared" si="98"/>
        <v>2.6214342473290069</v>
      </c>
      <c r="DF106" s="3">
        <f t="shared" si="144"/>
        <v>1.9600000000000013</v>
      </c>
      <c r="DG106" s="168">
        <f t="shared" si="145"/>
        <v>1.9600000000000013</v>
      </c>
      <c r="DH106" s="3">
        <f t="shared" si="99"/>
        <v>2.6214342473290069</v>
      </c>
      <c r="DK106" s="3">
        <f t="shared" si="146"/>
        <v>1.9600000000000013</v>
      </c>
      <c r="DL106" s="3">
        <f t="shared" si="147"/>
        <v>1.9600000000000013</v>
      </c>
      <c r="DM106" s="3">
        <f t="shared" si="100"/>
        <v>2.6214342473290069</v>
      </c>
      <c r="DP106" s="3">
        <f t="shared" si="148"/>
        <v>1.9600000000000013</v>
      </c>
      <c r="DQ106" s="168">
        <f t="shared" si="149"/>
        <v>1.9600000000000013</v>
      </c>
      <c r="DR106" s="3">
        <f t="shared" si="101"/>
        <v>2.6214342473290069</v>
      </c>
      <c r="DU106" s="3">
        <f t="shared" si="150"/>
        <v>1.9600000000000013</v>
      </c>
      <c r="DV106" s="168">
        <f t="shared" si="151"/>
        <v>1.9600000000000013</v>
      </c>
      <c r="DW106" s="3">
        <f t="shared" si="102"/>
        <v>2.6214342473290069</v>
      </c>
      <c r="DZ106" s="3">
        <f t="shared" si="152"/>
        <v>1.9600000000000013</v>
      </c>
      <c r="EA106" s="3">
        <f t="shared" si="153"/>
        <v>1.9600000000000013</v>
      </c>
      <c r="EB106" s="3">
        <f t="shared" si="103"/>
        <v>2.6214342473290069</v>
      </c>
      <c r="EE106" s="3">
        <f t="shared" si="154"/>
        <v>1.9600000000000013</v>
      </c>
      <c r="EF106" s="168">
        <f t="shared" si="155"/>
        <v>1.9600000000000013</v>
      </c>
      <c r="EG106" s="3">
        <f t="shared" si="104"/>
        <v>2.6214342473290069</v>
      </c>
      <c r="EJ106" s="3">
        <f t="shared" si="156"/>
        <v>1.9600000000000013</v>
      </c>
      <c r="EK106" s="168">
        <f t="shared" si="157"/>
        <v>1.9600000000000013</v>
      </c>
      <c r="EL106" s="3">
        <f t="shared" si="105"/>
        <v>2.6214342473290069</v>
      </c>
      <c r="EO106" s="3">
        <f t="shared" si="158"/>
        <v>1.9600000000000013</v>
      </c>
      <c r="EP106" s="3">
        <f t="shared" si="159"/>
        <v>1.9600000000000013</v>
      </c>
      <c r="EQ106" s="3">
        <f t="shared" si="106"/>
        <v>2.6214342473290069</v>
      </c>
      <c r="ET106" s="3">
        <f t="shared" si="160"/>
        <v>1.9600000000000013</v>
      </c>
      <c r="EU106" s="168">
        <f t="shared" si="161"/>
        <v>1.9600000000000013</v>
      </c>
      <c r="EV106" s="3">
        <f t="shared" si="107"/>
        <v>2.6214342473290069</v>
      </c>
    </row>
    <row r="107" spans="20:152" s="3" customFormat="1" x14ac:dyDescent="0.3">
      <c r="T107" s="3">
        <f t="shared" si="108"/>
        <v>1.9800000000000013</v>
      </c>
      <c r="U107" s="168">
        <f t="shared" si="109"/>
        <v>1.9800000000000013</v>
      </c>
      <c r="V107" s="3">
        <f t="shared" si="81"/>
        <v>2.5120713800284244</v>
      </c>
      <c r="Y107" s="3">
        <f t="shared" si="110"/>
        <v>1.9800000000000013</v>
      </c>
      <c r="Z107" s="3">
        <f t="shared" si="111"/>
        <v>1.9800000000000013</v>
      </c>
      <c r="AA107" s="3">
        <f t="shared" si="82"/>
        <v>2.5120713800284244</v>
      </c>
      <c r="AD107" s="3">
        <f t="shared" si="112"/>
        <v>1.9800000000000013</v>
      </c>
      <c r="AE107" s="168">
        <f t="shared" si="113"/>
        <v>1.9800000000000013</v>
      </c>
      <c r="AF107" s="3">
        <f t="shared" si="83"/>
        <v>2.5120713800284244</v>
      </c>
      <c r="AI107" s="3">
        <f t="shared" si="114"/>
        <v>1.9800000000000013</v>
      </c>
      <c r="AJ107" s="168">
        <f t="shared" si="115"/>
        <v>1.9800000000000013</v>
      </c>
      <c r="AK107" s="3">
        <f t="shared" si="84"/>
        <v>2.5120713800284244</v>
      </c>
      <c r="AN107" s="3">
        <f t="shared" si="116"/>
        <v>1.9800000000000013</v>
      </c>
      <c r="AO107" s="3">
        <f t="shared" si="117"/>
        <v>1.9800000000000013</v>
      </c>
      <c r="AP107" s="3">
        <f t="shared" si="85"/>
        <v>2.5120713800284244</v>
      </c>
      <c r="AS107" s="3">
        <f t="shared" si="118"/>
        <v>1.9800000000000013</v>
      </c>
      <c r="AT107" s="168">
        <f t="shared" si="119"/>
        <v>1.9800000000000013</v>
      </c>
      <c r="AU107" s="3">
        <f t="shared" si="86"/>
        <v>2.5120713800284244</v>
      </c>
      <c r="AX107" s="3">
        <f t="shared" si="120"/>
        <v>1.9800000000000013</v>
      </c>
      <c r="AY107" s="168">
        <f t="shared" si="121"/>
        <v>1.9800000000000013</v>
      </c>
      <c r="AZ107" s="3">
        <f t="shared" si="87"/>
        <v>2.5120713800284244</v>
      </c>
      <c r="BC107" s="3">
        <f t="shared" si="122"/>
        <v>1.9800000000000013</v>
      </c>
      <c r="BD107" s="3">
        <f t="shared" si="123"/>
        <v>1.9800000000000013</v>
      </c>
      <c r="BE107" s="3">
        <f t="shared" si="88"/>
        <v>2.5120713800284244</v>
      </c>
      <c r="BH107" s="3">
        <f t="shared" si="124"/>
        <v>1.9800000000000013</v>
      </c>
      <c r="BI107" s="168">
        <f t="shared" si="125"/>
        <v>1.9800000000000013</v>
      </c>
      <c r="BJ107" s="3">
        <f t="shared" si="89"/>
        <v>2.5120713800284244</v>
      </c>
      <c r="BM107" s="3">
        <f t="shared" si="126"/>
        <v>1.9800000000000013</v>
      </c>
      <c r="BN107" s="168">
        <f t="shared" si="127"/>
        <v>1.9800000000000013</v>
      </c>
      <c r="BO107" s="3">
        <f t="shared" si="90"/>
        <v>2.5120713800284244</v>
      </c>
      <c r="BR107" s="3">
        <f t="shared" si="128"/>
        <v>1.9800000000000013</v>
      </c>
      <c r="BS107" s="3">
        <f t="shared" si="129"/>
        <v>1.9800000000000013</v>
      </c>
      <c r="BT107" s="3">
        <f t="shared" si="91"/>
        <v>2.5120713800284244</v>
      </c>
      <c r="BW107" s="3">
        <f t="shared" si="130"/>
        <v>1.9800000000000013</v>
      </c>
      <c r="BX107" s="168">
        <f t="shared" si="131"/>
        <v>1.9800000000000013</v>
      </c>
      <c r="BY107" s="3">
        <f t="shared" si="92"/>
        <v>2.5120713800284244</v>
      </c>
      <c r="CB107" s="3">
        <f t="shared" si="132"/>
        <v>1.9800000000000013</v>
      </c>
      <c r="CC107" s="168">
        <f t="shared" si="133"/>
        <v>1.9800000000000013</v>
      </c>
      <c r="CD107" s="3">
        <f t="shared" si="93"/>
        <v>2.5120713800284244</v>
      </c>
      <c r="CG107" s="3">
        <f t="shared" si="134"/>
        <v>1.9800000000000013</v>
      </c>
      <c r="CH107" s="3">
        <f t="shared" si="135"/>
        <v>1.9800000000000013</v>
      </c>
      <c r="CI107" s="3">
        <f t="shared" si="94"/>
        <v>2.5120713800284244</v>
      </c>
      <c r="CL107" s="3">
        <f t="shared" si="136"/>
        <v>1.9800000000000013</v>
      </c>
      <c r="CM107" s="168">
        <f t="shared" si="137"/>
        <v>1.9800000000000013</v>
      </c>
      <c r="CN107" s="3">
        <f t="shared" si="95"/>
        <v>2.5120713800284244</v>
      </c>
      <c r="CQ107" s="3">
        <f t="shared" si="138"/>
        <v>1.9800000000000013</v>
      </c>
      <c r="CR107" s="168">
        <f t="shared" si="139"/>
        <v>1.9800000000000013</v>
      </c>
      <c r="CS107" s="3">
        <f t="shared" si="96"/>
        <v>2.5120713800284244</v>
      </c>
      <c r="CV107" s="3">
        <f t="shared" si="140"/>
        <v>1.9800000000000013</v>
      </c>
      <c r="CW107" s="3">
        <f t="shared" si="141"/>
        <v>1.9800000000000013</v>
      </c>
      <c r="CX107" s="3">
        <f t="shared" si="97"/>
        <v>2.5120713800284244</v>
      </c>
      <c r="DA107" s="3">
        <f t="shared" si="142"/>
        <v>1.9800000000000013</v>
      </c>
      <c r="DB107" s="168">
        <f t="shared" si="143"/>
        <v>1.9800000000000013</v>
      </c>
      <c r="DC107" s="3">
        <f t="shared" si="98"/>
        <v>2.5120713800284244</v>
      </c>
      <c r="DF107" s="3">
        <f t="shared" si="144"/>
        <v>1.9800000000000013</v>
      </c>
      <c r="DG107" s="168">
        <f t="shared" si="145"/>
        <v>1.9800000000000013</v>
      </c>
      <c r="DH107" s="3">
        <f t="shared" si="99"/>
        <v>2.5120713800284244</v>
      </c>
      <c r="DK107" s="3">
        <f t="shared" si="146"/>
        <v>1.9800000000000013</v>
      </c>
      <c r="DL107" s="3">
        <f t="shared" si="147"/>
        <v>1.9800000000000013</v>
      </c>
      <c r="DM107" s="3">
        <f t="shared" si="100"/>
        <v>2.5120713800284244</v>
      </c>
      <c r="DP107" s="3">
        <f t="shared" si="148"/>
        <v>1.9800000000000013</v>
      </c>
      <c r="DQ107" s="168">
        <f t="shared" si="149"/>
        <v>1.9800000000000013</v>
      </c>
      <c r="DR107" s="3">
        <f t="shared" si="101"/>
        <v>2.5120713800284244</v>
      </c>
      <c r="DU107" s="3">
        <f t="shared" si="150"/>
        <v>1.9800000000000013</v>
      </c>
      <c r="DV107" s="168">
        <f t="shared" si="151"/>
        <v>1.9800000000000013</v>
      </c>
      <c r="DW107" s="3">
        <f t="shared" si="102"/>
        <v>2.5120713800284244</v>
      </c>
      <c r="DZ107" s="3">
        <f t="shared" si="152"/>
        <v>1.9800000000000013</v>
      </c>
      <c r="EA107" s="3">
        <f t="shared" si="153"/>
        <v>1.9800000000000013</v>
      </c>
      <c r="EB107" s="3">
        <f t="shared" si="103"/>
        <v>2.5120713800284244</v>
      </c>
      <c r="EE107" s="3">
        <f t="shared" si="154"/>
        <v>1.9800000000000013</v>
      </c>
      <c r="EF107" s="168">
        <f t="shared" si="155"/>
        <v>1.9800000000000013</v>
      </c>
      <c r="EG107" s="3">
        <f t="shared" si="104"/>
        <v>2.5120713800284244</v>
      </c>
      <c r="EJ107" s="3">
        <f t="shared" si="156"/>
        <v>1.9800000000000013</v>
      </c>
      <c r="EK107" s="168">
        <f t="shared" si="157"/>
        <v>1.9800000000000013</v>
      </c>
      <c r="EL107" s="3">
        <f t="shared" si="105"/>
        <v>2.5120713800284244</v>
      </c>
      <c r="EO107" s="3">
        <f t="shared" si="158"/>
        <v>1.9800000000000013</v>
      </c>
      <c r="EP107" s="3">
        <f t="shared" si="159"/>
        <v>1.9800000000000013</v>
      </c>
      <c r="EQ107" s="3">
        <f t="shared" si="106"/>
        <v>2.5120713800284244</v>
      </c>
      <c r="ET107" s="3">
        <f t="shared" si="160"/>
        <v>1.9800000000000013</v>
      </c>
      <c r="EU107" s="168">
        <f t="shared" si="161"/>
        <v>1.9800000000000013</v>
      </c>
      <c r="EV107" s="3">
        <f t="shared" si="107"/>
        <v>2.5120713800284244</v>
      </c>
    </row>
    <row r="108" spans="20:152" s="3" customFormat="1" x14ac:dyDescent="0.3">
      <c r="T108" s="3">
        <f t="shared" si="108"/>
        <v>2.0000000000000013</v>
      </c>
      <c r="U108" s="168">
        <f t="shared" si="109"/>
        <v>2.0000000000000013</v>
      </c>
      <c r="V108" s="3">
        <f t="shared" si="81"/>
        <v>2.3999999999999941</v>
      </c>
      <c r="Y108" s="3">
        <f t="shared" si="110"/>
        <v>2.0000000000000013</v>
      </c>
      <c r="Z108" s="3">
        <f t="shared" si="111"/>
        <v>2.0000000000000013</v>
      </c>
      <c r="AA108" s="3">
        <f t="shared" si="82"/>
        <v>2.3999999999999941</v>
      </c>
      <c r="AD108" s="3">
        <f t="shared" si="112"/>
        <v>2.0000000000000013</v>
      </c>
      <c r="AE108" s="168">
        <f t="shared" si="113"/>
        <v>2.0000000000000013</v>
      </c>
      <c r="AF108" s="3">
        <f t="shared" si="83"/>
        <v>2.3999999999999941</v>
      </c>
      <c r="AI108" s="3">
        <f t="shared" si="114"/>
        <v>2.0000000000000013</v>
      </c>
      <c r="AJ108" s="168">
        <f t="shared" si="115"/>
        <v>2.0000000000000013</v>
      </c>
      <c r="AK108" s="3">
        <f t="shared" si="84"/>
        <v>2.3999999999999941</v>
      </c>
      <c r="AN108" s="3">
        <f t="shared" si="116"/>
        <v>2.0000000000000013</v>
      </c>
      <c r="AO108" s="3">
        <f t="shared" si="117"/>
        <v>2.0000000000000013</v>
      </c>
      <c r="AP108" s="3">
        <f t="shared" si="85"/>
        <v>2.3999999999999941</v>
      </c>
      <c r="AS108" s="3">
        <f t="shared" si="118"/>
        <v>2.0000000000000013</v>
      </c>
      <c r="AT108" s="168">
        <f t="shared" si="119"/>
        <v>2.0000000000000013</v>
      </c>
      <c r="AU108" s="3">
        <f t="shared" si="86"/>
        <v>2.3999999999999941</v>
      </c>
      <c r="AX108" s="3">
        <f t="shared" si="120"/>
        <v>2.0000000000000013</v>
      </c>
      <c r="AY108" s="168">
        <f t="shared" si="121"/>
        <v>2.0000000000000013</v>
      </c>
      <c r="AZ108" s="3">
        <f t="shared" si="87"/>
        <v>2.3999999999999941</v>
      </c>
      <c r="BC108" s="3">
        <f t="shared" si="122"/>
        <v>2.0000000000000013</v>
      </c>
      <c r="BD108" s="3">
        <f t="shared" si="123"/>
        <v>2.0000000000000013</v>
      </c>
      <c r="BE108" s="3">
        <f t="shared" si="88"/>
        <v>2.3999999999999941</v>
      </c>
      <c r="BH108" s="3">
        <f t="shared" si="124"/>
        <v>2.0000000000000013</v>
      </c>
      <c r="BI108" s="168">
        <f t="shared" si="125"/>
        <v>2.0000000000000013</v>
      </c>
      <c r="BJ108" s="3">
        <f t="shared" si="89"/>
        <v>2.3999999999999941</v>
      </c>
      <c r="BM108" s="3">
        <f t="shared" si="126"/>
        <v>2.0000000000000013</v>
      </c>
      <c r="BN108" s="168">
        <f t="shared" si="127"/>
        <v>2.0000000000000013</v>
      </c>
      <c r="BO108" s="3">
        <f t="shared" si="90"/>
        <v>2.3999999999999941</v>
      </c>
      <c r="BR108" s="3">
        <f t="shared" si="128"/>
        <v>2.0000000000000013</v>
      </c>
      <c r="BS108" s="3">
        <f t="shared" si="129"/>
        <v>2.0000000000000013</v>
      </c>
      <c r="BT108" s="3">
        <f t="shared" si="91"/>
        <v>2.3999999999999941</v>
      </c>
      <c r="BW108" s="3">
        <f t="shared" si="130"/>
        <v>2.0000000000000013</v>
      </c>
      <c r="BX108" s="168">
        <f t="shared" si="131"/>
        <v>2.0000000000000013</v>
      </c>
      <c r="BY108" s="3">
        <f t="shared" si="92"/>
        <v>2.3999999999999941</v>
      </c>
      <c r="CB108" s="3">
        <f t="shared" si="132"/>
        <v>2.0000000000000013</v>
      </c>
      <c r="CC108" s="168">
        <f t="shared" si="133"/>
        <v>2.0000000000000013</v>
      </c>
      <c r="CD108" s="3">
        <f t="shared" si="93"/>
        <v>2.3999999999999941</v>
      </c>
      <c r="CG108" s="3">
        <f t="shared" si="134"/>
        <v>2.0000000000000013</v>
      </c>
      <c r="CH108" s="3">
        <f t="shared" si="135"/>
        <v>2.0000000000000013</v>
      </c>
      <c r="CI108" s="3">
        <f t="shared" si="94"/>
        <v>2.3999999999999941</v>
      </c>
      <c r="CL108" s="3">
        <f t="shared" si="136"/>
        <v>2.0000000000000013</v>
      </c>
      <c r="CM108" s="168">
        <f t="shared" si="137"/>
        <v>2.0000000000000013</v>
      </c>
      <c r="CN108" s="3">
        <f t="shared" si="95"/>
        <v>2.3999999999999941</v>
      </c>
      <c r="CQ108" s="3">
        <f t="shared" si="138"/>
        <v>2.0000000000000013</v>
      </c>
      <c r="CR108" s="168">
        <f t="shared" si="139"/>
        <v>2.0000000000000013</v>
      </c>
      <c r="CS108" s="3">
        <f t="shared" si="96"/>
        <v>2.3999999999999941</v>
      </c>
      <c r="CV108" s="3">
        <f t="shared" si="140"/>
        <v>2.0000000000000013</v>
      </c>
      <c r="CW108" s="3">
        <f t="shared" si="141"/>
        <v>2.0000000000000013</v>
      </c>
      <c r="CX108" s="3">
        <f t="shared" si="97"/>
        <v>2.3999999999999941</v>
      </c>
      <c r="DA108" s="3">
        <f t="shared" si="142"/>
        <v>2.0000000000000013</v>
      </c>
      <c r="DB108" s="168">
        <f t="shared" si="143"/>
        <v>2.0000000000000013</v>
      </c>
      <c r="DC108" s="3">
        <f t="shared" si="98"/>
        <v>2.3999999999999941</v>
      </c>
      <c r="DF108" s="3">
        <f t="shared" si="144"/>
        <v>2.0000000000000013</v>
      </c>
      <c r="DG108" s="168">
        <f t="shared" si="145"/>
        <v>2.0000000000000013</v>
      </c>
      <c r="DH108" s="3">
        <f t="shared" si="99"/>
        <v>2.3999999999999941</v>
      </c>
      <c r="DK108" s="3">
        <f t="shared" si="146"/>
        <v>2.0000000000000013</v>
      </c>
      <c r="DL108" s="3">
        <f t="shared" si="147"/>
        <v>2.0000000000000013</v>
      </c>
      <c r="DM108" s="3">
        <f t="shared" si="100"/>
        <v>2.3999999999999941</v>
      </c>
      <c r="DP108" s="3">
        <f t="shared" si="148"/>
        <v>2.0000000000000013</v>
      </c>
      <c r="DQ108" s="168">
        <f t="shared" si="149"/>
        <v>2.0000000000000013</v>
      </c>
      <c r="DR108" s="3">
        <f t="shared" si="101"/>
        <v>2.3999999999999941</v>
      </c>
      <c r="DU108" s="3">
        <f t="shared" si="150"/>
        <v>2.0000000000000013</v>
      </c>
      <c r="DV108" s="168">
        <f t="shared" si="151"/>
        <v>2.0000000000000013</v>
      </c>
      <c r="DW108" s="3">
        <f t="shared" si="102"/>
        <v>2.3999999999999941</v>
      </c>
      <c r="DZ108" s="3">
        <f t="shared" si="152"/>
        <v>2.0000000000000013</v>
      </c>
      <c r="EA108" s="3">
        <f t="shared" si="153"/>
        <v>2.0000000000000013</v>
      </c>
      <c r="EB108" s="3">
        <f t="shared" si="103"/>
        <v>2.3999999999999941</v>
      </c>
      <c r="EE108" s="3">
        <f t="shared" si="154"/>
        <v>2.0000000000000013</v>
      </c>
      <c r="EF108" s="168">
        <f t="shared" si="155"/>
        <v>2.0000000000000013</v>
      </c>
      <c r="EG108" s="3">
        <f t="shared" si="104"/>
        <v>2.3999999999999941</v>
      </c>
      <c r="EJ108" s="3">
        <f t="shared" si="156"/>
        <v>2.0000000000000013</v>
      </c>
      <c r="EK108" s="168">
        <f t="shared" si="157"/>
        <v>2.0000000000000013</v>
      </c>
      <c r="EL108" s="3">
        <f t="shared" si="105"/>
        <v>2.3999999999999941</v>
      </c>
      <c r="EO108" s="3">
        <f t="shared" si="158"/>
        <v>2.0000000000000013</v>
      </c>
      <c r="EP108" s="3">
        <f t="shared" si="159"/>
        <v>2.0000000000000013</v>
      </c>
      <c r="EQ108" s="3">
        <f t="shared" si="106"/>
        <v>2.3999999999999941</v>
      </c>
      <c r="ET108" s="3">
        <f t="shared" si="160"/>
        <v>2.0000000000000013</v>
      </c>
      <c r="EU108" s="168">
        <f t="shared" si="161"/>
        <v>2.0000000000000013</v>
      </c>
      <c r="EV108" s="3">
        <f t="shared" si="107"/>
        <v>2.3999999999999941</v>
      </c>
    </row>
    <row r="111" spans="20:152" s="3" customFormat="1" x14ac:dyDescent="0.3">
      <c r="T111" s="78">
        <f>$D$8-$D$9</f>
        <v>4.6500000000000004</v>
      </c>
      <c r="U111" s="78">
        <f>$D$8</f>
        <v>4.6500000000000004</v>
      </c>
      <c r="V111" s="78">
        <f>$D$8+$D$9</f>
        <v>4.6500000000000004</v>
      </c>
      <c r="W111" s="78">
        <f t="shared" ref="W111" si="162">$D$8-$D$9</f>
        <v>4.6500000000000004</v>
      </c>
      <c r="X111" s="78">
        <f t="shared" ref="X111" si="163">$D$8</f>
        <v>4.6500000000000004</v>
      </c>
      <c r="Y111" s="78">
        <f t="shared" ref="Y111" si="164">$D$8+$D$9</f>
        <v>4.6500000000000004</v>
      </c>
      <c r="Z111" s="78">
        <f t="shared" ref="Z111" si="165">$D$8-$D$9</f>
        <v>4.6500000000000004</v>
      </c>
      <c r="AA111" s="78">
        <f t="shared" ref="AA111" si="166">$D$8</f>
        <v>4.6500000000000004</v>
      </c>
      <c r="AB111" s="78">
        <f t="shared" ref="AB111" si="167">$D$8+$D$9</f>
        <v>4.6500000000000004</v>
      </c>
      <c r="AC111" s="78">
        <f>$D$8-$D$9</f>
        <v>4.6500000000000004</v>
      </c>
      <c r="AD111" s="78">
        <f>$D$8</f>
        <v>4.6500000000000004</v>
      </c>
      <c r="AE111" s="78">
        <f>$D$8+$D$9</f>
        <v>4.6500000000000004</v>
      </c>
      <c r="AF111" s="78">
        <f t="shared" ref="AF111" si="168">$D$8-$D$9</f>
        <v>4.6500000000000004</v>
      </c>
      <c r="AG111" s="78">
        <f t="shared" ref="AG111" si="169">$D$8</f>
        <v>4.6500000000000004</v>
      </c>
      <c r="AH111" s="78">
        <f t="shared" ref="AH111" si="170">$D$8+$D$9</f>
        <v>4.6500000000000004</v>
      </c>
      <c r="AI111" s="78">
        <f t="shared" ref="AI111" si="171">$D$8-$D$9</f>
        <v>4.6500000000000004</v>
      </c>
      <c r="AJ111" s="78">
        <f t="shared" ref="AJ111" si="172">$D$8</f>
        <v>4.6500000000000004</v>
      </c>
      <c r="AK111" s="78">
        <f t="shared" ref="AK111" si="173">$D$8+$D$9</f>
        <v>4.6500000000000004</v>
      </c>
      <c r="AL111" s="78">
        <f>$D$8-$D$9</f>
        <v>4.6500000000000004</v>
      </c>
      <c r="AM111" s="78">
        <f>$D$8</f>
        <v>4.6500000000000004</v>
      </c>
      <c r="AN111" s="78">
        <f>$D$8+$D$9</f>
        <v>4.6500000000000004</v>
      </c>
      <c r="AO111" s="78">
        <f t="shared" ref="AO111" si="174">$D$8-$D$9</f>
        <v>4.6500000000000004</v>
      </c>
      <c r="AP111" s="78">
        <f t="shared" ref="AP111" si="175">$D$8</f>
        <v>4.6500000000000004</v>
      </c>
      <c r="AQ111" s="78">
        <f t="shared" ref="AQ111" si="176">$D$8+$D$9</f>
        <v>4.6500000000000004</v>
      </c>
      <c r="AR111" s="78">
        <f t="shared" ref="AR111" si="177">$D$8-$D$9</f>
        <v>4.6500000000000004</v>
      </c>
      <c r="AS111" s="78">
        <f t="shared" ref="AS111" si="178">$D$8</f>
        <v>4.6500000000000004</v>
      </c>
      <c r="AT111" s="78">
        <f t="shared" ref="AT111" si="179">$D$8+$D$9</f>
        <v>4.6500000000000004</v>
      </c>
    </row>
    <row r="112" spans="20:152" s="3" customFormat="1" x14ac:dyDescent="0.3">
      <c r="T112" s="78">
        <f>$D$10*(1-$D$11)</f>
        <v>9.5999999999999979</v>
      </c>
      <c r="U112" s="78">
        <f t="shared" ref="U112:AE112" si="180">$D$10*(1-$D$11)</f>
        <v>9.5999999999999979</v>
      </c>
      <c r="V112" s="78">
        <f t="shared" si="180"/>
        <v>9.5999999999999979</v>
      </c>
      <c r="W112" s="78">
        <f>$D$10</f>
        <v>9.5999999999999979</v>
      </c>
      <c r="X112" s="78">
        <f t="shared" ref="X112:Y112" si="181">$D$10</f>
        <v>9.5999999999999979</v>
      </c>
      <c r="Y112" s="78">
        <f t="shared" si="181"/>
        <v>9.5999999999999979</v>
      </c>
      <c r="Z112" s="78">
        <f>$D$10*(1+$D$11)</f>
        <v>9.5999999999999979</v>
      </c>
      <c r="AA112" s="78">
        <f t="shared" ref="AA112:AB112" si="182">$D$10*(1+$D$11)</f>
        <v>9.5999999999999979</v>
      </c>
      <c r="AB112" s="78">
        <f t="shared" si="182"/>
        <v>9.5999999999999979</v>
      </c>
      <c r="AC112" s="78">
        <f>$D$10*(1-$D$11)</f>
        <v>9.5999999999999979</v>
      </c>
      <c r="AD112" s="78">
        <f t="shared" si="180"/>
        <v>9.5999999999999979</v>
      </c>
      <c r="AE112" s="78">
        <f t="shared" si="180"/>
        <v>9.5999999999999979</v>
      </c>
      <c r="AF112" s="78">
        <f>$D$10</f>
        <v>9.5999999999999979</v>
      </c>
      <c r="AG112" s="78">
        <f t="shared" ref="AG112:AH112" si="183">$D$10</f>
        <v>9.5999999999999979</v>
      </c>
      <c r="AH112" s="78">
        <f t="shared" si="183"/>
        <v>9.5999999999999979</v>
      </c>
      <c r="AI112" s="78">
        <f>$D$10*(1+$D$11)</f>
        <v>9.5999999999999979</v>
      </c>
      <c r="AJ112" s="78">
        <f t="shared" ref="AJ112:AK112" si="184">$D$10*(1+$D$11)</f>
        <v>9.5999999999999979</v>
      </c>
      <c r="AK112" s="78">
        <f t="shared" si="184"/>
        <v>9.5999999999999979</v>
      </c>
      <c r="AL112" s="78">
        <f>$D$10*(1-$D$11)</f>
        <v>9.5999999999999979</v>
      </c>
      <c r="AM112" s="78">
        <f t="shared" ref="AM112:AN112" si="185">$D$10*(1-$D$11)</f>
        <v>9.5999999999999979</v>
      </c>
      <c r="AN112" s="78">
        <f t="shared" si="185"/>
        <v>9.5999999999999979</v>
      </c>
      <c r="AO112" s="78">
        <f>$D$10</f>
        <v>9.5999999999999979</v>
      </c>
      <c r="AP112" s="78">
        <f t="shared" ref="AP112:AQ112" si="186">$D$10</f>
        <v>9.5999999999999979</v>
      </c>
      <c r="AQ112" s="78">
        <f t="shared" si="186"/>
        <v>9.5999999999999979</v>
      </c>
      <c r="AR112" s="78">
        <f>$D$10*(1+$D$11)</f>
        <v>9.5999999999999979</v>
      </c>
      <c r="AS112" s="78">
        <f t="shared" ref="AS112:AT112" si="187">$D$10*(1+$D$11)</f>
        <v>9.5999999999999979</v>
      </c>
      <c r="AT112" s="78">
        <f t="shared" si="187"/>
        <v>9.5999999999999979</v>
      </c>
    </row>
    <row r="113" spans="20:46" s="3" customFormat="1" x14ac:dyDescent="0.3">
      <c r="T113" s="166">
        <f>$D$12-$D$13</f>
        <v>43</v>
      </c>
      <c r="U113" s="166">
        <f t="shared" ref="U113:AB113" si="188">$D$12-$D$13</f>
        <v>43</v>
      </c>
      <c r="V113" s="166">
        <f t="shared" si="188"/>
        <v>43</v>
      </c>
      <c r="W113" s="166">
        <f t="shared" si="188"/>
        <v>43</v>
      </c>
      <c r="X113" s="166">
        <f t="shared" si="188"/>
        <v>43</v>
      </c>
      <c r="Y113" s="166">
        <f t="shared" si="188"/>
        <v>43</v>
      </c>
      <c r="Z113" s="166">
        <f t="shared" si="188"/>
        <v>43</v>
      </c>
      <c r="AA113" s="166">
        <f t="shared" si="188"/>
        <v>43</v>
      </c>
      <c r="AB113" s="166">
        <f t="shared" si="188"/>
        <v>43</v>
      </c>
      <c r="AC113" s="166">
        <f>$D$12</f>
        <v>43</v>
      </c>
      <c r="AD113" s="166">
        <f t="shared" ref="AD113:AK113" si="189">$D$12</f>
        <v>43</v>
      </c>
      <c r="AE113" s="166">
        <f t="shared" si="189"/>
        <v>43</v>
      </c>
      <c r="AF113" s="166">
        <f t="shared" si="189"/>
        <v>43</v>
      </c>
      <c r="AG113" s="166">
        <f t="shared" si="189"/>
        <v>43</v>
      </c>
      <c r="AH113" s="166">
        <f t="shared" si="189"/>
        <v>43</v>
      </c>
      <c r="AI113" s="166">
        <f t="shared" si="189"/>
        <v>43</v>
      </c>
      <c r="AJ113" s="166">
        <f t="shared" si="189"/>
        <v>43</v>
      </c>
      <c r="AK113" s="166">
        <f t="shared" si="189"/>
        <v>43</v>
      </c>
      <c r="AL113" s="166">
        <f>$D$12+$D$13</f>
        <v>43</v>
      </c>
      <c r="AM113" s="166">
        <f t="shared" ref="AM113:AT113" si="190">$D$12+$D$13</f>
        <v>43</v>
      </c>
      <c r="AN113" s="166">
        <f t="shared" si="190"/>
        <v>43</v>
      </c>
      <c r="AO113" s="166">
        <f t="shared" si="190"/>
        <v>43</v>
      </c>
      <c r="AP113" s="166">
        <f t="shared" si="190"/>
        <v>43</v>
      </c>
      <c r="AQ113" s="166">
        <f t="shared" si="190"/>
        <v>43</v>
      </c>
      <c r="AR113" s="166">
        <f t="shared" si="190"/>
        <v>43</v>
      </c>
      <c r="AS113" s="166">
        <f t="shared" si="190"/>
        <v>43</v>
      </c>
      <c r="AT113" s="166">
        <f t="shared" si="190"/>
        <v>43</v>
      </c>
    </row>
    <row r="114" spans="20:46" s="3" customFormat="1" x14ac:dyDescent="0.3">
      <c r="T114" s="167">
        <f>T111*TAN(RADIANS(T113))-(IF($B$4, 9.807, 32.174)*T111^2)/(2*T112^2*COS(RADIANS(T113))^2)+$D$7</f>
        <v>2.3853225280485435</v>
      </c>
      <c r="U114" s="167">
        <f t="shared" ref="U114:AB114" si="191">U111*TAN(RADIANS(U113))-(IF($B$4, 9.807, 32.174)*U111^2)/(2*U112^2*COS(RADIANS(U113))^2)+$D$7</f>
        <v>2.3853225280485435</v>
      </c>
      <c r="V114" s="167">
        <f t="shared" si="191"/>
        <v>2.3853225280485435</v>
      </c>
      <c r="W114" s="167">
        <f t="shared" si="191"/>
        <v>2.3853225280485435</v>
      </c>
      <c r="X114" s="167">
        <f t="shared" si="191"/>
        <v>2.3853225280485435</v>
      </c>
      <c r="Y114" s="167">
        <f t="shared" si="191"/>
        <v>2.3853225280485435</v>
      </c>
      <c r="Z114" s="167">
        <f t="shared" si="191"/>
        <v>2.3853225280485435</v>
      </c>
      <c r="AA114" s="167">
        <f t="shared" si="191"/>
        <v>2.3853225280485435</v>
      </c>
      <c r="AB114" s="167">
        <f t="shared" si="191"/>
        <v>2.3853225280485435</v>
      </c>
      <c r="AC114" s="167">
        <f>AC111*TAN(RADIANS(AC113))-(IF($B$4, 9.807, 32.174)*AC111^2)/(2*AC112^2*COS(RADIANS(AC113))^2)+$D$7</f>
        <v>2.3853225280485435</v>
      </c>
      <c r="AD114" s="167">
        <f t="shared" ref="AD114:AK114" si="192">AD111*TAN(RADIANS(AD113))-(IF($B$4, 9.807, 32.174)*AD111^2)/(2*AD112^2*COS(RADIANS(AD113))^2)+$D$7</f>
        <v>2.3853225280485435</v>
      </c>
      <c r="AE114" s="167">
        <f t="shared" si="192"/>
        <v>2.3853225280485435</v>
      </c>
      <c r="AF114" s="167">
        <f t="shared" si="192"/>
        <v>2.3853225280485435</v>
      </c>
      <c r="AG114" s="167">
        <f t="shared" si="192"/>
        <v>2.3853225280485435</v>
      </c>
      <c r="AH114" s="167">
        <f t="shared" si="192"/>
        <v>2.3853225280485435</v>
      </c>
      <c r="AI114" s="167">
        <f t="shared" si="192"/>
        <v>2.3853225280485435</v>
      </c>
      <c r="AJ114" s="167">
        <f t="shared" si="192"/>
        <v>2.3853225280485435</v>
      </c>
      <c r="AK114" s="167">
        <f t="shared" si="192"/>
        <v>2.3853225280485435</v>
      </c>
      <c r="AL114" s="167">
        <f>AL111*TAN(RADIANS(AL113))-(IF($B$4, 9.807, 32.174)*AL111^2)/(2*AL112^2*COS(RADIANS(AL113))^2)+$D$7</f>
        <v>2.3853225280485435</v>
      </c>
      <c r="AM114" s="167">
        <f t="shared" ref="AM114:AT114" si="193">AM111*TAN(RADIANS(AM113))-(IF($B$4, 9.807, 32.174)*AM111^2)/(2*AM112^2*COS(RADIANS(AM113))^2)+$D$7</f>
        <v>2.3853225280485435</v>
      </c>
      <c r="AN114" s="167">
        <f t="shared" si="193"/>
        <v>2.3853225280485435</v>
      </c>
      <c r="AO114" s="167">
        <f t="shared" si="193"/>
        <v>2.3853225280485435</v>
      </c>
      <c r="AP114" s="167">
        <f t="shared" si="193"/>
        <v>2.3853225280485435</v>
      </c>
      <c r="AQ114" s="167">
        <f t="shared" si="193"/>
        <v>2.3853225280485435</v>
      </c>
      <c r="AR114" s="167">
        <f t="shared" si="193"/>
        <v>2.3853225280485435</v>
      </c>
      <c r="AS114" s="167">
        <f t="shared" si="193"/>
        <v>2.3853225280485435</v>
      </c>
      <c r="AT114" s="167">
        <f t="shared" si="193"/>
        <v>2.3853225280485435</v>
      </c>
    </row>
    <row r="115" spans="20:46" s="3" customFormat="1" x14ac:dyDescent="0.3">
      <c r="T115" s="166">
        <f>DEGREES(ATAN(2*(T114-$D$7)/T111-TAN(RADIANS(T113))))</f>
        <v>0.42447270571160217</v>
      </c>
      <c r="U115" s="166">
        <f t="shared" ref="U115:AB115" si="194">DEGREES(ATAN(2*(U114-$D$7)/U111-TAN(RADIANS(U113))))</f>
        <v>0.42447270571160217</v>
      </c>
      <c r="V115" s="166">
        <f t="shared" si="194"/>
        <v>0.42447270571160217</v>
      </c>
      <c r="W115" s="166">
        <f t="shared" si="194"/>
        <v>0.42447270571160217</v>
      </c>
      <c r="X115" s="166">
        <f t="shared" si="194"/>
        <v>0.42447270571160217</v>
      </c>
      <c r="Y115" s="166">
        <f t="shared" si="194"/>
        <v>0.42447270571160217</v>
      </c>
      <c r="Z115" s="166">
        <f t="shared" si="194"/>
        <v>0.42447270571160217</v>
      </c>
      <c r="AA115" s="166">
        <f t="shared" si="194"/>
        <v>0.42447270571160217</v>
      </c>
      <c r="AB115" s="166">
        <f t="shared" si="194"/>
        <v>0.42447270571160217</v>
      </c>
      <c r="AC115" s="166">
        <f>DEGREES(ATAN(2*(AC114-$D$7)/AC111-TAN(RADIANS(AC113))))</f>
        <v>0.42447270571160217</v>
      </c>
      <c r="AD115" s="166">
        <f t="shared" ref="AD115:AK115" si="195">DEGREES(ATAN(2*(AD114-$D$7)/AD111-TAN(RADIANS(AD113))))</f>
        <v>0.42447270571160217</v>
      </c>
      <c r="AE115" s="166">
        <f t="shared" si="195"/>
        <v>0.42447270571160217</v>
      </c>
      <c r="AF115" s="166">
        <f t="shared" si="195"/>
        <v>0.42447270571160217</v>
      </c>
      <c r="AG115" s="166">
        <f t="shared" si="195"/>
        <v>0.42447270571160217</v>
      </c>
      <c r="AH115" s="166">
        <f t="shared" si="195"/>
        <v>0.42447270571160217</v>
      </c>
      <c r="AI115" s="166">
        <f t="shared" si="195"/>
        <v>0.42447270571160217</v>
      </c>
      <c r="AJ115" s="166">
        <f t="shared" si="195"/>
        <v>0.42447270571160217</v>
      </c>
      <c r="AK115" s="166">
        <f t="shared" si="195"/>
        <v>0.42447270571160217</v>
      </c>
      <c r="AL115" s="166">
        <f>DEGREES(ATAN(2*(AL114-$D$7)/AL111-TAN(RADIANS(AL113))))</f>
        <v>0.42447270571160217</v>
      </c>
      <c r="AM115" s="166">
        <f t="shared" ref="AM115:AT115" si="196">DEGREES(ATAN(2*(AM114-$D$7)/AM111-TAN(RADIANS(AM113))))</f>
        <v>0.42447270571160217</v>
      </c>
      <c r="AN115" s="166">
        <f t="shared" si="196"/>
        <v>0.42447270571160217</v>
      </c>
      <c r="AO115" s="166">
        <f t="shared" si="196"/>
        <v>0.42447270571160217</v>
      </c>
      <c r="AP115" s="166">
        <f t="shared" si="196"/>
        <v>0.42447270571160217</v>
      </c>
      <c r="AQ115" s="166">
        <f t="shared" si="196"/>
        <v>0.42447270571160217</v>
      </c>
      <c r="AR115" s="166">
        <f t="shared" si="196"/>
        <v>0.42447270571160217</v>
      </c>
      <c r="AS115" s="166">
        <f t="shared" si="196"/>
        <v>0.42447270571160217</v>
      </c>
      <c r="AT115" s="166">
        <f t="shared" si="196"/>
        <v>0.42447270571160217</v>
      </c>
    </row>
    <row r="117" spans="20:46" s="3" customFormat="1" x14ac:dyDescent="0.3">
      <c r="T117" s="78">
        <f>$G$8-$G$9</f>
        <v>1.9999999999999998</v>
      </c>
      <c r="U117" s="78">
        <f>$G$8</f>
        <v>1.9999999999999998</v>
      </c>
      <c r="V117" s="78">
        <f>$G$8+$G$9</f>
        <v>1.9999999999999998</v>
      </c>
      <c r="W117" s="78">
        <f>$G$8-$G$9</f>
        <v>1.9999999999999998</v>
      </c>
      <c r="X117" s="78">
        <f t="shared" ref="X117" si="197">$G$8</f>
        <v>1.9999999999999998</v>
      </c>
      <c r="Y117" s="78">
        <f>$G$8+$G$9</f>
        <v>1.9999999999999998</v>
      </c>
      <c r="Z117" s="78">
        <f>$G$8-$G$9</f>
        <v>1.9999999999999998</v>
      </c>
      <c r="AA117" s="78">
        <f t="shared" ref="AA117" si="198">$G$8</f>
        <v>1.9999999999999998</v>
      </c>
      <c r="AB117" s="78">
        <f>$G$8+$G$9</f>
        <v>1.9999999999999998</v>
      </c>
      <c r="AC117" s="78">
        <f>$G$8-$G$9</f>
        <v>1.9999999999999998</v>
      </c>
      <c r="AD117" s="78">
        <f>$G$8</f>
        <v>1.9999999999999998</v>
      </c>
      <c r="AE117" s="78">
        <f>$G$8+$G$9</f>
        <v>1.9999999999999998</v>
      </c>
      <c r="AF117" s="78">
        <f>$G$8-$G$9</f>
        <v>1.9999999999999998</v>
      </c>
      <c r="AG117" s="78">
        <f t="shared" ref="AG117" si="199">$G$8</f>
        <v>1.9999999999999998</v>
      </c>
      <c r="AH117" s="78">
        <f>$G$8+$G$9</f>
        <v>1.9999999999999998</v>
      </c>
      <c r="AI117" s="78">
        <f>$G$8-$G$9</f>
        <v>1.9999999999999998</v>
      </c>
      <c r="AJ117" s="78">
        <f t="shared" ref="AJ117" si="200">$G$8</f>
        <v>1.9999999999999998</v>
      </c>
      <c r="AK117" s="78">
        <f>$G$8+$G$9</f>
        <v>1.9999999999999998</v>
      </c>
      <c r="AL117" s="78">
        <f>$G$8-$G$9</f>
        <v>1.9999999999999998</v>
      </c>
      <c r="AM117" s="78">
        <f>$G$8</f>
        <v>1.9999999999999998</v>
      </c>
      <c r="AN117" s="78">
        <f>$G$8+$G$9</f>
        <v>1.9999999999999998</v>
      </c>
      <c r="AO117" s="78">
        <f>$G$8-$G$9</f>
        <v>1.9999999999999998</v>
      </c>
      <c r="AP117" s="78">
        <f t="shared" ref="AP117" si="201">$G$8</f>
        <v>1.9999999999999998</v>
      </c>
      <c r="AQ117" s="78">
        <f>$G$8+$G$9</f>
        <v>1.9999999999999998</v>
      </c>
      <c r="AR117" s="78">
        <f>$G$8-$G$9</f>
        <v>1.9999999999999998</v>
      </c>
      <c r="AS117" s="78">
        <f t="shared" ref="AS117" si="202">$G$8</f>
        <v>1.9999999999999998</v>
      </c>
      <c r="AT117" s="78">
        <f>$G$8+$G$9</f>
        <v>1.9999999999999998</v>
      </c>
    </row>
    <row r="118" spans="20:46" s="3" customFormat="1" x14ac:dyDescent="0.3">
      <c r="T118" s="78">
        <f>$G$10-$G$11</f>
        <v>2.5</v>
      </c>
      <c r="U118" s="78">
        <f t="shared" ref="U118:AE118" si="203">$G$10-$G$11</f>
        <v>2.5</v>
      </c>
      <c r="V118" s="78">
        <f t="shared" si="203"/>
        <v>2.5</v>
      </c>
      <c r="W118" s="78">
        <f>$G$10</f>
        <v>2.5</v>
      </c>
      <c r="X118" s="78">
        <f t="shared" ref="X118:Y118" si="204">$G$10</f>
        <v>2.5</v>
      </c>
      <c r="Y118" s="78">
        <f t="shared" si="204"/>
        <v>2.5</v>
      </c>
      <c r="Z118" s="78">
        <f>$G$10+$G$11</f>
        <v>2.5</v>
      </c>
      <c r="AA118" s="78">
        <f t="shared" ref="AA118:AB118" si="205">$G$10+$G$11</f>
        <v>2.5</v>
      </c>
      <c r="AB118" s="78">
        <f t="shared" si="205"/>
        <v>2.5</v>
      </c>
      <c r="AC118" s="78">
        <f>$G$10-$G$11</f>
        <v>2.5</v>
      </c>
      <c r="AD118" s="78">
        <f t="shared" si="203"/>
        <v>2.5</v>
      </c>
      <c r="AE118" s="78">
        <f t="shared" si="203"/>
        <v>2.5</v>
      </c>
      <c r="AF118" s="78">
        <f>$G$10</f>
        <v>2.5</v>
      </c>
      <c r="AG118" s="78">
        <f t="shared" ref="AG118:AH118" si="206">$G$10</f>
        <v>2.5</v>
      </c>
      <c r="AH118" s="78">
        <f t="shared" si="206"/>
        <v>2.5</v>
      </c>
      <c r="AI118" s="78">
        <f>$G$10+$G$11</f>
        <v>2.5</v>
      </c>
      <c r="AJ118" s="78">
        <f t="shared" ref="AJ118:AK118" si="207">$G$10+$G$11</f>
        <v>2.5</v>
      </c>
      <c r="AK118" s="78">
        <f t="shared" si="207"/>
        <v>2.5</v>
      </c>
      <c r="AL118" s="78">
        <f>$G$10-$G$11</f>
        <v>2.5</v>
      </c>
      <c r="AM118" s="78">
        <f t="shared" ref="AM118:AN118" si="208">$G$10-$G$11</f>
        <v>2.5</v>
      </c>
      <c r="AN118" s="78">
        <f t="shared" si="208"/>
        <v>2.5</v>
      </c>
      <c r="AO118" s="78">
        <f>$G$10</f>
        <v>2.5</v>
      </c>
      <c r="AP118" s="78">
        <f t="shared" ref="AP118:AQ118" si="209">$G$10</f>
        <v>2.5</v>
      </c>
      <c r="AQ118" s="78">
        <f t="shared" si="209"/>
        <v>2.5</v>
      </c>
      <c r="AR118" s="78">
        <f>$G$10+$G$11</f>
        <v>2.5</v>
      </c>
      <c r="AS118" s="78">
        <f t="shared" ref="AS118:AT118" si="210">$G$10+$G$11</f>
        <v>2.5</v>
      </c>
      <c r="AT118" s="78">
        <f t="shared" si="210"/>
        <v>2.5</v>
      </c>
    </row>
    <row r="119" spans="20:46" s="3" customFormat="1" x14ac:dyDescent="0.3">
      <c r="T119" s="78">
        <f>$G$12-$G$13</f>
        <v>-80</v>
      </c>
      <c r="U119" s="78">
        <f t="shared" ref="U119:AB119" si="211">$G$12-$G$13</f>
        <v>-80</v>
      </c>
      <c r="V119" s="78">
        <f t="shared" si="211"/>
        <v>-80</v>
      </c>
      <c r="W119" s="78">
        <f t="shared" si="211"/>
        <v>-80</v>
      </c>
      <c r="X119" s="78">
        <f t="shared" si="211"/>
        <v>-80</v>
      </c>
      <c r="Y119" s="78">
        <f t="shared" si="211"/>
        <v>-80</v>
      </c>
      <c r="Z119" s="78">
        <f t="shared" si="211"/>
        <v>-80</v>
      </c>
      <c r="AA119" s="78">
        <f t="shared" si="211"/>
        <v>-80</v>
      </c>
      <c r="AB119" s="78">
        <f t="shared" si="211"/>
        <v>-80</v>
      </c>
      <c r="AC119" s="78">
        <f>$G$12</f>
        <v>-80</v>
      </c>
      <c r="AD119" s="78">
        <f t="shared" ref="AD119:AK119" si="212">$G$12</f>
        <v>-80</v>
      </c>
      <c r="AE119" s="78">
        <f t="shared" si="212"/>
        <v>-80</v>
      </c>
      <c r="AF119" s="78">
        <f t="shared" si="212"/>
        <v>-80</v>
      </c>
      <c r="AG119" s="78">
        <f t="shared" si="212"/>
        <v>-80</v>
      </c>
      <c r="AH119" s="78">
        <f t="shared" si="212"/>
        <v>-80</v>
      </c>
      <c r="AI119" s="78">
        <f t="shared" si="212"/>
        <v>-80</v>
      </c>
      <c r="AJ119" s="78">
        <f t="shared" si="212"/>
        <v>-80</v>
      </c>
      <c r="AK119" s="78">
        <f t="shared" si="212"/>
        <v>-80</v>
      </c>
      <c r="AL119" s="78">
        <f>$G$12+$G$13</f>
        <v>-80</v>
      </c>
      <c r="AM119" s="78">
        <f t="shared" ref="AM119:AT119" si="213">$G$12+$G$13</f>
        <v>-80</v>
      </c>
      <c r="AN119" s="78">
        <f t="shared" si="213"/>
        <v>-80</v>
      </c>
      <c r="AO119" s="78">
        <f t="shared" si="213"/>
        <v>-80</v>
      </c>
      <c r="AP119" s="78">
        <f t="shared" si="213"/>
        <v>-80</v>
      </c>
      <c r="AQ119" s="78">
        <f t="shared" si="213"/>
        <v>-80</v>
      </c>
      <c r="AR119" s="78">
        <f t="shared" si="213"/>
        <v>-80</v>
      </c>
      <c r="AS119" s="78">
        <f t="shared" si="213"/>
        <v>-80</v>
      </c>
      <c r="AT119" s="78">
        <f t="shared" si="213"/>
        <v>-80</v>
      </c>
    </row>
    <row r="120" spans="20:46" s="3" customFormat="1" x14ac:dyDescent="0.3">
      <c r="T120" s="78">
        <f>SQRT((IF($B$4, 9.807, 32.174)*T117)/(ABS(TAN(RADIANS(T121))-TAN(RADIANS(T119)))))/COS(RADIANS(T121))</f>
        <v>9.5489346835634272</v>
      </c>
      <c r="U120" s="78">
        <f t="shared" ref="U120:AB120" si="214">SQRT((IF($B$4, 9.807, 32.174)*U117)/(ABS(TAN(RADIANS(U121))-TAN(RADIANS(U119)))))/COS(RADIANS(U121))</f>
        <v>9.5489346835634272</v>
      </c>
      <c r="V120" s="78">
        <f t="shared" si="214"/>
        <v>9.5489346835634272</v>
      </c>
      <c r="W120" s="78">
        <f t="shared" si="214"/>
        <v>9.5489346835634272</v>
      </c>
      <c r="X120" s="78">
        <f t="shared" si="214"/>
        <v>9.5489346835634272</v>
      </c>
      <c r="Y120" s="78">
        <f t="shared" si="214"/>
        <v>9.5489346835634272</v>
      </c>
      <c r="Z120" s="78">
        <f t="shared" si="214"/>
        <v>9.5489346835634272</v>
      </c>
      <c r="AA120" s="78">
        <f t="shared" si="214"/>
        <v>9.5489346835634272</v>
      </c>
      <c r="AB120" s="78">
        <f t="shared" si="214"/>
        <v>9.5489346835634272</v>
      </c>
      <c r="AC120" s="78">
        <f>SQRT((IF($B$4, 9.807, 32.174)*AC117)/(ABS(TAN(RADIANS(AC121))-TAN(RADIANS(AC119)))))/COS(RADIANS(AC121))</f>
        <v>9.5489346835634272</v>
      </c>
      <c r="AD120" s="78">
        <f t="shared" ref="AD120:AK120" si="215">SQRT((IF($B$4, 9.807, 32.174)*AD117)/(ABS(TAN(RADIANS(AD121))-TAN(RADIANS(AD119)))))/COS(RADIANS(AD121))</f>
        <v>9.5489346835634272</v>
      </c>
      <c r="AE120" s="78">
        <f t="shared" si="215"/>
        <v>9.5489346835634272</v>
      </c>
      <c r="AF120" s="78">
        <f t="shared" si="215"/>
        <v>9.5489346835634272</v>
      </c>
      <c r="AG120" s="78">
        <f t="shared" si="215"/>
        <v>9.5489346835634272</v>
      </c>
      <c r="AH120" s="78">
        <f t="shared" si="215"/>
        <v>9.5489346835634272</v>
      </c>
      <c r="AI120" s="78">
        <f t="shared" si="215"/>
        <v>9.5489346835634272</v>
      </c>
      <c r="AJ120" s="78">
        <f t="shared" si="215"/>
        <v>9.5489346835634272</v>
      </c>
      <c r="AK120" s="78">
        <f t="shared" si="215"/>
        <v>9.5489346835634272</v>
      </c>
      <c r="AL120" s="78">
        <f>SQRT((IF($B$4, 9.807, 32.174)*AL117)/(ABS(TAN(RADIANS(AL121))-TAN(RADIANS(AL119)))))/COS(RADIANS(AL121))</f>
        <v>9.5489346835634272</v>
      </c>
      <c r="AM120" s="78">
        <f t="shared" ref="AM120:AT120" si="216">SQRT((IF($B$4, 9.807, 32.174)*AM117)/(ABS(TAN(RADIANS(AM121))-TAN(RADIANS(AM119)))))/COS(RADIANS(AM121))</f>
        <v>9.5489346835634272</v>
      </c>
      <c r="AN120" s="78">
        <f t="shared" si="216"/>
        <v>9.5489346835634272</v>
      </c>
      <c r="AO120" s="78">
        <f t="shared" si="216"/>
        <v>9.5489346835634272</v>
      </c>
      <c r="AP120" s="78">
        <f t="shared" si="216"/>
        <v>9.5489346835634272</v>
      </c>
      <c r="AQ120" s="78">
        <f t="shared" si="216"/>
        <v>9.5489346835634272</v>
      </c>
      <c r="AR120" s="78">
        <f t="shared" si="216"/>
        <v>9.5489346835634272</v>
      </c>
      <c r="AS120" s="78">
        <f t="shared" si="216"/>
        <v>9.5489346835634272</v>
      </c>
      <c r="AT120" s="78">
        <f t="shared" si="216"/>
        <v>9.5489346835634272</v>
      </c>
    </row>
    <row r="121" spans="20:46" s="3" customFormat="1" x14ac:dyDescent="0.3">
      <c r="T121" s="166">
        <f>DEGREES(ATAN(2*(T118-$T$5)/T117-TAN(RADIANS(T119))))</f>
        <v>82.759695716411017</v>
      </c>
      <c r="U121" s="166">
        <f t="shared" ref="U121:AB121" si="217">DEGREES(ATAN(2*(U118-$T$5)/U117-TAN(RADIANS(U119))))</f>
        <v>82.759695716411017</v>
      </c>
      <c r="V121" s="166">
        <f t="shared" si="217"/>
        <v>82.759695716411017</v>
      </c>
      <c r="W121" s="166">
        <f t="shared" si="217"/>
        <v>82.759695716411017</v>
      </c>
      <c r="X121" s="166">
        <f t="shared" si="217"/>
        <v>82.759695716411017</v>
      </c>
      <c r="Y121" s="166">
        <f t="shared" si="217"/>
        <v>82.759695716411017</v>
      </c>
      <c r="Z121" s="166">
        <f t="shared" si="217"/>
        <v>82.759695716411017</v>
      </c>
      <c r="AA121" s="166">
        <f t="shared" si="217"/>
        <v>82.759695716411017</v>
      </c>
      <c r="AB121" s="166">
        <f t="shared" si="217"/>
        <v>82.759695716411017</v>
      </c>
      <c r="AC121" s="166">
        <f>DEGREES(ATAN(2*(AC118-$T$5)/AC117-TAN(RADIANS(AC119))))</f>
        <v>82.759695716411017</v>
      </c>
      <c r="AD121" s="166">
        <f t="shared" ref="AD121:AK121" si="218">DEGREES(ATAN(2*(AD118-$T$5)/AD117-TAN(RADIANS(AD119))))</f>
        <v>82.759695716411017</v>
      </c>
      <c r="AE121" s="166">
        <f t="shared" si="218"/>
        <v>82.759695716411017</v>
      </c>
      <c r="AF121" s="166">
        <f t="shared" si="218"/>
        <v>82.759695716411017</v>
      </c>
      <c r="AG121" s="166">
        <f t="shared" si="218"/>
        <v>82.759695716411017</v>
      </c>
      <c r="AH121" s="166">
        <f t="shared" si="218"/>
        <v>82.759695716411017</v>
      </c>
      <c r="AI121" s="166">
        <f t="shared" si="218"/>
        <v>82.759695716411017</v>
      </c>
      <c r="AJ121" s="166">
        <f t="shared" si="218"/>
        <v>82.759695716411017</v>
      </c>
      <c r="AK121" s="166">
        <f t="shared" si="218"/>
        <v>82.759695716411017</v>
      </c>
      <c r="AL121" s="166">
        <f>DEGREES(ATAN(2*(AL118-$T$5)/AL117-TAN(RADIANS(AL119))))</f>
        <v>82.759695716411017</v>
      </c>
      <c r="AM121" s="166">
        <f t="shared" ref="AM121:AT121" si="219">DEGREES(ATAN(2*(AM118-$T$5)/AM117-TAN(RADIANS(AM119))))</f>
        <v>82.759695716411017</v>
      </c>
      <c r="AN121" s="166">
        <f t="shared" si="219"/>
        <v>82.759695716411017</v>
      </c>
      <c r="AO121" s="166">
        <f t="shared" si="219"/>
        <v>82.759695716411017</v>
      </c>
      <c r="AP121" s="166">
        <f t="shared" si="219"/>
        <v>82.759695716411017</v>
      </c>
      <c r="AQ121" s="166">
        <f t="shared" si="219"/>
        <v>82.759695716411017</v>
      </c>
      <c r="AR121" s="166">
        <f t="shared" si="219"/>
        <v>82.759695716411017</v>
      </c>
      <c r="AS121" s="166">
        <f t="shared" si="219"/>
        <v>82.759695716411017</v>
      </c>
      <c r="AT121" s="166">
        <f t="shared" si="219"/>
        <v>82.759695716411017</v>
      </c>
    </row>
  </sheetData>
  <sheetProtection sheet="1" formatCells="0" formatColumns="0" formatRows="0"/>
  <mergeCells count="5">
    <mergeCell ref="I3:J3"/>
    <mergeCell ref="C6:D6"/>
    <mergeCell ref="F6:G6"/>
    <mergeCell ref="C22:G24"/>
    <mergeCell ref="C26:G29"/>
  </mergeCells>
  <conditionalFormatting sqref="G8">
    <cfRule type="cellIs" dxfId="29" priority="28" operator="lessThanOrEqual">
      <formula>0</formula>
    </cfRule>
  </conditionalFormatting>
  <conditionalFormatting sqref="G7">
    <cfRule type="cellIs" dxfId="28" priority="27" operator="lessThan">
      <formula>0</formula>
    </cfRule>
  </conditionalFormatting>
  <conditionalFormatting sqref="G12">
    <cfRule type="cellIs" dxfId="27" priority="25" operator="lessThanOrEqual">
      <formula>-90</formula>
    </cfRule>
    <cfRule type="cellIs" dxfId="26" priority="26" operator="greaterThanOrEqual">
      <formula>90</formula>
    </cfRule>
  </conditionalFormatting>
  <conditionalFormatting sqref="D7:D8 D10 D12 G7:G8 G10 G12">
    <cfRule type="expression" dxfId="25" priority="24">
      <formula>ISTEXT(D7)</formula>
    </cfRule>
  </conditionalFormatting>
  <conditionalFormatting sqref="I3 D7:D8 D10 D12 G7:G8 G10 G12">
    <cfRule type="containsBlanks" dxfId="24" priority="23">
      <formula>LEN(TRIM(D3))=0</formula>
    </cfRule>
  </conditionalFormatting>
  <conditionalFormatting sqref="D8 D10">
    <cfRule type="cellIs" dxfId="23" priority="22" operator="lessThanOrEqual">
      <formula>0</formula>
    </cfRule>
  </conditionalFormatting>
  <conditionalFormatting sqref="D7">
    <cfRule type="cellIs" dxfId="22" priority="21" operator="lessThan">
      <formula>0</formula>
    </cfRule>
  </conditionalFormatting>
  <conditionalFormatting sqref="D12">
    <cfRule type="cellIs" dxfId="21" priority="19" operator="lessThanOrEqual">
      <formula>-90</formula>
    </cfRule>
    <cfRule type="cellIs" dxfId="20" priority="20" operator="greaterThanOrEqual">
      <formula>90</formula>
    </cfRule>
  </conditionalFormatting>
  <conditionalFormatting sqref="D16:D17">
    <cfRule type="cellIs" dxfId="19" priority="18" operator="lessThanOrEqual">
      <formula>0</formula>
    </cfRule>
  </conditionalFormatting>
  <conditionalFormatting sqref="D9">
    <cfRule type="expression" dxfId="18" priority="17">
      <formula>ISTEXT(D9)</formula>
    </cfRule>
  </conditionalFormatting>
  <conditionalFormatting sqref="D9">
    <cfRule type="containsBlanks" dxfId="17" priority="16">
      <formula>LEN(TRIM(D9))=0</formula>
    </cfRule>
  </conditionalFormatting>
  <conditionalFormatting sqref="D9">
    <cfRule type="cellIs" dxfId="16" priority="15" operator="lessThan">
      <formula>0</formula>
    </cfRule>
  </conditionalFormatting>
  <conditionalFormatting sqref="D11">
    <cfRule type="expression" dxfId="15" priority="14">
      <formula>ISTEXT(D11)</formula>
    </cfRule>
  </conditionalFormatting>
  <conditionalFormatting sqref="D11">
    <cfRule type="containsBlanks" dxfId="14" priority="29">
      <formula>LEN(TRIM(D11))=0</formula>
    </cfRule>
  </conditionalFormatting>
  <conditionalFormatting sqref="D11">
    <cfRule type="cellIs" dxfId="13" priority="13" operator="lessThan">
      <formula>0</formula>
    </cfRule>
  </conditionalFormatting>
  <conditionalFormatting sqref="D13">
    <cfRule type="expression" dxfId="12" priority="12">
      <formula>ISTEXT(D13)</formula>
    </cfRule>
  </conditionalFormatting>
  <conditionalFormatting sqref="D13">
    <cfRule type="containsBlanks" dxfId="11" priority="11">
      <formula>LEN(TRIM(D13))=0</formula>
    </cfRule>
  </conditionalFormatting>
  <conditionalFormatting sqref="D13">
    <cfRule type="cellIs" dxfId="10" priority="10" operator="lessThan">
      <formula>0</formula>
    </cfRule>
  </conditionalFormatting>
  <conditionalFormatting sqref="G9">
    <cfRule type="expression" dxfId="9" priority="9">
      <formula>ISTEXT(G9)</formula>
    </cfRule>
  </conditionalFormatting>
  <conditionalFormatting sqref="G9">
    <cfRule type="containsBlanks" dxfId="8" priority="8">
      <formula>LEN(TRIM(G9))=0</formula>
    </cfRule>
  </conditionalFormatting>
  <conditionalFormatting sqref="G9">
    <cfRule type="cellIs" dxfId="7" priority="7" operator="lessThan">
      <formula>0</formula>
    </cfRule>
  </conditionalFormatting>
  <conditionalFormatting sqref="G11">
    <cfRule type="cellIs" dxfId="5" priority="1" operator="lessThan">
      <formula>0</formula>
    </cfRule>
    <cfRule type="expression" dxfId="6" priority="6">
      <formula>ISTEXT(G11)</formula>
    </cfRule>
  </conditionalFormatting>
  <conditionalFormatting sqref="G11">
    <cfRule type="containsBlanks" dxfId="4" priority="30">
      <formula>LEN(TRIM(G11))=0</formula>
    </cfRule>
  </conditionalFormatting>
  <conditionalFormatting sqref="G13">
    <cfRule type="expression" dxfId="3" priority="5">
      <formula>ISTEXT(G13)</formula>
    </cfRule>
  </conditionalFormatting>
  <conditionalFormatting sqref="G13">
    <cfRule type="containsBlanks" dxfId="2" priority="4">
      <formula>LEN(TRIM(G13))=0</formula>
    </cfRule>
  </conditionalFormatting>
  <conditionalFormatting sqref="G13">
    <cfRule type="cellIs" dxfId="1" priority="3" operator="lessThan">
      <formula>0</formula>
    </cfRule>
  </conditionalFormatting>
  <conditionalFormatting sqref="D19">
    <cfRule type="cellIs" dxfId="0" priority="2" operator="lessThanOrEqual">
      <formula>0</formula>
    </cfRule>
  </conditionalFormatting>
  <dataValidations count="1">
    <dataValidation type="list" allowBlank="1" showInputMessage="1" showErrorMessage="1" sqref="I3" xr:uid="{EB01383C-B437-4C78-B8C0-F940FD04F71A}">
      <formula1>"Forward,Reverse"</formula1>
    </dataValidation>
  </dataValidations>
  <pageMargins left="0.7" right="0.7" top="0.75" bottom="0.75" header="0.3" footer="0.3"/>
  <pageSetup orientation="portrait" r:id="rId1"/>
  <ignoredErrors>
    <ignoredError sqref="F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2</xdr:row>
                    <xdr:rowOff>182880</xdr:rowOff>
                  </from>
                  <to>
                    <xdr:col>1</xdr:col>
                    <xdr:colOff>213360</xdr:colOff>
                    <xdr:row>4</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S22"/>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9.44140625" style="1" customWidth="1"/>
    <col min="5" max="5" width="13" style="1" customWidth="1"/>
    <col min="6" max="6" width="17.88671875" style="1" customWidth="1"/>
    <col min="7" max="7" width="9.109375" style="1"/>
    <col min="8" max="8" width="12.5546875" style="1" customWidth="1"/>
    <col min="9" max="9" width="19.44140625" style="1" customWidth="1"/>
    <col min="10" max="12" width="9.109375" style="1"/>
    <col min="13" max="19" width="0" style="1" hidden="1" customWidth="1"/>
    <col min="20" max="16384" width="9.109375" style="1"/>
  </cols>
  <sheetData>
    <row r="2" spans="2:19" ht="31.2" x14ac:dyDescent="0.3">
      <c r="C2" s="2" t="s">
        <v>101</v>
      </c>
    </row>
    <row r="4" spans="2:19" x14ac:dyDescent="0.3">
      <c r="B4" s="8" t="b">
        <v>1</v>
      </c>
      <c r="C4" s="1" t="s">
        <v>0</v>
      </c>
    </row>
    <row r="6" spans="2:19" ht="18" x14ac:dyDescent="0.3">
      <c r="F6" s="199" t="s">
        <v>95</v>
      </c>
      <c r="G6" s="199"/>
      <c r="I6" s="199" t="s">
        <v>98</v>
      </c>
      <c r="J6" s="199"/>
    </row>
    <row r="7" spans="2:19" x14ac:dyDescent="0.3">
      <c r="C7" s="89" t="s">
        <v>102</v>
      </c>
      <c r="D7" s="11" t="s">
        <v>26</v>
      </c>
      <c r="F7" s="89" t="s">
        <v>105</v>
      </c>
      <c r="G7" s="11">
        <v>50</v>
      </c>
      <c r="I7" s="89" t="str">
        <f>"Estimated Dist. (" &amp; IF($B$4, "mm", "in") &amp; ")"</f>
        <v>Estimated Dist. (mm)</v>
      </c>
      <c r="J7" s="52">
        <v>70</v>
      </c>
      <c r="M7" s="115" t="s">
        <v>228</v>
      </c>
      <c r="N7" s="116" t="s">
        <v>229</v>
      </c>
      <c r="O7" s="115" t="s">
        <v>223</v>
      </c>
      <c r="P7" s="115" t="s">
        <v>230</v>
      </c>
      <c r="Q7" s="115" t="s">
        <v>231</v>
      </c>
      <c r="R7" s="115" t="s">
        <v>232</v>
      </c>
      <c r="S7" s="117" t="s">
        <v>233</v>
      </c>
    </row>
    <row r="8" spans="2:19" x14ac:dyDescent="0.3">
      <c r="I8" s="89" t="s">
        <v>106</v>
      </c>
      <c r="J8" s="72" t="s">
        <v>108</v>
      </c>
      <c r="M8" s="118">
        <f>G7*$D$17/2</f>
        <v>238.24999999999997</v>
      </c>
      <c r="N8" s="118">
        <f t="shared" ref="N8:N14" si="0">ACOS((D$13-D$10)/(2*M8))</f>
        <v>1.5516965723780121</v>
      </c>
      <c r="O8" s="118">
        <f t="shared" ref="O8:O14" si="1">SQRT(M8^2-(D$10/2-D$13/2)^2)</f>
        <v>238.20654444736232</v>
      </c>
      <c r="P8" s="118">
        <f t="shared" ref="P8:P14" si="2">(2*O8+D$9*$D$17*N8/PI()+D$12*$D$17*(PI()-N8)/PI())/$D$17</f>
        <v>63.509119183739664</v>
      </c>
      <c r="Q8" s="118">
        <f>G7</f>
        <v>50</v>
      </c>
      <c r="R8" s="118">
        <f t="shared" ref="R8:R14" si="3">P8-Q8</f>
        <v>13.509119183739664</v>
      </c>
      <c r="S8" s="118"/>
    </row>
    <row r="9" spans="2:19" x14ac:dyDescent="0.3">
      <c r="C9" s="89" t="s">
        <v>103</v>
      </c>
      <c r="D9" s="11">
        <v>12</v>
      </c>
      <c r="I9" s="89" t="s">
        <v>107</v>
      </c>
      <c r="J9" s="11">
        <v>2</v>
      </c>
      <c r="M9" s="118">
        <f>IF(Q8&gt;P8, M8+$D$17/10, M8-$D$17/10)</f>
        <v>237.29699999999997</v>
      </c>
      <c r="N9" s="118">
        <f t="shared" si="0"/>
        <v>1.5516198571518878</v>
      </c>
      <c r="O9" s="118">
        <f t="shared" si="1"/>
        <v>237.25336989504109</v>
      </c>
      <c r="P9" s="118">
        <f t="shared" si="2"/>
        <v>63.309155809207809</v>
      </c>
      <c r="Q9" s="118">
        <f t="shared" ref="Q9:Q14" si="4">Q8</f>
        <v>50</v>
      </c>
      <c r="R9" s="118">
        <f t="shared" si="3"/>
        <v>13.309155809207809</v>
      </c>
      <c r="S9" s="118">
        <f t="shared" ref="S9:S14" si="5">(R9-R8)/(M9-M8)</f>
        <v>0.20982515690645764</v>
      </c>
    </row>
    <row r="10" spans="2:19" x14ac:dyDescent="0.3">
      <c r="C10" s="89" t="str">
        <f>"Pitch Diam. 1 (" &amp; IF($B$4, "mm", "in") &amp; ")"</f>
        <v>Pitch Diam. 1 (mm)</v>
      </c>
      <c r="D10" s="42">
        <f>$D$17*D9/PI()</f>
        <v>36.401918583978301</v>
      </c>
      <c r="M10" s="118">
        <f>IF(ABS(R9)&lt;0.000000000001,M9,M9-R9/S9)</f>
        <v>173.86725684893835</v>
      </c>
      <c r="N10" s="118">
        <f t="shared" si="0"/>
        <v>1.544622569398344</v>
      </c>
      <c r="O10" s="118">
        <f t="shared" si="1"/>
        <v>173.80770501254514</v>
      </c>
      <c r="P10" s="118">
        <f t="shared" si="2"/>
        <v>50.000902809185398</v>
      </c>
      <c r="Q10" s="118">
        <f t="shared" si="4"/>
        <v>50</v>
      </c>
      <c r="R10" s="118">
        <f t="shared" si="3"/>
        <v>9.0280918539775712E-4</v>
      </c>
      <c r="S10" s="118">
        <f t="shared" si="5"/>
        <v>0.2098109236912411</v>
      </c>
    </row>
    <row r="11" spans="2:19" x14ac:dyDescent="0.3">
      <c r="F11" s="89" t="str">
        <f>"C-C Dist. (" &amp; IF($B$4, "mm", "in") &amp; ")"</f>
        <v>C-C Dist. (mm)</v>
      </c>
      <c r="G11" s="42">
        <f>M14+D20</f>
        <v>174.27295348917576</v>
      </c>
      <c r="I11" s="89" t="str">
        <f>"Actual Dist. (" &amp; IF($B$4, "mm", "in") &amp; ")"</f>
        <v>Actual Dist. (mm)</v>
      </c>
      <c r="J11" s="42">
        <f>M22+D20</f>
        <v>69.352285889877948</v>
      </c>
      <c r="M11" s="118">
        <f>IF(ABS(R10)&lt;0.000000000001,M10,M10-R10/S10)</f>
        <v>173.86295388334671</v>
      </c>
      <c r="N11" s="118">
        <f t="shared" si="0"/>
        <v>1.5446219214713335</v>
      </c>
      <c r="O11" s="118">
        <f t="shared" si="1"/>
        <v>173.80340057258937</v>
      </c>
      <c r="P11" s="118">
        <f t="shared" si="2"/>
        <v>50.000000082693795</v>
      </c>
      <c r="Q11" s="118">
        <f t="shared" si="4"/>
        <v>50</v>
      </c>
      <c r="R11" s="118">
        <f t="shared" si="3"/>
        <v>8.2693794922761299E-8</v>
      </c>
      <c r="S11" s="118">
        <f t="shared" si="5"/>
        <v>0.20979170583072324</v>
      </c>
    </row>
    <row r="12" spans="2:19" x14ac:dyDescent="0.3">
      <c r="C12" s="89" t="s">
        <v>104</v>
      </c>
      <c r="D12" s="11">
        <v>15</v>
      </c>
      <c r="F12" s="89" t="str">
        <f>"Chain Length (" &amp; IF($B$4, "mm", "in") &amp; ")"</f>
        <v>Chain Length (mm)</v>
      </c>
      <c r="G12" s="42">
        <f>G7*$D$17</f>
        <v>476.49999999999994</v>
      </c>
      <c r="I12" s="89" t="str">
        <f>"Chain Length (" &amp; IF($B$4, "mm", "in") &amp; ")"</f>
        <v>Chain Length (mm)</v>
      </c>
      <c r="J12" s="42">
        <f>J13*D17</f>
        <v>266.83999999999997</v>
      </c>
      <c r="M12" s="118">
        <f>IF(ABS(R11)&lt;0.000000000001,M11,M11-R11/S11)</f>
        <v>173.86295348917577</v>
      </c>
      <c r="N12" s="118">
        <f t="shared" si="0"/>
        <v>1.544621921411979</v>
      </c>
      <c r="O12" s="118">
        <f t="shared" si="1"/>
        <v>173.80340017828334</v>
      </c>
      <c r="P12" s="118">
        <f t="shared" si="2"/>
        <v>49.999999999999993</v>
      </c>
      <c r="Q12" s="118">
        <f t="shared" si="4"/>
        <v>50</v>
      </c>
      <c r="R12" s="118">
        <f t="shared" si="3"/>
        <v>0</v>
      </c>
      <c r="S12" s="118">
        <f t="shared" si="5"/>
        <v>0.20979170874295902</v>
      </c>
    </row>
    <row r="13" spans="2:19" x14ac:dyDescent="0.3">
      <c r="C13" s="89" t="str">
        <f>"Pitch Diam. 2 (" &amp; IF($B$4, "mm", "in") &amp; ")"</f>
        <v>Pitch Diam. 2 (mm)</v>
      </c>
      <c r="D13" s="42">
        <f>$D$17*D12/PI()</f>
        <v>45.502398229972876</v>
      </c>
      <c r="F13" s="89" t="str">
        <f>"Clearance (" &amp; IF($B$4, "mm", "in") &amp; ")"</f>
        <v>Clearance (mm)</v>
      </c>
      <c r="G13" s="42">
        <f>G11 - ($D$10+$D$13)/2</f>
        <v>133.32079508220016</v>
      </c>
      <c r="I13" s="89" t="s">
        <v>105</v>
      </c>
      <c r="J13" s="6">
        <f>Q16</f>
        <v>28</v>
      </c>
      <c r="M13" s="118">
        <f>IF(ABS(R12)&lt;0.000000000001,M12,M12-R12/S12)</f>
        <v>173.86295348917577</v>
      </c>
      <c r="N13" s="118">
        <f t="shared" si="0"/>
        <v>1.544621921411979</v>
      </c>
      <c r="O13" s="118">
        <f t="shared" si="1"/>
        <v>173.80340017828334</v>
      </c>
      <c r="P13" s="118">
        <f t="shared" si="2"/>
        <v>49.999999999999993</v>
      </c>
      <c r="Q13" s="118">
        <f t="shared" si="4"/>
        <v>50</v>
      </c>
      <c r="R13" s="118">
        <f t="shared" si="3"/>
        <v>0</v>
      </c>
      <c r="S13" s="118" t="e">
        <f t="shared" si="5"/>
        <v>#DIV/0!</v>
      </c>
    </row>
    <row r="14" spans="2:19" x14ac:dyDescent="0.3">
      <c r="I14" s="89" t="str">
        <f>"Clearance (" &amp; IF($B$4, "mm", "in") &amp; ")"</f>
        <v>Clearance (mm)</v>
      </c>
      <c r="J14" s="42">
        <f>J11 - ($D$10+$D$13)/2</f>
        <v>28.400127482902363</v>
      </c>
      <c r="M14" s="118">
        <f>IF(ABS(R13)&lt;0.000000000001,M13,M13-R13/S13)</f>
        <v>173.86295348917577</v>
      </c>
      <c r="N14" s="118">
        <f t="shared" si="0"/>
        <v>1.544621921411979</v>
      </c>
      <c r="O14" s="118">
        <f t="shared" si="1"/>
        <v>173.80340017828334</v>
      </c>
      <c r="P14" s="118">
        <f t="shared" si="2"/>
        <v>49.999999999999993</v>
      </c>
      <c r="Q14" s="118">
        <f t="shared" si="4"/>
        <v>50</v>
      </c>
      <c r="R14" s="118">
        <f t="shared" si="3"/>
        <v>0</v>
      </c>
      <c r="S14" s="118" t="e">
        <f t="shared" si="5"/>
        <v>#DIV/0!</v>
      </c>
    </row>
    <row r="15" spans="2:19" x14ac:dyDescent="0.3">
      <c r="M15" s="114"/>
      <c r="N15" s="114"/>
      <c r="O15" s="114"/>
      <c r="P15" s="114"/>
      <c r="Q15" s="114"/>
      <c r="R15" s="114"/>
      <c r="S15" s="114"/>
    </row>
    <row r="16" spans="2:19" x14ac:dyDescent="0.3">
      <c r="C16" s="206" t="s">
        <v>20</v>
      </c>
      <c r="D16" s="206"/>
      <c r="M16" s="119">
        <f>J7-D20</f>
        <v>69.59</v>
      </c>
      <c r="N16" s="118">
        <f t="shared" ref="N16:N22" si="6">ACOS((D$13-D$10)/(2*M16))</f>
        <v>1.5053632414045293</v>
      </c>
      <c r="O16" s="118">
        <f t="shared" ref="O16:O22" si="7">SQRT(M16^2-(D$10/2-D$13/2)^2)</f>
        <v>69.441078747044315</v>
      </c>
      <c r="P16" s="118">
        <f t="shared" ref="P16:P22" si="8">(2*O16+D$9*$D$17*N16/PI()+D$12*$D$17*(PI()-N16)/PI())/$D$17</f>
        <v>28.135637980677682</v>
      </c>
      <c r="Q16" s="118">
        <f>IF(J8="Nearest", MROUND(P16, J9), IF(J8="Up",CEILING(P16, J9),FLOOR(P16, J9)))</f>
        <v>28</v>
      </c>
      <c r="R16" s="118">
        <f t="shared" ref="R16:R22" si="9">P16-Q16</f>
        <v>0.13563798067768218</v>
      </c>
      <c r="S16" s="118"/>
    </row>
    <row r="17" spans="3:19" x14ac:dyDescent="0.3">
      <c r="C17" s="62" t="str">
        <f>"Pitch (" &amp; IF($B$4, "mm", "in") &amp; ")"</f>
        <v>Pitch (mm)</v>
      </c>
      <c r="D17" s="63">
        <f>VLOOKUP($D$7, ChainBeltSpecs, 2, FALSE) / IF($B$4, 1, 25.4)</f>
        <v>9.5299999999999994</v>
      </c>
      <c r="M17" s="118">
        <f>IF(Q16&gt;P16, M16+$D$17/10, M16-$D$17/10)</f>
        <v>68.637</v>
      </c>
      <c r="N17" s="118">
        <f t="shared" si="6"/>
        <v>1.5044534005334584</v>
      </c>
      <c r="O17" s="118">
        <f t="shared" si="7"/>
        <v>68.486006501716901</v>
      </c>
      <c r="P17" s="118">
        <f t="shared" si="8"/>
        <v>27.936071925869019</v>
      </c>
      <c r="Q17" s="118">
        <f t="shared" ref="Q17:Q22" si="10">Q16</f>
        <v>28</v>
      </c>
      <c r="R17" s="118">
        <f t="shared" si="9"/>
        <v>-6.3928074130981116E-2</v>
      </c>
      <c r="S17" s="118">
        <f t="shared" ref="S17:S22" si="11">(R17-R16)/(M17-M16)</f>
        <v>0.20940824219167123</v>
      </c>
    </row>
    <row r="18" spans="3:19" x14ac:dyDescent="0.3">
      <c r="C18" s="62" t="str">
        <f>"Width (" &amp; IF($B$4, "mm", "in") &amp; ")"</f>
        <v>Width (mm)</v>
      </c>
      <c r="D18" s="63">
        <f>VLOOKUP($D$7, ChainBeltSpecs, 3, FALSE) / IF($B$4, 1, 25.4)</f>
        <v>11.76</v>
      </c>
      <c r="M18" s="118">
        <f>IF(ABS(R17)&lt;0.000000000001,M17,M17-R17/S17)</f>
        <v>68.942279646406988</v>
      </c>
      <c r="N18" s="118">
        <f t="shared" si="6"/>
        <v>1.5047475990078809</v>
      </c>
      <c r="O18" s="118">
        <f t="shared" si="7"/>
        <v>68.791956218707668</v>
      </c>
      <c r="P18" s="118">
        <f t="shared" si="8"/>
        <v>27.999998692579737</v>
      </c>
      <c r="Q18" s="118">
        <f t="shared" si="10"/>
        <v>28</v>
      </c>
      <c r="R18" s="118">
        <f t="shared" si="9"/>
        <v>-1.3074202627194609E-6</v>
      </c>
      <c r="S18" s="118">
        <f t="shared" si="11"/>
        <v>0.2094039594945471</v>
      </c>
    </row>
    <row r="19" spans="3:19" x14ac:dyDescent="0.3">
      <c r="C19" s="62" t="str">
        <f>"Thickness (" &amp; IF($B$4, "mm", "in") &amp; ")"</f>
        <v>Thickness (mm)</v>
      </c>
      <c r="D19" s="63">
        <f>VLOOKUP($D$7, ChainBeltSpecs, 4, FALSE) / IF($B$4, 1, 25.4)</f>
        <v>8.94</v>
      </c>
      <c r="M19" s="118">
        <f>IF(ABS(R18)&lt;0.000000000001,M18,M18-R18/S18)</f>
        <v>68.942285889938702</v>
      </c>
      <c r="N19" s="118">
        <f t="shared" si="6"/>
        <v>1.5047476049980801</v>
      </c>
      <c r="O19" s="118">
        <f t="shared" si="7"/>
        <v>68.791962475882684</v>
      </c>
      <c r="P19" s="118">
        <f t="shared" si="8"/>
        <v>28.000000000012722</v>
      </c>
      <c r="Q19" s="118">
        <f t="shared" si="10"/>
        <v>28</v>
      </c>
      <c r="R19" s="118">
        <f t="shared" si="9"/>
        <v>1.2722267683784594E-11</v>
      </c>
      <c r="S19" s="118">
        <f t="shared" si="11"/>
        <v>0.20940599723382855</v>
      </c>
    </row>
    <row r="20" spans="3:19" x14ac:dyDescent="0.3">
      <c r="C20" s="62" t="str">
        <f>"C-C Addition (" &amp; IF($B$4, "mm", "in") &amp; ")"</f>
        <v>C-C Addition (mm)</v>
      </c>
      <c r="D20" s="63">
        <f>VLOOKUP($D$7, ChainBeltSpecs, 5, FALSE) / IF($B$4, 1, 25.4)</f>
        <v>0.41</v>
      </c>
      <c r="M20" s="118">
        <f>IF(ABS(R19)&lt;0.000000000001,M19,M19-R19/S19)</f>
        <v>68.942285889877951</v>
      </c>
      <c r="N20" s="118">
        <f t="shared" si="6"/>
        <v>1.504747604998022</v>
      </c>
      <c r="O20" s="118">
        <f t="shared" si="7"/>
        <v>68.791962475821791</v>
      </c>
      <c r="P20" s="118">
        <f t="shared" si="8"/>
        <v>28</v>
      </c>
      <c r="Q20" s="118">
        <f t="shared" si="10"/>
        <v>28</v>
      </c>
      <c r="R20" s="118">
        <f t="shared" si="9"/>
        <v>0</v>
      </c>
      <c r="S20" s="118">
        <f t="shared" si="11"/>
        <v>0.20941520467836258</v>
      </c>
    </row>
    <row r="21" spans="3:19" x14ac:dyDescent="0.3">
      <c r="M21" s="118">
        <f>IF(ABS(R20)&lt;0.000000000001,M20,M20-R20/S20)</f>
        <v>68.942285889877951</v>
      </c>
      <c r="N21" s="118">
        <f t="shared" si="6"/>
        <v>1.504747604998022</v>
      </c>
      <c r="O21" s="118">
        <f t="shared" si="7"/>
        <v>68.791962475821791</v>
      </c>
      <c r="P21" s="118">
        <f t="shared" si="8"/>
        <v>28</v>
      </c>
      <c r="Q21" s="118">
        <f t="shared" si="10"/>
        <v>28</v>
      </c>
      <c r="R21" s="118">
        <f t="shared" si="9"/>
        <v>0</v>
      </c>
      <c r="S21" s="118" t="e">
        <f t="shared" si="11"/>
        <v>#DIV/0!</v>
      </c>
    </row>
    <row r="22" spans="3:19" x14ac:dyDescent="0.3">
      <c r="M22" s="118">
        <f>IF(ABS(R21)&lt;0.000000000001,M21,M21-R21/S21)</f>
        <v>68.942285889877951</v>
      </c>
      <c r="N22" s="118">
        <f t="shared" si="6"/>
        <v>1.504747604998022</v>
      </c>
      <c r="O22" s="118">
        <f t="shared" si="7"/>
        <v>68.791962475821791</v>
      </c>
      <c r="P22" s="118">
        <f t="shared" si="8"/>
        <v>28</v>
      </c>
      <c r="Q22" s="118">
        <f t="shared" si="10"/>
        <v>28</v>
      </c>
      <c r="R22" s="118">
        <f t="shared" si="9"/>
        <v>0</v>
      </c>
      <c r="S22" s="118"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67" priority="3">
      <formula>ISTEXT(D7)</formula>
    </cfRule>
    <cfRule type="cellIs" dxfId="66" priority="8" operator="lessThanOrEqual">
      <formula>0</formula>
    </cfRule>
  </conditionalFormatting>
  <conditionalFormatting sqref="D7 D9 D12 G7 J7:J9">
    <cfRule type="containsBlanks" dxfId="65" priority="4">
      <formula>LEN(TRIM(D7))=0</formula>
    </cfRule>
    <cfRule type="containsBlanks" dxfId="64" priority="7">
      <formula>LEN(TRIM(D7))=0</formula>
    </cfRule>
  </conditionalFormatting>
  <conditionalFormatting sqref="G11:G13">
    <cfRule type="expression" dxfId="63" priority="2">
      <formula>ISERROR($G$11)</formula>
    </cfRule>
    <cfRule type="expression" dxfId="62" priority="6">
      <formula>$G$13&lt;=0</formula>
    </cfRule>
  </conditionalFormatting>
  <conditionalFormatting sqref="J11:J14">
    <cfRule type="expression" dxfId="61" priority="1">
      <formula>ISERROR($J$11)</formula>
    </cfRule>
    <cfRule type="expression" dxfId="60" priority="5">
      <formula>$J$14&lt;=0</formula>
    </cfRule>
  </conditionalFormatting>
  <dataValidations count="2">
    <dataValidation type="list" allowBlank="1" showInputMessage="1" showErrorMessage="1" errorTitle="Error" error="Invalid chain/belt type" sqref="D7" xr:uid="{00000000-0002-0000-0600-000000000000}">
      <formula1>ChainBelts</formula1>
    </dataValidation>
    <dataValidation type="list" allowBlank="1" showInputMessage="1" showErrorMessage="1" sqref="J8" xr:uid="{00000000-0002-0000-0600-000001000000}">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12.33203125" style="1" customWidth="1"/>
    <col min="4" max="4" width="9.109375" style="1"/>
    <col min="5" max="5" width="15.44140625" style="1" customWidth="1"/>
    <col min="6" max="6" width="14.88671875" style="1" customWidth="1"/>
    <col min="7" max="7" width="9.109375" style="1"/>
    <col min="8" max="8" width="13.6640625" style="1" customWidth="1"/>
    <col min="9" max="9" width="15" style="1" customWidth="1"/>
    <col min="10" max="16384" width="9.109375" style="1"/>
  </cols>
  <sheetData>
    <row r="2" spans="2:10" ht="31.2" x14ac:dyDescent="0.3">
      <c r="C2" s="2" t="s">
        <v>109</v>
      </c>
    </row>
    <row r="4" spans="2:10" x14ac:dyDescent="0.3">
      <c r="B4" s="8" t="b">
        <v>1</v>
      </c>
      <c r="C4" s="1" t="s">
        <v>0</v>
      </c>
    </row>
    <row r="5" spans="2:10" x14ac:dyDescent="0.3">
      <c r="B5" s="4"/>
    </row>
    <row r="6" spans="2:10" ht="18" x14ac:dyDescent="0.3">
      <c r="F6" s="199" t="s">
        <v>116</v>
      </c>
      <c r="G6" s="199"/>
      <c r="I6" s="199" t="s">
        <v>121</v>
      </c>
      <c r="J6" s="199"/>
    </row>
    <row r="7" spans="2:10" x14ac:dyDescent="0.3">
      <c r="C7" s="89" t="s">
        <v>110</v>
      </c>
      <c r="D7" s="11">
        <v>100</v>
      </c>
      <c r="F7" s="89" t="s">
        <v>115</v>
      </c>
      <c r="G7" s="11" t="s">
        <v>117</v>
      </c>
      <c r="I7" s="89" t="s">
        <v>119</v>
      </c>
      <c r="J7" s="11">
        <v>20</v>
      </c>
    </row>
    <row r="8" spans="2:10" x14ac:dyDescent="0.3">
      <c r="C8" s="89" t="s">
        <v>111</v>
      </c>
      <c r="D8" s="11">
        <v>32</v>
      </c>
      <c r="I8" s="89" t="s">
        <v>120</v>
      </c>
      <c r="J8" s="11">
        <v>20</v>
      </c>
    </row>
    <row r="10" spans="2:10" x14ac:dyDescent="0.3">
      <c r="C10" s="89" t="s">
        <v>112</v>
      </c>
      <c r="D10" s="49">
        <v>30</v>
      </c>
      <c r="F10" s="89" t="str">
        <f>"Clearance (" &amp; IF($B$4, "mm", "in") &amp; ")"</f>
        <v>Clearance (mm)</v>
      </c>
      <c r="G10" s="42">
        <f>(($D$10+$D$11)/(2*$D$12) - ($D$7+2)/(2*$D$8) - IFERROR(CHOOSE(MATCH(G7, {"1/2"" Hex","1/2"" Round","3/8"" Hex","3/8"" Round","1/4"" Square"}, 0), 0.577, 0.5, 0.433, 0.375, 0.354), G7/IF($B$4, 25.4, 1))/2) * IF($B$4, 25.4, 1)</f>
        <v>9.3408499999999997</v>
      </c>
      <c r="I10" s="89" t="str">
        <f>"Clearance (" &amp; IF($B$4, "mm", "in") &amp; ")"</f>
        <v>Clearance (mm)</v>
      </c>
      <c r="J10" s="42">
        <f>(($D$10+$D$11)/(2*$D$12) - ($D$7+2)/(2*$D$8) - (J7+2)/(2*J8)) * IF($B$4, 25.4, 1)</f>
        <v>2.6987499999999986</v>
      </c>
    </row>
    <row r="11" spans="2:10" x14ac:dyDescent="0.3">
      <c r="C11" s="89" t="s">
        <v>113</v>
      </c>
      <c r="D11" s="11">
        <v>60</v>
      </c>
      <c r="F11" s="89" t="s">
        <v>118</v>
      </c>
      <c r="G11" s="42" t="b">
        <f>G10&gt;0</f>
        <v>1</v>
      </c>
      <c r="I11" s="89" t="s">
        <v>118</v>
      </c>
      <c r="J11" s="42" t="b">
        <f>J10&gt;0</f>
        <v>1</v>
      </c>
    </row>
    <row r="12" spans="2:10" x14ac:dyDescent="0.3">
      <c r="C12" s="89" t="s">
        <v>114</v>
      </c>
      <c r="D12" s="11">
        <v>20</v>
      </c>
      <c r="G12" s="5"/>
      <c r="J12" s="5"/>
    </row>
    <row r="13" spans="2:10" x14ac:dyDescent="0.3">
      <c r="D13" s="5"/>
      <c r="G13" s="5"/>
    </row>
    <row r="14" spans="2:10" x14ac:dyDescent="0.3">
      <c r="J14" s="5"/>
    </row>
    <row r="17" spans="4:4" x14ac:dyDescent="0.3">
      <c r="D17" s="5"/>
    </row>
    <row r="18" spans="4:4" x14ac:dyDescent="0.3">
      <c r="D18" s="5"/>
    </row>
    <row r="19" spans="4:4" x14ac:dyDescent="0.3">
      <c r="D19" s="5"/>
    </row>
    <row r="20" spans="4:4" x14ac:dyDescent="0.3">
      <c r="D20" s="5"/>
    </row>
  </sheetData>
  <sheetProtection sheet="1" objects="1" scenarios="1" formatCells="0" formatColumns="0" formatRows="0"/>
  <mergeCells count="2">
    <mergeCell ref="F6:G6"/>
    <mergeCell ref="I6:J6"/>
  </mergeCells>
  <conditionalFormatting sqref="D7:D8 D10:D12 G7 J7:J8">
    <cfRule type="containsBlanks" dxfId="59" priority="4">
      <formula>LEN(TRIM(D7))=0</formula>
    </cfRule>
    <cfRule type="cellIs" dxfId="58" priority="5" operator="lessThanOrEqual">
      <formula>0</formula>
    </cfRule>
  </conditionalFormatting>
  <conditionalFormatting sqref="G10:G11">
    <cfRule type="expression" dxfId="57" priority="3">
      <formula>$G$10&lt;=0</formula>
    </cfRule>
  </conditionalFormatting>
  <conditionalFormatting sqref="J10:J11">
    <cfRule type="expression" dxfId="56" priority="2">
      <formula>$J$10&lt;=0</formula>
    </cfRule>
  </conditionalFormatting>
  <conditionalFormatting sqref="D7:D8 D10:D12 J7:J8">
    <cfRule type="expression" dxfId="55" priority="1">
      <formula>ISTEXT(D7)</formula>
    </cfRule>
  </conditionalFormatting>
  <dataValidations count="1">
    <dataValidation type="list" allowBlank="1" showInputMessage="1" prompt="You can select an axle type from the drop-down list or enter a diameter manually." sqref="G7" xr:uid="{00000000-0002-0000-0700-000000000000}">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6384" width="9.109375" style="1"/>
  </cols>
  <sheetData>
    <row r="2" spans="2:10" ht="31.2" x14ac:dyDescent="0.3">
      <c r="C2" s="2" t="s">
        <v>122</v>
      </c>
    </row>
    <row r="4" spans="2:10" x14ac:dyDescent="0.3">
      <c r="B4" s="8" t="b">
        <v>0</v>
      </c>
      <c r="C4" s="1" t="s">
        <v>0</v>
      </c>
    </row>
    <row r="5" spans="2:10" x14ac:dyDescent="0.3">
      <c r="B5" s="4"/>
    </row>
    <row r="6" spans="2:10" x14ac:dyDescent="0.3">
      <c r="C6" s="89" t="s">
        <v>123</v>
      </c>
      <c r="D6" s="49">
        <v>20</v>
      </c>
    </row>
    <row r="8" spans="2:10" x14ac:dyDescent="0.3">
      <c r="C8" s="89" t="s">
        <v>124</v>
      </c>
      <c r="D8" s="71">
        <v>3</v>
      </c>
    </row>
    <row r="9" spans="2:10" x14ac:dyDescent="0.3">
      <c r="C9" s="89" t="str">
        <f>"Desired Distance (" &amp; IF($B$4, "mm", "in") &amp; ")"</f>
        <v>Desired Distance (in)</v>
      </c>
      <c r="D9" s="15">
        <v>2</v>
      </c>
    </row>
    <row r="10" spans="2:10" x14ac:dyDescent="0.3">
      <c r="D10" s="5"/>
      <c r="G10" s="5"/>
      <c r="J10" s="5"/>
    </row>
    <row r="11" spans="2:10" x14ac:dyDescent="0.3">
      <c r="C11" s="89" t="s">
        <v>125</v>
      </c>
      <c r="D11" s="6">
        <f>2*D9/IF($B$4, 25.4, 1)*D6/(D8+1)</f>
        <v>20</v>
      </c>
    </row>
    <row r="12" spans="2:10" x14ac:dyDescent="0.3">
      <c r="C12" s="89" t="str">
        <f>"Pitch Diameter (" &amp; IF($B$4, "mm", "in") &amp; ")"</f>
        <v>Pitch Diameter (in)</v>
      </c>
      <c r="D12" s="7">
        <f>D11/$D$6*IF($B$4, 25.4, 1)</f>
        <v>1</v>
      </c>
    </row>
    <row r="13" spans="2:10" x14ac:dyDescent="0.3">
      <c r="C13" s="89" t="str">
        <f>"Outside Diameter (" &amp; IF($B$4, "mm", "in") &amp; ")"</f>
        <v>Outside Diameter (in)</v>
      </c>
      <c r="D13" s="7">
        <f>(D11+2)/$D$6*IF($B$4, 25.4, 1)</f>
        <v>1.1000000000000001</v>
      </c>
    </row>
    <row r="15" spans="2:10" x14ac:dyDescent="0.3">
      <c r="C15" s="89" t="s">
        <v>126</v>
      </c>
      <c r="D15" s="6">
        <f>D11*D8</f>
        <v>60</v>
      </c>
    </row>
    <row r="16" spans="2:10" x14ac:dyDescent="0.3">
      <c r="C16" s="89" t="str">
        <f>"Pitch Diameter (" &amp; IF($B$4, "mm", "in") &amp; ")"</f>
        <v>Pitch Diameter (in)</v>
      </c>
      <c r="D16" s="7">
        <f>D15/$D$6*IF($B$4, 25.4, 1)</f>
        <v>3</v>
      </c>
    </row>
    <row r="17" spans="3:4" x14ac:dyDescent="0.3">
      <c r="C17" s="89" t="str">
        <f>"Outside Diameter (" &amp; IF($B$4, "mm", "in") &amp; ")"</f>
        <v>Outside Diameter (in)</v>
      </c>
      <c r="D17" s="7">
        <f>(D15+2)/$D$6*IF($B$4, 25.4, 1)</f>
        <v>3.1</v>
      </c>
    </row>
    <row r="19" spans="3:4" ht="14.4" customHeight="1" x14ac:dyDescent="0.3">
      <c r="C19" s="207" t="s">
        <v>127</v>
      </c>
      <c r="D19" s="207"/>
    </row>
    <row r="20" spans="3:4" ht="14.4" customHeight="1" x14ac:dyDescent="0.3">
      <c r="C20" s="208" t="s">
        <v>128</v>
      </c>
      <c r="D20" s="208"/>
    </row>
  </sheetData>
  <sheetProtection sheet="1" objects="1" scenarios="1" formatCells="0" formatColumns="0" formatRows="0"/>
  <mergeCells count="2">
    <mergeCell ref="C19:D19"/>
    <mergeCell ref="C20:D20"/>
  </mergeCells>
  <conditionalFormatting sqref="D11:D13 D15:D17">
    <cfRule type="expression" dxfId="54" priority="5">
      <formula>NOT(AND(INT($D$11)=$D$11, INT($D$15)=$D$15))</formula>
    </cfRule>
  </conditionalFormatting>
  <conditionalFormatting sqref="C19:D20">
    <cfRule type="expression" dxfId="53" priority="4">
      <formula>AND(INT($D$11)=$D$11, INT($D$15)=$D$15)</formula>
    </cfRule>
  </conditionalFormatting>
  <conditionalFormatting sqref="D6 D8:D9">
    <cfRule type="expression" dxfId="52" priority="1">
      <formula>ISTEXT(D6)</formula>
    </cfRule>
    <cfRule type="containsBlanks" dxfId="51" priority="2">
      <formula>LEN(TRIM(D6))=0</formula>
    </cfRule>
    <cfRule type="cellIs" dxfId="50"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Q192"/>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1" width="10.88671875" style="1" customWidth="1"/>
    <col min="12" max="12" width="9.109375" style="1"/>
    <col min="13" max="13" width="19.6640625" style="1" customWidth="1"/>
    <col min="14" max="16384" width="9.109375" style="1"/>
  </cols>
  <sheetData>
    <row r="2" spans="2:17" ht="31.2" x14ac:dyDescent="0.3">
      <c r="C2" s="2" t="s">
        <v>129</v>
      </c>
    </row>
    <row r="4" spans="2:17" x14ac:dyDescent="0.3">
      <c r="B4" s="8" t="b">
        <v>0</v>
      </c>
      <c r="C4" s="1" t="s">
        <v>0</v>
      </c>
      <c r="G4" s="5"/>
      <c r="H4" s="5"/>
      <c r="I4" s="5"/>
    </row>
    <row r="5" spans="2:17" x14ac:dyDescent="0.3">
      <c r="B5" s="4"/>
      <c r="G5" s="5"/>
      <c r="H5" s="5"/>
      <c r="I5" s="5"/>
    </row>
    <row r="6" spans="2:17" x14ac:dyDescent="0.3">
      <c r="D6" s="64" t="s">
        <v>134</v>
      </c>
      <c r="E6" s="64" t="s">
        <v>135</v>
      </c>
      <c r="F6" s="64" t="s">
        <v>136</v>
      </c>
      <c r="G6" s="64" t="s">
        <v>137</v>
      </c>
      <c r="H6" s="64" t="s">
        <v>138</v>
      </c>
      <c r="I6" s="64" t="s">
        <v>139</v>
      </c>
      <c r="J6" s="64" t="s">
        <v>140</v>
      </c>
      <c r="K6" s="64" t="s">
        <v>141</v>
      </c>
      <c r="N6" s="64" t="s">
        <v>144</v>
      </c>
      <c r="O6" s="64" t="s">
        <v>146</v>
      </c>
      <c r="P6" s="64" t="s">
        <v>145</v>
      </c>
      <c r="Q6" s="64" t="s">
        <v>147</v>
      </c>
    </row>
    <row r="7" spans="2:17" x14ac:dyDescent="0.3">
      <c r="C7" s="64" t="str">
        <f>"Diameter (" &amp; IF($B$4, "mm", "in") &amp; ")"</f>
        <v>Diameter (in)</v>
      </c>
      <c r="D7" s="77">
        <v>1.4999999999999998</v>
      </c>
      <c r="E7" s="9"/>
      <c r="F7" s="9"/>
      <c r="G7" s="9"/>
      <c r="H7" s="9"/>
      <c r="I7" s="9"/>
      <c r="J7" s="9"/>
      <c r="K7" s="9"/>
      <c r="M7" s="64" t="str">
        <f>"Tank Volume (" &amp; IF($B$4, "mL", "in^3") &amp; ")"</f>
        <v>Tank Volume (in^3)</v>
      </c>
      <c r="N7" s="12">
        <v>35.000000000000014</v>
      </c>
      <c r="O7" s="12"/>
      <c r="P7" s="12"/>
      <c r="Q7" s="12"/>
    </row>
    <row r="8" spans="2:17" x14ac:dyDescent="0.3">
      <c r="C8" s="65" t="str">
        <f>"Rod Diameter (" &amp; IF($B$4, "mm", "in") &amp; ")"</f>
        <v>Rod Diameter (in)</v>
      </c>
      <c r="D8" s="77">
        <v>0.37499999999999994</v>
      </c>
      <c r="E8" s="9"/>
      <c r="F8" s="9"/>
      <c r="G8" s="9"/>
      <c r="H8" s="9"/>
      <c r="I8" s="9"/>
      <c r="J8" s="9"/>
      <c r="K8" s="9"/>
      <c r="M8" s="65" t="s">
        <v>142</v>
      </c>
      <c r="N8" s="68">
        <v>3</v>
      </c>
      <c r="O8" s="68"/>
      <c r="P8" s="68"/>
      <c r="Q8" s="68"/>
    </row>
    <row r="9" spans="2:17" x14ac:dyDescent="0.3">
      <c r="C9" s="65" t="str">
        <f>"Stroke Length (" &amp; IF($B$4, "mm", "in") &amp; ")"</f>
        <v>Stroke Length (in)</v>
      </c>
      <c r="D9" s="77">
        <v>11.999999999999998</v>
      </c>
      <c r="E9" s="9"/>
      <c r="F9" s="9"/>
      <c r="G9" s="9"/>
      <c r="H9" s="9"/>
      <c r="I9" s="9"/>
      <c r="J9" s="9"/>
      <c r="K9" s="9"/>
      <c r="M9" s="66" t="s">
        <v>143</v>
      </c>
      <c r="N9" s="70">
        <v>120</v>
      </c>
      <c r="O9" s="70"/>
      <c r="P9" s="70"/>
      <c r="Q9" s="70"/>
    </row>
    <row r="10" spans="2:17" x14ac:dyDescent="0.3">
      <c r="C10" s="65" t="s">
        <v>130</v>
      </c>
      <c r="D10" s="68">
        <v>40</v>
      </c>
      <c r="E10" s="68"/>
      <c r="F10" s="68"/>
      <c r="G10" s="68"/>
      <c r="H10" s="68"/>
      <c r="I10" s="68"/>
      <c r="J10" s="68"/>
      <c r="K10" s="68"/>
      <c r="M10" s="89" t="str">
        <f>"Total Tank Vol. (" &amp; IF($B$4, "mL", "in^3") &amp; ")"</f>
        <v>Total Tank Vol. (in^3)</v>
      </c>
      <c r="N10" s="29">
        <f>SUMPRODUCT(N7:Q7,N8:Q8,N9:Q9)/120</f>
        <v>105.00000000000004</v>
      </c>
      <c r="O10" s="1" t="s">
        <v>153</v>
      </c>
    </row>
    <row r="11" spans="2:17" x14ac:dyDescent="0.3">
      <c r="C11" s="65" t="str">
        <f>"Push Force (" &amp; IF($B$4, "N", "lbf") &amp; ")"</f>
        <v>Push Force (lbf)</v>
      </c>
      <c r="D11" s="76">
        <f>IF(COUNTBLANK(D7:D10)=0, (D$7/2)^2*PI()*D$10/IF($B$4, 145.04, 1), "")</f>
        <v>70.685834705770318</v>
      </c>
      <c r="E11" s="76" t="str">
        <f t="shared" ref="E11:K11" si="0">IF(COUNTBLANK(E7:E10)=0, (E$7/2)^2*PI()*E$10/IF($B$4, 145.04, 1), "")</f>
        <v/>
      </c>
      <c r="F11" s="76" t="str">
        <f t="shared" si="0"/>
        <v/>
      </c>
      <c r="G11" s="76" t="str">
        <f t="shared" si="0"/>
        <v/>
      </c>
      <c r="H11" s="76" t="str">
        <f t="shared" si="0"/>
        <v/>
      </c>
      <c r="I11" s="76" t="str">
        <f t="shared" si="0"/>
        <v/>
      </c>
      <c r="J11" s="76" t="str">
        <f t="shared" si="0"/>
        <v/>
      </c>
      <c r="K11" s="76" t="str">
        <f t="shared" si="0"/>
        <v/>
      </c>
    </row>
    <row r="12" spans="2:17" x14ac:dyDescent="0.3">
      <c r="C12" s="65" t="s">
        <v>131</v>
      </c>
      <c r="D12" s="12">
        <v>15</v>
      </c>
      <c r="E12" s="68"/>
      <c r="F12" s="68"/>
      <c r="G12" s="68"/>
      <c r="H12" s="68"/>
      <c r="I12" s="68"/>
      <c r="J12" s="68"/>
      <c r="K12" s="68"/>
      <c r="M12" s="89" t="s">
        <v>148</v>
      </c>
      <c r="N12" s="209" t="s">
        <v>154</v>
      </c>
      <c r="O12" s="210"/>
    </row>
    <row r="13" spans="2:17" x14ac:dyDescent="0.3">
      <c r="C13" s="65" t="str">
        <f>"Pull Force (" &amp; IF($B$4, "N", "lbf") &amp; ")"</f>
        <v>Pull Force (lbf)</v>
      </c>
      <c r="D13" s="76">
        <f>IF(COUNTBLANK(D9:D12)=0, (D$7^2 - D$8^2)*PI()/4*D$12/IF($B$4, 145.04, 1), "")</f>
        <v>24.850488763747375</v>
      </c>
      <c r="E13" s="76" t="str">
        <f t="shared" ref="E13:K13" si="1">IF(COUNTBLANK(E9:E12)=0, (E$7^2 - E$8^2)*PI()/4*E$12/IF($B$4, 145.04, 1), "")</f>
        <v/>
      </c>
      <c r="F13" s="76" t="str">
        <f t="shared" si="1"/>
        <v/>
      </c>
      <c r="G13" s="76" t="str">
        <f t="shared" si="1"/>
        <v/>
      </c>
      <c r="H13" s="76" t="str">
        <f t="shared" si="1"/>
        <v/>
      </c>
      <c r="I13" s="76" t="str">
        <f t="shared" si="1"/>
        <v/>
      </c>
      <c r="J13" s="76" t="str">
        <f t="shared" si="1"/>
        <v/>
      </c>
      <c r="K13" s="76" t="str">
        <f t="shared" si="1"/>
        <v/>
      </c>
    </row>
    <row r="14" spans="2:17" x14ac:dyDescent="0.3">
      <c r="C14" s="65" t="s">
        <v>166</v>
      </c>
      <c r="D14" s="68">
        <v>5</v>
      </c>
      <c r="E14" s="68"/>
      <c r="F14" s="68"/>
      <c r="G14" s="68"/>
      <c r="H14" s="68"/>
      <c r="I14" s="68"/>
      <c r="J14" s="68"/>
      <c r="K14" s="68"/>
      <c r="M14" s="89" t="s">
        <v>149</v>
      </c>
      <c r="N14" s="11">
        <v>120</v>
      </c>
    </row>
    <row r="15" spans="2:17" x14ac:dyDescent="0.3">
      <c r="C15" s="65" t="s">
        <v>132</v>
      </c>
      <c r="D15" s="68">
        <v>8</v>
      </c>
      <c r="E15" s="68"/>
      <c r="F15" s="68"/>
      <c r="G15" s="68"/>
      <c r="H15" s="68"/>
      <c r="I15" s="68"/>
      <c r="J15" s="68"/>
      <c r="K15" s="68"/>
      <c r="M15" s="89" t="s">
        <v>150</v>
      </c>
      <c r="N15" s="11">
        <v>95</v>
      </c>
    </row>
    <row r="16" spans="2:17" x14ac:dyDescent="0.3">
      <c r="C16" s="66" t="s">
        <v>133</v>
      </c>
      <c r="D16" s="69">
        <v>140</v>
      </c>
      <c r="E16" s="70"/>
      <c r="F16" s="70"/>
      <c r="G16" s="70"/>
      <c r="H16" s="70"/>
      <c r="I16" s="70"/>
      <c r="J16" s="70"/>
      <c r="K16" s="70"/>
      <c r="M16" s="89" t="s">
        <v>151</v>
      </c>
      <c r="N16" s="44">
        <f>MIN(D42:D192)</f>
        <v>33.320099200506633</v>
      </c>
    </row>
    <row r="17" spans="4:14" x14ac:dyDescent="0.3">
      <c r="D17" s="57"/>
      <c r="M17" s="89" t="s">
        <v>152</v>
      </c>
      <c r="N17" s="44">
        <f>D192</f>
        <v>56.540434019763524</v>
      </c>
    </row>
    <row r="39" spans="3:14" x14ac:dyDescent="0.3">
      <c r="C39" s="4"/>
      <c r="D39" s="4"/>
      <c r="E39" s="4"/>
      <c r="F39" s="4"/>
      <c r="G39" s="4"/>
      <c r="H39" s="4"/>
      <c r="I39" s="4"/>
      <c r="J39" s="4"/>
      <c r="K39" s="4"/>
      <c r="L39" s="4"/>
      <c r="M39" s="4"/>
      <c r="N39" s="4"/>
    </row>
    <row r="40" spans="3:14" x14ac:dyDescent="0.3">
      <c r="C40" s="3"/>
      <c r="D40" s="67">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3">
      <c r="C41" s="3" t="s">
        <v>155</v>
      </c>
      <c r="D41" s="3" t="s">
        <v>156</v>
      </c>
      <c r="E41" s="3" t="s">
        <v>157</v>
      </c>
      <c r="F41" s="3" t="s">
        <v>158</v>
      </c>
      <c r="G41" s="3" t="s">
        <v>159</v>
      </c>
      <c r="H41" s="3" t="s">
        <v>160</v>
      </c>
      <c r="I41" s="3" t="s">
        <v>161</v>
      </c>
      <c r="J41" s="3" t="s">
        <v>162</v>
      </c>
      <c r="K41" s="3" t="s">
        <v>163</v>
      </c>
      <c r="L41" s="3" t="s">
        <v>164</v>
      </c>
      <c r="M41" s="3" t="s">
        <v>165</v>
      </c>
      <c r="N41" s="4"/>
    </row>
    <row r="42" spans="3:14" x14ac:dyDescent="0.3">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3">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3">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3">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3">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3">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3">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3">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3">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3">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3">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3">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3">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3">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3">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3">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3">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3">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3">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3">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3">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3">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3">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3">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3">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3">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3">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3">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3">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3">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3">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3">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3">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3">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3">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3">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3">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3">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3">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3">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3">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3">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3">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3">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3">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3">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3">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3">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3">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3">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3">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3">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3">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3">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3">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3">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3">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3">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3">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3">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3">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3">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3">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3">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3">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3">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3">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3">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3">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3">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3">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3">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3">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3">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3">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3">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3">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3">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3">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3">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3">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3">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3">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3">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3">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3">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3">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3">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3">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3">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3">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3">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3">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3">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3">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3">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3">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3">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3">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3">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3">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3">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3">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3">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3">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3">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3">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3">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3">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3">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3">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3">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3">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3">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3">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3">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3">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3">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3">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3">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3">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3">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3">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3">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3">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3">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3">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3">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3">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3">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3">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3">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3">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3">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3">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3">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3">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3">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3">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3">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3">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3">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3">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3">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3">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3">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3">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3">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3">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3">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3">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49" priority="5">
      <formula>AND(COUNTBLANK(D$7:D$16)&lt;10, ISBLANK(D7))</formula>
    </cfRule>
    <cfRule type="cellIs" dxfId="48" priority="8" operator="lessThan">
      <formula>0</formula>
    </cfRule>
  </conditionalFormatting>
  <conditionalFormatting sqref="N16:N17">
    <cfRule type="cellIs" dxfId="47" priority="7" operator="lessThanOrEqual">
      <formula>$I$40</formula>
    </cfRule>
  </conditionalFormatting>
  <conditionalFormatting sqref="N7:Q9">
    <cfRule type="expression" dxfId="46" priority="3">
      <formula>AND(COUNTBLANK(N$7:N$9)&lt;3, ISBLANK(N7))</formula>
    </cfRule>
  </conditionalFormatting>
  <conditionalFormatting sqref="D7:K10 D12:K12 D14:K16 N7:Q9 N14:N15">
    <cfRule type="expression" dxfId="45" priority="4">
      <formula>ISTEXT(D7)</formula>
    </cfRule>
  </conditionalFormatting>
  <conditionalFormatting sqref="D8:K8">
    <cfRule type="cellIs" dxfId="44" priority="1" operator="greaterThan">
      <formula>D7</formula>
    </cfRule>
  </conditionalFormatting>
  <dataValidations count="1">
    <dataValidation type="list" allowBlank="1" showInputMessage="1" showErrorMessage="1" sqref="N12:O12" xr:uid="{00000000-0002-0000-0900-000000000000}">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C2:R41"/>
  <sheetViews>
    <sheetView zoomScaleNormal="100" workbookViewId="0"/>
  </sheetViews>
  <sheetFormatPr defaultColWidth="9.109375" defaultRowHeight="14.4" x14ac:dyDescent="0.3"/>
  <cols>
    <col min="1" max="1" width="7.109375" style="1" customWidth="1"/>
    <col min="2" max="2" width="3.33203125" style="1" customWidth="1"/>
    <col min="3" max="3" width="12.88671875" style="1" customWidth="1"/>
    <col min="4" max="4" width="9.109375" style="1"/>
    <col min="5" max="5" width="14.6640625" style="1" customWidth="1"/>
    <col min="6" max="6" width="12.88671875" style="1" customWidth="1"/>
    <col min="7" max="7" width="9.109375" style="1"/>
    <col min="8" max="8" width="3.109375" style="1" customWidth="1"/>
    <col min="9" max="9" width="22.44140625" style="1" customWidth="1"/>
    <col min="10" max="10" width="3.109375" style="1" customWidth="1"/>
    <col min="11" max="16384" width="9.109375" style="1"/>
  </cols>
  <sheetData>
    <row r="2" spans="3:16" ht="31.2" x14ac:dyDescent="0.3">
      <c r="C2" s="2" t="s">
        <v>210</v>
      </c>
    </row>
    <row r="3" spans="3:16" x14ac:dyDescent="0.3">
      <c r="K3" s="79" t="s">
        <v>98</v>
      </c>
      <c r="M3" s="112" t="b">
        <v>1</v>
      </c>
      <c r="N3" s="110"/>
      <c r="O3" s="113" t="b">
        <v>1</v>
      </c>
      <c r="P3" s="111"/>
    </row>
    <row r="4" spans="3:16" ht="18" x14ac:dyDescent="0.3">
      <c r="C4" s="199" t="s">
        <v>95</v>
      </c>
      <c r="D4" s="199"/>
      <c r="F4" s="199" t="s">
        <v>98</v>
      </c>
      <c r="G4" s="199"/>
      <c r="I4" s="212" t="s">
        <v>227</v>
      </c>
    </row>
    <row r="5" spans="3:16" ht="15" customHeight="1" x14ac:dyDescent="0.3">
      <c r="C5" s="89" t="s">
        <v>167</v>
      </c>
      <c r="D5" s="52">
        <v>40</v>
      </c>
      <c r="F5" s="89" t="s">
        <v>169</v>
      </c>
      <c r="G5" s="52">
        <v>120</v>
      </c>
      <c r="I5" s="213"/>
    </row>
    <row r="6" spans="3:16" x14ac:dyDescent="0.3">
      <c r="C6" s="89" t="s">
        <v>168</v>
      </c>
      <c r="D6" s="52">
        <v>90</v>
      </c>
      <c r="F6" s="89" t="s">
        <v>170</v>
      </c>
      <c r="G6" s="52">
        <v>10</v>
      </c>
      <c r="I6" s="213"/>
    </row>
    <row r="7" spans="3:16" x14ac:dyDescent="0.3">
      <c r="C7" s="89" t="s">
        <v>169</v>
      </c>
      <c r="D7" s="52">
        <v>100</v>
      </c>
      <c r="F7" s="89" t="s">
        <v>171</v>
      </c>
      <c r="G7" s="52">
        <v>100</v>
      </c>
      <c r="I7" s="213"/>
    </row>
    <row r="8" spans="3:16" x14ac:dyDescent="0.3">
      <c r="C8" s="89" t="s">
        <v>170</v>
      </c>
      <c r="D8" s="52">
        <v>20</v>
      </c>
      <c r="F8" s="89" t="s">
        <v>172</v>
      </c>
      <c r="G8" s="52">
        <v>50</v>
      </c>
      <c r="I8" s="214"/>
    </row>
    <row r="9" spans="3:16" ht="15" customHeight="1" x14ac:dyDescent="0.3">
      <c r="C9" s="89" t="s">
        <v>171</v>
      </c>
      <c r="D9" s="52">
        <v>100</v>
      </c>
      <c r="F9" s="89" t="s">
        <v>173</v>
      </c>
      <c r="G9" s="73">
        <v>95</v>
      </c>
      <c r="H9" s="3">
        <f>RADIANS(G9)</f>
        <v>1.6580627893946132</v>
      </c>
    </row>
    <row r="10" spans="3:16" ht="15" customHeight="1" x14ac:dyDescent="0.3">
      <c r="C10" s="89" t="s">
        <v>172</v>
      </c>
      <c r="D10" s="52">
        <v>50</v>
      </c>
      <c r="F10" s="89" t="s">
        <v>174</v>
      </c>
      <c r="G10" s="73">
        <v>-10</v>
      </c>
      <c r="H10" s="3">
        <f>RADIANS(G10)</f>
        <v>-0.17453292519943295</v>
      </c>
      <c r="I10" s="212" t="s">
        <v>177</v>
      </c>
    </row>
    <row r="11" spans="3:16" x14ac:dyDescent="0.3">
      <c r="I11" s="213"/>
    </row>
    <row r="12" spans="3:16" x14ac:dyDescent="0.3">
      <c r="C12" s="89" t="s">
        <v>173</v>
      </c>
      <c r="D12" s="61">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9"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3"/>
    </row>
    <row r="13" spans="3:16" x14ac:dyDescent="0.3">
      <c r="C13" s="89" t="s">
        <v>174</v>
      </c>
      <c r="D13" s="61">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9" t="s">
        <v>168</v>
      </c>
      <c r="G13" s="44">
        <f>G5*SIN(H9)+G6*COS(H9)-SQRT(G7^2-(G12+G5*COS(H9)-G6*SIN(H9))^2)</f>
        <v>18.893769027862092</v>
      </c>
      <c r="I13" s="214"/>
    </row>
    <row r="30" spans="11:18" x14ac:dyDescent="0.3">
      <c r="K30" s="211" t="s">
        <v>225</v>
      </c>
      <c r="L30" s="211"/>
      <c r="M30" s="211"/>
      <c r="N30" s="211"/>
      <c r="O30" s="211"/>
      <c r="P30" s="211"/>
      <c r="Q30" s="211"/>
      <c r="R30" s="211"/>
    </row>
    <row r="31" spans="11:18" x14ac:dyDescent="0.3">
      <c r="K31" s="1" t="s">
        <v>226</v>
      </c>
    </row>
    <row r="32" spans="11:18" x14ac:dyDescent="0.3">
      <c r="K32" s="1" t="s">
        <v>178</v>
      </c>
    </row>
    <row r="33" spans="11:18" x14ac:dyDescent="0.3">
      <c r="K33" s="3" t="s">
        <v>167</v>
      </c>
      <c r="L33" s="3" t="s">
        <v>168</v>
      </c>
      <c r="M33" s="3" t="s">
        <v>169</v>
      </c>
      <c r="N33" s="3" t="s">
        <v>170</v>
      </c>
      <c r="O33" s="3" t="s">
        <v>175</v>
      </c>
      <c r="P33" s="3" t="s">
        <v>176</v>
      </c>
      <c r="Q33" s="3" t="s">
        <v>223</v>
      </c>
      <c r="R33" s="3" t="s">
        <v>224</v>
      </c>
    </row>
    <row r="34" spans="11:18" x14ac:dyDescent="0.3">
      <c r="K34" s="78">
        <f>IF($K$3="Forward", D5, G12)</f>
        <v>27.079710328018926</v>
      </c>
      <c r="L34" s="78">
        <f>IF($K$3="Forward", D6, G13)</f>
        <v>18.893769027862092</v>
      </c>
      <c r="M34" s="78">
        <f>IF($K$3="Forward", D7, G5)</f>
        <v>120</v>
      </c>
      <c r="N34" s="78">
        <f>IF($K$3="Forward", D8, G6)</f>
        <v>10</v>
      </c>
      <c r="O34" s="78">
        <f>RADIANS(IF($K$3="Forward", D12, G9))</f>
        <v>1.6580627893946132</v>
      </c>
      <c r="P34" s="78">
        <f>RADIANS(IF($K$3="Forward", D13, G10))</f>
        <v>-0.17453292519943295</v>
      </c>
      <c r="Q34" s="78">
        <f>IF($K$3="Forward", D9, G7)</f>
        <v>100</v>
      </c>
      <c r="R34" s="78">
        <f>Q34+IF($K$3="Forward", D10, G8)</f>
        <v>150</v>
      </c>
    </row>
    <row r="35" spans="11:18" x14ac:dyDescent="0.3">
      <c r="K35" s="3">
        <v>0</v>
      </c>
      <c r="L35" s="3">
        <v>0</v>
      </c>
      <c r="M35" s="3">
        <f>IF($M$3, 1.5*$M$34*COS(O34), 0)</f>
        <v>-15.688033694578483</v>
      </c>
      <c r="N35" s="3">
        <f>IF($M$3, 1.5*$M$34*SIN(O34), 0)</f>
        <v>179.3150456565142</v>
      </c>
      <c r="O35" s="3"/>
      <c r="P35" s="3"/>
      <c r="Q35" s="3"/>
      <c r="R35" s="3"/>
    </row>
    <row r="36" spans="11:18"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3">
      <c r="K37" s="78">
        <f>IF($M$3, -$K$34, 0)</f>
        <v>-27.079710328018926</v>
      </c>
      <c r="L37" s="78">
        <f>IF($M$3, $L$34, 0)</f>
        <v>18.893769027862092</v>
      </c>
      <c r="M37" s="3">
        <f>IF($M$3, K37+(M36-K37)*0.9, 0)</f>
        <v>-21.086543532374691</v>
      </c>
      <c r="N37" s="3">
        <f>IF($M$3, L37+(N36-L37)*0.9, 0)</f>
        <v>108.6940026119658</v>
      </c>
      <c r="O37" s="3"/>
      <c r="P37" s="78">
        <f>IF(OR($M$3, $O$3), -K34, 0)</f>
        <v>-27.079710328018926</v>
      </c>
      <c r="Q37" s="78">
        <f>IF(OR($M$3, $O$3), L34, 0)</f>
        <v>18.893769027862092</v>
      </c>
      <c r="R37" s="3"/>
    </row>
    <row r="38" spans="11:18" x14ac:dyDescent="0.3">
      <c r="K38" s="3">
        <v>0</v>
      </c>
      <c r="L38" s="3">
        <v>0</v>
      </c>
      <c r="M38" s="3">
        <f>IF($O$3, 1.5*$M$34*COS(P34), 0)</f>
        <v>177.26539554219744</v>
      </c>
      <c r="N38" s="3">
        <f>IF($O$3, 1.5*$M$34*SIN(P34), 0)</f>
        <v>-31.256671980047461</v>
      </c>
      <c r="O38" s="3"/>
      <c r="P38" s="3"/>
      <c r="Q38" s="3"/>
      <c r="R38" s="3"/>
    </row>
    <row r="39" spans="11:18"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3">
      <c r="K40" s="78">
        <f>IF($O$3, -$K$34, 0)</f>
        <v>-27.079710328018926</v>
      </c>
      <c r="L40" s="78">
        <f>IF($O$3, $L$34, 0)</f>
        <v>18.893769027862092</v>
      </c>
      <c r="M40" s="3">
        <f>IF($O$3, K40+(M39-K40)*($Q$34/$R$34)*0.9, 0)</f>
        <v>61.116163151673</v>
      </c>
      <c r="N40" s="3">
        <f>IF($O$3, L40+(N39-L40)*($Q$34/$R$34)*0.9, 0)</f>
        <v>0.96368533719910232</v>
      </c>
      <c r="O40" s="3"/>
      <c r="P40" s="3"/>
      <c r="Q40" s="3"/>
      <c r="R40" s="3"/>
    </row>
    <row r="41" spans="11:18" x14ac:dyDescent="0.3">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43" priority="7" operator="lessThan">
      <formula>0</formula>
    </cfRule>
  </conditionalFormatting>
  <conditionalFormatting sqref="D7 G5">
    <cfRule type="cellIs" dxfId="42" priority="6" operator="equal">
      <formula>0</formula>
    </cfRule>
  </conditionalFormatting>
  <conditionalFormatting sqref="D5:D10 G5:G10">
    <cfRule type="expression" dxfId="41" priority="4">
      <formula>ISTEXT(D5)</formula>
    </cfRule>
  </conditionalFormatting>
  <conditionalFormatting sqref="D5:D10 G5:G10 K3">
    <cfRule type="containsBlanks" dxfId="40" priority="5">
      <formula>LEN(TRIM(D3))=0</formula>
    </cfRule>
  </conditionalFormatting>
  <conditionalFormatting sqref="D5:D10">
    <cfRule type="expression" dxfId="39" priority="3">
      <formula>ISERROR($D$12:$D$13)</formula>
    </cfRule>
  </conditionalFormatting>
  <conditionalFormatting sqref="G9:G10">
    <cfRule type="cellIs" dxfId="38" priority="2" operator="notBetween">
      <formula>180</formula>
      <formula>-90</formula>
    </cfRule>
  </conditionalFormatting>
  <conditionalFormatting sqref="G5:G10">
    <cfRule type="expression" dxfId="37" priority="1">
      <formula>ISERROR($G$12:$G$13)</formula>
    </cfRule>
  </conditionalFormatting>
  <dataValidations count="1">
    <dataValidation type="list" allowBlank="1" showErrorMessage="1" sqref="K3" xr:uid="{00000000-0002-0000-0A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7620</xdr:rowOff>
                  </from>
                  <to>
                    <xdr:col>13</xdr:col>
                    <xdr:colOff>411480</xdr:colOff>
                    <xdr:row>2</xdr:row>
                    <xdr:rowOff>182880</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411480</xdr:colOff>
                    <xdr:row>2</xdr:row>
                    <xdr:rowOff>7620</xdr:rowOff>
                  </from>
                  <to>
                    <xdr:col>15</xdr:col>
                    <xdr:colOff>213360</xdr:colOff>
                    <xdr:row>2</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N1000"/>
  <sheetViews>
    <sheetView workbookViewId="0">
      <pane ySplit="1" topLeftCell="A453" activePane="bottomLeft" state="frozen"/>
      <selection pane="bottomLeft"/>
    </sheetView>
  </sheetViews>
  <sheetFormatPr defaultColWidth="14" defaultRowHeight="15" customHeight="1" x14ac:dyDescent="0.25"/>
  <cols>
    <col min="1" max="1" width="9.44140625" style="134" customWidth="1"/>
    <col min="2" max="3" width="8.44140625" style="134" customWidth="1"/>
    <col min="4" max="4" width="18.6640625" style="134" customWidth="1"/>
    <col min="5" max="26" width="8.44140625" style="134" customWidth="1"/>
    <col min="27" max="16384" width="14" style="134"/>
  </cols>
  <sheetData>
    <row r="1" spans="1:13" ht="14.25" customHeight="1" x14ac:dyDescent="0.3">
      <c r="A1" s="133" t="s">
        <v>235</v>
      </c>
      <c r="B1" s="133" t="s">
        <v>236</v>
      </c>
      <c r="C1" s="133" t="s">
        <v>237</v>
      </c>
      <c r="E1" s="133" t="s">
        <v>238</v>
      </c>
      <c r="F1" s="133" t="s">
        <v>239</v>
      </c>
    </row>
    <row r="2" spans="1:13" ht="14.25" customHeight="1" x14ac:dyDescent="0.3">
      <c r="A2" s="133" t="s">
        <v>117</v>
      </c>
      <c r="B2" s="133" t="s">
        <v>11</v>
      </c>
      <c r="C2" s="133">
        <v>9</v>
      </c>
      <c r="D2" s="133" t="str">
        <f t="shared" ref="D2:D256" si="0">A2&amp;" "&amp;B2&amp;" "&amp;C2</f>
        <v>1/2" Hex AM 9015 9</v>
      </c>
      <c r="E2" s="133">
        <v>10</v>
      </c>
      <c r="F2" s="133">
        <v>10</v>
      </c>
      <c r="I2" s="135" t="s">
        <v>240</v>
      </c>
      <c r="J2" s="136"/>
      <c r="K2" s="136"/>
    </row>
    <row r="3" spans="1:13" ht="14.25" customHeight="1" x14ac:dyDescent="0.3">
      <c r="A3" s="133" t="s">
        <v>117</v>
      </c>
      <c r="B3" s="133" t="s">
        <v>11</v>
      </c>
      <c r="C3" s="133">
        <v>12</v>
      </c>
      <c r="D3" s="133" t="str">
        <f t="shared" si="0"/>
        <v>1/2" Hex AM 9015 12</v>
      </c>
      <c r="E3" s="133">
        <v>10</v>
      </c>
      <c r="F3" s="133">
        <v>7</v>
      </c>
      <c r="I3" s="133" t="s">
        <v>117</v>
      </c>
      <c r="J3" s="136">
        <v>39.99</v>
      </c>
      <c r="K3" s="136">
        <f>K5+13.99</f>
        <v>31.979999999999997</v>
      </c>
      <c r="L3" s="133" t="s">
        <v>241</v>
      </c>
      <c r="M3" s="133" t="s">
        <v>242</v>
      </c>
    </row>
    <row r="4" spans="1:13" ht="14.25" customHeight="1" x14ac:dyDescent="0.3">
      <c r="A4" s="133" t="s">
        <v>117</v>
      </c>
      <c r="B4" s="133" t="s">
        <v>11</v>
      </c>
      <c r="C4" s="133">
        <v>15</v>
      </c>
      <c r="D4" s="133" t="str">
        <f t="shared" si="0"/>
        <v>1/2" Hex AM 9015 15</v>
      </c>
      <c r="E4" s="133">
        <v>10</v>
      </c>
      <c r="F4" s="133">
        <v>5</v>
      </c>
      <c r="I4" s="133" t="s">
        <v>243</v>
      </c>
      <c r="J4" s="136">
        <v>39.99</v>
      </c>
      <c r="K4" s="136">
        <f>K5+9.99</f>
        <v>27.979999999999997</v>
      </c>
      <c r="L4" s="133" t="s">
        <v>244</v>
      </c>
      <c r="M4" s="133" t="s">
        <v>245</v>
      </c>
    </row>
    <row r="5" spans="1:13" ht="14.25" customHeight="1" x14ac:dyDescent="0.3">
      <c r="A5" s="133" t="s">
        <v>117</v>
      </c>
      <c r="B5" s="133" t="s">
        <v>11</v>
      </c>
      <c r="C5" s="133">
        <v>16</v>
      </c>
      <c r="D5" s="133" t="str">
        <f t="shared" si="0"/>
        <v>1/2" Hex AM 9015 16</v>
      </c>
      <c r="E5" s="133">
        <v>10</v>
      </c>
      <c r="F5" s="133">
        <v>5</v>
      </c>
      <c r="I5" s="133" t="s">
        <v>246</v>
      </c>
      <c r="J5" s="136">
        <v>39.99</v>
      </c>
      <c r="K5" s="136">
        <v>17.989999999999998</v>
      </c>
      <c r="L5" s="133" t="s">
        <v>247</v>
      </c>
      <c r="M5" s="133" t="s">
        <v>248</v>
      </c>
    </row>
    <row r="6" spans="1:13" ht="14.25" customHeight="1" x14ac:dyDescent="0.3">
      <c r="A6" s="133" t="s">
        <v>117</v>
      </c>
      <c r="B6" s="133" t="s">
        <v>11</v>
      </c>
      <c r="C6" s="133">
        <v>20</v>
      </c>
      <c r="D6" s="133" t="str">
        <f t="shared" si="0"/>
        <v>1/2" Hex AM 9015 20</v>
      </c>
      <c r="E6" s="133">
        <v>10</v>
      </c>
      <c r="F6" s="133">
        <v>4</v>
      </c>
      <c r="I6" s="133" t="s">
        <v>249</v>
      </c>
      <c r="J6" s="136">
        <v>39.99</v>
      </c>
      <c r="K6" s="136">
        <f>K5+9.99</f>
        <v>27.979999999999997</v>
      </c>
      <c r="L6" s="133" t="s">
        <v>250</v>
      </c>
      <c r="M6" s="133" t="s">
        <v>251</v>
      </c>
    </row>
    <row r="7" spans="1:13" ht="14.25" customHeight="1" x14ac:dyDescent="0.3">
      <c r="A7" s="133" t="s">
        <v>117</v>
      </c>
      <c r="B7" s="133" t="s">
        <v>11</v>
      </c>
      <c r="C7" s="133">
        <v>21</v>
      </c>
      <c r="D7" s="133" t="str">
        <f t="shared" si="0"/>
        <v>1/2" Hex AM 9015 21</v>
      </c>
      <c r="E7" s="133">
        <v>10</v>
      </c>
      <c r="F7" s="133">
        <v>4</v>
      </c>
      <c r="I7" s="133" t="s">
        <v>252</v>
      </c>
      <c r="J7" s="136">
        <v>44.99</v>
      </c>
      <c r="K7" s="136">
        <v>24.99</v>
      </c>
      <c r="L7" s="133" t="s">
        <v>253</v>
      </c>
      <c r="M7" s="133" t="s">
        <v>254</v>
      </c>
    </row>
    <row r="8" spans="1:13" ht="14.25" customHeight="1" x14ac:dyDescent="0.3">
      <c r="A8" s="133" t="s">
        <v>117</v>
      </c>
      <c r="B8" s="133" t="s">
        <v>11</v>
      </c>
      <c r="C8" s="133">
        <v>25</v>
      </c>
      <c r="D8" s="133" t="str">
        <f t="shared" si="0"/>
        <v>1/2" Hex AM 9015 25</v>
      </c>
      <c r="E8" s="133">
        <v>7</v>
      </c>
      <c r="F8" s="133">
        <v>3</v>
      </c>
      <c r="J8" s="136"/>
      <c r="K8" s="136"/>
    </row>
    <row r="9" spans="1:13" ht="14.25" customHeight="1" x14ac:dyDescent="0.3">
      <c r="A9" s="133" t="s">
        <v>117</v>
      </c>
      <c r="B9" s="133" t="s">
        <v>11</v>
      </c>
      <c r="C9" s="133">
        <v>27</v>
      </c>
      <c r="D9" s="133" t="str">
        <f t="shared" si="0"/>
        <v>1/2" Hex AM 9015 27</v>
      </c>
      <c r="E9" s="133">
        <v>7</v>
      </c>
      <c r="F9" s="133">
        <v>3</v>
      </c>
      <c r="J9" s="136"/>
      <c r="K9" s="136"/>
    </row>
    <row r="10" spans="1:13" ht="14.25" customHeight="1" x14ac:dyDescent="0.3">
      <c r="A10" s="133" t="s">
        <v>117</v>
      </c>
      <c r="B10" s="133" t="s">
        <v>11</v>
      </c>
      <c r="C10" s="133">
        <v>28</v>
      </c>
      <c r="D10" s="133" t="str">
        <f t="shared" si="0"/>
        <v>1/2" Hex AM 9015 28</v>
      </c>
      <c r="E10" s="133">
        <v>7</v>
      </c>
      <c r="F10" s="133">
        <v>3</v>
      </c>
      <c r="I10" s="135" t="s">
        <v>255</v>
      </c>
      <c r="J10" s="136"/>
      <c r="K10" s="136"/>
    </row>
    <row r="11" spans="1:13" ht="14.25" customHeight="1" x14ac:dyDescent="0.3">
      <c r="A11" s="133" t="s">
        <v>117</v>
      </c>
      <c r="B11" s="133" t="s">
        <v>11</v>
      </c>
      <c r="C11" s="133">
        <v>30</v>
      </c>
      <c r="D11" s="133" t="str">
        <f t="shared" si="0"/>
        <v>1/2" Hex AM 9015 30</v>
      </c>
      <c r="E11" s="133">
        <v>7</v>
      </c>
      <c r="F11" s="133">
        <v>3</v>
      </c>
      <c r="I11" s="133" t="s">
        <v>11</v>
      </c>
      <c r="J11" s="136">
        <v>0</v>
      </c>
      <c r="K11" s="136">
        <v>12.98</v>
      </c>
      <c r="M11" s="133" t="s">
        <v>256</v>
      </c>
    </row>
    <row r="12" spans="1:13" ht="14.25" customHeight="1" x14ac:dyDescent="0.3">
      <c r="A12" s="133" t="s">
        <v>117</v>
      </c>
      <c r="B12" s="133" t="s">
        <v>11</v>
      </c>
      <c r="C12" s="133">
        <v>35</v>
      </c>
      <c r="D12" s="133" t="str">
        <f t="shared" si="0"/>
        <v>1/2" Hex AM 9015 35</v>
      </c>
      <c r="E12" s="133">
        <v>5</v>
      </c>
      <c r="F12" s="133">
        <v>1</v>
      </c>
      <c r="I12" s="133" t="s">
        <v>337</v>
      </c>
      <c r="J12" s="136">
        <v>0</v>
      </c>
      <c r="K12" s="136">
        <v>0</v>
      </c>
    </row>
    <row r="13" spans="1:13" ht="14.25" customHeight="1" x14ac:dyDescent="0.3">
      <c r="A13" s="133" t="s">
        <v>117</v>
      </c>
      <c r="B13" s="133" t="s">
        <v>11</v>
      </c>
      <c r="C13" s="133">
        <v>36</v>
      </c>
      <c r="D13" s="133" t="str">
        <f t="shared" si="0"/>
        <v>1/2" Hex AM 9015 36</v>
      </c>
      <c r="E13" s="133">
        <v>5</v>
      </c>
      <c r="F13" s="133">
        <v>1</v>
      </c>
      <c r="I13" s="133" t="s">
        <v>333</v>
      </c>
      <c r="J13" s="136">
        <v>0</v>
      </c>
      <c r="K13" s="136">
        <v>0</v>
      </c>
    </row>
    <row r="14" spans="1:13" ht="14.25" customHeight="1" x14ac:dyDescent="0.3">
      <c r="A14" s="133" t="s">
        <v>117</v>
      </c>
      <c r="B14" s="133" t="s">
        <v>11</v>
      </c>
      <c r="C14" s="133">
        <v>40</v>
      </c>
      <c r="D14" s="133" t="str">
        <f t="shared" si="0"/>
        <v>1/2" Hex AM 9015 40</v>
      </c>
      <c r="E14" s="133">
        <v>5</v>
      </c>
      <c r="F14" s="133">
        <v>1</v>
      </c>
      <c r="I14" s="133" t="s">
        <v>334</v>
      </c>
      <c r="J14" s="136">
        <v>0</v>
      </c>
      <c r="K14" s="136">
        <v>12.98</v>
      </c>
      <c r="M14" s="133" t="s">
        <v>256</v>
      </c>
    </row>
    <row r="15" spans="1:13" ht="14.25" customHeight="1" x14ac:dyDescent="0.3">
      <c r="A15" s="133" t="s">
        <v>117</v>
      </c>
      <c r="B15" s="133" t="s">
        <v>11</v>
      </c>
      <c r="C15" s="133">
        <v>45</v>
      </c>
      <c r="D15" s="133" t="str">
        <f t="shared" si="0"/>
        <v>1/2" Hex AM 9015 45</v>
      </c>
      <c r="E15" s="133">
        <v>5</v>
      </c>
      <c r="F15" s="133">
        <v>1</v>
      </c>
      <c r="I15" s="133" t="s">
        <v>257</v>
      </c>
      <c r="J15" s="136">
        <v>0</v>
      </c>
      <c r="K15" s="136">
        <v>12.98</v>
      </c>
      <c r="M15" s="133" t="s">
        <v>256</v>
      </c>
    </row>
    <row r="16" spans="1:13" ht="14.25" customHeight="1" x14ac:dyDescent="0.3">
      <c r="A16" s="133" t="s">
        <v>117</v>
      </c>
      <c r="B16" s="133" t="s">
        <v>11</v>
      </c>
      <c r="C16" s="133">
        <v>49</v>
      </c>
      <c r="D16" s="133" t="str">
        <f t="shared" si="0"/>
        <v>1/2" Hex AM 9015 49</v>
      </c>
      <c r="E16" s="133">
        <v>5</v>
      </c>
      <c r="F16" s="133">
        <v>1</v>
      </c>
      <c r="I16" s="133" t="s">
        <v>7</v>
      </c>
      <c r="J16" s="136">
        <v>4.99</v>
      </c>
      <c r="K16" s="136">
        <v>11.98</v>
      </c>
      <c r="L16" s="133" t="s">
        <v>258</v>
      </c>
      <c r="M16" s="133" t="s">
        <v>258</v>
      </c>
    </row>
    <row r="17" spans="1:13" ht="14.25" customHeight="1" x14ac:dyDescent="0.3">
      <c r="A17" s="133" t="s">
        <v>117</v>
      </c>
      <c r="B17" s="133" t="s">
        <v>11</v>
      </c>
      <c r="C17" s="133">
        <v>50</v>
      </c>
      <c r="D17" s="133" t="str">
        <f t="shared" si="0"/>
        <v>1/2" Hex AM 9015 50</v>
      </c>
      <c r="E17" s="133">
        <v>5</v>
      </c>
      <c r="F17" s="133">
        <v>1</v>
      </c>
      <c r="I17" s="133" t="s">
        <v>6</v>
      </c>
      <c r="J17" s="136">
        <v>4.99</v>
      </c>
      <c r="K17" s="136">
        <v>11.98</v>
      </c>
      <c r="L17" s="133" t="s">
        <v>258</v>
      </c>
      <c r="M17" s="133" t="s">
        <v>258</v>
      </c>
    </row>
    <row r="18" spans="1:13" ht="14.25" customHeight="1" x14ac:dyDescent="0.3">
      <c r="A18" s="133" t="s">
        <v>117</v>
      </c>
      <c r="B18" s="133" t="s">
        <v>11</v>
      </c>
      <c r="C18" s="133">
        <v>63</v>
      </c>
      <c r="D18" s="133" t="str">
        <f t="shared" si="0"/>
        <v>1/2" Hex AM 9015 63</v>
      </c>
      <c r="E18" s="133">
        <v>5</v>
      </c>
      <c r="F18" s="133">
        <v>1</v>
      </c>
      <c r="I18" s="133" t="s">
        <v>259</v>
      </c>
      <c r="J18" s="136">
        <v>0</v>
      </c>
      <c r="K18" s="136">
        <v>12.98</v>
      </c>
      <c r="M18" s="133" t="s">
        <v>256</v>
      </c>
    </row>
    <row r="19" spans="1:13" ht="14.25" customHeight="1" x14ac:dyDescent="0.3">
      <c r="A19" s="133" t="s">
        <v>117</v>
      </c>
      <c r="B19" s="133" t="s">
        <v>11</v>
      </c>
      <c r="C19" s="133">
        <v>70</v>
      </c>
      <c r="D19" s="133" t="str">
        <f t="shared" si="0"/>
        <v>1/2" Hex AM 9015 70</v>
      </c>
      <c r="E19" s="133">
        <v>4</v>
      </c>
      <c r="F19" s="133">
        <v>1</v>
      </c>
      <c r="J19" s="136"/>
      <c r="K19" s="136"/>
    </row>
    <row r="20" spans="1:13" ht="14.25" customHeight="1" x14ac:dyDescent="0.3">
      <c r="A20" s="133" t="s">
        <v>117</v>
      </c>
      <c r="B20" s="133" t="s">
        <v>11</v>
      </c>
      <c r="C20" s="133">
        <v>81</v>
      </c>
      <c r="D20" s="133" t="str">
        <f t="shared" si="0"/>
        <v>1/2" Hex AM 9015 81</v>
      </c>
      <c r="E20" s="133">
        <v>4</v>
      </c>
      <c r="F20" s="133">
        <v>1</v>
      </c>
      <c r="J20" s="136"/>
      <c r="K20" s="136"/>
    </row>
    <row r="21" spans="1:13" ht="14.25" customHeight="1" x14ac:dyDescent="0.3">
      <c r="A21" s="133" t="s">
        <v>117</v>
      </c>
      <c r="B21" s="133" t="s">
        <v>11</v>
      </c>
      <c r="C21" s="133">
        <v>90</v>
      </c>
      <c r="D21" s="133" t="str">
        <f t="shared" si="0"/>
        <v>1/2" Hex AM 9015 90</v>
      </c>
      <c r="E21" s="133">
        <v>3</v>
      </c>
      <c r="F21" s="133">
        <v>1</v>
      </c>
      <c r="I21" s="135" t="s">
        <v>260</v>
      </c>
      <c r="J21" s="136"/>
      <c r="K21" s="136"/>
    </row>
    <row r="22" spans="1:13" ht="14.25" customHeight="1" x14ac:dyDescent="0.3">
      <c r="A22" s="133" t="s">
        <v>117</v>
      </c>
      <c r="B22" s="133" t="s">
        <v>11</v>
      </c>
      <c r="C22" s="133">
        <v>100</v>
      </c>
      <c r="D22" s="133" t="str">
        <f t="shared" si="0"/>
        <v>1/2" Hex AM 9015 100</v>
      </c>
      <c r="E22" s="133">
        <v>3</v>
      </c>
      <c r="F22" s="133">
        <v>0</v>
      </c>
      <c r="I22" s="133" t="s">
        <v>261</v>
      </c>
      <c r="J22" s="136">
        <v>0</v>
      </c>
      <c r="K22" s="136">
        <v>0</v>
      </c>
    </row>
    <row r="23" spans="1:13" ht="14.25" customHeight="1" x14ac:dyDescent="0.3">
      <c r="A23" s="133" t="s">
        <v>117</v>
      </c>
      <c r="B23" s="133" t="s">
        <v>337</v>
      </c>
      <c r="C23" s="133">
        <v>9</v>
      </c>
      <c r="D23" s="133" t="str">
        <f t="shared" si="0"/>
        <v>1/2" Hex NeveRest 9</v>
      </c>
      <c r="E23" s="133">
        <v>10</v>
      </c>
      <c r="F23" s="133">
        <v>10</v>
      </c>
      <c r="I23" s="137" t="s">
        <v>262</v>
      </c>
      <c r="J23" s="136">
        <v>24.98</v>
      </c>
      <c r="K23" s="136">
        <v>16.98</v>
      </c>
      <c r="L23" s="133" t="s">
        <v>263</v>
      </c>
      <c r="M23" s="133" t="s">
        <v>264</v>
      </c>
    </row>
    <row r="24" spans="1:13" ht="14.25" customHeight="1" x14ac:dyDescent="0.3">
      <c r="A24" s="133" t="s">
        <v>117</v>
      </c>
      <c r="B24" s="133" t="s">
        <v>337</v>
      </c>
      <c r="C24" s="133">
        <v>12</v>
      </c>
      <c r="D24" s="133" t="str">
        <f t="shared" si="0"/>
        <v>1/2" Hex NeveRest 12</v>
      </c>
      <c r="E24" s="133">
        <v>10</v>
      </c>
      <c r="F24" s="133">
        <v>10</v>
      </c>
      <c r="I24" s="137" t="s">
        <v>265</v>
      </c>
      <c r="J24" s="136">
        <v>24.98</v>
      </c>
      <c r="K24" s="136">
        <v>16.98</v>
      </c>
      <c r="L24" s="133" t="s">
        <v>266</v>
      </c>
      <c r="M24" s="133" t="s">
        <v>267</v>
      </c>
    </row>
    <row r="25" spans="1:13" ht="14.25" customHeight="1" x14ac:dyDescent="0.3">
      <c r="A25" s="133" t="s">
        <v>117</v>
      </c>
      <c r="B25" s="133" t="s">
        <v>337</v>
      </c>
      <c r="C25" s="133">
        <v>15</v>
      </c>
      <c r="D25" s="133" t="str">
        <f t="shared" si="0"/>
        <v>1/2" Hex NeveRest 15</v>
      </c>
      <c r="E25" s="133">
        <v>10</v>
      </c>
      <c r="F25" s="133">
        <v>10</v>
      </c>
      <c r="I25" s="137" t="s">
        <v>268</v>
      </c>
      <c r="J25" s="136">
        <v>24.98</v>
      </c>
      <c r="K25" s="136">
        <v>16.98</v>
      </c>
      <c r="L25" s="133" t="s">
        <v>269</v>
      </c>
      <c r="M25" s="133" t="s">
        <v>270</v>
      </c>
    </row>
    <row r="26" spans="1:13" ht="14.25" customHeight="1" x14ac:dyDescent="0.3">
      <c r="A26" s="133" t="s">
        <v>117</v>
      </c>
      <c r="B26" s="133" t="s">
        <v>337</v>
      </c>
      <c r="C26" s="133">
        <v>16</v>
      </c>
      <c r="D26" s="133" t="str">
        <f t="shared" si="0"/>
        <v>1/2" Hex NeveRest 16</v>
      </c>
      <c r="E26" s="133">
        <v>10</v>
      </c>
      <c r="F26" s="133">
        <v>10</v>
      </c>
      <c r="I26" s="137" t="s">
        <v>271</v>
      </c>
      <c r="J26" s="136">
        <v>24.98</v>
      </c>
      <c r="K26" s="136">
        <v>16.98</v>
      </c>
      <c r="L26" s="133" t="s">
        <v>272</v>
      </c>
      <c r="M26" s="133" t="s">
        <v>273</v>
      </c>
    </row>
    <row r="27" spans="1:13" ht="14.25" customHeight="1" x14ac:dyDescent="0.3">
      <c r="A27" s="133" t="s">
        <v>117</v>
      </c>
      <c r="B27" s="133" t="s">
        <v>337</v>
      </c>
      <c r="C27" s="133">
        <v>20</v>
      </c>
      <c r="D27" s="133" t="str">
        <f t="shared" si="0"/>
        <v>1/2" Hex NeveRest 20</v>
      </c>
      <c r="E27" s="133">
        <v>10</v>
      </c>
      <c r="F27" s="133">
        <v>10</v>
      </c>
      <c r="I27" s="137" t="s">
        <v>274</v>
      </c>
      <c r="J27" s="136">
        <v>24.98</v>
      </c>
      <c r="K27" s="136">
        <v>16.98</v>
      </c>
      <c r="L27" s="133" t="s">
        <v>275</v>
      </c>
      <c r="M27" s="133" t="s">
        <v>276</v>
      </c>
    </row>
    <row r="28" spans="1:13" ht="14.25" customHeight="1" x14ac:dyDescent="0.3">
      <c r="A28" s="133" t="s">
        <v>117</v>
      </c>
      <c r="B28" s="133" t="s">
        <v>337</v>
      </c>
      <c r="C28" s="133">
        <v>21</v>
      </c>
      <c r="D28" s="133" t="str">
        <f t="shared" si="0"/>
        <v>1/2" Hex NeveRest 21</v>
      </c>
      <c r="E28" s="133">
        <v>9</v>
      </c>
      <c r="F28" s="133">
        <v>9</v>
      </c>
      <c r="I28" s="137" t="s">
        <v>277</v>
      </c>
      <c r="J28" s="136">
        <v>24.98</v>
      </c>
      <c r="K28" s="136">
        <v>16.98</v>
      </c>
      <c r="L28" s="133" t="s">
        <v>278</v>
      </c>
      <c r="M28" s="133" t="s">
        <v>279</v>
      </c>
    </row>
    <row r="29" spans="1:13" ht="14.25" customHeight="1" x14ac:dyDescent="0.3">
      <c r="A29" s="133" t="s">
        <v>117</v>
      </c>
      <c r="B29" s="133" t="s">
        <v>337</v>
      </c>
      <c r="C29" s="133">
        <v>25</v>
      </c>
      <c r="D29" s="133" t="str">
        <f t="shared" si="0"/>
        <v>1/2" Hex NeveRest 25</v>
      </c>
      <c r="E29" s="133">
        <v>7</v>
      </c>
      <c r="F29" s="133">
        <v>7</v>
      </c>
      <c r="J29" s="136"/>
      <c r="K29" s="136"/>
    </row>
    <row r="30" spans="1:13" ht="14.25" customHeight="1" x14ac:dyDescent="0.3">
      <c r="A30" s="133" t="s">
        <v>117</v>
      </c>
      <c r="B30" s="133" t="s">
        <v>337</v>
      </c>
      <c r="C30" s="133">
        <v>27</v>
      </c>
      <c r="D30" s="133" t="str">
        <f t="shared" si="0"/>
        <v>1/2" Hex NeveRest 27</v>
      </c>
      <c r="E30" s="133">
        <v>7</v>
      </c>
      <c r="F30" s="133">
        <v>7</v>
      </c>
      <c r="J30" s="136"/>
      <c r="K30" s="136"/>
    </row>
    <row r="31" spans="1:13" ht="14.25" customHeight="1" x14ac:dyDescent="0.3">
      <c r="A31" s="133" t="s">
        <v>117</v>
      </c>
      <c r="B31" s="133" t="s">
        <v>337</v>
      </c>
      <c r="C31" s="133">
        <v>28</v>
      </c>
      <c r="D31" s="133" t="str">
        <f t="shared" si="0"/>
        <v>1/2" Hex NeveRest 28</v>
      </c>
      <c r="E31" s="133">
        <v>7</v>
      </c>
      <c r="F31" s="133">
        <v>7</v>
      </c>
      <c r="I31" s="135" t="s">
        <v>280</v>
      </c>
      <c r="J31" s="136"/>
      <c r="K31" s="136"/>
    </row>
    <row r="32" spans="1:13" ht="14.25" customHeight="1" x14ac:dyDescent="0.3">
      <c r="A32" s="133" t="s">
        <v>117</v>
      </c>
      <c r="B32" s="133" t="s">
        <v>337</v>
      </c>
      <c r="C32" s="133">
        <v>30</v>
      </c>
      <c r="D32" s="133" t="str">
        <f t="shared" si="0"/>
        <v>1/2" Hex NeveRest 30</v>
      </c>
      <c r="E32" s="133">
        <v>5</v>
      </c>
      <c r="F32" s="133">
        <v>5</v>
      </c>
      <c r="I32" s="133" t="s">
        <v>261</v>
      </c>
      <c r="J32" s="136">
        <v>0</v>
      </c>
      <c r="K32" s="136"/>
    </row>
    <row r="33" spans="1:14" ht="14.25" customHeight="1" x14ac:dyDescent="0.3">
      <c r="A33" s="133" t="s">
        <v>117</v>
      </c>
      <c r="B33" s="133" t="s">
        <v>337</v>
      </c>
      <c r="C33" s="133">
        <v>35</v>
      </c>
      <c r="D33" s="133" t="str">
        <f t="shared" si="0"/>
        <v>1/2" Hex NeveRest 35</v>
      </c>
      <c r="E33" s="133">
        <v>5</v>
      </c>
      <c r="F33" s="133">
        <v>5</v>
      </c>
      <c r="I33" s="133" t="s">
        <v>281</v>
      </c>
      <c r="J33" s="136">
        <v>41.97</v>
      </c>
      <c r="K33" s="136"/>
      <c r="L33" s="133" t="s">
        <v>282</v>
      </c>
      <c r="M33" s="133" t="s">
        <v>282</v>
      </c>
      <c r="N33" s="133" t="s">
        <v>282</v>
      </c>
    </row>
    <row r="34" spans="1:14" ht="14.25" customHeight="1" x14ac:dyDescent="0.3">
      <c r="A34" s="133" t="s">
        <v>117</v>
      </c>
      <c r="B34" s="133" t="s">
        <v>337</v>
      </c>
      <c r="C34" s="133">
        <v>36</v>
      </c>
      <c r="D34" s="133" t="str">
        <f t="shared" si="0"/>
        <v>1/2" Hex NeveRest 36</v>
      </c>
      <c r="E34" s="133">
        <v>5</v>
      </c>
      <c r="F34" s="133">
        <v>5</v>
      </c>
      <c r="I34" s="133" t="s">
        <v>283</v>
      </c>
      <c r="J34" s="136">
        <v>42.97</v>
      </c>
      <c r="K34" s="136"/>
      <c r="L34" s="133" t="s">
        <v>284</v>
      </c>
      <c r="M34" s="133" t="s">
        <v>285</v>
      </c>
      <c r="N34" s="133" t="s">
        <v>286</v>
      </c>
    </row>
    <row r="35" spans="1:14" ht="14.25" customHeight="1" x14ac:dyDescent="0.3">
      <c r="A35" s="133" t="s">
        <v>117</v>
      </c>
      <c r="B35" s="133" t="s">
        <v>337</v>
      </c>
      <c r="C35" s="133">
        <v>40</v>
      </c>
      <c r="D35" s="133" t="str">
        <f t="shared" si="0"/>
        <v>1/2" Hex NeveRest 40</v>
      </c>
      <c r="E35" s="133">
        <v>5</v>
      </c>
      <c r="F35" s="133">
        <v>5</v>
      </c>
      <c r="I35" s="133" t="s">
        <v>287</v>
      </c>
      <c r="J35" s="136">
        <v>42.97</v>
      </c>
      <c r="K35" s="136"/>
      <c r="L35" s="133" t="s">
        <v>288</v>
      </c>
      <c r="M35" s="133" t="s">
        <v>289</v>
      </c>
      <c r="N35" s="133" t="s">
        <v>290</v>
      </c>
    </row>
    <row r="36" spans="1:14" ht="14.25" customHeight="1" x14ac:dyDescent="0.3">
      <c r="A36" s="133" t="s">
        <v>117</v>
      </c>
      <c r="B36" s="133" t="s">
        <v>337</v>
      </c>
      <c r="C36" s="133">
        <v>45</v>
      </c>
      <c r="D36" s="133" t="str">
        <f t="shared" si="0"/>
        <v>1/2" Hex NeveRest 45</v>
      </c>
      <c r="E36" s="133">
        <v>5</v>
      </c>
      <c r="F36" s="133">
        <v>4</v>
      </c>
      <c r="I36" s="133" t="s">
        <v>291</v>
      </c>
      <c r="J36" s="136">
        <v>56.97</v>
      </c>
      <c r="K36" s="136"/>
      <c r="L36" s="133" t="s">
        <v>292</v>
      </c>
      <c r="M36" s="133" t="s">
        <v>292</v>
      </c>
      <c r="N36" s="133" t="s">
        <v>292</v>
      </c>
    </row>
    <row r="37" spans="1:14" ht="14.25" customHeight="1" x14ac:dyDescent="0.3">
      <c r="A37" s="133" t="s">
        <v>117</v>
      </c>
      <c r="B37" s="133" t="s">
        <v>337</v>
      </c>
      <c r="C37" s="133">
        <v>49</v>
      </c>
      <c r="D37" s="133" t="str">
        <f t="shared" si="0"/>
        <v>1/2" Hex NeveRest 49</v>
      </c>
      <c r="E37" s="133">
        <v>5</v>
      </c>
      <c r="F37" s="133">
        <v>4</v>
      </c>
      <c r="I37" s="133" t="s">
        <v>293</v>
      </c>
      <c r="J37" s="136">
        <v>57.97</v>
      </c>
      <c r="K37" s="136"/>
      <c r="L37" s="133" t="s">
        <v>294</v>
      </c>
      <c r="M37" s="133" t="s">
        <v>295</v>
      </c>
      <c r="N37" s="133" t="s">
        <v>296</v>
      </c>
    </row>
    <row r="38" spans="1:14" ht="14.25" customHeight="1" x14ac:dyDescent="0.3">
      <c r="A38" s="133" t="s">
        <v>117</v>
      </c>
      <c r="B38" s="133" t="s">
        <v>337</v>
      </c>
      <c r="C38" s="133">
        <v>50</v>
      </c>
      <c r="D38" s="133" t="str">
        <f t="shared" si="0"/>
        <v>1/2" Hex NeveRest 50</v>
      </c>
      <c r="E38" s="133">
        <v>5</v>
      </c>
      <c r="F38" s="133">
        <v>4</v>
      </c>
      <c r="I38" s="133" t="s">
        <v>297</v>
      </c>
      <c r="J38" s="136">
        <v>57.97</v>
      </c>
      <c r="K38" s="136"/>
      <c r="L38" s="133" t="s">
        <v>298</v>
      </c>
      <c r="M38" s="133" t="s">
        <v>299</v>
      </c>
      <c r="N38" s="133" t="s">
        <v>300</v>
      </c>
    </row>
    <row r="39" spans="1:14" ht="14.25" customHeight="1" x14ac:dyDescent="0.3">
      <c r="A39" s="133" t="s">
        <v>117</v>
      </c>
      <c r="B39" s="133" t="s">
        <v>337</v>
      </c>
      <c r="C39" s="133">
        <v>63</v>
      </c>
      <c r="D39" s="133" t="str">
        <f t="shared" si="0"/>
        <v>1/2" Hex NeveRest 63</v>
      </c>
      <c r="E39" s="133">
        <v>4</v>
      </c>
      <c r="F39" s="133">
        <v>3</v>
      </c>
      <c r="I39" s="133" t="s">
        <v>280</v>
      </c>
      <c r="J39" s="136">
        <v>14.98</v>
      </c>
      <c r="K39" s="136"/>
      <c r="L39" s="133" t="s">
        <v>301</v>
      </c>
    </row>
    <row r="40" spans="1:14" ht="14.25" customHeight="1" x14ac:dyDescent="0.3">
      <c r="A40" s="133" t="s">
        <v>117</v>
      </c>
      <c r="B40" s="133" t="s">
        <v>337</v>
      </c>
      <c r="C40" s="133">
        <v>70</v>
      </c>
      <c r="D40" s="133" t="str">
        <f t="shared" si="0"/>
        <v>1/2" Hex NeveRest 70</v>
      </c>
      <c r="E40" s="133">
        <v>4</v>
      </c>
      <c r="F40" s="133">
        <v>1</v>
      </c>
      <c r="J40" s="136"/>
      <c r="K40" s="136"/>
    </row>
    <row r="41" spans="1:14" ht="14.25" customHeight="1" x14ac:dyDescent="0.3">
      <c r="A41" s="133" t="s">
        <v>117</v>
      </c>
      <c r="B41" s="133" t="s">
        <v>337</v>
      </c>
      <c r="C41" s="133">
        <v>81</v>
      </c>
      <c r="D41" s="133" t="str">
        <f t="shared" si="0"/>
        <v>1/2" Hex NeveRest 81</v>
      </c>
      <c r="E41" s="133">
        <v>3</v>
      </c>
      <c r="F41" s="133">
        <v>1</v>
      </c>
      <c r="J41" s="136"/>
      <c r="K41" s="136"/>
    </row>
    <row r="42" spans="1:14" ht="14.25" customHeight="1" x14ac:dyDescent="0.3">
      <c r="A42" s="133" t="s">
        <v>117</v>
      </c>
      <c r="B42" s="133" t="s">
        <v>337</v>
      </c>
      <c r="C42" s="133">
        <v>90</v>
      </c>
      <c r="D42" s="133" t="str">
        <f t="shared" si="0"/>
        <v>1/2" Hex NeveRest 90</v>
      </c>
      <c r="E42" s="133">
        <v>3</v>
      </c>
      <c r="F42" s="133">
        <v>1</v>
      </c>
      <c r="I42" s="135" t="s">
        <v>302</v>
      </c>
      <c r="J42" s="136"/>
      <c r="K42" s="136"/>
    </row>
    <row r="43" spans="1:14" ht="14.25" customHeight="1" x14ac:dyDescent="0.3">
      <c r="A43" s="133" t="s">
        <v>117</v>
      </c>
      <c r="B43" s="133" t="s">
        <v>337</v>
      </c>
      <c r="C43" s="133">
        <v>100</v>
      </c>
      <c r="D43" s="133" t="str">
        <f t="shared" si="0"/>
        <v>1/2" Hex NeveRest 100</v>
      </c>
      <c r="E43" s="133">
        <v>3</v>
      </c>
      <c r="F43" s="133">
        <v>1</v>
      </c>
      <c r="I43" s="133" t="s">
        <v>60</v>
      </c>
      <c r="J43" s="136">
        <v>67.95</v>
      </c>
      <c r="K43" s="136"/>
      <c r="L43" s="133" t="s">
        <v>303</v>
      </c>
      <c r="M43" s="133" t="s">
        <v>304</v>
      </c>
      <c r="N43" s="133" t="s">
        <v>305</v>
      </c>
    </row>
    <row r="44" spans="1:14" ht="14.25" customHeight="1" x14ac:dyDescent="0.3">
      <c r="A44" s="133" t="s">
        <v>117</v>
      </c>
      <c r="B44" s="133" t="s">
        <v>333</v>
      </c>
      <c r="C44" s="133">
        <v>9</v>
      </c>
      <c r="D44" s="133" t="str">
        <f t="shared" si="0"/>
        <v>1/2" Hex BB RS-550 9</v>
      </c>
      <c r="E44" s="133">
        <v>10</v>
      </c>
      <c r="F44" s="133">
        <v>10</v>
      </c>
      <c r="I44" s="133" t="s">
        <v>306</v>
      </c>
      <c r="J44" s="136">
        <v>0</v>
      </c>
      <c r="K44" s="136"/>
    </row>
    <row r="45" spans="1:14" ht="14.25" customHeight="1" x14ac:dyDescent="0.3">
      <c r="A45" s="133" t="s">
        <v>117</v>
      </c>
      <c r="B45" s="133" t="s">
        <v>333</v>
      </c>
      <c r="C45" s="133">
        <v>12</v>
      </c>
      <c r="D45" s="133" t="str">
        <f t="shared" si="0"/>
        <v>1/2" Hex BB RS-550 12</v>
      </c>
      <c r="E45" s="133">
        <v>10</v>
      </c>
      <c r="F45" s="133">
        <v>7</v>
      </c>
      <c r="J45" s="136"/>
      <c r="K45" s="136"/>
    </row>
    <row r="46" spans="1:14" ht="14.25" customHeight="1" x14ac:dyDescent="0.3">
      <c r="A46" s="133" t="s">
        <v>117</v>
      </c>
      <c r="B46" s="133" t="s">
        <v>333</v>
      </c>
      <c r="C46" s="133">
        <v>15</v>
      </c>
      <c r="D46" s="133" t="str">
        <f t="shared" si="0"/>
        <v>1/2" Hex BB RS-550 15</v>
      </c>
      <c r="E46" s="133">
        <v>10</v>
      </c>
      <c r="F46" s="133">
        <v>5</v>
      </c>
      <c r="J46" s="136"/>
      <c r="K46" s="136"/>
    </row>
    <row r="47" spans="1:14" ht="14.25" customHeight="1" x14ac:dyDescent="0.3">
      <c r="A47" s="133" t="s">
        <v>117</v>
      </c>
      <c r="B47" s="133" t="s">
        <v>333</v>
      </c>
      <c r="C47" s="133">
        <v>16</v>
      </c>
      <c r="D47" s="133" t="str">
        <f t="shared" si="0"/>
        <v>1/2" Hex BB RS-550 16</v>
      </c>
      <c r="E47" s="133">
        <v>10</v>
      </c>
      <c r="F47" s="133">
        <v>5</v>
      </c>
      <c r="I47" s="135" t="s">
        <v>307</v>
      </c>
      <c r="J47" s="136"/>
      <c r="K47" s="136"/>
    </row>
    <row r="48" spans="1:14" ht="14.25" customHeight="1" x14ac:dyDescent="0.3">
      <c r="A48" s="133" t="s">
        <v>117</v>
      </c>
      <c r="B48" s="133" t="s">
        <v>333</v>
      </c>
      <c r="C48" s="133">
        <v>20</v>
      </c>
      <c r="D48" s="133" t="str">
        <f t="shared" si="0"/>
        <v>1/2" Hex BB RS-550 20</v>
      </c>
      <c r="E48" s="133">
        <v>10</v>
      </c>
      <c r="F48" s="133">
        <v>4</v>
      </c>
      <c r="I48" s="133" t="s">
        <v>60</v>
      </c>
      <c r="J48" s="136">
        <v>84.99</v>
      </c>
      <c r="K48" s="136"/>
      <c r="L48" s="133" t="s">
        <v>308</v>
      </c>
    </row>
    <row r="49" spans="1:12" ht="14.25" customHeight="1" x14ac:dyDescent="0.3">
      <c r="A49" s="133" t="s">
        <v>117</v>
      </c>
      <c r="B49" s="133" t="s">
        <v>333</v>
      </c>
      <c r="C49" s="133">
        <v>21</v>
      </c>
      <c r="D49" s="133" t="str">
        <f t="shared" si="0"/>
        <v>1/2" Hex BB RS-550 21</v>
      </c>
      <c r="E49" s="133">
        <v>9</v>
      </c>
      <c r="F49" s="133">
        <v>4</v>
      </c>
      <c r="I49" s="133" t="s">
        <v>306</v>
      </c>
      <c r="J49" s="136">
        <v>0</v>
      </c>
      <c r="K49" s="136"/>
    </row>
    <row r="50" spans="1:12" ht="14.25" customHeight="1" x14ac:dyDescent="0.3">
      <c r="A50" s="133" t="s">
        <v>117</v>
      </c>
      <c r="B50" s="133" t="s">
        <v>333</v>
      </c>
      <c r="C50" s="133">
        <v>25</v>
      </c>
      <c r="D50" s="133" t="str">
        <f t="shared" si="0"/>
        <v>1/2" Hex BB RS-550 25</v>
      </c>
      <c r="E50" s="133">
        <v>7</v>
      </c>
      <c r="F50" s="133">
        <v>3</v>
      </c>
      <c r="J50" s="136"/>
      <c r="K50" s="136"/>
    </row>
    <row r="51" spans="1:12" ht="14.25" customHeight="1" x14ac:dyDescent="0.3">
      <c r="A51" s="133" t="s">
        <v>117</v>
      </c>
      <c r="B51" s="133" t="s">
        <v>333</v>
      </c>
      <c r="C51" s="133">
        <v>27</v>
      </c>
      <c r="D51" s="133" t="str">
        <f t="shared" si="0"/>
        <v>1/2" Hex BB RS-550 27</v>
      </c>
      <c r="E51" s="133">
        <v>7</v>
      </c>
      <c r="F51" s="133">
        <v>3</v>
      </c>
      <c r="J51" s="136"/>
      <c r="K51" s="136"/>
    </row>
    <row r="52" spans="1:12" ht="14.25" customHeight="1" x14ac:dyDescent="0.3">
      <c r="A52" s="133" t="s">
        <v>117</v>
      </c>
      <c r="B52" s="133" t="s">
        <v>333</v>
      </c>
      <c r="C52" s="133">
        <v>28</v>
      </c>
      <c r="D52" s="133" t="str">
        <f t="shared" si="0"/>
        <v>1/2" Hex BB RS-550 28</v>
      </c>
      <c r="E52" s="133">
        <v>7</v>
      </c>
      <c r="F52" s="133">
        <v>3</v>
      </c>
      <c r="I52" s="135" t="s">
        <v>309</v>
      </c>
      <c r="J52" s="136"/>
      <c r="K52" s="136"/>
    </row>
    <row r="53" spans="1:12" ht="14.25" customHeight="1" x14ac:dyDescent="0.3">
      <c r="A53" s="133" t="s">
        <v>117</v>
      </c>
      <c r="B53" s="133" t="s">
        <v>333</v>
      </c>
      <c r="C53" s="133">
        <v>30</v>
      </c>
      <c r="D53" s="133" t="str">
        <f t="shared" si="0"/>
        <v>1/2" Hex BB RS-550 30</v>
      </c>
      <c r="E53" s="133">
        <v>5</v>
      </c>
      <c r="F53" s="133">
        <v>3</v>
      </c>
      <c r="I53" s="133" t="s">
        <v>60</v>
      </c>
      <c r="J53" s="136">
        <v>14.99</v>
      </c>
      <c r="K53" s="136"/>
      <c r="L53" s="133" t="s">
        <v>310</v>
      </c>
    </row>
    <row r="54" spans="1:12" ht="14.25" customHeight="1" x14ac:dyDescent="0.3">
      <c r="A54" s="133" t="s">
        <v>117</v>
      </c>
      <c r="B54" s="133" t="s">
        <v>333</v>
      </c>
      <c r="C54" s="133">
        <v>35</v>
      </c>
      <c r="D54" s="133" t="str">
        <f t="shared" si="0"/>
        <v>1/2" Hex BB RS-550 35</v>
      </c>
      <c r="E54" s="133">
        <v>5</v>
      </c>
      <c r="F54" s="133">
        <v>1</v>
      </c>
      <c r="I54" s="133" t="s">
        <v>306</v>
      </c>
      <c r="J54" s="136">
        <v>0</v>
      </c>
      <c r="K54" s="136"/>
    </row>
    <row r="55" spans="1:12" ht="14.25" customHeight="1" x14ac:dyDescent="0.3">
      <c r="A55" s="133" t="s">
        <v>117</v>
      </c>
      <c r="B55" s="133" t="s">
        <v>333</v>
      </c>
      <c r="C55" s="133">
        <v>36</v>
      </c>
      <c r="D55" s="133" t="str">
        <f t="shared" si="0"/>
        <v>1/2" Hex BB RS-550 36</v>
      </c>
      <c r="E55" s="133">
        <v>5</v>
      </c>
      <c r="F55" s="133">
        <v>1</v>
      </c>
      <c r="J55" s="136"/>
      <c r="K55" s="136"/>
    </row>
    <row r="56" spans="1:12" ht="14.25" customHeight="1" x14ac:dyDescent="0.3">
      <c r="A56" s="133" t="s">
        <v>117</v>
      </c>
      <c r="B56" s="133" t="s">
        <v>333</v>
      </c>
      <c r="C56" s="133">
        <v>40</v>
      </c>
      <c r="D56" s="133" t="str">
        <f t="shared" si="0"/>
        <v>1/2" Hex BB RS-550 40</v>
      </c>
      <c r="E56" s="133">
        <v>5</v>
      </c>
      <c r="F56" s="133">
        <v>5</v>
      </c>
      <c r="I56" s="135" t="s">
        <v>311</v>
      </c>
      <c r="J56" s="136"/>
      <c r="K56" s="136"/>
    </row>
    <row r="57" spans="1:12" ht="14.25" customHeight="1" x14ac:dyDescent="0.3">
      <c r="A57" s="133" t="s">
        <v>117</v>
      </c>
      <c r="B57" s="133" t="s">
        <v>333</v>
      </c>
      <c r="C57" s="133">
        <v>45</v>
      </c>
      <c r="D57" s="133" t="str">
        <f t="shared" si="0"/>
        <v>1/2" Hex BB RS-550 45</v>
      </c>
      <c r="E57" s="133">
        <v>5</v>
      </c>
      <c r="F57" s="133">
        <v>4</v>
      </c>
      <c r="I57" s="133" t="s">
        <v>60</v>
      </c>
      <c r="J57" s="136">
        <v>49.99</v>
      </c>
      <c r="K57" s="136"/>
      <c r="L57" s="133" t="s">
        <v>312</v>
      </c>
    </row>
    <row r="58" spans="1:12" ht="14.25" customHeight="1" x14ac:dyDescent="0.3">
      <c r="A58" s="133" t="s">
        <v>117</v>
      </c>
      <c r="B58" s="133" t="s">
        <v>333</v>
      </c>
      <c r="C58" s="133">
        <v>49</v>
      </c>
      <c r="D58" s="133" t="str">
        <f t="shared" si="0"/>
        <v>1/2" Hex BB RS-550 49</v>
      </c>
      <c r="E58" s="133">
        <v>5</v>
      </c>
      <c r="F58" s="133">
        <v>4</v>
      </c>
      <c r="I58" s="133" t="s">
        <v>306</v>
      </c>
      <c r="J58" s="136">
        <v>0</v>
      </c>
      <c r="K58" s="136"/>
    </row>
    <row r="59" spans="1:12" ht="14.25" customHeight="1" x14ac:dyDescent="0.3">
      <c r="A59" s="133" t="s">
        <v>117</v>
      </c>
      <c r="B59" s="133" t="s">
        <v>333</v>
      </c>
      <c r="C59" s="133">
        <v>50</v>
      </c>
      <c r="D59" s="133" t="str">
        <f t="shared" si="0"/>
        <v>1/2" Hex BB RS-550 50</v>
      </c>
      <c r="E59" s="133">
        <v>5</v>
      </c>
      <c r="F59" s="133">
        <v>1</v>
      </c>
    </row>
    <row r="60" spans="1:12" ht="14.25" customHeight="1" x14ac:dyDescent="0.3">
      <c r="A60" s="133" t="s">
        <v>117</v>
      </c>
      <c r="B60" s="133" t="s">
        <v>333</v>
      </c>
      <c r="C60" s="133">
        <v>63</v>
      </c>
      <c r="D60" s="133" t="str">
        <f t="shared" si="0"/>
        <v>1/2" Hex BB RS-550 63</v>
      </c>
      <c r="E60" s="133">
        <v>4</v>
      </c>
      <c r="F60" s="133">
        <v>1</v>
      </c>
    </row>
    <row r="61" spans="1:12" ht="14.25" customHeight="1" x14ac:dyDescent="0.3">
      <c r="A61" s="133" t="s">
        <v>117</v>
      </c>
      <c r="B61" s="133" t="s">
        <v>333</v>
      </c>
      <c r="C61" s="133">
        <v>70</v>
      </c>
      <c r="D61" s="133" t="str">
        <f t="shared" si="0"/>
        <v>1/2" Hex BB RS-550 70</v>
      </c>
      <c r="E61" s="133">
        <v>4</v>
      </c>
      <c r="F61" s="133">
        <v>1</v>
      </c>
    </row>
    <row r="62" spans="1:12" ht="14.25" customHeight="1" x14ac:dyDescent="0.3">
      <c r="A62" s="133" t="s">
        <v>117</v>
      </c>
      <c r="B62" s="133" t="s">
        <v>333</v>
      </c>
      <c r="C62" s="133">
        <v>81</v>
      </c>
      <c r="D62" s="133" t="str">
        <f t="shared" si="0"/>
        <v>1/2" Hex BB RS-550 81</v>
      </c>
      <c r="E62" s="133">
        <v>3</v>
      </c>
      <c r="F62" s="133">
        <v>1</v>
      </c>
    </row>
    <row r="63" spans="1:12" ht="14.25" customHeight="1" x14ac:dyDescent="0.3">
      <c r="A63" s="133" t="s">
        <v>117</v>
      </c>
      <c r="B63" s="133" t="s">
        <v>333</v>
      </c>
      <c r="C63" s="133">
        <v>90</v>
      </c>
      <c r="D63" s="133" t="str">
        <f t="shared" si="0"/>
        <v>1/2" Hex BB RS-550 90</v>
      </c>
      <c r="E63" s="133">
        <v>3</v>
      </c>
      <c r="F63" s="133">
        <v>1</v>
      </c>
    </row>
    <row r="64" spans="1:12" ht="14.25" customHeight="1" x14ac:dyDescent="0.3">
      <c r="A64" s="133" t="s">
        <v>117</v>
      </c>
      <c r="B64" s="133" t="s">
        <v>333</v>
      </c>
      <c r="C64" s="133">
        <v>100</v>
      </c>
      <c r="D64" s="133" t="str">
        <f t="shared" si="0"/>
        <v>1/2" Hex BB RS-550 100</v>
      </c>
      <c r="E64" s="133">
        <v>3</v>
      </c>
      <c r="F64" s="133">
        <v>0</v>
      </c>
    </row>
    <row r="65" spans="1:6" ht="14.25" customHeight="1" x14ac:dyDescent="0.3">
      <c r="A65" s="133" t="s">
        <v>117</v>
      </c>
      <c r="B65" s="133" t="s">
        <v>334</v>
      </c>
      <c r="C65" s="133">
        <v>9</v>
      </c>
      <c r="D65" s="133" t="str">
        <f t="shared" si="0"/>
        <v>1/2" Hex BB RS-775 9</v>
      </c>
      <c r="E65" s="133">
        <v>10</v>
      </c>
      <c r="F65" s="133">
        <v>10</v>
      </c>
    </row>
    <row r="66" spans="1:6" ht="14.25" customHeight="1" x14ac:dyDescent="0.3">
      <c r="A66" s="133" t="s">
        <v>117</v>
      </c>
      <c r="B66" s="133" t="s">
        <v>334</v>
      </c>
      <c r="C66" s="133">
        <v>12</v>
      </c>
      <c r="D66" s="133" t="str">
        <f t="shared" si="0"/>
        <v>1/2" Hex BB RS-775 12</v>
      </c>
      <c r="E66" s="133">
        <v>10</v>
      </c>
      <c r="F66" s="133">
        <v>10</v>
      </c>
    </row>
    <row r="67" spans="1:6" ht="14.25" customHeight="1" x14ac:dyDescent="0.3">
      <c r="A67" s="133" t="s">
        <v>117</v>
      </c>
      <c r="B67" s="133" t="s">
        <v>334</v>
      </c>
      <c r="C67" s="133">
        <v>15</v>
      </c>
      <c r="D67" s="133" t="str">
        <f t="shared" si="0"/>
        <v>1/2" Hex BB RS-775 15</v>
      </c>
      <c r="E67" s="133">
        <v>7</v>
      </c>
      <c r="F67" s="133">
        <v>7</v>
      </c>
    </row>
    <row r="68" spans="1:6" ht="14.25" customHeight="1" x14ac:dyDescent="0.3">
      <c r="A68" s="133" t="s">
        <v>117</v>
      </c>
      <c r="B68" s="133" t="s">
        <v>334</v>
      </c>
      <c r="C68" s="133">
        <v>16</v>
      </c>
      <c r="D68" s="133" t="str">
        <f t="shared" si="0"/>
        <v>1/2" Hex BB RS-775 16</v>
      </c>
      <c r="E68" s="133">
        <v>7</v>
      </c>
      <c r="F68" s="133">
        <v>7</v>
      </c>
    </row>
    <row r="69" spans="1:6" ht="14.25" customHeight="1" x14ac:dyDescent="0.3">
      <c r="A69" s="133" t="s">
        <v>117</v>
      </c>
      <c r="B69" s="133" t="s">
        <v>334</v>
      </c>
      <c r="C69" s="133">
        <v>20</v>
      </c>
      <c r="D69" s="133" t="str">
        <f t="shared" si="0"/>
        <v>1/2" Hex BB RS-775 20</v>
      </c>
      <c r="E69" s="133">
        <v>5</v>
      </c>
      <c r="F69" s="133">
        <v>5</v>
      </c>
    </row>
    <row r="70" spans="1:6" ht="14.25" customHeight="1" x14ac:dyDescent="0.3">
      <c r="A70" s="133" t="s">
        <v>117</v>
      </c>
      <c r="B70" s="133" t="s">
        <v>334</v>
      </c>
      <c r="C70" s="133">
        <v>21</v>
      </c>
      <c r="D70" s="133" t="str">
        <f t="shared" si="0"/>
        <v>1/2" Hex BB RS-775 21</v>
      </c>
      <c r="E70" s="133">
        <v>5</v>
      </c>
      <c r="F70" s="133">
        <v>5</v>
      </c>
    </row>
    <row r="71" spans="1:6" ht="14.25" customHeight="1" x14ac:dyDescent="0.3">
      <c r="A71" s="133" t="s">
        <v>117</v>
      </c>
      <c r="B71" s="133" t="s">
        <v>334</v>
      </c>
      <c r="C71" s="133">
        <v>25</v>
      </c>
      <c r="D71" s="133" t="str">
        <f t="shared" si="0"/>
        <v>1/2" Hex BB RS-775 25</v>
      </c>
      <c r="E71" s="133">
        <v>5</v>
      </c>
      <c r="F71" s="133">
        <v>5</v>
      </c>
    </row>
    <row r="72" spans="1:6" ht="14.25" customHeight="1" x14ac:dyDescent="0.3">
      <c r="A72" s="133" t="s">
        <v>117</v>
      </c>
      <c r="B72" s="133" t="s">
        <v>334</v>
      </c>
      <c r="C72" s="133">
        <v>27</v>
      </c>
      <c r="D72" s="133" t="str">
        <f t="shared" si="0"/>
        <v>1/2" Hex BB RS-775 27</v>
      </c>
      <c r="E72" s="133">
        <v>5</v>
      </c>
      <c r="F72" s="133">
        <v>4</v>
      </c>
    </row>
    <row r="73" spans="1:6" ht="14.25" customHeight="1" x14ac:dyDescent="0.3">
      <c r="A73" s="133" t="s">
        <v>117</v>
      </c>
      <c r="B73" s="133" t="s">
        <v>334</v>
      </c>
      <c r="C73" s="133">
        <v>28</v>
      </c>
      <c r="D73" s="133" t="str">
        <f t="shared" si="0"/>
        <v>1/2" Hex BB RS-775 28</v>
      </c>
      <c r="E73" s="133">
        <v>5</v>
      </c>
      <c r="F73" s="133">
        <v>4</v>
      </c>
    </row>
    <row r="74" spans="1:6" ht="14.25" customHeight="1" x14ac:dyDescent="0.3">
      <c r="A74" s="133" t="s">
        <v>117</v>
      </c>
      <c r="B74" s="133" t="s">
        <v>334</v>
      </c>
      <c r="C74" s="133">
        <v>30</v>
      </c>
      <c r="D74" s="133" t="str">
        <f t="shared" si="0"/>
        <v>1/2" Hex BB RS-775 30</v>
      </c>
      <c r="E74" s="133">
        <v>5</v>
      </c>
      <c r="F74" s="133">
        <v>4</v>
      </c>
    </row>
    <row r="75" spans="1:6" ht="14.25" customHeight="1" x14ac:dyDescent="0.3">
      <c r="A75" s="133" t="s">
        <v>117</v>
      </c>
      <c r="B75" s="133" t="s">
        <v>334</v>
      </c>
      <c r="C75" s="133">
        <v>35</v>
      </c>
      <c r="D75" s="133" t="str">
        <f t="shared" si="0"/>
        <v>1/2" Hex BB RS-775 35</v>
      </c>
      <c r="E75" s="133">
        <v>5</v>
      </c>
      <c r="F75" s="133">
        <v>3</v>
      </c>
    </row>
    <row r="76" spans="1:6" ht="14.25" customHeight="1" x14ac:dyDescent="0.3">
      <c r="A76" s="133" t="s">
        <v>117</v>
      </c>
      <c r="B76" s="133" t="s">
        <v>334</v>
      </c>
      <c r="C76" s="133">
        <v>36</v>
      </c>
      <c r="D76" s="133" t="str">
        <f t="shared" si="0"/>
        <v>1/2" Hex BB RS-775 36</v>
      </c>
      <c r="E76" s="133">
        <v>5</v>
      </c>
      <c r="F76" s="133">
        <v>3</v>
      </c>
    </row>
    <row r="77" spans="1:6" ht="14.25" customHeight="1" x14ac:dyDescent="0.3">
      <c r="A77" s="133" t="s">
        <v>117</v>
      </c>
      <c r="B77" s="133" t="s">
        <v>334</v>
      </c>
      <c r="C77" s="133">
        <v>40</v>
      </c>
      <c r="D77" s="133" t="str">
        <f t="shared" si="0"/>
        <v>1/2" Hex BB RS-775 40</v>
      </c>
      <c r="E77" s="133">
        <v>4</v>
      </c>
      <c r="F77" s="133">
        <v>3</v>
      </c>
    </row>
    <row r="78" spans="1:6" ht="14.25" customHeight="1" x14ac:dyDescent="0.3">
      <c r="A78" s="133" t="s">
        <v>117</v>
      </c>
      <c r="B78" s="133" t="s">
        <v>334</v>
      </c>
      <c r="C78" s="133">
        <v>45</v>
      </c>
      <c r="D78" s="133" t="str">
        <f t="shared" si="0"/>
        <v>1/2" Hex BB RS-775 45</v>
      </c>
      <c r="E78" s="133">
        <v>4</v>
      </c>
      <c r="F78" s="133">
        <v>1</v>
      </c>
    </row>
    <row r="79" spans="1:6" ht="14.25" customHeight="1" x14ac:dyDescent="0.3">
      <c r="A79" s="133" t="s">
        <v>117</v>
      </c>
      <c r="B79" s="133" t="s">
        <v>334</v>
      </c>
      <c r="C79" s="133">
        <v>49</v>
      </c>
      <c r="D79" s="133" t="str">
        <f t="shared" si="0"/>
        <v>1/2" Hex BB RS-775 49</v>
      </c>
      <c r="E79" s="133">
        <v>4</v>
      </c>
      <c r="F79" s="133">
        <v>1</v>
      </c>
    </row>
    <row r="80" spans="1:6" ht="14.25" customHeight="1" x14ac:dyDescent="0.3">
      <c r="A80" s="133" t="s">
        <v>117</v>
      </c>
      <c r="B80" s="133" t="s">
        <v>334</v>
      </c>
      <c r="C80" s="133">
        <v>50</v>
      </c>
      <c r="D80" s="133" t="str">
        <f t="shared" si="0"/>
        <v>1/2" Hex BB RS-775 50</v>
      </c>
      <c r="E80" s="133">
        <v>3</v>
      </c>
      <c r="F80" s="133">
        <v>1</v>
      </c>
    </row>
    <row r="81" spans="1:6" ht="14.25" customHeight="1" x14ac:dyDescent="0.3">
      <c r="A81" s="133" t="s">
        <v>117</v>
      </c>
      <c r="B81" s="133" t="s">
        <v>334</v>
      </c>
      <c r="C81" s="133">
        <v>63</v>
      </c>
      <c r="D81" s="133" t="str">
        <f t="shared" si="0"/>
        <v>1/2" Hex BB RS-775 63</v>
      </c>
      <c r="E81" s="133">
        <v>3</v>
      </c>
      <c r="F81" s="133">
        <v>1</v>
      </c>
    </row>
    <row r="82" spans="1:6" ht="14.25" customHeight="1" x14ac:dyDescent="0.3">
      <c r="A82" s="133" t="s">
        <v>117</v>
      </c>
      <c r="B82" s="133" t="s">
        <v>334</v>
      </c>
      <c r="C82" s="133">
        <v>70</v>
      </c>
      <c r="D82" s="133" t="str">
        <f t="shared" si="0"/>
        <v>1/2" Hex BB RS-775 70</v>
      </c>
      <c r="E82" s="133">
        <v>1</v>
      </c>
      <c r="F82" s="133">
        <v>1</v>
      </c>
    </row>
    <row r="83" spans="1:6" ht="14.25" customHeight="1" x14ac:dyDescent="0.3">
      <c r="A83" s="133" t="s">
        <v>117</v>
      </c>
      <c r="B83" s="133" t="s">
        <v>334</v>
      </c>
      <c r="C83" s="133">
        <v>81</v>
      </c>
      <c r="D83" s="133" t="str">
        <f t="shared" si="0"/>
        <v>1/2" Hex BB RS-775 81</v>
      </c>
      <c r="E83" s="133">
        <v>1</v>
      </c>
      <c r="F83" s="133">
        <v>1</v>
      </c>
    </row>
    <row r="84" spans="1:6" ht="14.25" customHeight="1" x14ac:dyDescent="0.3">
      <c r="A84" s="133" t="s">
        <v>117</v>
      </c>
      <c r="B84" s="133" t="s">
        <v>334</v>
      </c>
      <c r="C84" s="133">
        <v>90</v>
      </c>
      <c r="D84" s="133" t="str">
        <f t="shared" si="0"/>
        <v>1/2" Hex BB RS-775 90</v>
      </c>
      <c r="E84" s="133">
        <v>1</v>
      </c>
      <c r="F84" s="133">
        <v>1</v>
      </c>
    </row>
    <row r="85" spans="1:6" ht="14.25" customHeight="1" x14ac:dyDescent="0.3">
      <c r="A85" s="133" t="s">
        <v>117</v>
      </c>
      <c r="B85" s="133" t="s">
        <v>334</v>
      </c>
      <c r="C85" s="133">
        <v>100</v>
      </c>
      <c r="D85" s="133" t="str">
        <f t="shared" si="0"/>
        <v>1/2" Hex BB RS-775 100</v>
      </c>
      <c r="E85" s="133">
        <v>1</v>
      </c>
      <c r="F85" s="133">
        <v>1</v>
      </c>
    </row>
    <row r="86" spans="1:6" ht="14.25" customHeight="1" x14ac:dyDescent="0.3">
      <c r="A86" s="133" t="s">
        <v>117</v>
      </c>
      <c r="B86" s="133" t="s">
        <v>257</v>
      </c>
      <c r="C86" s="133">
        <v>9</v>
      </c>
      <c r="D86" s="133" t="str">
        <f t="shared" si="0"/>
        <v>1/2" Hex BAG 9</v>
      </c>
      <c r="E86" s="133">
        <v>10</v>
      </c>
      <c r="F86" s="133">
        <v>9</v>
      </c>
    </row>
    <row r="87" spans="1:6" ht="14.25" customHeight="1" x14ac:dyDescent="0.3">
      <c r="A87" s="133" t="s">
        <v>117</v>
      </c>
      <c r="B87" s="133" t="s">
        <v>257</v>
      </c>
      <c r="C87" s="133">
        <v>12</v>
      </c>
      <c r="D87" s="133" t="str">
        <f t="shared" si="0"/>
        <v>1/2" Hex BAG 12</v>
      </c>
      <c r="E87" s="133">
        <v>10</v>
      </c>
      <c r="F87" s="133">
        <v>5</v>
      </c>
    </row>
    <row r="88" spans="1:6" ht="14.25" customHeight="1" x14ac:dyDescent="0.3">
      <c r="A88" s="133" t="s">
        <v>117</v>
      </c>
      <c r="B88" s="133" t="s">
        <v>257</v>
      </c>
      <c r="C88" s="133">
        <v>15</v>
      </c>
      <c r="D88" s="133" t="str">
        <f t="shared" si="0"/>
        <v>1/2" Hex BAG 15</v>
      </c>
      <c r="E88" s="133">
        <v>10</v>
      </c>
      <c r="F88" s="133">
        <v>5</v>
      </c>
    </row>
    <row r="89" spans="1:6" ht="14.25" customHeight="1" x14ac:dyDescent="0.3">
      <c r="A89" s="133" t="s">
        <v>117</v>
      </c>
      <c r="B89" s="133" t="s">
        <v>257</v>
      </c>
      <c r="C89" s="133">
        <v>16</v>
      </c>
      <c r="D89" s="133" t="str">
        <f t="shared" si="0"/>
        <v>1/2" Hex BAG 16</v>
      </c>
      <c r="E89" s="133">
        <v>10</v>
      </c>
      <c r="F89" s="133">
        <v>5</v>
      </c>
    </row>
    <row r="90" spans="1:6" ht="14.25" customHeight="1" x14ac:dyDescent="0.3">
      <c r="A90" s="133" t="s">
        <v>117</v>
      </c>
      <c r="B90" s="133" t="s">
        <v>257</v>
      </c>
      <c r="C90" s="133">
        <v>20</v>
      </c>
      <c r="D90" s="133" t="str">
        <f t="shared" si="0"/>
        <v>1/2" Hex BAG 20</v>
      </c>
      <c r="E90" s="133">
        <v>10</v>
      </c>
      <c r="F90" s="133">
        <v>4</v>
      </c>
    </row>
    <row r="91" spans="1:6" ht="14.25" customHeight="1" x14ac:dyDescent="0.3">
      <c r="A91" s="133" t="s">
        <v>117</v>
      </c>
      <c r="B91" s="133" t="s">
        <v>257</v>
      </c>
      <c r="C91" s="133">
        <v>21</v>
      </c>
      <c r="D91" s="133" t="str">
        <f t="shared" si="0"/>
        <v>1/2" Hex BAG 21</v>
      </c>
      <c r="E91" s="133">
        <v>10</v>
      </c>
      <c r="F91" s="133">
        <v>3</v>
      </c>
    </row>
    <row r="92" spans="1:6" ht="14.25" customHeight="1" x14ac:dyDescent="0.3">
      <c r="A92" s="133" t="s">
        <v>117</v>
      </c>
      <c r="B92" s="133" t="s">
        <v>257</v>
      </c>
      <c r="C92" s="133">
        <v>25</v>
      </c>
      <c r="D92" s="133" t="str">
        <f t="shared" si="0"/>
        <v>1/2" Hex BAG 25</v>
      </c>
      <c r="E92" s="133">
        <v>7</v>
      </c>
      <c r="F92" s="133">
        <v>3</v>
      </c>
    </row>
    <row r="93" spans="1:6" ht="14.25" customHeight="1" x14ac:dyDescent="0.3">
      <c r="A93" s="133" t="s">
        <v>117</v>
      </c>
      <c r="B93" s="133" t="s">
        <v>257</v>
      </c>
      <c r="C93" s="133">
        <v>27</v>
      </c>
      <c r="D93" s="133" t="str">
        <f t="shared" si="0"/>
        <v>1/2" Hex BAG 27</v>
      </c>
      <c r="E93" s="133">
        <v>7</v>
      </c>
      <c r="F93" s="133">
        <v>3</v>
      </c>
    </row>
    <row r="94" spans="1:6" ht="14.25" customHeight="1" x14ac:dyDescent="0.3">
      <c r="A94" s="133" t="s">
        <v>117</v>
      </c>
      <c r="B94" s="133" t="s">
        <v>257</v>
      </c>
      <c r="C94" s="133">
        <v>28</v>
      </c>
      <c r="D94" s="133" t="str">
        <f t="shared" si="0"/>
        <v>1/2" Hex BAG 28</v>
      </c>
      <c r="E94" s="133">
        <v>7</v>
      </c>
      <c r="F94" s="133">
        <v>1</v>
      </c>
    </row>
    <row r="95" spans="1:6" ht="14.25" customHeight="1" x14ac:dyDescent="0.3">
      <c r="A95" s="133" t="s">
        <v>117</v>
      </c>
      <c r="B95" s="133" t="s">
        <v>257</v>
      </c>
      <c r="C95" s="133">
        <v>30</v>
      </c>
      <c r="D95" s="133" t="str">
        <f t="shared" si="0"/>
        <v>1/2" Hex BAG 30</v>
      </c>
      <c r="E95" s="133">
        <v>7</v>
      </c>
      <c r="F95" s="133">
        <v>1</v>
      </c>
    </row>
    <row r="96" spans="1:6" ht="14.25" customHeight="1" x14ac:dyDescent="0.3">
      <c r="A96" s="133" t="s">
        <v>117</v>
      </c>
      <c r="B96" s="133" t="s">
        <v>257</v>
      </c>
      <c r="C96" s="133">
        <v>35</v>
      </c>
      <c r="D96" s="133" t="str">
        <f t="shared" si="0"/>
        <v>1/2" Hex BAG 35</v>
      </c>
      <c r="E96" s="133">
        <v>5</v>
      </c>
      <c r="F96" s="133">
        <v>1</v>
      </c>
    </row>
    <row r="97" spans="1:6" ht="14.25" customHeight="1" x14ac:dyDescent="0.3">
      <c r="A97" s="133" t="s">
        <v>117</v>
      </c>
      <c r="B97" s="133" t="s">
        <v>257</v>
      </c>
      <c r="C97" s="133">
        <v>36</v>
      </c>
      <c r="D97" s="133" t="str">
        <f t="shared" si="0"/>
        <v>1/2" Hex BAG 36</v>
      </c>
      <c r="E97" s="133">
        <v>5</v>
      </c>
      <c r="F97" s="133">
        <v>1</v>
      </c>
    </row>
    <row r="98" spans="1:6" ht="14.25" customHeight="1" x14ac:dyDescent="0.3">
      <c r="A98" s="133" t="s">
        <v>117</v>
      </c>
      <c r="B98" s="133" t="s">
        <v>257</v>
      </c>
      <c r="C98" s="133">
        <v>40</v>
      </c>
      <c r="D98" s="133" t="str">
        <f t="shared" si="0"/>
        <v>1/2" Hex BAG 40</v>
      </c>
      <c r="E98" s="133">
        <v>5</v>
      </c>
      <c r="F98" s="133">
        <v>1</v>
      </c>
    </row>
    <row r="99" spans="1:6" ht="14.25" customHeight="1" x14ac:dyDescent="0.3">
      <c r="A99" s="133" t="s">
        <v>117</v>
      </c>
      <c r="B99" s="133" t="s">
        <v>257</v>
      </c>
      <c r="C99" s="133">
        <v>45</v>
      </c>
      <c r="D99" s="133" t="str">
        <f t="shared" si="0"/>
        <v>1/2" Hex BAG 45</v>
      </c>
      <c r="E99" s="133">
        <v>5</v>
      </c>
      <c r="F99" s="133">
        <v>1</v>
      </c>
    </row>
    <row r="100" spans="1:6" ht="14.25" customHeight="1" x14ac:dyDescent="0.3">
      <c r="A100" s="133" t="s">
        <v>117</v>
      </c>
      <c r="B100" s="133" t="s">
        <v>257</v>
      </c>
      <c r="C100" s="133">
        <v>49</v>
      </c>
      <c r="D100" s="133" t="str">
        <f t="shared" si="0"/>
        <v>1/2" Hex BAG 49</v>
      </c>
      <c r="E100" s="133">
        <v>5</v>
      </c>
      <c r="F100" s="133">
        <v>1</v>
      </c>
    </row>
    <row r="101" spans="1:6" ht="14.25" customHeight="1" x14ac:dyDescent="0.3">
      <c r="A101" s="133" t="s">
        <v>117</v>
      </c>
      <c r="B101" s="133" t="s">
        <v>257</v>
      </c>
      <c r="C101" s="133">
        <v>50</v>
      </c>
      <c r="D101" s="133" t="str">
        <f t="shared" si="0"/>
        <v>1/2" Hex BAG 50</v>
      </c>
      <c r="E101" s="133">
        <v>5</v>
      </c>
      <c r="F101" s="133">
        <v>1</v>
      </c>
    </row>
    <row r="102" spans="1:6" ht="14.25" customHeight="1" x14ac:dyDescent="0.3">
      <c r="A102" s="133" t="s">
        <v>117</v>
      </c>
      <c r="B102" s="133" t="s">
        <v>257</v>
      </c>
      <c r="C102" s="133">
        <v>63</v>
      </c>
      <c r="D102" s="133" t="str">
        <f t="shared" si="0"/>
        <v>1/2" Hex BAG 63</v>
      </c>
      <c r="E102" s="133">
        <v>5</v>
      </c>
      <c r="F102" s="133">
        <v>1</v>
      </c>
    </row>
    <row r="103" spans="1:6" ht="14.25" customHeight="1" x14ac:dyDescent="0.3">
      <c r="A103" s="133" t="s">
        <v>117</v>
      </c>
      <c r="B103" s="133" t="s">
        <v>257</v>
      </c>
      <c r="C103" s="133">
        <v>70</v>
      </c>
      <c r="D103" s="133" t="str">
        <f t="shared" si="0"/>
        <v>1/2" Hex BAG 70</v>
      </c>
      <c r="E103" s="133">
        <v>4</v>
      </c>
      <c r="F103" s="133">
        <v>1</v>
      </c>
    </row>
    <row r="104" spans="1:6" ht="14.25" customHeight="1" x14ac:dyDescent="0.3">
      <c r="A104" s="133" t="s">
        <v>117</v>
      </c>
      <c r="B104" s="133" t="s">
        <v>257</v>
      </c>
      <c r="C104" s="133">
        <v>81</v>
      </c>
      <c r="D104" s="133" t="str">
        <f t="shared" si="0"/>
        <v>1/2" Hex BAG 81</v>
      </c>
      <c r="E104" s="133">
        <v>4</v>
      </c>
      <c r="F104" s="133">
        <v>1</v>
      </c>
    </row>
    <row r="105" spans="1:6" ht="14.25" customHeight="1" x14ac:dyDescent="0.3">
      <c r="A105" s="133" t="s">
        <v>117</v>
      </c>
      <c r="B105" s="133" t="s">
        <v>257</v>
      </c>
      <c r="C105" s="133">
        <v>90</v>
      </c>
      <c r="D105" s="133" t="str">
        <f t="shared" si="0"/>
        <v>1/2" Hex BAG 90</v>
      </c>
      <c r="E105" s="133">
        <v>3</v>
      </c>
      <c r="F105" s="133">
        <v>0</v>
      </c>
    </row>
    <row r="106" spans="1:6" ht="14.25" customHeight="1" x14ac:dyDescent="0.3">
      <c r="A106" s="133" t="s">
        <v>117</v>
      </c>
      <c r="B106" s="133" t="s">
        <v>257</v>
      </c>
      <c r="C106" s="133">
        <v>100</v>
      </c>
      <c r="D106" s="133" t="str">
        <f t="shared" si="0"/>
        <v>1/2" Hex BAG 100</v>
      </c>
      <c r="E106" s="133">
        <v>3</v>
      </c>
      <c r="F106" s="133">
        <v>0</v>
      </c>
    </row>
    <row r="107" spans="1:6" ht="14.25" customHeight="1" x14ac:dyDescent="0.3">
      <c r="A107" s="133" t="s">
        <v>117</v>
      </c>
      <c r="B107" s="133" t="s">
        <v>7</v>
      </c>
      <c r="C107" s="133">
        <v>9</v>
      </c>
      <c r="D107" s="133" t="str">
        <f t="shared" si="0"/>
        <v>1/2" Hex Mini CIM 9</v>
      </c>
      <c r="E107" s="133">
        <v>7</v>
      </c>
      <c r="F107" s="133">
        <v>0</v>
      </c>
    </row>
    <row r="108" spans="1:6" ht="14.25" customHeight="1" x14ac:dyDescent="0.3">
      <c r="A108" s="133" t="s">
        <v>117</v>
      </c>
      <c r="B108" s="133" t="s">
        <v>7</v>
      </c>
      <c r="C108" s="133">
        <v>12</v>
      </c>
      <c r="D108" s="133" t="str">
        <f t="shared" si="0"/>
        <v>1/2" Hex Mini CIM 12</v>
      </c>
      <c r="E108" s="133">
        <v>5</v>
      </c>
      <c r="F108" s="133">
        <v>0</v>
      </c>
    </row>
    <row r="109" spans="1:6" ht="14.25" customHeight="1" x14ac:dyDescent="0.3">
      <c r="A109" s="133" t="s">
        <v>117</v>
      </c>
      <c r="B109" s="133" t="s">
        <v>7</v>
      </c>
      <c r="C109" s="133">
        <v>15</v>
      </c>
      <c r="D109" s="133" t="str">
        <f t="shared" si="0"/>
        <v>1/2" Hex Mini CIM 15</v>
      </c>
      <c r="E109" s="133">
        <v>5</v>
      </c>
      <c r="F109" s="133">
        <v>0</v>
      </c>
    </row>
    <row r="110" spans="1:6" ht="14.25" customHeight="1" x14ac:dyDescent="0.3">
      <c r="A110" s="133" t="s">
        <v>117</v>
      </c>
      <c r="B110" s="133" t="s">
        <v>7</v>
      </c>
      <c r="C110" s="133">
        <v>16</v>
      </c>
      <c r="D110" s="133" t="str">
        <f t="shared" si="0"/>
        <v>1/2" Hex Mini CIM 16</v>
      </c>
      <c r="E110" s="133">
        <v>5</v>
      </c>
      <c r="F110" s="133">
        <v>0</v>
      </c>
    </row>
    <row r="111" spans="1:6" ht="14.25" customHeight="1" x14ac:dyDescent="0.3">
      <c r="A111" s="133" t="s">
        <v>117</v>
      </c>
      <c r="B111" s="133" t="s">
        <v>7</v>
      </c>
      <c r="C111" s="133">
        <v>20</v>
      </c>
      <c r="D111" s="133" t="str">
        <f t="shared" si="0"/>
        <v>1/2" Hex Mini CIM 20</v>
      </c>
      <c r="E111" s="133">
        <v>5</v>
      </c>
      <c r="F111" s="133">
        <v>0</v>
      </c>
    </row>
    <row r="112" spans="1:6" ht="14.25" customHeight="1" x14ac:dyDescent="0.3">
      <c r="A112" s="133" t="s">
        <v>117</v>
      </c>
      <c r="B112" s="133" t="s">
        <v>7</v>
      </c>
      <c r="C112" s="133">
        <v>21</v>
      </c>
      <c r="D112" s="133" t="str">
        <f t="shared" si="0"/>
        <v>1/2" Hex Mini CIM 21</v>
      </c>
      <c r="E112" s="133">
        <v>5</v>
      </c>
      <c r="F112" s="133">
        <v>0</v>
      </c>
    </row>
    <row r="113" spans="1:6" ht="14.25" customHeight="1" x14ac:dyDescent="0.3">
      <c r="A113" s="133" t="s">
        <v>117</v>
      </c>
      <c r="B113" s="133" t="s">
        <v>7</v>
      </c>
      <c r="C113" s="133">
        <v>25</v>
      </c>
      <c r="D113" s="133" t="str">
        <f t="shared" si="0"/>
        <v>1/2" Hex Mini CIM 25</v>
      </c>
      <c r="E113" s="133">
        <v>4</v>
      </c>
      <c r="F113" s="133">
        <v>0</v>
      </c>
    </row>
    <row r="114" spans="1:6" ht="14.25" customHeight="1" x14ac:dyDescent="0.3">
      <c r="A114" s="133" t="s">
        <v>117</v>
      </c>
      <c r="B114" s="133" t="s">
        <v>7</v>
      </c>
      <c r="C114" s="133">
        <v>27</v>
      </c>
      <c r="D114" s="133" t="str">
        <f t="shared" si="0"/>
        <v>1/2" Hex Mini CIM 27</v>
      </c>
      <c r="E114" s="133">
        <v>4</v>
      </c>
      <c r="F114" s="133">
        <v>0</v>
      </c>
    </row>
    <row r="115" spans="1:6" ht="14.25" customHeight="1" x14ac:dyDescent="0.3">
      <c r="A115" s="133" t="s">
        <v>117</v>
      </c>
      <c r="B115" s="133" t="s">
        <v>7</v>
      </c>
      <c r="C115" s="133">
        <v>28</v>
      </c>
      <c r="D115" s="133" t="str">
        <f t="shared" si="0"/>
        <v>1/2" Hex Mini CIM 28</v>
      </c>
      <c r="E115" s="133">
        <v>3</v>
      </c>
      <c r="F115" s="133">
        <v>0</v>
      </c>
    </row>
    <row r="116" spans="1:6" ht="14.25" customHeight="1" x14ac:dyDescent="0.3">
      <c r="A116" s="133" t="s">
        <v>117</v>
      </c>
      <c r="B116" s="133" t="s">
        <v>7</v>
      </c>
      <c r="C116" s="133">
        <v>30</v>
      </c>
      <c r="D116" s="133" t="str">
        <f t="shared" si="0"/>
        <v>1/2" Hex Mini CIM 30</v>
      </c>
      <c r="E116" s="133">
        <v>3</v>
      </c>
      <c r="F116" s="133">
        <v>0</v>
      </c>
    </row>
    <row r="117" spans="1:6" ht="14.25" customHeight="1" x14ac:dyDescent="0.3">
      <c r="A117" s="133" t="s">
        <v>117</v>
      </c>
      <c r="B117" s="133" t="s">
        <v>7</v>
      </c>
      <c r="C117" s="133">
        <v>35</v>
      </c>
      <c r="D117" s="133" t="str">
        <f t="shared" si="0"/>
        <v>1/2" Hex Mini CIM 35</v>
      </c>
      <c r="E117" s="133">
        <v>3</v>
      </c>
      <c r="F117" s="133">
        <v>0</v>
      </c>
    </row>
    <row r="118" spans="1:6" ht="14.25" customHeight="1" x14ac:dyDescent="0.3">
      <c r="A118" s="133" t="s">
        <v>117</v>
      </c>
      <c r="B118" s="133" t="s">
        <v>7</v>
      </c>
      <c r="C118" s="133">
        <v>36</v>
      </c>
      <c r="D118" s="133" t="str">
        <f t="shared" si="0"/>
        <v>1/2" Hex Mini CIM 36</v>
      </c>
      <c r="E118" s="133">
        <v>1</v>
      </c>
      <c r="F118" s="133">
        <v>0</v>
      </c>
    </row>
    <row r="119" spans="1:6" ht="14.25" customHeight="1" x14ac:dyDescent="0.3">
      <c r="A119" s="133" t="s">
        <v>117</v>
      </c>
      <c r="B119" s="133" t="s">
        <v>7</v>
      </c>
      <c r="C119" s="133">
        <v>40</v>
      </c>
      <c r="D119" s="133" t="str">
        <f t="shared" si="0"/>
        <v>1/2" Hex Mini CIM 40</v>
      </c>
      <c r="E119" s="133">
        <v>1</v>
      </c>
      <c r="F119" s="133">
        <v>0</v>
      </c>
    </row>
    <row r="120" spans="1:6" ht="14.25" customHeight="1" x14ac:dyDescent="0.3">
      <c r="A120" s="133" t="s">
        <v>117</v>
      </c>
      <c r="B120" s="133" t="s">
        <v>7</v>
      </c>
      <c r="C120" s="133">
        <v>45</v>
      </c>
      <c r="D120" s="133" t="str">
        <f t="shared" si="0"/>
        <v>1/2" Hex Mini CIM 45</v>
      </c>
      <c r="E120" s="133">
        <v>1</v>
      </c>
      <c r="F120" s="133">
        <v>0</v>
      </c>
    </row>
    <row r="121" spans="1:6" ht="14.25" customHeight="1" x14ac:dyDescent="0.3">
      <c r="A121" s="133" t="s">
        <v>117</v>
      </c>
      <c r="B121" s="133" t="s">
        <v>7</v>
      </c>
      <c r="C121" s="133">
        <v>49</v>
      </c>
      <c r="D121" s="133" t="str">
        <f t="shared" si="0"/>
        <v>1/2" Hex Mini CIM 49</v>
      </c>
      <c r="E121" s="133">
        <v>1</v>
      </c>
      <c r="F121" s="133">
        <v>0</v>
      </c>
    </row>
    <row r="122" spans="1:6" ht="14.25" customHeight="1" x14ac:dyDescent="0.3">
      <c r="A122" s="133" t="s">
        <v>117</v>
      </c>
      <c r="B122" s="133" t="s">
        <v>7</v>
      </c>
      <c r="C122" s="133">
        <v>50</v>
      </c>
      <c r="D122" s="133" t="str">
        <f t="shared" si="0"/>
        <v>1/2" Hex Mini CIM 50</v>
      </c>
      <c r="E122" s="133">
        <v>1</v>
      </c>
      <c r="F122" s="133">
        <v>0</v>
      </c>
    </row>
    <row r="123" spans="1:6" ht="14.25" customHeight="1" x14ac:dyDescent="0.3">
      <c r="A123" s="133" t="s">
        <v>117</v>
      </c>
      <c r="B123" s="133" t="s">
        <v>7</v>
      </c>
      <c r="C123" s="133">
        <v>63</v>
      </c>
      <c r="D123" s="133" t="str">
        <f t="shared" si="0"/>
        <v>1/2" Hex Mini CIM 63</v>
      </c>
      <c r="E123" s="133">
        <v>1</v>
      </c>
      <c r="F123" s="133">
        <v>0</v>
      </c>
    </row>
    <row r="124" spans="1:6" ht="14.25" customHeight="1" x14ac:dyDescent="0.3">
      <c r="A124" s="133" t="s">
        <v>117</v>
      </c>
      <c r="B124" s="133" t="s">
        <v>7</v>
      </c>
      <c r="C124" s="133">
        <v>70</v>
      </c>
      <c r="D124" s="133" t="str">
        <f t="shared" si="0"/>
        <v>1/2" Hex Mini CIM 70</v>
      </c>
      <c r="E124" s="133">
        <v>0</v>
      </c>
      <c r="F124" s="133">
        <v>0</v>
      </c>
    </row>
    <row r="125" spans="1:6" ht="14.25" customHeight="1" x14ac:dyDescent="0.3">
      <c r="A125" s="133" t="s">
        <v>117</v>
      </c>
      <c r="B125" s="133" t="s">
        <v>7</v>
      </c>
      <c r="C125" s="133">
        <v>81</v>
      </c>
      <c r="D125" s="133" t="str">
        <f t="shared" si="0"/>
        <v>1/2" Hex Mini CIM 81</v>
      </c>
      <c r="E125" s="133">
        <v>0</v>
      </c>
      <c r="F125" s="133">
        <v>0</v>
      </c>
    </row>
    <row r="126" spans="1:6" ht="14.25" customHeight="1" x14ac:dyDescent="0.3">
      <c r="A126" s="133" t="s">
        <v>117</v>
      </c>
      <c r="B126" s="133" t="s">
        <v>7</v>
      </c>
      <c r="C126" s="133">
        <v>90</v>
      </c>
      <c r="D126" s="133" t="str">
        <f t="shared" si="0"/>
        <v>1/2" Hex Mini CIM 90</v>
      </c>
      <c r="E126" s="133">
        <v>0</v>
      </c>
      <c r="F126" s="133">
        <v>0</v>
      </c>
    </row>
    <row r="127" spans="1:6" ht="14.25" customHeight="1" x14ac:dyDescent="0.3">
      <c r="A127" s="133" t="s">
        <v>117</v>
      </c>
      <c r="B127" s="133" t="s">
        <v>7</v>
      </c>
      <c r="C127" s="133">
        <v>100</v>
      </c>
      <c r="D127" s="133" t="str">
        <f t="shared" si="0"/>
        <v>1/2" Hex Mini CIM 100</v>
      </c>
      <c r="E127" s="133">
        <v>0</v>
      </c>
      <c r="F127" s="133">
        <v>0</v>
      </c>
    </row>
    <row r="128" spans="1:6" ht="14.25" customHeight="1" x14ac:dyDescent="0.3">
      <c r="A128" s="133" t="s">
        <v>117</v>
      </c>
      <c r="B128" s="133" t="s">
        <v>6</v>
      </c>
      <c r="C128" s="133">
        <v>9</v>
      </c>
      <c r="D128" s="133" t="str">
        <f t="shared" si="0"/>
        <v>1/2" Hex CIM 9</v>
      </c>
      <c r="E128" s="133">
        <v>5</v>
      </c>
      <c r="F128" s="133">
        <v>0</v>
      </c>
    </row>
    <row r="129" spans="1:6" ht="14.25" customHeight="1" x14ac:dyDescent="0.3">
      <c r="A129" s="133" t="s">
        <v>117</v>
      </c>
      <c r="B129" s="133" t="s">
        <v>6</v>
      </c>
      <c r="C129" s="133">
        <v>12</v>
      </c>
      <c r="D129" s="133" t="str">
        <f t="shared" si="0"/>
        <v>1/2" Hex CIM 12</v>
      </c>
      <c r="E129" s="133">
        <v>5</v>
      </c>
      <c r="F129" s="133">
        <v>0</v>
      </c>
    </row>
    <row r="130" spans="1:6" ht="14.25" customHeight="1" x14ac:dyDescent="0.3">
      <c r="A130" s="133" t="s">
        <v>117</v>
      </c>
      <c r="B130" s="133" t="s">
        <v>6</v>
      </c>
      <c r="C130" s="133">
        <v>15</v>
      </c>
      <c r="D130" s="133" t="str">
        <f t="shared" si="0"/>
        <v>1/2" Hex CIM 15</v>
      </c>
      <c r="E130" s="133">
        <v>4</v>
      </c>
      <c r="F130" s="133">
        <v>0</v>
      </c>
    </row>
    <row r="131" spans="1:6" ht="14.25" customHeight="1" x14ac:dyDescent="0.3">
      <c r="A131" s="133" t="s">
        <v>117</v>
      </c>
      <c r="B131" s="133" t="s">
        <v>6</v>
      </c>
      <c r="C131" s="133">
        <v>16</v>
      </c>
      <c r="D131" s="133" t="str">
        <f t="shared" si="0"/>
        <v>1/2" Hex CIM 16</v>
      </c>
      <c r="E131" s="133">
        <v>4</v>
      </c>
      <c r="F131" s="133">
        <v>0</v>
      </c>
    </row>
    <row r="132" spans="1:6" ht="14.25" customHeight="1" x14ac:dyDescent="0.3">
      <c r="A132" s="133" t="s">
        <v>117</v>
      </c>
      <c r="B132" s="133" t="s">
        <v>6</v>
      </c>
      <c r="C132" s="133">
        <v>20</v>
      </c>
      <c r="D132" s="133" t="str">
        <f t="shared" si="0"/>
        <v>1/2" Hex CIM 20</v>
      </c>
      <c r="E132" s="133">
        <v>3</v>
      </c>
      <c r="F132" s="133">
        <v>0</v>
      </c>
    </row>
    <row r="133" spans="1:6" ht="14.25" customHeight="1" x14ac:dyDescent="0.3">
      <c r="A133" s="133" t="s">
        <v>117</v>
      </c>
      <c r="B133" s="133" t="s">
        <v>6</v>
      </c>
      <c r="C133" s="133">
        <v>21</v>
      </c>
      <c r="D133" s="133" t="str">
        <f t="shared" si="0"/>
        <v>1/2" Hex CIM 21</v>
      </c>
      <c r="E133" s="133">
        <v>3</v>
      </c>
      <c r="F133" s="133">
        <v>0</v>
      </c>
    </row>
    <row r="134" spans="1:6" ht="14.25" customHeight="1" x14ac:dyDescent="0.3">
      <c r="A134" s="133" t="s">
        <v>117</v>
      </c>
      <c r="B134" s="133" t="s">
        <v>6</v>
      </c>
      <c r="C134" s="133">
        <v>25</v>
      </c>
      <c r="D134" s="133" t="str">
        <f t="shared" si="0"/>
        <v>1/2" Hex CIM 25</v>
      </c>
      <c r="E134" s="133">
        <v>1</v>
      </c>
      <c r="F134" s="133">
        <v>0</v>
      </c>
    </row>
    <row r="135" spans="1:6" ht="14.25" customHeight="1" x14ac:dyDescent="0.3">
      <c r="A135" s="133" t="s">
        <v>117</v>
      </c>
      <c r="B135" s="133" t="s">
        <v>6</v>
      </c>
      <c r="C135" s="133">
        <v>27</v>
      </c>
      <c r="D135" s="133" t="str">
        <f t="shared" si="0"/>
        <v>1/2" Hex CIM 27</v>
      </c>
      <c r="E135" s="133">
        <v>1</v>
      </c>
      <c r="F135" s="133">
        <v>0</v>
      </c>
    </row>
    <row r="136" spans="1:6" ht="14.25" customHeight="1" x14ac:dyDescent="0.3">
      <c r="A136" s="133" t="s">
        <v>117</v>
      </c>
      <c r="B136" s="133" t="s">
        <v>6</v>
      </c>
      <c r="C136" s="133">
        <v>28</v>
      </c>
      <c r="D136" s="133" t="str">
        <f t="shared" si="0"/>
        <v>1/2" Hex CIM 28</v>
      </c>
      <c r="E136" s="133">
        <v>1</v>
      </c>
      <c r="F136" s="133">
        <v>0</v>
      </c>
    </row>
    <row r="137" spans="1:6" ht="14.25" customHeight="1" x14ac:dyDescent="0.3">
      <c r="A137" s="133" t="s">
        <v>117</v>
      </c>
      <c r="B137" s="133" t="s">
        <v>6</v>
      </c>
      <c r="C137" s="133">
        <v>30</v>
      </c>
      <c r="D137" s="133" t="str">
        <f t="shared" si="0"/>
        <v>1/2" Hex CIM 30</v>
      </c>
      <c r="E137" s="133">
        <v>1</v>
      </c>
      <c r="F137" s="133">
        <v>0</v>
      </c>
    </row>
    <row r="138" spans="1:6" ht="14.25" customHeight="1" x14ac:dyDescent="0.3">
      <c r="A138" s="133" t="s">
        <v>117</v>
      </c>
      <c r="B138" s="133" t="s">
        <v>6</v>
      </c>
      <c r="C138" s="133">
        <v>35</v>
      </c>
      <c r="D138" s="133" t="str">
        <f t="shared" si="0"/>
        <v>1/2" Hex CIM 35</v>
      </c>
      <c r="E138" s="133">
        <v>1</v>
      </c>
      <c r="F138" s="133">
        <v>0</v>
      </c>
    </row>
    <row r="139" spans="1:6" ht="14.25" customHeight="1" x14ac:dyDescent="0.3">
      <c r="A139" s="133" t="s">
        <v>117</v>
      </c>
      <c r="B139" s="133" t="s">
        <v>6</v>
      </c>
      <c r="C139" s="133">
        <v>36</v>
      </c>
      <c r="D139" s="133" t="str">
        <f t="shared" si="0"/>
        <v>1/2" Hex CIM 36</v>
      </c>
      <c r="E139" s="133">
        <v>1</v>
      </c>
      <c r="F139" s="133">
        <v>0</v>
      </c>
    </row>
    <row r="140" spans="1:6" ht="14.25" customHeight="1" x14ac:dyDescent="0.3">
      <c r="A140" s="133" t="s">
        <v>117</v>
      </c>
      <c r="B140" s="133" t="s">
        <v>6</v>
      </c>
      <c r="C140" s="133">
        <v>40</v>
      </c>
      <c r="D140" s="133" t="str">
        <f t="shared" si="0"/>
        <v>1/2" Hex CIM 40</v>
      </c>
      <c r="E140" s="133">
        <v>1</v>
      </c>
      <c r="F140" s="133">
        <v>0</v>
      </c>
    </row>
    <row r="141" spans="1:6" ht="14.25" customHeight="1" x14ac:dyDescent="0.3">
      <c r="A141" s="133" t="s">
        <v>117</v>
      </c>
      <c r="B141" s="133" t="s">
        <v>6</v>
      </c>
      <c r="C141" s="133">
        <v>45</v>
      </c>
      <c r="D141" s="133" t="str">
        <f t="shared" si="0"/>
        <v>1/2" Hex CIM 45</v>
      </c>
      <c r="E141" s="133">
        <v>0</v>
      </c>
      <c r="F141" s="133">
        <v>0</v>
      </c>
    </row>
    <row r="142" spans="1:6" ht="14.25" customHeight="1" x14ac:dyDescent="0.3">
      <c r="A142" s="133" t="s">
        <v>117</v>
      </c>
      <c r="B142" s="133" t="s">
        <v>6</v>
      </c>
      <c r="C142" s="133">
        <v>49</v>
      </c>
      <c r="D142" s="133" t="str">
        <f t="shared" si="0"/>
        <v>1/2" Hex CIM 49</v>
      </c>
      <c r="E142" s="133">
        <v>0</v>
      </c>
      <c r="F142" s="133">
        <v>0</v>
      </c>
    </row>
    <row r="143" spans="1:6" ht="14.25" customHeight="1" x14ac:dyDescent="0.3">
      <c r="A143" s="133" t="s">
        <v>117</v>
      </c>
      <c r="B143" s="133" t="s">
        <v>6</v>
      </c>
      <c r="C143" s="133">
        <v>50</v>
      </c>
      <c r="D143" s="133" t="str">
        <f t="shared" si="0"/>
        <v>1/2" Hex CIM 50</v>
      </c>
      <c r="E143" s="133">
        <v>0</v>
      </c>
      <c r="F143" s="133">
        <v>0</v>
      </c>
    </row>
    <row r="144" spans="1:6" ht="14.25" customHeight="1" x14ac:dyDescent="0.3">
      <c r="A144" s="133" t="s">
        <v>117</v>
      </c>
      <c r="B144" s="133" t="s">
        <v>6</v>
      </c>
      <c r="C144" s="133">
        <v>63</v>
      </c>
      <c r="D144" s="133" t="str">
        <f t="shared" si="0"/>
        <v>1/2" Hex CIM 63</v>
      </c>
      <c r="E144" s="133">
        <v>0</v>
      </c>
      <c r="F144" s="133">
        <v>0</v>
      </c>
    </row>
    <row r="145" spans="1:6" ht="14.25" customHeight="1" x14ac:dyDescent="0.3">
      <c r="A145" s="133" t="s">
        <v>117</v>
      </c>
      <c r="B145" s="133" t="s">
        <v>6</v>
      </c>
      <c r="C145" s="133">
        <v>70</v>
      </c>
      <c r="D145" s="133" t="str">
        <f t="shared" si="0"/>
        <v>1/2" Hex CIM 70</v>
      </c>
      <c r="E145" s="133">
        <v>0</v>
      </c>
      <c r="F145" s="133">
        <v>0</v>
      </c>
    </row>
    <row r="146" spans="1:6" ht="14.25" customHeight="1" x14ac:dyDescent="0.3">
      <c r="A146" s="133" t="s">
        <v>117</v>
      </c>
      <c r="B146" s="133" t="s">
        <v>6</v>
      </c>
      <c r="C146" s="133">
        <v>81</v>
      </c>
      <c r="D146" s="133" t="str">
        <f t="shared" si="0"/>
        <v>1/2" Hex CIM 81</v>
      </c>
      <c r="E146" s="133">
        <v>0</v>
      </c>
      <c r="F146" s="133">
        <v>0</v>
      </c>
    </row>
    <row r="147" spans="1:6" ht="14.25" customHeight="1" x14ac:dyDescent="0.3">
      <c r="A147" s="133" t="s">
        <v>117</v>
      </c>
      <c r="B147" s="133" t="s">
        <v>6</v>
      </c>
      <c r="C147" s="133">
        <v>90</v>
      </c>
      <c r="D147" s="133" t="str">
        <f t="shared" si="0"/>
        <v>1/2" Hex CIM 90</v>
      </c>
      <c r="E147" s="133">
        <v>0</v>
      </c>
      <c r="F147" s="133">
        <v>0</v>
      </c>
    </row>
    <row r="148" spans="1:6" ht="14.25" customHeight="1" x14ac:dyDescent="0.3">
      <c r="A148" s="133" t="s">
        <v>117</v>
      </c>
      <c r="B148" s="133" t="s">
        <v>6</v>
      </c>
      <c r="C148" s="133">
        <v>100</v>
      </c>
      <c r="D148" s="133" t="str">
        <f t="shared" si="0"/>
        <v>1/2" Hex CIM 100</v>
      </c>
      <c r="E148" s="133">
        <v>0</v>
      </c>
      <c r="F148" s="133">
        <v>0</v>
      </c>
    </row>
    <row r="149" spans="1:6" ht="14.25" customHeight="1" x14ac:dyDescent="0.3">
      <c r="A149" s="133" t="s">
        <v>117</v>
      </c>
      <c r="B149" s="133" t="s">
        <v>259</v>
      </c>
      <c r="C149" s="133">
        <v>9</v>
      </c>
      <c r="D149" s="133" t="str">
        <f t="shared" si="0"/>
        <v>1/2" Hex 775pro 9</v>
      </c>
      <c r="E149" s="133">
        <v>10</v>
      </c>
      <c r="F149" s="133">
        <v>5</v>
      </c>
    </row>
    <row r="150" spans="1:6" ht="14.25" customHeight="1" x14ac:dyDescent="0.3">
      <c r="A150" s="133" t="s">
        <v>117</v>
      </c>
      <c r="B150" s="133" t="s">
        <v>259</v>
      </c>
      <c r="C150" s="133">
        <v>12</v>
      </c>
      <c r="D150" s="133" t="str">
        <f t="shared" si="0"/>
        <v>1/2" Hex 775pro 12</v>
      </c>
      <c r="E150" s="133">
        <v>10</v>
      </c>
      <c r="F150" s="133">
        <v>4</v>
      </c>
    </row>
    <row r="151" spans="1:6" ht="14.25" customHeight="1" x14ac:dyDescent="0.3">
      <c r="A151" s="133" t="s">
        <v>117</v>
      </c>
      <c r="B151" s="133" t="s">
        <v>259</v>
      </c>
      <c r="C151" s="133">
        <v>15</v>
      </c>
      <c r="D151" s="133" t="str">
        <f t="shared" si="0"/>
        <v>1/2" Hex 775pro 15</v>
      </c>
      <c r="E151" s="133">
        <v>10</v>
      </c>
      <c r="F151" s="133">
        <v>3</v>
      </c>
    </row>
    <row r="152" spans="1:6" ht="14.25" customHeight="1" x14ac:dyDescent="0.3">
      <c r="A152" s="133" t="s">
        <v>117</v>
      </c>
      <c r="B152" s="133" t="s">
        <v>259</v>
      </c>
      <c r="C152" s="133">
        <v>16</v>
      </c>
      <c r="D152" s="133" t="str">
        <f t="shared" si="0"/>
        <v>1/2" Hex 775pro 16</v>
      </c>
      <c r="E152" s="133">
        <v>10</v>
      </c>
      <c r="F152" s="133">
        <v>3</v>
      </c>
    </row>
    <row r="153" spans="1:6" ht="14.25" customHeight="1" x14ac:dyDescent="0.3">
      <c r="A153" s="133" t="s">
        <v>117</v>
      </c>
      <c r="B153" s="133" t="s">
        <v>259</v>
      </c>
      <c r="C153" s="133">
        <v>20</v>
      </c>
      <c r="D153" s="133" t="str">
        <f t="shared" si="0"/>
        <v>1/2" Hex 775pro 20</v>
      </c>
      <c r="E153" s="133">
        <v>10</v>
      </c>
      <c r="F153" s="133">
        <v>1</v>
      </c>
    </row>
    <row r="154" spans="1:6" ht="14.25" customHeight="1" x14ac:dyDescent="0.3">
      <c r="A154" s="133" t="s">
        <v>117</v>
      </c>
      <c r="B154" s="133" t="s">
        <v>259</v>
      </c>
      <c r="C154" s="133">
        <v>21</v>
      </c>
      <c r="D154" s="133" t="str">
        <f t="shared" si="0"/>
        <v>1/2" Hex 775pro 21</v>
      </c>
      <c r="E154" s="133">
        <v>10</v>
      </c>
      <c r="F154" s="133">
        <v>1</v>
      </c>
    </row>
    <row r="155" spans="1:6" ht="14.25" customHeight="1" x14ac:dyDescent="0.3">
      <c r="A155" s="133" t="s">
        <v>117</v>
      </c>
      <c r="B155" s="133" t="s">
        <v>259</v>
      </c>
      <c r="C155" s="133">
        <v>25</v>
      </c>
      <c r="D155" s="133" t="str">
        <f t="shared" si="0"/>
        <v>1/2" Hex 775pro 25</v>
      </c>
      <c r="E155" s="133">
        <v>7</v>
      </c>
      <c r="F155" s="133">
        <v>1</v>
      </c>
    </row>
    <row r="156" spans="1:6" ht="14.25" customHeight="1" x14ac:dyDescent="0.3">
      <c r="A156" s="133" t="s">
        <v>117</v>
      </c>
      <c r="B156" s="133" t="s">
        <v>259</v>
      </c>
      <c r="C156" s="133">
        <v>27</v>
      </c>
      <c r="D156" s="133" t="str">
        <f t="shared" si="0"/>
        <v>1/2" Hex 775pro 27</v>
      </c>
      <c r="E156" s="133">
        <v>7</v>
      </c>
      <c r="F156" s="133">
        <v>1</v>
      </c>
    </row>
    <row r="157" spans="1:6" ht="14.25" customHeight="1" x14ac:dyDescent="0.3">
      <c r="A157" s="133" t="s">
        <v>117</v>
      </c>
      <c r="B157" s="133" t="s">
        <v>259</v>
      </c>
      <c r="C157" s="133">
        <v>28</v>
      </c>
      <c r="D157" s="133" t="str">
        <f t="shared" si="0"/>
        <v>1/2" Hex 775pro 28</v>
      </c>
      <c r="E157" s="133">
        <v>7</v>
      </c>
      <c r="F157" s="133">
        <v>1</v>
      </c>
    </row>
    <row r="158" spans="1:6" ht="14.25" customHeight="1" x14ac:dyDescent="0.3">
      <c r="A158" s="133" t="s">
        <v>117</v>
      </c>
      <c r="B158" s="133" t="s">
        <v>259</v>
      </c>
      <c r="C158" s="133">
        <v>30</v>
      </c>
      <c r="D158" s="133" t="str">
        <f t="shared" si="0"/>
        <v>1/2" Hex 775pro 30</v>
      </c>
      <c r="E158" s="133">
        <v>7</v>
      </c>
      <c r="F158" s="133">
        <v>1</v>
      </c>
    </row>
    <row r="159" spans="1:6" ht="14.25" customHeight="1" x14ac:dyDescent="0.3">
      <c r="A159" s="133" t="s">
        <v>117</v>
      </c>
      <c r="B159" s="133" t="s">
        <v>259</v>
      </c>
      <c r="C159" s="133">
        <v>35</v>
      </c>
      <c r="D159" s="133" t="str">
        <f t="shared" si="0"/>
        <v>1/2" Hex 775pro 35</v>
      </c>
      <c r="E159" s="133">
        <v>5</v>
      </c>
      <c r="F159" s="133">
        <v>1</v>
      </c>
    </row>
    <row r="160" spans="1:6" ht="14.25" customHeight="1" x14ac:dyDescent="0.3">
      <c r="A160" s="133" t="s">
        <v>117</v>
      </c>
      <c r="B160" s="133" t="s">
        <v>259</v>
      </c>
      <c r="C160" s="133">
        <v>36</v>
      </c>
      <c r="D160" s="133" t="str">
        <f t="shared" si="0"/>
        <v>1/2" Hex 775pro 36</v>
      </c>
      <c r="E160" s="133">
        <v>5</v>
      </c>
      <c r="F160" s="133">
        <v>1</v>
      </c>
    </row>
    <row r="161" spans="1:6" ht="14.25" customHeight="1" x14ac:dyDescent="0.3">
      <c r="A161" s="133" t="s">
        <v>117</v>
      </c>
      <c r="B161" s="133" t="s">
        <v>259</v>
      </c>
      <c r="C161" s="133">
        <v>40</v>
      </c>
      <c r="D161" s="133" t="str">
        <f t="shared" si="0"/>
        <v>1/2" Hex 775pro 40</v>
      </c>
      <c r="E161" s="133">
        <v>5</v>
      </c>
      <c r="F161" s="133">
        <v>1</v>
      </c>
    </row>
    <row r="162" spans="1:6" ht="14.25" customHeight="1" x14ac:dyDescent="0.3">
      <c r="A162" s="133" t="s">
        <v>117</v>
      </c>
      <c r="B162" s="133" t="s">
        <v>259</v>
      </c>
      <c r="C162" s="133">
        <v>45</v>
      </c>
      <c r="D162" s="133" t="str">
        <f t="shared" si="0"/>
        <v>1/2" Hex 775pro 45</v>
      </c>
      <c r="E162" s="133">
        <v>4</v>
      </c>
      <c r="F162" s="133">
        <v>1</v>
      </c>
    </row>
    <row r="163" spans="1:6" ht="14.25" customHeight="1" x14ac:dyDescent="0.3">
      <c r="A163" s="133" t="s">
        <v>117</v>
      </c>
      <c r="B163" s="133" t="s">
        <v>259</v>
      </c>
      <c r="C163" s="133">
        <v>49</v>
      </c>
      <c r="D163" s="133" t="str">
        <f t="shared" si="0"/>
        <v>1/2" Hex 775pro 49</v>
      </c>
      <c r="E163" s="133">
        <v>4</v>
      </c>
      <c r="F163" s="133">
        <v>1</v>
      </c>
    </row>
    <row r="164" spans="1:6" ht="14.25" customHeight="1" x14ac:dyDescent="0.3">
      <c r="A164" s="133" t="s">
        <v>117</v>
      </c>
      <c r="B164" s="133" t="s">
        <v>259</v>
      </c>
      <c r="C164" s="133">
        <v>50</v>
      </c>
      <c r="D164" s="133" t="str">
        <f t="shared" si="0"/>
        <v>1/2" Hex 775pro 50</v>
      </c>
      <c r="E164" s="133">
        <v>4</v>
      </c>
      <c r="F164" s="133">
        <v>0</v>
      </c>
    </row>
    <row r="165" spans="1:6" ht="14.25" customHeight="1" x14ac:dyDescent="0.3">
      <c r="A165" s="133" t="s">
        <v>117</v>
      </c>
      <c r="B165" s="133" t="s">
        <v>259</v>
      </c>
      <c r="C165" s="133">
        <v>63</v>
      </c>
      <c r="D165" s="133" t="str">
        <f t="shared" si="0"/>
        <v>1/2" Hex 775pro 63</v>
      </c>
      <c r="E165" s="133">
        <v>3</v>
      </c>
      <c r="F165" s="133">
        <v>0</v>
      </c>
    </row>
    <row r="166" spans="1:6" ht="14.25" customHeight="1" x14ac:dyDescent="0.3">
      <c r="A166" s="133" t="s">
        <v>117</v>
      </c>
      <c r="B166" s="133" t="s">
        <v>259</v>
      </c>
      <c r="C166" s="133">
        <v>70</v>
      </c>
      <c r="D166" s="133" t="str">
        <f t="shared" si="0"/>
        <v>1/2" Hex 775pro 70</v>
      </c>
      <c r="E166" s="133">
        <v>3</v>
      </c>
      <c r="F166" s="133">
        <v>0</v>
      </c>
    </row>
    <row r="167" spans="1:6" ht="14.25" customHeight="1" x14ac:dyDescent="0.3">
      <c r="A167" s="133" t="s">
        <v>117</v>
      </c>
      <c r="B167" s="133" t="s">
        <v>259</v>
      </c>
      <c r="C167" s="133">
        <v>81</v>
      </c>
      <c r="D167" s="133" t="str">
        <f t="shared" si="0"/>
        <v>1/2" Hex 775pro 81</v>
      </c>
      <c r="E167" s="133">
        <v>1</v>
      </c>
      <c r="F167" s="133">
        <v>0</v>
      </c>
    </row>
    <row r="168" spans="1:6" ht="14.25" customHeight="1" x14ac:dyDescent="0.3">
      <c r="A168" s="133" t="s">
        <v>117</v>
      </c>
      <c r="B168" s="133" t="s">
        <v>259</v>
      </c>
      <c r="C168" s="133">
        <v>90</v>
      </c>
      <c r="D168" s="133" t="str">
        <f t="shared" si="0"/>
        <v>1/2" Hex 775pro 90</v>
      </c>
      <c r="E168" s="133">
        <v>1</v>
      </c>
      <c r="F168" s="133">
        <v>0</v>
      </c>
    </row>
    <row r="169" spans="1:6" ht="14.25" customHeight="1" x14ac:dyDescent="0.3">
      <c r="A169" s="133" t="s">
        <v>117</v>
      </c>
      <c r="B169" s="133" t="s">
        <v>259</v>
      </c>
      <c r="C169" s="133">
        <v>100</v>
      </c>
      <c r="D169" s="133" t="str">
        <f t="shared" si="0"/>
        <v>1/2" Hex 775pro 100</v>
      </c>
      <c r="E169" s="133">
        <v>1</v>
      </c>
      <c r="F169" s="133">
        <v>0</v>
      </c>
    </row>
    <row r="170" spans="1:6" ht="14.25" customHeight="1" x14ac:dyDescent="0.3">
      <c r="A170" s="133" t="s">
        <v>243</v>
      </c>
      <c r="B170" s="133" t="s">
        <v>11</v>
      </c>
      <c r="C170" s="133">
        <v>9</v>
      </c>
      <c r="D170" s="133" t="str">
        <f t="shared" si="0"/>
        <v>1/2" Round AM 9015 9</v>
      </c>
      <c r="E170" s="133">
        <v>10</v>
      </c>
      <c r="F170" s="133">
        <v>10</v>
      </c>
    </row>
    <row r="171" spans="1:6" ht="14.25" customHeight="1" x14ac:dyDescent="0.3">
      <c r="A171" s="133" t="s">
        <v>243</v>
      </c>
      <c r="B171" s="133" t="s">
        <v>11</v>
      </c>
      <c r="C171" s="133">
        <v>12</v>
      </c>
      <c r="D171" s="133" t="str">
        <f t="shared" si="0"/>
        <v>1/2" Round AM 9015 12</v>
      </c>
      <c r="E171" s="133">
        <v>10</v>
      </c>
      <c r="F171" s="133">
        <v>7</v>
      </c>
    </row>
    <row r="172" spans="1:6" ht="14.25" customHeight="1" x14ac:dyDescent="0.3">
      <c r="A172" s="133" t="s">
        <v>243</v>
      </c>
      <c r="B172" s="133" t="s">
        <v>11</v>
      </c>
      <c r="C172" s="133">
        <v>15</v>
      </c>
      <c r="D172" s="133" t="str">
        <f t="shared" si="0"/>
        <v>1/2" Round AM 9015 15</v>
      </c>
      <c r="E172" s="133">
        <v>10</v>
      </c>
      <c r="F172" s="133">
        <v>5</v>
      </c>
    </row>
    <row r="173" spans="1:6" ht="14.25" customHeight="1" x14ac:dyDescent="0.3">
      <c r="A173" s="133" t="s">
        <v>243</v>
      </c>
      <c r="B173" s="133" t="s">
        <v>11</v>
      </c>
      <c r="C173" s="133">
        <v>16</v>
      </c>
      <c r="D173" s="133" t="str">
        <f t="shared" si="0"/>
        <v>1/2" Round AM 9015 16</v>
      </c>
      <c r="E173" s="133">
        <v>10</v>
      </c>
      <c r="F173" s="133">
        <v>5</v>
      </c>
    </row>
    <row r="174" spans="1:6" ht="14.25" customHeight="1" x14ac:dyDescent="0.3">
      <c r="A174" s="133" t="s">
        <v>243</v>
      </c>
      <c r="B174" s="133" t="s">
        <v>11</v>
      </c>
      <c r="C174" s="133">
        <v>20</v>
      </c>
      <c r="D174" s="133" t="str">
        <f t="shared" si="0"/>
        <v>1/2" Round AM 9015 20</v>
      </c>
      <c r="E174" s="133">
        <v>10</v>
      </c>
      <c r="F174" s="133">
        <v>4</v>
      </c>
    </row>
    <row r="175" spans="1:6" ht="14.25" customHeight="1" x14ac:dyDescent="0.3">
      <c r="A175" s="133" t="s">
        <v>243</v>
      </c>
      <c r="B175" s="133" t="s">
        <v>11</v>
      </c>
      <c r="C175" s="133">
        <v>21</v>
      </c>
      <c r="D175" s="133" t="str">
        <f t="shared" si="0"/>
        <v>1/2" Round AM 9015 21</v>
      </c>
      <c r="E175" s="133">
        <v>10</v>
      </c>
      <c r="F175" s="133">
        <v>4</v>
      </c>
    </row>
    <row r="176" spans="1:6" ht="14.25" customHeight="1" x14ac:dyDescent="0.3">
      <c r="A176" s="133" t="s">
        <v>243</v>
      </c>
      <c r="B176" s="133" t="s">
        <v>11</v>
      </c>
      <c r="C176" s="133">
        <v>25</v>
      </c>
      <c r="D176" s="133" t="str">
        <f t="shared" si="0"/>
        <v>1/2" Round AM 9015 25</v>
      </c>
      <c r="E176" s="133">
        <v>7</v>
      </c>
      <c r="F176" s="133">
        <v>3</v>
      </c>
    </row>
    <row r="177" spans="1:6" ht="14.25" customHeight="1" x14ac:dyDescent="0.3">
      <c r="A177" s="133" t="s">
        <v>243</v>
      </c>
      <c r="B177" s="133" t="s">
        <v>11</v>
      </c>
      <c r="C177" s="133">
        <v>27</v>
      </c>
      <c r="D177" s="133" t="str">
        <f t="shared" si="0"/>
        <v>1/2" Round AM 9015 27</v>
      </c>
      <c r="E177" s="133">
        <v>7</v>
      </c>
      <c r="F177" s="133">
        <v>3</v>
      </c>
    </row>
    <row r="178" spans="1:6" ht="14.25" customHeight="1" x14ac:dyDescent="0.3">
      <c r="A178" s="133" t="s">
        <v>243</v>
      </c>
      <c r="B178" s="133" t="s">
        <v>11</v>
      </c>
      <c r="C178" s="133">
        <v>28</v>
      </c>
      <c r="D178" s="133" t="str">
        <f t="shared" si="0"/>
        <v>1/2" Round AM 9015 28</v>
      </c>
      <c r="E178" s="133">
        <v>7</v>
      </c>
      <c r="F178" s="133">
        <v>3</v>
      </c>
    </row>
    <row r="179" spans="1:6" ht="14.25" customHeight="1" x14ac:dyDescent="0.3">
      <c r="A179" s="133" t="s">
        <v>243</v>
      </c>
      <c r="B179" s="133" t="s">
        <v>11</v>
      </c>
      <c r="C179" s="133">
        <v>30</v>
      </c>
      <c r="D179" s="133" t="str">
        <f t="shared" si="0"/>
        <v>1/2" Round AM 9015 30</v>
      </c>
      <c r="E179" s="133">
        <v>7</v>
      </c>
      <c r="F179" s="133">
        <v>3</v>
      </c>
    </row>
    <row r="180" spans="1:6" ht="14.25" customHeight="1" x14ac:dyDescent="0.3">
      <c r="A180" s="133" t="s">
        <v>243</v>
      </c>
      <c r="B180" s="133" t="s">
        <v>11</v>
      </c>
      <c r="C180" s="133">
        <v>35</v>
      </c>
      <c r="D180" s="133" t="str">
        <f t="shared" si="0"/>
        <v>1/2" Round AM 9015 35</v>
      </c>
      <c r="E180" s="133">
        <v>5</v>
      </c>
      <c r="F180" s="133">
        <v>1</v>
      </c>
    </row>
    <row r="181" spans="1:6" ht="14.25" customHeight="1" x14ac:dyDescent="0.3">
      <c r="A181" s="133" t="s">
        <v>243</v>
      </c>
      <c r="B181" s="133" t="s">
        <v>11</v>
      </c>
      <c r="C181" s="133">
        <v>36</v>
      </c>
      <c r="D181" s="133" t="str">
        <f t="shared" si="0"/>
        <v>1/2" Round AM 9015 36</v>
      </c>
      <c r="E181" s="133">
        <v>5</v>
      </c>
      <c r="F181" s="133">
        <v>1</v>
      </c>
    </row>
    <row r="182" spans="1:6" ht="14.25" customHeight="1" x14ac:dyDescent="0.3">
      <c r="A182" s="133" t="s">
        <v>243</v>
      </c>
      <c r="B182" s="133" t="s">
        <v>11</v>
      </c>
      <c r="C182" s="133">
        <v>40</v>
      </c>
      <c r="D182" s="133" t="str">
        <f t="shared" si="0"/>
        <v>1/2" Round AM 9015 40</v>
      </c>
      <c r="E182" s="133">
        <v>5</v>
      </c>
      <c r="F182" s="133">
        <v>1</v>
      </c>
    </row>
    <row r="183" spans="1:6" ht="14.25" customHeight="1" x14ac:dyDescent="0.3">
      <c r="A183" s="133" t="s">
        <v>243</v>
      </c>
      <c r="B183" s="133" t="s">
        <v>11</v>
      </c>
      <c r="C183" s="133">
        <v>45</v>
      </c>
      <c r="D183" s="133" t="str">
        <f t="shared" si="0"/>
        <v>1/2" Round AM 9015 45</v>
      </c>
      <c r="E183" s="133">
        <v>5</v>
      </c>
      <c r="F183" s="133">
        <v>1</v>
      </c>
    </row>
    <row r="184" spans="1:6" ht="14.25" customHeight="1" x14ac:dyDescent="0.3">
      <c r="A184" s="133" t="s">
        <v>243</v>
      </c>
      <c r="B184" s="133" t="s">
        <v>11</v>
      </c>
      <c r="C184" s="133">
        <v>49</v>
      </c>
      <c r="D184" s="133" t="str">
        <f t="shared" si="0"/>
        <v>1/2" Round AM 9015 49</v>
      </c>
      <c r="E184" s="133">
        <v>5</v>
      </c>
      <c r="F184" s="133">
        <v>1</v>
      </c>
    </row>
    <row r="185" spans="1:6" ht="14.25" customHeight="1" x14ac:dyDescent="0.3">
      <c r="A185" s="133" t="s">
        <v>243</v>
      </c>
      <c r="B185" s="133" t="s">
        <v>11</v>
      </c>
      <c r="C185" s="133">
        <v>50</v>
      </c>
      <c r="D185" s="133" t="str">
        <f t="shared" si="0"/>
        <v>1/2" Round AM 9015 50</v>
      </c>
      <c r="E185" s="133">
        <v>5</v>
      </c>
      <c r="F185" s="133">
        <v>1</v>
      </c>
    </row>
    <row r="186" spans="1:6" ht="14.25" customHeight="1" x14ac:dyDescent="0.3">
      <c r="A186" s="133" t="s">
        <v>243</v>
      </c>
      <c r="B186" s="133" t="s">
        <v>11</v>
      </c>
      <c r="C186" s="133">
        <v>63</v>
      </c>
      <c r="D186" s="133" t="str">
        <f t="shared" si="0"/>
        <v>1/2" Round AM 9015 63</v>
      </c>
      <c r="E186" s="133">
        <v>4</v>
      </c>
      <c r="F186" s="133">
        <v>1</v>
      </c>
    </row>
    <row r="187" spans="1:6" ht="14.25" customHeight="1" x14ac:dyDescent="0.3">
      <c r="A187" s="133" t="s">
        <v>243</v>
      </c>
      <c r="B187" s="133" t="s">
        <v>11</v>
      </c>
      <c r="C187" s="133">
        <v>70</v>
      </c>
      <c r="D187" s="133" t="str">
        <f t="shared" si="0"/>
        <v>1/2" Round AM 9015 70</v>
      </c>
      <c r="E187" s="133">
        <v>4</v>
      </c>
      <c r="F187" s="133">
        <v>1</v>
      </c>
    </row>
    <row r="188" spans="1:6" ht="14.25" customHeight="1" x14ac:dyDescent="0.3">
      <c r="A188" s="133" t="s">
        <v>243</v>
      </c>
      <c r="B188" s="133" t="s">
        <v>11</v>
      </c>
      <c r="C188" s="133">
        <v>81</v>
      </c>
      <c r="D188" s="133" t="str">
        <f t="shared" si="0"/>
        <v>1/2" Round AM 9015 81</v>
      </c>
      <c r="E188" s="133">
        <v>3</v>
      </c>
      <c r="F188" s="133">
        <v>1</v>
      </c>
    </row>
    <row r="189" spans="1:6" ht="14.25" customHeight="1" x14ac:dyDescent="0.3">
      <c r="A189" s="133" t="s">
        <v>243</v>
      </c>
      <c r="B189" s="133" t="s">
        <v>11</v>
      </c>
      <c r="C189" s="133">
        <v>90</v>
      </c>
      <c r="D189" s="133" t="str">
        <f t="shared" si="0"/>
        <v>1/2" Round AM 9015 90</v>
      </c>
      <c r="E189" s="133">
        <v>3</v>
      </c>
      <c r="F189" s="133">
        <v>1</v>
      </c>
    </row>
    <row r="190" spans="1:6" ht="14.25" customHeight="1" x14ac:dyDescent="0.3">
      <c r="A190" s="133" t="s">
        <v>243</v>
      </c>
      <c r="B190" s="133" t="s">
        <v>11</v>
      </c>
      <c r="C190" s="133">
        <v>100</v>
      </c>
      <c r="D190" s="133" t="str">
        <f t="shared" si="0"/>
        <v>1/2" Round AM 9015 100</v>
      </c>
      <c r="E190" s="133">
        <v>1</v>
      </c>
      <c r="F190" s="133">
        <v>0</v>
      </c>
    </row>
    <row r="191" spans="1:6" ht="14.25" customHeight="1" x14ac:dyDescent="0.3">
      <c r="A191" s="133" t="s">
        <v>243</v>
      </c>
      <c r="B191" s="133" t="s">
        <v>337</v>
      </c>
      <c r="C191" s="133">
        <v>9</v>
      </c>
      <c r="D191" s="133" t="str">
        <f t="shared" si="0"/>
        <v>1/2" Round NeveRest 9</v>
      </c>
      <c r="E191" s="133">
        <v>10</v>
      </c>
      <c r="F191" s="133">
        <v>10</v>
      </c>
    </row>
    <row r="192" spans="1:6" ht="14.25" customHeight="1" x14ac:dyDescent="0.3">
      <c r="A192" s="133" t="s">
        <v>243</v>
      </c>
      <c r="B192" s="133" t="s">
        <v>337</v>
      </c>
      <c r="C192" s="133">
        <v>12</v>
      </c>
      <c r="D192" s="133" t="str">
        <f t="shared" si="0"/>
        <v>1/2" Round NeveRest 12</v>
      </c>
      <c r="E192" s="133">
        <v>10</v>
      </c>
      <c r="F192" s="133">
        <v>10</v>
      </c>
    </row>
    <row r="193" spans="1:6" ht="14.25" customHeight="1" x14ac:dyDescent="0.3">
      <c r="A193" s="133" t="s">
        <v>243</v>
      </c>
      <c r="B193" s="133" t="s">
        <v>337</v>
      </c>
      <c r="C193" s="133">
        <v>15</v>
      </c>
      <c r="D193" s="133" t="str">
        <f t="shared" si="0"/>
        <v>1/2" Round NeveRest 15</v>
      </c>
      <c r="E193" s="133">
        <v>10</v>
      </c>
      <c r="F193" s="133">
        <v>10</v>
      </c>
    </row>
    <row r="194" spans="1:6" ht="14.25" customHeight="1" x14ac:dyDescent="0.3">
      <c r="A194" s="133" t="s">
        <v>243</v>
      </c>
      <c r="B194" s="133" t="s">
        <v>337</v>
      </c>
      <c r="C194" s="133">
        <v>16</v>
      </c>
      <c r="D194" s="133" t="str">
        <f t="shared" si="0"/>
        <v>1/2" Round NeveRest 16</v>
      </c>
      <c r="E194" s="133">
        <v>10</v>
      </c>
      <c r="F194" s="133">
        <v>10</v>
      </c>
    </row>
    <row r="195" spans="1:6" ht="14.25" customHeight="1" x14ac:dyDescent="0.3">
      <c r="A195" s="133" t="s">
        <v>243</v>
      </c>
      <c r="B195" s="133" t="s">
        <v>337</v>
      </c>
      <c r="C195" s="133">
        <v>20</v>
      </c>
      <c r="D195" s="133" t="str">
        <f t="shared" si="0"/>
        <v>1/2" Round NeveRest 20</v>
      </c>
      <c r="E195" s="133">
        <v>10</v>
      </c>
      <c r="F195" s="133">
        <v>10</v>
      </c>
    </row>
    <row r="196" spans="1:6" ht="14.25" customHeight="1" x14ac:dyDescent="0.3">
      <c r="A196" s="133" t="s">
        <v>243</v>
      </c>
      <c r="B196" s="133" t="s">
        <v>337</v>
      </c>
      <c r="C196" s="133">
        <v>21</v>
      </c>
      <c r="D196" s="133" t="str">
        <f t="shared" si="0"/>
        <v>1/2" Round NeveRest 21</v>
      </c>
      <c r="E196" s="133">
        <v>9</v>
      </c>
      <c r="F196" s="133">
        <v>9</v>
      </c>
    </row>
    <row r="197" spans="1:6" ht="14.25" customHeight="1" x14ac:dyDescent="0.3">
      <c r="A197" s="133" t="s">
        <v>243</v>
      </c>
      <c r="B197" s="133" t="s">
        <v>337</v>
      </c>
      <c r="C197" s="133">
        <v>25</v>
      </c>
      <c r="D197" s="133" t="str">
        <f t="shared" si="0"/>
        <v>1/2" Round NeveRest 25</v>
      </c>
      <c r="E197" s="133">
        <v>7</v>
      </c>
      <c r="F197" s="133">
        <v>7</v>
      </c>
    </row>
    <row r="198" spans="1:6" ht="14.25" customHeight="1" x14ac:dyDescent="0.3">
      <c r="A198" s="133" t="s">
        <v>243</v>
      </c>
      <c r="B198" s="133" t="s">
        <v>337</v>
      </c>
      <c r="C198" s="133">
        <v>27</v>
      </c>
      <c r="D198" s="133" t="str">
        <f t="shared" si="0"/>
        <v>1/2" Round NeveRest 27</v>
      </c>
      <c r="E198" s="133">
        <v>7</v>
      </c>
      <c r="F198" s="133">
        <v>7</v>
      </c>
    </row>
    <row r="199" spans="1:6" ht="14.25" customHeight="1" x14ac:dyDescent="0.3">
      <c r="A199" s="133" t="s">
        <v>243</v>
      </c>
      <c r="B199" s="133" t="s">
        <v>337</v>
      </c>
      <c r="C199" s="133">
        <v>28</v>
      </c>
      <c r="D199" s="133" t="str">
        <f t="shared" si="0"/>
        <v>1/2" Round NeveRest 28</v>
      </c>
      <c r="E199" s="133">
        <v>7</v>
      </c>
      <c r="F199" s="133">
        <v>7</v>
      </c>
    </row>
    <row r="200" spans="1:6" ht="14.25" customHeight="1" x14ac:dyDescent="0.3">
      <c r="A200" s="133" t="s">
        <v>243</v>
      </c>
      <c r="B200" s="133" t="s">
        <v>337</v>
      </c>
      <c r="C200" s="133">
        <v>30</v>
      </c>
      <c r="D200" s="133" t="str">
        <f t="shared" si="0"/>
        <v>1/2" Round NeveRest 30</v>
      </c>
      <c r="E200" s="133">
        <v>5</v>
      </c>
      <c r="F200" s="133">
        <v>5</v>
      </c>
    </row>
    <row r="201" spans="1:6" ht="14.25" customHeight="1" x14ac:dyDescent="0.3">
      <c r="A201" s="133" t="s">
        <v>243</v>
      </c>
      <c r="B201" s="133" t="s">
        <v>337</v>
      </c>
      <c r="C201" s="133">
        <v>35</v>
      </c>
      <c r="D201" s="133" t="str">
        <f t="shared" si="0"/>
        <v>1/2" Round NeveRest 35</v>
      </c>
      <c r="E201" s="133">
        <v>5</v>
      </c>
      <c r="F201" s="133">
        <v>5</v>
      </c>
    </row>
    <row r="202" spans="1:6" ht="14.25" customHeight="1" x14ac:dyDescent="0.3">
      <c r="A202" s="133" t="s">
        <v>243</v>
      </c>
      <c r="B202" s="133" t="s">
        <v>337</v>
      </c>
      <c r="C202" s="133">
        <v>36</v>
      </c>
      <c r="D202" s="133" t="str">
        <f t="shared" si="0"/>
        <v>1/2" Round NeveRest 36</v>
      </c>
      <c r="E202" s="133">
        <v>5</v>
      </c>
      <c r="F202" s="133">
        <v>5</v>
      </c>
    </row>
    <row r="203" spans="1:6" ht="14.25" customHeight="1" x14ac:dyDescent="0.3">
      <c r="A203" s="133" t="s">
        <v>243</v>
      </c>
      <c r="B203" s="133" t="s">
        <v>337</v>
      </c>
      <c r="C203" s="133">
        <v>40</v>
      </c>
      <c r="D203" s="133" t="str">
        <f t="shared" si="0"/>
        <v>1/2" Round NeveRest 40</v>
      </c>
      <c r="E203" s="133">
        <v>5</v>
      </c>
      <c r="F203" s="133">
        <v>5</v>
      </c>
    </row>
    <row r="204" spans="1:6" ht="14.25" customHeight="1" x14ac:dyDescent="0.3">
      <c r="A204" s="133" t="s">
        <v>243</v>
      </c>
      <c r="B204" s="133" t="s">
        <v>337</v>
      </c>
      <c r="C204" s="133">
        <v>45</v>
      </c>
      <c r="D204" s="133" t="str">
        <f t="shared" si="0"/>
        <v>1/2" Round NeveRest 45</v>
      </c>
      <c r="E204" s="133">
        <v>5</v>
      </c>
      <c r="F204" s="133">
        <v>4</v>
      </c>
    </row>
    <row r="205" spans="1:6" ht="14.25" customHeight="1" x14ac:dyDescent="0.3">
      <c r="A205" s="133" t="s">
        <v>243</v>
      </c>
      <c r="B205" s="133" t="s">
        <v>337</v>
      </c>
      <c r="C205" s="133">
        <v>49</v>
      </c>
      <c r="D205" s="133" t="str">
        <f t="shared" si="0"/>
        <v>1/2" Round NeveRest 49</v>
      </c>
      <c r="E205" s="133">
        <v>5</v>
      </c>
      <c r="F205" s="133">
        <v>4</v>
      </c>
    </row>
    <row r="206" spans="1:6" ht="14.25" customHeight="1" x14ac:dyDescent="0.3">
      <c r="A206" s="133" t="s">
        <v>243</v>
      </c>
      <c r="B206" s="133" t="s">
        <v>337</v>
      </c>
      <c r="C206" s="133">
        <v>50</v>
      </c>
      <c r="D206" s="133" t="str">
        <f t="shared" si="0"/>
        <v>1/2" Round NeveRest 50</v>
      </c>
      <c r="E206" s="133">
        <v>5</v>
      </c>
      <c r="F206" s="133">
        <v>4</v>
      </c>
    </row>
    <row r="207" spans="1:6" ht="14.25" customHeight="1" x14ac:dyDescent="0.3">
      <c r="A207" s="133" t="s">
        <v>243</v>
      </c>
      <c r="B207" s="133" t="s">
        <v>337</v>
      </c>
      <c r="C207" s="133">
        <v>63</v>
      </c>
      <c r="D207" s="133" t="str">
        <f t="shared" si="0"/>
        <v>1/2" Round NeveRest 63</v>
      </c>
      <c r="E207" s="133">
        <v>4</v>
      </c>
      <c r="F207" s="133">
        <v>3</v>
      </c>
    </row>
    <row r="208" spans="1:6" ht="14.25" customHeight="1" x14ac:dyDescent="0.3">
      <c r="A208" s="133" t="s">
        <v>243</v>
      </c>
      <c r="B208" s="133" t="s">
        <v>337</v>
      </c>
      <c r="C208" s="133">
        <v>70</v>
      </c>
      <c r="D208" s="133" t="str">
        <f t="shared" si="0"/>
        <v>1/2" Round NeveRest 70</v>
      </c>
      <c r="E208" s="133">
        <v>3</v>
      </c>
      <c r="F208" s="133">
        <v>1</v>
      </c>
    </row>
    <row r="209" spans="1:6" ht="14.25" customHeight="1" x14ac:dyDescent="0.3">
      <c r="A209" s="133" t="s">
        <v>243</v>
      </c>
      <c r="B209" s="133" t="s">
        <v>337</v>
      </c>
      <c r="C209" s="133">
        <v>81</v>
      </c>
      <c r="D209" s="133" t="str">
        <f t="shared" si="0"/>
        <v>1/2" Round NeveRest 81</v>
      </c>
      <c r="E209" s="133">
        <v>3</v>
      </c>
      <c r="F209" s="133">
        <v>1</v>
      </c>
    </row>
    <row r="210" spans="1:6" ht="14.25" customHeight="1" x14ac:dyDescent="0.3">
      <c r="A210" s="133" t="s">
        <v>243</v>
      </c>
      <c r="B210" s="133" t="s">
        <v>337</v>
      </c>
      <c r="C210" s="133">
        <v>90</v>
      </c>
      <c r="D210" s="133" t="str">
        <f t="shared" si="0"/>
        <v>1/2" Round NeveRest 90</v>
      </c>
      <c r="E210" s="133">
        <v>1</v>
      </c>
      <c r="F210" s="133">
        <v>1</v>
      </c>
    </row>
    <row r="211" spans="1:6" ht="14.25" customHeight="1" x14ac:dyDescent="0.3">
      <c r="A211" s="133" t="s">
        <v>243</v>
      </c>
      <c r="B211" s="133" t="s">
        <v>337</v>
      </c>
      <c r="C211" s="133">
        <v>100</v>
      </c>
      <c r="D211" s="133" t="str">
        <f t="shared" si="0"/>
        <v>1/2" Round NeveRest 100</v>
      </c>
      <c r="E211" s="133">
        <v>1</v>
      </c>
      <c r="F211" s="133">
        <v>1</v>
      </c>
    </row>
    <row r="212" spans="1:6" ht="14.25" customHeight="1" x14ac:dyDescent="0.3">
      <c r="A212" s="133" t="s">
        <v>243</v>
      </c>
      <c r="B212" s="133" t="s">
        <v>333</v>
      </c>
      <c r="C212" s="133">
        <v>9</v>
      </c>
      <c r="D212" s="133" t="str">
        <f t="shared" si="0"/>
        <v>1/2" Round BB RS-550 9</v>
      </c>
      <c r="E212" s="133">
        <v>10</v>
      </c>
      <c r="F212" s="133">
        <v>10</v>
      </c>
    </row>
    <row r="213" spans="1:6" ht="14.25" customHeight="1" x14ac:dyDescent="0.3">
      <c r="A213" s="133" t="s">
        <v>243</v>
      </c>
      <c r="B213" s="133" t="s">
        <v>333</v>
      </c>
      <c r="C213" s="133">
        <v>12</v>
      </c>
      <c r="D213" s="133" t="str">
        <f t="shared" si="0"/>
        <v>1/2" Round BB RS-550 12</v>
      </c>
      <c r="E213" s="133">
        <v>10</v>
      </c>
      <c r="F213" s="133">
        <v>7</v>
      </c>
    </row>
    <row r="214" spans="1:6" ht="14.25" customHeight="1" x14ac:dyDescent="0.3">
      <c r="A214" s="133" t="s">
        <v>243</v>
      </c>
      <c r="B214" s="133" t="s">
        <v>333</v>
      </c>
      <c r="C214" s="133">
        <v>15</v>
      </c>
      <c r="D214" s="133" t="str">
        <f t="shared" si="0"/>
        <v>1/2" Round BB RS-550 15</v>
      </c>
      <c r="E214" s="133">
        <v>10</v>
      </c>
      <c r="F214" s="133">
        <v>5</v>
      </c>
    </row>
    <row r="215" spans="1:6" ht="14.25" customHeight="1" x14ac:dyDescent="0.3">
      <c r="A215" s="133" t="s">
        <v>243</v>
      </c>
      <c r="B215" s="133" t="s">
        <v>333</v>
      </c>
      <c r="C215" s="133">
        <v>16</v>
      </c>
      <c r="D215" s="133" t="str">
        <f t="shared" si="0"/>
        <v>1/2" Round BB RS-550 16</v>
      </c>
      <c r="E215" s="133">
        <v>10</v>
      </c>
      <c r="F215" s="133">
        <v>5</v>
      </c>
    </row>
    <row r="216" spans="1:6" ht="14.25" customHeight="1" x14ac:dyDescent="0.3">
      <c r="A216" s="133" t="s">
        <v>243</v>
      </c>
      <c r="B216" s="133" t="s">
        <v>333</v>
      </c>
      <c r="C216" s="133">
        <v>20</v>
      </c>
      <c r="D216" s="133" t="str">
        <f t="shared" si="0"/>
        <v>1/2" Round BB RS-550 20</v>
      </c>
      <c r="E216" s="133">
        <v>10</v>
      </c>
      <c r="F216" s="133">
        <v>4</v>
      </c>
    </row>
    <row r="217" spans="1:6" ht="14.25" customHeight="1" x14ac:dyDescent="0.3">
      <c r="A217" s="133" t="s">
        <v>243</v>
      </c>
      <c r="B217" s="133" t="s">
        <v>333</v>
      </c>
      <c r="C217" s="133">
        <v>21</v>
      </c>
      <c r="D217" s="133" t="str">
        <f t="shared" si="0"/>
        <v>1/2" Round BB RS-550 21</v>
      </c>
      <c r="E217" s="133">
        <v>9</v>
      </c>
      <c r="F217" s="133">
        <v>4</v>
      </c>
    </row>
    <row r="218" spans="1:6" ht="14.25" customHeight="1" x14ac:dyDescent="0.3">
      <c r="A218" s="133" t="s">
        <v>243</v>
      </c>
      <c r="B218" s="133" t="s">
        <v>333</v>
      </c>
      <c r="C218" s="133">
        <v>25</v>
      </c>
      <c r="D218" s="133" t="str">
        <f t="shared" si="0"/>
        <v>1/2" Round BB RS-550 25</v>
      </c>
      <c r="E218" s="133">
        <v>7</v>
      </c>
      <c r="F218" s="133">
        <v>3</v>
      </c>
    </row>
    <row r="219" spans="1:6" ht="14.25" customHeight="1" x14ac:dyDescent="0.3">
      <c r="A219" s="133" t="s">
        <v>243</v>
      </c>
      <c r="B219" s="133" t="s">
        <v>333</v>
      </c>
      <c r="C219" s="133">
        <v>27</v>
      </c>
      <c r="D219" s="133" t="str">
        <f t="shared" si="0"/>
        <v>1/2" Round BB RS-550 27</v>
      </c>
      <c r="E219" s="133">
        <v>7</v>
      </c>
      <c r="F219" s="133">
        <v>3</v>
      </c>
    </row>
    <row r="220" spans="1:6" ht="14.25" customHeight="1" x14ac:dyDescent="0.3">
      <c r="A220" s="133" t="s">
        <v>243</v>
      </c>
      <c r="B220" s="133" t="s">
        <v>333</v>
      </c>
      <c r="C220" s="133">
        <v>28</v>
      </c>
      <c r="D220" s="133" t="str">
        <f t="shared" si="0"/>
        <v>1/2" Round BB RS-550 28</v>
      </c>
      <c r="E220" s="133">
        <v>7</v>
      </c>
      <c r="F220" s="133">
        <v>3</v>
      </c>
    </row>
    <row r="221" spans="1:6" ht="14.25" customHeight="1" x14ac:dyDescent="0.3">
      <c r="A221" s="133" t="s">
        <v>243</v>
      </c>
      <c r="B221" s="133" t="s">
        <v>333</v>
      </c>
      <c r="C221" s="133">
        <v>30</v>
      </c>
      <c r="D221" s="133" t="str">
        <f t="shared" si="0"/>
        <v>1/2" Round BB RS-550 30</v>
      </c>
      <c r="E221" s="133">
        <v>5</v>
      </c>
      <c r="F221" s="133">
        <v>3</v>
      </c>
    </row>
    <row r="222" spans="1:6" ht="14.25" customHeight="1" x14ac:dyDescent="0.3">
      <c r="A222" s="133" t="s">
        <v>243</v>
      </c>
      <c r="B222" s="133" t="s">
        <v>333</v>
      </c>
      <c r="C222" s="133">
        <v>35</v>
      </c>
      <c r="D222" s="133" t="str">
        <f t="shared" si="0"/>
        <v>1/2" Round BB RS-550 35</v>
      </c>
      <c r="E222" s="133">
        <v>5</v>
      </c>
      <c r="F222" s="133">
        <v>1</v>
      </c>
    </row>
    <row r="223" spans="1:6" ht="14.25" customHeight="1" x14ac:dyDescent="0.3">
      <c r="A223" s="133" t="s">
        <v>243</v>
      </c>
      <c r="B223" s="133" t="s">
        <v>333</v>
      </c>
      <c r="C223" s="133">
        <v>36</v>
      </c>
      <c r="D223" s="133" t="str">
        <f t="shared" si="0"/>
        <v>1/2" Round BB RS-550 36</v>
      </c>
      <c r="E223" s="133">
        <v>5</v>
      </c>
      <c r="F223" s="133">
        <v>1</v>
      </c>
    </row>
    <row r="224" spans="1:6" ht="14.25" customHeight="1" x14ac:dyDescent="0.3">
      <c r="A224" s="133" t="s">
        <v>243</v>
      </c>
      <c r="B224" s="133" t="s">
        <v>333</v>
      </c>
      <c r="C224" s="133">
        <v>40</v>
      </c>
      <c r="D224" s="133" t="str">
        <f t="shared" si="0"/>
        <v>1/2" Round BB RS-550 40</v>
      </c>
      <c r="E224" s="133">
        <v>5</v>
      </c>
      <c r="F224" s="133">
        <v>1</v>
      </c>
    </row>
    <row r="225" spans="1:6" ht="14.25" customHeight="1" x14ac:dyDescent="0.3">
      <c r="A225" s="133" t="s">
        <v>243</v>
      </c>
      <c r="B225" s="133" t="s">
        <v>333</v>
      </c>
      <c r="C225" s="133">
        <v>45</v>
      </c>
      <c r="D225" s="133" t="str">
        <f t="shared" si="0"/>
        <v>1/2" Round BB RS-550 45</v>
      </c>
      <c r="E225" s="133">
        <v>5</v>
      </c>
      <c r="F225" s="133">
        <v>1</v>
      </c>
    </row>
    <row r="226" spans="1:6" ht="14.25" customHeight="1" x14ac:dyDescent="0.3">
      <c r="A226" s="133" t="s">
        <v>243</v>
      </c>
      <c r="B226" s="133" t="s">
        <v>333</v>
      </c>
      <c r="C226" s="133">
        <v>49</v>
      </c>
      <c r="D226" s="133" t="str">
        <f t="shared" si="0"/>
        <v>1/2" Round BB RS-550 49</v>
      </c>
      <c r="E226" s="133">
        <v>5</v>
      </c>
      <c r="F226" s="133">
        <v>1</v>
      </c>
    </row>
    <row r="227" spans="1:6" ht="14.25" customHeight="1" x14ac:dyDescent="0.3">
      <c r="A227" s="133" t="s">
        <v>243</v>
      </c>
      <c r="B227" s="133" t="s">
        <v>333</v>
      </c>
      <c r="C227" s="133">
        <v>50</v>
      </c>
      <c r="D227" s="133" t="str">
        <f t="shared" si="0"/>
        <v>1/2" Round BB RS-550 50</v>
      </c>
      <c r="E227" s="133">
        <v>5</v>
      </c>
      <c r="F227" s="133">
        <v>1</v>
      </c>
    </row>
    <row r="228" spans="1:6" ht="14.25" customHeight="1" x14ac:dyDescent="0.3">
      <c r="A228" s="133" t="s">
        <v>243</v>
      </c>
      <c r="B228" s="133" t="s">
        <v>333</v>
      </c>
      <c r="C228" s="133">
        <v>63</v>
      </c>
      <c r="D228" s="133" t="str">
        <f t="shared" si="0"/>
        <v>1/2" Round BB RS-550 63</v>
      </c>
      <c r="E228" s="133">
        <v>4</v>
      </c>
      <c r="F228" s="133">
        <v>1</v>
      </c>
    </row>
    <row r="229" spans="1:6" ht="14.25" customHeight="1" x14ac:dyDescent="0.3">
      <c r="A229" s="133" t="s">
        <v>243</v>
      </c>
      <c r="B229" s="133" t="s">
        <v>333</v>
      </c>
      <c r="C229" s="133">
        <v>70</v>
      </c>
      <c r="D229" s="133" t="str">
        <f t="shared" si="0"/>
        <v>1/2" Round BB RS-550 70</v>
      </c>
      <c r="E229" s="133">
        <v>3</v>
      </c>
      <c r="F229" s="133">
        <v>1</v>
      </c>
    </row>
    <row r="230" spans="1:6" ht="14.25" customHeight="1" x14ac:dyDescent="0.3">
      <c r="A230" s="133" t="s">
        <v>243</v>
      </c>
      <c r="B230" s="133" t="s">
        <v>333</v>
      </c>
      <c r="C230" s="133">
        <v>81</v>
      </c>
      <c r="D230" s="133" t="str">
        <f t="shared" si="0"/>
        <v>1/2" Round BB RS-550 81</v>
      </c>
      <c r="E230" s="133">
        <v>3</v>
      </c>
      <c r="F230" s="133">
        <v>1</v>
      </c>
    </row>
    <row r="231" spans="1:6" ht="14.25" customHeight="1" x14ac:dyDescent="0.3">
      <c r="A231" s="133" t="s">
        <v>243</v>
      </c>
      <c r="B231" s="133" t="s">
        <v>333</v>
      </c>
      <c r="C231" s="133">
        <v>90</v>
      </c>
      <c r="D231" s="133" t="str">
        <f t="shared" si="0"/>
        <v>1/2" Round BB RS-550 90</v>
      </c>
      <c r="E231" s="133">
        <v>1</v>
      </c>
      <c r="F231" s="133">
        <v>1</v>
      </c>
    </row>
    <row r="232" spans="1:6" ht="14.25" customHeight="1" x14ac:dyDescent="0.3">
      <c r="A232" s="133" t="s">
        <v>243</v>
      </c>
      <c r="B232" s="133" t="s">
        <v>333</v>
      </c>
      <c r="C232" s="133">
        <v>100</v>
      </c>
      <c r="D232" s="133" t="str">
        <f t="shared" si="0"/>
        <v>1/2" Round BB RS-550 100</v>
      </c>
      <c r="E232" s="133">
        <v>1</v>
      </c>
      <c r="F232" s="133">
        <v>0</v>
      </c>
    </row>
    <row r="233" spans="1:6" ht="14.25" customHeight="1" x14ac:dyDescent="0.3">
      <c r="A233" s="133" t="s">
        <v>243</v>
      </c>
      <c r="B233" s="133" t="s">
        <v>334</v>
      </c>
      <c r="C233" s="133">
        <v>9</v>
      </c>
      <c r="D233" s="133" t="str">
        <f t="shared" si="0"/>
        <v>1/2" Round BB RS-775 9</v>
      </c>
      <c r="E233" s="133">
        <v>10</v>
      </c>
      <c r="F233" s="133">
        <v>10</v>
      </c>
    </row>
    <row r="234" spans="1:6" ht="14.25" customHeight="1" x14ac:dyDescent="0.3">
      <c r="A234" s="133" t="s">
        <v>243</v>
      </c>
      <c r="B234" s="133" t="s">
        <v>334</v>
      </c>
      <c r="C234" s="133">
        <v>12</v>
      </c>
      <c r="D234" s="133" t="str">
        <f t="shared" si="0"/>
        <v>1/2" Round BB RS-775 12</v>
      </c>
      <c r="E234" s="133">
        <v>10</v>
      </c>
      <c r="F234" s="133">
        <v>10</v>
      </c>
    </row>
    <row r="235" spans="1:6" ht="14.25" customHeight="1" x14ac:dyDescent="0.3">
      <c r="A235" s="133" t="s">
        <v>243</v>
      </c>
      <c r="B235" s="133" t="s">
        <v>334</v>
      </c>
      <c r="C235" s="133">
        <v>15</v>
      </c>
      <c r="D235" s="133" t="str">
        <f t="shared" si="0"/>
        <v>1/2" Round BB RS-775 15</v>
      </c>
      <c r="E235" s="133">
        <v>7</v>
      </c>
      <c r="F235" s="133">
        <v>7</v>
      </c>
    </row>
    <row r="236" spans="1:6" ht="14.25" customHeight="1" x14ac:dyDescent="0.3">
      <c r="A236" s="133" t="s">
        <v>243</v>
      </c>
      <c r="B236" s="133" t="s">
        <v>334</v>
      </c>
      <c r="C236" s="133">
        <v>16</v>
      </c>
      <c r="D236" s="133" t="str">
        <f t="shared" si="0"/>
        <v>1/2" Round BB RS-775 16</v>
      </c>
      <c r="E236" s="133">
        <v>7</v>
      </c>
      <c r="F236" s="133">
        <v>7</v>
      </c>
    </row>
    <row r="237" spans="1:6" ht="14.25" customHeight="1" x14ac:dyDescent="0.3">
      <c r="A237" s="133" t="s">
        <v>243</v>
      </c>
      <c r="B237" s="133" t="s">
        <v>334</v>
      </c>
      <c r="C237" s="133">
        <v>20</v>
      </c>
      <c r="D237" s="133" t="str">
        <f t="shared" si="0"/>
        <v>1/2" Round BB RS-775 20</v>
      </c>
      <c r="E237" s="133">
        <v>5</v>
      </c>
      <c r="F237" s="133">
        <v>5</v>
      </c>
    </row>
    <row r="238" spans="1:6" ht="14.25" customHeight="1" x14ac:dyDescent="0.3">
      <c r="A238" s="133" t="s">
        <v>243</v>
      </c>
      <c r="B238" s="133" t="s">
        <v>334</v>
      </c>
      <c r="C238" s="133">
        <v>21</v>
      </c>
      <c r="D238" s="133" t="str">
        <f t="shared" si="0"/>
        <v>1/2" Round BB RS-775 21</v>
      </c>
      <c r="E238" s="133">
        <v>5</v>
      </c>
      <c r="F238" s="133">
        <v>5</v>
      </c>
    </row>
    <row r="239" spans="1:6" ht="14.25" customHeight="1" x14ac:dyDescent="0.3">
      <c r="A239" s="133" t="s">
        <v>243</v>
      </c>
      <c r="B239" s="133" t="s">
        <v>334</v>
      </c>
      <c r="C239" s="133">
        <v>25</v>
      </c>
      <c r="D239" s="133" t="str">
        <f t="shared" si="0"/>
        <v>1/2" Round BB RS-775 25</v>
      </c>
      <c r="E239" s="133">
        <v>5</v>
      </c>
      <c r="F239" s="133">
        <v>5</v>
      </c>
    </row>
    <row r="240" spans="1:6" ht="14.25" customHeight="1" x14ac:dyDescent="0.3">
      <c r="A240" s="133" t="s">
        <v>243</v>
      </c>
      <c r="B240" s="133" t="s">
        <v>334</v>
      </c>
      <c r="C240" s="133">
        <v>27</v>
      </c>
      <c r="D240" s="133" t="str">
        <f t="shared" si="0"/>
        <v>1/2" Round BB RS-775 27</v>
      </c>
      <c r="E240" s="133">
        <v>5</v>
      </c>
      <c r="F240" s="133">
        <v>4</v>
      </c>
    </row>
    <row r="241" spans="1:6" ht="14.25" customHeight="1" x14ac:dyDescent="0.3">
      <c r="A241" s="133" t="s">
        <v>243</v>
      </c>
      <c r="B241" s="133" t="s">
        <v>334</v>
      </c>
      <c r="C241" s="133">
        <v>28</v>
      </c>
      <c r="D241" s="133" t="str">
        <f t="shared" si="0"/>
        <v>1/2" Round BB RS-775 28</v>
      </c>
      <c r="E241" s="133">
        <v>5</v>
      </c>
      <c r="F241" s="133">
        <v>4</v>
      </c>
    </row>
    <row r="242" spans="1:6" ht="14.25" customHeight="1" x14ac:dyDescent="0.3">
      <c r="A242" s="133" t="s">
        <v>243</v>
      </c>
      <c r="B242" s="133" t="s">
        <v>334</v>
      </c>
      <c r="C242" s="133">
        <v>30</v>
      </c>
      <c r="D242" s="133" t="str">
        <f t="shared" si="0"/>
        <v>1/2" Round BB RS-775 30</v>
      </c>
      <c r="E242" s="133">
        <v>5</v>
      </c>
      <c r="F242" s="133">
        <v>4</v>
      </c>
    </row>
    <row r="243" spans="1:6" ht="14.25" customHeight="1" x14ac:dyDescent="0.3">
      <c r="A243" s="133" t="s">
        <v>243</v>
      </c>
      <c r="B243" s="133" t="s">
        <v>334</v>
      </c>
      <c r="C243" s="133">
        <v>35</v>
      </c>
      <c r="D243" s="133" t="str">
        <f t="shared" si="0"/>
        <v>1/2" Round BB RS-775 35</v>
      </c>
      <c r="E243" s="133">
        <v>4</v>
      </c>
      <c r="F243" s="133">
        <v>3</v>
      </c>
    </row>
    <row r="244" spans="1:6" ht="14.25" customHeight="1" x14ac:dyDescent="0.3">
      <c r="A244" s="133" t="s">
        <v>243</v>
      </c>
      <c r="B244" s="133" t="s">
        <v>334</v>
      </c>
      <c r="C244" s="133">
        <v>36</v>
      </c>
      <c r="D244" s="133" t="str">
        <f t="shared" si="0"/>
        <v>1/2" Round BB RS-775 36</v>
      </c>
      <c r="E244" s="133">
        <v>4</v>
      </c>
      <c r="F244" s="133">
        <v>3</v>
      </c>
    </row>
    <row r="245" spans="1:6" ht="14.25" customHeight="1" x14ac:dyDescent="0.3">
      <c r="A245" s="133" t="s">
        <v>243</v>
      </c>
      <c r="B245" s="133" t="s">
        <v>334</v>
      </c>
      <c r="C245" s="133">
        <v>40</v>
      </c>
      <c r="D245" s="133" t="str">
        <f t="shared" si="0"/>
        <v>1/2" Round BB RS-775 40</v>
      </c>
      <c r="E245" s="133">
        <v>4</v>
      </c>
      <c r="F245" s="133">
        <v>3</v>
      </c>
    </row>
    <row r="246" spans="1:6" ht="14.25" customHeight="1" x14ac:dyDescent="0.3">
      <c r="A246" s="133" t="s">
        <v>243</v>
      </c>
      <c r="B246" s="133" t="s">
        <v>334</v>
      </c>
      <c r="C246" s="133">
        <v>45</v>
      </c>
      <c r="D246" s="133" t="str">
        <f t="shared" si="0"/>
        <v>1/2" Round BB RS-775 45</v>
      </c>
      <c r="E246" s="133">
        <v>3</v>
      </c>
      <c r="F246" s="133">
        <v>1</v>
      </c>
    </row>
    <row r="247" spans="1:6" ht="14.25" customHeight="1" x14ac:dyDescent="0.3">
      <c r="A247" s="133" t="s">
        <v>243</v>
      </c>
      <c r="B247" s="133" t="s">
        <v>334</v>
      </c>
      <c r="C247" s="133">
        <v>49</v>
      </c>
      <c r="D247" s="133" t="str">
        <f t="shared" si="0"/>
        <v>1/2" Round BB RS-775 49</v>
      </c>
      <c r="E247" s="133">
        <v>3</v>
      </c>
      <c r="F247" s="133">
        <v>1</v>
      </c>
    </row>
    <row r="248" spans="1:6" ht="14.25" customHeight="1" x14ac:dyDescent="0.3">
      <c r="A248" s="133" t="s">
        <v>243</v>
      </c>
      <c r="B248" s="133" t="s">
        <v>334</v>
      </c>
      <c r="C248" s="133">
        <v>50</v>
      </c>
      <c r="D248" s="133" t="str">
        <f t="shared" si="0"/>
        <v>1/2" Round BB RS-775 50</v>
      </c>
      <c r="E248" s="133">
        <v>3</v>
      </c>
      <c r="F248" s="133">
        <v>1</v>
      </c>
    </row>
    <row r="249" spans="1:6" ht="14.25" customHeight="1" x14ac:dyDescent="0.3">
      <c r="A249" s="133" t="s">
        <v>243</v>
      </c>
      <c r="B249" s="133" t="s">
        <v>334</v>
      </c>
      <c r="C249" s="133">
        <v>63</v>
      </c>
      <c r="D249" s="133" t="str">
        <f t="shared" si="0"/>
        <v>1/2" Round BB RS-775 63</v>
      </c>
      <c r="E249" s="133">
        <v>1</v>
      </c>
      <c r="F249" s="133">
        <v>1</v>
      </c>
    </row>
    <row r="250" spans="1:6" ht="14.25" customHeight="1" x14ac:dyDescent="0.3">
      <c r="A250" s="133" t="s">
        <v>243</v>
      </c>
      <c r="B250" s="133" t="s">
        <v>334</v>
      </c>
      <c r="C250" s="133">
        <v>70</v>
      </c>
      <c r="D250" s="133" t="str">
        <f t="shared" si="0"/>
        <v>1/2" Round BB RS-775 70</v>
      </c>
      <c r="E250" s="133">
        <v>1</v>
      </c>
      <c r="F250" s="133">
        <v>1</v>
      </c>
    </row>
    <row r="251" spans="1:6" ht="14.25" customHeight="1" x14ac:dyDescent="0.3">
      <c r="A251" s="133" t="s">
        <v>243</v>
      </c>
      <c r="B251" s="133" t="s">
        <v>334</v>
      </c>
      <c r="C251" s="133">
        <v>81</v>
      </c>
      <c r="D251" s="133" t="str">
        <f t="shared" si="0"/>
        <v>1/2" Round BB RS-775 81</v>
      </c>
      <c r="E251" s="133">
        <v>1</v>
      </c>
      <c r="F251" s="133">
        <v>1</v>
      </c>
    </row>
    <row r="252" spans="1:6" ht="14.25" customHeight="1" x14ac:dyDescent="0.3">
      <c r="A252" s="133" t="s">
        <v>243</v>
      </c>
      <c r="B252" s="133" t="s">
        <v>334</v>
      </c>
      <c r="C252" s="133">
        <v>90</v>
      </c>
      <c r="D252" s="133" t="str">
        <f t="shared" si="0"/>
        <v>1/2" Round BB RS-775 90</v>
      </c>
      <c r="E252" s="133">
        <v>1</v>
      </c>
      <c r="F252" s="133">
        <v>1</v>
      </c>
    </row>
    <row r="253" spans="1:6" ht="14.25" customHeight="1" x14ac:dyDescent="0.3">
      <c r="A253" s="133" t="s">
        <v>243</v>
      </c>
      <c r="B253" s="133" t="s">
        <v>334</v>
      </c>
      <c r="C253" s="133">
        <v>100</v>
      </c>
      <c r="D253" s="133" t="str">
        <f t="shared" si="0"/>
        <v>1/2" Round BB RS-775 100</v>
      </c>
      <c r="E253" s="133">
        <v>1</v>
      </c>
      <c r="F253" s="133">
        <v>1</v>
      </c>
    </row>
    <row r="254" spans="1:6" ht="14.25" customHeight="1" x14ac:dyDescent="0.3">
      <c r="A254" s="133" t="s">
        <v>243</v>
      </c>
      <c r="B254" s="133" t="s">
        <v>257</v>
      </c>
      <c r="C254" s="133">
        <v>9</v>
      </c>
      <c r="D254" s="133" t="str">
        <f t="shared" si="0"/>
        <v>1/2" Round BAG 9</v>
      </c>
      <c r="E254" s="133">
        <v>10</v>
      </c>
      <c r="F254" s="133">
        <v>9</v>
      </c>
    </row>
    <row r="255" spans="1:6" ht="14.25" customHeight="1" x14ac:dyDescent="0.3">
      <c r="A255" s="133" t="s">
        <v>243</v>
      </c>
      <c r="B255" s="133" t="s">
        <v>257</v>
      </c>
      <c r="C255" s="133">
        <v>12</v>
      </c>
      <c r="D255" s="133" t="str">
        <f t="shared" si="0"/>
        <v>1/2" Round BAG 12</v>
      </c>
      <c r="E255" s="133">
        <v>10</v>
      </c>
      <c r="F255" s="133">
        <v>5</v>
      </c>
    </row>
    <row r="256" spans="1:6" ht="14.25" customHeight="1" x14ac:dyDescent="0.3">
      <c r="A256" s="133" t="s">
        <v>243</v>
      </c>
      <c r="B256" s="133" t="s">
        <v>257</v>
      </c>
      <c r="C256" s="133">
        <v>15</v>
      </c>
      <c r="D256" s="133" t="str">
        <f t="shared" si="0"/>
        <v>1/2" Round BAG 15</v>
      </c>
      <c r="E256" s="133">
        <v>10</v>
      </c>
      <c r="F256" s="133">
        <v>5</v>
      </c>
    </row>
    <row r="257" spans="1:6" ht="14.25" customHeight="1" x14ac:dyDescent="0.3">
      <c r="A257" s="133" t="s">
        <v>243</v>
      </c>
      <c r="B257" s="133" t="s">
        <v>257</v>
      </c>
      <c r="C257" s="133">
        <v>16</v>
      </c>
      <c r="D257" s="133" t="str">
        <f t="shared" ref="D257:D511" si="1">A257&amp;" "&amp;B257&amp;" "&amp;C257</f>
        <v>1/2" Round BAG 16</v>
      </c>
      <c r="E257" s="133">
        <v>10</v>
      </c>
      <c r="F257" s="133">
        <v>5</v>
      </c>
    </row>
    <row r="258" spans="1:6" ht="14.25" customHeight="1" x14ac:dyDescent="0.3">
      <c r="A258" s="133" t="s">
        <v>243</v>
      </c>
      <c r="B258" s="133" t="s">
        <v>257</v>
      </c>
      <c r="C258" s="133">
        <v>20</v>
      </c>
      <c r="D258" s="133" t="str">
        <f t="shared" si="1"/>
        <v>1/2" Round BAG 20</v>
      </c>
      <c r="E258" s="133">
        <v>10</v>
      </c>
      <c r="F258" s="133">
        <v>4</v>
      </c>
    </row>
    <row r="259" spans="1:6" ht="14.25" customHeight="1" x14ac:dyDescent="0.3">
      <c r="A259" s="133" t="s">
        <v>243</v>
      </c>
      <c r="B259" s="133" t="s">
        <v>257</v>
      </c>
      <c r="C259" s="133">
        <v>21</v>
      </c>
      <c r="D259" s="133" t="str">
        <f t="shared" si="1"/>
        <v>1/2" Round BAG 21</v>
      </c>
      <c r="E259" s="133">
        <v>10</v>
      </c>
      <c r="F259" s="133">
        <v>3</v>
      </c>
    </row>
    <row r="260" spans="1:6" ht="14.25" customHeight="1" x14ac:dyDescent="0.3">
      <c r="A260" s="133" t="s">
        <v>243</v>
      </c>
      <c r="B260" s="133" t="s">
        <v>257</v>
      </c>
      <c r="C260" s="133">
        <v>25</v>
      </c>
      <c r="D260" s="133" t="str">
        <f t="shared" si="1"/>
        <v>1/2" Round BAG 25</v>
      </c>
      <c r="E260" s="133">
        <v>7</v>
      </c>
      <c r="F260" s="133">
        <v>3</v>
      </c>
    </row>
    <row r="261" spans="1:6" ht="14.25" customHeight="1" x14ac:dyDescent="0.3">
      <c r="A261" s="133" t="s">
        <v>243</v>
      </c>
      <c r="B261" s="133" t="s">
        <v>257</v>
      </c>
      <c r="C261" s="133">
        <v>27</v>
      </c>
      <c r="D261" s="133" t="str">
        <f t="shared" si="1"/>
        <v>1/2" Round BAG 27</v>
      </c>
      <c r="E261" s="133">
        <v>7</v>
      </c>
      <c r="F261" s="133">
        <v>3</v>
      </c>
    </row>
    <row r="262" spans="1:6" ht="14.25" customHeight="1" x14ac:dyDescent="0.3">
      <c r="A262" s="133" t="s">
        <v>243</v>
      </c>
      <c r="B262" s="133" t="s">
        <v>257</v>
      </c>
      <c r="C262" s="133">
        <v>28</v>
      </c>
      <c r="D262" s="133" t="str">
        <f t="shared" si="1"/>
        <v>1/2" Round BAG 28</v>
      </c>
      <c r="E262" s="133">
        <v>7</v>
      </c>
      <c r="F262" s="133">
        <v>1</v>
      </c>
    </row>
    <row r="263" spans="1:6" ht="14.25" customHeight="1" x14ac:dyDescent="0.3">
      <c r="A263" s="133" t="s">
        <v>243</v>
      </c>
      <c r="B263" s="133" t="s">
        <v>257</v>
      </c>
      <c r="C263" s="133">
        <v>30</v>
      </c>
      <c r="D263" s="133" t="str">
        <f t="shared" si="1"/>
        <v>1/2" Round BAG 30</v>
      </c>
      <c r="E263" s="133">
        <v>7</v>
      </c>
      <c r="F263" s="133">
        <v>1</v>
      </c>
    </row>
    <row r="264" spans="1:6" ht="14.25" customHeight="1" x14ac:dyDescent="0.3">
      <c r="A264" s="133" t="s">
        <v>243</v>
      </c>
      <c r="B264" s="133" t="s">
        <v>257</v>
      </c>
      <c r="C264" s="133">
        <v>35</v>
      </c>
      <c r="D264" s="133" t="str">
        <f t="shared" si="1"/>
        <v>1/2" Round BAG 35</v>
      </c>
      <c r="E264" s="133">
        <v>5</v>
      </c>
      <c r="F264" s="133">
        <v>1</v>
      </c>
    </row>
    <row r="265" spans="1:6" ht="14.25" customHeight="1" x14ac:dyDescent="0.3">
      <c r="A265" s="133" t="s">
        <v>243</v>
      </c>
      <c r="B265" s="133" t="s">
        <v>257</v>
      </c>
      <c r="C265" s="133">
        <v>36</v>
      </c>
      <c r="D265" s="133" t="str">
        <f t="shared" si="1"/>
        <v>1/2" Round BAG 36</v>
      </c>
      <c r="E265" s="133">
        <v>5</v>
      </c>
      <c r="F265" s="133">
        <v>1</v>
      </c>
    </row>
    <row r="266" spans="1:6" ht="14.25" customHeight="1" x14ac:dyDescent="0.3">
      <c r="A266" s="133" t="s">
        <v>243</v>
      </c>
      <c r="B266" s="133" t="s">
        <v>257</v>
      </c>
      <c r="C266" s="133">
        <v>40</v>
      </c>
      <c r="D266" s="133" t="str">
        <f t="shared" si="1"/>
        <v>1/2" Round BAG 40</v>
      </c>
      <c r="E266" s="133">
        <v>5</v>
      </c>
      <c r="F266" s="133">
        <v>1</v>
      </c>
    </row>
    <row r="267" spans="1:6" ht="14.25" customHeight="1" x14ac:dyDescent="0.3">
      <c r="A267" s="133" t="s">
        <v>243</v>
      </c>
      <c r="B267" s="133" t="s">
        <v>257</v>
      </c>
      <c r="C267" s="133">
        <v>45</v>
      </c>
      <c r="D267" s="133" t="str">
        <f t="shared" si="1"/>
        <v>1/2" Round BAG 45</v>
      </c>
      <c r="E267" s="133">
        <v>5</v>
      </c>
      <c r="F267" s="133">
        <v>1</v>
      </c>
    </row>
    <row r="268" spans="1:6" ht="14.25" customHeight="1" x14ac:dyDescent="0.3">
      <c r="A268" s="133" t="s">
        <v>243</v>
      </c>
      <c r="B268" s="133" t="s">
        <v>257</v>
      </c>
      <c r="C268" s="133">
        <v>49</v>
      </c>
      <c r="D268" s="133" t="str">
        <f t="shared" si="1"/>
        <v>1/2" Round BAG 49</v>
      </c>
      <c r="E268" s="133">
        <v>5</v>
      </c>
      <c r="F268" s="133">
        <v>1</v>
      </c>
    </row>
    <row r="269" spans="1:6" ht="14.25" customHeight="1" x14ac:dyDescent="0.3">
      <c r="A269" s="133" t="s">
        <v>243</v>
      </c>
      <c r="B269" s="133" t="s">
        <v>257</v>
      </c>
      <c r="C269" s="133">
        <v>50</v>
      </c>
      <c r="D269" s="133" t="str">
        <f t="shared" si="1"/>
        <v>1/2" Round BAG 50</v>
      </c>
      <c r="E269" s="133">
        <v>5</v>
      </c>
      <c r="F269" s="133">
        <v>1</v>
      </c>
    </row>
    <row r="270" spans="1:6" ht="14.25" customHeight="1" x14ac:dyDescent="0.3">
      <c r="A270" s="133" t="s">
        <v>243</v>
      </c>
      <c r="B270" s="133" t="s">
        <v>257</v>
      </c>
      <c r="C270" s="133">
        <v>63</v>
      </c>
      <c r="D270" s="133" t="str">
        <f t="shared" si="1"/>
        <v>1/2" Round BAG 63</v>
      </c>
      <c r="E270" s="133">
        <v>4</v>
      </c>
      <c r="F270" s="133">
        <v>1</v>
      </c>
    </row>
    <row r="271" spans="1:6" ht="14.25" customHeight="1" x14ac:dyDescent="0.3">
      <c r="A271" s="133" t="s">
        <v>243</v>
      </c>
      <c r="B271" s="133" t="s">
        <v>257</v>
      </c>
      <c r="C271" s="133">
        <v>70</v>
      </c>
      <c r="D271" s="133" t="str">
        <f t="shared" si="1"/>
        <v>1/2" Round BAG 70</v>
      </c>
      <c r="E271" s="133">
        <v>4</v>
      </c>
      <c r="F271" s="133">
        <v>1</v>
      </c>
    </row>
    <row r="272" spans="1:6" ht="14.25" customHeight="1" x14ac:dyDescent="0.3">
      <c r="A272" s="133" t="s">
        <v>243</v>
      </c>
      <c r="B272" s="133" t="s">
        <v>257</v>
      </c>
      <c r="C272" s="133">
        <v>81</v>
      </c>
      <c r="D272" s="133" t="str">
        <f t="shared" si="1"/>
        <v>1/2" Round BAG 81</v>
      </c>
      <c r="E272" s="133">
        <v>3</v>
      </c>
      <c r="F272" s="133">
        <v>1</v>
      </c>
    </row>
    <row r="273" spans="1:6" ht="14.25" customHeight="1" x14ac:dyDescent="0.3">
      <c r="A273" s="133" t="s">
        <v>243</v>
      </c>
      <c r="B273" s="133" t="s">
        <v>257</v>
      </c>
      <c r="C273" s="133">
        <v>90</v>
      </c>
      <c r="D273" s="133" t="str">
        <f t="shared" si="1"/>
        <v>1/2" Round BAG 90</v>
      </c>
      <c r="E273" s="133">
        <v>3</v>
      </c>
      <c r="F273" s="133">
        <v>0</v>
      </c>
    </row>
    <row r="274" spans="1:6" ht="14.25" customHeight="1" x14ac:dyDescent="0.3">
      <c r="A274" s="133" t="s">
        <v>243</v>
      </c>
      <c r="B274" s="133" t="s">
        <v>257</v>
      </c>
      <c r="C274" s="133">
        <v>100</v>
      </c>
      <c r="D274" s="133" t="str">
        <f t="shared" si="1"/>
        <v>1/2" Round BAG 100</v>
      </c>
      <c r="E274" s="133">
        <v>1</v>
      </c>
      <c r="F274" s="133">
        <v>0</v>
      </c>
    </row>
    <row r="275" spans="1:6" ht="14.25" customHeight="1" x14ac:dyDescent="0.3">
      <c r="A275" s="133" t="s">
        <v>243</v>
      </c>
      <c r="B275" s="133" t="s">
        <v>7</v>
      </c>
      <c r="C275" s="133">
        <v>9</v>
      </c>
      <c r="D275" s="133" t="str">
        <f t="shared" si="1"/>
        <v>1/2" Round Mini CIM 9</v>
      </c>
      <c r="E275" s="133">
        <v>7</v>
      </c>
      <c r="F275" s="133">
        <v>0</v>
      </c>
    </row>
    <row r="276" spans="1:6" ht="14.25" customHeight="1" x14ac:dyDescent="0.3">
      <c r="A276" s="133" t="s">
        <v>243</v>
      </c>
      <c r="B276" s="133" t="s">
        <v>7</v>
      </c>
      <c r="C276" s="133">
        <v>12</v>
      </c>
      <c r="D276" s="133" t="str">
        <f t="shared" si="1"/>
        <v>1/2" Round Mini CIM 12</v>
      </c>
      <c r="E276" s="133">
        <v>5</v>
      </c>
      <c r="F276" s="133">
        <v>0</v>
      </c>
    </row>
    <row r="277" spans="1:6" ht="14.25" customHeight="1" x14ac:dyDescent="0.3">
      <c r="A277" s="133" t="s">
        <v>243</v>
      </c>
      <c r="B277" s="133" t="s">
        <v>7</v>
      </c>
      <c r="C277" s="133">
        <v>15</v>
      </c>
      <c r="D277" s="133" t="str">
        <f t="shared" si="1"/>
        <v>1/2" Round Mini CIM 15</v>
      </c>
      <c r="E277" s="133">
        <v>5</v>
      </c>
      <c r="F277" s="133">
        <v>0</v>
      </c>
    </row>
    <row r="278" spans="1:6" ht="14.25" customHeight="1" x14ac:dyDescent="0.3">
      <c r="A278" s="133" t="s">
        <v>243</v>
      </c>
      <c r="B278" s="133" t="s">
        <v>7</v>
      </c>
      <c r="C278" s="133">
        <v>16</v>
      </c>
      <c r="D278" s="133" t="str">
        <f t="shared" si="1"/>
        <v>1/2" Round Mini CIM 16</v>
      </c>
      <c r="E278" s="133">
        <v>5</v>
      </c>
      <c r="F278" s="133">
        <v>0</v>
      </c>
    </row>
    <row r="279" spans="1:6" ht="14.25" customHeight="1" x14ac:dyDescent="0.3">
      <c r="A279" s="133" t="s">
        <v>243</v>
      </c>
      <c r="B279" s="133" t="s">
        <v>7</v>
      </c>
      <c r="C279" s="133">
        <v>20</v>
      </c>
      <c r="D279" s="133" t="str">
        <f t="shared" si="1"/>
        <v>1/2" Round Mini CIM 20</v>
      </c>
      <c r="E279" s="133">
        <v>4</v>
      </c>
      <c r="F279" s="133">
        <v>0</v>
      </c>
    </row>
    <row r="280" spans="1:6" ht="14.25" customHeight="1" x14ac:dyDescent="0.3">
      <c r="A280" s="133" t="s">
        <v>243</v>
      </c>
      <c r="B280" s="133" t="s">
        <v>7</v>
      </c>
      <c r="C280" s="133">
        <v>21</v>
      </c>
      <c r="D280" s="133" t="str">
        <f t="shared" si="1"/>
        <v>1/2" Round Mini CIM 21</v>
      </c>
      <c r="E280" s="133">
        <v>4</v>
      </c>
      <c r="F280" s="133">
        <v>0</v>
      </c>
    </row>
    <row r="281" spans="1:6" ht="14.25" customHeight="1" x14ac:dyDescent="0.3">
      <c r="A281" s="133" t="s">
        <v>243</v>
      </c>
      <c r="B281" s="133" t="s">
        <v>7</v>
      </c>
      <c r="C281" s="133">
        <v>25</v>
      </c>
      <c r="D281" s="133" t="str">
        <f t="shared" si="1"/>
        <v>1/2" Round Mini CIM 25</v>
      </c>
      <c r="E281" s="133">
        <v>3</v>
      </c>
      <c r="F281" s="133">
        <v>0</v>
      </c>
    </row>
    <row r="282" spans="1:6" ht="14.25" customHeight="1" x14ac:dyDescent="0.3">
      <c r="A282" s="133" t="s">
        <v>243</v>
      </c>
      <c r="B282" s="133" t="s">
        <v>7</v>
      </c>
      <c r="C282" s="133">
        <v>27</v>
      </c>
      <c r="D282" s="133" t="str">
        <f t="shared" si="1"/>
        <v>1/2" Round Mini CIM 27</v>
      </c>
      <c r="E282" s="133">
        <v>3</v>
      </c>
      <c r="F282" s="133">
        <v>0</v>
      </c>
    </row>
    <row r="283" spans="1:6" ht="14.25" customHeight="1" x14ac:dyDescent="0.3">
      <c r="A283" s="133" t="s">
        <v>243</v>
      </c>
      <c r="B283" s="133" t="s">
        <v>7</v>
      </c>
      <c r="C283" s="133">
        <v>28</v>
      </c>
      <c r="D283" s="133" t="str">
        <f t="shared" si="1"/>
        <v>1/2" Round Mini CIM 28</v>
      </c>
      <c r="E283" s="133">
        <v>3</v>
      </c>
      <c r="F283" s="133">
        <v>0</v>
      </c>
    </row>
    <row r="284" spans="1:6" ht="14.25" customHeight="1" x14ac:dyDescent="0.3">
      <c r="A284" s="133" t="s">
        <v>243</v>
      </c>
      <c r="B284" s="133" t="s">
        <v>7</v>
      </c>
      <c r="C284" s="133">
        <v>30</v>
      </c>
      <c r="D284" s="133" t="str">
        <f t="shared" si="1"/>
        <v>1/2" Round Mini CIM 30</v>
      </c>
      <c r="E284" s="133">
        <v>3</v>
      </c>
      <c r="F284" s="133">
        <v>0</v>
      </c>
    </row>
    <row r="285" spans="1:6" ht="14.25" customHeight="1" x14ac:dyDescent="0.3">
      <c r="A285" s="133" t="s">
        <v>243</v>
      </c>
      <c r="B285" s="133" t="s">
        <v>7</v>
      </c>
      <c r="C285" s="133">
        <v>35</v>
      </c>
      <c r="D285" s="133" t="str">
        <f t="shared" si="1"/>
        <v>1/2" Round Mini CIM 35</v>
      </c>
      <c r="E285" s="133">
        <v>1</v>
      </c>
      <c r="F285" s="133">
        <v>0</v>
      </c>
    </row>
    <row r="286" spans="1:6" ht="14.25" customHeight="1" x14ac:dyDescent="0.3">
      <c r="A286" s="133" t="s">
        <v>243</v>
      </c>
      <c r="B286" s="133" t="s">
        <v>7</v>
      </c>
      <c r="C286" s="133">
        <v>36</v>
      </c>
      <c r="D286" s="133" t="str">
        <f t="shared" si="1"/>
        <v>1/2" Round Mini CIM 36</v>
      </c>
      <c r="E286" s="133">
        <v>1</v>
      </c>
      <c r="F286" s="133">
        <v>0</v>
      </c>
    </row>
    <row r="287" spans="1:6" ht="14.25" customHeight="1" x14ac:dyDescent="0.3">
      <c r="A287" s="133" t="s">
        <v>243</v>
      </c>
      <c r="B287" s="133" t="s">
        <v>7</v>
      </c>
      <c r="C287" s="133">
        <v>40</v>
      </c>
      <c r="D287" s="133" t="str">
        <f t="shared" si="1"/>
        <v>1/2" Round Mini CIM 40</v>
      </c>
      <c r="E287" s="133">
        <v>1</v>
      </c>
      <c r="F287" s="133">
        <v>0</v>
      </c>
    </row>
    <row r="288" spans="1:6" ht="14.25" customHeight="1" x14ac:dyDescent="0.3">
      <c r="A288" s="133" t="s">
        <v>243</v>
      </c>
      <c r="B288" s="133" t="s">
        <v>7</v>
      </c>
      <c r="C288" s="133">
        <v>45</v>
      </c>
      <c r="D288" s="133" t="str">
        <f t="shared" si="1"/>
        <v>1/2" Round Mini CIM 45</v>
      </c>
      <c r="E288" s="133">
        <v>1</v>
      </c>
      <c r="F288" s="133">
        <v>0</v>
      </c>
    </row>
    <row r="289" spans="1:6" ht="14.25" customHeight="1" x14ac:dyDescent="0.3">
      <c r="A289" s="133" t="s">
        <v>243</v>
      </c>
      <c r="B289" s="133" t="s">
        <v>7</v>
      </c>
      <c r="C289" s="133">
        <v>49</v>
      </c>
      <c r="D289" s="133" t="str">
        <f t="shared" si="1"/>
        <v>1/2" Round Mini CIM 49</v>
      </c>
      <c r="E289" s="133">
        <v>1</v>
      </c>
      <c r="F289" s="133">
        <v>0</v>
      </c>
    </row>
    <row r="290" spans="1:6" ht="14.25" customHeight="1" x14ac:dyDescent="0.3">
      <c r="A290" s="133" t="s">
        <v>243</v>
      </c>
      <c r="B290" s="133" t="s">
        <v>7</v>
      </c>
      <c r="C290" s="133">
        <v>50</v>
      </c>
      <c r="D290" s="133" t="str">
        <f t="shared" si="1"/>
        <v>1/2" Round Mini CIM 50</v>
      </c>
      <c r="E290" s="133">
        <v>1</v>
      </c>
      <c r="F290" s="133">
        <v>0</v>
      </c>
    </row>
    <row r="291" spans="1:6" ht="14.25" customHeight="1" x14ac:dyDescent="0.3">
      <c r="A291" s="133" t="s">
        <v>243</v>
      </c>
      <c r="B291" s="133" t="s">
        <v>7</v>
      </c>
      <c r="C291" s="133">
        <v>63</v>
      </c>
      <c r="D291" s="133" t="str">
        <f t="shared" si="1"/>
        <v>1/2" Round Mini CIM 63</v>
      </c>
      <c r="E291" s="133">
        <v>1</v>
      </c>
      <c r="F291" s="133">
        <v>0</v>
      </c>
    </row>
    <row r="292" spans="1:6" ht="14.25" customHeight="1" x14ac:dyDescent="0.3">
      <c r="A292" s="133" t="s">
        <v>243</v>
      </c>
      <c r="B292" s="133" t="s">
        <v>7</v>
      </c>
      <c r="C292" s="133">
        <v>70</v>
      </c>
      <c r="D292" s="133" t="str">
        <f t="shared" si="1"/>
        <v>1/2" Round Mini CIM 70</v>
      </c>
      <c r="E292" s="133">
        <v>0</v>
      </c>
      <c r="F292" s="133">
        <v>0</v>
      </c>
    </row>
    <row r="293" spans="1:6" ht="14.25" customHeight="1" x14ac:dyDescent="0.3">
      <c r="A293" s="133" t="s">
        <v>243</v>
      </c>
      <c r="B293" s="133" t="s">
        <v>7</v>
      </c>
      <c r="C293" s="133">
        <v>81</v>
      </c>
      <c r="D293" s="133" t="str">
        <f t="shared" si="1"/>
        <v>1/2" Round Mini CIM 81</v>
      </c>
      <c r="E293" s="133">
        <v>0</v>
      </c>
      <c r="F293" s="133">
        <v>0</v>
      </c>
    </row>
    <row r="294" spans="1:6" ht="14.25" customHeight="1" x14ac:dyDescent="0.3">
      <c r="A294" s="133" t="s">
        <v>243</v>
      </c>
      <c r="B294" s="133" t="s">
        <v>7</v>
      </c>
      <c r="C294" s="133">
        <v>90</v>
      </c>
      <c r="D294" s="133" t="str">
        <f t="shared" si="1"/>
        <v>1/2" Round Mini CIM 90</v>
      </c>
      <c r="E294" s="133">
        <v>0</v>
      </c>
      <c r="F294" s="133">
        <v>0</v>
      </c>
    </row>
    <row r="295" spans="1:6" ht="14.25" customHeight="1" x14ac:dyDescent="0.3">
      <c r="A295" s="133" t="s">
        <v>243</v>
      </c>
      <c r="B295" s="133" t="s">
        <v>7</v>
      </c>
      <c r="C295" s="133">
        <v>100</v>
      </c>
      <c r="D295" s="133" t="str">
        <f t="shared" si="1"/>
        <v>1/2" Round Mini CIM 100</v>
      </c>
      <c r="E295" s="133">
        <v>0</v>
      </c>
      <c r="F295" s="133">
        <v>0</v>
      </c>
    </row>
    <row r="296" spans="1:6" ht="14.25" customHeight="1" x14ac:dyDescent="0.3">
      <c r="A296" s="133" t="s">
        <v>243</v>
      </c>
      <c r="B296" s="133" t="s">
        <v>6</v>
      </c>
      <c r="C296" s="133">
        <v>9</v>
      </c>
      <c r="D296" s="133" t="str">
        <f t="shared" si="1"/>
        <v>1/2" Round CIM 9</v>
      </c>
      <c r="E296" s="133">
        <v>5</v>
      </c>
      <c r="F296" s="133">
        <v>0</v>
      </c>
    </row>
    <row r="297" spans="1:6" ht="14.25" customHeight="1" x14ac:dyDescent="0.3">
      <c r="A297" s="133" t="s">
        <v>243</v>
      </c>
      <c r="B297" s="133" t="s">
        <v>6</v>
      </c>
      <c r="C297" s="133">
        <v>12</v>
      </c>
      <c r="D297" s="133" t="str">
        <f t="shared" si="1"/>
        <v>1/2" Round CIM 12</v>
      </c>
      <c r="E297" s="133">
        <v>4</v>
      </c>
      <c r="F297" s="133">
        <v>0</v>
      </c>
    </row>
    <row r="298" spans="1:6" ht="14.25" customHeight="1" x14ac:dyDescent="0.3">
      <c r="A298" s="133" t="s">
        <v>243</v>
      </c>
      <c r="B298" s="133" t="s">
        <v>6</v>
      </c>
      <c r="C298" s="133">
        <v>15</v>
      </c>
      <c r="D298" s="133" t="str">
        <f t="shared" si="1"/>
        <v>1/2" Round CIM 15</v>
      </c>
      <c r="E298" s="133">
        <v>3</v>
      </c>
      <c r="F298" s="133">
        <v>0</v>
      </c>
    </row>
    <row r="299" spans="1:6" ht="14.25" customHeight="1" x14ac:dyDescent="0.3">
      <c r="A299" s="133" t="s">
        <v>243</v>
      </c>
      <c r="B299" s="133" t="s">
        <v>6</v>
      </c>
      <c r="C299" s="133">
        <v>16</v>
      </c>
      <c r="D299" s="133" t="str">
        <f t="shared" si="1"/>
        <v>1/2" Round CIM 16</v>
      </c>
      <c r="E299" s="133">
        <v>3</v>
      </c>
      <c r="F299" s="133">
        <v>0</v>
      </c>
    </row>
    <row r="300" spans="1:6" ht="14.25" customHeight="1" x14ac:dyDescent="0.3">
      <c r="A300" s="133" t="s">
        <v>243</v>
      </c>
      <c r="B300" s="133" t="s">
        <v>6</v>
      </c>
      <c r="C300" s="133">
        <v>20</v>
      </c>
      <c r="D300" s="133" t="str">
        <f t="shared" si="1"/>
        <v>1/2" Round CIM 20</v>
      </c>
      <c r="E300" s="133">
        <v>1</v>
      </c>
      <c r="F300" s="133">
        <v>0</v>
      </c>
    </row>
    <row r="301" spans="1:6" ht="14.25" customHeight="1" x14ac:dyDescent="0.3">
      <c r="A301" s="133" t="s">
        <v>243</v>
      </c>
      <c r="B301" s="133" t="s">
        <v>6</v>
      </c>
      <c r="C301" s="133">
        <v>21</v>
      </c>
      <c r="D301" s="133" t="str">
        <f t="shared" si="1"/>
        <v>1/2" Round CIM 21</v>
      </c>
      <c r="E301" s="133">
        <v>1</v>
      </c>
      <c r="F301" s="133">
        <v>0</v>
      </c>
    </row>
    <row r="302" spans="1:6" ht="14.25" customHeight="1" x14ac:dyDescent="0.3">
      <c r="A302" s="133" t="s">
        <v>243</v>
      </c>
      <c r="B302" s="133" t="s">
        <v>6</v>
      </c>
      <c r="C302" s="133">
        <v>25</v>
      </c>
      <c r="D302" s="133" t="str">
        <f t="shared" si="1"/>
        <v>1/2" Round CIM 25</v>
      </c>
      <c r="E302" s="133">
        <v>1</v>
      </c>
      <c r="F302" s="133">
        <v>0</v>
      </c>
    </row>
    <row r="303" spans="1:6" ht="14.25" customHeight="1" x14ac:dyDescent="0.3">
      <c r="A303" s="133" t="s">
        <v>243</v>
      </c>
      <c r="B303" s="133" t="s">
        <v>6</v>
      </c>
      <c r="C303" s="133">
        <v>27</v>
      </c>
      <c r="D303" s="133" t="str">
        <f t="shared" si="1"/>
        <v>1/2" Round CIM 27</v>
      </c>
      <c r="E303" s="133">
        <v>1</v>
      </c>
      <c r="F303" s="133">
        <v>0</v>
      </c>
    </row>
    <row r="304" spans="1:6" ht="14.25" customHeight="1" x14ac:dyDescent="0.3">
      <c r="A304" s="133" t="s">
        <v>243</v>
      </c>
      <c r="B304" s="133" t="s">
        <v>6</v>
      </c>
      <c r="C304" s="133">
        <v>28</v>
      </c>
      <c r="D304" s="133" t="str">
        <f t="shared" si="1"/>
        <v>1/2" Round CIM 28</v>
      </c>
      <c r="E304" s="133">
        <v>1</v>
      </c>
      <c r="F304" s="133">
        <v>0</v>
      </c>
    </row>
    <row r="305" spans="1:6" ht="14.25" customHeight="1" x14ac:dyDescent="0.3">
      <c r="A305" s="133" t="s">
        <v>243</v>
      </c>
      <c r="B305" s="133" t="s">
        <v>6</v>
      </c>
      <c r="C305" s="133">
        <v>30</v>
      </c>
      <c r="D305" s="133" t="str">
        <f t="shared" si="1"/>
        <v>1/2" Round CIM 30</v>
      </c>
      <c r="E305" s="133">
        <v>1</v>
      </c>
      <c r="F305" s="133">
        <v>0</v>
      </c>
    </row>
    <row r="306" spans="1:6" ht="14.25" customHeight="1" x14ac:dyDescent="0.3">
      <c r="A306" s="133" t="s">
        <v>243</v>
      </c>
      <c r="B306" s="133" t="s">
        <v>6</v>
      </c>
      <c r="C306" s="133">
        <v>35</v>
      </c>
      <c r="D306" s="133" t="str">
        <f t="shared" si="1"/>
        <v>1/2" Round CIM 35</v>
      </c>
      <c r="E306" s="133">
        <v>1</v>
      </c>
      <c r="F306" s="133">
        <v>0</v>
      </c>
    </row>
    <row r="307" spans="1:6" ht="14.25" customHeight="1" x14ac:dyDescent="0.3">
      <c r="A307" s="133" t="s">
        <v>243</v>
      </c>
      <c r="B307" s="133" t="s">
        <v>6</v>
      </c>
      <c r="C307" s="133">
        <v>36</v>
      </c>
      <c r="D307" s="133" t="str">
        <f t="shared" si="1"/>
        <v>1/2" Round CIM 36</v>
      </c>
      <c r="E307" s="133">
        <v>1</v>
      </c>
      <c r="F307" s="133">
        <v>0</v>
      </c>
    </row>
    <row r="308" spans="1:6" ht="14.25" customHeight="1" x14ac:dyDescent="0.3">
      <c r="A308" s="133" t="s">
        <v>243</v>
      </c>
      <c r="B308" s="133" t="s">
        <v>6</v>
      </c>
      <c r="C308" s="133">
        <v>40</v>
      </c>
      <c r="D308" s="133" t="str">
        <f t="shared" si="1"/>
        <v>1/2" Round CIM 40</v>
      </c>
      <c r="E308" s="133">
        <v>1</v>
      </c>
      <c r="F308" s="133">
        <v>0</v>
      </c>
    </row>
    <row r="309" spans="1:6" ht="14.25" customHeight="1" x14ac:dyDescent="0.3">
      <c r="A309" s="133" t="s">
        <v>243</v>
      </c>
      <c r="B309" s="133" t="s">
        <v>6</v>
      </c>
      <c r="C309" s="133">
        <v>45</v>
      </c>
      <c r="D309" s="133" t="str">
        <f t="shared" si="1"/>
        <v>1/2" Round CIM 45</v>
      </c>
      <c r="E309" s="133">
        <v>1</v>
      </c>
      <c r="F309" s="133">
        <v>0</v>
      </c>
    </row>
    <row r="310" spans="1:6" ht="14.25" customHeight="1" x14ac:dyDescent="0.3">
      <c r="A310" s="133" t="s">
        <v>243</v>
      </c>
      <c r="B310" s="133" t="s">
        <v>6</v>
      </c>
      <c r="C310" s="133">
        <v>49</v>
      </c>
      <c r="D310" s="133" t="str">
        <f t="shared" si="1"/>
        <v>1/2" Round CIM 49</v>
      </c>
      <c r="E310" s="133">
        <v>0</v>
      </c>
      <c r="F310" s="133">
        <v>0</v>
      </c>
    </row>
    <row r="311" spans="1:6" ht="14.25" customHeight="1" x14ac:dyDescent="0.3">
      <c r="A311" s="133" t="s">
        <v>243</v>
      </c>
      <c r="B311" s="133" t="s">
        <v>6</v>
      </c>
      <c r="C311" s="133">
        <v>50</v>
      </c>
      <c r="D311" s="133" t="str">
        <f t="shared" si="1"/>
        <v>1/2" Round CIM 50</v>
      </c>
      <c r="E311" s="133">
        <v>1</v>
      </c>
      <c r="F311" s="133">
        <v>0</v>
      </c>
    </row>
    <row r="312" spans="1:6" ht="14.25" customHeight="1" x14ac:dyDescent="0.3">
      <c r="A312" s="133" t="s">
        <v>243</v>
      </c>
      <c r="B312" s="133" t="s">
        <v>6</v>
      </c>
      <c r="C312" s="133">
        <v>63</v>
      </c>
      <c r="D312" s="133" t="str">
        <f t="shared" si="1"/>
        <v>1/2" Round CIM 63</v>
      </c>
      <c r="E312" s="133">
        <v>0</v>
      </c>
      <c r="F312" s="133">
        <v>0</v>
      </c>
    </row>
    <row r="313" spans="1:6" ht="14.25" customHeight="1" x14ac:dyDescent="0.3">
      <c r="A313" s="133" t="s">
        <v>243</v>
      </c>
      <c r="B313" s="133" t="s">
        <v>6</v>
      </c>
      <c r="C313" s="133">
        <v>70</v>
      </c>
      <c r="D313" s="133" t="str">
        <f t="shared" si="1"/>
        <v>1/2" Round CIM 70</v>
      </c>
      <c r="E313" s="133">
        <v>0</v>
      </c>
      <c r="F313" s="133">
        <v>0</v>
      </c>
    </row>
    <row r="314" spans="1:6" ht="14.25" customHeight="1" x14ac:dyDescent="0.3">
      <c r="A314" s="133" t="s">
        <v>243</v>
      </c>
      <c r="B314" s="133" t="s">
        <v>6</v>
      </c>
      <c r="C314" s="133">
        <v>81</v>
      </c>
      <c r="D314" s="133" t="str">
        <f t="shared" si="1"/>
        <v>1/2" Round CIM 81</v>
      </c>
      <c r="E314" s="133">
        <v>0</v>
      </c>
      <c r="F314" s="133">
        <v>0</v>
      </c>
    </row>
    <row r="315" spans="1:6" ht="14.25" customHeight="1" x14ac:dyDescent="0.3">
      <c r="A315" s="133" t="s">
        <v>243</v>
      </c>
      <c r="B315" s="133" t="s">
        <v>6</v>
      </c>
      <c r="C315" s="133">
        <v>90</v>
      </c>
      <c r="D315" s="133" t="str">
        <f t="shared" si="1"/>
        <v>1/2" Round CIM 90</v>
      </c>
      <c r="E315" s="133">
        <v>0</v>
      </c>
      <c r="F315" s="133">
        <v>0</v>
      </c>
    </row>
    <row r="316" spans="1:6" ht="14.25" customHeight="1" x14ac:dyDescent="0.3">
      <c r="A316" s="133" t="s">
        <v>243</v>
      </c>
      <c r="B316" s="133" t="s">
        <v>6</v>
      </c>
      <c r="C316" s="133">
        <v>100</v>
      </c>
      <c r="D316" s="133" t="str">
        <f t="shared" si="1"/>
        <v>1/2" Round CIM 100</v>
      </c>
      <c r="E316" s="133">
        <v>0</v>
      </c>
      <c r="F316" s="133">
        <v>0</v>
      </c>
    </row>
    <row r="317" spans="1:6" ht="14.25" customHeight="1" x14ac:dyDescent="0.3">
      <c r="A317" s="133" t="s">
        <v>243</v>
      </c>
      <c r="B317" s="133" t="s">
        <v>259</v>
      </c>
      <c r="C317" s="133">
        <v>9</v>
      </c>
      <c r="D317" s="133" t="str">
        <f t="shared" si="1"/>
        <v>1/2" Round 775pro 9</v>
      </c>
      <c r="E317" s="133">
        <v>10</v>
      </c>
      <c r="F317" s="133">
        <v>5</v>
      </c>
    </row>
    <row r="318" spans="1:6" ht="14.25" customHeight="1" x14ac:dyDescent="0.3">
      <c r="A318" s="133" t="s">
        <v>243</v>
      </c>
      <c r="B318" s="133" t="s">
        <v>259</v>
      </c>
      <c r="C318" s="133">
        <v>12</v>
      </c>
      <c r="D318" s="133" t="str">
        <f t="shared" si="1"/>
        <v>1/2" Round 775pro 12</v>
      </c>
      <c r="E318" s="133">
        <v>10</v>
      </c>
      <c r="F318" s="133">
        <v>4</v>
      </c>
    </row>
    <row r="319" spans="1:6" ht="14.25" customHeight="1" x14ac:dyDescent="0.3">
      <c r="A319" s="133" t="s">
        <v>243</v>
      </c>
      <c r="B319" s="133" t="s">
        <v>259</v>
      </c>
      <c r="C319" s="133">
        <v>15</v>
      </c>
      <c r="D319" s="133" t="str">
        <f t="shared" si="1"/>
        <v>1/2" Round 775pro 15</v>
      </c>
      <c r="E319" s="133">
        <v>10</v>
      </c>
      <c r="F319" s="133">
        <v>3</v>
      </c>
    </row>
    <row r="320" spans="1:6" ht="14.25" customHeight="1" x14ac:dyDescent="0.3">
      <c r="A320" s="133" t="s">
        <v>243</v>
      </c>
      <c r="B320" s="133" t="s">
        <v>259</v>
      </c>
      <c r="C320" s="133">
        <v>16</v>
      </c>
      <c r="D320" s="133" t="str">
        <f t="shared" si="1"/>
        <v>1/2" Round 775pro 16</v>
      </c>
      <c r="E320" s="133">
        <v>10</v>
      </c>
      <c r="F320" s="133">
        <v>3</v>
      </c>
    </row>
    <row r="321" spans="1:6" ht="14.25" customHeight="1" x14ac:dyDescent="0.3">
      <c r="A321" s="133" t="s">
        <v>243</v>
      </c>
      <c r="B321" s="133" t="s">
        <v>259</v>
      </c>
      <c r="C321" s="133">
        <v>20</v>
      </c>
      <c r="D321" s="133" t="str">
        <f t="shared" si="1"/>
        <v>1/2" Round 775pro 20</v>
      </c>
      <c r="E321" s="133">
        <v>9</v>
      </c>
      <c r="F321" s="133">
        <v>1</v>
      </c>
    </row>
    <row r="322" spans="1:6" ht="14.25" customHeight="1" x14ac:dyDescent="0.3">
      <c r="A322" s="133" t="s">
        <v>243</v>
      </c>
      <c r="B322" s="133" t="s">
        <v>259</v>
      </c>
      <c r="C322" s="133">
        <v>21</v>
      </c>
      <c r="D322" s="133" t="str">
        <f t="shared" si="1"/>
        <v>1/2" Round 775pro 21</v>
      </c>
      <c r="E322" s="133">
        <v>7</v>
      </c>
      <c r="F322" s="133">
        <v>1</v>
      </c>
    </row>
    <row r="323" spans="1:6" ht="14.25" customHeight="1" x14ac:dyDescent="0.3">
      <c r="A323" s="133" t="s">
        <v>243</v>
      </c>
      <c r="B323" s="133" t="s">
        <v>259</v>
      </c>
      <c r="C323" s="133">
        <v>25</v>
      </c>
      <c r="D323" s="133" t="str">
        <f t="shared" si="1"/>
        <v>1/2" Round 775pro 25</v>
      </c>
      <c r="E323" s="133">
        <v>7</v>
      </c>
      <c r="F323" s="133">
        <v>1</v>
      </c>
    </row>
    <row r="324" spans="1:6" ht="14.25" customHeight="1" x14ac:dyDescent="0.3">
      <c r="A324" s="133" t="s">
        <v>243</v>
      </c>
      <c r="B324" s="133" t="s">
        <v>259</v>
      </c>
      <c r="C324" s="133">
        <v>27</v>
      </c>
      <c r="D324" s="133" t="str">
        <f t="shared" si="1"/>
        <v>1/2" Round 775pro 27</v>
      </c>
      <c r="E324" s="133">
        <v>5</v>
      </c>
      <c r="F324" s="133">
        <v>1</v>
      </c>
    </row>
    <row r="325" spans="1:6" ht="14.25" customHeight="1" x14ac:dyDescent="0.3">
      <c r="A325" s="133" t="s">
        <v>243</v>
      </c>
      <c r="B325" s="133" t="s">
        <v>259</v>
      </c>
      <c r="C325" s="133">
        <v>28</v>
      </c>
      <c r="D325" s="133" t="str">
        <f t="shared" si="1"/>
        <v>1/2" Round 775pro 28</v>
      </c>
      <c r="E325" s="133">
        <v>5</v>
      </c>
      <c r="F325" s="133">
        <v>1</v>
      </c>
    </row>
    <row r="326" spans="1:6" ht="14.25" customHeight="1" x14ac:dyDescent="0.3">
      <c r="A326" s="133" t="s">
        <v>243</v>
      </c>
      <c r="B326" s="133" t="s">
        <v>259</v>
      </c>
      <c r="C326" s="133">
        <v>30</v>
      </c>
      <c r="D326" s="133" t="str">
        <f t="shared" si="1"/>
        <v>1/2" Round 775pro 30</v>
      </c>
      <c r="E326" s="133">
        <v>5</v>
      </c>
      <c r="F326" s="133">
        <v>1</v>
      </c>
    </row>
    <row r="327" spans="1:6" ht="14.25" customHeight="1" x14ac:dyDescent="0.3">
      <c r="A327" s="133" t="s">
        <v>243</v>
      </c>
      <c r="B327" s="133" t="s">
        <v>259</v>
      </c>
      <c r="C327" s="133">
        <v>35</v>
      </c>
      <c r="D327" s="133" t="str">
        <f t="shared" si="1"/>
        <v>1/2" Round 775pro 35</v>
      </c>
      <c r="E327" s="133">
        <v>5</v>
      </c>
      <c r="F327" s="133">
        <v>1</v>
      </c>
    </row>
    <row r="328" spans="1:6" ht="14.25" customHeight="1" x14ac:dyDescent="0.3">
      <c r="A328" s="133" t="s">
        <v>243</v>
      </c>
      <c r="B328" s="133" t="s">
        <v>259</v>
      </c>
      <c r="C328" s="133">
        <v>36</v>
      </c>
      <c r="D328" s="133" t="str">
        <f t="shared" si="1"/>
        <v>1/2" Round 775pro 36</v>
      </c>
      <c r="E328" s="133">
        <v>5</v>
      </c>
      <c r="F328" s="133">
        <v>1</v>
      </c>
    </row>
    <row r="329" spans="1:6" ht="14.25" customHeight="1" x14ac:dyDescent="0.3">
      <c r="A329" s="133" t="s">
        <v>243</v>
      </c>
      <c r="B329" s="133" t="s">
        <v>259</v>
      </c>
      <c r="C329" s="133">
        <v>40</v>
      </c>
      <c r="D329" s="133" t="str">
        <f t="shared" si="1"/>
        <v>1/2" Round 775pro 40</v>
      </c>
      <c r="E329" s="133">
        <v>4</v>
      </c>
      <c r="F329" s="133">
        <v>1</v>
      </c>
    </row>
    <row r="330" spans="1:6" ht="14.25" customHeight="1" x14ac:dyDescent="0.3">
      <c r="A330" s="133" t="s">
        <v>243</v>
      </c>
      <c r="B330" s="133" t="s">
        <v>259</v>
      </c>
      <c r="C330" s="133">
        <v>45</v>
      </c>
      <c r="D330" s="133" t="str">
        <f t="shared" si="1"/>
        <v>1/2" Round 775pro 45</v>
      </c>
      <c r="E330" s="133">
        <v>4</v>
      </c>
      <c r="F330" s="133">
        <v>1</v>
      </c>
    </row>
    <row r="331" spans="1:6" ht="14.25" customHeight="1" x14ac:dyDescent="0.3">
      <c r="A331" s="133" t="s">
        <v>243</v>
      </c>
      <c r="B331" s="133" t="s">
        <v>259</v>
      </c>
      <c r="C331" s="133">
        <v>49</v>
      </c>
      <c r="D331" s="133" t="str">
        <f t="shared" si="1"/>
        <v>1/2" Round 775pro 49</v>
      </c>
      <c r="E331" s="133">
        <v>3</v>
      </c>
      <c r="F331" s="133">
        <v>1</v>
      </c>
    </row>
    <row r="332" spans="1:6" ht="14.25" customHeight="1" x14ac:dyDescent="0.3">
      <c r="A332" s="133" t="s">
        <v>243</v>
      </c>
      <c r="B332" s="133" t="s">
        <v>259</v>
      </c>
      <c r="C332" s="133">
        <v>50</v>
      </c>
      <c r="D332" s="133" t="str">
        <f t="shared" si="1"/>
        <v>1/2" Round 775pro 50</v>
      </c>
      <c r="E332" s="133">
        <v>3</v>
      </c>
      <c r="F332" s="133">
        <v>0</v>
      </c>
    </row>
    <row r="333" spans="1:6" ht="14.25" customHeight="1" x14ac:dyDescent="0.3">
      <c r="A333" s="133" t="s">
        <v>243</v>
      </c>
      <c r="B333" s="133" t="s">
        <v>259</v>
      </c>
      <c r="C333" s="133">
        <v>63</v>
      </c>
      <c r="D333" s="133" t="str">
        <f t="shared" si="1"/>
        <v>1/2" Round 775pro 63</v>
      </c>
      <c r="E333" s="133">
        <v>1</v>
      </c>
      <c r="F333" s="133">
        <v>0</v>
      </c>
    </row>
    <row r="334" spans="1:6" ht="14.25" customHeight="1" x14ac:dyDescent="0.3">
      <c r="A334" s="133" t="s">
        <v>243</v>
      </c>
      <c r="B334" s="133" t="s">
        <v>259</v>
      </c>
      <c r="C334" s="133">
        <v>70</v>
      </c>
      <c r="D334" s="133" t="str">
        <f t="shared" si="1"/>
        <v>1/2" Round 775pro 70</v>
      </c>
      <c r="E334" s="133">
        <v>1</v>
      </c>
      <c r="F334" s="133">
        <v>0</v>
      </c>
    </row>
    <row r="335" spans="1:6" ht="14.25" customHeight="1" x14ac:dyDescent="0.3">
      <c r="A335" s="133" t="s">
        <v>243</v>
      </c>
      <c r="B335" s="133" t="s">
        <v>259</v>
      </c>
      <c r="C335" s="133">
        <v>81</v>
      </c>
      <c r="D335" s="133" t="str">
        <f t="shared" si="1"/>
        <v>1/2" Round 775pro 81</v>
      </c>
      <c r="E335" s="133">
        <v>1</v>
      </c>
      <c r="F335" s="133">
        <v>0</v>
      </c>
    </row>
    <row r="336" spans="1:6" ht="14.25" customHeight="1" x14ac:dyDescent="0.3">
      <c r="A336" s="133" t="s">
        <v>243</v>
      </c>
      <c r="B336" s="133" t="s">
        <v>259</v>
      </c>
      <c r="C336" s="133">
        <v>90</v>
      </c>
      <c r="D336" s="133" t="str">
        <f t="shared" si="1"/>
        <v>1/2" Round 775pro 90</v>
      </c>
      <c r="E336" s="133">
        <v>1</v>
      </c>
      <c r="F336" s="133">
        <v>0</v>
      </c>
    </row>
    <row r="337" spans="1:6" ht="14.25" customHeight="1" x14ac:dyDescent="0.3">
      <c r="A337" s="133" t="s">
        <v>243</v>
      </c>
      <c r="B337" s="133" t="s">
        <v>259</v>
      </c>
      <c r="C337" s="133">
        <v>100</v>
      </c>
      <c r="D337" s="133" t="str">
        <f t="shared" si="1"/>
        <v>1/2" Round 775pro 100</v>
      </c>
      <c r="E337" s="133">
        <v>1</v>
      </c>
      <c r="F337" s="133">
        <v>0</v>
      </c>
    </row>
    <row r="338" spans="1:6" ht="14.25" customHeight="1" x14ac:dyDescent="0.3">
      <c r="A338" s="133" t="s">
        <v>246</v>
      </c>
      <c r="B338" s="133" t="s">
        <v>11</v>
      </c>
      <c r="C338" s="133">
        <v>9</v>
      </c>
      <c r="D338" s="133" t="str">
        <f t="shared" si="1"/>
        <v>3/8" Hex AM 9015 9</v>
      </c>
      <c r="E338" s="133">
        <v>10</v>
      </c>
      <c r="F338" s="133">
        <v>10</v>
      </c>
    </row>
    <row r="339" spans="1:6" ht="14.25" customHeight="1" x14ac:dyDescent="0.3">
      <c r="A339" s="133" t="s">
        <v>246</v>
      </c>
      <c r="B339" s="133" t="s">
        <v>11</v>
      </c>
      <c r="C339" s="133">
        <v>12</v>
      </c>
      <c r="D339" s="133" t="str">
        <f t="shared" si="1"/>
        <v>3/8" Hex AM 9015 12</v>
      </c>
      <c r="E339" s="133">
        <v>10</v>
      </c>
      <c r="F339" s="133">
        <v>7</v>
      </c>
    </row>
    <row r="340" spans="1:6" ht="14.25" customHeight="1" x14ac:dyDescent="0.3">
      <c r="A340" s="133" t="s">
        <v>246</v>
      </c>
      <c r="B340" s="133" t="s">
        <v>11</v>
      </c>
      <c r="C340" s="133">
        <v>15</v>
      </c>
      <c r="D340" s="133" t="str">
        <f t="shared" si="1"/>
        <v>3/8" Hex AM 9015 15</v>
      </c>
      <c r="E340" s="133">
        <v>7</v>
      </c>
      <c r="F340" s="133">
        <v>5</v>
      </c>
    </row>
    <row r="341" spans="1:6" ht="14.25" customHeight="1" x14ac:dyDescent="0.3">
      <c r="A341" s="133" t="s">
        <v>246</v>
      </c>
      <c r="B341" s="133" t="s">
        <v>11</v>
      </c>
      <c r="C341" s="133">
        <v>16</v>
      </c>
      <c r="D341" s="133" t="str">
        <f t="shared" si="1"/>
        <v>3/8" Hex AM 9015 16</v>
      </c>
      <c r="E341" s="133">
        <v>7</v>
      </c>
      <c r="F341" s="133">
        <v>5</v>
      </c>
    </row>
    <row r="342" spans="1:6" ht="14.25" customHeight="1" x14ac:dyDescent="0.3">
      <c r="A342" s="133" t="s">
        <v>246</v>
      </c>
      <c r="B342" s="133" t="s">
        <v>11</v>
      </c>
      <c r="C342" s="133">
        <v>20</v>
      </c>
      <c r="D342" s="133" t="str">
        <f t="shared" si="1"/>
        <v>3/8" Hex AM 9015 20</v>
      </c>
      <c r="E342" s="133">
        <v>5</v>
      </c>
      <c r="F342" s="133">
        <v>4</v>
      </c>
    </row>
    <row r="343" spans="1:6" ht="14.25" customHeight="1" x14ac:dyDescent="0.3">
      <c r="A343" s="133" t="s">
        <v>246</v>
      </c>
      <c r="B343" s="133" t="s">
        <v>11</v>
      </c>
      <c r="C343" s="133">
        <v>21</v>
      </c>
      <c r="D343" s="133" t="str">
        <f t="shared" si="1"/>
        <v>3/8" Hex AM 9015 21</v>
      </c>
      <c r="E343" s="133">
        <v>5</v>
      </c>
      <c r="F343" s="133">
        <v>4</v>
      </c>
    </row>
    <row r="344" spans="1:6" ht="14.25" customHeight="1" x14ac:dyDescent="0.3">
      <c r="A344" s="133" t="s">
        <v>246</v>
      </c>
      <c r="B344" s="133" t="s">
        <v>11</v>
      </c>
      <c r="C344" s="133">
        <v>25</v>
      </c>
      <c r="D344" s="133" t="str">
        <f t="shared" si="1"/>
        <v>3/8" Hex AM 9015 25</v>
      </c>
      <c r="E344" s="133">
        <v>5</v>
      </c>
      <c r="F344" s="133">
        <v>3</v>
      </c>
    </row>
    <row r="345" spans="1:6" ht="14.25" customHeight="1" x14ac:dyDescent="0.3">
      <c r="A345" s="133" t="s">
        <v>246</v>
      </c>
      <c r="B345" s="133" t="s">
        <v>11</v>
      </c>
      <c r="C345" s="133">
        <v>27</v>
      </c>
      <c r="D345" s="133" t="str">
        <f t="shared" si="1"/>
        <v>3/8" Hex AM 9015 27</v>
      </c>
      <c r="E345" s="133">
        <v>4</v>
      </c>
      <c r="F345" s="133">
        <v>3</v>
      </c>
    </row>
    <row r="346" spans="1:6" ht="14.25" customHeight="1" x14ac:dyDescent="0.3">
      <c r="A346" s="133" t="s">
        <v>246</v>
      </c>
      <c r="B346" s="133" t="s">
        <v>11</v>
      </c>
      <c r="C346" s="133">
        <v>28</v>
      </c>
      <c r="D346" s="133" t="str">
        <f t="shared" si="1"/>
        <v>3/8" Hex AM 9015 28</v>
      </c>
      <c r="E346" s="133">
        <v>4</v>
      </c>
      <c r="F346" s="133">
        <v>3</v>
      </c>
    </row>
    <row r="347" spans="1:6" ht="14.25" customHeight="1" x14ac:dyDescent="0.3">
      <c r="A347" s="133" t="s">
        <v>246</v>
      </c>
      <c r="B347" s="133" t="s">
        <v>11</v>
      </c>
      <c r="C347" s="133">
        <v>30</v>
      </c>
      <c r="D347" s="133" t="str">
        <f t="shared" si="1"/>
        <v>3/8" Hex AM 9015 30</v>
      </c>
      <c r="E347" s="133">
        <v>4</v>
      </c>
      <c r="F347" s="133">
        <v>3</v>
      </c>
    </row>
    <row r="348" spans="1:6" ht="14.25" customHeight="1" x14ac:dyDescent="0.3">
      <c r="A348" s="133" t="s">
        <v>246</v>
      </c>
      <c r="B348" s="133" t="s">
        <v>11</v>
      </c>
      <c r="C348" s="133">
        <v>35</v>
      </c>
      <c r="D348" s="133" t="str">
        <f t="shared" si="1"/>
        <v>3/8" Hex AM 9015 35</v>
      </c>
      <c r="E348" s="133">
        <v>3</v>
      </c>
      <c r="F348" s="133">
        <v>1</v>
      </c>
    </row>
    <row r="349" spans="1:6" ht="14.25" customHeight="1" x14ac:dyDescent="0.3">
      <c r="A349" s="133" t="s">
        <v>246</v>
      </c>
      <c r="B349" s="133" t="s">
        <v>11</v>
      </c>
      <c r="C349" s="133">
        <v>36</v>
      </c>
      <c r="D349" s="133" t="str">
        <f t="shared" si="1"/>
        <v>3/8" Hex AM 9015 36</v>
      </c>
      <c r="E349" s="133">
        <v>3</v>
      </c>
      <c r="F349" s="133">
        <v>1</v>
      </c>
    </row>
    <row r="350" spans="1:6" ht="14.25" customHeight="1" x14ac:dyDescent="0.3">
      <c r="A350" s="133" t="s">
        <v>246</v>
      </c>
      <c r="B350" s="133" t="s">
        <v>11</v>
      </c>
      <c r="C350" s="133">
        <v>40</v>
      </c>
      <c r="D350" s="133" t="str">
        <f t="shared" si="1"/>
        <v>3/8" Hex AM 9015 40</v>
      </c>
      <c r="E350" s="133">
        <v>3</v>
      </c>
      <c r="F350" s="133">
        <v>1</v>
      </c>
    </row>
    <row r="351" spans="1:6" ht="14.25" customHeight="1" x14ac:dyDescent="0.3">
      <c r="A351" s="133" t="s">
        <v>246</v>
      </c>
      <c r="B351" s="133" t="s">
        <v>11</v>
      </c>
      <c r="C351" s="133">
        <v>45</v>
      </c>
      <c r="D351" s="133" t="str">
        <f t="shared" si="1"/>
        <v>3/8" Hex AM 9015 45</v>
      </c>
      <c r="E351" s="133">
        <v>1</v>
      </c>
      <c r="F351" s="133">
        <v>1</v>
      </c>
    </row>
    <row r="352" spans="1:6" ht="14.25" customHeight="1" x14ac:dyDescent="0.3">
      <c r="A352" s="133" t="s">
        <v>246</v>
      </c>
      <c r="B352" s="133" t="s">
        <v>11</v>
      </c>
      <c r="C352" s="133">
        <v>49</v>
      </c>
      <c r="D352" s="133" t="str">
        <f t="shared" si="1"/>
        <v>3/8" Hex AM 9015 49</v>
      </c>
      <c r="E352" s="133">
        <v>1</v>
      </c>
      <c r="F352" s="133">
        <v>1</v>
      </c>
    </row>
    <row r="353" spans="1:6" ht="14.25" customHeight="1" x14ac:dyDescent="0.3">
      <c r="A353" s="133" t="s">
        <v>246</v>
      </c>
      <c r="B353" s="133" t="s">
        <v>11</v>
      </c>
      <c r="C353" s="133">
        <v>50</v>
      </c>
      <c r="D353" s="133" t="str">
        <f t="shared" si="1"/>
        <v>3/8" Hex AM 9015 50</v>
      </c>
      <c r="E353" s="133">
        <v>1</v>
      </c>
      <c r="F353" s="133">
        <v>1</v>
      </c>
    </row>
    <row r="354" spans="1:6" ht="14.25" customHeight="1" x14ac:dyDescent="0.3">
      <c r="A354" s="133" t="s">
        <v>246</v>
      </c>
      <c r="B354" s="133" t="s">
        <v>11</v>
      </c>
      <c r="C354" s="133">
        <v>63</v>
      </c>
      <c r="D354" s="133" t="str">
        <f t="shared" si="1"/>
        <v>3/8" Hex AM 9015 63</v>
      </c>
      <c r="E354" s="133">
        <v>1</v>
      </c>
      <c r="F354" s="133">
        <v>1</v>
      </c>
    </row>
    <row r="355" spans="1:6" ht="14.25" customHeight="1" x14ac:dyDescent="0.3">
      <c r="A355" s="133" t="s">
        <v>246</v>
      </c>
      <c r="B355" s="133" t="s">
        <v>11</v>
      </c>
      <c r="C355" s="133">
        <v>70</v>
      </c>
      <c r="D355" s="133" t="str">
        <f t="shared" si="1"/>
        <v>3/8" Hex AM 9015 70</v>
      </c>
      <c r="E355" s="133">
        <v>1</v>
      </c>
      <c r="F355" s="133">
        <v>1</v>
      </c>
    </row>
    <row r="356" spans="1:6" ht="14.25" customHeight="1" x14ac:dyDescent="0.3">
      <c r="A356" s="133" t="s">
        <v>246</v>
      </c>
      <c r="B356" s="133" t="s">
        <v>11</v>
      </c>
      <c r="C356" s="133">
        <v>81</v>
      </c>
      <c r="D356" s="133" t="str">
        <f t="shared" si="1"/>
        <v>3/8" Hex AM 9015 81</v>
      </c>
      <c r="E356" s="133">
        <v>1</v>
      </c>
      <c r="F356" s="133">
        <v>1</v>
      </c>
    </row>
    <row r="357" spans="1:6" ht="14.25" customHeight="1" x14ac:dyDescent="0.3">
      <c r="A357" s="133" t="s">
        <v>246</v>
      </c>
      <c r="B357" s="133" t="s">
        <v>11</v>
      </c>
      <c r="C357" s="133">
        <v>90</v>
      </c>
      <c r="D357" s="133" t="str">
        <f t="shared" si="1"/>
        <v>3/8" Hex AM 9015 90</v>
      </c>
      <c r="E357" s="133">
        <v>1</v>
      </c>
      <c r="F357" s="133">
        <v>1</v>
      </c>
    </row>
    <row r="358" spans="1:6" ht="14.25" customHeight="1" x14ac:dyDescent="0.3">
      <c r="A358" s="133" t="s">
        <v>246</v>
      </c>
      <c r="B358" s="133" t="s">
        <v>11</v>
      </c>
      <c r="C358" s="133">
        <v>100</v>
      </c>
      <c r="D358" s="133" t="str">
        <f t="shared" si="1"/>
        <v>3/8" Hex AM 9015 100</v>
      </c>
      <c r="E358" s="133">
        <v>1</v>
      </c>
      <c r="F358" s="133">
        <v>0</v>
      </c>
    </row>
    <row r="359" spans="1:6" ht="14.25" customHeight="1" x14ac:dyDescent="0.3">
      <c r="A359" s="133" t="s">
        <v>246</v>
      </c>
      <c r="B359" s="133" t="s">
        <v>337</v>
      </c>
      <c r="C359" s="133">
        <v>9</v>
      </c>
      <c r="D359" s="133" t="str">
        <f t="shared" si="1"/>
        <v>3/8" Hex NeveRest 9</v>
      </c>
      <c r="E359" s="133">
        <v>10</v>
      </c>
      <c r="F359" s="133">
        <v>10</v>
      </c>
    </row>
    <row r="360" spans="1:6" ht="14.25" customHeight="1" x14ac:dyDescent="0.3">
      <c r="A360" s="133" t="s">
        <v>246</v>
      </c>
      <c r="B360" s="133" t="s">
        <v>337</v>
      </c>
      <c r="C360" s="133">
        <v>12</v>
      </c>
      <c r="D360" s="133" t="str">
        <f t="shared" si="1"/>
        <v>3/8" Hex NeveRest 12</v>
      </c>
      <c r="E360" s="133">
        <v>10</v>
      </c>
      <c r="F360" s="133">
        <v>10</v>
      </c>
    </row>
    <row r="361" spans="1:6" ht="14.25" customHeight="1" x14ac:dyDescent="0.3">
      <c r="A361" s="133" t="s">
        <v>246</v>
      </c>
      <c r="B361" s="133" t="s">
        <v>337</v>
      </c>
      <c r="C361" s="133">
        <v>15</v>
      </c>
      <c r="D361" s="133" t="str">
        <f t="shared" si="1"/>
        <v>3/8" Hex NeveRest 15</v>
      </c>
      <c r="E361" s="133">
        <v>7</v>
      </c>
      <c r="F361" s="133">
        <v>10</v>
      </c>
    </row>
    <row r="362" spans="1:6" ht="14.25" customHeight="1" x14ac:dyDescent="0.3">
      <c r="A362" s="133" t="s">
        <v>246</v>
      </c>
      <c r="B362" s="133" t="s">
        <v>337</v>
      </c>
      <c r="C362" s="133">
        <v>16</v>
      </c>
      <c r="D362" s="133" t="str">
        <f t="shared" si="1"/>
        <v>3/8" Hex NeveRest 16</v>
      </c>
      <c r="E362" s="133">
        <v>7</v>
      </c>
      <c r="F362" s="133">
        <v>10</v>
      </c>
    </row>
    <row r="363" spans="1:6" ht="14.25" customHeight="1" x14ac:dyDescent="0.3">
      <c r="A363" s="133" t="s">
        <v>246</v>
      </c>
      <c r="B363" s="133" t="s">
        <v>337</v>
      </c>
      <c r="C363" s="133">
        <v>20</v>
      </c>
      <c r="D363" s="133" t="str">
        <f t="shared" si="1"/>
        <v>3/8" Hex NeveRest 20</v>
      </c>
      <c r="E363" s="133">
        <v>5</v>
      </c>
      <c r="F363" s="133">
        <v>10</v>
      </c>
    </row>
    <row r="364" spans="1:6" ht="14.25" customHeight="1" x14ac:dyDescent="0.3">
      <c r="A364" s="133" t="s">
        <v>246</v>
      </c>
      <c r="B364" s="133" t="s">
        <v>337</v>
      </c>
      <c r="C364" s="133">
        <v>21</v>
      </c>
      <c r="D364" s="133" t="str">
        <f t="shared" si="1"/>
        <v>3/8" Hex NeveRest 21</v>
      </c>
      <c r="E364" s="133">
        <v>5</v>
      </c>
      <c r="F364" s="133">
        <v>9</v>
      </c>
    </row>
    <row r="365" spans="1:6" ht="14.25" customHeight="1" x14ac:dyDescent="0.3">
      <c r="A365" s="133" t="s">
        <v>246</v>
      </c>
      <c r="B365" s="133" t="s">
        <v>337</v>
      </c>
      <c r="C365" s="133">
        <v>25</v>
      </c>
      <c r="D365" s="133" t="str">
        <f t="shared" si="1"/>
        <v>3/8" Hex NeveRest 25</v>
      </c>
      <c r="E365" s="133">
        <v>5</v>
      </c>
      <c r="F365" s="133">
        <v>7</v>
      </c>
    </row>
    <row r="366" spans="1:6" ht="14.25" customHeight="1" x14ac:dyDescent="0.3">
      <c r="A366" s="133" t="s">
        <v>246</v>
      </c>
      <c r="B366" s="133" t="s">
        <v>337</v>
      </c>
      <c r="C366" s="133">
        <v>27</v>
      </c>
      <c r="D366" s="133" t="str">
        <f t="shared" si="1"/>
        <v>3/8" Hex NeveRest 27</v>
      </c>
      <c r="E366" s="133">
        <v>4</v>
      </c>
      <c r="F366" s="133">
        <v>7</v>
      </c>
    </row>
    <row r="367" spans="1:6" ht="14.25" customHeight="1" x14ac:dyDescent="0.3">
      <c r="A367" s="133" t="s">
        <v>246</v>
      </c>
      <c r="B367" s="133" t="s">
        <v>337</v>
      </c>
      <c r="C367" s="133">
        <v>28</v>
      </c>
      <c r="D367" s="133" t="str">
        <f t="shared" si="1"/>
        <v>3/8" Hex NeveRest 28</v>
      </c>
      <c r="E367" s="133">
        <v>4</v>
      </c>
      <c r="F367" s="133">
        <v>7</v>
      </c>
    </row>
    <row r="368" spans="1:6" ht="14.25" customHeight="1" x14ac:dyDescent="0.3">
      <c r="A368" s="133" t="s">
        <v>246</v>
      </c>
      <c r="B368" s="133" t="s">
        <v>337</v>
      </c>
      <c r="C368" s="133">
        <v>30</v>
      </c>
      <c r="D368" s="133" t="str">
        <f t="shared" si="1"/>
        <v>3/8" Hex NeveRest 30</v>
      </c>
      <c r="E368" s="133">
        <v>4</v>
      </c>
      <c r="F368" s="133">
        <v>5</v>
      </c>
    </row>
    <row r="369" spans="1:6" ht="14.25" customHeight="1" x14ac:dyDescent="0.3">
      <c r="A369" s="133" t="s">
        <v>246</v>
      </c>
      <c r="B369" s="133" t="s">
        <v>337</v>
      </c>
      <c r="C369" s="133">
        <v>35</v>
      </c>
      <c r="D369" s="133" t="str">
        <f t="shared" si="1"/>
        <v>3/8" Hex NeveRest 35</v>
      </c>
      <c r="E369" s="133">
        <v>3</v>
      </c>
      <c r="F369" s="133">
        <v>5</v>
      </c>
    </row>
    <row r="370" spans="1:6" ht="14.25" customHeight="1" x14ac:dyDescent="0.3">
      <c r="A370" s="133" t="s">
        <v>246</v>
      </c>
      <c r="B370" s="133" t="s">
        <v>337</v>
      </c>
      <c r="C370" s="133">
        <v>36</v>
      </c>
      <c r="D370" s="133" t="str">
        <f t="shared" si="1"/>
        <v>3/8" Hex NeveRest 36</v>
      </c>
      <c r="E370" s="133">
        <v>3</v>
      </c>
      <c r="F370" s="133">
        <v>5</v>
      </c>
    </row>
    <row r="371" spans="1:6" ht="14.25" customHeight="1" x14ac:dyDescent="0.3">
      <c r="A371" s="133" t="s">
        <v>246</v>
      </c>
      <c r="B371" s="133" t="s">
        <v>337</v>
      </c>
      <c r="C371" s="133">
        <v>40</v>
      </c>
      <c r="D371" s="133" t="str">
        <f t="shared" si="1"/>
        <v>3/8" Hex NeveRest 40</v>
      </c>
      <c r="E371" s="133">
        <v>3</v>
      </c>
      <c r="F371" s="133">
        <v>5</v>
      </c>
    </row>
    <row r="372" spans="1:6" ht="14.25" customHeight="1" x14ac:dyDescent="0.3">
      <c r="A372" s="133" t="s">
        <v>246</v>
      </c>
      <c r="B372" s="133" t="s">
        <v>337</v>
      </c>
      <c r="C372" s="133">
        <v>45</v>
      </c>
      <c r="D372" s="133" t="str">
        <f t="shared" si="1"/>
        <v>3/8" Hex NeveRest 45</v>
      </c>
      <c r="E372" s="133">
        <v>1</v>
      </c>
      <c r="F372" s="133">
        <v>4</v>
      </c>
    </row>
    <row r="373" spans="1:6" ht="14.25" customHeight="1" x14ac:dyDescent="0.3">
      <c r="A373" s="133" t="s">
        <v>246</v>
      </c>
      <c r="B373" s="133" t="s">
        <v>337</v>
      </c>
      <c r="C373" s="133">
        <v>49</v>
      </c>
      <c r="D373" s="133" t="str">
        <f t="shared" si="1"/>
        <v>3/8" Hex NeveRest 49</v>
      </c>
      <c r="E373" s="133">
        <v>1</v>
      </c>
      <c r="F373" s="133">
        <v>4</v>
      </c>
    </row>
    <row r="374" spans="1:6" ht="14.25" customHeight="1" x14ac:dyDescent="0.3">
      <c r="A374" s="133" t="s">
        <v>246</v>
      </c>
      <c r="B374" s="133" t="s">
        <v>337</v>
      </c>
      <c r="C374" s="133">
        <v>50</v>
      </c>
      <c r="D374" s="133" t="str">
        <f t="shared" si="1"/>
        <v>3/8" Hex NeveRest 50</v>
      </c>
      <c r="E374" s="133">
        <v>1</v>
      </c>
      <c r="F374" s="133">
        <v>4</v>
      </c>
    </row>
    <row r="375" spans="1:6" ht="14.25" customHeight="1" x14ac:dyDescent="0.3">
      <c r="A375" s="133" t="s">
        <v>246</v>
      </c>
      <c r="B375" s="133" t="s">
        <v>337</v>
      </c>
      <c r="C375" s="133">
        <v>63</v>
      </c>
      <c r="D375" s="133" t="str">
        <f t="shared" si="1"/>
        <v>3/8" Hex NeveRest 63</v>
      </c>
      <c r="E375" s="133">
        <v>1</v>
      </c>
      <c r="F375" s="133">
        <v>3</v>
      </c>
    </row>
    <row r="376" spans="1:6" ht="14.25" customHeight="1" x14ac:dyDescent="0.3">
      <c r="A376" s="133" t="s">
        <v>246</v>
      </c>
      <c r="B376" s="133" t="s">
        <v>337</v>
      </c>
      <c r="C376" s="133">
        <v>70</v>
      </c>
      <c r="D376" s="133" t="str">
        <f t="shared" si="1"/>
        <v>3/8" Hex NeveRest 70</v>
      </c>
      <c r="E376" s="133">
        <v>1</v>
      </c>
      <c r="F376" s="133">
        <v>1</v>
      </c>
    </row>
    <row r="377" spans="1:6" ht="14.25" customHeight="1" x14ac:dyDescent="0.3">
      <c r="A377" s="133" t="s">
        <v>246</v>
      </c>
      <c r="B377" s="133" t="s">
        <v>337</v>
      </c>
      <c r="C377" s="133">
        <v>81</v>
      </c>
      <c r="D377" s="133" t="str">
        <f t="shared" si="1"/>
        <v>3/8" Hex NeveRest 81</v>
      </c>
      <c r="E377" s="133">
        <v>1</v>
      </c>
      <c r="F377" s="133">
        <v>1</v>
      </c>
    </row>
    <row r="378" spans="1:6" ht="14.25" customHeight="1" x14ac:dyDescent="0.3">
      <c r="A378" s="133" t="s">
        <v>246</v>
      </c>
      <c r="B378" s="133" t="s">
        <v>337</v>
      </c>
      <c r="C378" s="133">
        <v>90</v>
      </c>
      <c r="D378" s="133" t="str">
        <f t="shared" si="1"/>
        <v>3/8" Hex NeveRest 90</v>
      </c>
      <c r="E378" s="133">
        <v>1</v>
      </c>
      <c r="F378" s="133">
        <v>1</v>
      </c>
    </row>
    <row r="379" spans="1:6" ht="14.25" customHeight="1" x14ac:dyDescent="0.3">
      <c r="A379" s="133" t="s">
        <v>246</v>
      </c>
      <c r="B379" s="133" t="s">
        <v>337</v>
      </c>
      <c r="C379" s="133">
        <v>100</v>
      </c>
      <c r="D379" s="133" t="str">
        <f t="shared" si="1"/>
        <v>3/8" Hex NeveRest 100</v>
      </c>
      <c r="E379" s="133">
        <v>1</v>
      </c>
      <c r="F379" s="133">
        <v>1</v>
      </c>
    </row>
    <row r="380" spans="1:6" ht="14.25" customHeight="1" x14ac:dyDescent="0.3">
      <c r="A380" s="133" t="s">
        <v>246</v>
      </c>
      <c r="B380" s="133" t="s">
        <v>333</v>
      </c>
      <c r="C380" s="133">
        <v>9</v>
      </c>
      <c r="D380" s="133" t="str">
        <f t="shared" si="1"/>
        <v>3/8" Hex BB RS-550 9</v>
      </c>
      <c r="E380" s="133">
        <v>10</v>
      </c>
      <c r="F380" s="133">
        <v>10</v>
      </c>
    </row>
    <row r="381" spans="1:6" ht="14.25" customHeight="1" x14ac:dyDescent="0.3">
      <c r="A381" s="133" t="s">
        <v>246</v>
      </c>
      <c r="B381" s="133" t="s">
        <v>333</v>
      </c>
      <c r="C381" s="133">
        <v>12</v>
      </c>
      <c r="D381" s="133" t="str">
        <f t="shared" si="1"/>
        <v>3/8" Hex BB RS-550 12</v>
      </c>
      <c r="E381" s="133">
        <v>10</v>
      </c>
      <c r="F381" s="133">
        <v>7</v>
      </c>
    </row>
    <row r="382" spans="1:6" ht="14.25" customHeight="1" x14ac:dyDescent="0.3">
      <c r="A382" s="133" t="s">
        <v>246</v>
      </c>
      <c r="B382" s="133" t="s">
        <v>333</v>
      </c>
      <c r="C382" s="133">
        <v>15</v>
      </c>
      <c r="D382" s="133" t="str">
        <f t="shared" si="1"/>
        <v>3/8" Hex BB RS-550 15</v>
      </c>
      <c r="E382" s="133">
        <v>7</v>
      </c>
      <c r="F382" s="133">
        <v>5</v>
      </c>
    </row>
    <row r="383" spans="1:6" ht="14.25" customHeight="1" x14ac:dyDescent="0.3">
      <c r="A383" s="133" t="s">
        <v>246</v>
      </c>
      <c r="B383" s="133" t="s">
        <v>333</v>
      </c>
      <c r="C383" s="133">
        <v>16</v>
      </c>
      <c r="D383" s="133" t="str">
        <f t="shared" si="1"/>
        <v>3/8" Hex BB RS-550 16</v>
      </c>
      <c r="E383" s="133">
        <v>7</v>
      </c>
      <c r="F383" s="133">
        <v>5</v>
      </c>
    </row>
    <row r="384" spans="1:6" ht="14.25" customHeight="1" x14ac:dyDescent="0.3">
      <c r="A384" s="133" t="s">
        <v>246</v>
      </c>
      <c r="B384" s="133" t="s">
        <v>333</v>
      </c>
      <c r="C384" s="133">
        <v>20</v>
      </c>
      <c r="D384" s="133" t="str">
        <f t="shared" si="1"/>
        <v>3/8" Hex BB RS-550 20</v>
      </c>
      <c r="E384" s="133">
        <v>5</v>
      </c>
      <c r="F384" s="133">
        <v>4</v>
      </c>
    </row>
    <row r="385" spans="1:6" ht="14.25" customHeight="1" x14ac:dyDescent="0.3">
      <c r="A385" s="133" t="s">
        <v>246</v>
      </c>
      <c r="B385" s="133" t="s">
        <v>333</v>
      </c>
      <c r="C385" s="133">
        <v>21</v>
      </c>
      <c r="D385" s="133" t="str">
        <f t="shared" si="1"/>
        <v>3/8" Hex BB RS-550 21</v>
      </c>
      <c r="E385" s="133">
        <v>5</v>
      </c>
      <c r="F385" s="133">
        <v>4</v>
      </c>
    </row>
    <row r="386" spans="1:6" ht="14.25" customHeight="1" x14ac:dyDescent="0.3">
      <c r="A386" s="133" t="s">
        <v>246</v>
      </c>
      <c r="B386" s="133" t="s">
        <v>333</v>
      </c>
      <c r="C386" s="133">
        <v>25</v>
      </c>
      <c r="D386" s="133" t="str">
        <f t="shared" si="1"/>
        <v>3/8" Hex BB RS-550 25</v>
      </c>
      <c r="E386" s="133">
        <v>5</v>
      </c>
      <c r="F386" s="133">
        <v>3</v>
      </c>
    </row>
    <row r="387" spans="1:6" ht="14.25" customHeight="1" x14ac:dyDescent="0.3">
      <c r="A387" s="133" t="s">
        <v>246</v>
      </c>
      <c r="B387" s="133" t="s">
        <v>333</v>
      </c>
      <c r="C387" s="133">
        <v>27</v>
      </c>
      <c r="D387" s="133" t="str">
        <f t="shared" si="1"/>
        <v>3/8" Hex BB RS-550 27</v>
      </c>
      <c r="E387" s="133">
        <v>4</v>
      </c>
      <c r="F387" s="133">
        <v>3</v>
      </c>
    </row>
    <row r="388" spans="1:6" ht="14.25" customHeight="1" x14ac:dyDescent="0.3">
      <c r="A388" s="133" t="s">
        <v>246</v>
      </c>
      <c r="B388" s="133" t="s">
        <v>333</v>
      </c>
      <c r="C388" s="133">
        <v>28</v>
      </c>
      <c r="D388" s="133" t="str">
        <f t="shared" si="1"/>
        <v>3/8" Hex BB RS-550 28</v>
      </c>
      <c r="E388" s="133">
        <v>4</v>
      </c>
      <c r="F388" s="133">
        <v>3</v>
      </c>
    </row>
    <row r="389" spans="1:6" ht="14.25" customHeight="1" x14ac:dyDescent="0.3">
      <c r="A389" s="133" t="s">
        <v>246</v>
      </c>
      <c r="B389" s="133" t="s">
        <v>333</v>
      </c>
      <c r="C389" s="133">
        <v>30</v>
      </c>
      <c r="D389" s="133" t="str">
        <f t="shared" si="1"/>
        <v>3/8" Hex BB RS-550 30</v>
      </c>
      <c r="E389" s="133">
        <v>4</v>
      </c>
      <c r="F389" s="133">
        <v>3</v>
      </c>
    </row>
    <row r="390" spans="1:6" ht="14.25" customHeight="1" x14ac:dyDescent="0.3">
      <c r="A390" s="133" t="s">
        <v>246</v>
      </c>
      <c r="B390" s="133" t="s">
        <v>333</v>
      </c>
      <c r="C390" s="133">
        <v>35</v>
      </c>
      <c r="D390" s="133" t="str">
        <f t="shared" si="1"/>
        <v>3/8" Hex BB RS-550 35</v>
      </c>
      <c r="E390" s="133">
        <v>3</v>
      </c>
      <c r="F390" s="133">
        <v>1</v>
      </c>
    </row>
    <row r="391" spans="1:6" ht="14.25" customHeight="1" x14ac:dyDescent="0.3">
      <c r="A391" s="133" t="s">
        <v>246</v>
      </c>
      <c r="B391" s="133" t="s">
        <v>333</v>
      </c>
      <c r="C391" s="133">
        <v>36</v>
      </c>
      <c r="D391" s="133" t="str">
        <f t="shared" si="1"/>
        <v>3/8" Hex BB RS-550 36</v>
      </c>
      <c r="E391" s="133">
        <v>3</v>
      </c>
      <c r="F391" s="133">
        <v>1</v>
      </c>
    </row>
    <row r="392" spans="1:6" ht="14.25" customHeight="1" x14ac:dyDescent="0.3">
      <c r="A392" s="133" t="s">
        <v>246</v>
      </c>
      <c r="B392" s="133" t="s">
        <v>333</v>
      </c>
      <c r="C392" s="133">
        <v>40</v>
      </c>
      <c r="D392" s="133" t="str">
        <f t="shared" si="1"/>
        <v>3/8" Hex BB RS-550 40</v>
      </c>
      <c r="E392" s="133">
        <v>3</v>
      </c>
      <c r="F392" s="133">
        <v>5</v>
      </c>
    </row>
    <row r="393" spans="1:6" ht="14.25" customHeight="1" x14ac:dyDescent="0.3">
      <c r="A393" s="133" t="s">
        <v>246</v>
      </c>
      <c r="B393" s="133" t="s">
        <v>333</v>
      </c>
      <c r="C393" s="133">
        <v>45</v>
      </c>
      <c r="D393" s="133" t="str">
        <f t="shared" si="1"/>
        <v>3/8" Hex BB RS-550 45</v>
      </c>
      <c r="E393" s="133">
        <v>1</v>
      </c>
      <c r="F393" s="133">
        <v>4</v>
      </c>
    </row>
    <row r="394" spans="1:6" ht="14.25" customHeight="1" x14ac:dyDescent="0.3">
      <c r="A394" s="133" t="s">
        <v>246</v>
      </c>
      <c r="B394" s="133" t="s">
        <v>333</v>
      </c>
      <c r="C394" s="133">
        <v>49</v>
      </c>
      <c r="D394" s="133" t="str">
        <f t="shared" si="1"/>
        <v>3/8" Hex BB RS-550 49</v>
      </c>
      <c r="E394" s="133">
        <v>1</v>
      </c>
      <c r="F394" s="133">
        <v>4</v>
      </c>
    </row>
    <row r="395" spans="1:6" ht="14.25" customHeight="1" x14ac:dyDescent="0.3">
      <c r="A395" s="133" t="s">
        <v>246</v>
      </c>
      <c r="B395" s="133" t="s">
        <v>333</v>
      </c>
      <c r="C395" s="133">
        <v>50</v>
      </c>
      <c r="D395" s="133" t="str">
        <f t="shared" si="1"/>
        <v>3/8" Hex BB RS-550 50</v>
      </c>
      <c r="E395" s="133">
        <v>1</v>
      </c>
      <c r="F395" s="133">
        <v>1</v>
      </c>
    </row>
    <row r="396" spans="1:6" ht="14.25" customHeight="1" x14ac:dyDescent="0.3">
      <c r="A396" s="133" t="s">
        <v>246</v>
      </c>
      <c r="B396" s="133" t="s">
        <v>333</v>
      </c>
      <c r="C396" s="133">
        <v>63</v>
      </c>
      <c r="D396" s="133" t="str">
        <f t="shared" si="1"/>
        <v>3/8" Hex BB RS-550 63</v>
      </c>
      <c r="E396" s="133">
        <v>1</v>
      </c>
      <c r="F396" s="133">
        <v>1</v>
      </c>
    </row>
    <row r="397" spans="1:6" ht="14.25" customHeight="1" x14ac:dyDescent="0.3">
      <c r="A397" s="133" t="s">
        <v>246</v>
      </c>
      <c r="B397" s="133" t="s">
        <v>333</v>
      </c>
      <c r="C397" s="133">
        <v>70</v>
      </c>
      <c r="D397" s="133" t="str">
        <f t="shared" si="1"/>
        <v>3/8" Hex BB RS-550 70</v>
      </c>
      <c r="E397" s="133">
        <v>1</v>
      </c>
      <c r="F397" s="133">
        <v>1</v>
      </c>
    </row>
    <row r="398" spans="1:6" ht="14.25" customHeight="1" x14ac:dyDescent="0.3">
      <c r="A398" s="133" t="s">
        <v>246</v>
      </c>
      <c r="B398" s="133" t="s">
        <v>333</v>
      </c>
      <c r="C398" s="133">
        <v>81</v>
      </c>
      <c r="D398" s="133" t="str">
        <f t="shared" si="1"/>
        <v>3/8" Hex BB RS-550 81</v>
      </c>
      <c r="E398" s="133">
        <v>1</v>
      </c>
      <c r="F398" s="133">
        <v>1</v>
      </c>
    </row>
    <row r="399" spans="1:6" ht="14.25" customHeight="1" x14ac:dyDescent="0.3">
      <c r="A399" s="133" t="s">
        <v>246</v>
      </c>
      <c r="B399" s="133" t="s">
        <v>333</v>
      </c>
      <c r="C399" s="133">
        <v>90</v>
      </c>
      <c r="D399" s="133" t="str">
        <f t="shared" si="1"/>
        <v>3/8" Hex BB RS-550 90</v>
      </c>
      <c r="E399" s="133">
        <v>1</v>
      </c>
      <c r="F399" s="133">
        <v>1</v>
      </c>
    </row>
    <row r="400" spans="1:6" ht="14.25" customHeight="1" x14ac:dyDescent="0.3">
      <c r="A400" s="133" t="s">
        <v>246</v>
      </c>
      <c r="B400" s="133" t="s">
        <v>333</v>
      </c>
      <c r="C400" s="133">
        <v>100</v>
      </c>
      <c r="D400" s="133" t="str">
        <f t="shared" si="1"/>
        <v>3/8" Hex BB RS-550 100</v>
      </c>
      <c r="E400" s="133">
        <v>1</v>
      </c>
      <c r="F400" s="133">
        <v>0</v>
      </c>
    </row>
    <row r="401" spans="1:6" ht="14.25" customHeight="1" x14ac:dyDescent="0.3">
      <c r="A401" s="133" t="s">
        <v>246</v>
      </c>
      <c r="B401" s="133" t="s">
        <v>334</v>
      </c>
      <c r="C401" s="133">
        <v>9</v>
      </c>
      <c r="D401" s="133" t="str">
        <f t="shared" si="1"/>
        <v>3/8" Hex BB RS-775 9</v>
      </c>
      <c r="E401" s="133">
        <v>7</v>
      </c>
      <c r="F401" s="133">
        <v>10</v>
      </c>
    </row>
    <row r="402" spans="1:6" ht="14.25" customHeight="1" x14ac:dyDescent="0.3">
      <c r="A402" s="133" t="s">
        <v>246</v>
      </c>
      <c r="B402" s="133" t="s">
        <v>334</v>
      </c>
      <c r="C402" s="133">
        <v>12</v>
      </c>
      <c r="D402" s="133" t="str">
        <f t="shared" si="1"/>
        <v>3/8" Hex BB RS-775 12</v>
      </c>
      <c r="E402" s="133">
        <v>5</v>
      </c>
      <c r="F402" s="133">
        <v>10</v>
      </c>
    </row>
    <row r="403" spans="1:6" ht="14.25" customHeight="1" x14ac:dyDescent="0.3">
      <c r="A403" s="133" t="s">
        <v>246</v>
      </c>
      <c r="B403" s="133" t="s">
        <v>334</v>
      </c>
      <c r="C403" s="133">
        <v>15</v>
      </c>
      <c r="D403" s="133" t="str">
        <f t="shared" si="1"/>
        <v>3/8" Hex BB RS-775 15</v>
      </c>
      <c r="E403" s="133">
        <v>4</v>
      </c>
      <c r="F403" s="133">
        <v>7</v>
      </c>
    </row>
    <row r="404" spans="1:6" ht="14.25" customHeight="1" x14ac:dyDescent="0.3">
      <c r="A404" s="133" t="s">
        <v>246</v>
      </c>
      <c r="B404" s="133" t="s">
        <v>334</v>
      </c>
      <c r="C404" s="133">
        <v>16</v>
      </c>
      <c r="D404" s="133" t="str">
        <f t="shared" si="1"/>
        <v>3/8" Hex BB RS-775 16</v>
      </c>
      <c r="E404" s="133">
        <v>4</v>
      </c>
      <c r="F404" s="133">
        <v>7</v>
      </c>
    </row>
    <row r="405" spans="1:6" ht="14.25" customHeight="1" x14ac:dyDescent="0.3">
      <c r="A405" s="133" t="s">
        <v>246</v>
      </c>
      <c r="B405" s="133" t="s">
        <v>334</v>
      </c>
      <c r="C405" s="133">
        <v>20</v>
      </c>
      <c r="D405" s="133" t="str">
        <f t="shared" si="1"/>
        <v>3/8" Hex BB RS-775 20</v>
      </c>
      <c r="E405" s="133">
        <v>3</v>
      </c>
      <c r="F405" s="133">
        <v>5</v>
      </c>
    </row>
    <row r="406" spans="1:6" ht="14.25" customHeight="1" x14ac:dyDescent="0.3">
      <c r="A406" s="133" t="s">
        <v>246</v>
      </c>
      <c r="B406" s="133" t="s">
        <v>334</v>
      </c>
      <c r="C406" s="133">
        <v>21</v>
      </c>
      <c r="D406" s="133" t="str">
        <f t="shared" si="1"/>
        <v>3/8" Hex BB RS-775 21</v>
      </c>
      <c r="E406" s="133">
        <v>3</v>
      </c>
      <c r="F406" s="133">
        <v>5</v>
      </c>
    </row>
    <row r="407" spans="1:6" ht="14.25" customHeight="1" x14ac:dyDescent="0.3">
      <c r="A407" s="133" t="s">
        <v>246</v>
      </c>
      <c r="B407" s="133" t="s">
        <v>334</v>
      </c>
      <c r="C407" s="133">
        <v>25</v>
      </c>
      <c r="D407" s="133" t="str">
        <f t="shared" si="1"/>
        <v>3/8" Hex BB RS-775 25</v>
      </c>
      <c r="E407" s="133">
        <v>1</v>
      </c>
      <c r="F407" s="133">
        <v>5</v>
      </c>
    </row>
    <row r="408" spans="1:6" ht="14.25" customHeight="1" x14ac:dyDescent="0.3">
      <c r="A408" s="133" t="s">
        <v>246</v>
      </c>
      <c r="B408" s="133" t="s">
        <v>334</v>
      </c>
      <c r="C408" s="133">
        <v>27</v>
      </c>
      <c r="D408" s="133" t="str">
        <f t="shared" si="1"/>
        <v>3/8" Hex BB RS-775 27</v>
      </c>
      <c r="E408" s="133">
        <v>1</v>
      </c>
      <c r="F408" s="133">
        <v>4</v>
      </c>
    </row>
    <row r="409" spans="1:6" ht="14.25" customHeight="1" x14ac:dyDescent="0.3">
      <c r="A409" s="133" t="s">
        <v>246</v>
      </c>
      <c r="B409" s="133" t="s">
        <v>334</v>
      </c>
      <c r="C409" s="133">
        <v>28</v>
      </c>
      <c r="D409" s="133" t="str">
        <f t="shared" si="1"/>
        <v>3/8" Hex BB RS-775 28</v>
      </c>
      <c r="E409" s="133">
        <v>1</v>
      </c>
      <c r="F409" s="133">
        <v>4</v>
      </c>
    </row>
    <row r="410" spans="1:6" ht="14.25" customHeight="1" x14ac:dyDescent="0.3">
      <c r="A410" s="133" t="s">
        <v>246</v>
      </c>
      <c r="B410" s="133" t="s">
        <v>334</v>
      </c>
      <c r="C410" s="133">
        <v>30</v>
      </c>
      <c r="D410" s="133" t="str">
        <f t="shared" si="1"/>
        <v>3/8" Hex BB RS-775 30</v>
      </c>
      <c r="E410" s="133">
        <v>1</v>
      </c>
      <c r="F410" s="133">
        <v>4</v>
      </c>
    </row>
    <row r="411" spans="1:6" ht="14.25" customHeight="1" x14ac:dyDescent="0.3">
      <c r="A411" s="133" t="s">
        <v>246</v>
      </c>
      <c r="B411" s="133" t="s">
        <v>334</v>
      </c>
      <c r="C411" s="133">
        <v>35</v>
      </c>
      <c r="D411" s="133" t="str">
        <f t="shared" si="1"/>
        <v>3/8" Hex BB RS-775 35</v>
      </c>
      <c r="E411" s="133">
        <v>1</v>
      </c>
      <c r="F411" s="133">
        <v>3</v>
      </c>
    </row>
    <row r="412" spans="1:6" ht="14.25" customHeight="1" x14ac:dyDescent="0.3">
      <c r="A412" s="133" t="s">
        <v>246</v>
      </c>
      <c r="B412" s="133" t="s">
        <v>334</v>
      </c>
      <c r="C412" s="133">
        <v>36</v>
      </c>
      <c r="D412" s="133" t="str">
        <f t="shared" si="1"/>
        <v>3/8" Hex BB RS-775 36</v>
      </c>
      <c r="E412" s="133">
        <v>1</v>
      </c>
      <c r="F412" s="133">
        <v>3</v>
      </c>
    </row>
    <row r="413" spans="1:6" ht="14.25" customHeight="1" x14ac:dyDescent="0.3">
      <c r="A413" s="133" t="s">
        <v>246</v>
      </c>
      <c r="B413" s="133" t="s">
        <v>334</v>
      </c>
      <c r="C413" s="133">
        <v>40</v>
      </c>
      <c r="D413" s="133" t="str">
        <f t="shared" si="1"/>
        <v>3/8" Hex BB RS-775 40</v>
      </c>
      <c r="E413" s="133">
        <v>1</v>
      </c>
      <c r="F413" s="133">
        <v>3</v>
      </c>
    </row>
    <row r="414" spans="1:6" ht="14.25" customHeight="1" x14ac:dyDescent="0.3">
      <c r="A414" s="133" t="s">
        <v>246</v>
      </c>
      <c r="B414" s="133" t="s">
        <v>334</v>
      </c>
      <c r="C414" s="133">
        <v>45</v>
      </c>
      <c r="D414" s="133" t="str">
        <f t="shared" si="1"/>
        <v>3/8" Hex BB RS-775 45</v>
      </c>
      <c r="E414" s="133">
        <v>1</v>
      </c>
      <c r="F414" s="133">
        <v>1</v>
      </c>
    </row>
    <row r="415" spans="1:6" ht="14.25" customHeight="1" x14ac:dyDescent="0.3">
      <c r="A415" s="133" t="s">
        <v>246</v>
      </c>
      <c r="B415" s="133" t="s">
        <v>334</v>
      </c>
      <c r="C415" s="133">
        <v>49</v>
      </c>
      <c r="D415" s="133" t="str">
        <f t="shared" si="1"/>
        <v>3/8" Hex BB RS-775 49</v>
      </c>
      <c r="E415" s="133">
        <v>1</v>
      </c>
      <c r="F415" s="133">
        <v>1</v>
      </c>
    </row>
    <row r="416" spans="1:6" ht="14.25" customHeight="1" x14ac:dyDescent="0.3">
      <c r="A416" s="133" t="s">
        <v>246</v>
      </c>
      <c r="B416" s="133" t="s">
        <v>334</v>
      </c>
      <c r="C416" s="133">
        <v>50</v>
      </c>
      <c r="D416" s="133" t="str">
        <f t="shared" si="1"/>
        <v>3/8" Hex BB RS-775 50</v>
      </c>
      <c r="E416" s="133">
        <v>1</v>
      </c>
      <c r="F416" s="133">
        <v>1</v>
      </c>
    </row>
    <row r="417" spans="1:6" ht="14.25" customHeight="1" x14ac:dyDescent="0.3">
      <c r="A417" s="133" t="s">
        <v>246</v>
      </c>
      <c r="B417" s="133" t="s">
        <v>334</v>
      </c>
      <c r="C417" s="133">
        <v>63</v>
      </c>
      <c r="D417" s="133" t="str">
        <f t="shared" si="1"/>
        <v>3/8" Hex BB RS-775 63</v>
      </c>
      <c r="E417" s="133">
        <v>1</v>
      </c>
      <c r="F417" s="133">
        <v>1</v>
      </c>
    </row>
    <row r="418" spans="1:6" ht="14.25" customHeight="1" x14ac:dyDescent="0.3">
      <c r="A418" s="133" t="s">
        <v>246</v>
      </c>
      <c r="B418" s="133" t="s">
        <v>334</v>
      </c>
      <c r="C418" s="133">
        <v>70</v>
      </c>
      <c r="D418" s="133" t="str">
        <f t="shared" si="1"/>
        <v>3/8" Hex BB RS-775 70</v>
      </c>
      <c r="E418" s="133">
        <v>1</v>
      </c>
      <c r="F418" s="133">
        <v>1</v>
      </c>
    </row>
    <row r="419" spans="1:6" ht="14.25" customHeight="1" x14ac:dyDescent="0.3">
      <c r="A419" s="133" t="s">
        <v>246</v>
      </c>
      <c r="B419" s="133" t="s">
        <v>334</v>
      </c>
      <c r="C419" s="133">
        <v>81</v>
      </c>
      <c r="D419" s="133" t="str">
        <f t="shared" si="1"/>
        <v>3/8" Hex BB RS-775 81</v>
      </c>
      <c r="E419" s="133">
        <v>0</v>
      </c>
      <c r="F419" s="133">
        <v>1</v>
      </c>
    </row>
    <row r="420" spans="1:6" ht="14.25" customHeight="1" x14ac:dyDescent="0.3">
      <c r="A420" s="133" t="s">
        <v>246</v>
      </c>
      <c r="B420" s="133" t="s">
        <v>334</v>
      </c>
      <c r="C420" s="133">
        <v>90</v>
      </c>
      <c r="D420" s="133" t="str">
        <f t="shared" si="1"/>
        <v>3/8" Hex BB RS-775 90</v>
      </c>
      <c r="E420" s="133">
        <v>0</v>
      </c>
      <c r="F420" s="133">
        <v>1</v>
      </c>
    </row>
    <row r="421" spans="1:6" ht="14.25" customHeight="1" x14ac:dyDescent="0.3">
      <c r="A421" s="133" t="s">
        <v>246</v>
      </c>
      <c r="B421" s="133" t="s">
        <v>334</v>
      </c>
      <c r="C421" s="133">
        <v>100</v>
      </c>
      <c r="D421" s="133" t="str">
        <f t="shared" si="1"/>
        <v>3/8" Hex BB RS-775 100</v>
      </c>
      <c r="E421" s="133">
        <v>0</v>
      </c>
      <c r="F421" s="133">
        <v>1</v>
      </c>
    </row>
    <row r="422" spans="1:6" ht="14.25" customHeight="1" x14ac:dyDescent="0.3">
      <c r="A422" s="133" t="s">
        <v>246</v>
      </c>
      <c r="B422" s="133" t="s">
        <v>257</v>
      </c>
      <c r="C422" s="133">
        <v>9</v>
      </c>
      <c r="D422" s="133" t="str">
        <f t="shared" si="1"/>
        <v>3/8" Hex BAG 9</v>
      </c>
      <c r="E422" s="133">
        <v>10</v>
      </c>
      <c r="F422" s="133">
        <v>9</v>
      </c>
    </row>
    <row r="423" spans="1:6" ht="14.25" customHeight="1" x14ac:dyDescent="0.3">
      <c r="A423" s="133" t="s">
        <v>246</v>
      </c>
      <c r="B423" s="133" t="s">
        <v>257</v>
      </c>
      <c r="C423" s="133">
        <v>12</v>
      </c>
      <c r="D423" s="133" t="str">
        <f t="shared" si="1"/>
        <v>3/8" Hex BAG 12</v>
      </c>
      <c r="E423" s="133">
        <v>10</v>
      </c>
      <c r="F423" s="133">
        <v>5</v>
      </c>
    </row>
    <row r="424" spans="1:6" ht="14.25" customHeight="1" x14ac:dyDescent="0.3">
      <c r="A424" s="133" t="s">
        <v>246</v>
      </c>
      <c r="B424" s="133" t="s">
        <v>257</v>
      </c>
      <c r="C424" s="133">
        <v>15</v>
      </c>
      <c r="D424" s="133" t="str">
        <f t="shared" si="1"/>
        <v>3/8" Hex BAG 15</v>
      </c>
      <c r="E424" s="133">
        <v>7</v>
      </c>
      <c r="F424" s="133">
        <v>5</v>
      </c>
    </row>
    <row r="425" spans="1:6" ht="14.25" customHeight="1" x14ac:dyDescent="0.3">
      <c r="A425" s="133" t="s">
        <v>246</v>
      </c>
      <c r="B425" s="133" t="s">
        <v>257</v>
      </c>
      <c r="C425" s="133">
        <v>16</v>
      </c>
      <c r="D425" s="133" t="str">
        <f t="shared" si="1"/>
        <v>3/8" Hex BAG 16</v>
      </c>
      <c r="E425" s="133">
        <v>7</v>
      </c>
      <c r="F425" s="133">
        <v>5</v>
      </c>
    </row>
    <row r="426" spans="1:6" ht="14.25" customHeight="1" x14ac:dyDescent="0.3">
      <c r="A426" s="133" t="s">
        <v>246</v>
      </c>
      <c r="B426" s="133" t="s">
        <v>257</v>
      </c>
      <c r="C426" s="133">
        <v>20</v>
      </c>
      <c r="D426" s="133" t="str">
        <f t="shared" si="1"/>
        <v>3/8" Hex BAG 20</v>
      </c>
      <c r="E426" s="133">
        <v>5</v>
      </c>
      <c r="F426" s="133">
        <v>4</v>
      </c>
    </row>
    <row r="427" spans="1:6" ht="14.25" customHeight="1" x14ac:dyDescent="0.3">
      <c r="A427" s="133" t="s">
        <v>246</v>
      </c>
      <c r="B427" s="133" t="s">
        <v>257</v>
      </c>
      <c r="C427" s="133">
        <v>21</v>
      </c>
      <c r="D427" s="133" t="str">
        <f t="shared" si="1"/>
        <v>3/8" Hex BAG 21</v>
      </c>
      <c r="E427" s="133">
        <v>5</v>
      </c>
      <c r="F427" s="133">
        <v>3</v>
      </c>
    </row>
    <row r="428" spans="1:6" ht="14.25" customHeight="1" x14ac:dyDescent="0.3">
      <c r="A428" s="133" t="s">
        <v>246</v>
      </c>
      <c r="B428" s="133" t="s">
        <v>257</v>
      </c>
      <c r="C428" s="133">
        <v>25</v>
      </c>
      <c r="D428" s="133" t="str">
        <f t="shared" si="1"/>
        <v>3/8" Hex BAG 25</v>
      </c>
      <c r="E428" s="133">
        <v>5</v>
      </c>
      <c r="F428" s="133">
        <v>3</v>
      </c>
    </row>
    <row r="429" spans="1:6" ht="14.25" customHeight="1" x14ac:dyDescent="0.3">
      <c r="A429" s="133" t="s">
        <v>246</v>
      </c>
      <c r="B429" s="133" t="s">
        <v>257</v>
      </c>
      <c r="C429" s="133">
        <v>27</v>
      </c>
      <c r="D429" s="133" t="str">
        <f t="shared" si="1"/>
        <v>3/8" Hex BAG 27</v>
      </c>
      <c r="E429" s="133">
        <v>4</v>
      </c>
      <c r="F429" s="133">
        <v>3</v>
      </c>
    </row>
    <row r="430" spans="1:6" ht="14.25" customHeight="1" x14ac:dyDescent="0.3">
      <c r="A430" s="133" t="s">
        <v>246</v>
      </c>
      <c r="B430" s="133" t="s">
        <v>257</v>
      </c>
      <c r="C430" s="133">
        <v>28</v>
      </c>
      <c r="D430" s="133" t="str">
        <f t="shared" si="1"/>
        <v>3/8" Hex BAG 28</v>
      </c>
      <c r="E430" s="133">
        <v>4</v>
      </c>
      <c r="F430" s="133">
        <v>1</v>
      </c>
    </row>
    <row r="431" spans="1:6" ht="14.25" customHeight="1" x14ac:dyDescent="0.3">
      <c r="A431" s="133" t="s">
        <v>246</v>
      </c>
      <c r="B431" s="133" t="s">
        <v>257</v>
      </c>
      <c r="C431" s="133">
        <v>30</v>
      </c>
      <c r="D431" s="133" t="str">
        <f t="shared" si="1"/>
        <v>3/8" Hex BAG 30</v>
      </c>
      <c r="E431" s="133">
        <v>4</v>
      </c>
      <c r="F431" s="133">
        <v>1</v>
      </c>
    </row>
    <row r="432" spans="1:6" ht="14.25" customHeight="1" x14ac:dyDescent="0.3">
      <c r="A432" s="133" t="s">
        <v>246</v>
      </c>
      <c r="B432" s="133" t="s">
        <v>257</v>
      </c>
      <c r="C432" s="133">
        <v>35</v>
      </c>
      <c r="D432" s="133" t="str">
        <f t="shared" si="1"/>
        <v>3/8" Hex BAG 35</v>
      </c>
      <c r="E432" s="133">
        <v>3</v>
      </c>
      <c r="F432" s="133">
        <v>1</v>
      </c>
    </row>
    <row r="433" spans="1:6" ht="14.25" customHeight="1" x14ac:dyDescent="0.3">
      <c r="A433" s="133" t="s">
        <v>246</v>
      </c>
      <c r="B433" s="133" t="s">
        <v>257</v>
      </c>
      <c r="C433" s="133">
        <v>36</v>
      </c>
      <c r="D433" s="133" t="str">
        <f t="shared" si="1"/>
        <v>3/8" Hex BAG 36</v>
      </c>
      <c r="E433" s="133">
        <v>3</v>
      </c>
      <c r="F433" s="133">
        <v>1</v>
      </c>
    </row>
    <row r="434" spans="1:6" ht="14.25" customHeight="1" x14ac:dyDescent="0.3">
      <c r="A434" s="133" t="s">
        <v>246</v>
      </c>
      <c r="B434" s="133" t="s">
        <v>257</v>
      </c>
      <c r="C434" s="133">
        <v>40</v>
      </c>
      <c r="D434" s="133" t="str">
        <f t="shared" si="1"/>
        <v>3/8" Hex BAG 40</v>
      </c>
      <c r="E434" s="133">
        <v>3</v>
      </c>
      <c r="F434" s="133">
        <v>1</v>
      </c>
    </row>
    <row r="435" spans="1:6" ht="14.25" customHeight="1" x14ac:dyDescent="0.3">
      <c r="A435" s="133" t="s">
        <v>246</v>
      </c>
      <c r="B435" s="133" t="s">
        <v>257</v>
      </c>
      <c r="C435" s="133">
        <v>45</v>
      </c>
      <c r="D435" s="133" t="str">
        <f t="shared" si="1"/>
        <v>3/8" Hex BAG 45</v>
      </c>
      <c r="E435" s="133">
        <v>1</v>
      </c>
      <c r="F435" s="133">
        <v>1</v>
      </c>
    </row>
    <row r="436" spans="1:6" ht="14.25" customHeight="1" x14ac:dyDescent="0.3">
      <c r="A436" s="133" t="s">
        <v>246</v>
      </c>
      <c r="B436" s="133" t="s">
        <v>257</v>
      </c>
      <c r="C436" s="133">
        <v>49</v>
      </c>
      <c r="D436" s="133" t="str">
        <f t="shared" si="1"/>
        <v>3/8" Hex BAG 49</v>
      </c>
      <c r="E436" s="133">
        <v>1</v>
      </c>
      <c r="F436" s="133">
        <v>1</v>
      </c>
    </row>
    <row r="437" spans="1:6" ht="14.25" customHeight="1" x14ac:dyDescent="0.3">
      <c r="A437" s="133" t="s">
        <v>246</v>
      </c>
      <c r="B437" s="133" t="s">
        <v>257</v>
      </c>
      <c r="C437" s="133">
        <v>50</v>
      </c>
      <c r="D437" s="133" t="str">
        <f t="shared" si="1"/>
        <v>3/8" Hex BAG 50</v>
      </c>
      <c r="E437" s="133">
        <v>1</v>
      </c>
      <c r="F437" s="133">
        <v>1</v>
      </c>
    </row>
    <row r="438" spans="1:6" ht="14.25" customHeight="1" x14ac:dyDescent="0.3">
      <c r="A438" s="133" t="s">
        <v>246</v>
      </c>
      <c r="B438" s="133" t="s">
        <v>257</v>
      </c>
      <c r="C438" s="133">
        <v>63</v>
      </c>
      <c r="D438" s="133" t="str">
        <f t="shared" si="1"/>
        <v>3/8" Hex BAG 63</v>
      </c>
      <c r="E438" s="133">
        <v>1</v>
      </c>
      <c r="F438" s="133">
        <v>1</v>
      </c>
    </row>
    <row r="439" spans="1:6" ht="14.25" customHeight="1" x14ac:dyDescent="0.3">
      <c r="A439" s="133" t="s">
        <v>246</v>
      </c>
      <c r="B439" s="133" t="s">
        <v>257</v>
      </c>
      <c r="C439" s="133">
        <v>70</v>
      </c>
      <c r="D439" s="133" t="str">
        <f t="shared" si="1"/>
        <v>3/8" Hex BAG 70</v>
      </c>
      <c r="E439" s="133">
        <v>1</v>
      </c>
      <c r="F439" s="133">
        <v>1</v>
      </c>
    </row>
    <row r="440" spans="1:6" ht="14.25" customHeight="1" x14ac:dyDescent="0.3">
      <c r="A440" s="133" t="s">
        <v>246</v>
      </c>
      <c r="B440" s="133" t="s">
        <v>257</v>
      </c>
      <c r="C440" s="133">
        <v>81</v>
      </c>
      <c r="D440" s="133" t="str">
        <f t="shared" si="1"/>
        <v>3/8" Hex BAG 81</v>
      </c>
      <c r="E440" s="133">
        <v>1</v>
      </c>
      <c r="F440" s="133">
        <v>1</v>
      </c>
    </row>
    <row r="441" spans="1:6" ht="14.25" customHeight="1" x14ac:dyDescent="0.3">
      <c r="A441" s="133" t="s">
        <v>246</v>
      </c>
      <c r="B441" s="133" t="s">
        <v>257</v>
      </c>
      <c r="C441" s="133">
        <v>90</v>
      </c>
      <c r="D441" s="133" t="str">
        <f t="shared" si="1"/>
        <v>3/8" Hex BAG 90</v>
      </c>
      <c r="E441" s="133">
        <v>1</v>
      </c>
      <c r="F441" s="133">
        <v>0</v>
      </c>
    </row>
    <row r="442" spans="1:6" ht="14.25" customHeight="1" x14ac:dyDescent="0.3">
      <c r="A442" s="133" t="s">
        <v>246</v>
      </c>
      <c r="B442" s="133" t="s">
        <v>257</v>
      </c>
      <c r="C442" s="133">
        <v>100</v>
      </c>
      <c r="D442" s="133" t="str">
        <f t="shared" si="1"/>
        <v>3/8" Hex BAG 100</v>
      </c>
      <c r="E442" s="133">
        <v>1</v>
      </c>
      <c r="F442" s="133">
        <v>0</v>
      </c>
    </row>
    <row r="443" spans="1:6" ht="14.25" customHeight="1" x14ac:dyDescent="0.3">
      <c r="A443" s="133" t="s">
        <v>246</v>
      </c>
      <c r="B443" s="133" t="s">
        <v>7</v>
      </c>
      <c r="C443" s="133">
        <v>9</v>
      </c>
      <c r="D443" s="133" t="str">
        <f t="shared" si="1"/>
        <v>3/8" Hex Mini CIM 9</v>
      </c>
      <c r="E443" s="133">
        <v>4</v>
      </c>
      <c r="F443" s="133">
        <v>0</v>
      </c>
    </row>
    <row r="444" spans="1:6" ht="14.25" customHeight="1" x14ac:dyDescent="0.3">
      <c r="A444" s="133" t="s">
        <v>246</v>
      </c>
      <c r="B444" s="133" t="s">
        <v>7</v>
      </c>
      <c r="C444" s="133">
        <v>12</v>
      </c>
      <c r="D444" s="133" t="str">
        <f t="shared" si="1"/>
        <v>3/8" Hex Mini CIM 12</v>
      </c>
      <c r="E444" s="133">
        <v>3</v>
      </c>
      <c r="F444" s="133">
        <v>0</v>
      </c>
    </row>
    <row r="445" spans="1:6" ht="14.25" customHeight="1" x14ac:dyDescent="0.3">
      <c r="A445" s="133" t="s">
        <v>246</v>
      </c>
      <c r="B445" s="133" t="s">
        <v>7</v>
      </c>
      <c r="C445" s="133">
        <v>15</v>
      </c>
      <c r="D445" s="133" t="str">
        <f t="shared" si="1"/>
        <v>3/8" Hex Mini CIM 15</v>
      </c>
      <c r="E445" s="133">
        <v>1</v>
      </c>
      <c r="F445" s="133">
        <v>0</v>
      </c>
    </row>
    <row r="446" spans="1:6" ht="14.25" customHeight="1" x14ac:dyDescent="0.3">
      <c r="A446" s="133" t="s">
        <v>246</v>
      </c>
      <c r="B446" s="133" t="s">
        <v>7</v>
      </c>
      <c r="C446" s="133">
        <v>16</v>
      </c>
      <c r="D446" s="133" t="str">
        <f t="shared" si="1"/>
        <v>3/8" Hex Mini CIM 16</v>
      </c>
      <c r="E446" s="133">
        <v>1</v>
      </c>
      <c r="F446" s="133">
        <v>0</v>
      </c>
    </row>
    <row r="447" spans="1:6" ht="14.25" customHeight="1" x14ac:dyDescent="0.3">
      <c r="A447" s="133" t="s">
        <v>246</v>
      </c>
      <c r="B447" s="133" t="s">
        <v>7</v>
      </c>
      <c r="C447" s="133">
        <v>20</v>
      </c>
      <c r="D447" s="133" t="str">
        <f t="shared" si="1"/>
        <v>3/8" Hex Mini CIM 20</v>
      </c>
      <c r="E447" s="133">
        <v>1</v>
      </c>
      <c r="F447" s="133">
        <v>0</v>
      </c>
    </row>
    <row r="448" spans="1:6" ht="14.25" customHeight="1" x14ac:dyDescent="0.3">
      <c r="A448" s="133" t="s">
        <v>246</v>
      </c>
      <c r="B448" s="133" t="s">
        <v>7</v>
      </c>
      <c r="C448" s="133">
        <v>21</v>
      </c>
      <c r="D448" s="133" t="str">
        <f t="shared" si="1"/>
        <v>3/8" Hex Mini CIM 21</v>
      </c>
      <c r="E448" s="133">
        <v>1</v>
      </c>
      <c r="F448" s="133">
        <v>0</v>
      </c>
    </row>
    <row r="449" spans="1:6" ht="14.25" customHeight="1" x14ac:dyDescent="0.3">
      <c r="A449" s="133" t="s">
        <v>246</v>
      </c>
      <c r="B449" s="133" t="s">
        <v>7</v>
      </c>
      <c r="C449" s="133">
        <v>25</v>
      </c>
      <c r="D449" s="133" t="str">
        <f t="shared" si="1"/>
        <v>3/8" Hex Mini CIM 25</v>
      </c>
      <c r="E449" s="133">
        <v>1</v>
      </c>
      <c r="F449" s="133">
        <v>0</v>
      </c>
    </row>
    <row r="450" spans="1:6" ht="14.25" customHeight="1" x14ac:dyDescent="0.3">
      <c r="A450" s="133" t="s">
        <v>246</v>
      </c>
      <c r="B450" s="133" t="s">
        <v>7</v>
      </c>
      <c r="C450" s="133">
        <v>27</v>
      </c>
      <c r="D450" s="133" t="str">
        <f t="shared" si="1"/>
        <v>3/8" Hex Mini CIM 27</v>
      </c>
      <c r="E450" s="133">
        <v>1</v>
      </c>
      <c r="F450" s="133">
        <v>0</v>
      </c>
    </row>
    <row r="451" spans="1:6" ht="14.25" customHeight="1" x14ac:dyDescent="0.3">
      <c r="A451" s="133" t="s">
        <v>246</v>
      </c>
      <c r="B451" s="133" t="s">
        <v>7</v>
      </c>
      <c r="C451" s="133">
        <v>28</v>
      </c>
      <c r="D451" s="133" t="str">
        <f t="shared" si="1"/>
        <v>3/8" Hex Mini CIM 28</v>
      </c>
      <c r="E451" s="133">
        <v>1</v>
      </c>
      <c r="F451" s="133">
        <v>0</v>
      </c>
    </row>
    <row r="452" spans="1:6" ht="14.25" customHeight="1" x14ac:dyDescent="0.3">
      <c r="A452" s="133" t="s">
        <v>246</v>
      </c>
      <c r="B452" s="133" t="s">
        <v>7</v>
      </c>
      <c r="C452" s="133">
        <v>30</v>
      </c>
      <c r="D452" s="133" t="str">
        <f t="shared" si="1"/>
        <v>3/8" Hex Mini CIM 30</v>
      </c>
      <c r="E452" s="133">
        <v>1</v>
      </c>
      <c r="F452" s="133">
        <v>0</v>
      </c>
    </row>
    <row r="453" spans="1:6" ht="14.25" customHeight="1" x14ac:dyDescent="0.3">
      <c r="A453" s="133" t="s">
        <v>246</v>
      </c>
      <c r="B453" s="133" t="s">
        <v>7</v>
      </c>
      <c r="C453" s="133">
        <v>35</v>
      </c>
      <c r="D453" s="133" t="str">
        <f t="shared" si="1"/>
        <v>3/8" Hex Mini CIM 35</v>
      </c>
      <c r="E453" s="133">
        <v>1</v>
      </c>
      <c r="F453" s="133">
        <v>0</v>
      </c>
    </row>
    <row r="454" spans="1:6" ht="14.25" customHeight="1" x14ac:dyDescent="0.3">
      <c r="A454" s="133" t="s">
        <v>246</v>
      </c>
      <c r="B454" s="133" t="s">
        <v>7</v>
      </c>
      <c r="C454" s="133">
        <v>36</v>
      </c>
      <c r="D454" s="133" t="str">
        <f t="shared" si="1"/>
        <v>3/8" Hex Mini CIM 36</v>
      </c>
      <c r="E454" s="133">
        <v>1</v>
      </c>
      <c r="F454" s="133">
        <v>0</v>
      </c>
    </row>
    <row r="455" spans="1:6" ht="14.25" customHeight="1" x14ac:dyDescent="0.3">
      <c r="A455" s="133" t="s">
        <v>246</v>
      </c>
      <c r="B455" s="133" t="s">
        <v>7</v>
      </c>
      <c r="C455" s="133">
        <v>40</v>
      </c>
      <c r="D455" s="133" t="str">
        <f t="shared" si="1"/>
        <v>3/8" Hex Mini CIM 40</v>
      </c>
      <c r="E455" s="133">
        <v>1</v>
      </c>
      <c r="F455" s="133">
        <v>0</v>
      </c>
    </row>
    <row r="456" spans="1:6" ht="14.25" customHeight="1" x14ac:dyDescent="0.3">
      <c r="A456" s="133" t="s">
        <v>246</v>
      </c>
      <c r="B456" s="133" t="s">
        <v>7</v>
      </c>
      <c r="C456" s="133">
        <v>45</v>
      </c>
      <c r="D456" s="133" t="str">
        <f t="shared" si="1"/>
        <v>3/8" Hex Mini CIM 45</v>
      </c>
      <c r="E456" s="133">
        <v>0</v>
      </c>
      <c r="F456" s="133">
        <v>0</v>
      </c>
    </row>
    <row r="457" spans="1:6" ht="14.25" customHeight="1" x14ac:dyDescent="0.3">
      <c r="A457" s="133" t="s">
        <v>246</v>
      </c>
      <c r="B457" s="133" t="s">
        <v>7</v>
      </c>
      <c r="C457" s="133">
        <v>49</v>
      </c>
      <c r="D457" s="133" t="str">
        <f t="shared" si="1"/>
        <v>3/8" Hex Mini CIM 49</v>
      </c>
      <c r="E457" s="133">
        <v>0</v>
      </c>
      <c r="F457" s="133">
        <v>0</v>
      </c>
    </row>
    <row r="458" spans="1:6" ht="14.25" customHeight="1" x14ac:dyDescent="0.3">
      <c r="A458" s="133" t="s">
        <v>246</v>
      </c>
      <c r="B458" s="133" t="s">
        <v>7</v>
      </c>
      <c r="C458" s="133">
        <v>50</v>
      </c>
      <c r="D458" s="133" t="str">
        <f t="shared" si="1"/>
        <v>3/8" Hex Mini CIM 50</v>
      </c>
      <c r="E458" s="133">
        <v>0</v>
      </c>
      <c r="F458" s="133">
        <v>0</v>
      </c>
    </row>
    <row r="459" spans="1:6" ht="14.25" customHeight="1" x14ac:dyDescent="0.3">
      <c r="A459" s="133" t="s">
        <v>246</v>
      </c>
      <c r="B459" s="133" t="s">
        <v>7</v>
      </c>
      <c r="C459" s="133">
        <v>63</v>
      </c>
      <c r="D459" s="133" t="str">
        <f t="shared" si="1"/>
        <v>3/8" Hex Mini CIM 63</v>
      </c>
      <c r="E459" s="133">
        <v>0</v>
      </c>
      <c r="F459" s="133">
        <v>0</v>
      </c>
    </row>
    <row r="460" spans="1:6" ht="14.25" customHeight="1" x14ac:dyDescent="0.3">
      <c r="A460" s="133" t="s">
        <v>246</v>
      </c>
      <c r="B460" s="133" t="s">
        <v>7</v>
      </c>
      <c r="C460" s="133">
        <v>70</v>
      </c>
      <c r="D460" s="133" t="str">
        <f t="shared" si="1"/>
        <v>3/8" Hex Mini CIM 70</v>
      </c>
      <c r="E460" s="133">
        <v>0</v>
      </c>
      <c r="F460" s="133">
        <v>0</v>
      </c>
    </row>
    <row r="461" spans="1:6" ht="14.25" customHeight="1" x14ac:dyDescent="0.3">
      <c r="A461" s="133" t="s">
        <v>246</v>
      </c>
      <c r="B461" s="133" t="s">
        <v>7</v>
      </c>
      <c r="C461" s="133">
        <v>81</v>
      </c>
      <c r="D461" s="133" t="str">
        <f t="shared" si="1"/>
        <v>3/8" Hex Mini CIM 81</v>
      </c>
      <c r="E461" s="133">
        <v>0</v>
      </c>
      <c r="F461" s="133">
        <v>0</v>
      </c>
    </row>
    <row r="462" spans="1:6" ht="14.25" customHeight="1" x14ac:dyDescent="0.3">
      <c r="A462" s="133" t="s">
        <v>246</v>
      </c>
      <c r="B462" s="133" t="s">
        <v>7</v>
      </c>
      <c r="C462" s="133">
        <v>90</v>
      </c>
      <c r="D462" s="133" t="str">
        <f t="shared" si="1"/>
        <v>3/8" Hex Mini CIM 90</v>
      </c>
      <c r="E462" s="133">
        <v>0</v>
      </c>
      <c r="F462" s="133">
        <v>0</v>
      </c>
    </row>
    <row r="463" spans="1:6" ht="14.25" customHeight="1" x14ac:dyDescent="0.3">
      <c r="A463" s="133" t="s">
        <v>246</v>
      </c>
      <c r="B463" s="133" t="s">
        <v>7</v>
      </c>
      <c r="C463" s="133">
        <v>100</v>
      </c>
      <c r="D463" s="133" t="str">
        <f t="shared" si="1"/>
        <v>3/8" Hex Mini CIM 100</v>
      </c>
      <c r="E463" s="133">
        <v>0</v>
      </c>
      <c r="F463" s="133">
        <v>0</v>
      </c>
    </row>
    <row r="464" spans="1:6" ht="14.25" customHeight="1" x14ac:dyDescent="0.3">
      <c r="A464" s="133" t="s">
        <v>246</v>
      </c>
      <c r="B464" s="133" t="s">
        <v>6</v>
      </c>
      <c r="C464" s="133">
        <v>9</v>
      </c>
      <c r="D464" s="133" t="str">
        <f t="shared" si="1"/>
        <v>3/8" Hex CIM 9</v>
      </c>
      <c r="E464" s="133">
        <v>1</v>
      </c>
      <c r="F464" s="133">
        <v>0</v>
      </c>
    </row>
    <row r="465" spans="1:6" ht="14.25" customHeight="1" x14ac:dyDescent="0.3">
      <c r="A465" s="133" t="s">
        <v>246</v>
      </c>
      <c r="B465" s="133" t="s">
        <v>6</v>
      </c>
      <c r="C465" s="133">
        <v>12</v>
      </c>
      <c r="D465" s="133" t="str">
        <f t="shared" si="1"/>
        <v>3/8" Hex CIM 12</v>
      </c>
      <c r="E465" s="133">
        <v>1</v>
      </c>
      <c r="F465" s="133">
        <v>0</v>
      </c>
    </row>
    <row r="466" spans="1:6" ht="14.25" customHeight="1" x14ac:dyDescent="0.3">
      <c r="A466" s="133" t="s">
        <v>246</v>
      </c>
      <c r="B466" s="133" t="s">
        <v>6</v>
      </c>
      <c r="C466" s="133">
        <v>15</v>
      </c>
      <c r="D466" s="133" t="str">
        <f t="shared" si="1"/>
        <v>3/8" Hex CIM 15</v>
      </c>
      <c r="E466" s="133">
        <v>1</v>
      </c>
      <c r="F466" s="133">
        <v>0</v>
      </c>
    </row>
    <row r="467" spans="1:6" ht="14.25" customHeight="1" x14ac:dyDescent="0.3">
      <c r="A467" s="133" t="s">
        <v>246</v>
      </c>
      <c r="B467" s="133" t="s">
        <v>6</v>
      </c>
      <c r="C467" s="133">
        <v>16</v>
      </c>
      <c r="D467" s="133" t="str">
        <f t="shared" si="1"/>
        <v>3/8" Hex CIM 16</v>
      </c>
      <c r="E467" s="133">
        <v>1</v>
      </c>
      <c r="F467" s="133">
        <v>0</v>
      </c>
    </row>
    <row r="468" spans="1:6" ht="14.25" customHeight="1" x14ac:dyDescent="0.3">
      <c r="A468" s="133" t="s">
        <v>246</v>
      </c>
      <c r="B468" s="133" t="s">
        <v>6</v>
      </c>
      <c r="C468" s="133">
        <v>20</v>
      </c>
      <c r="D468" s="133" t="str">
        <f t="shared" si="1"/>
        <v>3/8" Hex CIM 20</v>
      </c>
      <c r="E468" s="133">
        <v>1</v>
      </c>
      <c r="F468" s="133">
        <v>0</v>
      </c>
    </row>
    <row r="469" spans="1:6" ht="14.25" customHeight="1" x14ac:dyDescent="0.3">
      <c r="A469" s="133" t="s">
        <v>246</v>
      </c>
      <c r="B469" s="133" t="s">
        <v>6</v>
      </c>
      <c r="C469" s="133">
        <v>21</v>
      </c>
      <c r="D469" s="133" t="str">
        <f t="shared" si="1"/>
        <v>3/8" Hex CIM 21</v>
      </c>
      <c r="E469" s="133">
        <v>1</v>
      </c>
      <c r="F469" s="133">
        <v>0</v>
      </c>
    </row>
    <row r="470" spans="1:6" ht="14.25" customHeight="1" x14ac:dyDescent="0.3">
      <c r="A470" s="133" t="s">
        <v>246</v>
      </c>
      <c r="B470" s="133" t="s">
        <v>6</v>
      </c>
      <c r="C470" s="133">
        <v>25</v>
      </c>
      <c r="D470" s="133" t="str">
        <f t="shared" si="1"/>
        <v>3/8" Hex CIM 25</v>
      </c>
      <c r="E470" s="133">
        <v>0</v>
      </c>
      <c r="F470" s="133">
        <v>0</v>
      </c>
    </row>
    <row r="471" spans="1:6" ht="14.25" customHeight="1" x14ac:dyDescent="0.3">
      <c r="A471" s="133" t="s">
        <v>246</v>
      </c>
      <c r="B471" s="133" t="s">
        <v>6</v>
      </c>
      <c r="C471" s="133">
        <v>27</v>
      </c>
      <c r="D471" s="133" t="str">
        <f t="shared" si="1"/>
        <v>3/8" Hex CIM 27</v>
      </c>
      <c r="E471" s="133">
        <v>0</v>
      </c>
      <c r="F471" s="133">
        <v>0</v>
      </c>
    </row>
    <row r="472" spans="1:6" ht="14.25" customHeight="1" x14ac:dyDescent="0.3">
      <c r="A472" s="133" t="s">
        <v>246</v>
      </c>
      <c r="B472" s="133" t="s">
        <v>6</v>
      </c>
      <c r="C472" s="133">
        <v>28</v>
      </c>
      <c r="D472" s="133" t="str">
        <f t="shared" si="1"/>
        <v>3/8" Hex CIM 28</v>
      </c>
      <c r="E472" s="133">
        <v>0</v>
      </c>
      <c r="F472" s="133">
        <v>0</v>
      </c>
    </row>
    <row r="473" spans="1:6" ht="14.25" customHeight="1" x14ac:dyDescent="0.3">
      <c r="A473" s="133" t="s">
        <v>246</v>
      </c>
      <c r="B473" s="133" t="s">
        <v>6</v>
      </c>
      <c r="C473" s="133">
        <v>30</v>
      </c>
      <c r="D473" s="133" t="str">
        <f t="shared" si="1"/>
        <v>3/8" Hex CIM 30</v>
      </c>
      <c r="E473" s="133">
        <v>0</v>
      </c>
      <c r="F473" s="133">
        <v>0</v>
      </c>
    </row>
    <row r="474" spans="1:6" ht="14.25" customHeight="1" x14ac:dyDescent="0.3">
      <c r="A474" s="133" t="s">
        <v>246</v>
      </c>
      <c r="B474" s="133" t="s">
        <v>6</v>
      </c>
      <c r="C474" s="133">
        <v>35</v>
      </c>
      <c r="D474" s="133" t="str">
        <f t="shared" si="1"/>
        <v>3/8" Hex CIM 35</v>
      </c>
      <c r="E474" s="133">
        <v>0</v>
      </c>
      <c r="F474" s="133">
        <v>0</v>
      </c>
    </row>
    <row r="475" spans="1:6" ht="14.25" customHeight="1" x14ac:dyDescent="0.3">
      <c r="A475" s="133" t="s">
        <v>246</v>
      </c>
      <c r="B475" s="133" t="s">
        <v>6</v>
      </c>
      <c r="C475" s="133">
        <v>36</v>
      </c>
      <c r="D475" s="133" t="str">
        <f t="shared" si="1"/>
        <v>3/8" Hex CIM 36</v>
      </c>
      <c r="E475" s="133">
        <v>0</v>
      </c>
      <c r="F475" s="133">
        <v>0</v>
      </c>
    </row>
    <row r="476" spans="1:6" ht="14.25" customHeight="1" x14ac:dyDescent="0.3">
      <c r="A476" s="133" t="s">
        <v>246</v>
      </c>
      <c r="B476" s="133" t="s">
        <v>6</v>
      </c>
      <c r="C476" s="133">
        <v>40</v>
      </c>
      <c r="D476" s="133" t="str">
        <f t="shared" si="1"/>
        <v>3/8" Hex CIM 40</v>
      </c>
      <c r="E476" s="133">
        <v>0</v>
      </c>
      <c r="F476" s="133">
        <v>0</v>
      </c>
    </row>
    <row r="477" spans="1:6" ht="14.25" customHeight="1" x14ac:dyDescent="0.3">
      <c r="A477" s="133" t="s">
        <v>246</v>
      </c>
      <c r="B477" s="133" t="s">
        <v>6</v>
      </c>
      <c r="C477" s="133">
        <v>45</v>
      </c>
      <c r="D477" s="133" t="str">
        <f t="shared" si="1"/>
        <v>3/8" Hex CIM 45</v>
      </c>
      <c r="E477" s="133">
        <v>0</v>
      </c>
      <c r="F477" s="133">
        <v>0</v>
      </c>
    </row>
    <row r="478" spans="1:6" ht="14.25" customHeight="1" x14ac:dyDescent="0.3">
      <c r="A478" s="133" t="s">
        <v>246</v>
      </c>
      <c r="B478" s="133" t="s">
        <v>6</v>
      </c>
      <c r="C478" s="133">
        <v>49</v>
      </c>
      <c r="D478" s="133" t="str">
        <f t="shared" si="1"/>
        <v>3/8" Hex CIM 49</v>
      </c>
      <c r="E478" s="133">
        <v>0</v>
      </c>
      <c r="F478" s="133">
        <v>0</v>
      </c>
    </row>
    <row r="479" spans="1:6" ht="14.25" customHeight="1" x14ac:dyDescent="0.3">
      <c r="A479" s="133" t="s">
        <v>246</v>
      </c>
      <c r="B479" s="133" t="s">
        <v>6</v>
      </c>
      <c r="C479" s="133">
        <v>50</v>
      </c>
      <c r="D479" s="133" t="str">
        <f t="shared" si="1"/>
        <v>3/8" Hex CIM 50</v>
      </c>
      <c r="E479" s="133">
        <v>0</v>
      </c>
      <c r="F479" s="133">
        <v>0</v>
      </c>
    </row>
    <row r="480" spans="1:6" ht="14.25" customHeight="1" x14ac:dyDescent="0.3">
      <c r="A480" s="133" t="s">
        <v>246</v>
      </c>
      <c r="B480" s="133" t="s">
        <v>6</v>
      </c>
      <c r="C480" s="133">
        <v>63</v>
      </c>
      <c r="D480" s="133" t="str">
        <f t="shared" si="1"/>
        <v>3/8" Hex CIM 63</v>
      </c>
      <c r="E480" s="133">
        <v>0</v>
      </c>
      <c r="F480" s="133">
        <v>0</v>
      </c>
    </row>
    <row r="481" spans="1:6" ht="14.25" customHeight="1" x14ac:dyDescent="0.3">
      <c r="A481" s="133" t="s">
        <v>246</v>
      </c>
      <c r="B481" s="133" t="s">
        <v>6</v>
      </c>
      <c r="C481" s="133">
        <v>70</v>
      </c>
      <c r="D481" s="133" t="str">
        <f t="shared" si="1"/>
        <v>3/8" Hex CIM 70</v>
      </c>
      <c r="E481" s="133">
        <v>0</v>
      </c>
      <c r="F481" s="133">
        <v>0</v>
      </c>
    </row>
    <row r="482" spans="1:6" ht="14.25" customHeight="1" x14ac:dyDescent="0.3">
      <c r="A482" s="133" t="s">
        <v>246</v>
      </c>
      <c r="B482" s="133" t="s">
        <v>6</v>
      </c>
      <c r="C482" s="133">
        <v>81</v>
      </c>
      <c r="D482" s="133" t="str">
        <f t="shared" si="1"/>
        <v>3/8" Hex CIM 81</v>
      </c>
      <c r="E482" s="133">
        <v>0</v>
      </c>
      <c r="F482" s="133">
        <v>0</v>
      </c>
    </row>
    <row r="483" spans="1:6" ht="14.25" customHeight="1" x14ac:dyDescent="0.3">
      <c r="A483" s="133" t="s">
        <v>246</v>
      </c>
      <c r="B483" s="133" t="s">
        <v>6</v>
      </c>
      <c r="C483" s="133">
        <v>90</v>
      </c>
      <c r="D483" s="133" t="str">
        <f t="shared" si="1"/>
        <v>3/8" Hex CIM 90</v>
      </c>
      <c r="E483" s="133">
        <v>0</v>
      </c>
      <c r="F483" s="133">
        <v>0</v>
      </c>
    </row>
    <row r="484" spans="1:6" ht="14.25" customHeight="1" x14ac:dyDescent="0.3">
      <c r="A484" s="133" t="s">
        <v>246</v>
      </c>
      <c r="B484" s="133" t="s">
        <v>6</v>
      </c>
      <c r="C484" s="133">
        <v>100</v>
      </c>
      <c r="D484" s="133" t="str">
        <f t="shared" si="1"/>
        <v>3/8" Hex CIM 100</v>
      </c>
      <c r="E484" s="133">
        <v>0</v>
      </c>
      <c r="F484" s="133">
        <v>0</v>
      </c>
    </row>
    <row r="485" spans="1:6" ht="14.25" customHeight="1" x14ac:dyDescent="0.3">
      <c r="A485" s="133" t="s">
        <v>246</v>
      </c>
      <c r="B485" s="133" t="s">
        <v>259</v>
      </c>
      <c r="C485" s="133">
        <v>9</v>
      </c>
      <c r="D485" s="133" t="str">
        <f t="shared" si="1"/>
        <v>3/8" Hex 775pro 9</v>
      </c>
      <c r="E485" s="133">
        <v>7</v>
      </c>
      <c r="F485" s="133">
        <v>5</v>
      </c>
    </row>
    <row r="486" spans="1:6" ht="14.25" customHeight="1" x14ac:dyDescent="0.3">
      <c r="A486" s="133" t="s">
        <v>246</v>
      </c>
      <c r="B486" s="133" t="s">
        <v>259</v>
      </c>
      <c r="C486" s="133">
        <v>12</v>
      </c>
      <c r="D486" s="133" t="str">
        <f t="shared" si="1"/>
        <v>3/8" Hex 775pro 12</v>
      </c>
      <c r="E486" s="133">
        <v>5</v>
      </c>
      <c r="F486" s="133">
        <v>4</v>
      </c>
    </row>
    <row r="487" spans="1:6" ht="14.25" customHeight="1" x14ac:dyDescent="0.3">
      <c r="A487" s="133" t="s">
        <v>246</v>
      </c>
      <c r="B487" s="133" t="s">
        <v>259</v>
      </c>
      <c r="C487" s="133">
        <v>15</v>
      </c>
      <c r="D487" s="133" t="str">
        <f t="shared" si="1"/>
        <v>3/8" Hex 775pro 15</v>
      </c>
      <c r="E487" s="133">
        <v>5</v>
      </c>
      <c r="F487" s="133">
        <v>3</v>
      </c>
    </row>
    <row r="488" spans="1:6" ht="14.25" customHeight="1" x14ac:dyDescent="0.3">
      <c r="A488" s="133" t="s">
        <v>246</v>
      </c>
      <c r="B488" s="133" t="s">
        <v>259</v>
      </c>
      <c r="C488" s="133">
        <v>16</v>
      </c>
      <c r="D488" s="133" t="str">
        <f t="shared" si="1"/>
        <v>3/8" Hex 775pro 16</v>
      </c>
      <c r="E488" s="133">
        <v>4</v>
      </c>
      <c r="F488" s="133">
        <v>3</v>
      </c>
    </row>
    <row r="489" spans="1:6" ht="14.25" customHeight="1" x14ac:dyDescent="0.3">
      <c r="A489" s="133" t="s">
        <v>246</v>
      </c>
      <c r="B489" s="133" t="s">
        <v>259</v>
      </c>
      <c r="C489" s="133">
        <v>20</v>
      </c>
      <c r="D489" s="133" t="str">
        <f t="shared" si="1"/>
        <v>3/8" Hex 775pro 20</v>
      </c>
      <c r="E489" s="133">
        <v>3</v>
      </c>
      <c r="F489" s="133">
        <v>1</v>
      </c>
    </row>
    <row r="490" spans="1:6" ht="14.25" customHeight="1" x14ac:dyDescent="0.3">
      <c r="A490" s="133" t="s">
        <v>246</v>
      </c>
      <c r="B490" s="133" t="s">
        <v>259</v>
      </c>
      <c r="C490" s="133">
        <v>21</v>
      </c>
      <c r="D490" s="133" t="str">
        <f t="shared" si="1"/>
        <v>3/8" Hex 775pro 21</v>
      </c>
      <c r="E490" s="133">
        <v>3</v>
      </c>
      <c r="F490" s="133">
        <v>1</v>
      </c>
    </row>
    <row r="491" spans="1:6" ht="14.25" customHeight="1" x14ac:dyDescent="0.3">
      <c r="A491" s="133" t="s">
        <v>246</v>
      </c>
      <c r="B491" s="133" t="s">
        <v>259</v>
      </c>
      <c r="C491" s="133">
        <v>25</v>
      </c>
      <c r="D491" s="133" t="str">
        <f t="shared" si="1"/>
        <v>3/8" Hex 775pro 25</v>
      </c>
      <c r="E491" s="133">
        <v>3</v>
      </c>
      <c r="F491" s="133">
        <v>1</v>
      </c>
    </row>
    <row r="492" spans="1:6" ht="14.25" customHeight="1" x14ac:dyDescent="0.3">
      <c r="A492" s="133" t="s">
        <v>246</v>
      </c>
      <c r="B492" s="133" t="s">
        <v>259</v>
      </c>
      <c r="C492" s="133">
        <v>27</v>
      </c>
      <c r="D492" s="133" t="str">
        <f t="shared" si="1"/>
        <v>3/8" Hex 775pro 27</v>
      </c>
      <c r="E492" s="133">
        <v>1</v>
      </c>
      <c r="F492" s="133">
        <v>1</v>
      </c>
    </row>
    <row r="493" spans="1:6" ht="14.25" customHeight="1" x14ac:dyDescent="0.3">
      <c r="A493" s="133" t="s">
        <v>246</v>
      </c>
      <c r="B493" s="133" t="s">
        <v>259</v>
      </c>
      <c r="C493" s="133">
        <v>28</v>
      </c>
      <c r="D493" s="133" t="str">
        <f t="shared" si="1"/>
        <v>3/8" Hex 775pro 28</v>
      </c>
      <c r="E493" s="133">
        <v>1</v>
      </c>
      <c r="F493" s="133">
        <v>1</v>
      </c>
    </row>
    <row r="494" spans="1:6" ht="14.25" customHeight="1" x14ac:dyDescent="0.3">
      <c r="A494" s="133" t="s">
        <v>246</v>
      </c>
      <c r="B494" s="133" t="s">
        <v>259</v>
      </c>
      <c r="C494" s="133">
        <v>30</v>
      </c>
      <c r="D494" s="133" t="str">
        <f t="shared" si="1"/>
        <v>3/8" Hex 775pro 30</v>
      </c>
      <c r="E494" s="133">
        <v>1</v>
      </c>
      <c r="F494" s="133">
        <v>1</v>
      </c>
    </row>
    <row r="495" spans="1:6" ht="14.25" customHeight="1" x14ac:dyDescent="0.3">
      <c r="A495" s="133" t="s">
        <v>246</v>
      </c>
      <c r="B495" s="133" t="s">
        <v>259</v>
      </c>
      <c r="C495" s="133">
        <v>35</v>
      </c>
      <c r="D495" s="133" t="str">
        <f t="shared" si="1"/>
        <v>3/8" Hex 775pro 35</v>
      </c>
      <c r="E495" s="133">
        <v>1</v>
      </c>
      <c r="F495" s="133">
        <v>1</v>
      </c>
    </row>
    <row r="496" spans="1:6" ht="14.25" customHeight="1" x14ac:dyDescent="0.3">
      <c r="A496" s="133" t="s">
        <v>246</v>
      </c>
      <c r="B496" s="133" t="s">
        <v>259</v>
      </c>
      <c r="C496" s="133">
        <v>36</v>
      </c>
      <c r="D496" s="133" t="str">
        <f t="shared" si="1"/>
        <v>3/8" Hex 775pro 36</v>
      </c>
      <c r="E496" s="133">
        <v>1</v>
      </c>
      <c r="F496" s="133">
        <v>1</v>
      </c>
    </row>
    <row r="497" spans="1:6" ht="14.25" customHeight="1" x14ac:dyDescent="0.3">
      <c r="A497" s="133" t="s">
        <v>246</v>
      </c>
      <c r="B497" s="133" t="s">
        <v>259</v>
      </c>
      <c r="C497" s="133">
        <v>40</v>
      </c>
      <c r="D497" s="133" t="str">
        <f t="shared" si="1"/>
        <v>3/8" Hex 775pro 40</v>
      </c>
      <c r="E497" s="133">
        <v>1</v>
      </c>
      <c r="F497" s="133">
        <v>1</v>
      </c>
    </row>
    <row r="498" spans="1:6" ht="14.25" customHeight="1" x14ac:dyDescent="0.3">
      <c r="A498" s="133" t="s">
        <v>246</v>
      </c>
      <c r="B498" s="133" t="s">
        <v>259</v>
      </c>
      <c r="C498" s="133">
        <v>45</v>
      </c>
      <c r="D498" s="133" t="str">
        <f t="shared" si="1"/>
        <v>3/8" Hex 775pro 45</v>
      </c>
      <c r="E498" s="133">
        <v>1</v>
      </c>
      <c r="F498" s="133">
        <v>1</v>
      </c>
    </row>
    <row r="499" spans="1:6" ht="14.25" customHeight="1" x14ac:dyDescent="0.3">
      <c r="A499" s="133" t="s">
        <v>246</v>
      </c>
      <c r="B499" s="133" t="s">
        <v>259</v>
      </c>
      <c r="C499" s="133">
        <v>49</v>
      </c>
      <c r="D499" s="133" t="str">
        <f t="shared" si="1"/>
        <v>3/8" Hex 775pro 49</v>
      </c>
      <c r="E499" s="133">
        <v>1</v>
      </c>
      <c r="F499" s="133">
        <v>1</v>
      </c>
    </row>
    <row r="500" spans="1:6" ht="14.25" customHeight="1" x14ac:dyDescent="0.3">
      <c r="A500" s="133" t="s">
        <v>246</v>
      </c>
      <c r="B500" s="133" t="s">
        <v>259</v>
      </c>
      <c r="C500" s="133">
        <v>50</v>
      </c>
      <c r="D500" s="133" t="str">
        <f t="shared" si="1"/>
        <v>3/8" Hex 775pro 50</v>
      </c>
      <c r="E500" s="133">
        <v>1</v>
      </c>
      <c r="F500" s="133">
        <v>0</v>
      </c>
    </row>
    <row r="501" spans="1:6" ht="14.25" customHeight="1" x14ac:dyDescent="0.3">
      <c r="A501" s="133" t="s">
        <v>246</v>
      </c>
      <c r="B501" s="133" t="s">
        <v>259</v>
      </c>
      <c r="C501" s="133">
        <v>63</v>
      </c>
      <c r="D501" s="133" t="str">
        <f t="shared" si="1"/>
        <v>3/8" Hex 775pro 63</v>
      </c>
      <c r="E501" s="133">
        <v>1</v>
      </c>
      <c r="F501" s="133">
        <v>0</v>
      </c>
    </row>
    <row r="502" spans="1:6" ht="14.25" customHeight="1" x14ac:dyDescent="0.3">
      <c r="A502" s="133" t="s">
        <v>246</v>
      </c>
      <c r="B502" s="133" t="s">
        <v>259</v>
      </c>
      <c r="C502" s="133">
        <v>70</v>
      </c>
      <c r="D502" s="133" t="str">
        <f t="shared" si="1"/>
        <v>3/8" Hex 775pro 70</v>
      </c>
      <c r="E502" s="133">
        <v>1</v>
      </c>
      <c r="F502" s="133">
        <v>0</v>
      </c>
    </row>
    <row r="503" spans="1:6" ht="14.25" customHeight="1" x14ac:dyDescent="0.3">
      <c r="A503" s="133" t="s">
        <v>246</v>
      </c>
      <c r="B503" s="133" t="s">
        <v>259</v>
      </c>
      <c r="C503" s="133">
        <v>81</v>
      </c>
      <c r="D503" s="133" t="str">
        <f t="shared" si="1"/>
        <v>3/8" Hex 775pro 81</v>
      </c>
      <c r="E503" s="133">
        <v>0</v>
      </c>
      <c r="F503" s="133">
        <v>0</v>
      </c>
    </row>
    <row r="504" spans="1:6" ht="14.25" customHeight="1" x14ac:dyDescent="0.3">
      <c r="A504" s="133" t="s">
        <v>246</v>
      </c>
      <c r="B504" s="133" t="s">
        <v>259</v>
      </c>
      <c r="C504" s="133">
        <v>90</v>
      </c>
      <c r="D504" s="133" t="str">
        <f t="shared" si="1"/>
        <v>3/8" Hex 775pro 90</v>
      </c>
      <c r="E504" s="133">
        <v>0</v>
      </c>
      <c r="F504" s="133">
        <v>0</v>
      </c>
    </row>
    <row r="505" spans="1:6" ht="14.25" customHeight="1" x14ac:dyDescent="0.3">
      <c r="A505" s="133" t="s">
        <v>246</v>
      </c>
      <c r="B505" s="133" t="s">
        <v>259</v>
      </c>
      <c r="C505" s="133">
        <v>100</v>
      </c>
      <c r="D505" s="133" t="str">
        <f t="shared" si="1"/>
        <v>3/8" Hex 775pro 100</v>
      </c>
      <c r="E505" s="133">
        <v>0</v>
      </c>
      <c r="F505" s="133">
        <v>0</v>
      </c>
    </row>
    <row r="506" spans="1:6" ht="14.25" customHeight="1" x14ac:dyDescent="0.3">
      <c r="A506" s="133" t="s">
        <v>249</v>
      </c>
      <c r="B506" s="133" t="s">
        <v>11</v>
      </c>
      <c r="C506" s="133">
        <v>9</v>
      </c>
      <c r="D506" s="133" t="str">
        <f t="shared" si="1"/>
        <v>CIM Motor AM 9015 9</v>
      </c>
      <c r="E506" s="133">
        <v>7</v>
      </c>
      <c r="F506" s="133">
        <v>7</v>
      </c>
    </row>
    <row r="507" spans="1:6" ht="14.25" customHeight="1" x14ac:dyDescent="0.3">
      <c r="A507" s="133" t="s">
        <v>249</v>
      </c>
      <c r="B507" s="133" t="s">
        <v>11</v>
      </c>
      <c r="C507" s="133">
        <v>12</v>
      </c>
      <c r="D507" s="133" t="str">
        <f t="shared" si="1"/>
        <v>CIM Motor AM 9015 12</v>
      </c>
      <c r="E507" s="133">
        <v>5</v>
      </c>
      <c r="F507" s="133">
        <v>5</v>
      </c>
    </row>
    <row r="508" spans="1:6" ht="14.25" customHeight="1" x14ac:dyDescent="0.3">
      <c r="A508" s="133" t="s">
        <v>249</v>
      </c>
      <c r="B508" s="133" t="s">
        <v>11</v>
      </c>
      <c r="C508" s="133">
        <v>15</v>
      </c>
      <c r="D508" s="133" t="str">
        <f t="shared" si="1"/>
        <v>CIM Motor AM 9015 15</v>
      </c>
      <c r="E508" s="133">
        <v>4</v>
      </c>
      <c r="F508" s="133">
        <v>5</v>
      </c>
    </row>
    <row r="509" spans="1:6" ht="14.25" customHeight="1" x14ac:dyDescent="0.3">
      <c r="A509" s="133" t="s">
        <v>249</v>
      </c>
      <c r="B509" s="133" t="s">
        <v>11</v>
      </c>
      <c r="C509" s="133">
        <v>16</v>
      </c>
      <c r="D509" s="133" t="str">
        <f t="shared" si="1"/>
        <v>CIM Motor AM 9015 16</v>
      </c>
      <c r="E509" s="133">
        <v>4</v>
      </c>
      <c r="F509" s="133">
        <v>5</v>
      </c>
    </row>
    <row r="510" spans="1:6" ht="14.25" customHeight="1" x14ac:dyDescent="0.3">
      <c r="A510" s="133" t="s">
        <v>249</v>
      </c>
      <c r="B510" s="133" t="s">
        <v>11</v>
      </c>
      <c r="C510" s="133">
        <v>20</v>
      </c>
      <c r="D510" s="133" t="str">
        <f t="shared" si="1"/>
        <v>CIM Motor AM 9015 20</v>
      </c>
      <c r="E510" s="133">
        <v>3</v>
      </c>
      <c r="F510" s="133">
        <v>4</v>
      </c>
    </row>
    <row r="511" spans="1:6" ht="14.25" customHeight="1" x14ac:dyDescent="0.3">
      <c r="A511" s="133" t="s">
        <v>249</v>
      </c>
      <c r="B511" s="133" t="s">
        <v>11</v>
      </c>
      <c r="C511" s="133">
        <v>21</v>
      </c>
      <c r="D511" s="133" t="str">
        <f t="shared" si="1"/>
        <v>CIM Motor AM 9015 21</v>
      </c>
      <c r="E511" s="133">
        <v>3</v>
      </c>
      <c r="F511" s="133">
        <v>3</v>
      </c>
    </row>
    <row r="512" spans="1:6" ht="14.25" customHeight="1" x14ac:dyDescent="0.3">
      <c r="A512" s="133" t="s">
        <v>249</v>
      </c>
      <c r="B512" s="133" t="s">
        <v>11</v>
      </c>
      <c r="C512" s="133">
        <v>25</v>
      </c>
      <c r="D512" s="133" t="str">
        <f t="shared" ref="D512:D766" si="2">A512&amp;" "&amp;B512&amp;" "&amp;C512</f>
        <v>CIM Motor AM 9015 25</v>
      </c>
      <c r="E512" s="133">
        <v>1</v>
      </c>
      <c r="F512" s="133">
        <v>3</v>
      </c>
    </row>
    <row r="513" spans="1:6" ht="14.25" customHeight="1" x14ac:dyDescent="0.3">
      <c r="A513" s="133" t="s">
        <v>249</v>
      </c>
      <c r="B513" s="133" t="s">
        <v>11</v>
      </c>
      <c r="C513" s="133">
        <v>27</v>
      </c>
      <c r="D513" s="133" t="str">
        <f t="shared" si="2"/>
        <v>CIM Motor AM 9015 27</v>
      </c>
      <c r="E513" s="133">
        <v>1</v>
      </c>
      <c r="F513" s="133">
        <v>1</v>
      </c>
    </row>
    <row r="514" spans="1:6" ht="14.25" customHeight="1" x14ac:dyDescent="0.3">
      <c r="A514" s="133" t="s">
        <v>249</v>
      </c>
      <c r="B514" s="133" t="s">
        <v>11</v>
      </c>
      <c r="C514" s="133">
        <v>28</v>
      </c>
      <c r="D514" s="133" t="str">
        <f t="shared" si="2"/>
        <v>CIM Motor AM 9015 28</v>
      </c>
      <c r="E514" s="133">
        <v>1</v>
      </c>
      <c r="F514" s="133">
        <v>1</v>
      </c>
    </row>
    <row r="515" spans="1:6" ht="14.25" customHeight="1" x14ac:dyDescent="0.3">
      <c r="A515" s="133" t="s">
        <v>249</v>
      </c>
      <c r="B515" s="133" t="s">
        <v>11</v>
      </c>
      <c r="C515" s="133">
        <v>30</v>
      </c>
      <c r="D515" s="133" t="str">
        <f t="shared" si="2"/>
        <v>CIM Motor AM 9015 30</v>
      </c>
      <c r="E515" s="133">
        <v>1</v>
      </c>
      <c r="F515" s="133">
        <v>1</v>
      </c>
    </row>
    <row r="516" spans="1:6" ht="14.25" customHeight="1" x14ac:dyDescent="0.3">
      <c r="A516" s="133" t="s">
        <v>249</v>
      </c>
      <c r="B516" s="133" t="s">
        <v>11</v>
      </c>
      <c r="C516" s="133">
        <v>35</v>
      </c>
      <c r="D516" s="133" t="str">
        <f t="shared" si="2"/>
        <v>CIM Motor AM 9015 35</v>
      </c>
      <c r="E516" s="133">
        <v>1</v>
      </c>
      <c r="F516" s="133">
        <v>1</v>
      </c>
    </row>
    <row r="517" spans="1:6" ht="14.25" customHeight="1" x14ac:dyDescent="0.3">
      <c r="A517" s="133" t="s">
        <v>249</v>
      </c>
      <c r="B517" s="133" t="s">
        <v>11</v>
      </c>
      <c r="C517" s="133">
        <v>36</v>
      </c>
      <c r="D517" s="133" t="str">
        <f t="shared" si="2"/>
        <v>CIM Motor AM 9015 36</v>
      </c>
      <c r="E517" s="133">
        <v>1</v>
      </c>
      <c r="F517" s="133">
        <v>1</v>
      </c>
    </row>
    <row r="518" spans="1:6" ht="14.25" customHeight="1" x14ac:dyDescent="0.3">
      <c r="A518" s="133" t="s">
        <v>249</v>
      </c>
      <c r="B518" s="133" t="s">
        <v>11</v>
      </c>
      <c r="C518" s="133">
        <v>40</v>
      </c>
      <c r="D518" s="133" t="str">
        <f t="shared" si="2"/>
        <v>CIM Motor AM 9015 40</v>
      </c>
      <c r="E518" s="133">
        <v>1</v>
      </c>
      <c r="F518" s="133">
        <v>1</v>
      </c>
    </row>
    <row r="519" spans="1:6" ht="14.25" customHeight="1" x14ac:dyDescent="0.3">
      <c r="A519" s="133" t="s">
        <v>249</v>
      </c>
      <c r="B519" s="133" t="s">
        <v>11</v>
      </c>
      <c r="C519" s="133">
        <v>45</v>
      </c>
      <c r="D519" s="133" t="str">
        <f t="shared" si="2"/>
        <v>CIM Motor AM 9015 45</v>
      </c>
      <c r="E519" s="133">
        <v>1</v>
      </c>
      <c r="F519" s="133">
        <v>1</v>
      </c>
    </row>
    <row r="520" spans="1:6" ht="14.25" customHeight="1" x14ac:dyDescent="0.3">
      <c r="A520" s="133" t="s">
        <v>249</v>
      </c>
      <c r="B520" s="133" t="s">
        <v>11</v>
      </c>
      <c r="C520" s="133">
        <v>49</v>
      </c>
      <c r="D520" s="133" t="str">
        <f t="shared" si="2"/>
        <v>CIM Motor AM 9015 49</v>
      </c>
      <c r="E520" s="133">
        <v>1</v>
      </c>
      <c r="F520" s="133">
        <v>1</v>
      </c>
    </row>
    <row r="521" spans="1:6" ht="14.25" customHeight="1" x14ac:dyDescent="0.3">
      <c r="A521" s="133" t="s">
        <v>249</v>
      </c>
      <c r="B521" s="133" t="s">
        <v>11</v>
      </c>
      <c r="C521" s="133">
        <v>50</v>
      </c>
      <c r="D521" s="133" t="str">
        <f t="shared" si="2"/>
        <v>CIM Motor AM 9015 50</v>
      </c>
      <c r="E521" s="133">
        <v>1</v>
      </c>
      <c r="F521" s="133">
        <v>1</v>
      </c>
    </row>
    <row r="522" spans="1:6" ht="14.25" customHeight="1" x14ac:dyDescent="0.3">
      <c r="A522" s="133" t="s">
        <v>249</v>
      </c>
      <c r="B522" s="133" t="s">
        <v>11</v>
      </c>
      <c r="C522" s="133">
        <v>63</v>
      </c>
      <c r="D522" s="133" t="str">
        <f t="shared" si="2"/>
        <v>CIM Motor AM 9015 63</v>
      </c>
      <c r="E522" s="133">
        <v>1</v>
      </c>
      <c r="F522" s="133">
        <v>1</v>
      </c>
    </row>
    <row r="523" spans="1:6" ht="14.25" customHeight="1" x14ac:dyDescent="0.3">
      <c r="A523" s="133" t="s">
        <v>249</v>
      </c>
      <c r="B523" s="133" t="s">
        <v>11</v>
      </c>
      <c r="C523" s="133">
        <v>70</v>
      </c>
      <c r="D523" s="133" t="str">
        <f t="shared" si="2"/>
        <v>CIM Motor AM 9015 70</v>
      </c>
      <c r="E523" s="133">
        <v>0</v>
      </c>
      <c r="F523" s="133">
        <v>1</v>
      </c>
    </row>
    <row r="524" spans="1:6" ht="14.25" customHeight="1" x14ac:dyDescent="0.3">
      <c r="A524" s="133" t="s">
        <v>249</v>
      </c>
      <c r="B524" s="133" t="s">
        <v>11</v>
      </c>
      <c r="C524" s="133">
        <v>81</v>
      </c>
      <c r="D524" s="133" t="str">
        <f t="shared" si="2"/>
        <v>CIM Motor AM 9015 81</v>
      </c>
      <c r="E524" s="133">
        <v>0</v>
      </c>
      <c r="F524" s="133">
        <v>0</v>
      </c>
    </row>
    <row r="525" spans="1:6" ht="14.25" customHeight="1" x14ac:dyDescent="0.3">
      <c r="A525" s="133" t="s">
        <v>249</v>
      </c>
      <c r="B525" s="133" t="s">
        <v>11</v>
      </c>
      <c r="C525" s="133">
        <v>90</v>
      </c>
      <c r="D525" s="133" t="str">
        <f t="shared" si="2"/>
        <v>CIM Motor AM 9015 90</v>
      </c>
      <c r="E525" s="133">
        <v>0</v>
      </c>
      <c r="F525" s="133">
        <v>0</v>
      </c>
    </row>
    <row r="526" spans="1:6" ht="14.25" customHeight="1" x14ac:dyDescent="0.3">
      <c r="A526" s="133" t="s">
        <v>249</v>
      </c>
      <c r="B526" s="133" t="s">
        <v>11</v>
      </c>
      <c r="C526" s="133">
        <v>100</v>
      </c>
      <c r="D526" s="133" t="str">
        <f t="shared" si="2"/>
        <v>CIM Motor AM 9015 100</v>
      </c>
      <c r="E526" s="133">
        <v>0</v>
      </c>
      <c r="F526" s="133">
        <v>0</v>
      </c>
    </row>
    <row r="527" spans="1:6" ht="14.25" customHeight="1" x14ac:dyDescent="0.3">
      <c r="A527" s="133" t="s">
        <v>249</v>
      </c>
      <c r="B527" s="133" t="s">
        <v>337</v>
      </c>
      <c r="C527" s="133">
        <v>9</v>
      </c>
      <c r="D527" s="133" t="str">
        <f t="shared" si="2"/>
        <v>CIM Motor NeveRest 9</v>
      </c>
      <c r="E527" s="133">
        <v>5</v>
      </c>
      <c r="F527" s="133">
        <v>10</v>
      </c>
    </row>
    <row r="528" spans="1:6" ht="14.25" customHeight="1" x14ac:dyDescent="0.3">
      <c r="A528" s="133" t="s">
        <v>249</v>
      </c>
      <c r="B528" s="133" t="s">
        <v>337</v>
      </c>
      <c r="C528" s="133">
        <v>12</v>
      </c>
      <c r="D528" s="133" t="str">
        <f t="shared" si="2"/>
        <v>CIM Motor NeveRest 12</v>
      </c>
      <c r="E528" s="133">
        <v>4</v>
      </c>
      <c r="F528" s="133">
        <v>10</v>
      </c>
    </row>
    <row r="529" spans="1:6" ht="14.25" customHeight="1" x14ac:dyDescent="0.3">
      <c r="A529" s="133" t="s">
        <v>249</v>
      </c>
      <c r="B529" s="133" t="s">
        <v>337</v>
      </c>
      <c r="C529" s="133">
        <v>15</v>
      </c>
      <c r="D529" s="133" t="str">
        <f t="shared" si="2"/>
        <v>CIM Motor NeveRest 15</v>
      </c>
      <c r="E529" s="133">
        <v>3</v>
      </c>
      <c r="F529" s="133">
        <v>10</v>
      </c>
    </row>
    <row r="530" spans="1:6" ht="14.25" customHeight="1" x14ac:dyDescent="0.3">
      <c r="A530" s="133" t="s">
        <v>249</v>
      </c>
      <c r="B530" s="133" t="s">
        <v>337</v>
      </c>
      <c r="C530" s="133">
        <v>16</v>
      </c>
      <c r="D530" s="133" t="str">
        <f t="shared" si="2"/>
        <v>CIM Motor NeveRest 16</v>
      </c>
      <c r="E530" s="133">
        <v>3</v>
      </c>
      <c r="F530" s="133">
        <v>10</v>
      </c>
    </row>
    <row r="531" spans="1:6" ht="14.25" customHeight="1" x14ac:dyDescent="0.3">
      <c r="A531" s="133" t="s">
        <v>249</v>
      </c>
      <c r="B531" s="133" t="s">
        <v>337</v>
      </c>
      <c r="C531" s="133">
        <v>20</v>
      </c>
      <c r="D531" s="133" t="str">
        <f t="shared" si="2"/>
        <v>CIM Motor NeveRest 20</v>
      </c>
      <c r="E531" s="133">
        <v>1</v>
      </c>
      <c r="F531" s="133">
        <v>7</v>
      </c>
    </row>
    <row r="532" spans="1:6" ht="14.25" customHeight="1" x14ac:dyDescent="0.3">
      <c r="A532" s="133" t="s">
        <v>249</v>
      </c>
      <c r="B532" s="133" t="s">
        <v>337</v>
      </c>
      <c r="C532" s="133">
        <v>21</v>
      </c>
      <c r="D532" s="133" t="str">
        <f t="shared" si="2"/>
        <v>CIM Motor NeveRest 21</v>
      </c>
      <c r="E532" s="133">
        <v>1</v>
      </c>
      <c r="F532" s="133">
        <v>7</v>
      </c>
    </row>
    <row r="533" spans="1:6" ht="14.25" customHeight="1" x14ac:dyDescent="0.3">
      <c r="A533" s="133" t="s">
        <v>249</v>
      </c>
      <c r="B533" s="133" t="s">
        <v>337</v>
      </c>
      <c r="C533" s="133">
        <v>25</v>
      </c>
      <c r="D533" s="133" t="str">
        <f t="shared" si="2"/>
        <v>CIM Motor NeveRest 25</v>
      </c>
      <c r="E533" s="133">
        <v>1</v>
      </c>
      <c r="F533" s="133">
        <v>5</v>
      </c>
    </row>
    <row r="534" spans="1:6" ht="14.25" customHeight="1" x14ac:dyDescent="0.3">
      <c r="A534" s="133" t="s">
        <v>249</v>
      </c>
      <c r="B534" s="133" t="s">
        <v>337</v>
      </c>
      <c r="C534" s="133">
        <v>27</v>
      </c>
      <c r="D534" s="133" t="str">
        <f t="shared" si="2"/>
        <v>CIM Motor NeveRest 27</v>
      </c>
      <c r="E534" s="133">
        <v>1</v>
      </c>
      <c r="F534" s="133">
        <v>5</v>
      </c>
    </row>
    <row r="535" spans="1:6" ht="14.25" customHeight="1" x14ac:dyDescent="0.3">
      <c r="A535" s="133" t="s">
        <v>249</v>
      </c>
      <c r="B535" s="133" t="s">
        <v>337</v>
      </c>
      <c r="C535" s="133">
        <v>28</v>
      </c>
      <c r="D535" s="133" t="str">
        <f t="shared" si="2"/>
        <v>CIM Motor NeveRest 28</v>
      </c>
      <c r="E535" s="133">
        <v>1</v>
      </c>
      <c r="F535" s="133">
        <v>5</v>
      </c>
    </row>
    <row r="536" spans="1:6" ht="14.25" customHeight="1" x14ac:dyDescent="0.3">
      <c r="A536" s="133" t="s">
        <v>249</v>
      </c>
      <c r="B536" s="133" t="s">
        <v>337</v>
      </c>
      <c r="C536" s="133">
        <v>30</v>
      </c>
      <c r="D536" s="133" t="str">
        <f t="shared" si="2"/>
        <v>CIM Motor NeveRest 30</v>
      </c>
      <c r="E536" s="133">
        <v>1</v>
      </c>
      <c r="F536" s="133">
        <v>5</v>
      </c>
    </row>
    <row r="537" spans="1:6" ht="14.25" customHeight="1" x14ac:dyDescent="0.3">
      <c r="A537" s="133" t="s">
        <v>249</v>
      </c>
      <c r="B537" s="133" t="s">
        <v>337</v>
      </c>
      <c r="C537" s="133">
        <v>35</v>
      </c>
      <c r="D537" s="133" t="str">
        <f t="shared" si="2"/>
        <v>CIM Motor NeveRest 35</v>
      </c>
      <c r="E537" s="133">
        <v>1</v>
      </c>
      <c r="F537" s="133">
        <v>4</v>
      </c>
    </row>
    <row r="538" spans="1:6" ht="14.25" customHeight="1" x14ac:dyDescent="0.3">
      <c r="A538" s="133" t="s">
        <v>249</v>
      </c>
      <c r="B538" s="133" t="s">
        <v>337</v>
      </c>
      <c r="C538" s="133">
        <v>36</v>
      </c>
      <c r="D538" s="133" t="str">
        <f t="shared" si="2"/>
        <v>CIM Motor NeveRest 36</v>
      </c>
      <c r="E538" s="133">
        <v>1</v>
      </c>
      <c r="F538" s="133">
        <v>4</v>
      </c>
    </row>
    <row r="539" spans="1:6" ht="14.25" customHeight="1" x14ac:dyDescent="0.3">
      <c r="A539" s="133" t="s">
        <v>249</v>
      </c>
      <c r="B539" s="133" t="s">
        <v>337</v>
      </c>
      <c r="C539" s="133">
        <v>40</v>
      </c>
      <c r="D539" s="133" t="str">
        <f t="shared" si="2"/>
        <v>CIM Motor NeveRest 40</v>
      </c>
      <c r="E539" s="133">
        <v>1</v>
      </c>
      <c r="F539" s="133">
        <v>4</v>
      </c>
    </row>
    <row r="540" spans="1:6" ht="14.25" customHeight="1" x14ac:dyDescent="0.3">
      <c r="A540" s="133" t="s">
        <v>249</v>
      </c>
      <c r="B540" s="133" t="s">
        <v>337</v>
      </c>
      <c r="C540" s="133">
        <v>45</v>
      </c>
      <c r="D540" s="133" t="str">
        <f t="shared" si="2"/>
        <v>CIM Motor NeveRest 45</v>
      </c>
      <c r="E540" s="133">
        <v>1</v>
      </c>
      <c r="F540" s="133">
        <v>3</v>
      </c>
    </row>
    <row r="541" spans="1:6" ht="14.25" customHeight="1" x14ac:dyDescent="0.3">
      <c r="A541" s="133" t="s">
        <v>249</v>
      </c>
      <c r="B541" s="133" t="s">
        <v>337</v>
      </c>
      <c r="C541" s="133">
        <v>49</v>
      </c>
      <c r="D541" s="133" t="str">
        <f t="shared" si="2"/>
        <v>CIM Motor NeveRest 49</v>
      </c>
      <c r="E541" s="133">
        <v>1</v>
      </c>
      <c r="F541" s="133">
        <v>3</v>
      </c>
    </row>
    <row r="542" spans="1:6" ht="14.25" customHeight="1" x14ac:dyDescent="0.3">
      <c r="A542" s="133" t="s">
        <v>249</v>
      </c>
      <c r="B542" s="133" t="s">
        <v>337</v>
      </c>
      <c r="C542" s="133">
        <v>50</v>
      </c>
      <c r="D542" s="133" t="str">
        <f t="shared" si="2"/>
        <v>CIM Motor NeveRest 50</v>
      </c>
      <c r="E542" s="133">
        <v>1</v>
      </c>
      <c r="F542" s="133">
        <v>3</v>
      </c>
    </row>
    <row r="543" spans="1:6" ht="14.25" customHeight="1" x14ac:dyDescent="0.3">
      <c r="A543" s="133" t="s">
        <v>249</v>
      </c>
      <c r="B543" s="133" t="s">
        <v>337</v>
      </c>
      <c r="C543" s="133">
        <v>63</v>
      </c>
      <c r="D543" s="133" t="str">
        <f t="shared" si="2"/>
        <v>CIM Motor NeveRest 63</v>
      </c>
      <c r="E543" s="133">
        <v>0</v>
      </c>
      <c r="F543" s="133">
        <v>1</v>
      </c>
    </row>
    <row r="544" spans="1:6" ht="14.25" customHeight="1" x14ac:dyDescent="0.3">
      <c r="A544" s="133" t="s">
        <v>249</v>
      </c>
      <c r="B544" s="133" t="s">
        <v>337</v>
      </c>
      <c r="C544" s="133">
        <v>70</v>
      </c>
      <c r="D544" s="133" t="str">
        <f t="shared" si="2"/>
        <v>CIM Motor NeveRest 70</v>
      </c>
      <c r="E544" s="133">
        <v>0</v>
      </c>
      <c r="F544" s="133">
        <v>1</v>
      </c>
    </row>
    <row r="545" spans="1:6" ht="14.25" customHeight="1" x14ac:dyDescent="0.3">
      <c r="A545" s="133" t="s">
        <v>249</v>
      </c>
      <c r="B545" s="133" t="s">
        <v>337</v>
      </c>
      <c r="C545" s="133">
        <v>81</v>
      </c>
      <c r="D545" s="133" t="str">
        <f t="shared" si="2"/>
        <v>CIM Motor NeveRest 81</v>
      </c>
      <c r="E545" s="133">
        <v>0</v>
      </c>
      <c r="F545" s="133">
        <v>1</v>
      </c>
    </row>
    <row r="546" spans="1:6" ht="14.25" customHeight="1" x14ac:dyDescent="0.3">
      <c r="A546" s="133" t="s">
        <v>249</v>
      </c>
      <c r="B546" s="133" t="s">
        <v>337</v>
      </c>
      <c r="C546" s="133">
        <v>90</v>
      </c>
      <c r="D546" s="133" t="str">
        <f t="shared" si="2"/>
        <v>CIM Motor NeveRest 90</v>
      </c>
      <c r="E546" s="133">
        <v>0</v>
      </c>
      <c r="F546" s="133">
        <v>1</v>
      </c>
    </row>
    <row r="547" spans="1:6" ht="14.25" customHeight="1" x14ac:dyDescent="0.3">
      <c r="A547" s="133" t="s">
        <v>249</v>
      </c>
      <c r="B547" s="133" t="s">
        <v>337</v>
      </c>
      <c r="C547" s="133">
        <v>100</v>
      </c>
      <c r="D547" s="133" t="str">
        <f t="shared" si="2"/>
        <v>CIM Motor NeveRest 100</v>
      </c>
      <c r="E547" s="133">
        <v>0</v>
      </c>
      <c r="F547" s="133">
        <v>1</v>
      </c>
    </row>
    <row r="548" spans="1:6" ht="14.25" customHeight="1" x14ac:dyDescent="0.3">
      <c r="A548" s="133" t="s">
        <v>249</v>
      </c>
      <c r="B548" s="133" t="s">
        <v>333</v>
      </c>
      <c r="C548" s="133">
        <v>9</v>
      </c>
      <c r="D548" s="133" t="str">
        <f t="shared" si="2"/>
        <v>CIM Motor BB RS-550 9</v>
      </c>
      <c r="E548" s="133">
        <v>5</v>
      </c>
      <c r="F548" s="133">
        <v>7</v>
      </c>
    </row>
    <row r="549" spans="1:6" ht="14.25" customHeight="1" x14ac:dyDescent="0.3">
      <c r="A549" s="133" t="s">
        <v>249</v>
      </c>
      <c r="B549" s="133" t="s">
        <v>333</v>
      </c>
      <c r="C549" s="133">
        <v>12</v>
      </c>
      <c r="D549" s="133" t="str">
        <f t="shared" si="2"/>
        <v>CIM Motor BB RS-550 12</v>
      </c>
      <c r="E549" s="133">
        <v>4</v>
      </c>
      <c r="F549" s="133">
        <v>5</v>
      </c>
    </row>
    <row r="550" spans="1:6" ht="14.25" customHeight="1" x14ac:dyDescent="0.3">
      <c r="A550" s="133" t="s">
        <v>249</v>
      </c>
      <c r="B550" s="133" t="s">
        <v>333</v>
      </c>
      <c r="C550" s="133">
        <v>15</v>
      </c>
      <c r="D550" s="133" t="str">
        <f t="shared" si="2"/>
        <v>CIM Motor BB RS-550 15</v>
      </c>
      <c r="E550" s="133">
        <v>3</v>
      </c>
      <c r="F550" s="133">
        <v>5</v>
      </c>
    </row>
    <row r="551" spans="1:6" ht="14.25" customHeight="1" x14ac:dyDescent="0.3">
      <c r="A551" s="133" t="s">
        <v>249</v>
      </c>
      <c r="B551" s="133" t="s">
        <v>333</v>
      </c>
      <c r="C551" s="133">
        <v>16</v>
      </c>
      <c r="D551" s="133" t="str">
        <f t="shared" si="2"/>
        <v>CIM Motor BB RS-550 16</v>
      </c>
      <c r="E551" s="133">
        <v>3</v>
      </c>
      <c r="F551" s="133">
        <v>5</v>
      </c>
    </row>
    <row r="552" spans="1:6" ht="14.25" customHeight="1" x14ac:dyDescent="0.3">
      <c r="A552" s="133" t="s">
        <v>249</v>
      </c>
      <c r="B552" s="133" t="s">
        <v>333</v>
      </c>
      <c r="C552" s="133">
        <v>20</v>
      </c>
      <c r="D552" s="133" t="str">
        <f t="shared" si="2"/>
        <v>CIM Motor BB RS-550 20</v>
      </c>
      <c r="E552" s="133">
        <v>1</v>
      </c>
      <c r="F552" s="133">
        <v>4</v>
      </c>
    </row>
    <row r="553" spans="1:6" ht="14.25" customHeight="1" x14ac:dyDescent="0.3">
      <c r="A553" s="133" t="s">
        <v>249</v>
      </c>
      <c r="B553" s="133" t="s">
        <v>333</v>
      </c>
      <c r="C553" s="133">
        <v>21</v>
      </c>
      <c r="D553" s="133" t="str">
        <f t="shared" si="2"/>
        <v>CIM Motor BB RS-550 21</v>
      </c>
      <c r="E553" s="133">
        <v>1</v>
      </c>
      <c r="F553" s="133">
        <v>3</v>
      </c>
    </row>
    <row r="554" spans="1:6" ht="14.25" customHeight="1" x14ac:dyDescent="0.3">
      <c r="A554" s="133" t="s">
        <v>249</v>
      </c>
      <c r="B554" s="133" t="s">
        <v>333</v>
      </c>
      <c r="C554" s="133">
        <v>25</v>
      </c>
      <c r="D554" s="133" t="str">
        <f t="shared" si="2"/>
        <v>CIM Motor BB RS-550 25</v>
      </c>
      <c r="E554" s="133">
        <v>1</v>
      </c>
      <c r="F554" s="133">
        <v>3</v>
      </c>
    </row>
    <row r="555" spans="1:6" ht="14.25" customHeight="1" x14ac:dyDescent="0.3">
      <c r="A555" s="133" t="s">
        <v>249</v>
      </c>
      <c r="B555" s="133" t="s">
        <v>333</v>
      </c>
      <c r="C555" s="133">
        <v>27</v>
      </c>
      <c r="D555" s="133" t="str">
        <f t="shared" si="2"/>
        <v>CIM Motor BB RS-550 27</v>
      </c>
      <c r="E555" s="133">
        <v>1</v>
      </c>
      <c r="F555" s="133">
        <v>1</v>
      </c>
    </row>
    <row r="556" spans="1:6" ht="14.25" customHeight="1" x14ac:dyDescent="0.3">
      <c r="A556" s="133" t="s">
        <v>249</v>
      </c>
      <c r="B556" s="133" t="s">
        <v>333</v>
      </c>
      <c r="C556" s="133">
        <v>28</v>
      </c>
      <c r="D556" s="133" t="str">
        <f t="shared" si="2"/>
        <v>CIM Motor BB RS-550 28</v>
      </c>
      <c r="E556" s="133">
        <v>1</v>
      </c>
      <c r="F556" s="133">
        <v>1</v>
      </c>
    </row>
    <row r="557" spans="1:6" ht="14.25" customHeight="1" x14ac:dyDescent="0.3">
      <c r="A557" s="133" t="s">
        <v>249</v>
      </c>
      <c r="B557" s="133" t="s">
        <v>333</v>
      </c>
      <c r="C557" s="133">
        <v>30</v>
      </c>
      <c r="D557" s="133" t="str">
        <f t="shared" si="2"/>
        <v>CIM Motor BB RS-550 30</v>
      </c>
      <c r="E557" s="133">
        <v>1</v>
      </c>
      <c r="F557" s="133">
        <v>1</v>
      </c>
    </row>
    <row r="558" spans="1:6" ht="14.25" customHeight="1" x14ac:dyDescent="0.3">
      <c r="A558" s="133" t="s">
        <v>249</v>
      </c>
      <c r="B558" s="133" t="s">
        <v>333</v>
      </c>
      <c r="C558" s="133">
        <v>35</v>
      </c>
      <c r="D558" s="133" t="str">
        <f t="shared" si="2"/>
        <v>CIM Motor BB RS-550 35</v>
      </c>
      <c r="E558" s="133">
        <v>1</v>
      </c>
      <c r="F558" s="133">
        <v>1</v>
      </c>
    </row>
    <row r="559" spans="1:6" ht="14.25" customHeight="1" x14ac:dyDescent="0.3">
      <c r="A559" s="133" t="s">
        <v>249</v>
      </c>
      <c r="B559" s="133" t="s">
        <v>333</v>
      </c>
      <c r="C559" s="133">
        <v>36</v>
      </c>
      <c r="D559" s="133" t="str">
        <f t="shared" si="2"/>
        <v>CIM Motor BB RS-550 36</v>
      </c>
      <c r="E559" s="133">
        <v>1</v>
      </c>
      <c r="F559" s="133">
        <v>1</v>
      </c>
    </row>
    <row r="560" spans="1:6" ht="14.25" customHeight="1" x14ac:dyDescent="0.3">
      <c r="A560" s="133" t="s">
        <v>249</v>
      </c>
      <c r="B560" s="133" t="s">
        <v>333</v>
      </c>
      <c r="C560" s="133">
        <v>40</v>
      </c>
      <c r="D560" s="133" t="str">
        <f t="shared" si="2"/>
        <v>CIM Motor BB RS-550 40</v>
      </c>
      <c r="E560" s="133">
        <v>1</v>
      </c>
      <c r="F560" s="133">
        <v>1</v>
      </c>
    </row>
    <row r="561" spans="1:6" ht="14.25" customHeight="1" x14ac:dyDescent="0.3">
      <c r="A561" s="133" t="s">
        <v>249</v>
      </c>
      <c r="B561" s="133" t="s">
        <v>333</v>
      </c>
      <c r="C561" s="133">
        <v>45</v>
      </c>
      <c r="D561" s="133" t="str">
        <f t="shared" si="2"/>
        <v>CIM Motor BB RS-550 45</v>
      </c>
      <c r="E561" s="133">
        <v>1</v>
      </c>
      <c r="F561" s="133">
        <v>1</v>
      </c>
    </row>
    <row r="562" spans="1:6" ht="14.25" customHeight="1" x14ac:dyDescent="0.3">
      <c r="A562" s="133" t="s">
        <v>249</v>
      </c>
      <c r="B562" s="133" t="s">
        <v>333</v>
      </c>
      <c r="C562" s="133">
        <v>49</v>
      </c>
      <c r="D562" s="133" t="str">
        <f t="shared" si="2"/>
        <v>CIM Motor BB RS-550 49</v>
      </c>
      <c r="E562" s="133">
        <v>1</v>
      </c>
      <c r="F562" s="133">
        <v>1</v>
      </c>
    </row>
    <row r="563" spans="1:6" ht="14.25" customHeight="1" x14ac:dyDescent="0.3">
      <c r="A563" s="133" t="s">
        <v>249</v>
      </c>
      <c r="B563" s="133" t="s">
        <v>333</v>
      </c>
      <c r="C563" s="133">
        <v>50</v>
      </c>
      <c r="D563" s="133" t="str">
        <f t="shared" si="2"/>
        <v>CIM Motor BB RS-550 50</v>
      </c>
      <c r="E563" s="133">
        <v>1</v>
      </c>
      <c r="F563" s="133">
        <v>1</v>
      </c>
    </row>
    <row r="564" spans="1:6" ht="14.25" customHeight="1" x14ac:dyDescent="0.3">
      <c r="A564" s="133" t="s">
        <v>249</v>
      </c>
      <c r="B564" s="133" t="s">
        <v>333</v>
      </c>
      <c r="C564" s="133">
        <v>63</v>
      </c>
      <c r="D564" s="133" t="str">
        <f t="shared" si="2"/>
        <v>CIM Motor BB RS-550 63</v>
      </c>
      <c r="E564" s="133">
        <v>0</v>
      </c>
      <c r="F564" s="133">
        <v>1</v>
      </c>
    </row>
    <row r="565" spans="1:6" ht="14.25" customHeight="1" x14ac:dyDescent="0.3">
      <c r="A565" s="133" t="s">
        <v>249</v>
      </c>
      <c r="B565" s="133" t="s">
        <v>333</v>
      </c>
      <c r="C565" s="133">
        <v>70</v>
      </c>
      <c r="D565" s="133" t="str">
        <f t="shared" si="2"/>
        <v>CIM Motor BB RS-550 70</v>
      </c>
      <c r="E565" s="133">
        <v>0</v>
      </c>
      <c r="F565" s="133">
        <v>1</v>
      </c>
    </row>
    <row r="566" spans="1:6" ht="14.25" customHeight="1" x14ac:dyDescent="0.3">
      <c r="A566" s="133" t="s">
        <v>249</v>
      </c>
      <c r="B566" s="133" t="s">
        <v>333</v>
      </c>
      <c r="C566" s="133">
        <v>81</v>
      </c>
      <c r="D566" s="133" t="str">
        <f t="shared" si="2"/>
        <v>CIM Motor BB RS-550 81</v>
      </c>
      <c r="E566" s="133">
        <v>0</v>
      </c>
      <c r="F566" s="133">
        <v>0</v>
      </c>
    </row>
    <row r="567" spans="1:6" ht="14.25" customHeight="1" x14ac:dyDescent="0.3">
      <c r="A567" s="133" t="s">
        <v>249</v>
      </c>
      <c r="B567" s="133" t="s">
        <v>333</v>
      </c>
      <c r="C567" s="133">
        <v>90</v>
      </c>
      <c r="D567" s="133" t="str">
        <f t="shared" si="2"/>
        <v>CIM Motor BB RS-550 90</v>
      </c>
      <c r="E567" s="133">
        <v>0</v>
      </c>
      <c r="F567" s="133">
        <v>0</v>
      </c>
    </row>
    <row r="568" spans="1:6" ht="14.25" customHeight="1" x14ac:dyDescent="0.3">
      <c r="A568" s="133" t="s">
        <v>249</v>
      </c>
      <c r="B568" s="133" t="s">
        <v>333</v>
      </c>
      <c r="C568" s="133">
        <v>100</v>
      </c>
      <c r="D568" s="133" t="str">
        <f t="shared" si="2"/>
        <v>CIM Motor BB RS-550 100</v>
      </c>
      <c r="E568" s="133">
        <v>0</v>
      </c>
      <c r="F568" s="133">
        <v>0</v>
      </c>
    </row>
    <row r="569" spans="1:6" ht="14.25" customHeight="1" x14ac:dyDescent="0.3">
      <c r="A569" s="133" t="s">
        <v>249</v>
      </c>
      <c r="B569" s="133" t="s">
        <v>334</v>
      </c>
      <c r="C569" s="133">
        <v>9</v>
      </c>
      <c r="D569" s="133" t="str">
        <f t="shared" si="2"/>
        <v>CIM Motor BB RS-775 9</v>
      </c>
      <c r="E569" s="133">
        <v>4</v>
      </c>
      <c r="F569" s="133">
        <v>7</v>
      </c>
    </row>
    <row r="570" spans="1:6" ht="14.25" customHeight="1" x14ac:dyDescent="0.3">
      <c r="A570" s="133" t="s">
        <v>249</v>
      </c>
      <c r="B570" s="133" t="s">
        <v>334</v>
      </c>
      <c r="C570" s="133">
        <v>12</v>
      </c>
      <c r="D570" s="133" t="str">
        <f t="shared" si="2"/>
        <v>CIM Motor BB RS-775 12</v>
      </c>
      <c r="E570" s="133">
        <v>3</v>
      </c>
      <c r="F570" s="133">
        <v>5</v>
      </c>
    </row>
    <row r="571" spans="1:6" ht="14.25" customHeight="1" x14ac:dyDescent="0.3">
      <c r="A571" s="133" t="s">
        <v>249</v>
      </c>
      <c r="B571" s="133" t="s">
        <v>334</v>
      </c>
      <c r="C571" s="133">
        <v>15</v>
      </c>
      <c r="D571" s="133" t="str">
        <f t="shared" si="2"/>
        <v>CIM Motor BB RS-775 15</v>
      </c>
      <c r="E571" s="133">
        <v>1</v>
      </c>
      <c r="F571" s="133">
        <v>5</v>
      </c>
    </row>
    <row r="572" spans="1:6" ht="14.25" customHeight="1" x14ac:dyDescent="0.3">
      <c r="A572" s="133" t="s">
        <v>249</v>
      </c>
      <c r="B572" s="133" t="s">
        <v>334</v>
      </c>
      <c r="C572" s="133">
        <v>16</v>
      </c>
      <c r="D572" s="133" t="str">
        <f t="shared" si="2"/>
        <v>CIM Motor BB RS-775 16</v>
      </c>
      <c r="E572" s="133">
        <v>1</v>
      </c>
      <c r="F572" s="133">
        <v>5</v>
      </c>
    </row>
    <row r="573" spans="1:6" ht="14.25" customHeight="1" x14ac:dyDescent="0.3">
      <c r="A573" s="133" t="s">
        <v>249</v>
      </c>
      <c r="B573" s="133" t="s">
        <v>334</v>
      </c>
      <c r="C573" s="133">
        <v>20</v>
      </c>
      <c r="D573" s="133" t="str">
        <f t="shared" si="2"/>
        <v>CIM Motor BB RS-775 20</v>
      </c>
      <c r="E573" s="133">
        <v>1</v>
      </c>
      <c r="F573" s="133">
        <v>4</v>
      </c>
    </row>
    <row r="574" spans="1:6" ht="14.25" customHeight="1" x14ac:dyDescent="0.3">
      <c r="A574" s="133" t="s">
        <v>249</v>
      </c>
      <c r="B574" s="133" t="s">
        <v>334</v>
      </c>
      <c r="C574" s="133">
        <v>21</v>
      </c>
      <c r="D574" s="133" t="str">
        <f t="shared" si="2"/>
        <v>CIM Motor BB RS-775 21</v>
      </c>
      <c r="E574" s="133">
        <v>1</v>
      </c>
      <c r="F574" s="133">
        <v>3</v>
      </c>
    </row>
    <row r="575" spans="1:6" ht="14.25" customHeight="1" x14ac:dyDescent="0.3">
      <c r="A575" s="133" t="s">
        <v>249</v>
      </c>
      <c r="B575" s="133" t="s">
        <v>334</v>
      </c>
      <c r="C575" s="133">
        <v>25</v>
      </c>
      <c r="D575" s="133" t="str">
        <f t="shared" si="2"/>
        <v>CIM Motor BB RS-775 25</v>
      </c>
      <c r="E575" s="133">
        <v>1</v>
      </c>
      <c r="F575" s="133">
        <v>3</v>
      </c>
    </row>
    <row r="576" spans="1:6" ht="14.25" customHeight="1" x14ac:dyDescent="0.3">
      <c r="A576" s="133" t="s">
        <v>249</v>
      </c>
      <c r="B576" s="133" t="s">
        <v>334</v>
      </c>
      <c r="C576" s="133">
        <v>27</v>
      </c>
      <c r="D576" s="133" t="str">
        <f t="shared" si="2"/>
        <v>CIM Motor BB RS-775 27</v>
      </c>
      <c r="E576" s="133">
        <v>1</v>
      </c>
      <c r="F576" s="133">
        <v>1</v>
      </c>
    </row>
    <row r="577" spans="1:6" ht="14.25" customHeight="1" x14ac:dyDescent="0.3">
      <c r="A577" s="133" t="s">
        <v>249</v>
      </c>
      <c r="B577" s="133" t="s">
        <v>334</v>
      </c>
      <c r="C577" s="133">
        <v>28</v>
      </c>
      <c r="D577" s="133" t="str">
        <f t="shared" si="2"/>
        <v>CIM Motor BB RS-775 28</v>
      </c>
      <c r="E577" s="133">
        <v>1</v>
      </c>
      <c r="F577" s="133">
        <v>1</v>
      </c>
    </row>
    <row r="578" spans="1:6" ht="14.25" customHeight="1" x14ac:dyDescent="0.3">
      <c r="A578" s="133" t="s">
        <v>249</v>
      </c>
      <c r="B578" s="133" t="s">
        <v>334</v>
      </c>
      <c r="C578" s="133">
        <v>30</v>
      </c>
      <c r="D578" s="133" t="str">
        <f t="shared" si="2"/>
        <v>CIM Motor BB RS-775 30</v>
      </c>
      <c r="E578" s="133">
        <v>1</v>
      </c>
      <c r="F578" s="133">
        <v>1</v>
      </c>
    </row>
    <row r="579" spans="1:6" ht="14.25" customHeight="1" x14ac:dyDescent="0.3">
      <c r="A579" s="133" t="s">
        <v>249</v>
      </c>
      <c r="B579" s="133" t="s">
        <v>334</v>
      </c>
      <c r="C579" s="133">
        <v>35</v>
      </c>
      <c r="D579" s="133" t="str">
        <f t="shared" si="2"/>
        <v>CIM Motor BB RS-775 35</v>
      </c>
      <c r="E579" s="133">
        <v>1</v>
      </c>
      <c r="F579" s="133">
        <v>1</v>
      </c>
    </row>
    <row r="580" spans="1:6" ht="14.25" customHeight="1" x14ac:dyDescent="0.3">
      <c r="A580" s="133" t="s">
        <v>249</v>
      </c>
      <c r="B580" s="133" t="s">
        <v>334</v>
      </c>
      <c r="C580" s="133">
        <v>36</v>
      </c>
      <c r="D580" s="133" t="str">
        <f t="shared" si="2"/>
        <v>CIM Motor BB RS-775 36</v>
      </c>
      <c r="E580" s="133">
        <v>1</v>
      </c>
      <c r="F580" s="133">
        <v>1</v>
      </c>
    </row>
    <row r="581" spans="1:6" ht="14.25" customHeight="1" x14ac:dyDescent="0.3">
      <c r="A581" s="133" t="s">
        <v>249</v>
      </c>
      <c r="B581" s="133" t="s">
        <v>334</v>
      </c>
      <c r="C581" s="133">
        <v>40</v>
      </c>
      <c r="D581" s="133" t="str">
        <f t="shared" si="2"/>
        <v>CIM Motor BB RS-775 40</v>
      </c>
      <c r="E581" s="133">
        <v>0</v>
      </c>
      <c r="F581" s="133">
        <v>1</v>
      </c>
    </row>
    <row r="582" spans="1:6" ht="14.25" customHeight="1" x14ac:dyDescent="0.3">
      <c r="A582" s="133" t="s">
        <v>249</v>
      </c>
      <c r="B582" s="133" t="s">
        <v>334</v>
      </c>
      <c r="C582" s="133">
        <v>45</v>
      </c>
      <c r="D582" s="133" t="str">
        <f t="shared" si="2"/>
        <v>CIM Motor BB RS-775 45</v>
      </c>
      <c r="E582" s="133">
        <v>0</v>
      </c>
      <c r="F582" s="133">
        <v>1</v>
      </c>
    </row>
    <row r="583" spans="1:6" ht="14.25" customHeight="1" x14ac:dyDescent="0.3">
      <c r="A583" s="133" t="s">
        <v>249</v>
      </c>
      <c r="B583" s="133" t="s">
        <v>334</v>
      </c>
      <c r="C583" s="133">
        <v>49</v>
      </c>
      <c r="D583" s="133" t="str">
        <f t="shared" si="2"/>
        <v>CIM Motor BB RS-775 49</v>
      </c>
      <c r="E583" s="133">
        <v>0</v>
      </c>
      <c r="F583" s="133">
        <v>1</v>
      </c>
    </row>
    <row r="584" spans="1:6" ht="14.25" customHeight="1" x14ac:dyDescent="0.3">
      <c r="A584" s="133" t="s">
        <v>249</v>
      </c>
      <c r="B584" s="133" t="s">
        <v>334</v>
      </c>
      <c r="C584" s="133">
        <v>50</v>
      </c>
      <c r="D584" s="133" t="str">
        <f t="shared" si="2"/>
        <v>CIM Motor BB RS-775 50</v>
      </c>
      <c r="E584" s="133">
        <v>0</v>
      </c>
      <c r="F584" s="133">
        <v>1</v>
      </c>
    </row>
    <row r="585" spans="1:6" ht="14.25" customHeight="1" x14ac:dyDescent="0.3">
      <c r="A585" s="133" t="s">
        <v>249</v>
      </c>
      <c r="B585" s="133" t="s">
        <v>334</v>
      </c>
      <c r="C585" s="133">
        <v>63</v>
      </c>
      <c r="D585" s="133" t="str">
        <f t="shared" si="2"/>
        <v>CIM Motor BB RS-775 63</v>
      </c>
      <c r="E585" s="133">
        <v>0</v>
      </c>
      <c r="F585" s="133">
        <v>1</v>
      </c>
    </row>
    <row r="586" spans="1:6" ht="14.25" customHeight="1" x14ac:dyDescent="0.3">
      <c r="A586" s="133" t="s">
        <v>249</v>
      </c>
      <c r="B586" s="133" t="s">
        <v>334</v>
      </c>
      <c r="C586" s="133">
        <v>70</v>
      </c>
      <c r="D586" s="133" t="str">
        <f t="shared" si="2"/>
        <v>CIM Motor BB RS-775 70</v>
      </c>
      <c r="E586" s="133">
        <v>0</v>
      </c>
      <c r="F586" s="133">
        <v>1</v>
      </c>
    </row>
    <row r="587" spans="1:6" ht="14.25" customHeight="1" x14ac:dyDescent="0.3">
      <c r="A587" s="133" t="s">
        <v>249</v>
      </c>
      <c r="B587" s="133" t="s">
        <v>334</v>
      </c>
      <c r="C587" s="133">
        <v>81</v>
      </c>
      <c r="D587" s="133" t="str">
        <f t="shared" si="2"/>
        <v>CIM Motor BB RS-775 81</v>
      </c>
      <c r="E587" s="133">
        <v>0</v>
      </c>
      <c r="F587" s="133">
        <v>1</v>
      </c>
    </row>
    <row r="588" spans="1:6" ht="14.25" customHeight="1" x14ac:dyDescent="0.3">
      <c r="A588" s="133" t="s">
        <v>249</v>
      </c>
      <c r="B588" s="133" t="s">
        <v>334</v>
      </c>
      <c r="C588" s="133">
        <v>90</v>
      </c>
      <c r="D588" s="133" t="str">
        <f t="shared" si="2"/>
        <v>CIM Motor BB RS-775 90</v>
      </c>
      <c r="E588" s="133">
        <v>0</v>
      </c>
      <c r="F588" s="133">
        <v>1</v>
      </c>
    </row>
    <row r="589" spans="1:6" ht="14.25" customHeight="1" x14ac:dyDescent="0.3">
      <c r="A589" s="133" t="s">
        <v>249</v>
      </c>
      <c r="B589" s="133" t="s">
        <v>334</v>
      </c>
      <c r="C589" s="133">
        <v>100</v>
      </c>
      <c r="D589" s="133" t="str">
        <f t="shared" si="2"/>
        <v>CIM Motor BB RS-775 100</v>
      </c>
      <c r="E589" s="133">
        <v>0</v>
      </c>
      <c r="F589" s="133">
        <v>1</v>
      </c>
    </row>
    <row r="590" spans="1:6" ht="14.25" customHeight="1" x14ac:dyDescent="0.3">
      <c r="A590" s="133" t="s">
        <v>249</v>
      </c>
      <c r="B590" s="133" t="s">
        <v>257</v>
      </c>
      <c r="C590" s="133">
        <v>9</v>
      </c>
      <c r="D590" s="133" t="str">
        <f t="shared" si="2"/>
        <v>CIM Motor BAG 9</v>
      </c>
      <c r="E590" s="133">
        <v>7</v>
      </c>
      <c r="F590" s="133">
        <v>7</v>
      </c>
    </row>
    <row r="591" spans="1:6" ht="14.25" customHeight="1" x14ac:dyDescent="0.3">
      <c r="A591" s="133" t="s">
        <v>249</v>
      </c>
      <c r="B591" s="133" t="s">
        <v>257</v>
      </c>
      <c r="C591" s="133">
        <v>12</v>
      </c>
      <c r="D591" s="133" t="str">
        <f t="shared" si="2"/>
        <v>CIM Motor BAG 12</v>
      </c>
      <c r="E591" s="133">
        <v>5</v>
      </c>
      <c r="F591" s="133">
        <v>5</v>
      </c>
    </row>
    <row r="592" spans="1:6" ht="14.25" customHeight="1" x14ac:dyDescent="0.3">
      <c r="A592" s="133" t="s">
        <v>249</v>
      </c>
      <c r="B592" s="133" t="s">
        <v>257</v>
      </c>
      <c r="C592" s="133">
        <v>15</v>
      </c>
      <c r="D592" s="133" t="str">
        <f t="shared" si="2"/>
        <v>CIM Motor BAG 15</v>
      </c>
      <c r="E592" s="133">
        <v>4</v>
      </c>
      <c r="F592" s="133">
        <v>4</v>
      </c>
    </row>
    <row r="593" spans="1:6" ht="14.25" customHeight="1" x14ac:dyDescent="0.3">
      <c r="A593" s="133" t="s">
        <v>249</v>
      </c>
      <c r="B593" s="133" t="s">
        <v>257</v>
      </c>
      <c r="C593" s="133">
        <v>16</v>
      </c>
      <c r="D593" s="133" t="str">
        <f t="shared" si="2"/>
        <v>CIM Motor BAG 16</v>
      </c>
      <c r="E593" s="133">
        <v>4</v>
      </c>
      <c r="F593" s="133">
        <v>4</v>
      </c>
    </row>
    <row r="594" spans="1:6" ht="14.25" customHeight="1" x14ac:dyDescent="0.3">
      <c r="A594" s="133" t="s">
        <v>249</v>
      </c>
      <c r="B594" s="133" t="s">
        <v>257</v>
      </c>
      <c r="C594" s="133">
        <v>20</v>
      </c>
      <c r="D594" s="133" t="str">
        <f t="shared" si="2"/>
        <v>CIM Motor BAG 20</v>
      </c>
      <c r="E594" s="133">
        <v>3</v>
      </c>
      <c r="F594" s="133">
        <v>3</v>
      </c>
    </row>
    <row r="595" spans="1:6" ht="14.25" customHeight="1" x14ac:dyDescent="0.3">
      <c r="A595" s="133" t="s">
        <v>249</v>
      </c>
      <c r="B595" s="133" t="s">
        <v>257</v>
      </c>
      <c r="C595" s="133">
        <v>21</v>
      </c>
      <c r="D595" s="133" t="str">
        <f t="shared" si="2"/>
        <v>CIM Motor BAG 21</v>
      </c>
      <c r="E595" s="133">
        <v>3</v>
      </c>
      <c r="F595" s="133">
        <v>3</v>
      </c>
    </row>
    <row r="596" spans="1:6" ht="14.25" customHeight="1" x14ac:dyDescent="0.3">
      <c r="A596" s="133" t="s">
        <v>249</v>
      </c>
      <c r="B596" s="133" t="s">
        <v>257</v>
      </c>
      <c r="C596" s="133">
        <v>25</v>
      </c>
      <c r="D596" s="133" t="str">
        <f t="shared" si="2"/>
        <v>CIM Motor BAG 25</v>
      </c>
      <c r="E596" s="133">
        <v>1</v>
      </c>
      <c r="F596" s="133">
        <v>1</v>
      </c>
    </row>
    <row r="597" spans="1:6" ht="14.25" customHeight="1" x14ac:dyDescent="0.3">
      <c r="A597" s="133" t="s">
        <v>249</v>
      </c>
      <c r="B597" s="133" t="s">
        <v>257</v>
      </c>
      <c r="C597" s="133">
        <v>27</v>
      </c>
      <c r="D597" s="133" t="str">
        <f t="shared" si="2"/>
        <v>CIM Motor BAG 27</v>
      </c>
      <c r="E597" s="133">
        <v>1</v>
      </c>
      <c r="F597" s="133">
        <v>1</v>
      </c>
    </row>
    <row r="598" spans="1:6" ht="14.25" customHeight="1" x14ac:dyDescent="0.3">
      <c r="A598" s="133" t="s">
        <v>249</v>
      </c>
      <c r="B598" s="133" t="s">
        <v>257</v>
      </c>
      <c r="C598" s="133">
        <v>28</v>
      </c>
      <c r="D598" s="133" t="str">
        <f t="shared" si="2"/>
        <v>CIM Motor BAG 28</v>
      </c>
      <c r="E598" s="133">
        <v>1</v>
      </c>
      <c r="F598" s="133">
        <v>1</v>
      </c>
    </row>
    <row r="599" spans="1:6" ht="14.25" customHeight="1" x14ac:dyDescent="0.3">
      <c r="A599" s="133" t="s">
        <v>249</v>
      </c>
      <c r="B599" s="133" t="s">
        <v>257</v>
      </c>
      <c r="C599" s="133">
        <v>30</v>
      </c>
      <c r="D599" s="133" t="str">
        <f t="shared" si="2"/>
        <v>CIM Motor BAG 30</v>
      </c>
      <c r="E599" s="133">
        <v>1</v>
      </c>
      <c r="F599" s="133">
        <v>1</v>
      </c>
    </row>
    <row r="600" spans="1:6" ht="14.25" customHeight="1" x14ac:dyDescent="0.3">
      <c r="A600" s="133" t="s">
        <v>249</v>
      </c>
      <c r="B600" s="133" t="s">
        <v>257</v>
      </c>
      <c r="C600" s="133">
        <v>35</v>
      </c>
      <c r="D600" s="133" t="str">
        <f t="shared" si="2"/>
        <v>CIM Motor BAG 35</v>
      </c>
      <c r="E600" s="133">
        <v>1</v>
      </c>
      <c r="F600" s="133">
        <v>1</v>
      </c>
    </row>
    <row r="601" spans="1:6" ht="14.25" customHeight="1" x14ac:dyDescent="0.3">
      <c r="A601" s="133" t="s">
        <v>249</v>
      </c>
      <c r="B601" s="133" t="s">
        <v>257</v>
      </c>
      <c r="C601" s="133">
        <v>36</v>
      </c>
      <c r="D601" s="133" t="str">
        <f t="shared" si="2"/>
        <v>CIM Motor BAG 36</v>
      </c>
      <c r="E601" s="133">
        <v>1</v>
      </c>
      <c r="F601" s="133">
        <v>1</v>
      </c>
    </row>
    <row r="602" spans="1:6" ht="14.25" customHeight="1" x14ac:dyDescent="0.3">
      <c r="A602" s="133" t="s">
        <v>249</v>
      </c>
      <c r="B602" s="133" t="s">
        <v>257</v>
      </c>
      <c r="C602" s="133">
        <v>40</v>
      </c>
      <c r="D602" s="133" t="str">
        <f t="shared" si="2"/>
        <v>CIM Motor BAG 40</v>
      </c>
      <c r="E602" s="133">
        <v>1</v>
      </c>
      <c r="F602" s="133">
        <v>1</v>
      </c>
    </row>
    <row r="603" spans="1:6" ht="14.25" customHeight="1" x14ac:dyDescent="0.3">
      <c r="A603" s="133" t="s">
        <v>249</v>
      </c>
      <c r="B603" s="133" t="s">
        <v>257</v>
      </c>
      <c r="C603" s="133">
        <v>45</v>
      </c>
      <c r="D603" s="133" t="str">
        <f t="shared" si="2"/>
        <v>CIM Motor BAG 45</v>
      </c>
      <c r="E603" s="133">
        <v>1</v>
      </c>
      <c r="F603" s="133">
        <v>1</v>
      </c>
    </row>
    <row r="604" spans="1:6" ht="14.25" customHeight="1" x14ac:dyDescent="0.3">
      <c r="A604" s="133" t="s">
        <v>249</v>
      </c>
      <c r="B604" s="133" t="s">
        <v>257</v>
      </c>
      <c r="C604" s="133">
        <v>49</v>
      </c>
      <c r="D604" s="133" t="str">
        <f t="shared" si="2"/>
        <v>CIM Motor BAG 49</v>
      </c>
      <c r="E604" s="133">
        <v>1</v>
      </c>
      <c r="F604" s="133">
        <v>1</v>
      </c>
    </row>
    <row r="605" spans="1:6" ht="14.25" customHeight="1" x14ac:dyDescent="0.3">
      <c r="A605" s="133" t="s">
        <v>249</v>
      </c>
      <c r="B605" s="133" t="s">
        <v>257</v>
      </c>
      <c r="C605" s="133">
        <v>50</v>
      </c>
      <c r="D605" s="133" t="str">
        <f t="shared" si="2"/>
        <v>CIM Motor BAG 50</v>
      </c>
      <c r="E605" s="133">
        <v>1</v>
      </c>
      <c r="F605" s="133">
        <v>1</v>
      </c>
    </row>
    <row r="606" spans="1:6" ht="14.25" customHeight="1" x14ac:dyDescent="0.3">
      <c r="A606" s="133" t="s">
        <v>249</v>
      </c>
      <c r="B606" s="133" t="s">
        <v>257</v>
      </c>
      <c r="C606" s="133">
        <v>63</v>
      </c>
      <c r="D606" s="133" t="str">
        <f t="shared" si="2"/>
        <v>CIM Motor BAG 63</v>
      </c>
      <c r="E606" s="133">
        <v>1</v>
      </c>
      <c r="F606" s="133">
        <v>1</v>
      </c>
    </row>
    <row r="607" spans="1:6" ht="14.25" customHeight="1" x14ac:dyDescent="0.3">
      <c r="A607" s="133" t="s">
        <v>249</v>
      </c>
      <c r="B607" s="133" t="s">
        <v>257</v>
      </c>
      <c r="C607" s="133">
        <v>70</v>
      </c>
      <c r="D607" s="133" t="str">
        <f t="shared" si="2"/>
        <v>CIM Motor BAG 70</v>
      </c>
      <c r="E607" s="133">
        <v>1</v>
      </c>
      <c r="F607" s="133">
        <v>0</v>
      </c>
    </row>
    <row r="608" spans="1:6" ht="14.25" customHeight="1" x14ac:dyDescent="0.3">
      <c r="A608" s="133" t="s">
        <v>249</v>
      </c>
      <c r="B608" s="133" t="s">
        <v>257</v>
      </c>
      <c r="C608" s="133">
        <v>81</v>
      </c>
      <c r="D608" s="133" t="str">
        <f t="shared" si="2"/>
        <v>CIM Motor BAG 81</v>
      </c>
      <c r="E608" s="133">
        <v>1</v>
      </c>
      <c r="F608" s="133">
        <v>0</v>
      </c>
    </row>
    <row r="609" spans="1:6" ht="14.25" customHeight="1" x14ac:dyDescent="0.3">
      <c r="A609" s="133" t="s">
        <v>249</v>
      </c>
      <c r="B609" s="133" t="s">
        <v>257</v>
      </c>
      <c r="C609" s="133">
        <v>90</v>
      </c>
      <c r="D609" s="133" t="str">
        <f t="shared" si="2"/>
        <v>CIM Motor BAG 90</v>
      </c>
      <c r="E609" s="133">
        <v>1</v>
      </c>
      <c r="F609" s="133">
        <v>0</v>
      </c>
    </row>
    <row r="610" spans="1:6" ht="14.25" customHeight="1" x14ac:dyDescent="0.3">
      <c r="A610" s="133" t="s">
        <v>249</v>
      </c>
      <c r="B610" s="133" t="s">
        <v>257</v>
      </c>
      <c r="C610" s="133">
        <v>100</v>
      </c>
      <c r="D610" s="133" t="str">
        <f t="shared" si="2"/>
        <v>CIM Motor BAG 100</v>
      </c>
      <c r="E610" s="133">
        <v>1</v>
      </c>
      <c r="F610" s="133">
        <v>0</v>
      </c>
    </row>
    <row r="611" spans="1:6" ht="14.25" customHeight="1" x14ac:dyDescent="0.3">
      <c r="A611" s="133" t="s">
        <v>249</v>
      </c>
      <c r="B611" s="133" t="s">
        <v>7</v>
      </c>
      <c r="C611" s="133">
        <v>9</v>
      </c>
      <c r="D611" s="133" t="str">
        <f t="shared" si="2"/>
        <v>CIM Motor Mini CIM 9</v>
      </c>
      <c r="E611" s="133">
        <v>1</v>
      </c>
      <c r="F611" s="133">
        <v>0</v>
      </c>
    </row>
    <row r="612" spans="1:6" ht="14.25" customHeight="1" x14ac:dyDescent="0.3">
      <c r="A612" s="133" t="s">
        <v>249</v>
      </c>
      <c r="B612" s="133" t="s">
        <v>7</v>
      </c>
      <c r="C612" s="133">
        <v>12</v>
      </c>
      <c r="D612" s="133" t="str">
        <f t="shared" si="2"/>
        <v>CIM Motor Mini CIM 12</v>
      </c>
      <c r="E612" s="133">
        <v>1</v>
      </c>
      <c r="F612" s="133">
        <v>0</v>
      </c>
    </row>
    <row r="613" spans="1:6" ht="14.25" customHeight="1" x14ac:dyDescent="0.3">
      <c r="A613" s="133" t="s">
        <v>249</v>
      </c>
      <c r="B613" s="133" t="s">
        <v>7</v>
      </c>
      <c r="C613" s="133">
        <v>15</v>
      </c>
      <c r="D613" s="133" t="str">
        <f t="shared" si="2"/>
        <v>CIM Motor Mini CIM 15</v>
      </c>
      <c r="E613" s="133">
        <v>1</v>
      </c>
      <c r="F613" s="133">
        <v>0</v>
      </c>
    </row>
    <row r="614" spans="1:6" ht="14.25" customHeight="1" x14ac:dyDescent="0.3">
      <c r="A614" s="133" t="s">
        <v>249</v>
      </c>
      <c r="B614" s="133" t="s">
        <v>7</v>
      </c>
      <c r="C614" s="133">
        <v>16</v>
      </c>
      <c r="D614" s="133" t="str">
        <f t="shared" si="2"/>
        <v>CIM Motor Mini CIM 16</v>
      </c>
      <c r="E614" s="133">
        <v>1</v>
      </c>
      <c r="F614" s="133">
        <v>0</v>
      </c>
    </row>
    <row r="615" spans="1:6" ht="14.25" customHeight="1" x14ac:dyDescent="0.3">
      <c r="A615" s="133" t="s">
        <v>249</v>
      </c>
      <c r="B615" s="133" t="s">
        <v>7</v>
      </c>
      <c r="C615" s="133">
        <v>20</v>
      </c>
      <c r="D615" s="133" t="str">
        <f t="shared" si="2"/>
        <v>CIM Motor Mini CIM 20</v>
      </c>
      <c r="E615" s="133">
        <v>1</v>
      </c>
      <c r="F615" s="133">
        <v>0</v>
      </c>
    </row>
    <row r="616" spans="1:6" ht="14.25" customHeight="1" x14ac:dyDescent="0.3">
      <c r="A616" s="133" t="s">
        <v>249</v>
      </c>
      <c r="B616" s="133" t="s">
        <v>7</v>
      </c>
      <c r="C616" s="133">
        <v>21</v>
      </c>
      <c r="D616" s="133" t="str">
        <f t="shared" si="2"/>
        <v>CIM Motor Mini CIM 21</v>
      </c>
      <c r="E616" s="133">
        <v>1</v>
      </c>
      <c r="F616" s="133">
        <v>0</v>
      </c>
    </row>
    <row r="617" spans="1:6" ht="14.25" customHeight="1" x14ac:dyDescent="0.3">
      <c r="A617" s="133" t="s">
        <v>249</v>
      </c>
      <c r="B617" s="133" t="s">
        <v>7</v>
      </c>
      <c r="C617" s="133">
        <v>25</v>
      </c>
      <c r="D617" s="133" t="str">
        <f t="shared" si="2"/>
        <v>CIM Motor Mini CIM 25</v>
      </c>
      <c r="E617" s="133">
        <v>1</v>
      </c>
      <c r="F617" s="133">
        <v>0</v>
      </c>
    </row>
    <row r="618" spans="1:6" ht="14.25" customHeight="1" x14ac:dyDescent="0.3">
      <c r="A618" s="133" t="s">
        <v>249</v>
      </c>
      <c r="B618" s="133" t="s">
        <v>7</v>
      </c>
      <c r="C618" s="133">
        <v>27</v>
      </c>
      <c r="D618" s="133" t="str">
        <f t="shared" si="2"/>
        <v>CIM Motor Mini CIM 27</v>
      </c>
      <c r="E618" s="133">
        <v>1</v>
      </c>
      <c r="F618" s="133">
        <v>0</v>
      </c>
    </row>
    <row r="619" spans="1:6" ht="14.25" customHeight="1" x14ac:dyDescent="0.3">
      <c r="A619" s="133" t="s">
        <v>249</v>
      </c>
      <c r="B619" s="133" t="s">
        <v>7</v>
      </c>
      <c r="C619" s="133">
        <v>28</v>
      </c>
      <c r="D619" s="133" t="str">
        <f t="shared" si="2"/>
        <v>CIM Motor Mini CIM 28</v>
      </c>
      <c r="E619" s="133">
        <v>1</v>
      </c>
      <c r="F619" s="133">
        <v>0</v>
      </c>
    </row>
    <row r="620" spans="1:6" ht="14.25" customHeight="1" x14ac:dyDescent="0.3">
      <c r="A620" s="133" t="s">
        <v>249</v>
      </c>
      <c r="B620" s="133" t="s">
        <v>7</v>
      </c>
      <c r="C620" s="133">
        <v>30</v>
      </c>
      <c r="D620" s="133" t="str">
        <f t="shared" si="2"/>
        <v>CIM Motor Mini CIM 30</v>
      </c>
      <c r="E620" s="133">
        <v>1</v>
      </c>
      <c r="F620" s="133">
        <v>0</v>
      </c>
    </row>
    <row r="621" spans="1:6" ht="14.25" customHeight="1" x14ac:dyDescent="0.3">
      <c r="A621" s="133" t="s">
        <v>249</v>
      </c>
      <c r="B621" s="133" t="s">
        <v>7</v>
      </c>
      <c r="C621" s="133">
        <v>35</v>
      </c>
      <c r="D621" s="133" t="str">
        <f t="shared" si="2"/>
        <v>CIM Motor Mini CIM 35</v>
      </c>
      <c r="E621" s="133">
        <v>0</v>
      </c>
      <c r="F621" s="133">
        <v>0</v>
      </c>
    </row>
    <row r="622" spans="1:6" ht="14.25" customHeight="1" x14ac:dyDescent="0.3">
      <c r="A622" s="133" t="s">
        <v>249</v>
      </c>
      <c r="B622" s="133" t="s">
        <v>7</v>
      </c>
      <c r="C622" s="133">
        <v>36</v>
      </c>
      <c r="D622" s="133" t="str">
        <f t="shared" si="2"/>
        <v>CIM Motor Mini CIM 36</v>
      </c>
      <c r="E622" s="133">
        <v>0</v>
      </c>
      <c r="F622" s="133">
        <v>0</v>
      </c>
    </row>
    <row r="623" spans="1:6" ht="14.25" customHeight="1" x14ac:dyDescent="0.3">
      <c r="A623" s="133" t="s">
        <v>249</v>
      </c>
      <c r="B623" s="133" t="s">
        <v>7</v>
      </c>
      <c r="C623" s="133">
        <v>40</v>
      </c>
      <c r="D623" s="133" t="str">
        <f t="shared" si="2"/>
        <v>CIM Motor Mini CIM 40</v>
      </c>
      <c r="E623" s="133">
        <v>0</v>
      </c>
      <c r="F623" s="133">
        <v>0</v>
      </c>
    </row>
    <row r="624" spans="1:6" ht="14.25" customHeight="1" x14ac:dyDescent="0.3">
      <c r="A624" s="133" t="s">
        <v>249</v>
      </c>
      <c r="B624" s="133" t="s">
        <v>7</v>
      </c>
      <c r="C624" s="133">
        <v>45</v>
      </c>
      <c r="D624" s="133" t="str">
        <f t="shared" si="2"/>
        <v>CIM Motor Mini CIM 45</v>
      </c>
      <c r="E624" s="133">
        <v>0</v>
      </c>
      <c r="F624" s="133">
        <v>0</v>
      </c>
    </row>
    <row r="625" spans="1:6" ht="14.25" customHeight="1" x14ac:dyDescent="0.3">
      <c r="A625" s="133" t="s">
        <v>249</v>
      </c>
      <c r="B625" s="133" t="s">
        <v>7</v>
      </c>
      <c r="C625" s="133">
        <v>49</v>
      </c>
      <c r="D625" s="133" t="str">
        <f t="shared" si="2"/>
        <v>CIM Motor Mini CIM 49</v>
      </c>
      <c r="E625" s="133">
        <v>0</v>
      </c>
      <c r="F625" s="133">
        <v>0</v>
      </c>
    </row>
    <row r="626" spans="1:6" ht="14.25" customHeight="1" x14ac:dyDescent="0.3">
      <c r="A626" s="133" t="s">
        <v>249</v>
      </c>
      <c r="B626" s="133" t="s">
        <v>7</v>
      </c>
      <c r="C626" s="133">
        <v>50</v>
      </c>
      <c r="D626" s="133" t="str">
        <f t="shared" si="2"/>
        <v>CIM Motor Mini CIM 50</v>
      </c>
      <c r="E626" s="133">
        <v>0</v>
      </c>
      <c r="F626" s="133">
        <v>0</v>
      </c>
    </row>
    <row r="627" spans="1:6" ht="14.25" customHeight="1" x14ac:dyDescent="0.3">
      <c r="A627" s="133" t="s">
        <v>249</v>
      </c>
      <c r="B627" s="133" t="s">
        <v>7</v>
      </c>
      <c r="C627" s="133">
        <v>63</v>
      </c>
      <c r="D627" s="133" t="str">
        <f t="shared" si="2"/>
        <v>CIM Motor Mini CIM 63</v>
      </c>
      <c r="E627" s="133">
        <v>0</v>
      </c>
      <c r="F627" s="133">
        <v>0</v>
      </c>
    </row>
    <row r="628" spans="1:6" ht="14.25" customHeight="1" x14ac:dyDescent="0.3">
      <c r="A628" s="133" t="s">
        <v>249</v>
      </c>
      <c r="B628" s="133" t="s">
        <v>7</v>
      </c>
      <c r="C628" s="133">
        <v>70</v>
      </c>
      <c r="D628" s="133" t="str">
        <f t="shared" si="2"/>
        <v>CIM Motor Mini CIM 70</v>
      </c>
      <c r="E628" s="133">
        <v>0</v>
      </c>
      <c r="F628" s="133">
        <v>0</v>
      </c>
    </row>
    <row r="629" spans="1:6" ht="14.25" customHeight="1" x14ac:dyDescent="0.3">
      <c r="A629" s="133" t="s">
        <v>249</v>
      </c>
      <c r="B629" s="133" t="s">
        <v>7</v>
      </c>
      <c r="C629" s="133">
        <v>81</v>
      </c>
      <c r="D629" s="133" t="str">
        <f t="shared" si="2"/>
        <v>CIM Motor Mini CIM 81</v>
      </c>
      <c r="E629" s="133">
        <v>0</v>
      </c>
      <c r="F629" s="133">
        <v>0</v>
      </c>
    </row>
    <row r="630" spans="1:6" ht="14.25" customHeight="1" x14ac:dyDescent="0.3">
      <c r="A630" s="133" t="s">
        <v>249</v>
      </c>
      <c r="B630" s="133" t="s">
        <v>7</v>
      </c>
      <c r="C630" s="133">
        <v>90</v>
      </c>
      <c r="D630" s="133" t="str">
        <f t="shared" si="2"/>
        <v>CIM Motor Mini CIM 90</v>
      </c>
      <c r="E630" s="133">
        <v>0</v>
      </c>
      <c r="F630" s="133">
        <v>0</v>
      </c>
    </row>
    <row r="631" spans="1:6" ht="14.25" customHeight="1" x14ac:dyDescent="0.3">
      <c r="A631" s="133" t="s">
        <v>249</v>
      </c>
      <c r="B631" s="133" t="s">
        <v>7</v>
      </c>
      <c r="C631" s="133">
        <v>100</v>
      </c>
      <c r="D631" s="133" t="str">
        <f t="shared" si="2"/>
        <v>CIM Motor Mini CIM 100</v>
      </c>
      <c r="E631" s="133">
        <v>0</v>
      </c>
      <c r="F631" s="133">
        <v>0</v>
      </c>
    </row>
    <row r="632" spans="1:6" ht="14.25" customHeight="1" x14ac:dyDescent="0.3">
      <c r="A632" s="133" t="s">
        <v>249</v>
      </c>
      <c r="B632" s="133" t="s">
        <v>6</v>
      </c>
      <c r="C632" s="133">
        <v>9</v>
      </c>
      <c r="D632" s="133" t="str">
        <f t="shared" si="2"/>
        <v>CIM Motor CIM 9</v>
      </c>
      <c r="E632" s="133">
        <v>1</v>
      </c>
      <c r="F632" s="133">
        <v>0</v>
      </c>
    </row>
    <row r="633" spans="1:6" ht="14.25" customHeight="1" x14ac:dyDescent="0.3">
      <c r="A633" s="133" t="s">
        <v>249</v>
      </c>
      <c r="B633" s="133" t="s">
        <v>6</v>
      </c>
      <c r="C633" s="133">
        <v>12</v>
      </c>
      <c r="D633" s="133" t="str">
        <f t="shared" si="2"/>
        <v>CIM Motor CIM 12</v>
      </c>
      <c r="E633" s="133">
        <v>1</v>
      </c>
      <c r="F633" s="133">
        <v>0</v>
      </c>
    </row>
    <row r="634" spans="1:6" ht="14.25" customHeight="1" x14ac:dyDescent="0.3">
      <c r="A634" s="133" t="s">
        <v>249</v>
      </c>
      <c r="B634" s="133" t="s">
        <v>6</v>
      </c>
      <c r="C634" s="133">
        <v>15</v>
      </c>
      <c r="D634" s="133" t="str">
        <f t="shared" si="2"/>
        <v>CIM Motor CIM 15</v>
      </c>
      <c r="E634" s="133">
        <v>0</v>
      </c>
      <c r="F634" s="133">
        <v>0</v>
      </c>
    </row>
    <row r="635" spans="1:6" ht="14.25" customHeight="1" x14ac:dyDescent="0.3">
      <c r="A635" s="133" t="s">
        <v>249</v>
      </c>
      <c r="B635" s="133" t="s">
        <v>6</v>
      </c>
      <c r="C635" s="133">
        <v>16</v>
      </c>
      <c r="D635" s="133" t="str">
        <f t="shared" si="2"/>
        <v>CIM Motor CIM 16</v>
      </c>
      <c r="E635" s="133">
        <v>0</v>
      </c>
      <c r="F635" s="133">
        <v>0</v>
      </c>
    </row>
    <row r="636" spans="1:6" ht="14.25" customHeight="1" x14ac:dyDescent="0.3">
      <c r="A636" s="133" t="s">
        <v>249</v>
      </c>
      <c r="B636" s="133" t="s">
        <v>6</v>
      </c>
      <c r="C636" s="133">
        <v>20</v>
      </c>
      <c r="D636" s="133" t="str">
        <f t="shared" si="2"/>
        <v>CIM Motor CIM 20</v>
      </c>
      <c r="E636" s="133">
        <v>0</v>
      </c>
      <c r="F636" s="133">
        <v>0</v>
      </c>
    </row>
    <row r="637" spans="1:6" ht="14.25" customHeight="1" x14ac:dyDescent="0.3">
      <c r="A637" s="133" t="s">
        <v>249</v>
      </c>
      <c r="B637" s="133" t="s">
        <v>6</v>
      </c>
      <c r="C637" s="133">
        <v>21</v>
      </c>
      <c r="D637" s="133" t="str">
        <f t="shared" si="2"/>
        <v>CIM Motor CIM 21</v>
      </c>
      <c r="E637" s="133">
        <v>0</v>
      </c>
      <c r="F637" s="133">
        <v>0</v>
      </c>
    </row>
    <row r="638" spans="1:6" ht="14.25" customHeight="1" x14ac:dyDescent="0.3">
      <c r="A638" s="133" t="s">
        <v>249</v>
      </c>
      <c r="B638" s="133" t="s">
        <v>6</v>
      </c>
      <c r="C638" s="133">
        <v>25</v>
      </c>
      <c r="D638" s="133" t="str">
        <f t="shared" si="2"/>
        <v>CIM Motor CIM 25</v>
      </c>
      <c r="E638" s="133">
        <v>0</v>
      </c>
      <c r="F638" s="133">
        <v>0</v>
      </c>
    </row>
    <row r="639" spans="1:6" ht="14.25" customHeight="1" x14ac:dyDescent="0.3">
      <c r="A639" s="133" t="s">
        <v>249</v>
      </c>
      <c r="B639" s="133" t="s">
        <v>6</v>
      </c>
      <c r="C639" s="133">
        <v>27</v>
      </c>
      <c r="D639" s="133" t="str">
        <f t="shared" si="2"/>
        <v>CIM Motor CIM 27</v>
      </c>
      <c r="E639" s="133">
        <v>0</v>
      </c>
      <c r="F639" s="133">
        <v>0</v>
      </c>
    </row>
    <row r="640" spans="1:6" ht="14.25" customHeight="1" x14ac:dyDescent="0.3">
      <c r="A640" s="133" t="s">
        <v>249</v>
      </c>
      <c r="B640" s="133" t="s">
        <v>6</v>
      </c>
      <c r="C640" s="133">
        <v>28</v>
      </c>
      <c r="D640" s="133" t="str">
        <f t="shared" si="2"/>
        <v>CIM Motor CIM 28</v>
      </c>
      <c r="E640" s="133">
        <v>0</v>
      </c>
      <c r="F640" s="133">
        <v>0</v>
      </c>
    </row>
    <row r="641" spans="1:6" ht="14.25" customHeight="1" x14ac:dyDescent="0.3">
      <c r="A641" s="133" t="s">
        <v>249</v>
      </c>
      <c r="B641" s="133" t="s">
        <v>6</v>
      </c>
      <c r="C641" s="133">
        <v>30</v>
      </c>
      <c r="D641" s="133" t="str">
        <f t="shared" si="2"/>
        <v>CIM Motor CIM 30</v>
      </c>
      <c r="E641" s="133">
        <v>0</v>
      </c>
      <c r="F641" s="133">
        <v>0</v>
      </c>
    </row>
    <row r="642" spans="1:6" ht="14.25" customHeight="1" x14ac:dyDescent="0.3">
      <c r="A642" s="133" t="s">
        <v>249</v>
      </c>
      <c r="B642" s="133" t="s">
        <v>6</v>
      </c>
      <c r="C642" s="133">
        <v>35</v>
      </c>
      <c r="D642" s="133" t="str">
        <f t="shared" si="2"/>
        <v>CIM Motor CIM 35</v>
      </c>
      <c r="E642" s="133">
        <v>0</v>
      </c>
      <c r="F642" s="133">
        <v>0</v>
      </c>
    </row>
    <row r="643" spans="1:6" ht="14.25" customHeight="1" x14ac:dyDescent="0.3">
      <c r="A643" s="133" t="s">
        <v>249</v>
      </c>
      <c r="B643" s="133" t="s">
        <v>6</v>
      </c>
      <c r="C643" s="133">
        <v>36</v>
      </c>
      <c r="D643" s="133" t="str">
        <f t="shared" si="2"/>
        <v>CIM Motor CIM 36</v>
      </c>
      <c r="E643" s="133">
        <v>0</v>
      </c>
      <c r="F643" s="133">
        <v>0</v>
      </c>
    </row>
    <row r="644" spans="1:6" ht="14.25" customHeight="1" x14ac:dyDescent="0.3">
      <c r="A644" s="133" t="s">
        <v>249</v>
      </c>
      <c r="B644" s="133" t="s">
        <v>6</v>
      </c>
      <c r="C644" s="133">
        <v>40</v>
      </c>
      <c r="D644" s="133" t="str">
        <f t="shared" si="2"/>
        <v>CIM Motor CIM 40</v>
      </c>
      <c r="E644" s="133">
        <v>0</v>
      </c>
      <c r="F644" s="133">
        <v>0</v>
      </c>
    </row>
    <row r="645" spans="1:6" ht="14.25" customHeight="1" x14ac:dyDescent="0.3">
      <c r="A645" s="133" t="s">
        <v>249</v>
      </c>
      <c r="B645" s="133" t="s">
        <v>6</v>
      </c>
      <c r="C645" s="133">
        <v>45</v>
      </c>
      <c r="D645" s="133" t="str">
        <f t="shared" si="2"/>
        <v>CIM Motor CIM 45</v>
      </c>
      <c r="E645" s="133">
        <v>0</v>
      </c>
      <c r="F645" s="133">
        <v>0</v>
      </c>
    </row>
    <row r="646" spans="1:6" ht="14.25" customHeight="1" x14ac:dyDescent="0.3">
      <c r="A646" s="133" t="s">
        <v>249</v>
      </c>
      <c r="B646" s="133" t="s">
        <v>6</v>
      </c>
      <c r="C646" s="133">
        <v>49</v>
      </c>
      <c r="D646" s="133" t="str">
        <f t="shared" si="2"/>
        <v>CIM Motor CIM 49</v>
      </c>
      <c r="E646" s="133">
        <v>0</v>
      </c>
      <c r="F646" s="133">
        <v>0</v>
      </c>
    </row>
    <row r="647" spans="1:6" ht="14.25" customHeight="1" x14ac:dyDescent="0.3">
      <c r="A647" s="133" t="s">
        <v>249</v>
      </c>
      <c r="B647" s="133" t="s">
        <v>6</v>
      </c>
      <c r="C647" s="133">
        <v>50</v>
      </c>
      <c r="D647" s="133" t="str">
        <f t="shared" si="2"/>
        <v>CIM Motor CIM 50</v>
      </c>
      <c r="E647" s="133">
        <v>0</v>
      </c>
      <c r="F647" s="133">
        <v>0</v>
      </c>
    </row>
    <row r="648" spans="1:6" ht="14.25" customHeight="1" x14ac:dyDescent="0.3">
      <c r="A648" s="133" t="s">
        <v>249</v>
      </c>
      <c r="B648" s="133" t="s">
        <v>6</v>
      </c>
      <c r="C648" s="133">
        <v>63</v>
      </c>
      <c r="D648" s="133" t="str">
        <f t="shared" si="2"/>
        <v>CIM Motor CIM 63</v>
      </c>
      <c r="E648" s="133">
        <v>0</v>
      </c>
      <c r="F648" s="133">
        <v>0</v>
      </c>
    </row>
    <row r="649" spans="1:6" ht="14.25" customHeight="1" x14ac:dyDescent="0.3">
      <c r="A649" s="133" t="s">
        <v>249</v>
      </c>
      <c r="B649" s="133" t="s">
        <v>6</v>
      </c>
      <c r="C649" s="133">
        <v>70</v>
      </c>
      <c r="D649" s="133" t="str">
        <f t="shared" si="2"/>
        <v>CIM Motor CIM 70</v>
      </c>
      <c r="E649" s="133">
        <v>0</v>
      </c>
      <c r="F649" s="133">
        <v>0</v>
      </c>
    </row>
    <row r="650" spans="1:6" ht="14.25" customHeight="1" x14ac:dyDescent="0.3">
      <c r="A650" s="133" t="s">
        <v>249</v>
      </c>
      <c r="B650" s="133" t="s">
        <v>6</v>
      </c>
      <c r="C650" s="133">
        <v>81</v>
      </c>
      <c r="D650" s="133" t="str">
        <f t="shared" si="2"/>
        <v>CIM Motor CIM 81</v>
      </c>
      <c r="E650" s="133">
        <v>0</v>
      </c>
      <c r="F650" s="133">
        <v>0</v>
      </c>
    </row>
    <row r="651" spans="1:6" ht="14.25" customHeight="1" x14ac:dyDescent="0.3">
      <c r="A651" s="133" t="s">
        <v>249</v>
      </c>
      <c r="B651" s="133" t="s">
        <v>6</v>
      </c>
      <c r="C651" s="133">
        <v>90</v>
      </c>
      <c r="D651" s="133" t="str">
        <f t="shared" si="2"/>
        <v>CIM Motor CIM 90</v>
      </c>
      <c r="E651" s="133">
        <v>0</v>
      </c>
      <c r="F651" s="133">
        <v>0</v>
      </c>
    </row>
    <row r="652" spans="1:6" ht="14.25" customHeight="1" x14ac:dyDescent="0.3">
      <c r="A652" s="133" t="s">
        <v>249</v>
      </c>
      <c r="B652" s="133" t="s">
        <v>6</v>
      </c>
      <c r="C652" s="133">
        <v>100</v>
      </c>
      <c r="D652" s="133" t="str">
        <f t="shared" si="2"/>
        <v>CIM Motor CIM 100</v>
      </c>
      <c r="E652" s="133">
        <v>0</v>
      </c>
      <c r="F652" s="133">
        <v>0</v>
      </c>
    </row>
    <row r="653" spans="1:6" ht="14.25" customHeight="1" x14ac:dyDescent="0.3">
      <c r="A653" s="133" t="s">
        <v>249</v>
      </c>
      <c r="B653" s="133" t="s">
        <v>259</v>
      </c>
      <c r="C653" s="133">
        <v>9</v>
      </c>
      <c r="D653" s="133" t="str">
        <f t="shared" si="2"/>
        <v>CIM Motor 775pro 9</v>
      </c>
      <c r="E653" s="133">
        <v>4</v>
      </c>
      <c r="F653" s="133">
        <v>4</v>
      </c>
    </row>
    <row r="654" spans="1:6" ht="14.25" customHeight="1" x14ac:dyDescent="0.3">
      <c r="A654" s="133" t="s">
        <v>249</v>
      </c>
      <c r="B654" s="133" t="s">
        <v>259</v>
      </c>
      <c r="C654" s="133">
        <v>12</v>
      </c>
      <c r="D654" s="133" t="str">
        <f t="shared" si="2"/>
        <v>CIM Motor 775pro 12</v>
      </c>
      <c r="E654" s="133">
        <v>3</v>
      </c>
      <c r="F654" s="133">
        <v>3</v>
      </c>
    </row>
    <row r="655" spans="1:6" ht="14.25" customHeight="1" x14ac:dyDescent="0.3">
      <c r="A655" s="133" t="s">
        <v>249</v>
      </c>
      <c r="B655" s="133" t="s">
        <v>259</v>
      </c>
      <c r="C655" s="133">
        <v>15</v>
      </c>
      <c r="D655" s="133" t="str">
        <f t="shared" si="2"/>
        <v>CIM Motor 775pro 15</v>
      </c>
      <c r="E655" s="133">
        <v>1</v>
      </c>
      <c r="F655" s="133">
        <v>1</v>
      </c>
    </row>
    <row r="656" spans="1:6" ht="14.25" customHeight="1" x14ac:dyDescent="0.3">
      <c r="A656" s="133" t="s">
        <v>249</v>
      </c>
      <c r="B656" s="133" t="s">
        <v>259</v>
      </c>
      <c r="C656" s="133">
        <v>16</v>
      </c>
      <c r="D656" s="133" t="str">
        <f t="shared" si="2"/>
        <v>CIM Motor 775pro 16</v>
      </c>
      <c r="E656" s="133">
        <v>1</v>
      </c>
      <c r="F656" s="133">
        <v>1</v>
      </c>
    </row>
    <row r="657" spans="1:6" ht="14.25" customHeight="1" x14ac:dyDescent="0.3">
      <c r="A657" s="133" t="s">
        <v>249</v>
      </c>
      <c r="B657" s="133" t="s">
        <v>259</v>
      </c>
      <c r="C657" s="133">
        <v>20</v>
      </c>
      <c r="D657" s="133" t="str">
        <f t="shared" si="2"/>
        <v>CIM Motor 775pro 20</v>
      </c>
      <c r="E657" s="133">
        <v>1</v>
      </c>
      <c r="F657" s="133">
        <v>1</v>
      </c>
    </row>
    <row r="658" spans="1:6" ht="14.25" customHeight="1" x14ac:dyDescent="0.3">
      <c r="A658" s="133" t="s">
        <v>249</v>
      </c>
      <c r="B658" s="133" t="s">
        <v>259</v>
      </c>
      <c r="C658" s="133">
        <v>21</v>
      </c>
      <c r="D658" s="133" t="str">
        <f t="shared" si="2"/>
        <v>CIM Motor 775pro 21</v>
      </c>
      <c r="E658" s="133">
        <v>1</v>
      </c>
      <c r="F658" s="133">
        <v>1</v>
      </c>
    </row>
    <row r="659" spans="1:6" ht="14.25" customHeight="1" x14ac:dyDescent="0.3">
      <c r="A659" s="133" t="s">
        <v>249</v>
      </c>
      <c r="B659" s="133" t="s">
        <v>259</v>
      </c>
      <c r="C659" s="133">
        <v>25</v>
      </c>
      <c r="D659" s="133" t="str">
        <f t="shared" si="2"/>
        <v>CIM Motor 775pro 25</v>
      </c>
      <c r="E659" s="133">
        <v>1</v>
      </c>
      <c r="F659" s="133">
        <v>1</v>
      </c>
    </row>
    <row r="660" spans="1:6" ht="14.25" customHeight="1" x14ac:dyDescent="0.3">
      <c r="A660" s="133" t="s">
        <v>249</v>
      </c>
      <c r="B660" s="133" t="s">
        <v>259</v>
      </c>
      <c r="C660" s="133">
        <v>27</v>
      </c>
      <c r="D660" s="133" t="str">
        <f t="shared" si="2"/>
        <v>CIM Motor 775pro 27</v>
      </c>
      <c r="E660" s="133">
        <v>1</v>
      </c>
      <c r="F660" s="133">
        <v>1</v>
      </c>
    </row>
    <row r="661" spans="1:6" ht="14.25" customHeight="1" x14ac:dyDescent="0.3">
      <c r="A661" s="133" t="s">
        <v>249</v>
      </c>
      <c r="B661" s="133" t="s">
        <v>259</v>
      </c>
      <c r="C661" s="133">
        <v>28</v>
      </c>
      <c r="D661" s="133" t="str">
        <f t="shared" si="2"/>
        <v>CIM Motor 775pro 28</v>
      </c>
      <c r="E661" s="133">
        <v>1</v>
      </c>
      <c r="F661" s="133">
        <v>1</v>
      </c>
    </row>
    <row r="662" spans="1:6" ht="14.25" customHeight="1" x14ac:dyDescent="0.3">
      <c r="A662" s="133" t="s">
        <v>249</v>
      </c>
      <c r="B662" s="133" t="s">
        <v>259</v>
      </c>
      <c r="C662" s="133">
        <v>30</v>
      </c>
      <c r="D662" s="133" t="str">
        <f t="shared" si="2"/>
        <v>CIM Motor 775pro 30</v>
      </c>
      <c r="E662" s="133">
        <v>1</v>
      </c>
      <c r="F662" s="133">
        <v>1</v>
      </c>
    </row>
    <row r="663" spans="1:6" ht="14.25" customHeight="1" x14ac:dyDescent="0.3">
      <c r="A663" s="133" t="s">
        <v>249</v>
      </c>
      <c r="B663" s="133" t="s">
        <v>259</v>
      </c>
      <c r="C663" s="133">
        <v>35</v>
      </c>
      <c r="D663" s="133" t="str">
        <f t="shared" si="2"/>
        <v>CIM Motor 775pro 35</v>
      </c>
      <c r="E663" s="133">
        <v>1</v>
      </c>
      <c r="F663" s="133">
        <v>1</v>
      </c>
    </row>
    <row r="664" spans="1:6" ht="14.25" customHeight="1" x14ac:dyDescent="0.3">
      <c r="A664" s="133" t="s">
        <v>249</v>
      </c>
      <c r="B664" s="133" t="s">
        <v>259</v>
      </c>
      <c r="C664" s="133">
        <v>36</v>
      </c>
      <c r="D664" s="133" t="str">
        <f t="shared" si="2"/>
        <v>CIM Motor 775pro 36</v>
      </c>
      <c r="E664" s="133">
        <v>1</v>
      </c>
      <c r="F664" s="133">
        <v>1</v>
      </c>
    </row>
    <row r="665" spans="1:6" ht="14.25" customHeight="1" x14ac:dyDescent="0.3">
      <c r="A665" s="133" t="s">
        <v>249</v>
      </c>
      <c r="B665" s="133" t="s">
        <v>259</v>
      </c>
      <c r="C665" s="133">
        <v>40</v>
      </c>
      <c r="D665" s="133" t="str">
        <f t="shared" si="2"/>
        <v>CIM Motor 775pro 40</v>
      </c>
      <c r="E665" s="133">
        <v>1</v>
      </c>
      <c r="F665" s="133">
        <v>1</v>
      </c>
    </row>
    <row r="666" spans="1:6" ht="14.25" customHeight="1" x14ac:dyDescent="0.3">
      <c r="A666" s="133" t="s">
        <v>249</v>
      </c>
      <c r="B666" s="133" t="s">
        <v>259</v>
      </c>
      <c r="C666" s="133">
        <v>45</v>
      </c>
      <c r="D666" s="133" t="str">
        <f t="shared" si="2"/>
        <v>CIM Motor 775pro 45</v>
      </c>
      <c r="E666" s="133">
        <v>0</v>
      </c>
      <c r="F666" s="133">
        <v>0</v>
      </c>
    </row>
    <row r="667" spans="1:6" ht="14.25" customHeight="1" x14ac:dyDescent="0.3">
      <c r="A667" s="133" t="s">
        <v>249</v>
      </c>
      <c r="B667" s="133" t="s">
        <v>259</v>
      </c>
      <c r="C667" s="133">
        <v>49</v>
      </c>
      <c r="D667" s="133" t="str">
        <f t="shared" si="2"/>
        <v>CIM Motor 775pro 49</v>
      </c>
      <c r="E667" s="133">
        <v>0</v>
      </c>
      <c r="F667" s="133">
        <v>0</v>
      </c>
    </row>
    <row r="668" spans="1:6" ht="14.25" customHeight="1" x14ac:dyDescent="0.3">
      <c r="A668" s="133" t="s">
        <v>249</v>
      </c>
      <c r="B668" s="133" t="s">
        <v>259</v>
      </c>
      <c r="C668" s="133">
        <v>50</v>
      </c>
      <c r="D668" s="133" t="str">
        <f t="shared" si="2"/>
        <v>CIM Motor 775pro 50</v>
      </c>
      <c r="E668" s="133">
        <v>0</v>
      </c>
      <c r="F668" s="133">
        <v>0</v>
      </c>
    </row>
    <row r="669" spans="1:6" ht="14.25" customHeight="1" x14ac:dyDescent="0.3">
      <c r="A669" s="133" t="s">
        <v>249</v>
      </c>
      <c r="B669" s="133" t="s">
        <v>259</v>
      </c>
      <c r="C669" s="133">
        <v>63</v>
      </c>
      <c r="D669" s="133" t="str">
        <f t="shared" si="2"/>
        <v>CIM Motor 775pro 63</v>
      </c>
      <c r="E669" s="133">
        <v>0</v>
      </c>
      <c r="F669" s="133">
        <v>0</v>
      </c>
    </row>
    <row r="670" spans="1:6" ht="14.25" customHeight="1" x14ac:dyDescent="0.3">
      <c r="A670" s="133" t="s">
        <v>249</v>
      </c>
      <c r="B670" s="133" t="s">
        <v>259</v>
      </c>
      <c r="C670" s="133">
        <v>70</v>
      </c>
      <c r="D670" s="133" t="str">
        <f t="shared" si="2"/>
        <v>CIM Motor 775pro 70</v>
      </c>
      <c r="E670" s="133">
        <v>0</v>
      </c>
      <c r="F670" s="133">
        <v>0</v>
      </c>
    </row>
    <row r="671" spans="1:6" ht="14.25" customHeight="1" x14ac:dyDescent="0.3">
      <c r="A671" s="133" t="s">
        <v>249</v>
      </c>
      <c r="B671" s="133" t="s">
        <v>259</v>
      </c>
      <c r="C671" s="133">
        <v>81</v>
      </c>
      <c r="D671" s="133" t="str">
        <f t="shared" si="2"/>
        <v>CIM Motor 775pro 81</v>
      </c>
      <c r="E671" s="133">
        <v>0</v>
      </c>
      <c r="F671" s="133">
        <v>0</v>
      </c>
    </row>
    <row r="672" spans="1:6" ht="14.25" customHeight="1" x14ac:dyDescent="0.3">
      <c r="A672" s="133" t="s">
        <v>249</v>
      </c>
      <c r="B672" s="133" t="s">
        <v>259</v>
      </c>
      <c r="C672" s="133">
        <v>90</v>
      </c>
      <c r="D672" s="133" t="str">
        <f t="shared" si="2"/>
        <v>CIM Motor 775pro 90</v>
      </c>
      <c r="E672" s="133">
        <v>0</v>
      </c>
      <c r="F672" s="133">
        <v>0</v>
      </c>
    </row>
    <row r="673" spans="1:6" ht="14.25" customHeight="1" x14ac:dyDescent="0.3">
      <c r="A673" s="133" t="s">
        <v>249</v>
      </c>
      <c r="B673" s="133" t="s">
        <v>259</v>
      </c>
      <c r="C673" s="133">
        <v>100</v>
      </c>
      <c r="D673" s="133" t="str">
        <f t="shared" si="2"/>
        <v>CIM Motor 775pro 100</v>
      </c>
      <c r="E673" s="133">
        <v>0</v>
      </c>
      <c r="F673" s="133">
        <v>0</v>
      </c>
    </row>
    <row r="674" spans="1:6" ht="14.25" customHeight="1" x14ac:dyDescent="0.3">
      <c r="A674" s="133" t="s">
        <v>252</v>
      </c>
      <c r="B674" s="133" t="s">
        <v>11</v>
      </c>
      <c r="C674" s="133">
        <v>9</v>
      </c>
      <c r="D674" s="133" t="str">
        <f t="shared" si="2"/>
        <v>Female AM 9015 9</v>
      </c>
      <c r="E674" s="133">
        <v>10</v>
      </c>
      <c r="F674" s="133">
        <v>10</v>
      </c>
    </row>
    <row r="675" spans="1:6" ht="14.25" customHeight="1" x14ac:dyDescent="0.3">
      <c r="A675" s="133" t="s">
        <v>252</v>
      </c>
      <c r="B675" s="133" t="s">
        <v>11</v>
      </c>
      <c r="C675" s="133">
        <v>12</v>
      </c>
      <c r="D675" s="133" t="str">
        <f t="shared" si="2"/>
        <v>Female AM 9015 12</v>
      </c>
      <c r="E675" s="133">
        <v>10</v>
      </c>
      <c r="F675" s="133">
        <v>7</v>
      </c>
    </row>
    <row r="676" spans="1:6" ht="14.25" customHeight="1" x14ac:dyDescent="0.3">
      <c r="A676" s="133" t="s">
        <v>252</v>
      </c>
      <c r="B676" s="133" t="s">
        <v>11</v>
      </c>
      <c r="C676" s="133">
        <v>15</v>
      </c>
      <c r="D676" s="133" t="str">
        <f t="shared" si="2"/>
        <v>Female AM 9015 15</v>
      </c>
      <c r="E676" s="133">
        <v>10</v>
      </c>
      <c r="F676" s="133">
        <v>5</v>
      </c>
    </row>
    <row r="677" spans="1:6" ht="14.25" customHeight="1" x14ac:dyDescent="0.3">
      <c r="A677" s="133" t="s">
        <v>252</v>
      </c>
      <c r="B677" s="133" t="s">
        <v>11</v>
      </c>
      <c r="C677" s="133">
        <v>16</v>
      </c>
      <c r="D677" s="133" t="str">
        <f t="shared" si="2"/>
        <v>Female AM 9015 16</v>
      </c>
      <c r="E677" s="133">
        <v>10</v>
      </c>
      <c r="F677" s="133">
        <v>5</v>
      </c>
    </row>
    <row r="678" spans="1:6" ht="14.25" customHeight="1" x14ac:dyDescent="0.3">
      <c r="A678" s="133" t="s">
        <v>252</v>
      </c>
      <c r="B678" s="133" t="s">
        <v>11</v>
      </c>
      <c r="C678" s="133">
        <v>20</v>
      </c>
      <c r="D678" s="133" t="str">
        <f t="shared" si="2"/>
        <v>Female AM 9015 20</v>
      </c>
      <c r="E678" s="133">
        <v>10</v>
      </c>
      <c r="F678" s="133">
        <v>4</v>
      </c>
    </row>
    <row r="679" spans="1:6" ht="14.25" customHeight="1" x14ac:dyDescent="0.3">
      <c r="A679" s="133" t="s">
        <v>252</v>
      </c>
      <c r="B679" s="133" t="s">
        <v>11</v>
      </c>
      <c r="C679" s="133">
        <v>21</v>
      </c>
      <c r="D679" s="133" t="str">
        <f t="shared" si="2"/>
        <v>Female AM 9015 21</v>
      </c>
      <c r="E679" s="133">
        <v>10</v>
      </c>
      <c r="F679" s="133">
        <v>4</v>
      </c>
    </row>
    <row r="680" spans="1:6" ht="14.25" customHeight="1" x14ac:dyDescent="0.3">
      <c r="A680" s="133" t="s">
        <v>252</v>
      </c>
      <c r="B680" s="133" t="s">
        <v>11</v>
      </c>
      <c r="C680" s="133">
        <v>25</v>
      </c>
      <c r="D680" s="133" t="str">
        <f t="shared" si="2"/>
        <v>Female AM 9015 25</v>
      </c>
      <c r="E680" s="133">
        <v>7</v>
      </c>
      <c r="F680" s="133">
        <v>3</v>
      </c>
    </row>
    <row r="681" spans="1:6" ht="14.25" customHeight="1" x14ac:dyDescent="0.3">
      <c r="A681" s="133" t="s">
        <v>252</v>
      </c>
      <c r="B681" s="133" t="s">
        <v>11</v>
      </c>
      <c r="C681" s="133">
        <v>27</v>
      </c>
      <c r="D681" s="133" t="str">
        <f t="shared" si="2"/>
        <v>Female AM 9015 27</v>
      </c>
      <c r="E681" s="133">
        <v>7</v>
      </c>
      <c r="F681" s="133">
        <v>3</v>
      </c>
    </row>
    <row r="682" spans="1:6" ht="14.25" customHeight="1" x14ac:dyDescent="0.3">
      <c r="A682" s="133" t="s">
        <v>252</v>
      </c>
      <c r="B682" s="133" t="s">
        <v>11</v>
      </c>
      <c r="C682" s="133">
        <v>28</v>
      </c>
      <c r="D682" s="133" t="str">
        <f t="shared" si="2"/>
        <v>Female AM 9015 28</v>
      </c>
      <c r="E682" s="133">
        <v>7</v>
      </c>
      <c r="F682" s="133">
        <v>3</v>
      </c>
    </row>
    <row r="683" spans="1:6" ht="14.25" customHeight="1" x14ac:dyDescent="0.3">
      <c r="A683" s="133" t="s">
        <v>252</v>
      </c>
      <c r="B683" s="133" t="s">
        <v>11</v>
      </c>
      <c r="C683" s="133">
        <v>30</v>
      </c>
      <c r="D683" s="133" t="str">
        <f t="shared" si="2"/>
        <v>Female AM 9015 30</v>
      </c>
      <c r="E683" s="133">
        <v>7</v>
      </c>
      <c r="F683" s="133">
        <v>3</v>
      </c>
    </row>
    <row r="684" spans="1:6" ht="14.25" customHeight="1" x14ac:dyDescent="0.3">
      <c r="A684" s="133" t="s">
        <v>252</v>
      </c>
      <c r="B684" s="133" t="s">
        <v>11</v>
      </c>
      <c r="C684" s="133">
        <v>35</v>
      </c>
      <c r="D684" s="133" t="str">
        <f t="shared" si="2"/>
        <v>Female AM 9015 35</v>
      </c>
      <c r="E684" s="133">
        <v>5</v>
      </c>
      <c r="F684" s="133">
        <v>1</v>
      </c>
    </row>
    <row r="685" spans="1:6" ht="14.25" customHeight="1" x14ac:dyDescent="0.3">
      <c r="A685" s="133" t="s">
        <v>252</v>
      </c>
      <c r="B685" s="133" t="s">
        <v>11</v>
      </c>
      <c r="C685" s="133">
        <v>36</v>
      </c>
      <c r="D685" s="133" t="str">
        <f t="shared" si="2"/>
        <v>Female AM 9015 36</v>
      </c>
      <c r="E685" s="133">
        <v>5</v>
      </c>
      <c r="F685" s="133">
        <v>1</v>
      </c>
    </row>
    <row r="686" spans="1:6" ht="14.25" customHeight="1" x14ac:dyDescent="0.3">
      <c r="A686" s="133" t="s">
        <v>252</v>
      </c>
      <c r="B686" s="133" t="s">
        <v>11</v>
      </c>
      <c r="C686" s="133">
        <v>40</v>
      </c>
      <c r="D686" s="133" t="str">
        <f t="shared" si="2"/>
        <v>Female AM 9015 40</v>
      </c>
      <c r="E686" s="133">
        <v>5</v>
      </c>
      <c r="F686" s="133">
        <v>1</v>
      </c>
    </row>
    <row r="687" spans="1:6" ht="14.25" customHeight="1" x14ac:dyDescent="0.3">
      <c r="A687" s="133" t="s">
        <v>252</v>
      </c>
      <c r="B687" s="133" t="s">
        <v>11</v>
      </c>
      <c r="C687" s="133">
        <v>45</v>
      </c>
      <c r="D687" s="133" t="str">
        <f t="shared" si="2"/>
        <v>Female AM 9015 45</v>
      </c>
      <c r="E687" s="133">
        <v>5</v>
      </c>
      <c r="F687" s="133">
        <v>1</v>
      </c>
    </row>
    <row r="688" spans="1:6" ht="14.25" customHeight="1" x14ac:dyDescent="0.3">
      <c r="A688" s="133" t="s">
        <v>252</v>
      </c>
      <c r="B688" s="133" t="s">
        <v>11</v>
      </c>
      <c r="C688" s="133">
        <v>49</v>
      </c>
      <c r="D688" s="133" t="str">
        <f t="shared" si="2"/>
        <v>Female AM 9015 49</v>
      </c>
      <c r="E688" s="133">
        <v>5</v>
      </c>
      <c r="F688" s="133">
        <v>1</v>
      </c>
    </row>
    <row r="689" spans="1:6" ht="14.25" customHeight="1" x14ac:dyDescent="0.3">
      <c r="A689" s="133" t="s">
        <v>252</v>
      </c>
      <c r="B689" s="133" t="s">
        <v>11</v>
      </c>
      <c r="C689" s="133">
        <v>50</v>
      </c>
      <c r="D689" s="133" t="str">
        <f t="shared" si="2"/>
        <v>Female AM 9015 50</v>
      </c>
      <c r="E689" s="133">
        <v>5</v>
      </c>
      <c r="F689" s="133">
        <v>1</v>
      </c>
    </row>
    <row r="690" spans="1:6" ht="14.25" customHeight="1" x14ac:dyDescent="0.3">
      <c r="A690" s="133" t="s">
        <v>252</v>
      </c>
      <c r="B690" s="133" t="s">
        <v>11</v>
      </c>
      <c r="C690" s="133">
        <v>63</v>
      </c>
      <c r="D690" s="133" t="str">
        <f t="shared" si="2"/>
        <v>Female AM 9015 63</v>
      </c>
      <c r="E690" s="133">
        <v>5</v>
      </c>
      <c r="F690" s="133">
        <v>1</v>
      </c>
    </row>
    <row r="691" spans="1:6" ht="14.25" customHeight="1" x14ac:dyDescent="0.3">
      <c r="A691" s="133" t="s">
        <v>252</v>
      </c>
      <c r="B691" s="133" t="s">
        <v>11</v>
      </c>
      <c r="C691" s="133">
        <v>70</v>
      </c>
      <c r="D691" s="133" t="str">
        <f t="shared" si="2"/>
        <v>Female AM 9015 70</v>
      </c>
      <c r="E691" s="133">
        <v>4</v>
      </c>
      <c r="F691" s="133">
        <v>1</v>
      </c>
    </row>
    <row r="692" spans="1:6" ht="14.25" customHeight="1" x14ac:dyDescent="0.3">
      <c r="A692" s="133" t="s">
        <v>252</v>
      </c>
      <c r="B692" s="133" t="s">
        <v>11</v>
      </c>
      <c r="C692" s="133">
        <v>81</v>
      </c>
      <c r="D692" s="133" t="str">
        <f t="shared" si="2"/>
        <v>Female AM 9015 81</v>
      </c>
      <c r="E692" s="133">
        <v>4</v>
      </c>
      <c r="F692" s="133">
        <v>1</v>
      </c>
    </row>
    <row r="693" spans="1:6" ht="14.25" customHeight="1" x14ac:dyDescent="0.3">
      <c r="A693" s="133" t="s">
        <v>252</v>
      </c>
      <c r="B693" s="133" t="s">
        <v>11</v>
      </c>
      <c r="C693" s="133">
        <v>90</v>
      </c>
      <c r="D693" s="133" t="str">
        <f t="shared" si="2"/>
        <v>Female AM 9015 90</v>
      </c>
      <c r="E693" s="133">
        <v>3</v>
      </c>
      <c r="F693" s="133">
        <v>1</v>
      </c>
    </row>
    <row r="694" spans="1:6" ht="14.25" customHeight="1" x14ac:dyDescent="0.3">
      <c r="A694" s="133" t="s">
        <v>252</v>
      </c>
      <c r="B694" s="133" t="s">
        <v>11</v>
      </c>
      <c r="C694" s="133">
        <v>100</v>
      </c>
      <c r="D694" s="133" t="str">
        <f t="shared" si="2"/>
        <v>Female AM 9015 100</v>
      </c>
      <c r="E694" s="133">
        <v>3</v>
      </c>
      <c r="F694" s="133">
        <v>0</v>
      </c>
    </row>
    <row r="695" spans="1:6" ht="14.25" customHeight="1" x14ac:dyDescent="0.3">
      <c r="A695" s="133" t="s">
        <v>252</v>
      </c>
      <c r="B695" s="133" t="s">
        <v>337</v>
      </c>
      <c r="C695" s="133">
        <v>9</v>
      </c>
      <c r="D695" s="133" t="str">
        <f t="shared" si="2"/>
        <v>Female NeveRest 9</v>
      </c>
      <c r="E695" s="133">
        <v>10</v>
      </c>
      <c r="F695" s="133">
        <v>10</v>
      </c>
    </row>
    <row r="696" spans="1:6" ht="14.25" customHeight="1" x14ac:dyDescent="0.3">
      <c r="A696" s="133" t="s">
        <v>252</v>
      </c>
      <c r="B696" s="133" t="s">
        <v>337</v>
      </c>
      <c r="C696" s="133">
        <v>12</v>
      </c>
      <c r="D696" s="133" t="str">
        <f t="shared" si="2"/>
        <v>Female NeveRest 12</v>
      </c>
      <c r="E696" s="133">
        <v>10</v>
      </c>
      <c r="F696" s="133">
        <v>10</v>
      </c>
    </row>
    <row r="697" spans="1:6" ht="14.25" customHeight="1" x14ac:dyDescent="0.3">
      <c r="A697" s="133" t="s">
        <v>252</v>
      </c>
      <c r="B697" s="133" t="s">
        <v>337</v>
      </c>
      <c r="C697" s="133">
        <v>15</v>
      </c>
      <c r="D697" s="133" t="str">
        <f t="shared" si="2"/>
        <v>Female NeveRest 15</v>
      </c>
      <c r="E697" s="133">
        <v>10</v>
      </c>
      <c r="F697" s="133">
        <v>10</v>
      </c>
    </row>
    <row r="698" spans="1:6" ht="14.25" customHeight="1" x14ac:dyDescent="0.3">
      <c r="A698" s="133" t="s">
        <v>252</v>
      </c>
      <c r="B698" s="133" t="s">
        <v>337</v>
      </c>
      <c r="C698" s="133">
        <v>16</v>
      </c>
      <c r="D698" s="133" t="str">
        <f t="shared" si="2"/>
        <v>Female NeveRest 16</v>
      </c>
      <c r="E698" s="133">
        <v>10</v>
      </c>
      <c r="F698" s="133">
        <v>10</v>
      </c>
    </row>
    <row r="699" spans="1:6" ht="14.25" customHeight="1" x14ac:dyDescent="0.3">
      <c r="A699" s="133" t="s">
        <v>252</v>
      </c>
      <c r="B699" s="133" t="s">
        <v>337</v>
      </c>
      <c r="C699" s="133">
        <v>20</v>
      </c>
      <c r="D699" s="133" t="str">
        <f t="shared" si="2"/>
        <v>Female NeveRest 20</v>
      </c>
      <c r="E699" s="133">
        <v>10</v>
      </c>
      <c r="F699" s="133">
        <v>10</v>
      </c>
    </row>
    <row r="700" spans="1:6" ht="14.25" customHeight="1" x14ac:dyDescent="0.3">
      <c r="A700" s="133" t="s">
        <v>252</v>
      </c>
      <c r="B700" s="133" t="s">
        <v>337</v>
      </c>
      <c r="C700" s="133">
        <v>21</v>
      </c>
      <c r="D700" s="133" t="str">
        <f t="shared" si="2"/>
        <v>Female NeveRest 21</v>
      </c>
      <c r="E700" s="133">
        <v>9</v>
      </c>
      <c r="F700" s="133">
        <v>9</v>
      </c>
    </row>
    <row r="701" spans="1:6" ht="14.25" customHeight="1" x14ac:dyDescent="0.3">
      <c r="A701" s="133" t="s">
        <v>252</v>
      </c>
      <c r="B701" s="133" t="s">
        <v>337</v>
      </c>
      <c r="C701" s="133">
        <v>25</v>
      </c>
      <c r="D701" s="133" t="str">
        <f t="shared" si="2"/>
        <v>Female NeveRest 25</v>
      </c>
      <c r="E701" s="133">
        <v>7</v>
      </c>
      <c r="F701" s="133">
        <v>7</v>
      </c>
    </row>
    <row r="702" spans="1:6" ht="14.25" customHeight="1" x14ac:dyDescent="0.3">
      <c r="A702" s="133" t="s">
        <v>252</v>
      </c>
      <c r="B702" s="133" t="s">
        <v>337</v>
      </c>
      <c r="C702" s="133">
        <v>27</v>
      </c>
      <c r="D702" s="133" t="str">
        <f t="shared" si="2"/>
        <v>Female NeveRest 27</v>
      </c>
      <c r="E702" s="133">
        <v>7</v>
      </c>
      <c r="F702" s="133">
        <v>7</v>
      </c>
    </row>
    <row r="703" spans="1:6" ht="14.25" customHeight="1" x14ac:dyDescent="0.3">
      <c r="A703" s="133" t="s">
        <v>252</v>
      </c>
      <c r="B703" s="133" t="s">
        <v>337</v>
      </c>
      <c r="C703" s="133">
        <v>28</v>
      </c>
      <c r="D703" s="133" t="str">
        <f t="shared" si="2"/>
        <v>Female NeveRest 28</v>
      </c>
      <c r="E703" s="133">
        <v>7</v>
      </c>
      <c r="F703" s="133">
        <v>7</v>
      </c>
    </row>
    <row r="704" spans="1:6" ht="14.25" customHeight="1" x14ac:dyDescent="0.3">
      <c r="A704" s="133" t="s">
        <v>252</v>
      </c>
      <c r="B704" s="133" t="s">
        <v>337</v>
      </c>
      <c r="C704" s="133">
        <v>30</v>
      </c>
      <c r="D704" s="133" t="str">
        <f t="shared" si="2"/>
        <v>Female NeveRest 30</v>
      </c>
      <c r="E704" s="133">
        <v>5</v>
      </c>
      <c r="F704" s="133">
        <v>5</v>
      </c>
    </row>
    <row r="705" spans="1:6" ht="14.25" customHeight="1" x14ac:dyDescent="0.3">
      <c r="A705" s="133" t="s">
        <v>252</v>
      </c>
      <c r="B705" s="133" t="s">
        <v>337</v>
      </c>
      <c r="C705" s="133">
        <v>35</v>
      </c>
      <c r="D705" s="133" t="str">
        <f t="shared" si="2"/>
        <v>Female NeveRest 35</v>
      </c>
      <c r="E705" s="133">
        <v>5</v>
      </c>
      <c r="F705" s="133">
        <v>5</v>
      </c>
    </row>
    <row r="706" spans="1:6" ht="14.25" customHeight="1" x14ac:dyDescent="0.3">
      <c r="A706" s="133" t="s">
        <v>252</v>
      </c>
      <c r="B706" s="133" t="s">
        <v>337</v>
      </c>
      <c r="C706" s="133">
        <v>36</v>
      </c>
      <c r="D706" s="133" t="str">
        <f t="shared" si="2"/>
        <v>Female NeveRest 36</v>
      </c>
      <c r="E706" s="133">
        <v>5</v>
      </c>
      <c r="F706" s="133">
        <v>5</v>
      </c>
    </row>
    <row r="707" spans="1:6" ht="14.25" customHeight="1" x14ac:dyDescent="0.3">
      <c r="A707" s="133" t="s">
        <v>252</v>
      </c>
      <c r="B707" s="133" t="s">
        <v>337</v>
      </c>
      <c r="C707" s="133">
        <v>40</v>
      </c>
      <c r="D707" s="133" t="str">
        <f t="shared" si="2"/>
        <v>Female NeveRest 40</v>
      </c>
      <c r="E707" s="133">
        <v>5</v>
      </c>
      <c r="F707" s="133">
        <v>5</v>
      </c>
    </row>
    <row r="708" spans="1:6" ht="14.25" customHeight="1" x14ac:dyDescent="0.3">
      <c r="A708" s="133" t="s">
        <v>252</v>
      </c>
      <c r="B708" s="133" t="s">
        <v>337</v>
      </c>
      <c r="C708" s="133">
        <v>45</v>
      </c>
      <c r="D708" s="133" t="str">
        <f t="shared" si="2"/>
        <v>Female NeveRest 45</v>
      </c>
      <c r="E708" s="133">
        <v>5</v>
      </c>
      <c r="F708" s="133">
        <v>4</v>
      </c>
    </row>
    <row r="709" spans="1:6" ht="14.25" customHeight="1" x14ac:dyDescent="0.3">
      <c r="A709" s="133" t="s">
        <v>252</v>
      </c>
      <c r="B709" s="133" t="s">
        <v>337</v>
      </c>
      <c r="C709" s="133">
        <v>49</v>
      </c>
      <c r="D709" s="133" t="str">
        <f t="shared" si="2"/>
        <v>Female NeveRest 49</v>
      </c>
      <c r="E709" s="133">
        <v>5</v>
      </c>
      <c r="F709" s="133">
        <v>4</v>
      </c>
    </row>
    <row r="710" spans="1:6" ht="14.25" customHeight="1" x14ac:dyDescent="0.3">
      <c r="A710" s="133" t="s">
        <v>252</v>
      </c>
      <c r="B710" s="133" t="s">
        <v>337</v>
      </c>
      <c r="C710" s="133">
        <v>50</v>
      </c>
      <c r="D710" s="133" t="str">
        <f t="shared" si="2"/>
        <v>Female NeveRest 50</v>
      </c>
      <c r="E710" s="133">
        <v>5</v>
      </c>
      <c r="F710" s="133">
        <v>4</v>
      </c>
    </row>
    <row r="711" spans="1:6" ht="14.25" customHeight="1" x14ac:dyDescent="0.3">
      <c r="A711" s="133" t="s">
        <v>252</v>
      </c>
      <c r="B711" s="133" t="s">
        <v>337</v>
      </c>
      <c r="C711" s="133">
        <v>63</v>
      </c>
      <c r="D711" s="133" t="str">
        <f t="shared" si="2"/>
        <v>Female NeveRest 63</v>
      </c>
      <c r="E711" s="133">
        <v>4</v>
      </c>
      <c r="F711" s="133">
        <v>3</v>
      </c>
    </row>
    <row r="712" spans="1:6" ht="14.25" customHeight="1" x14ac:dyDescent="0.3">
      <c r="A712" s="133" t="s">
        <v>252</v>
      </c>
      <c r="B712" s="133" t="s">
        <v>337</v>
      </c>
      <c r="C712" s="133">
        <v>70</v>
      </c>
      <c r="D712" s="133" t="str">
        <f t="shared" si="2"/>
        <v>Female NeveRest 70</v>
      </c>
      <c r="E712" s="133">
        <v>4</v>
      </c>
      <c r="F712" s="133">
        <v>1</v>
      </c>
    </row>
    <row r="713" spans="1:6" ht="14.25" customHeight="1" x14ac:dyDescent="0.3">
      <c r="A713" s="133" t="s">
        <v>252</v>
      </c>
      <c r="B713" s="133" t="s">
        <v>337</v>
      </c>
      <c r="C713" s="133">
        <v>81</v>
      </c>
      <c r="D713" s="133" t="str">
        <f t="shared" si="2"/>
        <v>Female NeveRest 81</v>
      </c>
      <c r="E713" s="133">
        <v>3</v>
      </c>
      <c r="F713" s="133">
        <v>1</v>
      </c>
    </row>
    <row r="714" spans="1:6" ht="14.25" customHeight="1" x14ac:dyDescent="0.3">
      <c r="A714" s="133" t="s">
        <v>252</v>
      </c>
      <c r="B714" s="133" t="s">
        <v>337</v>
      </c>
      <c r="C714" s="133">
        <v>90</v>
      </c>
      <c r="D714" s="133" t="str">
        <f t="shared" si="2"/>
        <v>Female NeveRest 90</v>
      </c>
      <c r="E714" s="133">
        <v>3</v>
      </c>
      <c r="F714" s="133">
        <v>1</v>
      </c>
    </row>
    <row r="715" spans="1:6" ht="14.25" customHeight="1" x14ac:dyDescent="0.3">
      <c r="A715" s="133" t="s">
        <v>252</v>
      </c>
      <c r="B715" s="133" t="s">
        <v>337</v>
      </c>
      <c r="C715" s="133">
        <v>100</v>
      </c>
      <c r="D715" s="133" t="str">
        <f t="shared" si="2"/>
        <v>Female NeveRest 100</v>
      </c>
      <c r="E715" s="133">
        <v>3</v>
      </c>
      <c r="F715" s="133">
        <v>1</v>
      </c>
    </row>
    <row r="716" spans="1:6" ht="14.25" customHeight="1" x14ac:dyDescent="0.3">
      <c r="A716" s="133" t="s">
        <v>252</v>
      </c>
      <c r="B716" s="133" t="s">
        <v>333</v>
      </c>
      <c r="C716" s="133">
        <v>9</v>
      </c>
      <c r="D716" s="133" t="str">
        <f t="shared" si="2"/>
        <v>Female BB RS-550 9</v>
      </c>
      <c r="E716" s="133">
        <v>10</v>
      </c>
      <c r="F716" s="133">
        <v>10</v>
      </c>
    </row>
    <row r="717" spans="1:6" ht="14.25" customHeight="1" x14ac:dyDescent="0.3">
      <c r="A717" s="133" t="s">
        <v>252</v>
      </c>
      <c r="B717" s="133" t="s">
        <v>333</v>
      </c>
      <c r="C717" s="133">
        <v>12</v>
      </c>
      <c r="D717" s="133" t="str">
        <f t="shared" si="2"/>
        <v>Female BB RS-550 12</v>
      </c>
      <c r="E717" s="133">
        <v>10</v>
      </c>
      <c r="F717" s="133">
        <v>7</v>
      </c>
    </row>
    <row r="718" spans="1:6" ht="14.25" customHeight="1" x14ac:dyDescent="0.3">
      <c r="A718" s="133" t="s">
        <v>252</v>
      </c>
      <c r="B718" s="133" t="s">
        <v>333</v>
      </c>
      <c r="C718" s="133">
        <v>15</v>
      </c>
      <c r="D718" s="133" t="str">
        <f t="shared" si="2"/>
        <v>Female BB RS-550 15</v>
      </c>
      <c r="E718" s="133">
        <v>10</v>
      </c>
      <c r="F718" s="133">
        <v>5</v>
      </c>
    </row>
    <row r="719" spans="1:6" ht="14.25" customHeight="1" x14ac:dyDescent="0.3">
      <c r="A719" s="133" t="s">
        <v>252</v>
      </c>
      <c r="B719" s="133" t="s">
        <v>333</v>
      </c>
      <c r="C719" s="133">
        <v>16</v>
      </c>
      <c r="D719" s="133" t="str">
        <f t="shared" si="2"/>
        <v>Female BB RS-550 16</v>
      </c>
      <c r="E719" s="133">
        <v>10</v>
      </c>
      <c r="F719" s="133">
        <v>5</v>
      </c>
    </row>
    <row r="720" spans="1:6" ht="14.25" customHeight="1" x14ac:dyDescent="0.3">
      <c r="A720" s="133" t="s">
        <v>252</v>
      </c>
      <c r="B720" s="133" t="s">
        <v>333</v>
      </c>
      <c r="C720" s="133">
        <v>20</v>
      </c>
      <c r="D720" s="133" t="str">
        <f t="shared" si="2"/>
        <v>Female BB RS-550 20</v>
      </c>
      <c r="E720" s="133">
        <v>10</v>
      </c>
      <c r="F720" s="133">
        <v>4</v>
      </c>
    </row>
    <row r="721" spans="1:6" ht="14.25" customHeight="1" x14ac:dyDescent="0.3">
      <c r="A721" s="133" t="s">
        <v>252</v>
      </c>
      <c r="B721" s="133" t="s">
        <v>333</v>
      </c>
      <c r="C721" s="133">
        <v>21</v>
      </c>
      <c r="D721" s="133" t="str">
        <f t="shared" si="2"/>
        <v>Female BB RS-550 21</v>
      </c>
      <c r="E721" s="133">
        <v>9</v>
      </c>
      <c r="F721" s="133">
        <v>4</v>
      </c>
    </row>
    <row r="722" spans="1:6" ht="14.25" customHeight="1" x14ac:dyDescent="0.3">
      <c r="A722" s="133" t="s">
        <v>252</v>
      </c>
      <c r="B722" s="133" t="s">
        <v>333</v>
      </c>
      <c r="C722" s="133">
        <v>25</v>
      </c>
      <c r="D722" s="133" t="str">
        <f t="shared" si="2"/>
        <v>Female BB RS-550 25</v>
      </c>
      <c r="E722" s="133">
        <v>7</v>
      </c>
      <c r="F722" s="133">
        <v>3</v>
      </c>
    </row>
    <row r="723" spans="1:6" ht="14.25" customHeight="1" x14ac:dyDescent="0.3">
      <c r="A723" s="133" t="s">
        <v>252</v>
      </c>
      <c r="B723" s="133" t="s">
        <v>333</v>
      </c>
      <c r="C723" s="133">
        <v>27</v>
      </c>
      <c r="D723" s="133" t="str">
        <f t="shared" si="2"/>
        <v>Female BB RS-550 27</v>
      </c>
      <c r="E723" s="133">
        <v>7</v>
      </c>
      <c r="F723" s="133">
        <v>3</v>
      </c>
    </row>
    <row r="724" spans="1:6" ht="14.25" customHeight="1" x14ac:dyDescent="0.3">
      <c r="A724" s="133" t="s">
        <v>252</v>
      </c>
      <c r="B724" s="133" t="s">
        <v>333</v>
      </c>
      <c r="C724" s="133">
        <v>28</v>
      </c>
      <c r="D724" s="133" t="str">
        <f t="shared" si="2"/>
        <v>Female BB RS-550 28</v>
      </c>
      <c r="E724" s="133">
        <v>7</v>
      </c>
      <c r="F724" s="133">
        <v>3</v>
      </c>
    </row>
    <row r="725" spans="1:6" ht="14.25" customHeight="1" x14ac:dyDescent="0.3">
      <c r="A725" s="133" t="s">
        <v>252</v>
      </c>
      <c r="B725" s="133" t="s">
        <v>333</v>
      </c>
      <c r="C725" s="133">
        <v>30</v>
      </c>
      <c r="D725" s="133" t="str">
        <f t="shared" si="2"/>
        <v>Female BB RS-550 30</v>
      </c>
      <c r="E725" s="133">
        <v>5</v>
      </c>
      <c r="F725" s="133">
        <v>3</v>
      </c>
    </row>
    <row r="726" spans="1:6" ht="14.25" customHeight="1" x14ac:dyDescent="0.3">
      <c r="A726" s="133" t="s">
        <v>252</v>
      </c>
      <c r="B726" s="133" t="s">
        <v>333</v>
      </c>
      <c r="C726" s="133">
        <v>35</v>
      </c>
      <c r="D726" s="133" t="str">
        <f t="shared" si="2"/>
        <v>Female BB RS-550 35</v>
      </c>
      <c r="E726" s="133">
        <v>5</v>
      </c>
      <c r="F726" s="133">
        <v>1</v>
      </c>
    </row>
    <row r="727" spans="1:6" ht="14.25" customHeight="1" x14ac:dyDescent="0.3">
      <c r="A727" s="133" t="s">
        <v>252</v>
      </c>
      <c r="B727" s="133" t="s">
        <v>333</v>
      </c>
      <c r="C727" s="133">
        <v>36</v>
      </c>
      <c r="D727" s="133" t="str">
        <f t="shared" si="2"/>
        <v>Female BB RS-550 36</v>
      </c>
      <c r="E727" s="133">
        <v>5</v>
      </c>
      <c r="F727" s="133">
        <v>1</v>
      </c>
    </row>
    <row r="728" spans="1:6" ht="14.25" customHeight="1" x14ac:dyDescent="0.3">
      <c r="A728" s="133" t="s">
        <v>252</v>
      </c>
      <c r="B728" s="133" t="s">
        <v>333</v>
      </c>
      <c r="C728" s="133">
        <v>40</v>
      </c>
      <c r="D728" s="133" t="str">
        <f t="shared" si="2"/>
        <v>Female BB RS-550 40</v>
      </c>
      <c r="E728" s="133">
        <v>5</v>
      </c>
      <c r="F728" s="133">
        <v>1</v>
      </c>
    </row>
    <row r="729" spans="1:6" ht="14.25" customHeight="1" x14ac:dyDescent="0.3">
      <c r="A729" s="133" t="s">
        <v>252</v>
      </c>
      <c r="B729" s="133" t="s">
        <v>333</v>
      </c>
      <c r="C729" s="133">
        <v>45</v>
      </c>
      <c r="D729" s="133" t="str">
        <f t="shared" si="2"/>
        <v>Female BB RS-550 45</v>
      </c>
      <c r="E729" s="133">
        <v>5</v>
      </c>
      <c r="F729" s="133">
        <v>1</v>
      </c>
    </row>
    <row r="730" spans="1:6" ht="14.25" customHeight="1" x14ac:dyDescent="0.3">
      <c r="A730" s="133" t="s">
        <v>252</v>
      </c>
      <c r="B730" s="133" t="s">
        <v>333</v>
      </c>
      <c r="C730" s="133">
        <v>49</v>
      </c>
      <c r="D730" s="133" t="str">
        <f t="shared" si="2"/>
        <v>Female BB RS-550 49</v>
      </c>
      <c r="E730" s="133">
        <v>5</v>
      </c>
      <c r="F730" s="133">
        <v>1</v>
      </c>
    </row>
    <row r="731" spans="1:6" ht="14.25" customHeight="1" x14ac:dyDescent="0.3">
      <c r="A731" s="133" t="s">
        <v>252</v>
      </c>
      <c r="B731" s="133" t="s">
        <v>333</v>
      </c>
      <c r="C731" s="133">
        <v>50</v>
      </c>
      <c r="D731" s="133" t="str">
        <f t="shared" si="2"/>
        <v>Female BB RS-550 50</v>
      </c>
      <c r="E731" s="133">
        <v>5</v>
      </c>
      <c r="F731" s="133">
        <v>1</v>
      </c>
    </row>
    <row r="732" spans="1:6" ht="14.25" customHeight="1" x14ac:dyDescent="0.3">
      <c r="A732" s="133" t="s">
        <v>252</v>
      </c>
      <c r="B732" s="133" t="s">
        <v>333</v>
      </c>
      <c r="C732" s="133">
        <v>63</v>
      </c>
      <c r="D732" s="133" t="str">
        <f t="shared" si="2"/>
        <v>Female BB RS-550 63</v>
      </c>
      <c r="E732" s="133">
        <v>4</v>
      </c>
      <c r="F732" s="133">
        <v>1</v>
      </c>
    </row>
    <row r="733" spans="1:6" ht="14.25" customHeight="1" x14ac:dyDescent="0.3">
      <c r="A733" s="133" t="s">
        <v>252</v>
      </c>
      <c r="B733" s="133" t="s">
        <v>333</v>
      </c>
      <c r="C733" s="133">
        <v>70</v>
      </c>
      <c r="D733" s="133" t="str">
        <f t="shared" si="2"/>
        <v>Female BB RS-550 70</v>
      </c>
      <c r="E733" s="133">
        <v>4</v>
      </c>
      <c r="F733" s="133">
        <v>1</v>
      </c>
    </row>
    <row r="734" spans="1:6" ht="14.25" customHeight="1" x14ac:dyDescent="0.3">
      <c r="A734" s="133" t="s">
        <v>252</v>
      </c>
      <c r="B734" s="133" t="s">
        <v>333</v>
      </c>
      <c r="C734" s="133">
        <v>81</v>
      </c>
      <c r="D734" s="133" t="str">
        <f t="shared" si="2"/>
        <v>Female BB RS-550 81</v>
      </c>
      <c r="E734" s="133">
        <v>3</v>
      </c>
      <c r="F734" s="133">
        <v>1</v>
      </c>
    </row>
    <row r="735" spans="1:6" ht="14.25" customHeight="1" x14ac:dyDescent="0.3">
      <c r="A735" s="133" t="s">
        <v>252</v>
      </c>
      <c r="B735" s="133" t="s">
        <v>333</v>
      </c>
      <c r="C735" s="133">
        <v>90</v>
      </c>
      <c r="D735" s="133" t="str">
        <f t="shared" si="2"/>
        <v>Female BB RS-550 90</v>
      </c>
      <c r="E735" s="133">
        <v>3</v>
      </c>
      <c r="F735" s="133">
        <v>1</v>
      </c>
    </row>
    <row r="736" spans="1:6" ht="14.25" customHeight="1" x14ac:dyDescent="0.3">
      <c r="A736" s="133" t="s">
        <v>252</v>
      </c>
      <c r="B736" s="133" t="s">
        <v>333</v>
      </c>
      <c r="C736" s="133">
        <v>100</v>
      </c>
      <c r="D736" s="133" t="str">
        <f t="shared" si="2"/>
        <v>Female BB RS-550 100</v>
      </c>
      <c r="E736" s="133">
        <v>3</v>
      </c>
      <c r="F736" s="133">
        <v>0</v>
      </c>
    </row>
    <row r="737" spans="1:6" ht="14.25" customHeight="1" x14ac:dyDescent="0.3">
      <c r="A737" s="133" t="s">
        <v>252</v>
      </c>
      <c r="B737" s="133" t="s">
        <v>334</v>
      </c>
      <c r="C737" s="133">
        <v>9</v>
      </c>
      <c r="D737" s="133" t="str">
        <f t="shared" si="2"/>
        <v>Female BB RS-775 9</v>
      </c>
      <c r="E737" s="133">
        <v>10</v>
      </c>
      <c r="F737" s="133">
        <v>10</v>
      </c>
    </row>
    <row r="738" spans="1:6" ht="14.25" customHeight="1" x14ac:dyDescent="0.3">
      <c r="A738" s="133" t="s">
        <v>252</v>
      </c>
      <c r="B738" s="133" t="s">
        <v>334</v>
      </c>
      <c r="C738" s="133">
        <v>12</v>
      </c>
      <c r="D738" s="133" t="str">
        <f t="shared" si="2"/>
        <v>Female BB RS-775 12</v>
      </c>
      <c r="E738" s="133">
        <v>10</v>
      </c>
      <c r="F738" s="133">
        <v>10</v>
      </c>
    </row>
    <row r="739" spans="1:6" ht="14.25" customHeight="1" x14ac:dyDescent="0.3">
      <c r="A739" s="133" t="s">
        <v>252</v>
      </c>
      <c r="B739" s="133" t="s">
        <v>334</v>
      </c>
      <c r="C739" s="133">
        <v>15</v>
      </c>
      <c r="D739" s="133" t="str">
        <f t="shared" si="2"/>
        <v>Female BB RS-775 15</v>
      </c>
      <c r="E739" s="133">
        <v>7</v>
      </c>
      <c r="F739" s="133">
        <v>7</v>
      </c>
    </row>
    <row r="740" spans="1:6" ht="14.25" customHeight="1" x14ac:dyDescent="0.3">
      <c r="A740" s="133" t="s">
        <v>252</v>
      </c>
      <c r="B740" s="133" t="s">
        <v>334</v>
      </c>
      <c r="C740" s="133">
        <v>16</v>
      </c>
      <c r="D740" s="133" t="str">
        <f t="shared" si="2"/>
        <v>Female BB RS-775 16</v>
      </c>
      <c r="E740" s="133">
        <v>7</v>
      </c>
      <c r="F740" s="133">
        <v>7</v>
      </c>
    </row>
    <row r="741" spans="1:6" ht="14.25" customHeight="1" x14ac:dyDescent="0.3">
      <c r="A741" s="133" t="s">
        <v>252</v>
      </c>
      <c r="B741" s="133" t="s">
        <v>334</v>
      </c>
      <c r="C741" s="133">
        <v>20</v>
      </c>
      <c r="D741" s="133" t="str">
        <f t="shared" si="2"/>
        <v>Female BB RS-775 20</v>
      </c>
      <c r="E741" s="133">
        <v>5</v>
      </c>
      <c r="F741" s="133">
        <v>5</v>
      </c>
    </row>
    <row r="742" spans="1:6" ht="14.25" customHeight="1" x14ac:dyDescent="0.3">
      <c r="A742" s="133" t="s">
        <v>252</v>
      </c>
      <c r="B742" s="133" t="s">
        <v>334</v>
      </c>
      <c r="C742" s="133">
        <v>21</v>
      </c>
      <c r="D742" s="133" t="str">
        <f t="shared" si="2"/>
        <v>Female BB RS-775 21</v>
      </c>
      <c r="E742" s="133">
        <v>5</v>
      </c>
      <c r="F742" s="133">
        <v>5</v>
      </c>
    </row>
    <row r="743" spans="1:6" ht="14.25" customHeight="1" x14ac:dyDescent="0.3">
      <c r="A743" s="133" t="s">
        <v>252</v>
      </c>
      <c r="B743" s="133" t="s">
        <v>334</v>
      </c>
      <c r="C743" s="133">
        <v>25</v>
      </c>
      <c r="D743" s="133" t="str">
        <f t="shared" si="2"/>
        <v>Female BB RS-775 25</v>
      </c>
      <c r="E743" s="133">
        <v>5</v>
      </c>
      <c r="F743" s="133">
        <v>5</v>
      </c>
    </row>
    <row r="744" spans="1:6" ht="14.25" customHeight="1" x14ac:dyDescent="0.3">
      <c r="A744" s="133" t="s">
        <v>252</v>
      </c>
      <c r="B744" s="133" t="s">
        <v>334</v>
      </c>
      <c r="C744" s="133">
        <v>27</v>
      </c>
      <c r="D744" s="133" t="str">
        <f t="shared" si="2"/>
        <v>Female BB RS-775 27</v>
      </c>
      <c r="E744" s="133">
        <v>5</v>
      </c>
      <c r="F744" s="133">
        <v>4</v>
      </c>
    </row>
    <row r="745" spans="1:6" ht="14.25" customHeight="1" x14ac:dyDescent="0.3">
      <c r="A745" s="133" t="s">
        <v>252</v>
      </c>
      <c r="B745" s="133" t="s">
        <v>334</v>
      </c>
      <c r="C745" s="133">
        <v>28</v>
      </c>
      <c r="D745" s="133" t="str">
        <f t="shared" si="2"/>
        <v>Female BB RS-775 28</v>
      </c>
      <c r="E745" s="133">
        <v>5</v>
      </c>
      <c r="F745" s="133">
        <v>4</v>
      </c>
    </row>
    <row r="746" spans="1:6" ht="14.25" customHeight="1" x14ac:dyDescent="0.3">
      <c r="A746" s="133" t="s">
        <v>252</v>
      </c>
      <c r="B746" s="133" t="s">
        <v>334</v>
      </c>
      <c r="C746" s="133">
        <v>30</v>
      </c>
      <c r="D746" s="133" t="str">
        <f t="shared" si="2"/>
        <v>Female BB RS-775 30</v>
      </c>
      <c r="E746" s="133">
        <v>5</v>
      </c>
      <c r="F746" s="133">
        <v>4</v>
      </c>
    </row>
    <row r="747" spans="1:6" ht="14.25" customHeight="1" x14ac:dyDescent="0.3">
      <c r="A747" s="133" t="s">
        <v>252</v>
      </c>
      <c r="B747" s="133" t="s">
        <v>334</v>
      </c>
      <c r="C747" s="133">
        <v>35</v>
      </c>
      <c r="D747" s="133" t="str">
        <f t="shared" si="2"/>
        <v>Female BB RS-775 35</v>
      </c>
      <c r="E747" s="133">
        <v>5</v>
      </c>
      <c r="F747" s="133">
        <v>3</v>
      </c>
    </row>
    <row r="748" spans="1:6" ht="14.25" customHeight="1" x14ac:dyDescent="0.3">
      <c r="A748" s="133" t="s">
        <v>252</v>
      </c>
      <c r="B748" s="133" t="s">
        <v>334</v>
      </c>
      <c r="C748" s="133">
        <v>36</v>
      </c>
      <c r="D748" s="133" t="str">
        <f t="shared" si="2"/>
        <v>Female BB RS-775 36</v>
      </c>
      <c r="E748" s="133">
        <v>5</v>
      </c>
      <c r="F748" s="133">
        <v>3</v>
      </c>
    </row>
    <row r="749" spans="1:6" ht="14.25" customHeight="1" x14ac:dyDescent="0.3">
      <c r="A749" s="133" t="s">
        <v>252</v>
      </c>
      <c r="B749" s="133" t="s">
        <v>334</v>
      </c>
      <c r="C749" s="133">
        <v>40</v>
      </c>
      <c r="D749" s="133" t="str">
        <f t="shared" si="2"/>
        <v>Female BB RS-775 40</v>
      </c>
      <c r="E749" s="133">
        <v>4</v>
      </c>
      <c r="F749" s="133">
        <v>3</v>
      </c>
    </row>
    <row r="750" spans="1:6" ht="14.25" customHeight="1" x14ac:dyDescent="0.3">
      <c r="A750" s="133" t="s">
        <v>252</v>
      </c>
      <c r="B750" s="133" t="s">
        <v>334</v>
      </c>
      <c r="C750" s="133">
        <v>45</v>
      </c>
      <c r="D750" s="133" t="str">
        <f t="shared" si="2"/>
        <v>Female BB RS-775 45</v>
      </c>
      <c r="E750" s="133">
        <v>4</v>
      </c>
      <c r="F750" s="133">
        <v>1</v>
      </c>
    </row>
    <row r="751" spans="1:6" ht="14.25" customHeight="1" x14ac:dyDescent="0.3">
      <c r="A751" s="133" t="s">
        <v>252</v>
      </c>
      <c r="B751" s="133" t="s">
        <v>334</v>
      </c>
      <c r="C751" s="133">
        <v>49</v>
      </c>
      <c r="D751" s="133" t="str">
        <f t="shared" si="2"/>
        <v>Female BB RS-775 49</v>
      </c>
      <c r="E751" s="133">
        <v>4</v>
      </c>
      <c r="F751" s="133">
        <v>1</v>
      </c>
    </row>
    <row r="752" spans="1:6" ht="14.25" customHeight="1" x14ac:dyDescent="0.3">
      <c r="A752" s="133" t="s">
        <v>252</v>
      </c>
      <c r="B752" s="133" t="s">
        <v>334</v>
      </c>
      <c r="C752" s="133">
        <v>50</v>
      </c>
      <c r="D752" s="133" t="str">
        <f t="shared" si="2"/>
        <v>Female BB RS-775 50</v>
      </c>
      <c r="E752" s="133">
        <v>3</v>
      </c>
      <c r="F752" s="133">
        <v>1</v>
      </c>
    </row>
    <row r="753" spans="1:6" ht="14.25" customHeight="1" x14ac:dyDescent="0.3">
      <c r="A753" s="133" t="s">
        <v>252</v>
      </c>
      <c r="B753" s="133" t="s">
        <v>334</v>
      </c>
      <c r="C753" s="133">
        <v>63</v>
      </c>
      <c r="D753" s="133" t="str">
        <f t="shared" si="2"/>
        <v>Female BB RS-775 63</v>
      </c>
      <c r="E753" s="133">
        <v>3</v>
      </c>
      <c r="F753" s="133">
        <v>1</v>
      </c>
    </row>
    <row r="754" spans="1:6" ht="14.25" customHeight="1" x14ac:dyDescent="0.3">
      <c r="A754" s="133" t="s">
        <v>252</v>
      </c>
      <c r="B754" s="133" t="s">
        <v>334</v>
      </c>
      <c r="C754" s="133">
        <v>70</v>
      </c>
      <c r="D754" s="133" t="str">
        <f t="shared" si="2"/>
        <v>Female BB RS-775 70</v>
      </c>
      <c r="E754" s="133">
        <v>1</v>
      </c>
      <c r="F754" s="133">
        <v>1</v>
      </c>
    </row>
    <row r="755" spans="1:6" ht="14.25" customHeight="1" x14ac:dyDescent="0.3">
      <c r="A755" s="133" t="s">
        <v>252</v>
      </c>
      <c r="B755" s="133" t="s">
        <v>334</v>
      </c>
      <c r="C755" s="133">
        <v>81</v>
      </c>
      <c r="D755" s="133" t="str">
        <f t="shared" si="2"/>
        <v>Female BB RS-775 81</v>
      </c>
      <c r="E755" s="133">
        <v>1</v>
      </c>
      <c r="F755" s="133">
        <v>1</v>
      </c>
    </row>
    <row r="756" spans="1:6" ht="14.25" customHeight="1" x14ac:dyDescent="0.3">
      <c r="A756" s="133" t="s">
        <v>252</v>
      </c>
      <c r="B756" s="133" t="s">
        <v>334</v>
      </c>
      <c r="C756" s="133">
        <v>90</v>
      </c>
      <c r="D756" s="133" t="str">
        <f t="shared" si="2"/>
        <v>Female BB RS-775 90</v>
      </c>
      <c r="E756" s="133">
        <v>1</v>
      </c>
      <c r="F756" s="133">
        <v>1</v>
      </c>
    </row>
    <row r="757" spans="1:6" ht="14.25" customHeight="1" x14ac:dyDescent="0.3">
      <c r="A757" s="133" t="s">
        <v>252</v>
      </c>
      <c r="B757" s="133" t="s">
        <v>334</v>
      </c>
      <c r="C757" s="133">
        <v>100</v>
      </c>
      <c r="D757" s="133" t="str">
        <f t="shared" si="2"/>
        <v>Female BB RS-775 100</v>
      </c>
      <c r="E757" s="133">
        <v>1</v>
      </c>
      <c r="F757" s="133">
        <v>1</v>
      </c>
    </row>
    <row r="758" spans="1:6" ht="14.25" customHeight="1" x14ac:dyDescent="0.3">
      <c r="A758" s="133" t="s">
        <v>252</v>
      </c>
      <c r="B758" s="133" t="s">
        <v>257</v>
      </c>
      <c r="C758" s="133">
        <v>9</v>
      </c>
      <c r="D758" s="133" t="str">
        <f t="shared" si="2"/>
        <v>Female BAG 9</v>
      </c>
      <c r="E758" s="133">
        <v>10</v>
      </c>
      <c r="F758" s="133">
        <v>9</v>
      </c>
    </row>
    <row r="759" spans="1:6" ht="14.25" customHeight="1" x14ac:dyDescent="0.3">
      <c r="A759" s="133" t="s">
        <v>252</v>
      </c>
      <c r="B759" s="133" t="s">
        <v>257</v>
      </c>
      <c r="C759" s="133">
        <v>12</v>
      </c>
      <c r="D759" s="133" t="str">
        <f t="shared" si="2"/>
        <v>Female BAG 12</v>
      </c>
      <c r="E759" s="133">
        <v>10</v>
      </c>
      <c r="F759" s="133">
        <v>5</v>
      </c>
    </row>
    <row r="760" spans="1:6" ht="14.25" customHeight="1" x14ac:dyDescent="0.3">
      <c r="A760" s="133" t="s">
        <v>252</v>
      </c>
      <c r="B760" s="133" t="s">
        <v>257</v>
      </c>
      <c r="C760" s="133">
        <v>15</v>
      </c>
      <c r="D760" s="133" t="str">
        <f t="shared" si="2"/>
        <v>Female BAG 15</v>
      </c>
      <c r="E760" s="133">
        <v>10</v>
      </c>
      <c r="F760" s="133">
        <v>5</v>
      </c>
    </row>
    <row r="761" spans="1:6" ht="14.25" customHeight="1" x14ac:dyDescent="0.3">
      <c r="A761" s="133" t="s">
        <v>252</v>
      </c>
      <c r="B761" s="133" t="s">
        <v>257</v>
      </c>
      <c r="C761" s="133">
        <v>16</v>
      </c>
      <c r="D761" s="133" t="str">
        <f t="shared" si="2"/>
        <v>Female BAG 16</v>
      </c>
      <c r="E761" s="133">
        <v>10</v>
      </c>
      <c r="F761" s="133">
        <v>5</v>
      </c>
    </row>
    <row r="762" spans="1:6" ht="14.25" customHeight="1" x14ac:dyDescent="0.3">
      <c r="A762" s="133" t="s">
        <v>252</v>
      </c>
      <c r="B762" s="133" t="s">
        <v>257</v>
      </c>
      <c r="C762" s="133">
        <v>20</v>
      </c>
      <c r="D762" s="133" t="str">
        <f t="shared" si="2"/>
        <v>Female BAG 20</v>
      </c>
      <c r="E762" s="133">
        <v>10</v>
      </c>
      <c r="F762" s="133">
        <v>4</v>
      </c>
    </row>
    <row r="763" spans="1:6" ht="14.25" customHeight="1" x14ac:dyDescent="0.3">
      <c r="A763" s="133" t="s">
        <v>252</v>
      </c>
      <c r="B763" s="133" t="s">
        <v>257</v>
      </c>
      <c r="C763" s="133">
        <v>21</v>
      </c>
      <c r="D763" s="133" t="str">
        <f t="shared" si="2"/>
        <v>Female BAG 21</v>
      </c>
      <c r="E763" s="133">
        <v>10</v>
      </c>
      <c r="F763" s="133">
        <v>3</v>
      </c>
    </row>
    <row r="764" spans="1:6" ht="14.25" customHeight="1" x14ac:dyDescent="0.3">
      <c r="A764" s="133" t="s">
        <v>252</v>
      </c>
      <c r="B764" s="133" t="s">
        <v>257</v>
      </c>
      <c r="C764" s="133">
        <v>25</v>
      </c>
      <c r="D764" s="133" t="str">
        <f t="shared" si="2"/>
        <v>Female BAG 25</v>
      </c>
      <c r="E764" s="133">
        <v>7</v>
      </c>
      <c r="F764" s="133">
        <v>3</v>
      </c>
    </row>
    <row r="765" spans="1:6" ht="14.25" customHeight="1" x14ac:dyDescent="0.3">
      <c r="A765" s="133" t="s">
        <v>252</v>
      </c>
      <c r="B765" s="133" t="s">
        <v>257</v>
      </c>
      <c r="C765" s="133">
        <v>27</v>
      </c>
      <c r="D765" s="133" t="str">
        <f t="shared" si="2"/>
        <v>Female BAG 27</v>
      </c>
      <c r="E765" s="133">
        <v>7</v>
      </c>
      <c r="F765" s="133">
        <v>3</v>
      </c>
    </row>
    <row r="766" spans="1:6" ht="14.25" customHeight="1" x14ac:dyDescent="0.3">
      <c r="A766" s="133" t="s">
        <v>252</v>
      </c>
      <c r="B766" s="133" t="s">
        <v>257</v>
      </c>
      <c r="C766" s="133">
        <v>28</v>
      </c>
      <c r="D766" s="133" t="str">
        <f t="shared" si="2"/>
        <v>Female BAG 28</v>
      </c>
      <c r="E766" s="133">
        <v>7</v>
      </c>
      <c r="F766" s="133">
        <v>1</v>
      </c>
    </row>
    <row r="767" spans="1:6" ht="14.25" customHeight="1" x14ac:dyDescent="0.3">
      <c r="A767" s="133" t="s">
        <v>252</v>
      </c>
      <c r="B767" s="133" t="s">
        <v>257</v>
      </c>
      <c r="C767" s="133">
        <v>30</v>
      </c>
      <c r="D767" s="133" t="str">
        <f t="shared" ref="D767:D841" si="3">A767&amp;" "&amp;B767&amp;" "&amp;C767</f>
        <v>Female BAG 30</v>
      </c>
      <c r="E767" s="133">
        <v>7</v>
      </c>
      <c r="F767" s="133">
        <v>1</v>
      </c>
    </row>
    <row r="768" spans="1:6" ht="14.25" customHeight="1" x14ac:dyDescent="0.3">
      <c r="A768" s="133" t="s">
        <v>252</v>
      </c>
      <c r="B768" s="133" t="s">
        <v>257</v>
      </c>
      <c r="C768" s="133">
        <v>35</v>
      </c>
      <c r="D768" s="133" t="str">
        <f t="shared" si="3"/>
        <v>Female BAG 35</v>
      </c>
      <c r="E768" s="133">
        <v>5</v>
      </c>
      <c r="F768" s="133">
        <v>1</v>
      </c>
    </row>
    <row r="769" spans="1:6" ht="14.25" customHeight="1" x14ac:dyDescent="0.3">
      <c r="A769" s="133" t="s">
        <v>252</v>
      </c>
      <c r="B769" s="133" t="s">
        <v>257</v>
      </c>
      <c r="C769" s="133">
        <v>36</v>
      </c>
      <c r="D769" s="133" t="str">
        <f t="shared" si="3"/>
        <v>Female BAG 36</v>
      </c>
      <c r="E769" s="133">
        <v>5</v>
      </c>
      <c r="F769" s="133">
        <v>1</v>
      </c>
    </row>
    <row r="770" spans="1:6" ht="14.25" customHeight="1" x14ac:dyDescent="0.3">
      <c r="A770" s="133" t="s">
        <v>252</v>
      </c>
      <c r="B770" s="133" t="s">
        <v>257</v>
      </c>
      <c r="C770" s="133">
        <v>40</v>
      </c>
      <c r="D770" s="133" t="str">
        <f t="shared" si="3"/>
        <v>Female BAG 40</v>
      </c>
      <c r="E770" s="133">
        <v>5</v>
      </c>
      <c r="F770" s="133">
        <v>1</v>
      </c>
    </row>
    <row r="771" spans="1:6" ht="14.25" customHeight="1" x14ac:dyDescent="0.3">
      <c r="A771" s="133" t="s">
        <v>252</v>
      </c>
      <c r="B771" s="133" t="s">
        <v>257</v>
      </c>
      <c r="C771" s="133">
        <v>45</v>
      </c>
      <c r="D771" s="133" t="str">
        <f t="shared" si="3"/>
        <v>Female BAG 45</v>
      </c>
      <c r="E771" s="133">
        <v>5</v>
      </c>
      <c r="F771" s="133">
        <v>1</v>
      </c>
    </row>
    <row r="772" spans="1:6" ht="14.25" customHeight="1" x14ac:dyDescent="0.3">
      <c r="A772" s="133" t="s">
        <v>252</v>
      </c>
      <c r="B772" s="133" t="s">
        <v>257</v>
      </c>
      <c r="C772" s="133">
        <v>49</v>
      </c>
      <c r="D772" s="133" t="str">
        <f t="shared" si="3"/>
        <v>Female BAG 49</v>
      </c>
      <c r="E772" s="133">
        <v>5</v>
      </c>
      <c r="F772" s="133">
        <v>1</v>
      </c>
    </row>
    <row r="773" spans="1:6" ht="14.25" customHeight="1" x14ac:dyDescent="0.3">
      <c r="A773" s="133" t="s">
        <v>252</v>
      </c>
      <c r="B773" s="133" t="s">
        <v>257</v>
      </c>
      <c r="C773" s="133">
        <v>50</v>
      </c>
      <c r="D773" s="133" t="str">
        <f t="shared" si="3"/>
        <v>Female BAG 50</v>
      </c>
      <c r="E773" s="133">
        <v>5</v>
      </c>
      <c r="F773" s="133">
        <v>1</v>
      </c>
    </row>
    <row r="774" spans="1:6" ht="14.25" customHeight="1" x14ac:dyDescent="0.3">
      <c r="A774" s="133" t="s">
        <v>252</v>
      </c>
      <c r="B774" s="133" t="s">
        <v>257</v>
      </c>
      <c r="C774" s="133">
        <v>63</v>
      </c>
      <c r="D774" s="133" t="str">
        <f t="shared" si="3"/>
        <v>Female BAG 63</v>
      </c>
      <c r="E774" s="133">
        <v>5</v>
      </c>
      <c r="F774" s="133">
        <v>1</v>
      </c>
    </row>
    <row r="775" spans="1:6" ht="14.25" customHeight="1" x14ac:dyDescent="0.3">
      <c r="A775" s="133" t="s">
        <v>252</v>
      </c>
      <c r="B775" s="133" t="s">
        <v>257</v>
      </c>
      <c r="C775" s="133">
        <v>70</v>
      </c>
      <c r="D775" s="133" t="str">
        <f t="shared" si="3"/>
        <v>Female BAG 70</v>
      </c>
      <c r="E775" s="133">
        <v>4</v>
      </c>
      <c r="F775" s="133">
        <v>1</v>
      </c>
    </row>
    <row r="776" spans="1:6" ht="14.25" customHeight="1" x14ac:dyDescent="0.3">
      <c r="A776" s="133" t="s">
        <v>252</v>
      </c>
      <c r="B776" s="133" t="s">
        <v>257</v>
      </c>
      <c r="C776" s="133">
        <v>81</v>
      </c>
      <c r="D776" s="133" t="str">
        <f t="shared" si="3"/>
        <v>Female BAG 81</v>
      </c>
      <c r="E776" s="133">
        <v>4</v>
      </c>
      <c r="F776" s="133">
        <v>1</v>
      </c>
    </row>
    <row r="777" spans="1:6" ht="14.25" customHeight="1" x14ac:dyDescent="0.3">
      <c r="A777" s="133" t="s">
        <v>252</v>
      </c>
      <c r="B777" s="133" t="s">
        <v>257</v>
      </c>
      <c r="C777" s="133">
        <v>90</v>
      </c>
      <c r="D777" s="133" t="str">
        <f t="shared" si="3"/>
        <v>Female BAG 90</v>
      </c>
      <c r="E777" s="133">
        <v>3</v>
      </c>
      <c r="F777" s="133">
        <v>0</v>
      </c>
    </row>
    <row r="778" spans="1:6" ht="14.25" customHeight="1" x14ac:dyDescent="0.3">
      <c r="A778" s="133" t="s">
        <v>252</v>
      </c>
      <c r="B778" s="133" t="s">
        <v>257</v>
      </c>
      <c r="C778" s="133">
        <v>100</v>
      </c>
      <c r="D778" s="133" t="str">
        <f t="shared" si="3"/>
        <v>Female BAG 100</v>
      </c>
      <c r="E778" s="133">
        <v>3</v>
      </c>
      <c r="F778" s="133">
        <v>0</v>
      </c>
    </row>
    <row r="779" spans="1:6" ht="14.25" customHeight="1" x14ac:dyDescent="0.3">
      <c r="A779" s="133" t="s">
        <v>252</v>
      </c>
      <c r="B779" s="133" t="s">
        <v>7</v>
      </c>
      <c r="C779" s="133">
        <v>9</v>
      </c>
      <c r="D779" s="133" t="str">
        <f t="shared" si="3"/>
        <v>Female Mini CIM 9</v>
      </c>
      <c r="E779" s="133">
        <v>7</v>
      </c>
      <c r="F779" s="133">
        <v>0</v>
      </c>
    </row>
    <row r="780" spans="1:6" ht="14.25" customHeight="1" x14ac:dyDescent="0.3">
      <c r="A780" s="133" t="s">
        <v>252</v>
      </c>
      <c r="B780" s="133" t="s">
        <v>7</v>
      </c>
      <c r="C780" s="133">
        <v>12</v>
      </c>
      <c r="D780" s="133" t="str">
        <f t="shared" si="3"/>
        <v>Female Mini CIM 12</v>
      </c>
      <c r="E780" s="133">
        <v>5</v>
      </c>
      <c r="F780" s="133">
        <v>0</v>
      </c>
    </row>
    <row r="781" spans="1:6" ht="14.25" customHeight="1" x14ac:dyDescent="0.3">
      <c r="A781" s="133" t="s">
        <v>252</v>
      </c>
      <c r="B781" s="133" t="s">
        <v>7</v>
      </c>
      <c r="C781" s="133">
        <v>15</v>
      </c>
      <c r="D781" s="133" t="str">
        <f t="shared" si="3"/>
        <v>Female Mini CIM 15</v>
      </c>
      <c r="E781" s="133">
        <v>5</v>
      </c>
      <c r="F781" s="133">
        <v>0</v>
      </c>
    </row>
    <row r="782" spans="1:6" ht="14.25" customHeight="1" x14ac:dyDescent="0.3">
      <c r="A782" s="133" t="s">
        <v>252</v>
      </c>
      <c r="B782" s="133" t="s">
        <v>7</v>
      </c>
      <c r="C782" s="133">
        <v>16</v>
      </c>
      <c r="D782" s="133" t="str">
        <f t="shared" si="3"/>
        <v>Female Mini CIM 16</v>
      </c>
      <c r="E782" s="133">
        <v>5</v>
      </c>
      <c r="F782" s="133">
        <v>0</v>
      </c>
    </row>
    <row r="783" spans="1:6" ht="14.25" customHeight="1" x14ac:dyDescent="0.3">
      <c r="A783" s="133" t="s">
        <v>252</v>
      </c>
      <c r="B783" s="133" t="s">
        <v>7</v>
      </c>
      <c r="C783" s="133">
        <v>20</v>
      </c>
      <c r="D783" s="133" t="str">
        <f t="shared" si="3"/>
        <v>Female Mini CIM 20</v>
      </c>
      <c r="E783" s="133">
        <v>5</v>
      </c>
      <c r="F783" s="133">
        <v>0</v>
      </c>
    </row>
    <row r="784" spans="1:6" ht="14.25" customHeight="1" x14ac:dyDescent="0.3">
      <c r="A784" s="133" t="s">
        <v>252</v>
      </c>
      <c r="B784" s="133" t="s">
        <v>7</v>
      </c>
      <c r="C784" s="133">
        <v>21</v>
      </c>
      <c r="D784" s="133" t="str">
        <f t="shared" si="3"/>
        <v>Female Mini CIM 21</v>
      </c>
      <c r="E784" s="133">
        <v>5</v>
      </c>
      <c r="F784" s="133">
        <v>0</v>
      </c>
    </row>
    <row r="785" spans="1:6" ht="14.25" customHeight="1" x14ac:dyDescent="0.3">
      <c r="A785" s="133" t="s">
        <v>252</v>
      </c>
      <c r="B785" s="133" t="s">
        <v>7</v>
      </c>
      <c r="C785" s="133">
        <v>25</v>
      </c>
      <c r="D785" s="133" t="str">
        <f t="shared" si="3"/>
        <v>Female Mini CIM 25</v>
      </c>
      <c r="E785" s="133">
        <v>4</v>
      </c>
      <c r="F785" s="133">
        <v>0</v>
      </c>
    </row>
    <row r="786" spans="1:6" ht="14.25" customHeight="1" x14ac:dyDescent="0.3">
      <c r="A786" s="133" t="s">
        <v>252</v>
      </c>
      <c r="B786" s="133" t="s">
        <v>7</v>
      </c>
      <c r="C786" s="133">
        <v>27</v>
      </c>
      <c r="D786" s="133" t="str">
        <f t="shared" si="3"/>
        <v>Female Mini CIM 27</v>
      </c>
      <c r="E786" s="133">
        <v>4</v>
      </c>
      <c r="F786" s="133">
        <v>0</v>
      </c>
    </row>
    <row r="787" spans="1:6" ht="14.25" customHeight="1" x14ac:dyDescent="0.3">
      <c r="A787" s="133" t="s">
        <v>252</v>
      </c>
      <c r="B787" s="133" t="s">
        <v>7</v>
      </c>
      <c r="C787" s="133">
        <v>28</v>
      </c>
      <c r="D787" s="133" t="str">
        <f t="shared" si="3"/>
        <v>Female Mini CIM 28</v>
      </c>
      <c r="E787" s="133">
        <v>3</v>
      </c>
      <c r="F787" s="133">
        <v>0</v>
      </c>
    </row>
    <row r="788" spans="1:6" ht="14.25" customHeight="1" x14ac:dyDescent="0.3">
      <c r="A788" s="133" t="s">
        <v>252</v>
      </c>
      <c r="B788" s="133" t="s">
        <v>7</v>
      </c>
      <c r="C788" s="133">
        <v>30</v>
      </c>
      <c r="D788" s="133" t="str">
        <f t="shared" si="3"/>
        <v>Female Mini CIM 30</v>
      </c>
      <c r="E788" s="133">
        <v>3</v>
      </c>
      <c r="F788" s="133">
        <v>0</v>
      </c>
    </row>
    <row r="789" spans="1:6" ht="14.25" customHeight="1" x14ac:dyDescent="0.3">
      <c r="A789" s="133" t="s">
        <v>252</v>
      </c>
      <c r="B789" s="133" t="s">
        <v>7</v>
      </c>
      <c r="C789" s="133">
        <v>35</v>
      </c>
      <c r="D789" s="133" t="str">
        <f t="shared" si="3"/>
        <v>Female Mini CIM 35</v>
      </c>
      <c r="E789" s="133">
        <v>3</v>
      </c>
      <c r="F789" s="133">
        <v>0</v>
      </c>
    </row>
    <row r="790" spans="1:6" ht="14.25" customHeight="1" x14ac:dyDescent="0.3">
      <c r="A790" s="133" t="s">
        <v>252</v>
      </c>
      <c r="B790" s="133" t="s">
        <v>7</v>
      </c>
      <c r="C790" s="133">
        <v>36</v>
      </c>
      <c r="D790" s="133" t="str">
        <f t="shared" si="3"/>
        <v>Female Mini CIM 36</v>
      </c>
      <c r="E790" s="133">
        <v>1</v>
      </c>
      <c r="F790" s="133">
        <v>0</v>
      </c>
    </row>
    <row r="791" spans="1:6" ht="14.25" customHeight="1" x14ac:dyDescent="0.3">
      <c r="A791" s="133" t="s">
        <v>252</v>
      </c>
      <c r="B791" s="133" t="s">
        <v>7</v>
      </c>
      <c r="C791" s="133">
        <v>40</v>
      </c>
      <c r="D791" s="133" t="str">
        <f t="shared" si="3"/>
        <v>Female Mini CIM 40</v>
      </c>
      <c r="E791" s="133">
        <v>1</v>
      </c>
      <c r="F791" s="133">
        <v>0</v>
      </c>
    </row>
    <row r="792" spans="1:6" ht="14.25" customHeight="1" x14ac:dyDescent="0.3">
      <c r="A792" s="133" t="s">
        <v>252</v>
      </c>
      <c r="B792" s="133" t="s">
        <v>7</v>
      </c>
      <c r="C792" s="133">
        <v>45</v>
      </c>
      <c r="D792" s="133" t="str">
        <f t="shared" si="3"/>
        <v>Female Mini CIM 45</v>
      </c>
      <c r="E792" s="133">
        <v>1</v>
      </c>
      <c r="F792" s="133">
        <v>0</v>
      </c>
    </row>
    <row r="793" spans="1:6" ht="14.25" customHeight="1" x14ac:dyDescent="0.3">
      <c r="A793" s="133" t="s">
        <v>252</v>
      </c>
      <c r="B793" s="133" t="s">
        <v>7</v>
      </c>
      <c r="C793" s="133">
        <v>49</v>
      </c>
      <c r="D793" s="133" t="str">
        <f t="shared" si="3"/>
        <v>Female Mini CIM 49</v>
      </c>
      <c r="E793" s="133">
        <v>1</v>
      </c>
      <c r="F793" s="133">
        <v>0</v>
      </c>
    </row>
    <row r="794" spans="1:6" ht="14.25" customHeight="1" x14ac:dyDescent="0.3">
      <c r="A794" s="133" t="s">
        <v>252</v>
      </c>
      <c r="B794" s="133" t="s">
        <v>7</v>
      </c>
      <c r="C794" s="133">
        <v>50</v>
      </c>
      <c r="D794" s="133" t="str">
        <f t="shared" si="3"/>
        <v>Female Mini CIM 50</v>
      </c>
      <c r="E794" s="133">
        <v>1</v>
      </c>
      <c r="F794" s="133">
        <v>0</v>
      </c>
    </row>
    <row r="795" spans="1:6" ht="14.25" customHeight="1" x14ac:dyDescent="0.3">
      <c r="A795" s="133" t="s">
        <v>252</v>
      </c>
      <c r="B795" s="133" t="s">
        <v>7</v>
      </c>
      <c r="C795" s="133">
        <v>63</v>
      </c>
      <c r="D795" s="133" t="str">
        <f t="shared" si="3"/>
        <v>Female Mini CIM 63</v>
      </c>
      <c r="E795" s="133">
        <v>1</v>
      </c>
      <c r="F795" s="133">
        <v>0</v>
      </c>
    </row>
    <row r="796" spans="1:6" ht="14.25" customHeight="1" x14ac:dyDescent="0.3">
      <c r="A796" s="133" t="s">
        <v>252</v>
      </c>
      <c r="B796" s="133" t="s">
        <v>7</v>
      </c>
      <c r="C796" s="133">
        <v>70</v>
      </c>
      <c r="D796" s="133" t="str">
        <f t="shared" si="3"/>
        <v>Female Mini CIM 70</v>
      </c>
      <c r="E796" s="133">
        <v>0</v>
      </c>
      <c r="F796" s="133">
        <v>0</v>
      </c>
    </row>
    <row r="797" spans="1:6" ht="14.25" customHeight="1" x14ac:dyDescent="0.3">
      <c r="A797" s="133" t="s">
        <v>252</v>
      </c>
      <c r="B797" s="133" t="s">
        <v>7</v>
      </c>
      <c r="C797" s="133">
        <v>81</v>
      </c>
      <c r="D797" s="133" t="str">
        <f t="shared" si="3"/>
        <v>Female Mini CIM 81</v>
      </c>
      <c r="E797" s="133">
        <v>0</v>
      </c>
      <c r="F797" s="133">
        <v>0</v>
      </c>
    </row>
    <row r="798" spans="1:6" ht="14.25" customHeight="1" x14ac:dyDescent="0.3">
      <c r="A798" s="133" t="s">
        <v>252</v>
      </c>
      <c r="B798" s="133" t="s">
        <v>7</v>
      </c>
      <c r="C798" s="133">
        <v>90</v>
      </c>
      <c r="D798" s="133" t="str">
        <f t="shared" si="3"/>
        <v>Female Mini CIM 90</v>
      </c>
      <c r="E798" s="133">
        <v>0</v>
      </c>
      <c r="F798" s="133">
        <v>0</v>
      </c>
    </row>
    <row r="799" spans="1:6" ht="14.25" customHeight="1" x14ac:dyDescent="0.3">
      <c r="A799" s="133" t="s">
        <v>252</v>
      </c>
      <c r="B799" s="133" t="s">
        <v>7</v>
      </c>
      <c r="C799" s="133">
        <v>100</v>
      </c>
      <c r="D799" s="133" t="str">
        <f t="shared" si="3"/>
        <v>Female Mini CIM 100</v>
      </c>
      <c r="E799" s="133">
        <v>0</v>
      </c>
      <c r="F799" s="133">
        <v>0</v>
      </c>
    </row>
    <row r="800" spans="1:6" ht="14.25" customHeight="1" x14ac:dyDescent="0.3">
      <c r="A800" s="133" t="s">
        <v>252</v>
      </c>
      <c r="B800" s="133" t="s">
        <v>6</v>
      </c>
      <c r="C800" s="133">
        <v>9</v>
      </c>
      <c r="D800" s="133" t="str">
        <f t="shared" si="3"/>
        <v>Female CIM 9</v>
      </c>
      <c r="E800" s="133">
        <v>5</v>
      </c>
      <c r="F800" s="133">
        <v>0</v>
      </c>
    </row>
    <row r="801" spans="1:6" ht="14.25" customHeight="1" x14ac:dyDescent="0.3">
      <c r="A801" s="133" t="s">
        <v>252</v>
      </c>
      <c r="B801" s="133" t="s">
        <v>6</v>
      </c>
      <c r="C801" s="133">
        <v>12</v>
      </c>
      <c r="D801" s="133" t="str">
        <f t="shared" si="3"/>
        <v>Female CIM 12</v>
      </c>
      <c r="E801" s="133">
        <v>5</v>
      </c>
      <c r="F801" s="133">
        <v>0</v>
      </c>
    </row>
    <row r="802" spans="1:6" ht="14.25" customHeight="1" x14ac:dyDescent="0.3">
      <c r="A802" s="133" t="s">
        <v>252</v>
      </c>
      <c r="B802" s="133" t="s">
        <v>6</v>
      </c>
      <c r="C802" s="133">
        <v>15</v>
      </c>
      <c r="D802" s="133" t="str">
        <f t="shared" si="3"/>
        <v>Female CIM 15</v>
      </c>
      <c r="E802" s="133">
        <v>4</v>
      </c>
      <c r="F802" s="133">
        <v>0</v>
      </c>
    </row>
    <row r="803" spans="1:6" ht="14.25" customHeight="1" x14ac:dyDescent="0.3">
      <c r="A803" s="133" t="s">
        <v>252</v>
      </c>
      <c r="B803" s="133" t="s">
        <v>6</v>
      </c>
      <c r="C803" s="133">
        <v>16</v>
      </c>
      <c r="D803" s="133" t="str">
        <f t="shared" si="3"/>
        <v>Female CIM 16</v>
      </c>
      <c r="E803" s="133">
        <v>4</v>
      </c>
      <c r="F803" s="133">
        <v>0</v>
      </c>
    </row>
    <row r="804" spans="1:6" ht="14.25" customHeight="1" x14ac:dyDescent="0.3">
      <c r="A804" s="133" t="s">
        <v>252</v>
      </c>
      <c r="B804" s="133" t="s">
        <v>6</v>
      </c>
      <c r="C804" s="133">
        <v>20</v>
      </c>
      <c r="D804" s="133" t="str">
        <f t="shared" si="3"/>
        <v>Female CIM 20</v>
      </c>
      <c r="E804" s="133">
        <v>3</v>
      </c>
      <c r="F804" s="133">
        <v>0</v>
      </c>
    </row>
    <row r="805" spans="1:6" ht="14.25" customHeight="1" x14ac:dyDescent="0.3">
      <c r="A805" s="133" t="s">
        <v>252</v>
      </c>
      <c r="B805" s="133" t="s">
        <v>6</v>
      </c>
      <c r="C805" s="133">
        <v>21</v>
      </c>
      <c r="D805" s="133" t="str">
        <f t="shared" si="3"/>
        <v>Female CIM 21</v>
      </c>
      <c r="E805" s="133">
        <v>3</v>
      </c>
      <c r="F805" s="133">
        <v>0</v>
      </c>
    </row>
    <row r="806" spans="1:6" ht="14.25" customHeight="1" x14ac:dyDescent="0.3">
      <c r="A806" s="133" t="s">
        <v>252</v>
      </c>
      <c r="B806" s="133" t="s">
        <v>6</v>
      </c>
      <c r="C806" s="133">
        <v>25</v>
      </c>
      <c r="D806" s="133" t="str">
        <f t="shared" si="3"/>
        <v>Female CIM 25</v>
      </c>
      <c r="E806" s="133">
        <v>1</v>
      </c>
      <c r="F806" s="133">
        <v>0</v>
      </c>
    </row>
    <row r="807" spans="1:6" ht="14.25" customHeight="1" x14ac:dyDescent="0.3">
      <c r="A807" s="133" t="s">
        <v>252</v>
      </c>
      <c r="B807" s="133" t="s">
        <v>6</v>
      </c>
      <c r="C807" s="133">
        <v>27</v>
      </c>
      <c r="D807" s="133" t="str">
        <f t="shared" si="3"/>
        <v>Female CIM 27</v>
      </c>
      <c r="E807" s="133">
        <v>1</v>
      </c>
      <c r="F807" s="133">
        <v>0</v>
      </c>
    </row>
    <row r="808" spans="1:6" ht="14.25" customHeight="1" x14ac:dyDescent="0.3">
      <c r="A808" s="133" t="s">
        <v>252</v>
      </c>
      <c r="B808" s="133" t="s">
        <v>6</v>
      </c>
      <c r="C808" s="133">
        <v>28</v>
      </c>
      <c r="D808" s="133" t="str">
        <f t="shared" si="3"/>
        <v>Female CIM 28</v>
      </c>
      <c r="E808" s="133">
        <v>1</v>
      </c>
      <c r="F808" s="133">
        <v>0</v>
      </c>
    </row>
    <row r="809" spans="1:6" ht="14.25" customHeight="1" x14ac:dyDescent="0.3">
      <c r="A809" s="133" t="s">
        <v>252</v>
      </c>
      <c r="B809" s="133" t="s">
        <v>6</v>
      </c>
      <c r="C809" s="133">
        <v>30</v>
      </c>
      <c r="D809" s="133" t="str">
        <f t="shared" si="3"/>
        <v>Female CIM 30</v>
      </c>
      <c r="E809" s="133">
        <v>1</v>
      </c>
      <c r="F809" s="133">
        <v>0</v>
      </c>
    </row>
    <row r="810" spans="1:6" ht="14.25" customHeight="1" x14ac:dyDescent="0.3">
      <c r="A810" s="133" t="s">
        <v>252</v>
      </c>
      <c r="B810" s="133" t="s">
        <v>6</v>
      </c>
      <c r="C810" s="133">
        <v>35</v>
      </c>
      <c r="D810" s="133" t="str">
        <f t="shared" si="3"/>
        <v>Female CIM 35</v>
      </c>
      <c r="E810" s="133">
        <v>1</v>
      </c>
      <c r="F810" s="133">
        <v>0</v>
      </c>
    </row>
    <row r="811" spans="1:6" ht="14.25" customHeight="1" x14ac:dyDescent="0.3">
      <c r="A811" s="133" t="s">
        <v>252</v>
      </c>
      <c r="B811" s="133" t="s">
        <v>6</v>
      </c>
      <c r="C811" s="133">
        <v>36</v>
      </c>
      <c r="D811" s="133" t="str">
        <f t="shared" si="3"/>
        <v>Female CIM 36</v>
      </c>
      <c r="E811" s="133">
        <v>1</v>
      </c>
      <c r="F811" s="133">
        <v>0</v>
      </c>
    </row>
    <row r="812" spans="1:6" ht="14.25" customHeight="1" x14ac:dyDescent="0.3">
      <c r="A812" s="133" t="s">
        <v>252</v>
      </c>
      <c r="B812" s="133" t="s">
        <v>6</v>
      </c>
      <c r="C812" s="133">
        <v>40</v>
      </c>
      <c r="D812" s="133" t="str">
        <f t="shared" si="3"/>
        <v>Female CIM 40</v>
      </c>
      <c r="E812" s="133">
        <v>1</v>
      </c>
      <c r="F812" s="133">
        <v>0</v>
      </c>
    </row>
    <row r="813" spans="1:6" ht="14.25" customHeight="1" x14ac:dyDescent="0.3">
      <c r="A813" s="133" t="s">
        <v>252</v>
      </c>
      <c r="B813" s="133" t="s">
        <v>6</v>
      </c>
      <c r="C813" s="133">
        <v>45</v>
      </c>
      <c r="D813" s="133" t="str">
        <f t="shared" si="3"/>
        <v>Female CIM 45</v>
      </c>
      <c r="E813" s="133">
        <v>0</v>
      </c>
      <c r="F813" s="133">
        <v>0</v>
      </c>
    </row>
    <row r="814" spans="1:6" ht="14.25" customHeight="1" x14ac:dyDescent="0.3">
      <c r="A814" s="133" t="s">
        <v>252</v>
      </c>
      <c r="B814" s="133" t="s">
        <v>6</v>
      </c>
      <c r="C814" s="133">
        <v>49</v>
      </c>
      <c r="D814" s="133" t="str">
        <f t="shared" si="3"/>
        <v>Female CIM 49</v>
      </c>
      <c r="E814" s="133">
        <v>0</v>
      </c>
      <c r="F814" s="133">
        <v>0</v>
      </c>
    </row>
    <row r="815" spans="1:6" ht="14.25" customHeight="1" x14ac:dyDescent="0.3">
      <c r="A815" s="133" t="s">
        <v>252</v>
      </c>
      <c r="B815" s="133" t="s">
        <v>6</v>
      </c>
      <c r="C815" s="133">
        <v>50</v>
      </c>
      <c r="D815" s="133" t="str">
        <f t="shared" si="3"/>
        <v>Female CIM 50</v>
      </c>
      <c r="E815" s="133">
        <v>0</v>
      </c>
      <c r="F815" s="133">
        <v>0</v>
      </c>
    </row>
    <row r="816" spans="1:6" ht="14.25" customHeight="1" x14ac:dyDescent="0.3">
      <c r="A816" s="133" t="s">
        <v>252</v>
      </c>
      <c r="B816" s="133" t="s">
        <v>6</v>
      </c>
      <c r="C816" s="133">
        <v>63</v>
      </c>
      <c r="D816" s="133" t="str">
        <f t="shared" si="3"/>
        <v>Female CIM 63</v>
      </c>
      <c r="E816" s="133">
        <v>0</v>
      </c>
      <c r="F816" s="133">
        <v>0</v>
      </c>
    </row>
    <row r="817" spans="1:6" ht="14.25" customHeight="1" x14ac:dyDescent="0.3">
      <c r="A817" s="133" t="s">
        <v>252</v>
      </c>
      <c r="B817" s="133" t="s">
        <v>6</v>
      </c>
      <c r="C817" s="133">
        <v>70</v>
      </c>
      <c r="D817" s="133" t="str">
        <f t="shared" si="3"/>
        <v>Female CIM 70</v>
      </c>
      <c r="E817" s="133">
        <v>0</v>
      </c>
      <c r="F817" s="133">
        <v>0</v>
      </c>
    </row>
    <row r="818" spans="1:6" ht="14.25" customHeight="1" x14ac:dyDescent="0.3">
      <c r="A818" s="133" t="s">
        <v>252</v>
      </c>
      <c r="B818" s="133" t="s">
        <v>6</v>
      </c>
      <c r="C818" s="133">
        <v>81</v>
      </c>
      <c r="D818" s="133" t="str">
        <f t="shared" si="3"/>
        <v>Female CIM 81</v>
      </c>
      <c r="E818" s="133">
        <v>0</v>
      </c>
      <c r="F818" s="133">
        <v>0</v>
      </c>
    </row>
    <row r="819" spans="1:6" ht="14.25" customHeight="1" x14ac:dyDescent="0.3">
      <c r="A819" s="133" t="s">
        <v>252</v>
      </c>
      <c r="B819" s="133" t="s">
        <v>6</v>
      </c>
      <c r="C819" s="133">
        <v>90</v>
      </c>
      <c r="D819" s="133" t="str">
        <f t="shared" si="3"/>
        <v>Female CIM 90</v>
      </c>
      <c r="E819" s="133">
        <v>0</v>
      </c>
      <c r="F819" s="133">
        <v>0</v>
      </c>
    </row>
    <row r="820" spans="1:6" ht="14.25" customHeight="1" x14ac:dyDescent="0.3">
      <c r="A820" s="133" t="s">
        <v>252</v>
      </c>
      <c r="B820" s="133" t="s">
        <v>6</v>
      </c>
      <c r="C820" s="133">
        <v>100</v>
      </c>
      <c r="D820" s="133" t="str">
        <f t="shared" si="3"/>
        <v>Female CIM 100</v>
      </c>
      <c r="E820" s="133">
        <v>0</v>
      </c>
      <c r="F820" s="133">
        <v>0</v>
      </c>
    </row>
    <row r="821" spans="1:6" ht="14.25" customHeight="1" x14ac:dyDescent="0.3">
      <c r="A821" s="133" t="s">
        <v>252</v>
      </c>
      <c r="B821" s="133" t="s">
        <v>259</v>
      </c>
      <c r="C821" s="133">
        <v>9</v>
      </c>
      <c r="D821" s="133" t="str">
        <f t="shared" si="3"/>
        <v>Female 775pro 9</v>
      </c>
      <c r="E821" s="133">
        <v>10</v>
      </c>
      <c r="F821" s="133">
        <v>5</v>
      </c>
    </row>
    <row r="822" spans="1:6" ht="14.25" customHeight="1" x14ac:dyDescent="0.3">
      <c r="A822" s="133" t="s">
        <v>252</v>
      </c>
      <c r="B822" s="133" t="s">
        <v>259</v>
      </c>
      <c r="C822" s="133">
        <v>12</v>
      </c>
      <c r="D822" s="133" t="str">
        <f t="shared" si="3"/>
        <v>Female 775pro 12</v>
      </c>
      <c r="E822" s="133">
        <v>10</v>
      </c>
      <c r="F822" s="133">
        <v>4</v>
      </c>
    </row>
    <row r="823" spans="1:6" ht="14.25" customHeight="1" x14ac:dyDescent="0.3">
      <c r="A823" s="133" t="s">
        <v>252</v>
      </c>
      <c r="B823" s="133" t="s">
        <v>259</v>
      </c>
      <c r="C823" s="133">
        <v>15</v>
      </c>
      <c r="D823" s="133" t="str">
        <f t="shared" si="3"/>
        <v>Female 775pro 15</v>
      </c>
      <c r="E823" s="133">
        <v>10</v>
      </c>
      <c r="F823" s="133">
        <v>3</v>
      </c>
    </row>
    <row r="824" spans="1:6" ht="14.25" customHeight="1" x14ac:dyDescent="0.3">
      <c r="A824" s="133" t="s">
        <v>252</v>
      </c>
      <c r="B824" s="133" t="s">
        <v>259</v>
      </c>
      <c r="C824" s="133">
        <v>16</v>
      </c>
      <c r="D824" s="133" t="str">
        <f t="shared" si="3"/>
        <v>Female 775pro 16</v>
      </c>
      <c r="E824" s="133">
        <v>10</v>
      </c>
      <c r="F824" s="133">
        <v>3</v>
      </c>
    </row>
    <row r="825" spans="1:6" ht="14.25" customHeight="1" x14ac:dyDescent="0.3">
      <c r="A825" s="133" t="s">
        <v>252</v>
      </c>
      <c r="B825" s="133" t="s">
        <v>259</v>
      </c>
      <c r="C825" s="133">
        <v>20</v>
      </c>
      <c r="D825" s="133" t="str">
        <f t="shared" si="3"/>
        <v>Female 775pro 20</v>
      </c>
      <c r="E825" s="133">
        <v>10</v>
      </c>
      <c r="F825" s="133">
        <v>1</v>
      </c>
    </row>
    <row r="826" spans="1:6" ht="14.25" customHeight="1" x14ac:dyDescent="0.3">
      <c r="A826" s="133" t="s">
        <v>252</v>
      </c>
      <c r="B826" s="133" t="s">
        <v>259</v>
      </c>
      <c r="C826" s="133">
        <v>21</v>
      </c>
      <c r="D826" s="133" t="str">
        <f t="shared" si="3"/>
        <v>Female 775pro 21</v>
      </c>
      <c r="E826" s="133">
        <v>10</v>
      </c>
      <c r="F826" s="133">
        <v>1</v>
      </c>
    </row>
    <row r="827" spans="1:6" ht="14.25" customHeight="1" x14ac:dyDescent="0.3">
      <c r="A827" s="133" t="s">
        <v>252</v>
      </c>
      <c r="B827" s="133" t="s">
        <v>259</v>
      </c>
      <c r="C827" s="133">
        <v>25</v>
      </c>
      <c r="D827" s="133" t="str">
        <f t="shared" si="3"/>
        <v>Female 775pro 25</v>
      </c>
      <c r="E827" s="133">
        <v>7</v>
      </c>
      <c r="F827" s="133">
        <v>1</v>
      </c>
    </row>
    <row r="828" spans="1:6" ht="14.25" customHeight="1" x14ac:dyDescent="0.3">
      <c r="A828" s="133" t="s">
        <v>252</v>
      </c>
      <c r="B828" s="133" t="s">
        <v>259</v>
      </c>
      <c r="C828" s="133">
        <v>27</v>
      </c>
      <c r="D828" s="133" t="str">
        <f t="shared" si="3"/>
        <v>Female 775pro 27</v>
      </c>
      <c r="E828" s="133">
        <v>7</v>
      </c>
      <c r="F828" s="133">
        <v>1</v>
      </c>
    </row>
    <row r="829" spans="1:6" ht="14.25" customHeight="1" x14ac:dyDescent="0.3">
      <c r="A829" s="133" t="s">
        <v>252</v>
      </c>
      <c r="B829" s="133" t="s">
        <v>259</v>
      </c>
      <c r="C829" s="133">
        <v>28</v>
      </c>
      <c r="D829" s="133" t="str">
        <f t="shared" si="3"/>
        <v>Female 775pro 28</v>
      </c>
      <c r="E829" s="133">
        <v>7</v>
      </c>
      <c r="F829" s="133">
        <v>1</v>
      </c>
    </row>
    <row r="830" spans="1:6" ht="14.25" customHeight="1" x14ac:dyDescent="0.3">
      <c r="A830" s="133" t="s">
        <v>252</v>
      </c>
      <c r="B830" s="133" t="s">
        <v>259</v>
      </c>
      <c r="C830" s="133">
        <v>30</v>
      </c>
      <c r="D830" s="133" t="str">
        <f t="shared" si="3"/>
        <v>Female 775pro 30</v>
      </c>
      <c r="E830" s="133">
        <v>7</v>
      </c>
      <c r="F830" s="133">
        <v>1</v>
      </c>
    </row>
    <row r="831" spans="1:6" ht="14.25" customHeight="1" x14ac:dyDescent="0.3">
      <c r="A831" s="133" t="s">
        <v>252</v>
      </c>
      <c r="B831" s="133" t="s">
        <v>259</v>
      </c>
      <c r="C831" s="133">
        <v>35</v>
      </c>
      <c r="D831" s="133" t="str">
        <f t="shared" si="3"/>
        <v>Female 775pro 35</v>
      </c>
      <c r="E831" s="133">
        <v>5</v>
      </c>
      <c r="F831" s="133">
        <v>1</v>
      </c>
    </row>
    <row r="832" spans="1:6" ht="14.25" customHeight="1" x14ac:dyDescent="0.3">
      <c r="A832" s="133" t="s">
        <v>252</v>
      </c>
      <c r="B832" s="133" t="s">
        <v>259</v>
      </c>
      <c r="C832" s="133">
        <v>36</v>
      </c>
      <c r="D832" s="133" t="str">
        <f t="shared" si="3"/>
        <v>Female 775pro 36</v>
      </c>
      <c r="E832" s="133">
        <v>5</v>
      </c>
      <c r="F832" s="133">
        <v>1</v>
      </c>
    </row>
    <row r="833" spans="1:6" ht="14.25" customHeight="1" x14ac:dyDescent="0.3">
      <c r="A833" s="133" t="s">
        <v>252</v>
      </c>
      <c r="B833" s="133" t="s">
        <v>259</v>
      </c>
      <c r="C833" s="133">
        <v>40</v>
      </c>
      <c r="D833" s="133" t="str">
        <f t="shared" si="3"/>
        <v>Female 775pro 40</v>
      </c>
      <c r="E833" s="133">
        <v>5</v>
      </c>
      <c r="F833" s="133">
        <v>1</v>
      </c>
    </row>
    <row r="834" spans="1:6" ht="14.25" customHeight="1" x14ac:dyDescent="0.3">
      <c r="A834" s="133" t="s">
        <v>252</v>
      </c>
      <c r="B834" s="133" t="s">
        <v>259</v>
      </c>
      <c r="C834" s="133">
        <v>45</v>
      </c>
      <c r="D834" s="133" t="str">
        <f t="shared" si="3"/>
        <v>Female 775pro 45</v>
      </c>
      <c r="E834" s="133">
        <v>4</v>
      </c>
      <c r="F834" s="133">
        <v>1</v>
      </c>
    </row>
    <row r="835" spans="1:6" ht="14.25" customHeight="1" x14ac:dyDescent="0.3">
      <c r="A835" s="133" t="s">
        <v>252</v>
      </c>
      <c r="B835" s="133" t="s">
        <v>259</v>
      </c>
      <c r="C835" s="133">
        <v>49</v>
      </c>
      <c r="D835" s="133" t="str">
        <f t="shared" si="3"/>
        <v>Female 775pro 49</v>
      </c>
      <c r="E835" s="133">
        <v>4</v>
      </c>
      <c r="F835" s="133">
        <v>1</v>
      </c>
    </row>
    <row r="836" spans="1:6" ht="14.25" customHeight="1" x14ac:dyDescent="0.3">
      <c r="A836" s="133" t="s">
        <v>252</v>
      </c>
      <c r="B836" s="133" t="s">
        <v>259</v>
      </c>
      <c r="C836" s="133">
        <v>50</v>
      </c>
      <c r="D836" s="133" t="str">
        <f t="shared" si="3"/>
        <v>Female 775pro 50</v>
      </c>
      <c r="E836" s="133">
        <v>4</v>
      </c>
      <c r="F836" s="133">
        <v>0</v>
      </c>
    </row>
    <row r="837" spans="1:6" ht="14.25" customHeight="1" x14ac:dyDescent="0.3">
      <c r="A837" s="133" t="s">
        <v>252</v>
      </c>
      <c r="B837" s="133" t="s">
        <v>259</v>
      </c>
      <c r="C837" s="133">
        <v>63</v>
      </c>
      <c r="D837" s="133" t="str">
        <f t="shared" si="3"/>
        <v>Female 775pro 63</v>
      </c>
      <c r="E837" s="133">
        <v>3</v>
      </c>
      <c r="F837" s="133">
        <v>0</v>
      </c>
    </row>
    <row r="838" spans="1:6" ht="14.25" customHeight="1" x14ac:dyDescent="0.3">
      <c r="A838" s="133" t="s">
        <v>252</v>
      </c>
      <c r="B838" s="133" t="s">
        <v>259</v>
      </c>
      <c r="C838" s="133">
        <v>70</v>
      </c>
      <c r="D838" s="133" t="str">
        <f t="shared" si="3"/>
        <v>Female 775pro 70</v>
      </c>
      <c r="E838" s="133">
        <v>3</v>
      </c>
      <c r="F838" s="133">
        <v>0</v>
      </c>
    </row>
    <row r="839" spans="1:6" ht="14.25" customHeight="1" x14ac:dyDescent="0.3">
      <c r="A839" s="133" t="s">
        <v>252</v>
      </c>
      <c r="B839" s="133" t="s">
        <v>259</v>
      </c>
      <c r="C839" s="133">
        <v>81</v>
      </c>
      <c r="D839" s="133" t="str">
        <f t="shared" si="3"/>
        <v>Female 775pro 81</v>
      </c>
      <c r="E839" s="133">
        <v>1</v>
      </c>
      <c r="F839" s="133">
        <v>0</v>
      </c>
    </row>
    <row r="840" spans="1:6" ht="14.25" customHeight="1" x14ac:dyDescent="0.3">
      <c r="A840" s="133" t="s">
        <v>252</v>
      </c>
      <c r="B840" s="133" t="s">
        <v>259</v>
      </c>
      <c r="C840" s="133">
        <v>90</v>
      </c>
      <c r="D840" s="133" t="str">
        <f t="shared" si="3"/>
        <v>Female 775pro 90</v>
      </c>
      <c r="E840" s="133">
        <v>1</v>
      </c>
      <c r="F840" s="133">
        <v>0</v>
      </c>
    </row>
    <row r="841" spans="1:6" ht="14.25" customHeight="1" x14ac:dyDescent="0.3">
      <c r="A841" s="133" t="s">
        <v>252</v>
      </c>
      <c r="B841" s="133" t="s">
        <v>259</v>
      </c>
      <c r="C841" s="133">
        <v>100</v>
      </c>
      <c r="D841" s="133" t="str">
        <f t="shared" si="3"/>
        <v>Female 775pro 100</v>
      </c>
      <c r="E841" s="133">
        <v>1</v>
      </c>
      <c r="F841" s="133">
        <v>0</v>
      </c>
    </row>
    <row r="842" spans="1:6" ht="14.25" customHeight="1" x14ac:dyDescent="0.25"/>
    <row r="843" spans="1:6" ht="14.25" customHeight="1" x14ac:dyDescent="0.25"/>
    <row r="844" spans="1:6" ht="14.25" customHeight="1" x14ac:dyDescent="0.25"/>
    <row r="845" spans="1:6" ht="14.25" customHeight="1" x14ac:dyDescent="0.25"/>
    <row r="846" spans="1:6" ht="14.25" customHeight="1" x14ac:dyDescent="0.25"/>
    <row r="847" spans="1:6" ht="14.25" customHeight="1" x14ac:dyDescent="0.25"/>
    <row r="848" spans="1:6"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B1:N25"/>
  <sheetViews>
    <sheetView workbookViewId="0"/>
  </sheetViews>
  <sheetFormatPr defaultColWidth="14" defaultRowHeight="14.25" customHeight="1" x14ac:dyDescent="0.3"/>
  <cols>
    <col min="1" max="1" width="7.109375" style="145" customWidth="1"/>
    <col min="2" max="2" width="3.33203125" style="145" customWidth="1"/>
    <col min="3" max="3" width="18.109375" style="145" customWidth="1"/>
    <col min="4" max="4" width="12.44140625" style="145" customWidth="1"/>
    <col min="5" max="5" width="8.44140625" style="145" customWidth="1"/>
    <col min="6" max="6" width="26.109375" style="145" customWidth="1"/>
    <col min="7" max="7" width="8.44140625" style="145" customWidth="1"/>
    <col min="8" max="8" width="4.44140625" style="145" customWidth="1"/>
    <col min="9" max="9" width="16.33203125" style="145" customWidth="1"/>
    <col min="10" max="10" width="6.44140625" style="145" customWidth="1"/>
    <col min="11" max="11" width="3.6640625" style="145" customWidth="1"/>
    <col min="12" max="12" width="21.88671875" style="145" customWidth="1"/>
    <col min="13" max="27" width="8.44140625" style="145" customWidth="1"/>
    <col min="28" max="16384" width="14" style="145"/>
  </cols>
  <sheetData>
    <row r="1" spans="2:14" s="138" customFormat="1" ht="14.25" customHeight="1" x14ac:dyDescent="0.3"/>
    <row r="2" spans="2:14" s="138" customFormat="1" ht="31.2" customHeight="1" x14ac:dyDescent="0.3">
      <c r="C2" s="2" t="s">
        <v>327</v>
      </c>
    </row>
    <row r="3" spans="2:14" s="138" customFormat="1" ht="14.25" customHeight="1" x14ac:dyDescent="0.3"/>
    <row r="4" spans="2:14" s="138" customFormat="1" ht="14.25" customHeight="1" x14ac:dyDescent="0.3">
      <c r="B4" s="8" t="b">
        <v>0</v>
      </c>
      <c r="C4" s="138" t="s">
        <v>0</v>
      </c>
    </row>
    <row r="5" spans="2:14" ht="18" customHeight="1" x14ac:dyDescent="0.3">
      <c r="H5" s="215" t="s">
        <v>328</v>
      </c>
      <c r="I5" s="216"/>
      <c r="K5" s="215" t="s">
        <v>329</v>
      </c>
      <c r="L5" s="216"/>
    </row>
    <row r="6" spans="2:14" ht="14.25" customHeight="1" x14ac:dyDescent="0.3">
      <c r="C6" s="146" t="s">
        <v>313</v>
      </c>
      <c r="D6" s="163" t="s">
        <v>259</v>
      </c>
      <c r="F6" s="217" t="s">
        <v>314</v>
      </c>
      <c r="H6" s="147" t="s">
        <v>315</v>
      </c>
      <c r="I6" s="148" t="s">
        <v>316</v>
      </c>
      <c r="J6" s="149"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217-4974,217-6342,217-2701,217-6432,217-2816,217-2819,217-2816,217-2818,217-5046,</v>
      </c>
      <c r="K6" s="147" t="s">
        <v>315</v>
      </c>
      <c r="L6" s="148" t="s">
        <v>316</v>
      </c>
      <c r="M6" s="149"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217-5823,217-6342,217-2701,217-6432,217-5832,217-2819,217-5832,217-2818,217-5046,</v>
      </c>
      <c r="N6" s="150" t="s">
        <v>332</v>
      </c>
    </row>
    <row r="7" spans="2:14" ht="14.25" customHeight="1" x14ac:dyDescent="0.3">
      <c r="C7" s="146" t="s">
        <v>317</v>
      </c>
      <c r="D7" s="163" t="s">
        <v>281</v>
      </c>
      <c r="E7" s="149">
        <f>IF(D7="None",1,2*IF(D7="Dual Motor",1,VALUE(LEFT(RIGHT(D7, LEN(D7)-FIND("~",SUBSTITUTE(D7," ","~",2))), LEN(D7)-FIND("~",SUBSTITUTE(D7," ","~",2))-2))))</f>
        <v>2</v>
      </c>
      <c r="F7" s="218"/>
      <c r="H7" s="151">
        <f t="shared" ref="H7:H24" si="0">IF(LEN(J6)&gt;0, (LEN(J6)-LEN(J7))/9, "")</f>
        <v>1</v>
      </c>
      <c r="I7" s="152" t="str">
        <f t="shared" ref="I7:I24" si="1">LEFT(J6, 8)</f>
        <v>217-4974</v>
      </c>
      <c r="J7" s="149" t="str">
        <f t="shared" ref="J7:J24" si="2">SUBSTITUTE(J6, I7&amp;",", "")</f>
        <v>217-6342,217-2701,217-6432,217-2816,217-2819,217-2816,217-2818,217-5046,</v>
      </c>
      <c r="K7" s="151">
        <f t="shared" ref="K7:K24" si="3">IF(LEN(M6)&gt;0, (LEN(M6)-LEN(M7))/9, "")</f>
        <v>1</v>
      </c>
      <c r="L7" s="152" t="str">
        <f t="shared" ref="L7:L24" si="4">LEFT(M6, 8)</f>
        <v>217-5823</v>
      </c>
      <c r="M7" s="149" t="str">
        <f t="shared" ref="M7:M24" si="5">SUBSTITUTE(M6, L7&amp;",", "")</f>
        <v>217-6342,217-2701,217-6432,217-5832,217-2819,217-5832,217-2818,217-5046,</v>
      </c>
      <c r="N7" s="150" t="s">
        <v>332</v>
      </c>
    </row>
    <row r="8" spans="2:14" ht="14.25" customHeight="1" x14ac:dyDescent="0.3">
      <c r="C8" s="146" t="s">
        <v>330</v>
      </c>
      <c r="D8" s="163" t="s">
        <v>306</v>
      </c>
      <c r="F8" s="218"/>
      <c r="H8" s="151">
        <f t="shared" si="0"/>
        <v>1</v>
      </c>
      <c r="I8" s="152" t="str">
        <f t="shared" si="1"/>
        <v>217-6342</v>
      </c>
      <c r="J8" s="149" t="str">
        <f t="shared" si="2"/>
        <v>217-2701,217-6432,217-2816,217-2819,217-2816,217-2818,217-5046,</v>
      </c>
      <c r="K8" s="151">
        <f t="shared" si="3"/>
        <v>1</v>
      </c>
      <c r="L8" s="152" t="str">
        <f t="shared" si="4"/>
        <v>217-6342</v>
      </c>
      <c r="M8" s="149" t="str">
        <f t="shared" si="5"/>
        <v>217-2701,217-6432,217-5832,217-2819,217-5832,217-2818,217-5046,</v>
      </c>
      <c r="N8" s="150" t="s">
        <v>332</v>
      </c>
    </row>
    <row r="9" spans="2:14" ht="14.25" customHeight="1" x14ac:dyDescent="0.3">
      <c r="C9" s="146" t="s">
        <v>318</v>
      </c>
      <c r="D9" s="164" t="s">
        <v>268</v>
      </c>
      <c r="F9" s="218"/>
      <c r="H9" s="151">
        <f t="shared" si="0"/>
        <v>1</v>
      </c>
      <c r="I9" s="152" t="str">
        <f t="shared" si="1"/>
        <v>217-2701</v>
      </c>
      <c r="J9" s="149" t="str">
        <f t="shared" si="2"/>
        <v>217-6432,217-2816,217-2819,217-2816,217-2818,217-5046,</v>
      </c>
      <c r="K9" s="151">
        <f t="shared" si="3"/>
        <v>1</v>
      </c>
      <c r="L9" s="152" t="str">
        <f t="shared" si="4"/>
        <v>217-2701</v>
      </c>
      <c r="M9" s="149" t="str">
        <f t="shared" si="5"/>
        <v>217-6432,217-5832,217-2819,217-5832,217-2818,217-5046,</v>
      </c>
      <c r="N9" s="150" t="s">
        <v>332</v>
      </c>
    </row>
    <row r="10" spans="2:14" ht="14.25" customHeight="1" x14ac:dyDescent="0.3">
      <c r="C10" s="146" t="s">
        <v>319</v>
      </c>
      <c r="D10" s="164" t="s">
        <v>265</v>
      </c>
      <c r="F10" s="219"/>
      <c r="H10" s="151">
        <f t="shared" si="0"/>
        <v>1</v>
      </c>
      <c r="I10" s="152" t="str">
        <f t="shared" si="1"/>
        <v>217-6432</v>
      </c>
      <c r="J10" s="149" t="str">
        <f t="shared" si="2"/>
        <v>217-2816,217-2819,217-2816,217-2818,217-5046,</v>
      </c>
      <c r="K10" s="151">
        <f t="shared" si="3"/>
        <v>1</v>
      </c>
      <c r="L10" s="152" t="str">
        <f t="shared" si="4"/>
        <v>217-6432</v>
      </c>
      <c r="M10" s="149" t="str">
        <f t="shared" si="5"/>
        <v>217-5832,217-2819,217-5832,217-2818,217-5046,</v>
      </c>
      <c r="N10" s="150" t="s">
        <v>332</v>
      </c>
    </row>
    <row r="11" spans="2:14" ht="14.25" customHeight="1" x14ac:dyDescent="0.3">
      <c r="C11" s="146" t="s">
        <v>238</v>
      </c>
      <c r="D11" s="164" t="s">
        <v>261</v>
      </c>
      <c r="H11" s="151">
        <f t="shared" si="0"/>
        <v>2</v>
      </c>
      <c r="I11" s="152" t="str">
        <f t="shared" si="1"/>
        <v>217-2816</v>
      </c>
      <c r="J11" s="149" t="str">
        <f t="shared" si="2"/>
        <v>217-2819,217-2818,217-5046,</v>
      </c>
      <c r="K11" s="151">
        <f t="shared" si="3"/>
        <v>2</v>
      </c>
      <c r="L11" s="152" t="str">
        <f t="shared" si="4"/>
        <v>217-5832</v>
      </c>
      <c r="M11" s="149" t="str">
        <f t="shared" si="5"/>
        <v>217-2819,217-2818,217-5046,</v>
      </c>
      <c r="N11" s="150" t="s">
        <v>332</v>
      </c>
    </row>
    <row r="12" spans="2:14" ht="14.25" customHeight="1" x14ac:dyDescent="0.3">
      <c r="C12" s="146" t="s">
        <v>307</v>
      </c>
      <c r="D12" s="163" t="s">
        <v>306</v>
      </c>
      <c r="F12" s="217" t="s">
        <v>320</v>
      </c>
      <c r="G12" s="153"/>
      <c r="H12" s="151">
        <f t="shared" si="0"/>
        <v>1</v>
      </c>
      <c r="I12" s="152" t="str">
        <f t="shared" si="1"/>
        <v>217-2819</v>
      </c>
      <c r="J12" s="149" t="str">
        <f t="shared" si="2"/>
        <v>217-2818,217-5046,</v>
      </c>
      <c r="K12" s="151">
        <f t="shared" si="3"/>
        <v>1</v>
      </c>
      <c r="L12" s="152" t="str">
        <f t="shared" si="4"/>
        <v>217-2819</v>
      </c>
      <c r="M12" s="149" t="str">
        <f t="shared" si="5"/>
        <v>217-2818,217-5046,</v>
      </c>
    </row>
    <row r="13" spans="2:14" ht="14.25" customHeight="1" x14ac:dyDescent="0.3">
      <c r="C13" s="146" t="s">
        <v>309</v>
      </c>
      <c r="D13" s="163" t="s">
        <v>306</v>
      </c>
      <c r="F13" s="218"/>
      <c r="G13" s="153"/>
      <c r="H13" s="151">
        <f t="shared" si="0"/>
        <v>1</v>
      </c>
      <c r="I13" s="152" t="str">
        <f t="shared" si="1"/>
        <v>217-2818</v>
      </c>
      <c r="J13" s="149" t="str">
        <f t="shared" si="2"/>
        <v>217-5046,</v>
      </c>
      <c r="K13" s="151">
        <f t="shared" si="3"/>
        <v>1</v>
      </c>
      <c r="L13" s="152" t="str">
        <f t="shared" si="4"/>
        <v>217-2818</v>
      </c>
      <c r="M13" s="149" t="str">
        <f t="shared" si="5"/>
        <v>217-5046,</v>
      </c>
    </row>
    <row r="14" spans="2:14" ht="14.25" customHeight="1" x14ac:dyDescent="0.3">
      <c r="C14" s="146" t="s">
        <v>311</v>
      </c>
      <c r="D14" s="163" t="s">
        <v>60</v>
      </c>
      <c r="F14" s="219"/>
      <c r="G14" s="153"/>
      <c r="H14" s="151">
        <f t="shared" si="0"/>
        <v>1</v>
      </c>
      <c r="I14" s="152" t="str">
        <f t="shared" si="1"/>
        <v>217-5046</v>
      </c>
      <c r="J14" s="149" t="str">
        <f t="shared" si="2"/>
        <v/>
      </c>
      <c r="K14" s="151">
        <f t="shared" si="3"/>
        <v>1</v>
      </c>
      <c r="L14" s="152" t="str">
        <f t="shared" si="4"/>
        <v>217-5046</v>
      </c>
      <c r="M14" s="149" t="str">
        <f t="shared" si="5"/>
        <v/>
      </c>
    </row>
    <row r="15" spans="2:14" ht="14.25" customHeight="1" thickBot="1" x14ac:dyDescent="0.35">
      <c r="C15" s="146" t="s">
        <v>235</v>
      </c>
      <c r="D15" s="163" t="s">
        <v>246</v>
      </c>
      <c r="F15" s="154"/>
      <c r="G15" s="153"/>
      <c r="H15" s="151" t="str">
        <f t="shared" si="0"/>
        <v/>
      </c>
      <c r="I15" s="152" t="str">
        <f t="shared" si="1"/>
        <v/>
      </c>
      <c r="J15" s="149" t="str">
        <f t="shared" si="2"/>
        <v/>
      </c>
      <c r="K15" s="151" t="str">
        <f t="shared" si="3"/>
        <v/>
      </c>
      <c r="L15" s="152" t="str">
        <f t="shared" si="4"/>
        <v/>
      </c>
      <c r="M15" s="149" t="str">
        <f t="shared" si="5"/>
        <v/>
      </c>
    </row>
    <row r="16" spans="2:14" ht="14.25" customHeight="1" x14ac:dyDescent="0.3">
      <c r="F16" s="220" t="s">
        <v>321</v>
      </c>
      <c r="H16" s="151" t="str">
        <f t="shared" si="0"/>
        <v/>
      </c>
      <c r="I16" s="152" t="str">
        <f t="shared" si="1"/>
        <v/>
      </c>
      <c r="J16" s="149" t="str">
        <f t="shared" si="2"/>
        <v/>
      </c>
      <c r="K16" s="151" t="str">
        <f t="shared" si="3"/>
        <v/>
      </c>
      <c r="L16" s="152" t="str">
        <f t="shared" si="4"/>
        <v/>
      </c>
      <c r="M16" s="149" t="str">
        <f t="shared" si="5"/>
        <v/>
      </c>
    </row>
    <row r="17" spans="3:13" ht="14.25" customHeight="1" x14ac:dyDescent="0.3">
      <c r="C17" s="146" t="s">
        <v>336</v>
      </c>
      <c r="D17" s="155">
        <f>VALUE(IF($D$9="None", 1, LEFT($D$9, 2)))*VALUE(IF($D$10="None", 1, LEFT($D$10, 2)))*VALUE(IF($D$11="None", 1, LEFT($D$11, 2)))</f>
        <v>20</v>
      </c>
      <c r="F17" s="221"/>
      <c r="H17" s="151" t="str">
        <f t="shared" si="0"/>
        <v/>
      </c>
      <c r="I17" s="152" t="str">
        <f t="shared" si="1"/>
        <v/>
      </c>
      <c r="J17" s="149" t="str">
        <f t="shared" si="2"/>
        <v/>
      </c>
      <c r="K17" s="151" t="str">
        <f t="shared" si="3"/>
        <v/>
      </c>
      <c r="L17" s="152" t="str">
        <f t="shared" si="4"/>
        <v/>
      </c>
      <c r="M17" s="149" t="str">
        <f t="shared" si="5"/>
        <v/>
      </c>
    </row>
    <row r="18" spans="3:13" ht="14.25" customHeight="1" thickBot="1" x14ac:dyDescent="0.35">
      <c r="C18" s="146" t="s">
        <v>326</v>
      </c>
      <c r="D18" s="156">
        <f>VLOOKUP($D$6, MotorSpecs, 2, FALSE)/D17</f>
        <v>936.5</v>
      </c>
      <c r="F18" s="222"/>
      <c r="H18" s="151" t="str">
        <f t="shared" si="0"/>
        <v/>
      </c>
      <c r="I18" s="152" t="str">
        <f t="shared" si="1"/>
        <v/>
      </c>
      <c r="J18" s="149" t="str">
        <f t="shared" si="2"/>
        <v/>
      </c>
      <c r="K18" s="151" t="str">
        <f t="shared" si="3"/>
        <v/>
      </c>
      <c r="L18" s="152" t="str">
        <f t="shared" si="4"/>
        <v/>
      </c>
      <c r="M18" s="149" t="str">
        <f t="shared" si="5"/>
        <v/>
      </c>
    </row>
    <row r="19" spans="3:13" ht="14.25" customHeight="1" thickBot="1" x14ac:dyDescent="0.35">
      <c r="C19" s="146" t="str">
        <f>"Stall Torque ("&amp;IF($B$4,"Nm","ft-lbs")&amp;")"</f>
        <v>Stall Torque (ft-lbs)</v>
      </c>
      <c r="D19" s="157">
        <f>VLOOKUP($D$6,MotorSpecs,3,FALSE)*D17*IF($B$4,1,0.73756)</f>
        <v>10.473352</v>
      </c>
      <c r="F19" s="158"/>
      <c r="H19" s="151" t="str">
        <f t="shared" si="0"/>
        <v/>
      </c>
      <c r="I19" s="152" t="str">
        <f t="shared" si="1"/>
        <v/>
      </c>
      <c r="J19" s="149" t="str">
        <f t="shared" si="2"/>
        <v/>
      </c>
      <c r="K19" s="151" t="str">
        <f t="shared" si="3"/>
        <v/>
      </c>
      <c r="L19" s="152" t="str">
        <f t="shared" si="4"/>
        <v/>
      </c>
      <c r="M19" s="149" t="str">
        <f t="shared" si="5"/>
        <v/>
      </c>
    </row>
    <row r="20" spans="3:13" ht="14.25" customHeight="1" x14ac:dyDescent="0.3">
      <c r="F20" s="220" t="s">
        <v>331</v>
      </c>
      <c r="H20" s="151" t="str">
        <f t="shared" si="0"/>
        <v/>
      </c>
      <c r="I20" s="152" t="str">
        <f t="shared" si="1"/>
        <v/>
      </c>
      <c r="J20" s="149" t="str">
        <f t="shared" si="2"/>
        <v/>
      </c>
      <c r="K20" s="151" t="str">
        <f t="shared" si="3"/>
        <v/>
      </c>
      <c r="L20" s="152" t="str">
        <f t="shared" si="4"/>
        <v/>
      </c>
      <c r="M20" s="149" t="str">
        <f t="shared" si="5"/>
        <v/>
      </c>
    </row>
    <row r="21" spans="3:13" ht="14.25" customHeight="1" x14ac:dyDescent="0.3">
      <c r="C21" s="146" t="s">
        <v>322</v>
      </c>
      <c r="D21" s="159" t="b">
        <f>VLOOKUP($D$15&amp;" "&amp;$D$6&amp;" "&amp;VALUE(IF($D$9="None", 1, LEFT($D$9, 2)))*VALUE(IF($D$10="None", 1, LEFT($D$10, 2))), VP_Load, 2, FALSE)/($E$7*IF($D$8="Yes",2,1))&gt;=VALUE(IF($D$11="None", 1, LEFT($D$11, 2)))</f>
        <v>1</v>
      </c>
      <c r="F21" s="221"/>
      <c r="H21" s="151" t="str">
        <f t="shared" si="0"/>
        <v/>
      </c>
      <c r="I21" s="152" t="str">
        <f t="shared" si="1"/>
        <v/>
      </c>
      <c r="J21" s="149" t="str">
        <f t="shared" si="2"/>
        <v/>
      </c>
      <c r="K21" s="151" t="str">
        <f t="shared" si="3"/>
        <v/>
      </c>
      <c r="L21" s="152" t="str">
        <f t="shared" si="4"/>
        <v/>
      </c>
      <c r="M21" s="149" t="str">
        <f t="shared" si="5"/>
        <v/>
      </c>
    </row>
    <row r="22" spans="3:13" ht="14.25" customHeight="1" x14ac:dyDescent="0.3">
      <c r="C22" s="146" t="s">
        <v>323</v>
      </c>
      <c r="D22" s="159" t="b">
        <f>VLOOKUP($D$15&amp;" "&amp;$D$6&amp;" "&amp;VALUE(IF($D$9="None", 1, LEFT($D$9, 2)))*VALUE(IF($D$10="None", 1, LEFT($D$10, 2))), VP_Load, 3, FALSE)/($E$7*IF($D$8="Yes",2,1))&gt;=VALUE(IF($D$11="None", 1, LEFT($D$11, 2)))</f>
        <v>0</v>
      </c>
      <c r="F22" s="221"/>
      <c r="H22" s="151" t="str">
        <f t="shared" si="0"/>
        <v/>
      </c>
      <c r="I22" s="152" t="str">
        <f t="shared" si="1"/>
        <v/>
      </c>
      <c r="J22" s="149" t="str">
        <f t="shared" si="2"/>
        <v/>
      </c>
      <c r="K22" s="151" t="str">
        <f t="shared" si="3"/>
        <v/>
      </c>
      <c r="L22" s="152" t="str">
        <f t="shared" si="4"/>
        <v/>
      </c>
      <c r="M22" s="149" t="str">
        <f t="shared" si="5"/>
        <v/>
      </c>
    </row>
    <row r="23" spans="3:13" ht="14.25" customHeight="1" thickBot="1" x14ac:dyDescent="0.35">
      <c r="F23" s="222"/>
      <c r="H23" s="151" t="str">
        <f t="shared" si="0"/>
        <v/>
      </c>
      <c r="I23" s="152" t="str">
        <f t="shared" si="1"/>
        <v/>
      </c>
      <c r="J23" s="149" t="str">
        <f t="shared" si="2"/>
        <v/>
      </c>
      <c r="K23" s="151" t="str">
        <f t="shared" si="3"/>
        <v/>
      </c>
      <c r="L23" s="152" t="str">
        <f t="shared" si="4"/>
        <v/>
      </c>
      <c r="M23" s="149" t="str">
        <f t="shared" si="5"/>
        <v/>
      </c>
    </row>
    <row r="24" spans="3:13" ht="14.25" customHeight="1" x14ac:dyDescent="0.3">
      <c r="C24" s="146" t="s">
        <v>324</v>
      </c>
      <c r="D24" s="160">
        <f>VLOOKUP($D$15, VP_Base, 2, FALSE)+VLOOKUP($D$6, VP_Motor, 2, FALSE)+VLOOKUP($D$9, VP_Stage, 2, FALSE)+VLOOKUP($D$10, VP_Stage, 2, FALSE)+VLOOKUP($D$11, VP_Stage, 2, FALSE)+VLOOKUP($D$7, VP_DualMotor, 2, FALSE)+VLOOKUP($D$8, VP_180, 2, FALSE)+VLOOKUP($D$12, VP_90, 2, FALSE)+VLOOKUP($D$13, VP_Ratchet, 2, FALSE)+VLOOKUP($D$14, VP_Encoder, 2, FALSE)</f>
        <v>181.91000000000003</v>
      </c>
      <c r="H24" s="151" t="str">
        <f t="shared" si="0"/>
        <v/>
      </c>
      <c r="I24" s="152" t="str">
        <f t="shared" si="1"/>
        <v/>
      </c>
      <c r="J24" s="149" t="str">
        <f t="shared" si="2"/>
        <v/>
      </c>
      <c r="K24" s="151" t="str">
        <f t="shared" si="3"/>
        <v/>
      </c>
      <c r="L24" s="152" t="str">
        <f t="shared" si="4"/>
        <v/>
      </c>
      <c r="M24" s="149" t="str">
        <f t="shared" si="5"/>
        <v/>
      </c>
    </row>
    <row r="25" spans="3:13" ht="14.25" customHeight="1" x14ac:dyDescent="0.3">
      <c r="C25" s="146" t="s">
        <v>325</v>
      </c>
      <c r="D25" s="160">
        <f>VLOOKUP($D$15, VP_Base, 3, FALSE)+VLOOKUP($D$6, VP_Motor, 3, FALSE)+VLOOKUP($D$9, VP_Stage, 3, FALSE)+VLOOKUP($D$10, VP_Stage, 3, FALSE)+VLOOKUP($D$11, VP_Stage, 3, FALSE)+VLOOKUP($D$7, VP_DualMotor, 2, FALSE)+VLOOKUP($D$8, VP_180, 2, FALSE)+VLOOKUP($D$12, VP_90, 2, FALSE)+VLOOKUP($D$13, VP_Ratchet, 2, FALSE)+VLOOKUP($D$14, VP_Encoder, 2, FALSE)</f>
        <v>156.89000000000001</v>
      </c>
      <c r="H25" s="161" t="str">
        <f t="shared" ref="H25" si="6">IF(LEN(J24)&gt;0, (LEN(J24)-LEN(J25))/9, "")</f>
        <v/>
      </c>
      <c r="I25" s="162" t="str">
        <f t="shared" ref="I25" si="7">LEFT(J24, 8)</f>
        <v/>
      </c>
      <c r="J25" s="149" t="str">
        <f t="shared" ref="J25" si="8">SUBSTITUTE(J24, I25&amp;",", "")</f>
        <v/>
      </c>
      <c r="K25" s="161" t="str">
        <f t="shared" ref="K25" si="9">IF(LEN(M24)&gt;0, (LEN(M24)-LEN(M25))/9, "")</f>
        <v/>
      </c>
      <c r="L25" s="162" t="str">
        <f t="shared" ref="L25" si="10">LEFT(M24, 8)</f>
        <v/>
      </c>
      <c r="M25" s="149" t="str">
        <f t="shared" ref="M25" si="11">SUBSTITUTE(M24, L25&amp;",", "")</f>
        <v/>
      </c>
    </row>
  </sheetData>
  <sheetProtection sheet="1" objects="1" scenarios="1"/>
  <mergeCells count="6">
    <mergeCell ref="K5:L5"/>
    <mergeCell ref="F6:F10"/>
    <mergeCell ref="F12:F14"/>
    <mergeCell ref="F16:F18"/>
    <mergeCell ref="F20:F23"/>
    <mergeCell ref="H5:I5"/>
  </mergeCells>
  <conditionalFormatting sqref="D21:D22">
    <cfRule type="cellIs" dxfId="36" priority="5" operator="equal">
      <formula>TRUE</formula>
    </cfRule>
  </conditionalFormatting>
  <conditionalFormatting sqref="F20:F23">
    <cfRule type="expression" dxfId="35" priority="6">
      <formula>NOT(OR(VALUE(IF($D$10="None", 1, LEFT($D$10, 2)))&gt;VALUE(IF($D$9="None", 1, LEFT($D$9, 2))), VALUE(IF($D$11="None", 1, LEFT($D$11, 2)))&gt;VALUE(IF($D$10="None", 1, LEFT($D$10, 2))), VALUE(IF($D$11="None", 1, LEFT($D$11, 2)))&gt;VALUE(IF($D$9="None", 1, LEFT($D$9, 2)))))</formula>
    </cfRule>
  </conditionalFormatting>
  <conditionalFormatting sqref="F16:F18">
    <cfRule type="expression" dxfId="34" priority="7">
      <formula>OR($D$7="None", OR($D$6="775pro", $D$6="BB RS-775", $D$6="BB RS-550", $D$6="BAG"))</formula>
    </cfRule>
  </conditionalFormatting>
  <conditionalFormatting sqref="D6:D7">
    <cfRule type="expression" dxfId="33" priority="4">
      <formula>NOT(OR($D$7="None", OR($D$6="775pro", $D$6="BB RS-775", $D$6="BB RS-550", $D$6="BAG")))</formula>
    </cfRule>
  </conditionalFormatting>
  <conditionalFormatting sqref="D9:D10">
    <cfRule type="expression" dxfId="32" priority="3">
      <formula>VALUE(IF($D$10="None", 1, LEFT($D$10, 2)))&gt;VALUE(IF($D$9="None", 1, LEFT($D$9, 2)))</formula>
    </cfRule>
  </conditionalFormatting>
  <conditionalFormatting sqref="D10:D11">
    <cfRule type="expression" dxfId="31" priority="2">
      <formula>VALUE(IF($D$11="None", 1, LEFT($D$11, 2)))&gt;VALUE(IF($D$10="None", 1, LEFT($D$10, 2)))</formula>
    </cfRule>
  </conditionalFormatting>
  <conditionalFormatting sqref="D9 D11">
    <cfRule type="expression" dxfId="30" priority="1">
      <formula>VALUE(IF($D$11="None", 1, LEFT($D$11, 2)))&gt;VALUE(IF($D$9="None", 1, LEFT($D$9, 2)))</formula>
    </cfRule>
  </conditionalFormatting>
  <dataValidations count="5">
    <dataValidation type="list" allowBlank="1" showErrorMessage="1" sqref="D15" xr:uid="{00000000-0002-0000-0C00-000000000000}">
      <formula1>"1/2"" Hex,1/2"" Round,3/8"" Hex,CIM Motor,Female"</formula1>
    </dataValidation>
    <dataValidation type="list" allowBlank="1" showErrorMessage="1" sqref="D6" xr:uid="{00000000-0002-0000-0C00-000001000000}">
      <formula1>"775pro,CIM,Mini CIM,BAG,BB RS-775,BB RS-550,AM 9015,NeveRest"</formula1>
    </dataValidation>
    <dataValidation type="list" allowBlank="1" showErrorMessage="1" sqref="D9:D11" xr:uid="{00000000-0002-0000-0C00-000002000000}">
      <formula1>"None,3 : 1,4 : 1,5 : 1,7 : 1,9 : 1,10 : 1"</formula1>
    </dataValidation>
    <dataValidation type="list" allowBlank="1" showErrorMessage="1" sqref="D8 D12:D14" xr:uid="{00000000-0002-0000-0C00-000003000000}">
      <formula1>"Yes,No"</formula1>
    </dataValidation>
    <dataValidation type="list" allowBlank="1" showErrorMessage="1" sqref="D7" xr:uid="{00000000-0002-0000-0C00-000004000000}">
      <formula1>"None,DM Nyl 1:1,DM Nyl 3.75:1,DM Nyl 5.33:1,DM Al 1:1,DM Al 3.75:1,DM Al 5.33:1,Dual Motor"</formula1>
    </dataValidation>
  </dataValidations>
  <pageMargins left="0.7" right="0.7" top="0.75" bottom="0.75" header="0" footer="0"/>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4" r:id="rId3" name="Metric">
              <controlPr locked="0" defaultSize="0" autoFill="0" autoLine="0" autoPict="0">
                <anchor moveWithCells="1">
                  <from>
                    <xdr:col>1</xdr:col>
                    <xdr:colOff>0</xdr:colOff>
                    <xdr:row>3</xdr:row>
                    <xdr:rowOff>0</xdr:rowOff>
                  </from>
                  <to>
                    <xdr:col>2</xdr:col>
                    <xdr:colOff>7620</xdr:colOff>
                    <xdr:row>4</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2:S31"/>
  <sheetViews>
    <sheetView workbookViewId="0"/>
  </sheetViews>
  <sheetFormatPr defaultColWidth="9.109375" defaultRowHeight="14.4" x14ac:dyDescent="0.3"/>
  <cols>
    <col min="1" max="1" width="9.109375" style="1"/>
    <col min="2" max="2" width="18.6640625" style="1" customWidth="1"/>
    <col min="3" max="3" width="16.88671875" style="1" customWidth="1"/>
    <col min="4" max="4" width="17" style="1" customWidth="1"/>
    <col min="5" max="5" width="15.109375" style="1" customWidth="1"/>
    <col min="6" max="6" width="15" style="1" customWidth="1"/>
    <col min="7" max="7" width="12.33203125" style="1" customWidth="1"/>
    <col min="8" max="9" width="9.109375" style="1"/>
    <col min="10" max="10" width="9.88671875" style="1" customWidth="1"/>
    <col min="11" max="16" width="9.109375" style="1"/>
    <col min="17" max="17" width="11.33203125" style="1" customWidth="1"/>
    <col min="18" max="19" width="22.33203125" style="1" customWidth="1"/>
    <col min="20" max="16384" width="9.109375" style="1"/>
  </cols>
  <sheetData>
    <row r="2" spans="1:19" ht="31.2" x14ac:dyDescent="0.3">
      <c r="B2" s="2" t="s">
        <v>211</v>
      </c>
      <c r="J2" s="2" t="s">
        <v>20</v>
      </c>
      <c r="Q2" s="2" t="s">
        <v>216</v>
      </c>
    </row>
    <row r="3" spans="1:19" x14ac:dyDescent="0.3">
      <c r="B3" s="120"/>
    </row>
    <row r="4" spans="1:19" x14ac:dyDescent="0.3">
      <c r="A4" s="120"/>
      <c r="B4" s="120"/>
      <c r="C4" s="121" t="s">
        <v>1</v>
      </c>
      <c r="D4" s="122" t="s">
        <v>2</v>
      </c>
      <c r="E4" s="122" t="s">
        <v>3</v>
      </c>
      <c r="F4" s="122" t="s">
        <v>4</v>
      </c>
      <c r="G4" s="123" t="s">
        <v>5</v>
      </c>
      <c r="J4" s="91"/>
      <c r="K4" s="124" t="s">
        <v>21</v>
      </c>
      <c r="L4" s="125" t="s">
        <v>22</v>
      </c>
      <c r="M4" s="125" t="s">
        <v>23</v>
      </c>
      <c r="N4" s="126" t="s">
        <v>24</v>
      </c>
      <c r="R4" s="127" t="s">
        <v>218</v>
      </c>
      <c r="S4" s="126" t="s">
        <v>219</v>
      </c>
    </row>
    <row r="5" spans="1:19" x14ac:dyDescent="0.3">
      <c r="B5" s="74" t="s">
        <v>6</v>
      </c>
      <c r="C5" s="75">
        <v>5330</v>
      </c>
      <c r="D5" s="75">
        <v>2.41</v>
      </c>
      <c r="E5" s="75">
        <v>2.7</v>
      </c>
      <c r="F5" s="75">
        <v>131</v>
      </c>
      <c r="G5" s="128">
        <f>(C5/60*2*PI())*D5/4</f>
        <v>336.28916760964142</v>
      </c>
      <c r="J5" s="74" t="s">
        <v>25</v>
      </c>
      <c r="K5" s="129">
        <v>6.35</v>
      </c>
      <c r="L5" s="129">
        <v>9</v>
      </c>
      <c r="M5" s="129">
        <v>5.9</v>
      </c>
      <c r="N5" s="130">
        <v>0.31</v>
      </c>
      <c r="Q5" s="131" t="s">
        <v>221</v>
      </c>
      <c r="R5" s="75">
        <v>71700</v>
      </c>
      <c r="S5" s="132">
        <v>26900</v>
      </c>
    </row>
    <row r="6" spans="1:19" x14ac:dyDescent="0.3">
      <c r="B6" s="74" t="s">
        <v>7</v>
      </c>
      <c r="C6" s="75">
        <v>5840</v>
      </c>
      <c r="D6" s="75">
        <v>1.41</v>
      </c>
      <c r="E6" s="75">
        <v>3</v>
      </c>
      <c r="F6" s="75">
        <v>89</v>
      </c>
      <c r="G6" s="128">
        <f t="shared" ref="G6" si="0">(C6/60*2*PI())*D6/4</f>
        <v>215.57608788933157</v>
      </c>
      <c r="J6" s="74" t="s">
        <v>26</v>
      </c>
      <c r="K6" s="129">
        <v>9.5299999999999994</v>
      </c>
      <c r="L6" s="129">
        <v>11.76</v>
      </c>
      <c r="M6" s="129">
        <v>8.94</v>
      </c>
      <c r="N6" s="130">
        <v>0.41</v>
      </c>
      <c r="Q6" s="131" t="s">
        <v>222</v>
      </c>
      <c r="R6" s="75">
        <v>68900</v>
      </c>
      <c r="S6" s="132">
        <v>26000</v>
      </c>
    </row>
    <row r="7" spans="1:19" x14ac:dyDescent="0.3">
      <c r="B7" s="74" t="s">
        <v>9</v>
      </c>
      <c r="C7" s="75">
        <v>5676</v>
      </c>
      <c r="D7" s="75">
        <v>2.6</v>
      </c>
      <c r="E7" s="75">
        <v>1.8</v>
      </c>
      <c r="F7" s="75">
        <v>105</v>
      </c>
      <c r="G7" s="128">
        <f t="shared" ref="G7:G25" si="1">(C7/60*2*PI())*D7/4</f>
        <v>386.35306453847278</v>
      </c>
      <c r="J7" s="74" t="s">
        <v>27</v>
      </c>
      <c r="K7" s="129">
        <v>5</v>
      </c>
      <c r="L7" s="129">
        <v>15</v>
      </c>
      <c r="M7" s="129">
        <v>3</v>
      </c>
      <c r="N7" s="130">
        <v>0</v>
      </c>
      <c r="Q7" s="131" t="s">
        <v>59</v>
      </c>
      <c r="R7" s="75">
        <v>206000</v>
      </c>
      <c r="S7" s="132">
        <v>70000</v>
      </c>
    </row>
    <row r="8" spans="1:19" x14ac:dyDescent="0.3">
      <c r="B8" s="74" t="s">
        <v>8</v>
      </c>
      <c r="C8" s="75">
        <v>13180</v>
      </c>
      <c r="D8" s="75">
        <v>0.43</v>
      </c>
      <c r="E8" s="75">
        <v>1.8</v>
      </c>
      <c r="F8" s="75">
        <v>53</v>
      </c>
      <c r="G8" s="128">
        <f t="shared" si="1"/>
        <v>148.37218504128995</v>
      </c>
      <c r="J8" s="74" t="s">
        <v>28</v>
      </c>
      <c r="K8" s="129">
        <v>3</v>
      </c>
      <c r="L8" s="129">
        <v>9</v>
      </c>
      <c r="M8" s="129">
        <v>3</v>
      </c>
      <c r="N8" s="130">
        <v>0</v>
      </c>
      <c r="Q8" s="131" t="s">
        <v>217</v>
      </c>
      <c r="R8" s="75">
        <v>193000</v>
      </c>
      <c r="S8" s="132">
        <v>77000</v>
      </c>
    </row>
    <row r="9" spans="1:19" x14ac:dyDescent="0.3">
      <c r="B9" s="74" t="s">
        <v>259</v>
      </c>
      <c r="C9" s="75">
        <v>18730</v>
      </c>
      <c r="D9" s="75">
        <v>0.71</v>
      </c>
      <c r="E9" s="75">
        <v>0.7</v>
      </c>
      <c r="F9" s="75">
        <v>134</v>
      </c>
      <c r="G9" s="128">
        <f t="shared" si="1"/>
        <v>348.14867987694288</v>
      </c>
      <c r="J9" s="74"/>
      <c r="K9" s="129"/>
      <c r="L9" s="129"/>
      <c r="M9" s="129"/>
      <c r="N9" s="130"/>
      <c r="Q9" s="131"/>
      <c r="R9" s="75"/>
      <c r="S9" s="132"/>
    </row>
    <row r="10" spans="1:19" x14ac:dyDescent="0.3">
      <c r="B10" s="74" t="s">
        <v>335</v>
      </c>
      <c r="C10" s="75">
        <v>21020</v>
      </c>
      <c r="D10" s="75">
        <v>0.7</v>
      </c>
      <c r="E10" s="75">
        <v>3.8</v>
      </c>
      <c r="F10" s="75">
        <v>130</v>
      </c>
      <c r="G10" s="128">
        <f t="shared" si="1"/>
        <v>385.21161920766843</v>
      </c>
      <c r="J10" s="74"/>
      <c r="K10" s="129"/>
      <c r="L10" s="129"/>
      <c r="M10" s="129"/>
      <c r="N10" s="130"/>
      <c r="Q10" s="131"/>
      <c r="R10" s="75"/>
      <c r="S10" s="132"/>
    </row>
    <row r="11" spans="1:19" x14ac:dyDescent="0.3">
      <c r="B11" s="74" t="s">
        <v>10</v>
      </c>
      <c r="C11" s="75">
        <v>5800</v>
      </c>
      <c r="D11" s="75">
        <v>0.28000000000000003</v>
      </c>
      <c r="E11" s="75">
        <v>1.6</v>
      </c>
      <c r="F11" s="75">
        <v>18</v>
      </c>
      <c r="G11" s="128">
        <f t="shared" si="1"/>
        <v>42.516220578581873</v>
      </c>
      <c r="J11" s="74"/>
      <c r="K11" s="129"/>
      <c r="L11" s="129"/>
      <c r="M11" s="129"/>
      <c r="N11" s="130"/>
      <c r="Q11" s="131"/>
      <c r="R11" s="75"/>
      <c r="S11" s="132"/>
    </row>
    <row r="12" spans="1:19" x14ac:dyDescent="0.3">
      <c r="B12" s="74" t="s">
        <v>11</v>
      </c>
      <c r="C12" s="75">
        <v>14270</v>
      </c>
      <c r="D12" s="75">
        <v>0.36</v>
      </c>
      <c r="E12" s="75">
        <v>3.7</v>
      </c>
      <c r="F12" s="75">
        <v>71</v>
      </c>
      <c r="G12" s="128">
        <f t="shared" si="1"/>
        <v>134.49158150017905</v>
      </c>
    </row>
    <row r="13" spans="1:19" x14ac:dyDescent="0.3">
      <c r="B13" s="74" t="s">
        <v>12</v>
      </c>
      <c r="C13" s="75">
        <v>5508</v>
      </c>
      <c r="D13" s="75">
        <v>3.82</v>
      </c>
      <c r="E13" s="75">
        <v>8.16</v>
      </c>
      <c r="F13" s="75">
        <v>220</v>
      </c>
      <c r="G13" s="128">
        <f t="shared" si="1"/>
        <v>550.84057269512709</v>
      </c>
      <c r="J13" s="1" t="s">
        <v>29</v>
      </c>
    </row>
    <row r="14" spans="1:19" x14ac:dyDescent="0.3">
      <c r="B14" s="74" t="s">
        <v>13</v>
      </c>
      <c r="C14" s="75">
        <v>5593</v>
      </c>
      <c r="D14" s="75">
        <v>5.23</v>
      </c>
      <c r="E14" s="75">
        <v>9.6199999999999992</v>
      </c>
      <c r="F14" s="75">
        <v>309</v>
      </c>
      <c r="G14" s="128">
        <f t="shared" si="1"/>
        <v>765.79959942741618</v>
      </c>
    </row>
    <row r="15" spans="1:19" x14ac:dyDescent="0.3">
      <c r="B15" s="74" t="s">
        <v>14</v>
      </c>
      <c r="C15" s="75">
        <v>5437</v>
      </c>
      <c r="D15" s="75">
        <v>6.23</v>
      </c>
      <c r="E15" s="75">
        <v>9.15</v>
      </c>
      <c r="F15" s="75">
        <v>351</v>
      </c>
      <c r="G15" s="128">
        <f t="shared" si="1"/>
        <v>886.78023812205663</v>
      </c>
    </row>
    <row r="16" spans="1:19" x14ac:dyDescent="0.3">
      <c r="B16" s="74" t="s">
        <v>334</v>
      </c>
      <c r="C16" s="75">
        <v>13050</v>
      </c>
      <c r="D16" s="75">
        <v>0.72</v>
      </c>
      <c r="E16" s="75">
        <v>2.7</v>
      </c>
      <c r="F16" s="75">
        <v>97</v>
      </c>
      <c r="G16" s="128">
        <f t="shared" si="1"/>
        <v>245.98670477608078</v>
      </c>
    </row>
    <row r="17" spans="2:13" x14ac:dyDescent="0.3">
      <c r="B17" s="74" t="s">
        <v>333</v>
      </c>
      <c r="C17" s="75">
        <v>19000</v>
      </c>
      <c r="D17" s="75">
        <v>0.38</v>
      </c>
      <c r="E17" s="75">
        <v>0.4</v>
      </c>
      <c r="F17" s="75">
        <v>84</v>
      </c>
      <c r="G17" s="128">
        <f t="shared" si="1"/>
        <v>189.01915799098592</v>
      </c>
    </row>
    <row r="18" spans="2:13" x14ac:dyDescent="0.3">
      <c r="B18" s="74" t="s">
        <v>15</v>
      </c>
      <c r="C18" s="75">
        <v>100</v>
      </c>
      <c r="D18" s="75">
        <v>7.91</v>
      </c>
      <c r="E18" s="75">
        <v>5</v>
      </c>
      <c r="F18" s="75">
        <v>24</v>
      </c>
      <c r="G18" s="128">
        <f t="shared" si="1"/>
        <v>20.708331574912719</v>
      </c>
      <c r="M18" s="4"/>
    </row>
    <row r="19" spans="2:13" x14ac:dyDescent="0.3">
      <c r="B19" s="74" t="s">
        <v>337</v>
      </c>
      <c r="C19" s="75">
        <v>6600</v>
      </c>
      <c r="D19" s="75">
        <v>6.1800000000000001E-2</v>
      </c>
      <c r="E19" s="75">
        <v>2</v>
      </c>
      <c r="F19" s="75">
        <v>11.5</v>
      </c>
      <c r="G19" s="128">
        <f t="shared" si="1"/>
        <v>10.678273429551707</v>
      </c>
      <c r="M19" s="4"/>
    </row>
    <row r="20" spans="2:13" x14ac:dyDescent="0.3">
      <c r="B20" s="74" t="s">
        <v>16</v>
      </c>
      <c r="C20" s="75">
        <v>5300</v>
      </c>
      <c r="D20" s="75">
        <v>0.13</v>
      </c>
      <c r="E20" s="75">
        <v>1</v>
      </c>
      <c r="F20" s="75">
        <v>7</v>
      </c>
      <c r="G20" s="128">
        <f t="shared" si="1"/>
        <v>18.037977819361398</v>
      </c>
    </row>
    <row r="21" spans="2:13" x14ac:dyDescent="0.3">
      <c r="B21" s="74" t="s">
        <v>17</v>
      </c>
      <c r="C21" s="75">
        <v>24</v>
      </c>
      <c r="D21" s="75">
        <v>22</v>
      </c>
      <c r="E21" s="75">
        <v>3</v>
      </c>
      <c r="F21" s="75">
        <v>12</v>
      </c>
      <c r="G21" s="128">
        <f t="shared" si="1"/>
        <v>13.82300767579509</v>
      </c>
    </row>
    <row r="22" spans="2:13" x14ac:dyDescent="0.3">
      <c r="B22" s="74" t="s">
        <v>18</v>
      </c>
      <c r="C22" s="75">
        <v>3084</v>
      </c>
      <c r="D22" s="75">
        <v>0.32</v>
      </c>
      <c r="E22" s="75">
        <v>0.28000000000000003</v>
      </c>
      <c r="F22" s="75">
        <v>6.5</v>
      </c>
      <c r="G22" s="128">
        <f t="shared" si="1"/>
        <v>25.836457983122461</v>
      </c>
    </row>
    <row r="23" spans="2:13" x14ac:dyDescent="0.3">
      <c r="B23" s="74" t="s">
        <v>19</v>
      </c>
      <c r="C23" s="75">
        <v>90</v>
      </c>
      <c r="D23" s="75">
        <v>9.24</v>
      </c>
      <c r="E23" s="75">
        <v>1.5</v>
      </c>
      <c r="F23" s="75">
        <v>16.25</v>
      </c>
      <c r="G23" s="128">
        <f t="shared" si="1"/>
        <v>21.771237089377266</v>
      </c>
    </row>
    <row r="24" spans="2:13" x14ac:dyDescent="0.3">
      <c r="B24" s="74"/>
      <c r="C24" s="75"/>
      <c r="D24" s="75"/>
      <c r="E24" s="75"/>
      <c r="F24" s="75"/>
      <c r="G24" s="128">
        <f t="shared" si="1"/>
        <v>0</v>
      </c>
    </row>
    <row r="25" spans="2:13" x14ac:dyDescent="0.3">
      <c r="B25" s="74"/>
      <c r="C25" s="75"/>
      <c r="D25" s="75"/>
      <c r="E25" s="75"/>
      <c r="F25" s="75"/>
      <c r="G25" s="128">
        <f t="shared" si="1"/>
        <v>0</v>
      </c>
    </row>
    <row r="26" spans="2:13" x14ac:dyDescent="0.3">
      <c r="B26" s="74"/>
      <c r="C26" s="75"/>
      <c r="D26" s="75"/>
      <c r="E26" s="75"/>
      <c r="F26" s="75"/>
      <c r="G26" s="128">
        <f t="shared" ref="G26:G28" si="2">(C26/60*2*PI())*D26/4</f>
        <v>0</v>
      </c>
    </row>
    <row r="27" spans="2:13" x14ac:dyDescent="0.3">
      <c r="B27" s="74"/>
      <c r="C27" s="75"/>
      <c r="D27" s="75"/>
      <c r="E27" s="75"/>
      <c r="F27" s="75"/>
      <c r="G27" s="128">
        <f t="shared" si="2"/>
        <v>0</v>
      </c>
    </row>
    <row r="28" spans="2:13" x14ac:dyDescent="0.3">
      <c r="B28" s="74"/>
      <c r="C28" s="75"/>
      <c r="D28" s="75"/>
      <c r="E28" s="75"/>
      <c r="F28" s="75"/>
      <c r="G28" s="128">
        <f t="shared" si="2"/>
        <v>0</v>
      </c>
    </row>
    <row r="31" spans="2:13" x14ac:dyDescent="0.3">
      <c r="B31" s="1" t="s">
        <v>234</v>
      </c>
    </row>
  </sheetData>
  <sheetProtection sheet="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2019-10-27T17:53:01Z</dcterms:modified>
</cp:coreProperties>
</file>