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3170"/>
  </bookViews>
  <sheets>
    <sheet name="Flywheel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[1]º´¨ÅØÅ!$I$43:$N$44</definedName>
    <definedName name="VP_90">[1]º´¨ÅØÅ!$I$48:$N$49</definedName>
    <definedName name="VP_Base">[1]º´¨ÅØÅ!$I$3:$N$7</definedName>
    <definedName name="VP_DualMotor">[1]º´¨ÅØÅ!$I$32:$N$39</definedName>
    <definedName name="VP_Encoder">[1]º´¨ÅØÅ!$I$57:$N$58</definedName>
    <definedName name="VP_Load">[1]º´¨ÅØÅ!$D$2:$F$841</definedName>
    <definedName name="VP_Motor">[1]º´¨ÅØÅ!$I$11:$N$18</definedName>
    <definedName name="VP_Ratchet">[1]º´¨ÅØÅ!$I$53:$N$54</definedName>
    <definedName name="VP_Stage">[1]º´¨ÅØÅ!$I$22:$N$28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1" l="1"/>
  <c r="T23" i="1" s="1"/>
  <c r="T22" i="1"/>
  <c r="V21" i="1"/>
  <c r="V20" i="1"/>
  <c r="V19" i="1"/>
  <c r="V18" i="1"/>
  <c r="V17" i="1"/>
  <c r="V16" i="1"/>
  <c r="V15" i="1"/>
  <c r="V14" i="1"/>
  <c r="V13" i="1"/>
  <c r="V12" i="1"/>
  <c r="V11" i="1"/>
  <c r="V10" i="1"/>
  <c r="H7" i="1"/>
  <c r="U20" i="1"/>
  <c r="U12" i="1"/>
  <c r="U13" i="1"/>
  <c r="U14" i="1"/>
  <c r="U15" i="1"/>
  <c r="U16" i="1"/>
  <c r="U17" i="1"/>
  <c r="U18" i="1"/>
  <c r="U19" i="1"/>
  <c r="U11" i="1"/>
  <c r="U10" i="1"/>
  <c r="E15" i="1"/>
  <c r="E18" i="1"/>
  <c r="E16" i="1"/>
  <c r="U21" i="1" l="1"/>
  <c r="H13" i="1"/>
  <c r="C16" i="1" l="1"/>
  <c r="C19" i="1"/>
  <c r="C18" i="1"/>
  <c r="C24" i="1" l="1"/>
  <c r="C22" i="1"/>
  <c r="D8" i="1"/>
  <c r="D7" i="1"/>
  <c r="H11" i="1" s="1"/>
  <c r="E7" i="1" l="1"/>
  <c r="E8" i="1"/>
  <c r="V22" i="1" l="1"/>
  <c r="U23" i="1" s="1"/>
  <c r="T24" i="1" s="1"/>
  <c r="H10" i="1"/>
  <c r="F7" i="1"/>
  <c r="H14" i="1"/>
  <c r="V23" i="1" l="1"/>
  <c r="U24" i="1" s="1"/>
  <c r="T25" i="1" s="1"/>
  <c r="U25" i="1" l="1"/>
  <c r="T26" i="1" s="1"/>
  <c r="U26" i="1" s="1"/>
  <c r="T27" i="1" s="1"/>
  <c r="V24" i="1"/>
  <c r="U27" i="1" l="1"/>
  <c r="T28" i="1" s="1"/>
  <c r="V25" i="1"/>
  <c r="U28" i="1" l="1"/>
  <c r="T29" i="1" s="1"/>
  <c r="V26" i="1"/>
  <c r="U29" i="1" l="1"/>
  <c r="T30" i="1" s="1"/>
  <c r="V27" i="1"/>
  <c r="U30" i="1" l="1"/>
  <c r="T31" i="1" s="1"/>
  <c r="V28" i="1"/>
  <c r="U31" i="1" l="1"/>
  <c r="T32" i="1" s="1"/>
  <c r="V29" i="1"/>
  <c r="T33" i="1" l="1"/>
  <c r="U32" i="1"/>
  <c r="V30" i="1"/>
  <c r="T34" i="1" l="1"/>
  <c r="U33" i="1"/>
  <c r="V31" i="1"/>
  <c r="U34" i="1" l="1"/>
  <c r="T35" i="1" s="1"/>
  <c r="V32" i="1"/>
  <c r="T36" i="1" l="1"/>
  <c r="U35" i="1"/>
  <c r="V33" i="1"/>
  <c r="U36" i="1" l="1"/>
  <c r="T37" i="1" s="1"/>
  <c r="V34" i="1"/>
  <c r="U37" i="1" l="1"/>
  <c r="T38" i="1" s="1"/>
  <c r="V35" i="1"/>
  <c r="U38" i="1" l="1"/>
  <c r="T39" i="1" s="1"/>
  <c r="V36" i="1"/>
  <c r="U39" i="1" l="1"/>
  <c r="T40" i="1" s="1"/>
  <c r="V37" i="1"/>
  <c r="T41" i="1" l="1"/>
  <c r="U40" i="1"/>
  <c r="V38" i="1"/>
  <c r="U41" i="1" l="1"/>
  <c r="T42" i="1" s="1"/>
  <c r="V39" i="1"/>
  <c r="U42" i="1" l="1"/>
  <c r="T43" i="1" s="1"/>
  <c r="V40" i="1"/>
  <c r="U43" i="1" l="1"/>
  <c r="T44" i="1" s="1"/>
  <c r="V41" i="1"/>
  <c r="U44" i="1" l="1"/>
  <c r="T45" i="1" s="1"/>
  <c r="V42" i="1"/>
  <c r="U45" i="1" l="1"/>
  <c r="T46" i="1" s="1"/>
  <c r="V43" i="1"/>
  <c r="U46" i="1" l="1"/>
  <c r="T47" i="1" s="1"/>
  <c r="V44" i="1"/>
  <c r="U47" i="1" l="1"/>
  <c r="T48" i="1" s="1"/>
  <c r="V45" i="1"/>
  <c r="U48" i="1" l="1"/>
  <c r="T49" i="1" s="1"/>
  <c r="V46" i="1"/>
  <c r="U49" i="1" l="1"/>
  <c r="T50" i="1" s="1"/>
  <c r="V47" i="1"/>
  <c r="U50" i="1" l="1"/>
  <c r="T51" i="1" s="1"/>
  <c r="V48" i="1"/>
  <c r="U51" i="1" l="1"/>
  <c r="T52" i="1" s="1"/>
  <c r="V49" i="1"/>
  <c r="U52" i="1" l="1"/>
  <c r="T53" i="1" s="1"/>
  <c r="V50" i="1"/>
  <c r="U53" i="1" l="1"/>
  <c r="T54" i="1" s="1"/>
  <c r="V51" i="1"/>
  <c r="U54" i="1" l="1"/>
  <c r="T55" i="1" s="1"/>
  <c r="V52" i="1"/>
  <c r="U55" i="1" l="1"/>
  <c r="T56" i="1" s="1"/>
  <c r="V53" i="1"/>
  <c r="T57" i="1" l="1"/>
  <c r="U56" i="1"/>
  <c r="V54" i="1"/>
  <c r="U57" i="1" l="1"/>
  <c r="T58" i="1" s="1"/>
  <c r="V55" i="1"/>
  <c r="T59" i="1" l="1"/>
  <c r="U58" i="1"/>
  <c r="V56" i="1"/>
  <c r="T60" i="1" l="1"/>
  <c r="U59" i="1"/>
  <c r="V57" i="1"/>
  <c r="U60" i="1" l="1"/>
  <c r="T61" i="1" s="1"/>
  <c r="V58" i="1"/>
  <c r="T62" i="1" l="1"/>
  <c r="U61" i="1"/>
  <c r="V59" i="1"/>
  <c r="U62" i="1" l="1"/>
  <c r="T63" i="1" s="1"/>
  <c r="V60" i="1"/>
  <c r="T64" i="1" l="1"/>
  <c r="U63" i="1"/>
  <c r="V61" i="1"/>
  <c r="U64" i="1" l="1"/>
  <c r="T65" i="1" s="1"/>
  <c r="V62" i="1"/>
  <c r="T66" i="1" l="1"/>
  <c r="U65" i="1"/>
  <c r="V63" i="1"/>
  <c r="U66" i="1" l="1"/>
  <c r="T67" i="1" s="1"/>
  <c r="V64" i="1"/>
  <c r="T68" i="1" l="1"/>
  <c r="U67" i="1"/>
  <c r="V65" i="1"/>
  <c r="U68" i="1" l="1"/>
  <c r="T69" i="1" s="1"/>
  <c r="V66" i="1"/>
  <c r="T70" i="1" l="1"/>
  <c r="U69" i="1"/>
  <c r="V67" i="1"/>
  <c r="U70" i="1" l="1"/>
  <c r="T71" i="1" s="1"/>
  <c r="V68" i="1"/>
  <c r="T72" i="1" l="1"/>
  <c r="U71" i="1"/>
  <c r="V69" i="1"/>
  <c r="U72" i="1" l="1"/>
  <c r="T73" i="1" s="1"/>
  <c r="V70" i="1"/>
  <c r="T74" i="1" l="1"/>
  <c r="U73" i="1"/>
  <c r="V71" i="1"/>
  <c r="U74" i="1" l="1"/>
  <c r="T75" i="1" s="1"/>
  <c r="V72" i="1"/>
  <c r="T76" i="1" l="1"/>
  <c r="U75" i="1"/>
  <c r="V73" i="1"/>
  <c r="U76" i="1" l="1"/>
  <c r="T77" i="1" s="1"/>
  <c r="V74" i="1"/>
  <c r="U77" i="1" l="1"/>
  <c r="T78" i="1" s="1"/>
  <c r="V75" i="1"/>
  <c r="T79" i="1" l="1"/>
  <c r="U78" i="1"/>
  <c r="V76" i="1"/>
  <c r="U79" i="1" l="1"/>
  <c r="T80" i="1" s="1"/>
  <c r="V77" i="1"/>
  <c r="T81" i="1" l="1"/>
  <c r="U80" i="1"/>
  <c r="V78" i="1"/>
  <c r="U81" i="1" l="1"/>
  <c r="T82" i="1" s="1"/>
  <c r="V79" i="1"/>
  <c r="T83" i="1" l="1"/>
  <c r="U82" i="1"/>
  <c r="V80" i="1"/>
  <c r="U83" i="1" l="1"/>
  <c r="T84" i="1" s="1"/>
  <c r="V81" i="1"/>
  <c r="T85" i="1" l="1"/>
  <c r="U84" i="1"/>
  <c r="V82" i="1"/>
  <c r="U85" i="1" l="1"/>
  <c r="T86" i="1" s="1"/>
  <c r="V83" i="1"/>
  <c r="T87" i="1" l="1"/>
  <c r="U86" i="1"/>
  <c r="V84" i="1"/>
  <c r="U87" i="1" l="1"/>
  <c r="T88" i="1" s="1"/>
  <c r="V85" i="1"/>
  <c r="T89" i="1" l="1"/>
  <c r="U88" i="1"/>
  <c r="V86" i="1"/>
  <c r="U89" i="1" l="1"/>
  <c r="T90" i="1" s="1"/>
  <c r="V87" i="1"/>
  <c r="T91" i="1" l="1"/>
  <c r="U90" i="1"/>
  <c r="V88" i="1"/>
  <c r="U91" i="1" l="1"/>
  <c r="T92" i="1" s="1"/>
  <c r="V89" i="1"/>
  <c r="T93" i="1" l="1"/>
  <c r="U92" i="1"/>
  <c r="V90" i="1"/>
  <c r="U93" i="1" l="1"/>
  <c r="T94" i="1" s="1"/>
  <c r="V91" i="1"/>
  <c r="T95" i="1" l="1"/>
  <c r="U94" i="1"/>
  <c r="V92" i="1"/>
  <c r="U95" i="1" l="1"/>
  <c r="T96" i="1" s="1"/>
  <c r="V93" i="1"/>
  <c r="T97" i="1" l="1"/>
  <c r="U96" i="1"/>
  <c r="V94" i="1"/>
  <c r="U97" i="1" l="1"/>
  <c r="T98" i="1" s="1"/>
  <c r="V95" i="1"/>
  <c r="T99" i="1" l="1"/>
  <c r="U98" i="1"/>
  <c r="V96" i="1"/>
  <c r="U99" i="1" l="1"/>
  <c r="T100" i="1" s="1"/>
  <c r="V97" i="1"/>
  <c r="T101" i="1" l="1"/>
  <c r="U100" i="1"/>
  <c r="V98" i="1"/>
  <c r="U101" i="1" l="1"/>
  <c r="T102" i="1" s="1"/>
  <c r="V99" i="1"/>
  <c r="T103" i="1" l="1"/>
  <c r="U102" i="1"/>
  <c r="V100" i="1"/>
  <c r="U103" i="1" l="1"/>
  <c r="T104" i="1" s="1"/>
  <c r="V101" i="1"/>
  <c r="T105" i="1" l="1"/>
  <c r="U104" i="1"/>
  <c r="V102" i="1"/>
  <c r="U105" i="1" l="1"/>
  <c r="T106" i="1" s="1"/>
  <c r="V103" i="1"/>
  <c r="U106" i="1" l="1"/>
  <c r="T107" i="1" s="1"/>
  <c r="V104" i="1"/>
  <c r="U107" i="1" l="1"/>
  <c r="T108" i="1" s="1"/>
  <c r="V105" i="1"/>
  <c r="U108" i="1" l="1"/>
  <c r="T109" i="1" s="1"/>
  <c r="V106" i="1"/>
  <c r="U109" i="1" l="1"/>
  <c r="T110" i="1" s="1"/>
  <c r="V107" i="1"/>
  <c r="U110" i="1" l="1"/>
  <c r="T111" i="1" s="1"/>
  <c r="V108" i="1"/>
  <c r="U111" i="1" l="1"/>
  <c r="T112" i="1" s="1"/>
  <c r="V109" i="1"/>
  <c r="U112" i="1" l="1"/>
  <c r="T113" i="1" s="1"/>
  <c r="V110" i="1"/>
  <c r="U113" i="1" l="1"/>
  <c r="T114" i="1" s="1"/>
  <c r="V111" i="1"/>
  <c r="U114" i="1" l="1"/>
  <c r="T115" i="1" s="1"/>
  <c r="V112" i="1"/>
  <c r="U115" i="1" l="1"/>
  <c r="T116" i="1" s="1"/>
  <c r="V113" i="1"/>
  <c r="U116" i="1" l="1"/>
  <c r="T117" i="1" s="1"/>
  <c r="V114" i="1"/>
  <c r="U117" i="1" l="1"/>
  <c r="T118" i="1" s="1"/>
  <c r="V115" i="1"/>
  <c r="U118" i="1" l="1"/>
  <c r="T119" i="1" s="1"/>
  <c r="V116" i="1"/>
  <c r="U119" i="1" l="1"/>
  <c r="T120" i="1" s="1"/>
  <c r="V117" i="1"/>
  <c r="U120" i="1" l="1"/>
  <c r="T121" i="1" s="1"/>
  <c r="V118" i="1"/>
  <c r="U121" i="1" l="1"/>
  <c r="T122" i="1" s="1"/>
  <c r="V119" i="1"/>
  <c r="U122" i="1" l="1"/>
  <c r="T123" i="1" s="1"/>
  <c r="V120" i="1"/>
  <c r="U123" i="1" l="1"/>
  <c r="T124" i="1" s="1"/>
  <c r="V121" i="1"/>
  <c r="U124" i="1" l="1"/>
  <c r="T125" i="1" s="1"/>
  <c r="V122" i="1"/>
  <c r="U125" i="1" l="1"/>
  <c r="T126" i="1" s="1"/>
  <c r="V123" i="1"/>
  <c r="U126" i="1" l="1"/>
  <c r="T127" i="1" s="1"/>
  <c r="V124" i="1"/>
  <c r="U127" i="1" l="1"/>
  <c r="T128" i="1" s="1"/>
  <c r="V125" i="1"/>
  <c r="U128" i="1" l="1"/>
  <c r="T129" i="1" s="1"/>
  <c r="V126" i="1"/>
  <c r="U129" i="1" l="1"/>
  <c r="T130" i="1" s="1"/>
  <c r="V127" i="1"/>
  <c r="U130" i="1" l="1"/>
  <c r="T131" i="1" s="1"/>
  <c r="V128" i="1"/>
  <c r="T132" i="1" l="1"/>
  <c r="U131" i="1"/>
  <c r="V129" i="1"/>
  <c r="T133" i="1" l="1"/>
  <c r="U132" i="1"/>
  <c r="V130" i="1"/>
  <c r="U133" i="1" l="1"/>
  <c r="T134" i="1" s="1"/>
  <c r="V131" i="1"/>
  <c r="U134" i="1" l="1"/>
  <c r="T135" i="1" s="1"/>
  <c r="V132" i="1"/>
  <c r="T136" i="1" l="1"/>
  <c r="U135" i="1"/>
  <c r="V133" i="1"/>
  <c r="U136" i="1" l="1"/>
  <c r="T137" i="1" s="1"/>
  <c r="V134" i="1"/>
  <c r="T138" i="1" l="1"/>
  <c r="U137" i="1"/>
  <c r="V135" i="1"/>
  <c r="U138" i="1" l="1"/>
  <c r="T139" i="1" s="1"/>
  <c r="V136" i="1"/>
  <c r="T140" i="1" l="1"/>
  <c r="U139" i="1"/>
  <c r="V137" i="1"/>
  <c r="U140" i="1" l="1"/>
  <c r="T141" i="1" s="1"/>
  <c r="V138" i="1"/>
  <c r="T142" i="1" l="1"/>
  <c r="U141" i="1"/>
  <c r="V139" i="1"/>
  <c r="U142" i="1" l="1"/>
  <c r="T143" i="1" s="1"/>
  <c r="V140" i="1"/>
  <c r="T144" i="1" l="1"/>
  <c r="U143" i="1"/>
  <c r="V141" i="1"/>
  <c r="U144" i="1" l="1"/>
  <c r="T145" i="1" s="1"/>
  <c r="V142" i="1"/>
  <c r="T146" i="1" l="1"/>
  <c r="U145" i="1"/>
  <c r="V143" i="1"/>
  <c r="U146" i="1" l="1"/>
  <c r="T147" i="1" s="1"/>
  <c r="V144" i="1"/>
  <c r="T148" i="1" l="1"/>
  <c r="U147" i="1"/>
  <c r="V145" i="1"/>
  <c r="U148" i="1" l="1"/>
  <c r="T149" i="1" s="1"/>
  <c r="V146" i="1"/>
  <c r="T150" i="1" l="1"/>
  <c r="U149" i="1"/>
  <c r="V147" i="1"/>
  <c r="U150" i="1" l="1"/>
  <c r="T151" i="1" s="1"/>
  <c r="V148" i="1"/>
  <c r="T152" i="1" l="1"/>
  <c r="U151" i="1"/>
  <c r="V149" i="1"/>
  <c r="U152" i="1" l="1"/>
  <c r="T153" i="1" s="1"/>
  <c r="V150" i="1"/>
  <c r="T154" i="1" l="1"/>
  <c r="U153" i="1"/>
  <c r="V151" i="1"/>
  <c r="U154" i="1" l="1"/>
  <c r="T155" i="1" s="1"/>
  <c r="V152" i="1"/>
  <c r="T156" i="1" l="1"/>
  <c r="U155" i="1"/>
  <c r="V153" i="1"/>
  <c r="U156" i="1" l="1"/>
  <c r="T157" i="1" s="1"/>
  <c r="V154" i="1"/>
  <c r="T158" i="1" l="1"/>
  <c r="U157" i="1"/>
  <c r="V155" i="1"/>
  <c r="U158" i="1" l="1"/>
  <c r="T159" i="1" s="1"/>
  <c r="V156" i="1"/>
  <c r="T160" i="1" l="1"/>
  <c r="U159" i="1"/>
  <c r="V157" i="1"/>
  <c r="U160" i="1" l="1"/>
  <c r="T161" i="1" s="1"/>
  <c r="V158" i="1"/>
  <c r="T162" i="1" l="1"/>
  <c r="U161" i="1"/>
  <c r="V159" i="1"/>
  <c r="U162" i="1" l="1"/>
  <c r="T163" i="1" s="1"/>
  <c r="V160" i="1"/>
  <c r="T164" i="1" l="1"/>
  <c r="U163" i="1"/>
  <c r="V161" i="1"/>
  <c r="U164" i="1" l="1"/>
  <c r="T165" i="1" s="1"/>
  <c r="V162" i="1"/>
  <c r="U165" i="1" l="1"/>
  <c r="T166" i="1" s="1"/>
  <c r="V163" i="1"/>
  <c r="T167" i="1" l="1"/>
  <c r="U166" i="1"/>
  <c r="V164" i="1"/>
  <c r="U167" i="1" l="1"/>
  <c r="T168" i="1" s="1"/>
  <c r="V165" i="1"/>
  <c r="U168" i="1" l="1"/>
  <c r="T169" i="1" s="1"/>
  <c r="V166" i="1"/>
  <c r="U169" i="1" l="1"/>
  <c r="T170" i="1" s="1"/>
  <c r="V167" i="1"/>
  <c r="U170" i="1" l="1"/>
  <c r="T171" i="1" s="1"/>
  <c r="V168" i="1"/>
  <c r="U171" i="1" l="1"/>
  <c r="T172" i="1" s="1"/>
  <c r="V169" i="1"/>
  <c r="U172" i="1" l="1"/>
  <c r="T173" i="1" s="1"/>
  <c r="V170" i="1"/>
  <c r="U173" i="1" l="1"/>
  <c r="T174" i="1" s="1"/>
  <c r="V171" i="1"/>
  <c r="U174" i="1" l="1"/>
  <c r="T175" i="1" s="1"/>
  <c r="V172" i="1"/>
  <c r="U175" i="1" l="1"/>
  <c r="T176" i="1" s="1"/>
  <c r="V173" i="1"/>
  <c r="U176" i="1" l="1"/>
  <c r="T177" i="1" s="1"/>
  <c r="V174" i="1"/>
  <c r="U177" i="1" l="1"/>
  <c r="T178" i="1" s="1"/>
  <c r="V175" i="1"/>
  <c r="U178" i="1" l="1"/>
  <c r="T179" i="1" s="1"/>
  <c r="V176" i="1"/>
  <c r="U179" i="1" l="1"/>
  <c r="T180" i="1" s="1"/>
  <c r="V177" i="1"/>
  <c r="U180" i="1" l="1"/>
  <c r="T181" i="1" s="1"/>
  <c r="V178" i="1"/>
  <c r="U181" i="1" l="1"/>
  <c r="T182" i="1" s="1"/>
  <c r="V179" i="1"/>
  <c r="U182" i="1" l="1"/>
  <c r="T183" i="1" s="1"/>
  <c r="V180" i="1"/>
  <c r="U183" i="1" l="1"/>
  <c r="T184" i="1" s="1"/>
  <c r="V181" i="1"/>
  <c r="U184" i="1" l="1"/>
  <c r="T185" i="1" s="1"/>
  <c r="V182" i="1"/>
  <c r="U185" i="1" l="1"/>
  <c r="T186" i="1" s="1"/>
  <c r="V183" i="1"/>
  <c r="U186" i="1" l="1"/>
  <c r="T187" i="1" s="1"/>
  <c r="V184" i="1"/>
  <c r="U187" i="1" l="1"/>
  <c r="T188" i="1" s="1"/>
  <c r="V185" i="1"/>
  <c r="U188" i="1" l="1"/>
  <c r="T189" i="1" s="1"/>
  <c r="V186" i="1"/>
  <c r="U189" i="1" l="1"/>
  <c r="T190" i="1" s="1"/>
  <c r="V187" i="1"/>
  <c r="U190" i="1" l="1"/>
  <c r="T191" i="1" s="1"/>
  <c r="V188" i="1"/>
  <c r="U191" i="1" l="1"/>
  <c r="T192" i="1" s="1"/>
  <c r="V189" i="1"/>
  <c r="U192" i="1" l="1"/>
  <c r="T193" i="1" s="1"/>
  <c r="V190" i="1"/>
  <c r="U193" i="1" l="1"/>
  <c r="V193" i="1" s="1"/>
  <c r="V191" i="1"/>
  <c r="T194" i="1" l="1"/>
  <c r="V192" i="1"/>
  <c r="U194" i="1" l="1"/>
  <c r="V194" i="1" s="1"/>
  <c r="Q11" i="1"/>
  <c r="P12" i="1" s="1"/>
  <c r="T195" i="1" l="1"/>
  <c r="R11" i="1"/>
  <c r="Q12" i="1" s="1"/>
  <c r="P13" i="1" s="1"/>
  <c r="U195" i="1" l="1"/>
  <c r="V195" i="1" s="1"/>
  <c r="R12" i="1"/>
  <c r="Q13" i="1" s="1"/>
  <c r="P14" i="1" s="1"/>
  <c r="T196" i="1" l="1"/>
  <c r="R13" i="1"/>
  <c r="Q14" i="1" s="1"/>
  <c r="P15" i="1" s="1"/>
  <c r="U196" i="1" l="1"/>
  <c r="V196" i="1" s="1"/>
  <c r="R14" i="1"/>
  <c r="Q15" i="1" s="1"/>
  <c r="P16" i="1" s="1"/>
  <c r="T197" i="1" l="1"/>
  <c r="R15" i="1"/>
  <c r="Q16" i="1" s="1"/>
  <c r="P17" i="1" s="1"/>
  <c r="U197" i="1" l="1"/>
  <c r="V197" i="1" s="1"/>
  <c r="R16" i="1"/>
  <c r="Q17" i="1" s="1"/>
  <c r="P18" i="1" s="1"/>
  <c r="T198" i="1" l="1"/>
  <c r="R17" i="1"/>
  <c r="Q18" i="1" s="1"/>
  <c r="P19" i="1" s="1"/>
  <c r="U198" i="1" l="1"/>
  <c r="V198" i="1" s="1"/>
  <c r="R18" i="1"/>
  <c r="Q19" i="1" s="1"/>
  <c r="P20" i="1" s="1"/>
  <c r="T199" i="1" l="1"/>
  <c r="R19" i="1"/>
  <c r="Q20" i="1" s="1"/>
  <c r="P21" i="1" s="1"/>
  <c r="U199" i="1" l="1"/>
  <c r="V199" i="1" s="1"/>
  <c r="R20" i="1"/>
  <c r="Q21" i="1" s="1"/>
  <c r="P22" i="1" s="1"/>
  <c r="T200" i="1" l="1"/>
  <c r="R21" i="1"/>
  <c r="Q22" i="1" s="1"/>
  <c r="P23" i="1" s="1"/>
  <c r="U200" i="1" l="1"/>
  <c r="V200" i="1" s="1"/>
  <c r="R22" i="1"/>
  <c r="Q23" i="1" s="1"/>
  <c r="P24" i="1" s="1"/>
  <c r="T201" i="1" l="1"/>
  <c r="R23" i="1"/>
  <c r="Q24" i="1" s="1"/>
  <c r="P25" i="1" s="1"/>
  <c r="U201" i="1" l="1"/>
  <c r="V201" i="1" s="1"/>
  <c r="R24" i="1"/>
  <c r="Q25" i="1" s="1"/>
  <c r="P26" i="1" s="1"/>
  <c r="T202" i="1" l="1"/>
  <c r="R25" i="1"/>
  <c r="Q26" i="1" s="1"/>
  <c r="P27" i="1" s="1"/>
  <c r="U202" i="1" l="1"/>
  <c r="V202" i="1" s="1"/>
  <c r="R26" i="1"/>
  <c r="Q27" i="1" s="1"/>
  <c r="P28" i="1" s="1"/>
  <c r="T203" i="1" l="1"/>
  <c r="R27" i="1"/>
  <c r="Q28" i="1" s="1"/>
  <c r="P29" i="1" s="1"/>
  <c r="U203" i="1" l="1"/>
  <c r="V203" i="1" s="1"/>
  <c r="R28" i="1"/>
  <c r="Q29" i="1" s="1"/>
  <c r="P30" i="1" s="1"/>
  <c r="T204" i="1" l="1"/>
  <c r="R29" i="1"/>
  <c r="Q30" i="1" s="1"/>
  <c r="P31" i="1" s="1"/>
  <c r="U204" i="1" l="1"/>
  <c r="V204" i="1" s="1"/>
  <c r="R30" i="1"/>
  <c r="Q31" i="1" s="1"/>
  <c r="P32" i="1" s="1"/>
  <c r="T205" i="1" l="1"/>
  <c r="R31" i="1"/>
  <c r="Q32" i="1" s="1"/>
  <c r="P33" i="1" s="1"/>
  <c r="U205" i="1" l="1"/>
  <c r="V205" i="1" s="1"/>
  <c r="R32" i="1"/>
  <c r="Q33" i="1" s="1"/>
  <c r="P34" i="1" s="1"/>
  <c r="T206" i="1" l="1"/>
  <c r="R33" i="1"/>
  <c r="Q34" i="1" s="1"/>
  <c r="P35" i="1" s="1"/>
  <c r="U206" i="1" l="1"/>
  <c r="V206" i="1" s="1"/>
  <c r="R34" i="1"/>
  <c r="Q35" i="1" s="1"/>
  <c r="P36" i="1" s="1"/>
  <c r="T207" i="1" l="1"/>
  <c r="R35" i="1"/>
  <c r="Q36" i="1" s="1"/>
  <c r="P37" i="1" s="1"/>
  <c r="U207" i="1" l="1"/>
  <c r="V207" i="1" s="1"/>
  <c r="R36" i="1"/>
  <c r="Q37" i="1" s="1"/>
  <c r="P38" i="1" s="1"/>
  <c r="T208" i="1" l="1"/>
  <c r="R37" i="1"/>
  <c r="Q38" i="1" s="1"/>
  <c r="P39" i="1" s="1"/>
  <c r="U208" i="1" l="1"/>
  <c r="V208" i="1" s="1"/>
  <c r="R38" i="1"/>
  <c r="Q39" i="1" s="1"/>
  <c r="P40" i="1" s="1"/>
  <c r="T209" i="1" l="1"/>
  <c r="R39" i="1"/>
  <c r="Q40" i="1" s="1"/>
  <c r="P41" i="1" s="1"/>
  <c r="U209" i="1" l="1"/>
  <c r="V209" i="1" s="1"/>
  <c r="R40" i="1"/>
  <c r="Q41" i="1" s="1"/>
  <c r="P42" i="1" s="1"/>
  <c r="T210" i="1" l="1"/>
  <c r="U210" i="1" s="1"/>
  <c r="V210" i="1" s="1"/>
  <c r="R41" i="1"/>
  <c r="Q42" i="1" s="1"/>
  <c r="P43" i="1" s="1"/>
  <c r="R42" i="1" l="1"/>
  <c r="Q43" i="1" s="1"/>
  <c r="P44" i="1" s="1"/>
  <c r="R43" i="1" l="1"/>
  <c r="Q44" i="1" s="1"/>
  <c r="P45" i="1" s="1"/>
  <c r="R44" i="1" l="1"/>
  <c r="Q45" i="1" s="1"/>
  <c r="P46" i="1" s="1"/>
  <c r="R45" i="1" l="1"/>
  <c r="Q46" i="1" s="1"/>
  <c r="P47" i="1" s="1"/>
  <c r="R46" i="1" l="1"/>
  <c r="Q47" i="1" s="1"/>
  <c r="P48" i="1" s="1"/>
  <c r="R47" i="1" l="1"/>
  <c r="Q48" i="1" s="1"/>
  <c r="P49" i="1" s="1"/>
  <c r="R48" i="1" l="1"/>
  <c r="Q49" i="1" s="1"/>
  <c r="P50" i="1" s="1"/>
  <c r="R49" i="1" l="1"/>
  <c r="Q50" i="1" s="1"/>
  <c r="P51" i="1" s="1"/>
  <c r="R50" i="1" l="1"/>
  <c r="Q51" i="1" s="1"/>
  <c r="P52" i="1" s="1"/>
  <c r="R51" i="1" l="1"/>
  <c r="Q52" i="1" s="1"/>
  <c r="P53" i="1" s="1"/>
  <c r="R52" i="1" l="1"/>
  <c r="Q53" i="1" s="1"/>
  <c r="P54" i="1" s="1"/>
  <c r="R53" i="1" l="1"/>
  <c r="Q54" i="1" s="1"/>
  <c r="P55" i="1" s="1"/>
  <c r="R54" i="1" l="1"/>
  <c r="Q55" i="1" s="1"/>
  <c r="P56" i="1" s="1"/>
  <c r="R55" i="1" l="1"/>
  <c r="Q56" i="1" s="1"/>
  <c r="P57" i="1" s="1"/>
  <c r="R56" i="1" l="1"/>
  <c r="Q57" i="1" s="1"/>
  <c r="P58" i="1" s="1"/>
  <c r="R57" i="1" l="1"/>
  <c r="Q58" i="1" s="1"/>
  <c r="P59" i="1" s="1"/>
  <c r="R58" i="1" l="1"/>
  <c r="Q59" i="1" s="1"/>
  <c r="P60" i="1" s="1"/>
  <c r="R59" i="1" l="1"/>
  <c r="Q60" i="1" s="1"/>
  <c r="P61" i="1" s="1"/>
  <c r="R60" i="1" l="1"/>
  <c r="Q61" i="1" s="1"/>
  <c r="P62" i="1" s="1"/>
  <c r="R61" i="1" l="1"/>
  <c r="Q62" i="1" s="1"/>
  <c r="P63" i="1" s="1"/>
  <c r="R62" i="1" l="1"/>
  <c r="Q63" i="1" s="1"/>
  <c r="P64" i="1" s="1"/>
  <c r="R63" i="1" l="1"/>
  <c r="Q64" i="1" s="1"/>
  <c r="P65" i="1" s="1"/>
  <c r="R64" i="1" l="1"/>
  <c r="Q65" i="1" s="1"/>
  <c r="P66" i="1" s="1"/>
  <c r="R65" i="1" l="1"/>
  <c r="Q66" i="1" s="1"/>
  <c r="P67" i="1" s="1"/>
  <c r="R66" i="1" l="1"/>
  <c r="Q67" i="1" s="1"/>
  <c r="P68" i="1" s="1"/>
  <c r="R67" i="1" l="1"/>
  <c r="Q68" i="1" s="1"/>
  <c r="P69" i="1" s="1"/>
  <c r="R68" i="1" l="1"/>
  <c r="Q69" i="1" s="1"/>
  <c r="P70" i="1" s="1"/>
  <c r="R69" i="1" l="1"/>
  <c r="Q70" i="1" s="1"/>
  <c r="P71" i="1" s="1"/>
  <c r="R70" i="1" l="1"/>
  <c r="Q71" i="1" s="1"/>
  <c r="P72" i="1" s="1"/>
  <c r="R71" i="1" l="1"/>
  <c r="Q72" i="1" s="1"/>
  <c r="P73" i="1" s="1"/>
  <c r="R72" i="1" l="1"/>
  <c r="Q73" i="1" s="1"/>
  <c r="P74" i="1" s="1"/>
  <c r="R73" i="1" l="1"/>
  <c r="Q74" i="1" s="1"/>
  <c r="P75" i="1" s="1"/>
  <c r="R74" i="1" l="1"/>
  <c r="Q75" i="1" s="1"/>
  <c r="P76" i="1" s="1"/>
  <c r="R75" i="1" l="1"/>
  <c r="Q76" i="1" s="1"/>
  <c r="P77" i="1" s="1"/>
  <c r="R76" i="1" l="1"/>
  <c r="Q77" i="1" s="1"/>
  <c r="P78" i="1" s="1"/>
  <c r="R77" i="1" l="1"/>
  <c r="Q78" i="1" s="1"/>
  <c r="P79" i="1" s="1"/>
  <c r="R78" i="1" l="1"/>
  <c r="Q79" i="1" s="1"/>
  <c r="P80" i="1" s="1"/>
  <c r="R79" i="1" l="1"/>
  <c r="Q80" i="1" s="1"/>
  <c r="P81" i="1" s="1"/>
  <c r="R80" i="1" l="1"/>
  <c r="Q81" i="1" s="1"/>
  <c r="P82" i="1" s="1"/>
  <c r="R81" i="1" l="1"/>
  <c r="Q82" i="1" s="1"/>
  <c r="P83" i="1" s="1"/>
  <c r="R82" i="1" l="1"/>
  <c r="Q83" i="1" s="1"/>
  <c r="P84" i="1" s="1"/>
  <c r="R83" i="1" l="1"/>
  <c r="Q84" i="1" s="1"/>
  <c r="P85" i="1" s="1"/>
  <c r="R84" i="1" l="1"/>
  <c r="Q85" i="1" s="1"/>
  <c r="P86" i="1" s="1"/>
  <c r="R85" i="1" l="1"/>
  <c r="Q86" i="1" s="1"/>
  <c r="P87" i="1" s="1"/>
  <c r="R86" i="1" l="1"/>
  <c r="Q87" i="1" s="1"/>
  <c r="P88" i="1" s="1"/>
  <c r="R87" i="1" l="1"/>
  <c r="Q88" i="1" s="1"/>
  <c r="P89" i="1" s="1"/>
  <c r="R88" i="1" l="1"/>
  <c r="Q89" i="1" s="1"/>
  <c r="P90" i="1" s="1"/>
  <c r="R89" i="1" l="1"/>
  <c r="Q90" i="1" s="1"/>
  <c r="P91" i="1" s="1"/>
  <c r="R90" i="1" l="1"/>
  <c r="Q91" i="1" s="1"/>
  <c r="P92" i="1" s="1"/>
  <c r="R91" i="1" l="1"/>
  <c r="Q92" i="1" s="1"/>
  <c r="P93" i="1" s="1"/>
  <c r="R92" i="1" l="1"/>
  <c r="Q93" i="1" s="1"/>
  <c r="P94" i="1" s="1"/>
  <c r="R93" i="1" l="1"/>
  <c r="Q94" i="1" s="1"/>
  <c r="P95" i="1" s="1"/>
  <c r="R94" i="1" l="1"/>
  <c r="Q95" i="1" s="1"/>
  <c r="P96" i="1" s="1"/>
  <c r="R95" i="1" l="1"/>
  <c r="Q96" i="1" s="1"/>
  <c r="P97" i="1" s="1"/>
  <c r="R96" i="1" l="1"/>
  <c r="Q97" i="1" s="1"/>
  <c r="P98" i="1" s="1"/>
  <c r="R97" i="1" l="1"/>
  <c r="Q98" i="1" s="1"/>
  <c r="P99" i="1" s="1"/>
  <c r="R98" i="1" l="1"/>
  <c r="Q99" i="1" s="1"/>
  <c r="P100" i="1" s="1"/>
  <c r="R99" i="1" l="1"/>
  <c r="Q100" i="1" s="1"/>
  <c r="P101" i="1" s="1"/>
  <c r="R100" i="1" l="1"/>
  <c r="Q101" i="1" s="1"/>
  <c r="P102" i="1" s="1"/>
  <c r="R101" i="1" l="1"/>
  <c r="Q102" i="1" s="1"/>
  <c r="P103" i="1" s="1"/>
  <c r="R102" i="1" l="1"/>
  <c r="Q103" i="1" s="1"/>
  <c r="P104" i="1" s="1"/>
  <c r="R103" i="1" l="1"/>
  <c r="Q104" i="1" s="1"/>
  <c r="P105" i="1" s="1"/>
  <c r="R104" i="1" l="1"/>
  <c r="Q105" i="1" s="1"/>
  <c r="P106" i="1" s="1"/>
  <c r="R105" i="1" l="1"/>
  <c r="Q106" i="1" s="1"/>
  <c r="P107" i="1" s="1"/>
  <c r="R106" i="1" l="1"/>
  <c r="Q107" i="1" s="1"/>
  <c r="P108" i="1" s="1"/>
  <c r="R107" i="1" l="1"/>
  <c r="Q108" i="1" s="1"/>
  <c r="P109" i="1" s="1"/>
  <c r="R108" i="1" l="1"/>
  <c r="Q109" i="1" s="1"/>
  <c r="P110" i="1" s="1"/>
  <c r="R109" i="1" l="1"/>
  <c r="Q110" i="1" s="1"/>
  <c r="P111" i="1" s="1"/>
  <c r="R110" i="1" l="1"/>
  <c r="Q111" i="1" s="1"/>
  <c r="P112" i="1" s="1"/>
  <c r="R111" i="1" l="1"/>
  <c r="Q112" i="1" s="1"/>
  <c r="P113" i="1" s="1"/>
  <c r="R112" i="1" l="1"/>
  <c r="Q113" i="1" s="1"/>
  <c r="P114" i="1" s="1"/>
  <c r="R113" i="1" l="1"/>
  <c r="Q114" i="1" s="1"/>
  <c r="P115" i="1" s="1"/>
  <c r="R114" i="1" l="1"/>
  <c r="Q115" i="1" s="1"/>
  <c r="P116" i="1" s="1"/>
  <c r="R115" i="1" l="1"/>
  <c r="Q116" i="1" s="1"/>
  <c r="P117" i="1" s="1"/>
  <c r="R116" i="1" l="1"/>
  <c r="Q117" i="1" s="1"/>
  <c r="P118" i="1" s="1"/>
  <c r="R117" i="1" l="1"/>
  <c r="Q118" i="1" s="1"/>
  <c r="P119" i="1" s="1"/>
  <c r="R118" i="1" l="1"/>
  <c r="Q119" i="1" s="1"/>
  <c r="P120" i="1" s="1"/>
  <c r="R119" i="1" l="1"/>
  <c r="Q120" i="1" s="1"/>
  <c r="P121" i="1" s="1"/>
  <c r="R120" i="1" l="1"/>
  <c r="Q121" i="1" s="1"/>
  <c r="P122" i="1" s="1"/>
  <c r="R121" i="1" l="1"/>
  <c r="Q122" i="1" s="1"/>
  <c r="P123" i="1" s="1"/>
  <c r="R122" i="1" l="1"/>
  <c r="Q123" i="1" s="1"/>
  <c r="P124" i="1" s="1"/>
  <c r="R123" i="1" l="1"/>
  <c r="Q124" i="1" s="1"/>
  <c r="P125" i="1" s="1"/>
  <c r="R124" i="1" l="1"/>
  <c r="Q125" i="1" s="1"/>
  <c r="P126" i="1" s="1"/>
  <c r="R125" i="1" l="1"/>
  <c r="Q126" i="1" s="1"/>
  <c r="P127" i="1" s="1"/>
  <c r="R126" i="1" l="1"/>
  <c r="Q127" i="1" s="1"/>
  <c r="P128" i="1" s="1"/>
  <c r="R127" i="1" l="1"/>
  <c r="Q128" i="1" s="1"/>
  <c r="P129" i="1" s="1"/>
  <c r="R128" i="1" l="1"/>
  <c r="Q129" i="1" s="1"/>
  <c r="P130" i="1" s="1"/>
  <c r="R129" i="1" l="1"/>
  <c r="Q130" i="1" s="1"/>
  <c r="P131" i="1" s="1"/>
  <c r="R130" i="1" l="1"/>
  <c r="Q131" i="1" s="1"/>
  <c r="P132" i="1" s="1"/>
  <c r="R131" i="1" l="1"/>
  <c r="Q132" i="1" s="1"/>
  <c r="P133" i="1" s="1"/>
  <c r="R132" i="1" l="1"/>
  <c r="Q133" i="1" s="1"/>
  <c r="P134" i="1" s="1"/>
  <c r="R133" i="1" l="1"/>
  <c r="Q134" i="1" s="1"/>
  <c r="P135" i="1" s="1"/>
  <c r="R134" i="1" l="1"/>
  <c r="Q135" i="1" s="1"/>
  <c r="P136" i="1" s="1"/>
  <c r="R135" i="1" l="1"/>
  <c r="Q136" i="1" s="1"/>
  <c r="P137" i="1" s="1"/>
  <c r="R136" i="1" l="1"/>
  <c r="Q137" i="1" s="1"/>
  <c r="P138" i="1" s="1"/>
  <c r="R137" i="1" l="1"/>
  <c r="Q138" i="1" s="1"/>
  <c r="P139" i="1" s="1"/>
  <c r="R138" i="1" l="1"/>
  <c r="Q139" i="1" s="1"/>
  <c r="P140" i="1" s="1"/>
  <c r="R139" i="1" l="1"/>
  <c r="Q140" i="1" s="1"/>
  <c r="P141" i="1" s="1"/>
  <c r="R140" i="1" l="1"/>
  <c r="Q141" i="1" s="1"/>
  <c r="P142" i="1" s="1"/>
  <c r="R141" i="1" l="1"/>
  <c r="Q142" i="1" s="1"/>
  <c r="P143" i="1" s="1"/>
  <c r="R142" i="1" l="1"/>
  <c r="Q143" i="1" s="1"/>
  <c r="P144" i="1" s="1"/>
  <c r="R143" i="1" l="1"/>
  <c r="Q144" i="1" s="1"/>
  <c r="P145" i="1" s="1"/>
  <c r="R144" i="1" l="1"/>
  <c r="Q145" i="1" s="1"/>
  <c r="P146" i="1" s="1"/>
  <c r="R145" i="1" l="1"/>
  <c r="Q146" i="1" s="1"/>
  <c r="P147" i="1" s="1"/>
  <c r="R146" i="1" l="1"/>
  <c r="Q147" i="1" s="1"/>
  <c r="P148" i="1" s="1"/>
  <c r="R147" i="1" l="1"/>
  <c r="Q148" i="1" s="1"/>
  <c r="P149" i="1" s="1"/>
  <c r="R148" i="1" l="1"/>
  <c r="Q149" i="1" s="1"/>
  <c r="P150" i="1" s="1"/>
  <c r="R149" i="1" l="1"/>
  <c r="Q150" i="1" s="1"/>
  <c r="P151" i="1" s="1"/>
  <c r="R150" i="1" l="1"/>
  <c r="Q151" i="1" s="1"/>
  <c r="P152" i="1" s="1"/>
  <c r="R151" i="1" l="1"/>
  <c r="Q152" i="1" s="1"/>
  <c r="P153" i="1" s="1"/>
  <c r="R152" i="1" l="1"/>
  <c r="Q153" i="1" s="1"/>
  <c r="P154" i="1" s="1"/>
  <c r="R153" i="1" l="1"/>
  <c r="Q154" i="1" s="1"/>
  <c r="P155" i="1" s="1"/>
  <c r="R154" i="1" l="1"/>
  <c r="Q155" i="1" s="1"/>
  <c r="P156" i="1" s="1"/>
  <c r="R155" i="1" l="1"/>
  <c r="Q156" i="1" s="1"/>
  <c r="P157" i="1" s="1"/>
  <c r="R156" i="1" l="1"/>
  <c r="Q157" i="1" s="1"/>
  <c r="P158" i="1" s="1"/>
  <c r="R157" i="1" l="1"/>
  <c r="Q158" i="1" s="1"/>
  <c r="P159" i="1" s="1"/>
  <c r="R158" i="1" l="1"/>
  <c r="Q159" i="1" s="1"/>
  <c r="P160" i="1" s="1"/>
  <c r="R159" i="1" l="1"/>
  <c r="Q160" i="1" s="1"/>
  <c r="P161" i="1" s="1"/>
  <c r="R160" i="1" l="1"/>
  <c r="Q161" i="1" s="1"/>
  <c r="P162" i="1" s="1"/>
  <c r="R161" i="1" l="1"/>
  <c r="Q162" i="1" s="1"/>
  <c r="P163" i="1" s="1"/>
  <c r="R162" i="1" l="1"/>
  <c r="Q163" i="1" s="1"/>
  <c r="P164" i="1" s="1"/>
  <c r="R163" i="1" l="1"/>
  <c r="Q164" i="1" s="1"/>
  <c r="P165" i="1" s="1"/>
  <c r="R164" i="1" l="1"/>
  <c r="Q165" i="1" s="1"/>
  <c r="P166" i="1" s="1"/>
  <c r="R165" i="1" l="1"/>
  <c r="Q166" i="1" s="1"/>
  <c r="P167" i="1" s="1"/>
  <c r="R166" i="1" l="1"/>
  <c r="Q167" i="1" s="1"/>
  <c r="P168" i="1" s="1"/>
  <c r="R167" i="1" l="1"/>
  <c r="Q168" i="1" s="1"/>
  <c r="P169" i="1" s="1"/>
  <c r="R168" i="1" l="1"/>
  <c r="Q169" i="1" s="1"/>
  <c r="P170" i="1" s="1"/>
  <c r="R169" i="1" l="1"/>
  <c r="Q170" i="1" s="1"/>
  <c r="P171" i="1" s="1"/>
  <c r="R170" i="1" l="1"/>
  <c r="Q171" i="1" s="1"/>
  <c r="P172" i="1" s="1"/>
  <c r="R171" i="1" l="1"/>
  <c r="Q172" i="1" s="1"/>
  <c r="P173" i="1" s="1"/>
  <c r="R172" i="1" l="1"/>
  <c r="Q173" i="1" s="1"/>
  <c r="P174" i="1" s="1"/>
  <c r="R173" i="1" l="1"/>
  <c r="Q174" i="1" s="1"/>
  <c r="P175" i="1" s="1"/>
  <c r="R174" i="1" l="1"/>
  <c r="Q175" i="1" s="1"/>
  <c r="P176" i="1" s="1"/>
  <c r="R175" i="1" l="1"/>
  <c r="Q176" i="1" s="1"/>
  <c r="P177" i="1" s="1"/>
  <c r="R176" i="1" l="1"/>
  <c r="Q177" i="1" s="1"/>
  <c r="P178" i="1" s="1"/>
  <c r="R177" i="1" l="1"/>
  <c r="Q178" i="1" s="1"/>
  <c r="P179" i="1" s="1"/>
  <c r="R178" i="1" l="1"/>
  <c r="Q179" i="1" s="1"/>
  <c r="P180" i="1" s="1"/>
  <c r="R179" i="1" l="1"/>
  <c r="Q180" i="1" s="1"/>
  <c r="P181" i="1" s="1"/>
  <c r="R180" i="1" l="1"/>
  <c r="Q181" i="1" s="1"/>
  <c r="P182" i="1" s="1"/>
  <c r="R181" i="1" l="1"/>
  <c r="Q182" i="1" s="1"/>
  <c r="P183" i="1" s="1"/>
  <c r="R182" i="1" l="1"/>
  <c r="Q183" i="1" s="1"/>
  <c r="P184" i="1" s="1"/>
  <c r="R183" i="1" l="1"/>
  <c r="Q184" i="1" s="1"/>
  <c r="P185" i="1" s="1"/>
  <c r="R184" i="1" l="1"/>
  <c r="Q185" i="1" s="1"/>
  <c r="P186" i="1" s="1"/>
  <c r="R185" i="1" l="1"/>
  <c r="Q186" i="1" s="1"/>
  <c r="P187" i="1" s="1"/>
  <c r="R186" i="1" l="1"/>
  <c r="Q187" i="1" s="1"/>
  <c r="P188" i="1" s="1"/>
  <c r="R187" i="1" l="1"/>
  <c r="Q188" i="1" s="1"/>
  <c r="P189" i="1" s="1"/>
  <c r="R188" i="1" l="1"/>
  <c r="Q189" i="1" s="1"/>
  <c r="P190" i="1" s="1"/>
  <c r="R189" i="1" l="1"/>
  <c r="Q190" i="1" s="1"/>
  <c r="P191" i="1" s="1"/>
  <c r="R190" i="1" l="1"/>
  <c r="Q191" i="1" s="1"/>
  <c r="P192" i="1" s="1"/>
  <c r="R191" i="1" l="1"/>
  <c r="Q192" i="1" s="1"/>
  <c r="P193" i="1" s="1"/>
  <c r="R192" i="1" l="1"/>
  <c r="Q193" i="1" s="1"/>
  <c r="P194" i="1" s="1"/>
  <c r="R193" i="1" l="1"/>
  <c r="Q194" i="1" s="1"/>
  <c r="P195" i="1" s="1"/>
  <c r="R194" i="1" l="1"/>
  <c r="Q195" i="1" s="1"/>
  <c r="P196" i="1" s="1"/>
  <c r="R195" i="1" l="1"/>
  <c r="Q196" i="1" s="1"/>
  <c r="P197" i="1" s="1"/>
  <c r="R196" i="1" l="1"/>
  <c r="Q197" i="1" s="1"/>
  <c r="P198" i="1" s="1"/>
  <c r="R197" i="1" l="1"/>
  <c r="Q198" i="1" s="1"/>
  <c r="P199" i="1" s="1"/>
  <c r="R198" i="1" l="1"/>
  <c r="Q199" i="1" s="1"/>
  <c r="P200" i="1" s="1"/>
  <c r="R199" i="1" l="1"/>
  <c r="Q200" i="1" s="1"/>
  <c r="P201" i="1" s="1"/>
  <c r="R200" i="1" l="1"/>
  <c r="Q201" i="1" s="1"/>
  <c r="P202" i="1" s="1"/>
  <c r="R201" i="1" l="1"/>
  <c r="Q202" i="1" s="1"/>
  <c r="P203" i="1" s="1"/>
  <c r="R202" i="1" l="1"/>
  <c r="Q203" i="1" s="1"/>
  <c r="P204" i="1" s="1"/>
  <c r="R203" i="1" l="1"/>
  <c r="Q204" i="1" s="1"/>
  <c r="P205" i="1" s="1"/>
  <c r="R204" i="1" l="1"/>
  <c r="Q205" i="1" s="1"/>
  <c r="P206" i="1" s="1"/>
  <c r="R205" i="1" l="1"/>
  <c r="Q206" i="1" s="1"/>
  <c r="P207" i="1" s="1"/>
  <c r="R206" i="1" l="1"/>
  <c r="Q207" i="1" s="1"/>
  <c r="P208" i="1" s="1"/>
  <c r="R207" i="1" l="1"/>
  <c r="Q208" i="1" s="1"/>
  <c r="P209" i="1" s="1"/>
  <c r="R208" i="1" l="1"/>
  <c r="Q209" i="1" s="1"/>
  <c r="P210" i="1" s="1"/>
  <c r="R209" i="1" l="1"/>
  <c r="Q210" i="1" s="1"/>
  <c r="R210" i="1" l="1"/>
</calcChain>
</file>

<file path=xl/sharedStrings.xml><?xml version="1.0" encoding="utf-8"?>
<sst xmlns="http://schemas.openxmlformats.org/spreadsheetml/2006/main" count="18" uniqueCount="18">
  <si>
    <t>Flywheel Calculator</t>
  </si>
  <si>
    <t>Metric?</t>
  </si>
  <si>
    <t>775pro</t>
  </si>
  <si>
    <t>Adjusted</t>
  </si>
  <si>
    <t>Free Speed (RPM)</t>
  </si>
  <si>
    <t>Stall Torque (Nm)</t>
  </si>
  <si>
    <t># of Motors</t>
  </si>
  <si>
    <t>Spin-up Time (s)</t>
  </si>
  <si>
    <t>Max Voltage (V)</t>
  </si>
  <si>
    <t>Gearbox Efficiency</t>
  </si>
  <si>
    <t>Min. Speed (rpm)</t>
  </si>
  <si>
    <t>Gear Ratio</t>
  </si>
  <si>
    <t>Recovery Time (s)</t>
  </si>
  <si>
    <t>Shooting Speed (rpm)</t>
  </si>
  <si>
    <t>Compression Coefficient</t>
  </si>
  <si>
    <t>Flywheel Gear Ratio</t>
  </si>
  <si>
    <t># of Objects in Volley</t>
  </si>
  <si>
    <t>Steady-State Volt.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</si>
</sst>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\ \:\ \1"/>
    <numFmt numFmtId="165" formatCode="0.0"/>
    <numFmt numFmtId="166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/>
    <xf numFmtId="0" fontId="8" fillId="0" borderId="0"/>
  </cellStyleXfs>
  <cellXfs count="24">
    <xf numFmtId="0" fontId="0" fillId="0" borderId="0" xfId="0"/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0" fillId="0" borderId="3" xfId="0" applyFont="1" applyBorder="1" applyAlignment="1" applyProtection="1">
      <alignment horizontal="left" vertical="center"/>
    </xf>
    <xf numFmtId="1" fontId="0" fillId="0" borderId="4" xfId="0" applyNumberFormat="1" applyBorder="1" applyAlignment="1" applyProtection="1">
      <alignment vertical="center"/>
    </xf>
    <xf numFmtId="1" fontId="0" fillId="0" borderId="5" xfId="0" applyNumberFormat="1" applyBorder="1" applyAlignment="1" applyProtection="1">
      <alignment vertical="center"/>
    </xf>
    <xf numFmtId="0" fontId="0" fillId="0" borderId="6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vertical="center"/>
    </xf>
    <xf numFmtId="2" fontId="0" fillId="0" borderId="8" xfId="0" applyNumberFormat="1" applyBorder="1" applyAlignment="1" applyProtection="1">
      <alignment vertical="center"/>
    </xf>
    <xf numFmtId="0" fontId="0" fillId="0" borderId="9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vertical="center"/>
    </xf>
    <xf numFmtId="9" fontId="0" fillId="2" borderId="10" xfId="1" applyFont="1" applyFill="1" applyBorder="1" applyAlignment="1" applyProtection="1">
      <alignment vertical="center"/>
    </xf>
    <xf numFmtId="1" fontId="0" fillId="3" borderId="10" xfId="0" applyNumberFormat="1" applyFill="1" applyBorder="1" applyAlignment="1" applyProtection="1">
      <alignment vertical="center"/>
    </xf>
    <xf numFmtId="1" fontId="0" fillId="0" borderId="0" xfId="0" applyNumberFormat="1" applyAlignment="1" applyProtection="1">
      <alignment vertical="center"/>
    </xf>
    <xf numFmtId="164" fontId="0" fillId="2" borderId="10" xfId="1" applyNumberFormat="1" applyFont="1" applyFill="1" applyBorder="1" applyAlignment="1" applyProtection="1">
      <alignment vertical="center"/>
    </xf>
    <xf numFmtId="165" fontId="0" fillId="2" borderId="10" xfId="0" applyNumberFormat="1" applyFill="1" applyBorder="1" applyAlignment="1" applyProtection="1">
      <alignment vertical="center"/>
    </xf>
    <xf numFmtId="1" fontId="0" fillId="2" borderId="10" xfId="0" applyNumberFormat="1" applyFill="1" applyBorder="1" applyAlignment="1" applyProtection="1">
      <alignment vertical="center"/>
    </xf>
    <xf numFmtId="165" fontId="0" fillId="3" borderId="10" xfId="0" applyNumberFormat="1" applyFill="1" applyBorder="1" applyAlignment="1" applyProtection="1">
      <alignment vertical="center"/>
    </xf>
    <xf numFmtId="2" fontId="0" fillId="3" borderId="10" xfId="0" applyNumberFormat="1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166" fontId="0" fillId="0" borderId="0" xfId="0" applyNumberFormat="1" applyAlignment="1" applyProtection="1">
      <alignment vertical="center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Flywheel!$P$10:$P$210</c:f>
              <c:numCache>
                <c:formatCode>General</c:formatCode>
                <c:ptCount val="20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  <c:pt idx="50">
                  <c:v>1.0000000000000004</c:v>
                </c:pt>
                <c:pt idx="51">
                  <c:v>1.0200000000000005</c:v>
                </c:pt>
                <c:pt idx="52">
                  <c:v>1.0400000000000005</c:v>
                </c:pt>
                <c:pt idx="53">
                  <c:v>1.0600000000000005</c:v>
                </c:pt>
                <c:pt idx="54">
                  <c:v>1.0800000000000005</c:v>
                </c:pt>
                <c:pt idx="55">
                  <c:v>1.1000000000000005</c:v>
                </c:pt>
                <c:pt idx="56">
                  <c:v>1.1200000000000006</c:v>
                </c:pt>
                <c:pt idx="57">
                  <c:v>1.1400000000000006</c:v>
                </c:pt>
                <c:pt idx="58">
                  <c:v>1.1600000000000006</c:v>
                </c:pt>
                <c:pt idx="59">
                  <c:v>1.1600000000000006</c:v>
                </c:pt>
                <c:pt idx="60">
                  <c:v>1.1600000000000006</c:v>
                </c:pt>
                <c:pt idx="61">
                  <c:v>1.1600000000000006</c:v>
                </c:pt>
                <c:pt idx="62">
                  <c:v>1.1600000000000006</c:v>
                </c:pt>
                <c:pt idx="63">
                  <c:v>1.1600000000000006</c:v>
                </c:pt>
                <c:pt idx="64">
                  <c:v>1.1600000000000006</c:v>
                </c:pt>
                <c:pt idx="65">
                  <c:v>1.1600000000000006</c:v>
                </c:pt>
                <c:pt idx="66">
                  <c:v>1.1600000000000006</c:v>
                </c:pt>
                <c:pt idx="67">
                  <c:v>1.1600000000000006</c:v>
                </c:pt>
                <c:pt idx="68">
                  <c:v>1.1600000000000006</c:v>
                </c:pt>
                <c:pt idx="69">
                  <c:v>1.1600000000000006</c:v>
                </c:pt>
                <c:pt idx="70">
                  <c:v>1.1600000000000006</c:v>
                </c:pt>
                <c:pt idx="71">
                  <c:v>1.1600000000000006</c:v>
                </c:pt>
                <c:pt idx="72">
                  <c:v>1.1600000000000006</c:v>
                </c:pt>
                <c:pt idx="73">
                  <c:v>1.1600000000000006</c:v>
                </c:pt>
                <c:pt idx="74">
                  <c:v>1.1600000000000006</c:v>
                </c:pt>
                <c:pt idx="75">
                  <c:v>1.1600000000000006</c:v>
                </c:pt>
                <c:pt idx="76">
                  <c:v>1.1600000000000006</c:v>
                </c:pt>
                <c:pt idx="77">
                  <c:v>1.1600000000000006</c:v>
                </c:pt>
                <c:pt idx="78">
                  <c:v>1.1600000000000006</c:v>
                </c:pt>
                <c:pt idx="79">
                  <c:v>1.1600000000000006</c:v>
                </c:pt>
                <c:pt idx="80">
                  <c:v>1.1600000000000006</c:v>
                </c:pt>
                <c:pt idx="81">
                  <c:v>1.1600000000000006</c:v>
                </c:pt>
                <c:pt idx="82">
                  <c:v>1.1600000000000006</c:v>
                </c:pt>
                <c:pt idx="83">
                  <c:v>1.1600000000000006</c:v>
                </c:pt>
                <c:pt idx="84">
                  <c:v>1.1600000000000006</c:v>
                </c:pt>
                <c:pt idx="85">
                  <c:v>1.1600000000000006</c:v>
                </c:pt>
                <c:pt idx="86">
                  <c:v>1.1600000000000006</c:v>
                </c:pt>
                <c:pt idx="87">
                  <c:v>1.1600000000000006</c:v>
                </c:pt>
                <c:pt idx="88">
                  <c:v>1.1600000000000006</c:v>
                </c:pt>
                <c:pt idx="89">
                  <c:v>1.1600000000000006</c:v>
                </c:pt>
                <c:pt idx="90">
                  <c:v>1.1600000000000006</c:v>
                </c:pt>
                <c:pt idx="91">
                  <c:v>1.1600000000000006</c:v>
                </c:pt>
                <c:pt idx="92">
                  <c:v>1.1600000000000006</c:v>
                </c:pt>
                <c:pt idx="93">
                  <c:v>1.1600000000000006</c:v>
                </c:pt>
                <c:pt idx="94">
                  <c:v>1.1600000000000006</c:v>
                </c:pt>
                <c:pt idx="95">
                  <c:v>1.1600000000000006</c:v>
                </c:pt>
                <c:pt idx="96">
                  <c:v>1.1600000000000006</c:v>
                </c:pt>
                <c:pt idx="97">
                  <c:v>1.1600000000000006</c:v>
                </c:pt>
                <c:pt idx="98">
                  <c:v>1.1600000000000006</c:v>
                </c:pt>
                <c:pt idx="99">
                  <c:v>1.1600000000000006</c:v>
                </c:pt>
                <c:pt idx="100">
                  <c:v>1.1600000000000006</c:v>
                </c:pt>
                <c:pt idx="101">
                  <c:v>1.1600000000000006</c:v>
                </c:pt>
                <c:pt idx="102">
                  <c:v>1.1600000000000006</c:v>
                </c:pt>
                <c:pt idx="103">
                  <c:v>1.1600000000000006</c:v>
                </c:pt>
                <c:pt idx="104">
                  <c:v>1.1600000000000006</c:v>
                </c:pt>
                <c:pt idx="105">
                  <c:v>1.1600000000000006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1.1600000000000006</c:v>
                </c:pt>
                <c:pt idx="109">
                  <c:v>1.1600000000000006</c:v>
                </c:pt>
                <c:pt idx="110">
                  <c:v>1.1600000000000006</c:v>
                </c:pt>
                <c:pt idx="111">
                  <c:v>1.1600000000000006</c:v>
                </c:pt>
                <c:pt idx="112">
                  <c:v>1.1600000000000006</c:v>
                </c:pt>
                <c:pt idx="113">
                  <c:v>1.1600000000000006</c:v>
                </c:pt>
                <c:pt idx="114">
                  <c:v>1.1600000000000006</c:v>
                </c:pt>
                <c:pt idx="115">
                  <c:v>1.1600000000000006</c:v>
                </c:pt>
                <c:pt idx="116">
                  <c:v>1.1600000000000006</c:v>
                </c:pt>
                <c:pt idx="117">
                  <c:v>1.1600000000000006</c:v>
                </c:pt>
                <c:pt idx="118">
                  <c:v>1.1600000000000006</c:v>
                </c:pt>
                <c:pt idx="119">
                  <c:v>1.1600000000000006</c:v>
                </c:pt>
                <c:pt idx="120">
                  <c:v>1.1600000000000006</c:v>
                </c:pt>
                <c:pt idx="121">
                  <c:v>1.1600000000000006</c:v>
                </c:pt>
                <c:pt idx="122">
                  <c:v>1.1600000000000006</c:v>
                </c:pt>
                <c:pt idx="123">
                  <c:v>1.1600000000000006</c:v>
                </c:pt>
                <c:pt idx="124">
                  <c:v>1.1600000000000006</c:v>
                </c:pt>
                <c:pt idx="125">
                  <c:v>1.1600000000000006</c:v>
                </c:pt>
                <c:pt idx="126">
                  <c:v>1.1600000000000006</c:v>
                </c:pt>
                <c:pt idx="127">
                  <c:v>1.1600000000000006</c:v>
                </c:pt>
                <c:pt idx="128">
                  <c:v>1.1600000000000006</c:v>
                </c:pt>
                <c:pt idx="129">
                  <c:v>1.1600000000000006</c:v>
                </c:pt>
                <c:pt idx="130">
                  <c:v>1.1600000000000006</c:v>
                </c:pt>
                <c:pt idx="131">
                  <c:v>1.1600000000000006</c:v>
                </c:pt>
                <c:pt idx="132">
                  <c:v>1.1600000000000006</c:v>
                </c:pt>
                <c:pt idx="133">
                  <c:v>1.1600000000000006</c:v>
                </c:pt>
                <c:pt idx="134">
                  <c:v>1.1600000000000006</c:v>
                </c:pt>
                <c:pt idx="135">
                  <c:v>1.1600000000000006</c:v>
                </c:pt>
                <c:pt idx="136">
                  <c:v>1.1600000000000006</c:v>
                </c:pt>
                <c:pt idx="137">
                  <c:v>1.1600000000000006</c:v>
                </c:pt>
                <c:pt idx="138">
                  <c:v>1.1600000000000006</c:v>
                </c:pt>
                <c:pt idx="139">
                  <c:v>1.1600000000000006</c:v>
                </c:pt>
                <c:pt idx="140">
                  <c:v>1.1600000000000006</c:v>
                </c:pt>
                <c:pt idx="141">
                  <c:v>1.1600000000000006</c:v>
                </c:pt>
                <c:pt idx="142">
                  <c:v>1.1600000000000006</c:v>
                </c:pt>
                <c:pt idx="143">
                  <c:v>1.1600000000000006</c:v>
                </c:pt>
                <c:pt idx="144">
                  <c:v>1.1600000000000006</c:v>
                </c:pt>
                <c:pt idx="145">
                  <c:v>1.1600000000000006</c:v>
                </c:pt>
                <c:pt idx="146">
                  <c:v>1.1600000000000006</c:v>
                </c:pt>
                <c:pt idx="147">
                  <c:v>1.1600000000000006</c:v>
                </c:pt>
                <c:pt idx="148">
                  <c:v>1.1600000000000006</c:v>
                </c:pt>
                <c:pt idx="149">
                  <c:v>1.1600000000000006</c:v>
                </c:pt>
                <c:pt idx="150">
                  <c:v>1.1600000000000006</c:v>
                </c:pt>
                <c:pt idx="151">
                  <c:v>1.1600000000000006</c:v>
                </c:pt>
                <c:pt idx="152">
                  <c:v>1.1600000000000006</c:v>
                </c:pt>
                <c:pt idx="153">
                  <c:v>1.1600000000000006</c:v>
                </c:pt>
                <c:pt idx="154">
                  <c:v>1.1600000000000006</c:v>
                </c:pt>
                <c:pt idx="155">
                  <c:v>1.1600000000000006</c:v>
                </c:pt>
                <c:pt idx="156">
                  <c:v>1.1600000000000006</c:v>
                </c:pt>
                <c:pt idx="157">
                  <c:v>1.1600000000000006</c:v>
                </c:pt>
                <c:pt idx="158">
                  <c:v>1.1600000000000006</c:v>
                </c:pt>
                <c:pt idx="159">
                  <c:v>1.1600000000000006</c:v>
                </c:pt>
                <c:pt idx="160">
                  <c:v>1.1600000000000006</c:v>
                </c:pt>
                <c:pt idx="161">
                  <c:v>1.1600000000000006</c:v>
                </c:pt>
                <c:pt idx="162">
                  <c:v>1.1600000000000006</c:v>
                </c:pt>
                <c:pt idx="163">
                  <c:v>1.1600000000000006</c:v>
                </c:pt>
                <c:pt idx="164">
                  <c:v>1.1600000000000006</c:v>
                </c:pt>
                <c:pt idx="165">
                  <c:v>1.1600000000000006</c:v>
                </c:pt>
                <c:pt idx="166">
                  <c:v>1.1600000000000006</c:v>
                </c:pt>
                <c:pt idx="167">
                  <c:v>1.1600000000000006</c:v>
                </c:pt>
                <c:pt idx="168">
                  <c:v>1.1600000000000006</c:v>
                </c:pt>
                <c:pt idx="169">
                  <c:v>1.1600000000000006</c:v>
                </c:pt>
                <c:pt idx="170">
                  <c:v>1.1600000000000006</c:v>
                </c:pt>
                <c:pt idx="171">
                  <c:v>1.1600000000000006</c:v>
                </c:pt>
                <c:pt idx="172">
                  <c:v>1.1600000000000006</c:v>
                </c:pt>
                <c:pt idx="173">
                  <c:v>1.1600000000000006</c:v>
                </c:pt>
                <c:pt idx="174">
                  <c:v>1.1600000000000006</c:v>
                </c:pt>
                <c:pt idx="175">
                  <c:v>1.1600000000000006</c:v>
                </c:pt>
                <c:pt idx="176">
                  <c:v>1.1600000000000006</c:v>
                </c:pt>
                <c:pt idx="177">
                  <c:v>1.1600000000000006</c:v>
                </c:pt>
                <c:pt idx="178">
                  <c:v>1.1600000000000006</c:v>
                </c:pt>
                <c:pt idx="179">
                  <c:v>1.1600000000000006</c:v>
                </c:pt>
                <c:pt idx="180">
                  <c:v>1.1600000000000006</c:v>
                </c:pt>
                <c:pt idx="181">
                  <c:v>1.1600000000000006</c:v>
                </c:pt>
                <c:pt idx="182">
                  <c:v>1.1600000000000006</c:v>
                </c:pt>
                <c:pt idx="183">
                  <c:v>1.1600000000000006</c:v>
                </c:pt>
                <c:pt idx="184">
                  <c:v>1.1600000000000006</c:v>
                </c:pt>
                <c:pt idx="185">
                  <c:v>1.1600000000000006</c:v>
                </c:pt>
                <c:pt idx="186">
                  <c:v>1.1600000000000006</c:v>
                </c:pt>
                <c:pt idx="187">
                  <c:v>1.1600000000000006</c:v>
                </c:pt>
                <c:pt idx="188">
                  <c:v>1.1600000000000006</c:v>
                </c:pt>
                <c:pt idx="189">
                  <c:v>1.1600000000000006</c:v>
                </c:pt>
                <c:pt idx="190">
                  <c:v>1.1600000000000006</c:v>
                </c:pt>
                <c:pt idx="191">
                  <c:v>1.1600000000000006</c:v>
                </c:pt>
                <c:pt idx="192">
                  <c:v>1.1600000000000006</c:v>
                </c:pt>
                <c:pt idx="193">
                  <c:v>1.1600000000000006</c:v>
                </c:pt>
                <c:pt idx="194">
                  <c:v>1.1600000000000006</c:v>
                </c:pt>
                <c:pt idx="195">
                  <c:v>1.1600000000000006</c:v>
                </c:pt>
                <c:pt idx="196">
                  <c:v>1.1600000000000006</c:v>
                </c:pt>
                <c:pt idx="197">
                  <c:v>1.1600000000000006</c:v>
                </c:pt>
                <c:pt idx="198">
                  <c:v>1.1600000000000006</c:v>
                </c:pt>
                <c:pt idx="199">
                  <c:v>1.1600000000000006</c:v>
                </c:pt>
                <c:pt idx="200">
                  <c:v>1.1600000000000006</c:v>
                </c:pt>
              </c:numCache>
            </c:numRef>
          </c:xVal>
          <c:yVal>
            <c:numRef>
              <c:f>Flywheel!$Q$10:$Q$210</c:f>
              <c:numCache>
                <c:formatCode>General</c:formatCode>
                <c:ptCount val="201"/>
                <c:pt idx="0">
                  <c:v>0</c:v>
                </c:pt>
                <c:pt idx="1">
                  <c:v>94.482588668024761</c:v>
                </c:pt>
                <c:pt idx="2">
                  <c:v>188.81544497845732</c:v>
                </c:pt>
                <c:pt idx="3">
                  <c:v>282.99880622135527</c:v>
                </c:pt>
                <c:pt idx="4">
                  <c:v>377.03290931072814</c:v>
                </c:pt>
                <c:pt idx="5">
                  <c:v>470.91799078513327</c:v>
                </c:pt>
                <c:pt idx="6">
                  <c:v>564.65428680827085</c:v>
                </c:pt>
                <c:pt idx="7">
                  <c:v>658.24203316957789</c:v>
                </c:pt>
                <c:pt idx="8">
                  <c:v>751.68146528482157</c:v>
                </c:pt>
                <c:pt idx="9">
                  <c:v>844.97281819669104</c:v>
                </c:pt>
                <c:pt idx="10">
                  <c:v>938.11632657538894</c:v>
                </c:pt>
                <c:pt idx="11">
                  <c:v>1031.1122247192218</c:v>
                </c:pt>
                <c:pt idx="12">
                  <c:v>1123.960746555189</c:v>
                </c:pt>
                <c:pt idx="13">
                  <c:v>1216.6621256395715</c:v>
                </c:pt>
                <c:pt idx="14">
                  <c:v>1309.2165951585193</c:v>
                </c:pt>
                <c:pt idx="15">
                  <c:v>1401.6243879286383</c:v>
                </c:pt>
                <c:pt idx="16">
                  <c:v>1493.8857363975751</c:v>
                </c:pt>
                <c:pt idx="17">
                  <c:v>1586.0008726446026</c:v>
                </c:pt>
                <c:pt idx="18">
                  <c:v>1677.9700283812035</c:v>
                </c:pt>
                <c:pt idx="19">
                  <c:v>1769.7934349516529</c:v>
                </c:pt>
                <c:pt idx="20">
                  <c:v>1861.4713233336004</c:v>
                </c:pt>
                <c:pt idx="21">
                  <c:v>1953.003924138651</c:v>
                </c:pt>
                <c:pt idx="22">
                  <c:v>2044.3914676129457</c:v>
                </c:pt>
                <c:pt idx="23">
                  <c:v>2135.6341836377405</c:v>
                </c:pt>
                <c:pt idx="24">
                  <c:v>2226.7323017299836</c:v>
                </c:pt>
                <c:pt idx="25">
                  <c:v>2317.6860510428942</c:v>
                </c:pt>
                <c:pt idx="26">
                  <c:v>2408.4956603665387</c:v>
                </c:pt>
                <c:pt idx="27">
                  <c:v>2499.161358128405</c:v>
                </c:pt>
                <c:pt idx="28">
                  <c:v>2589.6833723939781</c:v>
                </c:pt>
                <c:pt idx="29">
                  <c:v>2680.061930867314</c:v>
                </c:pt>
                <c:pt idx="30">
                  <c:v>2770.2972608916125</c:v>
                </c:pt>
                <c:pt idx="31">
                  <c:v>2860.3895894497878</c:v>
                </c:pt>
                <c:pt idx="32">
                  <c:v>2950.3391431650402</c:v>
                </c:pt>
                <c:pt idx="33">
                  <c:v>3040.1461483014273</c:v>
                </c:pt>
                <c:pt idx="34">
                  <c:v>3129.8108307644316</c:v>
                </c:pt>
                <c:pt idx="35">
                  <c:v>3219.3334161015291</c:v>
                </c:pt>
                <c:pt idx="36">
                  <c:v>3308.7141295027577</c:v>
                </c:pt>
                <c:pt idx="37">
                  <c:v>3397.9531958012817</c:v>
                </c:pt>
                <c:pt idx="38">
                  <c:v>3487.0508394739591</c:v>
                </c:pt>
                <c:pt idx="39">
                  <c:v>3576.0072846419057</c:v>
                </c:pt>
                <c:pt idx="40">
                  <c:v>3664.822755071059</c:v>
                </c:pt>
                <c:pt idx="41">
                  <c:v>3753.4974741727401</c:v>
                </c:pt>
                <c:pt idx="42">
                  <c:v>3842.0316650042168</c:v>
                </c:pt>
                <c:pt idx="43">
                  <c:v>3930.4255502692649</c:v>
                </c:pt>
                <c:pt idx="44">
                  <c:v>4018.6793523187275</c:v>
                </c:pt>
                <c:pt idx="45">
                  <c:v>4106.7932931510741</c:v>
                </c:pt>
                <c:pt idx="46">
                  <c:v>4194.7675944129605</c:v>
                </c:pt>
                <c:pt idx="47">
                  <c:v>4282.6024773997851</c:v>
                </c:pt>
                <c:pt idx="48">
                  <c:v>4370.2981630562463</c:v>
                </c:pt>
                <c:pt idx="49">
                  <c:v>4457.8548719768969</c:v>
                </c:pt>
                <c:pt idx="50">
                  <c:v>4545.2728244067002</c:v>
                </c:pt>
                <c:pt idx="51">
                  <c:v>4632.5522402415854</c:v>
                </c:pt>
                <c:pt idx="52">
                  <c:v>4719.6933390289969</c:v>
                </c:pt>
                <c:pt idx="53">
                  <c:v>4806.6963399684491</c:v>
                </c:pt>
                <c:pt idx="54">
                  <c:v>4893.5614619120788</c:v>
                </c:pt>
                <c:pt idx="55">
                  <c:v>4980.288923365194</c:v>
                </c:pt>
                <c:pt idx="56">
                  <c:v>5066.686671446434</c:v>
                </c:pt>
                <c:pt idx="57">
                  <c:v>5071.3166707751725</c:v>
                </c:pt>
                <c:pt idx="58">
                  <c:v>5071.5647894386811</c:v>
                </c:pt>
                <c:pt idx="59">
                  <c:v>5071.5647894386811</c:v>
                </c:pt>
                <c:pt idx="60">
                  <c:v>5071.5647894386811</c:v>
                </c:pt>
                <c:pt idx="61">
                  <c:v>5071.5647894386811</c:v>
                </c:pt>
                <c:pt idx="62">
                  <c:v>5071.5647894386811</c:v>
                </c:pt>
                <c:pt idx="63">
                  <c:v>5071.5647894386811</c:v>
                </c:pt>
                <c:pt idx="64">
                  <c:v>5071.5647894386811</c:v>
                </c:pt>
                <c:pt idx="65">
                  <c:v>5071.5647894386811</c:v>
                </c:pt>
                <c:pt idx="66">
                  <c:v>5071.5647894386811</c:v>
                </c:pt>
                <c:pt idx="67">
                  <c:v>5071.5647894386811</c:v>
                </c:pt>
                <c:pt idx="68">
                  <c:v>5071.5647894386811</c:v>
                </c:pt>
                <c:pt idx="69">
                  <c:v>5071.5647894386811</c:v>
                </c:pt>
                <c:pt idx="70">
                  <c:v>5071.5647894386811</c:v>
                </c:pt>
                <c:pt idx="71">
                  <c:v>5071.5647894386811</c:v>
                </c:pt>
                <c:pt idx="72">
                  <c:v>5071.5647894386811</c:v>
                </c:pt>
                <c:pt idx="73">
                  <c:v>5071.5647894386811</c:v>
                </c:pt>
                <c:pt idx="74">
                  <c:v>5071.5647894386811</c:v>
                </c:pt>
                <c:pt idx="75">
                  <c:v>5071.5647894386811</c:v>
                </c:pt>
                <c:pt idx="76">
                  <c:v>5071.5647894386811</c:v>
                </c:pt>
                <c:pt idx="77">
                  <c:v>5071.5647894386811</c:v>
                </c:pt>
                <c:pt idx="78">
                  <c:v>5071.5647894386811</c:v>
                </c:pt>
                <c:pt idx="79">
                  <c:v>5071.5647894386811</c:v>
                </c:pt>
                <c:pt idx="80">
                  <c:v>5071.5647894386811</c:v>
                </c:pt>
                <c:pt idx="81">
                  <c:v>5071.5647894386811</c:v>
                </c:pt>
                <c:pt idx="82">
                  <c:v>5071.5647894386811</c:v>
                </c:pt>
                <c:pt idx="83">
                  <c:v>5071.5647894386811</c:v>
                </c:pt>
                <c:pt idx="84">
                  <c:v>5071.5647894386811</c:v>
                </c:pt>
                <c:pt idx="85">
                  <c:v>5071.5647894386811</c:v>
                </c:pt>
                <c:pt idx="86">
                  <c:v>5071.5647894386811</c:v>
                </c:pt>
                <c:pt idx="87">
                  <c:v>5071.5647894386811</c:v>
                </c:pt>
                <c:pt idx="88">
                  <c:v>5071.5647894386811</c:v>
                </c:pt>
                <c:pt idx="89">
                  <c:v>5071.5647894386811</c:v>
                </c:pt>
                <c:pt idx="90">
                  <c:v>5071.5647894386811</c:v>
                </c:pt>
                <c:pt idx="91">
                  <c:v>5071.5647894386811</c:v>
                </c:pt>
                <c:pt idx="92">
                  <c:v>5071.5647894386811</c:v>
                </c:pt>
                <c:pt idx="93">
                  <c:v>5071.5647894386811</c:v>
                </c:pt>
                <c:pt idx="94">
                  <c:v>5071.5647894386811</c:v>
                </c:pt>
                <c:pt idx="95">
                  <c:v>5071.5647894386811</c:v>
                </c:pt>
                <c:pt idx="96">
                  <c:v>5071.5647894386811</c:v>
                </c:pt>
                <c:pt idx="97">
                  <c:v>5071.5647894386811</c:v>
                </c:pt>
                <c:pt idx="98">
                  <c:v>5071.5647894386811</c:v>
                </c:pt>
                <c:pt idx="99">
                  <c:v>5071.5647894386811</c:v>
                </c:pt>
                <c:pt idx="100">
                  <c:v>5071.5647894386811</c:v>
                </c:pt>
                <c:pt idx="101">
                  <c:v>5071.5647894386811</c:v>
                </c:pt>
                <c:pt idx="102">
                  <c:v>5071.5647894386811</c:v>
                </c:pt>
                <c:pt idx="103">
                  <c:v>5071.5647894386811</c:v>
                </c:pt>
                <c:pt idx="104">
                  <c:v>5071.5647894386811</c:v>
                </c:pt>
                <c:pt idx="105">
                  <c:v>5071.5647894386811</c:v>
                </c:pt>
                <c:pt idx="106">
                  <c:v>5071.5647894386811</c:v>
                </c:pt>
                <c:pt idx="107">
                  <c:v>5071.5647894386811</c:v>
                </c:pt>
                <c:pt idx="108">
                  <c:v>5071.5647894386811</c:v>
                </c:pt>
                <c:pt idx="109">
                  <c:v>5071.5647894386811</c:v>
                </c:pt>
                <c:pt idx="110">
                  <c:v>5071.5647894386811</c:v>
                </c:pt>
                <c:pt idx="111">
                  <c:v>5071.5647894386811</c:v>
                </c:pt>
                <c:pt idx="112">
                  <c:v>5071.5647894386811</c:v>
                </c:pt>
                <c:pt idx="113">
                  <c:v>5071.5647894386811</c:v>
                </c:pt>
                <c:pt idx="114">
                  <c:v>5071.5647894386811</c:v>
                </c:pt>
                <c:pt idx="115">
                  <c:v>5071.5647894386811</c:v>
                </c:pt>
                <c:pt idx="116">
                  <c:v>5071.5647894386811</c:v>
                </c:pt>
                <c:pt idx="117">
                  <c:v>5071.5647894386811</c:v>
                </c:pt>
                <c:pt idx="118">
                  <c:v>5071.5647894386811</c:v>
                </c:pt>
                <c:pt idx="119">
                  <c:v>5071.5647894386811</c:v>
                </c:pt>
                <c:pt idx="120">
                  <c:v>5071.5647894386811</c:v>
                </c:pt>
                <c:pt idx="121">
                  <c:v>5071.5647894386811</c:v>
                </c:pt>
                <c:pt idx="122">
                  <c:v>5071.5647894386811</c:v>
                </c:pt>
                <c:pt idx="123">
                  <c:v>5071.5647894386811</c:v>
                </c:pt>
                <c:pt idx="124">
                  <c:v>5071.5647894386811</c:v>
                </c:pt>
                <c:pt idx="125">
                  <c:v>5071.5647894386811</c:v>
                </c:pt>
                <c:pt idx="126">
                  <c:v>5071.5647894386811</c:v>
                </c:pt>
                <c:pt idx="127">
                  <c:v>5071.5647894386811</c:v>
                </c:pt>
                <c:pt idx="128">
                  <c:v>5071.5647894386811</c:v>
                </c:pt>
                <c:pt idx="129">
                  <c:v>5071.5647894386811</c:v>
                </c:pt>
                <c:pt idx="130">
                  <c:v>5071.5647894386811</c:v>
                </c:pt>
                <c:pt idx="131">
                  <c:v>5071.5647894386811</c:v>
                </c:pt>
                <c:pt idx="132">
                  <c:v>5071.5647894386811</c:v>
                </c:pt>
                <c:pt idx="133">
                  <c:v>5071.5647894386811</c:v>
                </c:pt>
                <c:pt idx="134">
                  <c:v>5071.5647894386811</c:v>
                </c:pt>
                <c:pt idx="135">
                  <c:v>5071.5647894386811</c:v>
                </c:pt>
                <c:pt idx="136">
                  <c:v>5071.5647894386811</c:v>
                </c:pt>
                <c:pt idx="137">
                  <c:v>5071.5647894386811</c:v>
                </c:pt>
                <c:pt idx="138">
                  <c:v>5071.5647894386811</c:v>
                </c:pt>
                <c:pt idx="139">
                  <c:v>5071.5647894386811</c:v>
                </c:pt>
                <c:pt idx="140">
                  <c:v>5071.5647894386811</c:v>
                </c:pt>
                <c:pt idx="141">
                  <c:v>5071.5647894386811</c:v>
                </c:pt>
                <c:pt idx="142">
                  <c:v>5071.5647894386811</c:v>
                </c:pt>
                <c:pt idx="143">
                  <c:v>5071.5647894386811</c:v>
                </c:pt>
                <c:pt idx="144">
                  <c:v>5071.5647894386811</c:v>
                </c:pt>
                <c:pt idx="145">
                  <c:v>5071.5647894386811</c:v>
                </c:pt>
                <c:pt idx="146">
                  <c:v>5071.5647894386811</c:v>
                </c:pt>
                <c:pt idx="147">
                  <c:v>5071.5647894386811</c:v>
                </c:pt>
                <c:pt idx="148">
                  <c:v>5071.5647894386811</c:v>
                </c:pt>
                <c:pt idx="149">
                  <c:v>5071.5647894386811</c:v>
                </c:pt>
                <c:pt idx="150">
                  <c:v>5071.5647894386811</c:v>
                </c:pt>
                <c:pt idx="151">
                  <c:v>5071.5647894386811</c:v>
                </c:pt>
                <c:pt idx="152">
                  <c:v>5071.5647894386811</c:v>
                </c:pt>
                <c:pt idx="153">
                  <c:v>5071.5647894386811</c:v>
                </c:pt>
                <c:pt idx="154">
                  <c:v>5071.5647894386811</c:v>
                </c:pt>
                <c:pt idx="155">
                  <c:v>5071.5647894386811</c:v>
                </c:pt>
                <c:pt idx="156">
                  <c:v>5071.5647894386811</c:v>
                </c:pt>
                <c:pt idx="157">
                  <c:v>5071.5647894386811</c:v>
                </c:pt>
                <c:pt idx="158">
                  <c:v>5071.5647894386811</c:v>
                </c:pt>
                <c:pt idx="159">
                  <c:v>5071.5647894386811</c:v>
                </c:pt>
                <c:pt idx="160">
                  <c:v>5071.5647894386811</c:v>
                </c:pt>
                <c:pt idx="161">
                  <c:v>5071.5647894386811</c:v>
                </c:pt>
                <c:pt idx="162">
                  <c:v>5071.5647894386811</c:v>
                </c:pt>
                <c:pt idx="163">
                  <c:v>5071.5647894386811</c:v>
                </c:pt>
                <c:pt idx="164">
                  <c:v>5071.5647894386811</c:v>
                </c:pt>
                <c:pt idx="165">
                  <c:v>5071.5647894386811</c:v>
                </c:pt>
                <c:pt idx="166">
                  <c:v>5071.5647894386811</c:v>
                </c:pt>
                <c:pt idx="167">
                  <c:v>5071.5647894386811</c:v>
                </c:pt>
                <c:pt idx="168">
                  <c:v>5071.5647894386811</c:v>
                </c:pt>
                <c:pt idx="169">
                  <c:v>5071.5647894386811</c:v>
                </c:pt>
                <c:pt idx="170">
                  <c:v>5071.5647894386811</c:v>
                </c:pt>
                <c:pt idx="171">
                  <c:v>5071.5647894386811</c:v>
                </c:pt>
                <c:pt idx="172">
                  <c:v>5071.5647894386811</c:v>
                </c:pt>
                <c:pt idx="173">
                  <c:v>5071.5647894386811</c:v>
                </c:pt>
                <c:pt idx="174">
                  <c:v>5071.5647894386811</c:v>
                </c:pt>
                <c:pt idx="175">
                  <c:v>5071.5647894386811</c:v>
                </c:pt>
                <c:pt idx="176">
                  <c:v>5071.5647894386811</c:v>
                </c:pt>
                <c:pt idx="177">
                  <c:v>5071.5647894386811</c:v>
                </c:pt>
                <c:pt idx="178">
                  <c:v>5071.5647894386811</c:v>
                </c:pt>
                <c:pt idx="179">
                  <c:v>5071.5647894386811</c:v>
                </c:pt>
                <c:pt idx="180">
                  <c:v>5071.5647894386811</c:v>
                </c:pt>
                <c:pt idx="181">
                  <c:v>5071.5647894386811</c:v>
                </c:pt>
                <c:pt idx="182">
                  <c:v>5071.5647894386811</c:v>
                </c:pt>
                <c:pt idx="183">
                  <c:v>5071.5647894386811</c:v>
                </c:pt>
                <c:pt idx="184">
                  <c:v>5071.5647894386811</c:v>
                </c:pt>
                <c:pt idx="185">
                  <c:v>5071.5647894386811</c:v>
                </c:pt>
                <c:pt idx="186">
                  <c:v>5071.5647894386811</c:v>
                </c:pt>
                <c:pt idx="187">
                  <c:v>5071.5647894386811</c:v>
                </c:pt>
                <c:pt idx="188">
                  <c:v>5071.5647894386811</c:v>
                </c:pt>
                <c:pt idx="189">
                  <c:v>5071.5647894386811</c:v>
                </c:pt>
                <c:pt idx="190">
                  <c:v>5071.5647894386811</c:v>
                </c:pt>
                <c:pt idx="191">
                  <c:v>5071.5647894386811</c:v>
                </c:pt>
                <c:pt idx="192">
                  <c:v>5071.5647894386811</c:v>
                </c:pt>
                <c:pt idx="193">
                  <c:v>5071.5647894386811</c:v>
                </c:pt>
                <c:pt idx="194">
                  <c:v>5071.5647894386811</c:v>
                </c:pt>
                <c:pt idx="195">
                  <c:v>5071.5647894386811</c:v>
                </c:pt>
                <c:pt idx="196">
                  <c:v>5071.5647894386811</c:v>
                </c:pt>
                <c:pt idx="197">
                  <c:v>5071.5647894386811</c:v>
                </c:pt>
                <c:pt idx="198">
                  <c:v>5071.5647894386811</c:v>
                </c:pt>
                <c:pt idx="199">
                  <c:v>5071.5647894386811</c:v>
                </c:pt>
                <c:pt idx="200">
                  <c:v>5071.5647894386811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324992"/>
        <c:axId val="92336128"/>
      </c:scatterChart>
      <c:valAx>
        <c:axId val="9232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50093895521124376"/>
              <c:y val="0.9275805040498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336128"/>
        <c:crosses val="autoZero"/>
        <c:crossBetween val="midCat"/>
      </c:valAx>
      <c:valAx>
        <c:axId val="92336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Wheel Speed (rpm)</a:t>
                </a:r>
              </a:p>
            </c:rich>
          </c:tx>
          <c:layout>
            <c:manualLayout>
              <c:xMode val="edge"/>
              <c:yMode val="edge"/>
              <c:x val="1.5053763440860216E-2"/>
              <c:y val="0.282367002511782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324992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Flywheel!$T$10:$T$188</c:f>
              <c:numCache>
                <c:formatCode>0.000</c:formatCode>
                <c:ptCount val="179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0.105</c:v>
                </c:pt>
                <c:pt idx="12" formatCode="General">
                  <c:v>0.125</c:v>
                </c:pt>
                <c:pt idx="13" formatCode="General">
                  <c:v>0.14499999999999999</c:v>
                </c:pt>
                <c:pt idx="14" formatCode="General">
                  <c:v>0.16499999999999998</c:v>
                </c:pt>
                <c:pt idx="15" formatCode="General">
                  <c:v>0.18499999999999997</c:v>
                </c:pt>
                <c:pt idx="16" formatCode="General">
                  <c:v>0.18499999999999997</c:v>
                </c:pt>
                <c:pt idx="17" formatCode="General">
                  <c:v>0.18499999999999997</c:v>
                </c:pt>
                <c:pt idx="18" formatCode="General">
                  <c:v>0.18499999999999997</c:v>
                </c:pt>
                <c:pt idx="19" formatCode="General">
                  <c:v>0.18499999999999997</c:v>
                </c:pt>
                <c:pt idx="20" formatCode="General">
                  <c:v>0.18499999999999997</c:v>
                </c:pt>
                <c:pt idx="21" formatCode="General">
                  <c:v>0.18499999999999997</c:v>
                </c:pt>
                <c:pt idx="22" formatCode="General">
                  <c:v>0.18499999999999997</c:v>
                </c:pt>
                <c:pt idx="23" formatCode="General">
                  <c:v>0.18499999999999997</c:v>
                </c:pt>
                <c:pt idx="24" formatCode="General">
                  <c:v>0.18499999999999997</c:v>
                </c:pt>
                <c:pt idx="25" formatCode="General">
                  <c:v>0.18499999999999997</c:v>
                </c:pt>
                <c:pt idx="26" formatCode="General">
                  <c:v>0.18499999999999997</c:v>
                </c:pt>
                <c:pt idx="27" formatCode="General">
                  <c:v>0.18499999999999997</c:v>
                </c:pt>
                <c:pt idx="28" formatCode="General">
                  <c:v>0.18499999999999997</c:v>
                </c:pt>
                <c:pt idx="29" formatCode="General">
                  <c:v>0.18499999999999997</c:v>
                </c:pt>
                <c:pt idx="30" formatCode="General">
                  <c:v>0.18499999999999997</c:v>
                </c:pt>
                <c:pt idx="31" formatCode="General">
                  <c:v>0.18499999999999997</c:v>
                </c:pt>
                <c:pt idx="32" formatCode="General">
                  <c:v>0.18499999999999997</c:v>
                </c:pt>
                <c:pt idx="33" formatCode="General">
                  <c:v>0.18499999999999997</c:v>
                </c:pt>
                <c:pt idx="34" formatCode="General">
                  <c:v>0.18499999999999997</c:v>
                </c:pt>
                <c:pt idx="35" formatCode="General">
                  <c:v>0.18499999999999997</c:v>
                </c:pt>
                <c:pt idx="36" formatCode="General">
                  <c:v>0.18499999999999997</c:v>
                </c:pt>
                <c:pt idx="37" formatCode="General">
                  <c:v>0.18499999999999997</c:v>
                </c:pt>
                <c:pt idx="38" formatCode="General">
                  <c:v>0.18499999999999997</c:v>
                </c:pt>
                <c:pt idx="39" formatCode="General">
                  <c:v>0.18499999999999997</c:v>
                </c:pt>
                <c:pt idx="40" formatCode="General">
                  <c:v>0.18499999999999997</c:v>
                </c:pt>
                <c:pt idx="41" formatCode="General">
                  <c:v>0.18499999999999997</c:v>
                </c:pt>
                <c:pt idx="42" formatCode="General">
                  <c:v>0.18499999999999997</c:v>
                </c:pt>
                <c:pt idx="43" formatCode="General">
                  <c:v>0.18499999999999997</c:v>
                </c:pt>
                <c:pt idx="44" formatCode="General">
                  <c:v>0.18499999999999997</c:v>
                </c:pt>
                <c:pt idx="45" formatCode="General">
                  <c:v>0.18499999999999997</c:v>
                </c:pt>
                <c:pt idx="46" formatCode="General">
                  <c:v>0.18499999999999997</c:v>
                </c:pt>
                <c:pt idx="47" formatCode="General">
                  <c:v>0.18499999999999997</c:v>
                </c:pt>
                <c:pt idx="48" formatCode="General">
                  <c:v>0.18499999999999997</c:v>
                </c:pt>
                <c:pt idx="49" formatCode="General">
                  <c:v>0.18499999999999997</c:v>
                </c:pt>
                <c:pt idx="50" formatCode="General">
                  <c:v>0.18499999999999997</c:v>
                </c:pt>
                <c:pt idx="51" formatCode="General">
                  <c:v>0.18499999999999997</c:v>
                </c:pt>
                <c:pt idx="52" formatCode="General">
                  <c:v>0.18499999999999997</c:v>
                </c:pt>
                <c:pt idx="53" formatCode="General">
                  <c:v>0.18499999999999997</c:v>
                </c:pt>
                <c:pt idx="54" formatCode="General">
                  <c:v>0.18499999999999997</c:v>
                </c:pt>
                <c:pt idx="55" formatCode="General">
                  <c:v>0.18499999999999997</c:v>
                </c:pt>
                <c:pt idx="56" formatCode="General">
                  <c:v>0.18499999999999997</c:v>
                </c:pt>
                <c:pt idx="57" formatCode="General">
                  <c:v>0.18499999999999997</c:v>
                </c:pt>
                <c:pt idx="58" formatCode="General">
                  <c:v>0.18499999999999997</c:v>
                </c:pt>
                <c:pt idx="59" formatCode="General">
                  <c:v>0.18499999999999997</c:v>
                </c:pt>
                <c:pt idx="60" formatCode="General">
                  <c:v>0.18499999999999997</c:v>
                </c:pt>
                <c:pt idx="61" formatCode="General">
                  <c:v>0.18499999999999997</c:v>
                </c:pt>
                <c:pt idx="62" formatCode="General">
                  <c:v>0.18499999999999997</c:v>
                </c:pt>
                <c:pt idx="63" formatCode="General">
                  <c:v>0.18499999999999997</c:v>
                </c:pt>
                <c:pt idx="64" formatCode="General">
                  <c:v>0.18499999999999997</c:v>
                </c:pt>
                <c:pt idx="65" formatCode="General">
                  <c:v>0.18499999999999997</c:v>
                </c:pt>
                <c:pt idx="66" formatCode="General">
                  <c:v>0.18499999999999997</c:v>
                </c:pt>
                <c:pt idx="67" formatCode="General">
                  <c:v>0.18499999999999997</c:v>
                </c:pt>
                <c:pt idx="68" formatCode="General">
                  <c:v>0.18499999999999997</c:v>
                </c:pt>
                <c:pt idx="69" formatCode="General">
                  <c:v>0.18499999999999997</c:v>
                </c:pt>
                <c:pt idx="70" formatCode="General">
                  <c:v>0.18499999999999997</c:v>
                </c:pt>
                <c:pt idx="71" formatCode="General">
                  <c:v>0.18499999999999997</c:v>
                </c:pt>
                <c:pt idx="72" formatCode="General">
                  <c:v>0.18499999999999997</c:v>
                </c:pt>
                <c:pt idx="73" formatCode="General">
                  <c:v>0.18499999999999997</c:v>
                </c:pt>
                <c:pt idx="74" formatCode="General">
                  <c:v>0.18499999999999997</c:v>
                </c:pt>
                <c:pt idx="75" formatCode="General">
                  <c:v>0.18499999999999997</c:v>
                </c:pt>
                <c:pt idx="76" formatCode="General">
                  <c:v>0.18499999999999997</c:v>
                </c:pt>
                <c:pt idx="77" formatCode="General">
                  <c:v>0.18499999999999997</c:v>
                </c:pt>
                <c:pt idx="78" formatCode="General">
                  <c:v>0.18499999999999997</c:v>
                </c:pt>
                <c:pt idx="79" formatCode="General">
                  <c:v>0.18499999999999997</c:v>
                </c:pt>
                <c:pt idx="80" formatCode="General">
                  <c:v>0.18499999999999997</c:v>
                </c:pt>
                <c:pt idx="81" formatCode="General">
                  <c:v>0.18499999999999997</c:v>
                </c:pt>
                <c:pt idx="82" formatCode="General">
                  <c:v>0.18499999999999997</c:v>
                </c:pt>
                <c:pt idx="83" formatCode="General">
                  <c:v>0.18499999999999997</c:v>
                </c:pt>
                <c:pt idx="84" formatCode="General">
                  <c:v>0.18499999999999997</c:v>
                </c:pt>
                <c:pt idx="85" formatCode="General">
                  <c:v>0.18499999999999997</c:v>
                </c:pt>
                <c:pt idx="86" formatCode="General">
                  <c:v>0.18499999999999997</c:v>
                </c:pt>
                <c:pt idx="87" formatCode="General">
                  <c:v>0.18499999999999997</c:v>
                </c:pt>
                <c:pt idx="88" formatCode="General">
                  <c:v>0.18499999999999997</c:v>
                </c:pt>
                <c:pt idx="89" formatCode="General">
                  <c:v>0.18499999999999997</c:v>
                </c:pt>
                <c:pt idx="90" formatCode="General">
                  <c:v>0.18499999999999997</c:v>
                </c:pt>
                <c:pt idx="91" formatCode="General">
                  <c:v>0.18499999999999997</c:v>
                </c:pt>
                <c:pt idx="92" formatCode="General">
                  <c:v>0.18499999999999997</c:v>
                </c:pt>
                <c:pt idx="93" formatCode="General">
                  <c:v>0.18499999999999997</c:v>
                </c:pt>
                <c:pt idx="94" formatCode="General">
                  <c:v>0.18499999999999997</c:v>
                </c:pt>
                <c:pt idx="95" formatCode="General">
                  <c:v>0.18499999999999997</c:v>
                </c:pt>
                <c:pt idx="96" formatCode="General">
                  <c:v>0.18499999999999997</c:v>
                </c:pt>
                <c:pt idx="97" formatCode="General">
                  <c:v>0.18499999999999997</c:v>
                </c:pt>
                <c:pt idx="98" formatCode="General">
                  <c:v>0.18499999999999997</c:v>
                </c:pt>
                <c:pt idx="99" formatCode="General">
                  <c:v>0.18499999999999997</c:v>
                </c:pt>
                <c:pt idx="100" formatCode="General">
                  <c:v>0.18499999999999997</c:v>
                </c:pt>
                <c:pt idx="101" formatCode="General">
                  <c:v>0.18499999999999997</c:v>
                </c:pt>
                <c:pt idx="102" formatCode="General">
                  <c:v>0.18499999999999997</c:v>
                </c:pt>
                <c:pt idx="103" formatCode="General">
                  <c:v>0.18499999999999997</c:v>
                </c:pt>
                <c:pt idx="104" formatCode="General">
                  <c:v>0.18499999999999997</c:v>
                </c:pt>
                <c:pt idx="105" formatCode="General">
                  <c:v>0.18499999999999997</c:v>
                </c:pt>
                <c:pt idx="106" formatCode="General">
                  <c:v>0.18499999999999997</c:v>
                </c:pt>
                <c:pt idx="107" formatCode="General">
                  <c:v>0.18499999999999997</c:v>
                </c:pt>
                <c:pt idx="108" formatCode="General">
                  <c:v>0.18499999999999997</c:v>
                </c:pt>
                <c:pt idx="109" formatCode="General">
                  <c:v>0.18499999999999997</c:v>
                </c:pt>
                <c:pt idx="110" formatCode="General">
                  <c:v>0.18499999999999997</c:v>
                </c:pt>
                <c:pt idx="111" formatCode="General">
                  <c:v>0.18499999999999997</c:v>
                </c:pt>
                <c:pt idx="112" formatCode="General">
                  <c:v>0.18499999999999997</c:v>
                </c:pt>
                <c:pt idx="113" formatCode="General">
                  <c:v>0.18499999999999997</c:v>
                </c:pt>
                <c:pt idx="114" formatCode="General">
                  <c:v>0.18499999999999997</c:v>
                </c:pt>
                <c:pt idx="115" formatCode="General">
                  <c:v>0.18499999999999997</c:v>
                </c:pt>
                <c:pt idx="116" formatCode="General">
                  <c:v>0.18499999999999997</c:v>
                </c:pt>
                <c:pt idx="117" formatCode="General">
                  <c:v>0.18499999999999997</c:v>
                </c:pt>
                <c:pt idx="118" formatCode="General">
                  <c:v>0.18499999999999997</c:v>
                </c:pt>
                <c:pt idx="119" formatCode="General">
                  <c:v>0.18499999999999997</c:v>
                </c:pt>
                <c:pt idx="120" formatCode="General">
                  <c:v>0.18499999999999997</c:v>
                </c:pt>
                <c:pt idx="121" formatCode="General">
                  <c:v>0.18499999999999997</c:v>
                </c:pt>
                <c:pt idx="122" formatCode="General">
                  <c:v>0.18499999999999997</c:v>
                </c:pt>
                <c:pt idx="123" formatCode="General">
                  <c:v>0.18499999999999997</c:v>
                </c:pt>
                <c:pt idx="124" formatCode="General">
                  <c:v>0.18499999999999997</c:v>
                </c:pt>
                <c:pt idx="125" formatCode="General">
                  <c:v>0.18499999999999997</c:v>
                </c:pt>
                <c:pt idx="126" formatCode="General">
                  <c:v>0.18499999999999997</c:v>
                </c:pt>
                <c:pt idx="127" formatCode="General">
                  <c:v>0.18499999999999997</c:v>
                </c:pt>
                <c:pt idx="128" formatCode="General">
                  <c:v>0.18499999999999997</c:v>
                </c:pt>
                <c:pt idx="129" formatCode="General">
                  <c:v>0.18499999999999997</c:v>
                </c:pt>
                <c:pt idx="130" formatCode="General">
                  <c:v>0.18499999999999997</c:v>
                </c:pt>
                <c:pt idx="131" formatCode="General">
                  <c:v>0.18499999999999997</c:v>
                </c:pt>
                <c:pt idx="132" formatCode="General">
                  <c:v>0.18499999999999997</c:v>
                </c:pt>
                <c:pt idx="133" formatCode="General">
                  <c:v>0.18499999999999997</c:v>
                </c:pt>
                <c:pt idx="134" formatCode="General">
                  <c:v>0.18499999999999997</c:v>
                </c:pt>
                <c:pt idx="135" formatCode="General">
                  <c:v>0.18499999999999997</c:v>
                </c:pt>
                <c:pt idx="136" formatCode="General">
                  <c:v>0.18499999999999997</c:v>
                </c:pt>
                <c:pt idx="137" formatCode="General">
                  <c:v>0.18499999999999997</c:v>
                </c:pt>
                <c:pt idx="138" formatCode="General">
                  <c:v>0.18499999999999997</c:v>
                </c:pt>
                <c:pt idx="139" formatCode="General">
                  <c:v>0.18499999999999997</c:v>
                </c:pt>
                <c:pt idx="140" formatCode="General">
                  <c:v>0.18499999999999997</c:v>
                </c:pt>
                <c:pt idx="141" formatCode="General">
                  <c:v>0.18499999999999997</c:v>
                </c:pt>
                <c:pt idx="142" formatCode="General">
                  <c:v>0.18499999999999997</c:v>
                </c:pt>
                <c:pt idx="143" formatCode="General">
                  <c:v>0.18499999999999997</c:v>
                </c:pt>
                <c:pt idx="144" formatCode="General">
                  <c:v>0.18499999999999997</c:v>
                </c:pt>
                <c:pt idx="145" formatCode="General">
                  <c:v>0.18499999999999997</c:v>
                </c:pt>
                <c:pt idx="146" formatCode="General">
                  <c:v>0.18499999999999997</c:v>
                </c:pt>
                <c:pt idx="147" formatCode="General">
                  <c:v>0.18499999999999997</c:v>
                </c:pt>
                <c:pt idx="148" formatCode="General">
                  <c:v>0.18499999999999997</c:v>
                </c:pt>
                <c:pt idx="149" formatCode="General">
                  <c:v>0.18499999999999997</c:v>
                </c:pt>
                <c:pt idx="150" formatCode="General">
                  <c:v>0.18499999999999997</c:v>
                </c:pt>
                <c:pt idx="151" formatCode="General">
                  <c:v>0.18499999999999997</c:v>
                </c:pt>
                <c:pt idx="152" formatCode="General">
                  <c:v>0.18499999999999997</c:v>
                </c:pt>
                <c:pt idx="153" formatCode="General">
                  <c:v>0.18499999999999997</c:v>
                </c:pt>
                <c:pt idx="154" formatCode="General">
                  <c:v>0.18499999999999997</c:v>
                </c:pt>
                <c:pt idx="155" formatCode="General">
                  <c:v>0.18499999999999997</c:v>
                </c:pt>
                <c:pt idx="156" formatCode="General">
                  <c:v>0.18499999999999997</c:v>
                </c:pt>
                <c:pt idx="157" formatCode="General">
                  <c:v>0.18499999999999997</c:v>
                </c:pt>
                <c:pt idx="158" formatCode="General">
                  <c:v>0.18499999999999997</c:v>
                </c:pt>
                <c:pt idx="159" formatCode="General">
                  <c:v>0.18499999999999997</c:v>
                </c:pt>
                <c:pt idx="160" formatCode="General">
                  <c:v>0.18499999999999997</c:v>
                </c:pt>
                <c:pt idx="161" formatCode="General">
                  <c:v>0.18499999999999997</c:v>
                </c:pt>
                <c:pt idx="162" formatCode="General">
                  <c:v>0.18499999999999997</c:v>
                </c:pt>
                <c:pt idx="163" formatCode="General">
                  <c:v>0.18499999999999997</c:v>
                </c:pt>
                <c:pt idx="164" formatCode="General">
                  <c:v>0.18499999999999997</c:v>
                </c:pt>
                <c:pt idx="165" formatCode="General">
                  <c:v>0.18499999999999997</c:v>
                </c:pt>
                <c:pt idx="166" formatCode="General">
                  <c:v>0.18499999999999997</c:v>
                </c:pt>
                <c:pt idx="167" formatCode="General">
                  <c:v>0.18499999999999997</c:v>
                </c:pt>
                <c:pt idx="168" formatCode="General">
                  <c:v>0.18499999999999997</c:v>
                </c:pt>
                <c:pt idx="169" formatCode="General">
                  <c:v>0.18499999999999997</c:v>
                </c:pt>
                <c:pt idx="170" formatCode="General">
                  <c:v>0.18499999999999997</c:v>
                </c:pt>
                <c:pt idx="171" formatCode="General">
                  <c:v>0.18499999999999997</c:v>
                </c:pt>
                <c:pt idx="172" formatCode="General">
                  <c:v>0.18499999999999997</c:v>
                </c:pt>
                <c:pt idx="173" formatCode="General">
                  <c:v>0.18499999999999997</c:v>
                </c:pt>
                <c:pt idx="174" formatCode="General">
                  <c:v>0.18499999999999997</c:v>
                </c:pt>
                <c:pt idx="175" formatCode="General">
                  <c:v>0.18499999999999997</c:v>
                </c:pt>
                <c:pt idx="176" formatCode="General">
                  <c:v>0.18499999999999997</c:v>
                </c:pt>
                <c:pt idx="177" formatCode="General">
                  <c:v>0.18499999999999997</c:v>
                </c:pt>
                <c:pt idx="178" formatCode="General">
                  <c:v>0.18499999999999997</c:v>
                </c:pt>
              </c:numCache>
            </c:numRef>
          </c:xVal>
          <c:yVal>
            <c:numRef>
              <c:f>Flywheel!$U$10:$U$188</c:f>
              <c:numCache>
                <c:formatCode>General</c:formatCode>
                <c:ptCount val="179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4928.8964423877296</c:v>
                </c:pt>
                <c:pt idx="12">
                  <c:v>5015.5679063284279</c:v>
                </c:pt>
                <c:pt idx="13">
                  <c:v>5068.5772492805318</c:v>
                </c:pt>
                <c:pt idx="14">
                  <c:v>5071.4179856160936</c:v>
                </c:pt>
                <c:pt idx="15">
                  <c:v>5071.570218835348</c:v>
                </c:pt>
                <c:pt idx="16">
                  <c:v>5071.570218835348</c:v>
                </c:pt>
                <c:pt idx="17">
                  <c:v>5071.570218835348</c:v>
                </c:pt>
                <c:pt idx="18">
                  <c:v>5071.570218835348</c:v>
                </c:pt>
                <c:pt idx="19">
                  <c:v>5071.570218835348</c:v>
                </c:pt>
                <c:pt idx="20">
                  <c:v>5071.570218835348</c:v>
                </c:pt>
                <c:pt idx="21">
                  <c:v>5071.570218835348</c:v>
                </c:pt>
                <c:pt idx="22">
                  <c:v>5071.570218835348</c:v>
                </c:pt>
                <c:pt idx="23">
                  <c:v>5071.570218835348</c:v>
                </c:pt>
                <c:pt idx="24">
                  <c:v>5071.570218835348</c:v>
                </c:pt>
                <c:pt idx="25">
                  <c:v>5071.570218835348</c:v>
                </c:pt>
                <c:pt idx="26">
                  <c:v>5071.570218835348</c:v>
                </c:pt>
                <c:pt idx="27">
                  <c:v>5071.570218835348</c:v>
                </c:pt>
                <c:pt idx="28">
                  <c:v>5071.570218835348</c:v>
                </c:pt>
                <c:pt idx="29">
                  <c:v>5071.570218835348</c:v>
                </c:pt>
                <c:pt idx="30">
                  <c:v>5071.570218835348</c:v>
                </c:pt>
                <c:pt idx="31">
                  <c:v>5071.570218835348</c:v>
                </c:pt>
                <c:pt idx="32">
                  <c:v>5071.570218835348</c:v>
                </c:pt>
                <c:pt idx="33">
                  <c:v>5071.570218835348</c:v>
                </c:pt>
                <c:pt idx="34">
                  <c:v>5071.570218835348</c:v>
                </c:pt>
                <c:pt idx="35">
                  <c:v>5071.570218835348</c:v>
                </c:pt>
                <c:pt idx="36">
                  <c:v>5071.570218835348</c:v>
                </c:pt>
                <c:pt idx="37">
                  <c:v>5071.570218835348</c:v>
                </c:pt>
                <c:pt idx="38">
                  <c:v>5071.570218835348</c:v>
                </c:pt>
                <c:pt idx="39">
                  <c:v>5071.570218835348</c:v>
                </c:pt>
                <c:pt idx="40">
                  <c:v>5071.570218835348</c:v>
                </c:pt>
                <c:pt idx="41">
                  <c:v>5071.570218835348</c:v>
                </c:pt>
                <c:pt idx="42">
                  <c:v>5071.570218835348</c:v>
                </c:pt>
                <c:pt idx="43">
                  <c:v>5071.570218835348</c:v>
                </c:pt>
                <c:pt idx="44">
                  <c:v>5071.570218835348</c:v>
                </c:pt>
                <c:pt idx="45">
                  <c:v>5071.570218835348</c:v>
                </c:pt>
                <c:pt idx="46">
                  <c:v>5071.570218835348</c:v>
                </c:pt>
                <c:pt idx="47">
                  <c:v>5071.570218835348</c:v>
                </c:pt>
                <c:pt idx="48">
                  <c:v>5071.570218835348</c:v>
                </c:pt>
                <c:pt idx="49">
                  <c:v>5071.570218835348</c:v>
                </c:pt>
                <c:pt idx="50">
                  <c:v>5071.570218835348</c:v>
                </c:pt>
                <c:pt idx="51">
                  <c:v>5071.570218835348</c:v>
                </c:pt>
                <c:pt idx="52">
                  <c:v>5071.570218835348</c:v>
                </c:pt>
                <c:pt idx="53">
                  <c:v>5071.570218835348</c:v>
                </c:pt>
                <c:pt idx="54">
                  <c:v>5071.570218835348</c:v>
                </c:pt>
                <c:pt idx="55">
                  <c:v>5071.570218835348</c:v>
                </c:pt>
                <c:pt idx="56">
                  <c:v>5071.570218835348</c:v>
                </c:pt>
                <c:pt idx="57">
                  <c:v>5071.570218835348</c:v>
                </c:pt>
                <c:pt idx="58">
                  <c:v>5071.570218835348</c:v>
                </c:pt>
                <c:pt idx="59">
                  <c:v>5071.570218835348</c:v>
                </c:pt>
                <c:pt idx="60">
                  <c:v>5071.570218835348</c:v>
                </c:pt>
                <c:pt idx="61">
                  <c:v>5071.570218835348</c:v>
                </c:pt>
                <c:pt idx="62">
                  <c:v>5071.570218835348</c:v>
                </c:pt>
                <c:pt idx="63">
                  <c:v>5071.570218835348</c:v>
                </c:pt>
                <c:pt idx="64">
                  <c:v>5071.570218835348</c:v>
                </c:pt>
                <c:pt idx="65">
                  <c:v>5071.570218835348</c:v>
                </c:pt>
                <c:pt idx="66">
                  <c:v>5071.570218835348</c:v>
                </c:pt>
                <c:pt idx="67">
                  <c:v>5071.570218835348</c:v>
                </c:pt>
                <c:pt idx="68">
                  <c:v>5071.570218835348</c:v>
                </c:pt>
                <c:pt idx="69">
                  <c:v>5071.570218835348</c:v>
                </c:pt>
                <c:pt idx="70">
                  <c:v>5071.570218835348</c:v>
                </c:pt>
                <c:pt idx="71">
                  <c:v>5071.570218835348</c:v>
                </c:pt>
                <c:pt idx="72">
                  <c:v>5071.570218835348</c:v>
                </c:pt>
                <c:pt idx="73">
                  <c:v>5071.570218835348</c:v>
                </c:pt>
                <c:pt idx="74">
                  <c:v>5071.570218835348</c:v>
                </c:pt>
                <c:pt idx="75">
                  <c:v>5071.570218835348</c:v>
                </c:pt>
                <c:pt idx="76">
                  <c:v>5071.570218835348</c:v>
                </c:pt>
                <c:pt idx="77">
                  <c:v>5071.570218835348</c:v>
                </c:pt>
                <c:pt idx="78">
                  <c:v>5071.570218835348</c:v>
                </c:pt>
                <c:pt idx="79">
                  <c:v>5071.570218835348</c:v>
                </c:pt>
                <c:pt idx="80">
                  <c:v>5071.570218835348</c:v>
                </c:pt>
                <c:pt idx="81">
                  <c:v>5071.570218835348</c:v>
                </c:pt>
                <c:pt idx="82">
                  <c:v>5071.570218835348</c:v>
                </c:pt>
                <c:pt idx="83">
                  <c:v>5071.570218835348</c:v>
                </c:pt>
                <c:pt idx="84">
                  <c:v>5071.570218835348</c:v>
                </c:pt>
                <c:pt idx="85">
                  <c:v>5071.570218835348</c:v>
                </c:pt>
                <c:pt idx="86">
                  <c:v>5071.570218835348</c:v>
                </c:pt>
                <c:pt idx="87">
                  <c:v>5071.570218835348</c:v>
                </c:pt>
                <c:pt idx="88">
                  <c:v>5071.570218835348</c:v>
                </c:pt>
                <c:pt idx="89">
                  <c:v>5071.570218835348</c:v>
                </c:pt>
                <c:pt idx="90">
                  <c:v>5071.570218835348</c:v>
                </c:pt>
                <c:pt idx="91">
                  <c:v>5071.570218835348</c:v>
                </c:pt>
                <c:pt idx="92">
                  <c:v>5071.570218835348</c:v>
                </c:pt>
                <c:pt idx="93">
                  <c:v>5071.570218835348</c:v>
                </c:pt>
                <c:pt idx="94">
                  <c:v>5071.570218835348</c:v>
                </c:pt>
                <c:pt idx="95">
                  <c:v>5071.570218835348</c:v>
                </c:pt>
                <c:pt idx="96">
                  <c:v>5071.570218835348</c:v>
                </c:pt>
                <c:pt idx="97">
                  <c:v>5071.570218835348</c:v>
                </c:pt>
                <c:pt idx="98">
                  <c:v>5071.570218835348</c:v>
                </c:pt>
                <c:pt idx="99">
                  <c:v>5071.570218835348</c:v>
                </c:pt>
                <c:pt idx="100">
                  <c:v>5071.570218835348</c:v>
                </c:pt>
                <c:pt idx="101">
                  <c:v>5071.570218835348</c:v>
                </c:pt>
                <c:pt idx="102">
                  <c:v>5071.570218835348</c:v>
                </c:pt>
                <c:pt idx="103">
                  <c:v>5071.570218835348</c:v>
                </c:pt>
                <c:pt idx="104">
                  <c:v>5071.570218835348</c:v>
                </c:pt>
                <c:pt idx="105">
                  <c:v>5071.570218835348</c:v>
                </c:pt>
                <c:pt idx="106">
                  <c:v>5071.570218835348</c:v>
                </c:pt>
                <c:pt idx="107">
                  <c:v>5071.570218835348</c:v>
                </c:pt>
                <c:pt idx="108">
                  <c:v>5071.570218835348</c:v>
                </c:pt>
                <c:pt idx="109">
                  <c:v>5071.570218835348</c:v>
                </c:pt>
                <c:pt idx="110">
                  <c:v>5071.570218835348</c:v>
                </c:pt>
                <c:pt idx="111">
                  <c:v>5071.570218835348</c:v>
                </c:pt>
                <c:pt idx="112">
                  <c:v>5071.570218835348</c:v>
                </c:pt>
                <c:pt idx="113">
                  <c:v>5071.570218835348</c:v>
                </c:pt>
                <c:pt idx="114">
                  <c:v>5071.570218835348</c:v>
                </c:pt>
                <c:pt idx="115">
                  <c:v>5071.570218835348</c:v>
                </c:pt>
                <c:pt idx="116">
                  <c:v>5071.570218835348</c:v>
                </c:pt>
                <c:pt idx="117">
                  <c:v>5071.570218835348</c:v>
                </c:pt>
                <c:pt idx="118">
                  <c:v>5071.570218835348</c:v>
                </c:pt>
                <c:pt idx="119">
                  <c:v>5071.570218835348</c:v>
                </c:pt>
                <c:pt idx="120">
                  <c:v>5071.570218835348</c:v>
                </c:pt>
                <c:pt idx="121">
                  <c:v>5071.570218835348</c:v>
                </c:pt>
                <c:pt idx="122">
                  <c:v>5071.570218835348</c:v>
                </c:pt>
                <c:pt idx="123">
                  <c:v>5071.570218835348</c:v>
                </c:pt>
                <c:pt idx="124">
                  <c:v>5071.570218835348</c:v>
                </c:pt>
                <c:pt idx="125">
                  <c:v>5071.570218835348</c:v>
                </c:pt>
                <c:pt idx="126">
                  <c:v>5071.570218835348</c:v>
                </c:pt>
                <c:pt idx="127">
                  <c:v>5071.570218835348</c:v>
                </c:pt>
                <c:pt idx="128">
                  <c:v>5071.570218835348</c:v>
                </c:pt>
                <c:pt idx="129">
                  <c:v>5071.570218835348</c:v>
                </c:pt>
                <c:pt idx="130">
                  <c:v>5071.570218835348</c:v>
                </c:pt>
                <c:pt idx="131">
                  <c:v>5071.570218835348</c:v>
                </c:pt>
                <c:pt idx="132">
                  <c:v>5071.570218835348</c:v>
                </c:pt>
                <c:pt idx="133">
                  <c:v>5071.570218835348</c:v>
                </c:pt>
                <c:pt idx="134">
                  <c:v>5071.570218835348</c:v>
                </c:pt>
                <c:pt idx="135">
                  <c:v>5071.570218835348</c:v>
                </c:pt>
                <c:pt idx="136">
                  <c:v>5071.570218835348</c:v>
                </c:pt>
                <c:pt idx="137">
                  <c:v>5071.570218835348</c:v>
                </c:pt>
                <c:pt idx="138">
                  <c:v>5071.570218835348</c:v>
                </c:pt>
                <c:pt idx="139">
                  <c:v>5071.570218835348</c:v>
                </c:pt>
                <c:pt idx="140">
                  <c:v>5071.570218835348</c:v>
                </c:pt>
                <c:pt idx="141">
                  <c:v>5071.570218835348</c:v>
                </c:pt>
                <c:pt idx="142">
                  <c:v>5071.570218835348</c:v>
                </c:pt>
                <c:pt idx="143">
                  <c:v>5071.570218835348</c:v>
                </c:pt>
                <c:pt idx="144">
                  <c:v>5071.570218835348</c:v>
                </c:pt>
                <c:pt idx="145">
                  <c:v>5071.570218835348</c:v>
                </c:pt>
                <c:pt idx="146">
                  <c:v>5071.570218835348</c:v>
                </c:pt>
                <c:pt idx="147">
                  <c:v>5071.570218835348</c:v>
                </c:pt>
                <c:pt idx="148">
                  <c:v>5071.570218835348</c:v>
                </c:pt>
                <c:pt idx="149">
                  <c:v>5071.570218835348</c:v>
                </c:pt>
                <c:pt idx="150">
                  <c:v>5071.570218835348</c:v>
                </c:pt>
                <c:pt idx="151">
                  <c:v>5071.570218835348</c:v>
                </c:pt>
                <c:pt idx="152">
                  <c:v>5071.570218835348</c:v>
                </c:pt>
                <c:pt idx="153">
                  <c:v>5071.570218835348</c:v>
                </c:pt>
                <c:pt idx="154">
                  <c:v>5071.570218835348</c:v>
                </c:pt>
                <c:pt idx="155">
                  <c:v>5071.570218835348</c:v>
                </c:pt>
                <c:pt idx="156">
                  <c:v>5071.570218835348</c:v>
                </c:pt>
                <c:pt idx="157">
                  <c:v>5071.570218835348</c:v>
                </c:pt>
                <c:pt idx="158">
                  <c:v>5071.570218835348</c:v>
                </c:pt>
                <c:pt idx="159">
                  <c:v>5071.570218835348</c:v>
                </c:pt>
                <c:pt idx="160">
                  <c:v>5071.570218835348</c:v>
                </c:pt>
                <c:pt idx="161">
                  <c:v>5071.570218835348</c:v>
                </c:pt>
                <c:pt idx="162">
                  <c:v>5071.570218835348</c:v>
                </c:pt>
                <c:pt idx="163">
                  <c:v>5071.570218835348</c:v>
                </c:pt>
                <c:pt idx="164">
                  <c:v>5071.570218835348</c:v>
                </c:pt>
                <c:pt idx="165">
                  <c:v>5071.570218835348</c:v>
                </c:pt>
                <c:pt idx="166">
                  <c:v>5071.570218835348</c:v>
                </c:pt>
                <c:pt idx="167">
                  <c:v>5071.570218835348</c:v>
                </c:pt>
                <c:pt idx="168">
                  <c:v>5071.570218835348</c:v>
                </c:pt>
                <c:pt idx="169">
                  <c:v>5071.570218835348</c:v>
                </c:pt>
                <c:pt idx="170">
                  <c:v>5071.570218835348</c:v>
                </c:pt>
                <c:pt idx="171">
                  <c:v>5071.570218835348</c:v>
                </c:pt>
                <c:pt idx="172">
                  <c:v>5071.570218835348</c:v>
                </c:pt>
                <c:pt idx="173">
                  <c:v>5071.570218835348</c:v>
                </c:pt>
                <c:pt idx="174">
                  <c:v>5071.570218835348</c:v>
                </c:pt>
                <c:pt idx="175">
                  <c:v>5071.570218835348</c:v>
                </c:pt>
                <c:pt idx="176">
                  <c:v>5071.570218835348</c:v>
                </c:pt>
                <c:pt idx="177">
                  <c:v>5071.570218835348</c:v>
                </c:pt>
                <c:pt idx="178">
                  <c:v>5071.570218835348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23168"/>
        <c:axId val="62055936"/>
      </c:scatterChart>
      <c:valAx>
        <c:axId val="6202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0.50093895521124376"/>
              <c:y val="0.92758050404989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62055936"/>
        <c:crosses val="autoZero"/>
        <c:crossBetween val="midCat"/>
      </c:valAx>
      <c:valAx>
        <c:axId val="620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Wheel Speed (rpm)</a:t>
                </a:r>
              </a:p>
            </c:rich>
          </c:tx>
          <c:layout>
            <c:manualLayout>
              <c:xMode val="edge"/>
              <c:yMode val="edge"/>
              <c:x val="1.5053763440860216E-2"/>
              <c:y val="0.282367002511782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2023168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6</xdr:col>
      <xdr:colOff>0</xdr:colOff>
      <xdr:row>15</xdr:row>
      <xdr:rowOff>0</xdr:rowOff>
    </xdr:from>
    <xdr:to>
      <xdr:col>14</xdr:col>
      <xdr:colOff>285751</xdr:colOff>
      <xdr:row>34</xdr:row>
      <xdr:rowOff>9526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34</xdr:row>
      <xdr:rowOff>76199</xdr:rowOff>
    </xdr:from>
    <xdr:to>
      <xdr:col>14</xdr:col>
      <xdr:colOff>285751</xdr:colOff>
      <xdr:row>53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Flywheel"/>
      <sheetName val="sfd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9</v>
          </cell>
          <cell r="E2">
            <v>10</v>
          </cell>
          <cell r="F2">
            <v>10</v>
          </cell>
        </row>
        <row r="3">
          <cell r="D3" t="str">
            <v>1/2" Hex AM 9015 12</v>
          </cell>
          <cell r="E3">
            <v>10</v>
          </cell>
          <cell r="F3">
            <v>7</v>
          </cell>
          <cell r="I3" t="str">
            <v>1/2" Hex</v>
          </cell>
          <cell r="J3">
            <v>39.99</v>
          </cell>
          <cell r="K3">
            <v>31.979999999999997</v>
          </cell>
          <cell r="L3" t="str">
            <v>217-4973,</v>
          </cell>
          <cell r="M3" t="str">
            <v>217-5823,217-2897,</v>
          </cell>
        </row>
        <row r="4">
          <cell r="D4" t="str">
            <v>1/2" Hex AM 9015 15</v>
          </cell>
          <cell r="E4">
            <v>10</v>
          </cell>
          <cell r="F4">
            <v>5</v>
          </cell>
          <cell r="I4" t="str">
            <v>1/2" Round</v>
          </cell>
          <cell r="J4">
            <v>39.99</v>
          </cell>
          <cell r="K4">
            <v>27.979999999999997</v>
          </cell>
          <cell r="L4" t="str">
            <v>217-4975,</v>
          </cell>
          <cell r="M4" t="str">
            <v>217-5823,217-2895,</v>
          </cell>
        </row>
        <row r="5">
          <cell r="D5" t="str">
            <v>1/2" Hex AM 9015 16</v>
          </cell>
          <cell r="E5">
            <v>10</v>
          </cell>
          <cell r="F5">
            <v>5</v>
          </cell>
          <cell r="I5" t="str">
            <v>3/8" Hex</v>
          </cell>
          <cell r="J5">
            <v>39.99</v>
          </cell>
          <cell r="K5">
            <v>17.989999999999998</v>
          </cell>
          <cell r="L5" t="str">
            <v>217-4974,</v>
          </cell>
          <cell r="M5" t="str">
            <v>217-5823,</v>
          </cell>
        </row>
        <row r="6">
          <cell r="D6" t="str">
            <v>1/2" Hex AM 9015 20</v>
          </cell>
          <cell r="E6">
            <v>10</v>
          </cell>
          <cell r="F6">
            <v>4</v>
          </cell>
          <cell r="I6" t="str">
            <v>CIM Motor</v>
          </cell>
          <cell r="J6">
            <v>39.99</v>
          </cell>
          <cell r="K6">
            <v>27.979999999999997</v>
          </cell>
          <cell r="L6" t="str">
            <v>217-4976,</v>
          </cell>
          <cell r="M6" t="str">
            <v>217-5823,217-2893,</v>
          </cell>
        </row>
        <row r="7">
          <cell r="D7" t="str">
            <v>1/2" Hex AM 9015 21</v>
          </cell>
          <cell r="E7">
            <v>10</v>
          </cell>
          <cell r="F7">
            <v>4</v>
          </cell>
          <cell r="I7" t="str">
            <v>Female</v>
          </cell>
          <cell r="J7">
            <v>44.99</v>
          </cell>
          <cell r="K7">
            <v>24.99</v>
          </cell>
          <cell r="L7" t="str">
            <v>217-6473,</v>
          </cell>
          <cell r="M7" t="str">
            <v>217-5995,</v>
          </cell>
        </row>
        <row r="8">
          <cell r="D8" t="str">
            <v>1/2" Hex AM 9015 25</v>
          </cell>
          <cell r="E8">
            <v>7</v>
          </cell>
          <cell r="F8">
            <v>3</v>
          </cell>
        </row>
        <row r="9">
          <cell r="D9" t="str">
            <v>1/2" Hex AM 9015 27</v>
          </cell>
          <cell r="E9">
            <v>7</v>
          </cell>
          <cell r="F9">
            <v>3</v>
          </cell>
        </row>
        <row r="10">
          <cell r="D10" t="str">
            <v>1/2" Hex AM 9015 28</v>
          </cell>
          <cell r="E10">
            <v>7</v>
          </cell>
          <cell r="F10">
            <v>3</v>
          </cell>
        </row>
        <row r="11">
          <cell r="D11" t="str">
            <v>1/2" Hex AM 9015 30</v>
          </cell>
          <cell r="E11">
            <v>7</v>
          </cell>
          <cell r="F11">
            <v>3</v>
          </cell>
          <cell r="I11" t="str">
            <v>AM 9015</v>
          </cell>
          <cell r="J11">
            <v>0</v>
          </cell>
          <cell r="K11">
            <v>12.98</v>
          </cell>
          <cell r="M11" t="str">
            <v>217-3564,217-4649,</v>
          </cell>
        </row>
        <row r="12">
          <cell r="D12" t="str">
            <v>1/2" Hex AM 9015 35</v>
          </cell>
          <cell r="E12">
            <v>5</v>
          </cell>
          <cell r="F12">
            <v>1</v>
          </cell>
          <cell r="I12" t="str">
            <v>NeveRest</v>
          </cell>
          <cell r="J12">
            <v>0</v>
          </cell>
          <cell r="K12">
            <v>0</v>
          </cell>
        </row>
        <row r="13">
          <cell r="D13" t="str">
            <v>1/2" Hex AM 9015 36</v>
          </cell>
          <cell r="E13">
            <v>5</v>
          </cell>
          <cell r="F13">
            <v>1</v>
          </cell>
          <cell r="I13" t="str">
            <v>BB RS-550</v>
          </cell>
          <cell r="J13">
            <v>0</v>
          </cell>
          <cell r="K13">
            <v>0</v>
          </cell>
        </row>
        <row r="14">
          <cell r="D14" t="str">
            <v>1/2" Hex AM 9015 40</v>
          </cell>
          <cell r="E14">
            <v>5</v>
          </cell>
          <cell r="F14">
            <v>1</v>
          </cell>
          <cell r="I14" t="str">
            <v>BB RS-775</v>
          </cell>
          <cell r="J14">
            <v>0</v>
          </cell>
          <cell r="K14">
            <v>12.98</v>
          </cell>
          <cell r="M14" t="str">
            <v>217-3564,217-4649,</v>
          </cell>
        </row>
        <row r="15">
          <cell r="D15" t="str">
            <v>1/2" Hex AM 9015 45</v>
          </cell>
          <cell r="E15">
            <v>5</v>
          </cell>
          <cell r="F15">
            <v>1</v>
          </cell>
          <cell r="I15" t="str">
            <v>BAG</v>
          </cell>
          <cell r="J15">
            <v>0</v>
          </cell>
          <cell r="K15">
            <v>12.98</v>
          </cell>
          <cell r="M15" t="str">
            <v>217-3564,217-4649,</v>
          </cell>
        </row>
        <row r="16">
          <cell r="D16" t="str">
            <v>1/2" Hex AM 9015 49</v>
          </cell>
          <cell r="E16">
            <v>5</v>
          </cell>
          <cell r="F16">
            <v>1</v>
          </cell>
          <cell r="I16" t="str">
            <v>Mini CIM</v>
          </cell>
          <cell r="J16">
            <v>4.99</v>
          </cell>
          <cell r="K16">
            <v>11.98</v>
          </cell>
          <cell r="L16" t="str">
            <v>217-4018,</v>
          </cell>
          <cell r="M16" t="str">
            <v>217-4018,</v>
          </cell>
        </row>
        <row r="17">
          <cell r="D17" t="str">
            <v>1/2" Hex AM 9015 50</v>
          </cell>
          <cell r="E17">
            <v>5</v>
          </cell>
          <cell r="F17">
            <v>1</v>
          </cell>
          <cell r="I17" t="str">
            <v>CIM</v>
          </cell>
          <cell r="J17">
            <v>4.99</v>
          </cell>
          <cell r="K17">
            <v>11.98</v>
          </cell>
          <cell r="L17" t="str">
            <v>217-4018,</v>
          </cell>
          <cell r="M17" t="str">
            <v>217-4018,</v>
          </cell>
        </row>
        <row r="18">
          <cell r="D18" t="str">
            <v>1/2" Hex AM 9015 63</v>
          </cell>
          <cell r="E18">
            <v>5</v>
          </cell>
          <cell r="F18">
            <v>1</v>
          </cell>
          <cell r="I18" t="str">
            <v>775pro</v>
          </cell>
          <cell r="J18">
            <v>0</v>
          </cell>
          <cell r="K18">
            <v>12.98</v>
          </cell>
          <cell r="M18" t="str">
            <v>217-3564,217-4649,</v>
          </cell>
        </row>
        <row r="19">
          <cell r="D19" t="str">
            <v>1/2" Hex AM 9015 70</v>
          </cell>
          <cell r="E19">
            <v>4</v>
          </cell>
          <cell r="F19">
            <v>1</v>
          </cell>
        </row>
        <row r="20">
          <cell r="D20" t="str">
            <v>1/2" Hex AM 9015 81</v>
          </cell>
          <cell r="E20">
            <v>4</v>
          </cell>
          <cell r="F20">
            <v>1</v>
          </cell>
        </row>
        <row r="21">
          <cell r="D21" t="str">
            <v>1/2" Hex AM 9015 90</v>
          </cell>
          <cell r="E21">
            <v>3</v>
          </cell>
          <cell r="F21">
            <v>1</v>
          </cell>
        </row>
        <row r="22">
          <cell r="D22" t="str">
            <v>1/2" Hex AM 9015 100</v>
          </cell>
          <cell r="E22">
            <v>3</v>
          </cell>
          <cell r="F22">
            <v>0</v>
          </cell>
          <cell r="I22" t="str">
            <v>None</v>
          </cell>
          <cell r="J22">
            <v>0</v>
          </cell>
          <cell r="K22">
            <v>0</v>
          </cell>
        </row>
        <row r="23">
          <cell r="D23" t="str">
            <v>1/2" Hex NeveRest 9</v>
          </cell>
          <cell r="E23">
            <v>10</v>
          </cell>
          <cell r="F23">
            <v>10</v>
          </cell>
          <cell r="I23" t="str">
            <v>3 : 1</v>
          </cell>
          <cell r="J23">
            <v>24.98</v>
          </cell>
          <cell r="K23">
            <v>16.98</v>
          </cell>
          <cell r="L23" t="str">
            <v>217-2816,217-2817,</v>
          </cell>
          <cell r="M23" t="str">
            <v>217-5832,217-2817,</v>
          </cell>
        </row>
        <row r="24">
          <cell r="D24" t="str">
            <v>1/2" Hex NeveRest 12</v>
          </cell>
          <cell r="E24">
            <v>10</v>
          </cell>
          <cell r="F24">
            <v>10</v>
          </cell>
          <cell r="I24" t="str">
            <v>4 : 1</v>
          </cell>
          <cell r="J24">
            <v>24.98</v>
          </cell>
          <cell r="K24">
            <v>16.98</v>
          </cell>
          <cell r="L24" t="str">
            <v>217-2816,217-2818,</v>
          </cell>
          <cell r="M24" t="str">
            <v>217-5832,217-2818,</v>
          </cell>
        </row>
        <row r="25">
          <cell r="D25" t="str">
            <v>1/2" Hex NeveRest 15</v>
          </cell>
          <cell r="E25">
            <v>10</v>
          </cell>
          <cell r="F25">
            <v>10</v>
          </cell>
          <cell r="I25" t="str">
            <v>5 : 1</v>
          </cell>
          <cell r="J25">
            <v>24.98</v>
          </cell>
          <cell r="K25">
            <v>16.98</v>
          </cell>
          <cell r="L25" t="str">
            <v>217-2816,217-2819,</v>
          </cell>
          <cell r="M25" t="str">
            <v>217-5832,217-2819,</v>
          </cell>
        </row>
        <row r="26">
          <cell r="D26" t="str">
            <v>1/2" Hex NeveRest 16</v>
          </cell>
          <cell r="E26">
            <v>10</v>
          </cell>
          <cell r="F26">
            <v>10</v>
          </cell>
          <cell r="I26" t="str">
            <v>7 : 1</v>
          </cell>
          <cell r="J26">
            <v>24.98</v>
          </cell>
          <cell r="K26">
            <v>16.98</v>
          </cell>
          <cell r="L26" t="str">
            <v>217-2816,217-3102,</v>
          </cell>
          <cell r="M26" t="str">
            <v>217-5832,217-3102,</v>
          </cell>
        </row>
        <row r="27">
          <cell r="D27" t="str">
            <v>1/2" Hex NeveRest 20</v>
          </cell>
          <cell r="E27">
            <v>10</v>
          </cell>
          <cell r="F27">
            <v>10</v>
          </cell>
          <cell r="I27" t="str">
            <v>9 : 1</v>
          </cell>
          <cell r="J27">
            <v>24.98</v>
          </cell>
          <cell r="K27">
            <v>16.98</v>
          </cell>
          <cell r="L27" t="str">
            <v>217-2816,217-3106,</v>
          </cell>
          <cell r="M27" t="str">
            <v>217-5832,217-3106,</v>
          </cell>
        </row>
        <row r="28">
          <cell r="D28" t="str">
            <v>1/2" Hex NeveRest 21</v>
          </cell>
          <cell r="E28">
            <v>9</v>
          </cell>
          <cell r="F28">
            <v>9</v>
          </cell>
          <cell r="I28" t="str">
            <v>10 : 1</v>
          </cell>
          <cell r="J28">
            <v>24.98</v>
          </cell>
          <cell r="K28">
            <v>16.98</v>
          </cell>
          <cell r="L28" t="str">
            <v>217-2816,217-2820,</v>
          </cell>
          <cell r="M28" t="str">
            <v>217-5832,217-2820,</v>
          </cell>
        </row>
        <row r="29">
          <cell r="D29" t="str">
            <v>1/2" Hex NeveRest 25</v>
          </cell>
          <cell r="E29">
            <v>7</v>
          </cell>
          <cell r="F29">
            <v>7</v>
          </cell>
        </row>
        <row r="30">
          <cell r="D30" t="str">
            <v>1/2" Hex NeveRest 27</v>
          </cell>
          <cell r="E30">
            <v>7</v>
          </cell>
          <cell r="F30">
            <v>7</v>
          </cell>
        </row>
        <row r="31">
          <cell r="D31" t="str">
            <v>1/2" Hex NeveRest 28</v>
          </cell>
          <cell r="E31">
            <v>7</v>
          </cell>
          <cell r="F31">
            <v>7</v>
          </cell>
        </row>
        <row r="32">
          <cell r="D32" t="str">
            <v>1/2" Hex NeveRest 30</v>
          </cell>
          <cell r="E32">
            <v>5</v>
          </cell>
          <cell r="F32">
            <v>5</v>
          </cell>
          <cell r="I32" t="str">
            <v>None</v>
          </cell>
          <cell r="J32">
            <v>0</v>
          </cell>
          <cell r="K32"/>
        </row>
        <row r="33">
          <cell r="D33" t="str">
            <v>1/2" Hex NeveRest 35</v>
          </cell>
          <cell r="E33">
            <v>5</v>
          </cell>
          <cell r="F33">
            <v>5</v>
          </cell>
          <cell r="I33" t="str">
            <v>DM Nyl 1:1</v>
          </cell>
          <cell r="J33">
            <v>41.97</v>
          </cell>
          <cell r="K33"/>
          <cell r="L33" t="str">
            <v>217-6342,217-2701,217-6432,</v>
          </cell>
          <cell r="M33" t="str">
            <v>217-6342,217-2701,217-6432,</v>
          </cell>
          <cell r="N33" t="str">
            <v>217-6342,217-2701,217-6432,</v>
          </cell>
        </row>
        <row r="34">
          <cell r="D34" t="str">
            <v>1/2" Hex NeveRest 36</v>
          </cell>
          <cell r="E34">
            <v>5</v>
          </cell>
          <cell r="F34">
            <v>5</v>
          </cell>
          <cell r="I34" t="str">
            <v>DM Nyl 3.75:1</v>
          </cell>
          <cell r="J34">
            <v>42.97</v>
          </cell>
          <cell r="K34"/>
          <cell r="L34" t="str">
            <v>217-6342,217-3210,217-6367,</v>
          </cell>
          <cell r="M34" t="str">
            <v>217-6342,217-3210,217-6362,</v>
          </cell>
          <cell r="N34" t="str">
            <v>217-6342,217-3210,217-6368,</v>
          </cell>
        </row>
        <row r="35">
          <cell r="D35" t="str">
            <v>1/2" Hex NeveRest 40</v>
          </cell>
          <cell r="E35">
            <v>5</v>
          </cell>
          <cell r="F35">
            <v>5</v>
          </cell>
          <cell r="I35" t="str">
            <v>DM Nyl 5.33:1</v>
          </cell>
          <cell r="J35">
            <v>42.97</v>
          </cell>
          <cell r="K35"/>
          <cell r="L35" t="str">
            <v>217-6342,217-5455,217-6333,</v>
          </cell>
          <cell r="M35" t="str">
            <v>217-6342,217-5455,217-6285,</v>
          </cell>
          <cell r="N35" t="str">
            <v>217-6342,217-5455,217-6339,</v>
          </cell>
        </row>
        <row r="36">
          <cell r="D36" t="str">
            <v>1/2" Hex NeveRest 45</v>
          </cell>
          <cell r="E36">
            <v>5</v>
          </cell>
          <cell r="F36">
            <v>4</v>
          </cell>
          <cell r="I36" t="str">
            <v>DM Al 1:1</v>
          </cell>
          <cell r="J36">
            <v>56.97</v>
          </cell>
          <cell r="K36"/>
          <cell r="L36" t="str">
            <v>217-6417,217-2701,217-6432,</v>
          </cell>
          <cell r="M36" t="str">
            <v>217-6417,217-2701,217-6432,</v>
          </cell>
          <cell r="N36" t="str">
            <v>217-6417,217-2701,217-6432,</v>
          </cell>
        </row>
        <row r="37">
          <cell r="D37" t="str">
            <v>1/2" Hex NeveRest 49</v>
          </cell>
          <cell r="E37">
            <v>5</v>
          </cell>
          <cell r="F37">
            <v>4</v>
          </cell>
          <cell r="I37" t="str">
            <v>DM Al 3.75:1</v>
          </cell>
          <cell r="J37">
            <v>57.97</v>
          </cell>
          <cell r="K37"/>
          <cell r="L37" t="str">
            <v>217-6417,217-3210,217-6367,</v>
          </cell>
          <cell r="M37" t="str">
            <v>217-6417,217-3210,217-6362,</v>
          </cell>
          <cell r="N37" t="str">
            <v>217-6417,217-3210,217-6368,</v>
          </cell>
        </row>
        <row r="38">
          <cell r="D38" t="str">
            <v>1/2" Hex NeveRest 50</v>
          </cell>
          <cell r="E38">
            <v>5</v>
          </cell>
          <cell r="F38">
            <v>4</v>
          </cell>
          <cell r="I38" t="str">
            <v>DM Al 5.33:1</v>
          </cell>
          <cell r="J38">
            <v>57.97</v>
          </cell>
          <cell r="K38"/>
          <cell r="L38" t="str">
            <v>217-6417,217-5455,217-6333,</v>
          </cell>
          <cell r="M38" t="str">
            <v>217-6417,217-5455,217-6285,</v>
          </cell>
          <cell r="N38" t="str">
            <v>217-6417,217-5455,217-6339,</v>
          </cell>
        </row>
        <row r="39">
          <cell r="D39" t="str">
            <v>1/2" Hex NeveRest 63</v>
          </cell>
          <cell r="E39">
            <v>4</v>
          </cell>
          <cell r="F39">
            <v>3</v>
          </cell>
          <cell r="I39" t="str">
            <v>Dual Motor</v>
          </cell>
          <cell r="J39">
            <v>14.98</v>
          </cell>
          <cell r="K39"/>
          <cell r="L39" t="str">
            <v>217-3141,</v>
          </cell>
        </row>
        <row r="40">
          <cell r="D40" t="str">
            <v>1/2" Hex NeveRest 70</v>
          </cell>
          <cell r="E40">
            <v>4</v>
          </cell>
          <cell r="F40">
            <v>1</v>
          </cell>
        </row>
        <row r="41">
          <cell r="D41" t="str">
            <v>1/2" Hex NeveRest 81</v>
          </cell>
          <cell r="E41">
            <v>3</v>
          </cell>
          <cell r="F41">
            <v>1</v>
          </cell>
        </row>
        <row r="42">
          <cell r="D42" t="str">
            <v>1/2" Hex NeveRest 90</v>
          </cell>
          <cell r="E42">
            <v>3</v>
          </cell>
          <cell r="F42">
            <v>1</v>
          </cell>
        </row>
        <row r="43">
          <cell r="D43" t="str">
            <v>1/2" Hex NeveRest 100</v>
          </cell>
          <cell r="E43">
            <v>3</v>
          </cell>
          <cell r="F43">
            <v>1</v>
          </cell>
          <cell r="I43" t="str">
            <v>Yes</v>
          </cell>
          <cell r="J43">
            <v>67.95</v>
          </cell>
          <cell r="K43"/>
          <cell r="L43" t="str">
            <v>217-6011,217-6043,217-5882,217-5875,217-5870,</v>
          </cell>
          <cell r="M43" t="str">
            <v>217-6011,217-6043,217-5882,217-5875,217-5871,</v>
          </cell>
          <cell r="N43" t="str">
            <v>217-6011,217-6043,217-5882,217-5875,217-5872,</v>
          </cell>
        </row>
        <row r="44">
          <cell r="D44" t="str">
            <v>1/2" Hex BB RS-550 9</v>
          </cell>
          <cell r="E44">
            <v>10</v>
          </cell>
          <cell r="F44">
            <v>10</v>
          </cell>
          <cell r="I44" t="str">
            <v>No</v>
          </cell>
          <cell r="J44">
            <v>0</v>
          </cell>
          <cell r="K44"/>
        </row>
        <row r="45">
          <cell r="D45" t="str">
            <v>1/2" Hex BB RS-550 12</v>
          </cell>
          <cell r="E45">
            <v>10</v>
          </cell>
          <cell r="F45">
            <v>7</v>
          </cell>
        </row>
        <row r="46">
          <cell r="D46" t="str">
            <v>1/2" Hex BB RS-550 15</v>
          </cell>
          <cell r="E46">
            <v>10</v>
          </cell>
          <cell r="F46">
            <v>5</v>
          </cell>
        </row>
        <row r="47">
          <cell r="D47" t="str">
            <v>1/2" Hex BB RS-550 16</v>
          </cell>
          <cell r="E47">
            <v>10</v>
          </cell>
          <cell r="F47">
            <v>5</v>
          </cell>
        </row>
        <row r="48">
          <cell r="D48" t="str">
            <v>1/2" Hex BB RS-550 20</v>
          </cell>
          <cell r="E48">
            <v>10</v>
          </cell>
          <cell r="F48">
            <v>4</v>
          </cell>
          <cell r="I48" t="str">
            <v>Yes</v>
          </cell>
          <cell r="J48">
            <v>84.99</v>
          </cell>
          <cell r="K48"/>
          <cell r="L48" t="str">
            <v>217-6293,</v>
          </cell>
        </row>
        <row r="49">
          <cell r="D49" t="str">
            <v>1/2" Hex BB RS-550 21</v>
          </cell>
          <cell r="E49">
            <v>9</v>
          </cell>
          <cell r="F49">
            <v>4</v>
          </cell>
          <cell r="I49" t="str">
            <v>No</v>
          </cell>
          <cell r="J49">
            <v>0</v>
          </cell>
          <cell r="K49"/>
        </row>
        <row r="50">
          <cell r="D50" t="str">
            <v>1/2" Hex BB RS-550 25</v>
          </cell>
          <cell r="E50">
            <v>7</v>
          </cell>
          <cell r="F50">
            <v>3</v>
          </cell>
        </row>
        <row r="51">
          <cell r="D51" t="str">
            <v>1/2" Hex BB RS-550 27</v>
          </cell>
          <cell r="E51">
            <v>7</v>
          </cell>
          <cell r="F51">
            <v>3</v>
          </cell>
        </row>
        <row r="52">
          <cell r="D52" t="str">
            <v>1/2" Hex BB RS-550 28</v>
          </cell>
          <cell r="E52">
            <v>7</v>
          </cell>
          <cell r="F52">
            <v>3</v>
          </cell>
        </row>
        <row r="53">
          <cell r="D53" t="str">
            <v>1/2" Hex BB RS-550 30</v>
          </cell>
          <cell r="E53">
            <v>5</v>
          </cell>
          <cell r="F53">
            <v>3</v>
          </cell>
          <cell r="I53" t="str">
            <v>Yes</v>
          </cell>
          <cell r="J53">
            <v>14.99</v>
          </cell>
          <cell r="K53"/>
          <cell r="L53" t="str">
            <v>217-6048,</v>
          </cell>
        </row>
        <row r="54">
          <cell r="D54" t="str">
            <v>1/2" Hex BB RS-550 35</v>
          </cell>
          <cell r="E54">
            <v>5</v>
          </cell>
          <cell r="F54">
            <v>1</v>
          </cell>
          <cell r="I54" t="str">
            <v>No</v>
          </cell>
          <cell r="J54">
            <v>0</v>
          </cell>
          <cell r="K54"/>
        </row>
        <row r="55">
          <cell r="D55" t="str">
            <v>1/2" Hex BB RS-550 36</v>
          </cell>
          <cell r="E55">
            <v>5</v>
          </cell>
          <cell r="F55">
            <v>1</v>
          </cell>
        </row>
        <row r="56">
          <cell r="D56" t="str">
            <v>1/2" Hex BB RS-550 40</v>
          </cell>
          <cell r="E56">
            <v>5</v>
          </cell>
          <cell r="F56">
            <v>5</v>
          </cell>
        </row>
        <row r="57">
          <cell r="D57" t="str">
            <v>1/2" Hex BB RS-550 45</v>
          </cell>
          <cell r="E57">
            <v>5</v>
          </cell>
          <cell r="F57">
            <v>4</v>
          </cell>
          <cell r="I57" t="str">
            <v>Yes</v>
          </cell>
          <cell r="J57">
            <v>49.99</v>
          </cell>
          <cell r="K57"/>
          <cell r="L57" t="str">
            <v>217-5046,</v>
          </cell>
        </row>
        <row r="58">
          <cell r="D58" t="str">
            <v>1/2" Hex BB RS-550 49</v>
          </cell>
          <cell r="E58">
            <v>5</v>
          </cell>
          <cell r="F58">
            <v>4</v>
          </cell>
          <cell r="I58" t="str">
            <v>No</v>
          </cell>
          <cell r="J58">
            <v>0</v>
          </cell>
          <cell r="K58"/>
        </row>
        <row r="59">
          <cell r="D59" t="str">
            <v>1/2" Hex BB RS-550 50</v>
          </cell>
          <cell r="E59">
            <v>5</v>
          </cell>
          <cell r="F59">
            <v>1</v>
          </cell>
        </row>
        <row r="60">
          <cell r="D60" t="str">
            <v>1/2" Hex BB RS-550 63</v>
          </cell>
          <cell r="E60">
            <v>4</v>
          </cell>
          <cell r="F60">
            <v>1</v>
          </cell>
        </row>
        <row r="61">
          <cell r="D61" t="str">
            <v>1/2" Hex BB RS-550 70</v>
          </cell>
          <cell r="E61">
            <v>4</v>
          </cell>
          <cell r="F61">
            <v>1</v>
          </cell>
        </row>
        <row r="62">
          <cell r="D62" t="str">
            <v>1/2" Hex BB RS-550 81</v>
          </cell>
          <cell r="E62">
            <v>3</v>
          </cell>
          <cell r="F62">
            <v>1</v>
          </cell>
        </row>
        <row r="63">
          <cell r="D63" t="str">
            <v>1/2" Hex BB RS-550 90</v>
          </cell>
          <cell r="E63">
            <v>3</v>
          </cell>
          <cell r="F63">
            <v>1</v>
          </cell>
        </row>
        <row r="64">
          <cell r="D64" t="str">
            <v>1/2" Hex BB RS-550 100</v>
          </cell>
          <cell r="E64">
            <v>3</v>
          </cell>
          <cell r="F64">
            <v>0</v>
          </cell>
        </row>
        <row r="65">
          <cell r="D65" t="str">
            <v>1/2" Hex BB RS-775 9</v>
          </cell>
          <cell r="E65">
            <v>10</v>
          </cell>
          <cell r="F65">
            <v>10</v>
          </cell>
        </row>
        <row r="66">
          <cell r="D66" t="str">
            <v>1/2" Hex BB RS-775 12</v>
          </cell>
          <cell r="E66">
            <v>10</v>
          </cell>
          <cell r="F66">
            <v>10</v>
          </cell>
        </row>
        <row r="67">
          <cell r="D67" t="str">
            <v>1/2" Hex BB RS-775 15</v>
          </cell>
          <cell r="E67">
            <v>7</v>
          </cell>
          <cell r="F67">
            <v>7</v>
          </cell>
        </row>
        <row r="68">
          <cell r="D68" t="str">
            <v>1/2" Hex BB RS-775 16</v>
          </cell>
          <cell r="E68">
            <v>7</v>
          </cell>
          <cell r="F68">
            <v>7</v>
          </cell>
        </row>
        <row r="69">
          <cell r="D69" t="str">
            <v>1/2" Hex BB RS-775 20</v>
          </cell>
          <cell r="E69">
            <v>5</v>
          </cell>
          <cell r="F69">
            <v>5</v>
          </cell>
        </row>
        <row r="70">
          <cell r="D70" t="str">
            <v>1/2" Hex BB RS-775 21</v>
          </cell>
          <cell r="E70">
            <v>5</v>
          </cell>
          <cell r="F70">
            <v>5</v>
          </cell>
        </row>
        <row r="71">
          <cell r="D71" t="str">
            <v>1/2" Hex BB RS-775 25</v>
          </cell>
          <cell r="E71">
            <v>5</v>
          </cell>
          <cell r="F71">
            <v>5</v>
          </cell>
        </row>
        <row r="72">
          <cell r="D72" t="str">
            <v>1/2" Hex BB RS-775 27</v>
          </cell>
          <cell r="E72">
            <v>5</v>
          </cell>
          <cell r="F72">
            <v>4</v>
          </cell>
        </row>
        <row r="73">
          <cell r="D73" t="str">
            <v>1/2" Hex BB RS-775 28</v>
          </cell>
          <cell r="E73">
            <v>5</v>
          </cell>
          <cell r="F73">
            <v>4</v>
          </cell>
        </row>
        <row r="74">
          <cell r="D74" t="str">
            <v>1/2" Hex BB RS-775 30</v>
          </cell>
          <cell r="E74">
            <v>5</v>
          </cell>
          <cell r="F74">
            <v>4</v>
          </cell>
        </row>
        <row r="75">
          <cell r="D75" t="str">
            <v>1/2" Hex BB RS-775 35</v>
          </cell>
          <cell r="E75">
            <v>5</v>
          </cell>
          <cell r="F75">
            <v>3</v>
          </cell>
        </row>
        <row r="76">
          <cell r="D76" t="str">
            <v>1/2" Hex BB RS-775 36</v>
          </cell>
          <cell r="E76">
            <v>5</v>
          </cell>
          <cell r="F76">
            <v>3</v>
          </cell>
        </row>
        <row r="77">
          <cell r="D77" t="str">
            <v>1/2" Hex BB RS-775 40</v>
          </cell>
          <cell r="E77">
            <v>4</v>
          </cell>
          <cell r="F77">
            <v>3</v>
          </cell>
        </row>
        <row r="78">
          <cell r="D78" t="str">
            <v>1/2" Hex BB RS-775 45</v>
          </cell>
          <cell r="E78">
            <v>4</v>
          </cell>
          <cell r="F78">
            <v>1</v>
          </cell>
        </row>
        <row r="79">
          <cell r="D79" t="str">
            <v>1/2" Hex BB RS-775 49</v>
          </cell>
          <cell r="E79">
            <v>4</v>
          </cell>
          <cell r="F79">
            <v>1</v>
          </cell>
        </row>
        <row r="80">
          <cell r="D80" t="str">
            <v>1/2" Hex BB RS-775 50</v>
          </cell>
          <cell r="E80">
            <v>3</v>
          </cell>
          <cell r="F80">
            <v>1</v>
          </cell>
        </row>
        <row r="81">
          <cell r="D81" t="str">
            <v>1/2" Hex BB RS-775 63</v>
          </cell>
          <cell r="E81">
            <v>3</v>
          </cell>
          <cell r="F81">
            <v>1</v>
          </cell>
        </row>
        <row r="82">
          <cell r="D82" t="str">
            <v>1/2" Hex BB RS-775 70</v>
          </cell>
          <cell r="E82">
            <v>1</v>
          </cell>
          <cell r="F82">
            <v>1</v>
          </cell>
        </row>
        <row r="83">
          <cell r="D83" t="str">
            <v>1/2" Hex BB RS-775 81</v>
          </cell>
          <cell r="E83">
            <v>1</v>
          </cell>
          <cell r="F83">
            <v>1</v>
          </cell>
        </row>
        <row r="84">
          <cell r="D84" t="str">
            <v>1/2" Hex BB RS-775 90</v>
          </cell>
          <cell r="E84">
            <v>1</v>
          </cell>
          <cell r="F84">
            <v>1</v>
          </cell>
        </row>
        <row r="85">
          <cell r="D85" t="str">
            <v>1/2" Hex BB RS-775 100</v>
          </cell>
          <cell r="E85">
            <v>1</v>
          </cell>
          <cell r="F85">
            <v>1</v>
          </cell>
        </row>
        <row r="86">
          <cell r="D86" t="str">
            <v>1/2" Hex BAG 9</v>
          </cell>
          <cell r="E86">
            <v>10</v>
          </cell>
          <cell r="F86">
            <v>9</v>
          </cell>
        </row>
        <row r="87">
          <cell r="D87" t="str">
            <v>1/2" Hex BAG 12</v>
          </cell>
          <cell r="E87">
            <v>10</v>
          </cell>
          <cell r="F87">
            <v>5</v>
          </cell>
        </row>
        <row r="88">
          <cell r="D88" t="str">
            <v>1/2" Hex BAG 15</v>
          </cell>
          <cell r="E88">
            <v>10</v>
          </cell>
          <cell r="F88">
            <v>5</v>
          </cell>
        </row>
        <row r="89">
          <cell r="D89" t="str">
            <v>1/2" Hex BAG 16</v>
          </cell>
          <cell r="E89">
            <v>10</v>
          </cell>
          <cell r="F89">
            <v>5</v>
          </cell>
        </row>
        <row r="90">
          <cell r="D90" t="str">
            <v>1/2" Hex BAG 20</v>
          </cell>
          <cell r="E90">
            <v>10</v>
          </cell>
          <cell r="F90">
            <v>4</v>
          </cell>
        </row>
        <row r="91">
          <cell r="D91" t="str">
            <v>1/2" Hex BAG 21</v>
          </cell>
          <cell r="E91">
            <v>10</v>
          </cell>
          <cell r="F91">
            <v>3</v>
          </cell>
        </row>
        <row r="92">
          <cell r="D92" t="str">
            <v>1/2" Hex BAG 25</v>
          </cell>
          <cell r="E92">
            <v>7</v>
          </cell>
          <cell r="F92">
            <v>3</v>
          </cell>
        </row>
        <row r="93">
          <cell r="D93" t="str">
            <v>1/2" Hex BAG 27</v>
          </cell>
          <cell r="E93">
            <v>7</v>
          </cell>
          <cell r="F93">
            <v>3</v>
          </cell>
        </row>
        <row r="94">
          <cell r="D94" t="str">
            <v>1/2" Hex BAG 28</v>
          </cell>
          <cell r="E94">
            <v>7</v>
          </cell>
          <cell r="F94">
            <v>1</v>
          </cell>
        </row>
        <row r="95">
          <cell r="D95" t="str">
            <v>1/2" Hex BAG 30</v>
          </cell>
          <cell r="E95">
            <v>7</v>
          </cell>
          <cell r="F95">
            <v>1</v>
          </cell>
        </row>
        <row r="96">
          <cell r="D96" t="str">
            <v>1/2" Hex BAG 35</v>
          </cell>
          <cell r="E96">
            <v>5</v>
          </cell>
          <cell r="F96">
            <v>1</v>
          </cell>
        </row>
        <row r="97">
          <cell r="D97" t="str">
            <v>1/2" Hex BAG 36</v>
          </cell>
          <cell r="E97">
            <v>5</v>
          </cell>
          <cell r="F97">
            <v>1</v>
          </cell>
        </row>
        <row r="98">
          <cell r="D98" t="str">
            <v>1/2" Hex BAG 40</v>
          </cell>
          <cell r="E98">
            <v>5</v>
          </cell>
          <cell r="F98">
            <v>1</v>
          </cell>
        </row>
        <row r="99">
          <cell r="D99" t="str">
            <v>1/2" Hex BAG 45</v>
          </cell>
          <cell r="E99">
            <v>5</v>
          </cell>
          <cell r="F99">
            <v>1</v>
          </cell>
        </row>
        <row r="100">
          <cell r="D100" t="str">
            <v>1/2" Hex BAG 49</v>
          </cell>
          <cell r="E100">
            <v>5</v>
          </cell>
          <cell r="F100">
            <v>1</v>
          </cell>
        </row>
        <row r="101">
          <cell r="D101" t="str">
            <v>1/2" Hex BAG 50</v>
          </cell>
          <cell r="E101">
            <v>5</v>
          </cell>
          <cell r="F101">
            <v>1</v>
          </cell>
        </row>
        <row r="102">
          <cell r="D102" t="str">
            <v>1/2" Hex BAG 63</v>
          </cell>
          <cell r="E102">
            <v>5</v>
          </cell>
          <cell r="F102">
            <v>1</v>
          </cell>
        </row>
        <row r="103">
          <cell r="D103" t="str">
            <v>1/2" Hex BAG 70</v>
          </cell>
          <cell r="E103">
            <v>4</v>
          </cell>
          <cell r="F103">
            <v>1</v>
          </cell>
        </row>
        <row r="104">
          <cell r="D104" t="str">
            <v>1/2" Hex BAG 81</v>
          </cell>
          <cell r="E104">
            <v>4</v>
          </cell>
          <cell r="F104">
            <v>1</v>
          </cell>
        </row>
        <row r="105">
          <cell r="D105" t="str">
            <v>1/2" Hex BAG 90</v>
          </cell>
          <cell r="E105">
            <v>3</v>
          </cell>
          <cell r="F105">
            <v>0</v>
          </cell>
        </row>
        <row r="106">
          <cell r="D106" t="str">
            <v>1/2" Hex BAG 100</v>
          </cell>
          <cell r="E106">
            <v>3</v>
          </cell>
          <cell r="F106">
            <v>0</v>
          </cell>
        </row>
        <row r="107">
          <cell r="D107" t="str">
            <v>1/2" Hex Mini CIM 9</v>
          </cell>
          <cell r="E107">
            <v>7</v>
          </cell>
          <cell r="F107">
            <v>0</v>
          </cell>
        </row>
        <row r="108">
          <cell r="D108" t="str">
            <v>1/2" Hex Mini CIM 12</v>
          </cell>
          <cell r="E108">
            <v>5</v>
          </cell>
          <cell r="F108">
            <v>0</v>
          </cell>
        </row>
        <row r="109">
          <cell r="D109" t="str">
            <v>1/2" Hex Mini CIM 15</v>
          </cell>
          <cell r="E109">
            <v>5</v>
          </cell>
          <cell r="F109">
            <v>0</v>
          </cell>
        </row>
        <row r="110">
          <cell r="D110" t="str">
            <v>1/2" Hex Mini CIM 16</v>
          </cell>
          <cell r="E110">
            <v>5</v>
          </cell>
          <cell r="F110">
            <v>0</v>
          </cell>
        </row>
        <row r="111">
          <cell r="D111" t="str">
            <v>1/2" Hex Mini CIM 20</v>
          </cell>
          <cell r="E111">
            <v>5</v>
          </cell>
          <cell r="F111">
            <v>0</v>
          </cell>
        </row>
        <row r="112">
          <cell r="D112" t="str">
            <v>1/2" Hex Mini CIM 21</v>
          </cell>
          <cell r="E112">
            <v>5</v>
          </cell>
          <cell r="F112">
            <v>0</v>
          </cell>
        </row>
        <row r="113">
          <cell r="D113" t="str">
            <v>1/2" Hex Mini CIM 25</v>
          </cell>
          <cell r="E113">
            <v>4</v>
          </cell>
          <cell r="F113">
            <v>0</v>
          </cell>
        </row>
        <row r="114">
          <cell r="D114" t="str">
            <v>1/2" Hex Mini CIM 27</v>
          </cell>
          <cell r="E114">
            <v>4</v>
          </cell>
          <cell r="F114">
            <v>0</v>
          </cell>
        </row>
        <row r="115">
          <cell r="D115" t="str">
            <v>1/2" Hex Mini CIM 28</v>
          </cell>
          <cell r="E115">
            <v>3</v>
          </cell>
          <cell r="F115">
            <v>0</v>
          </cell>
        </row>
        <row r="116">
          <cell r="D116" t="str">
            <v>1/2" Hex Mini CIM 30</v>
          </cell>
          <cell r="E116">
            <v>3</v>
          </cell>
          <cell r="F116">
            <v>0</v>
          </cell>
        </row>
        <row r="117">
          <cell r="D117" t="str">
            <v>1/2" Hex Mini CIM 35</v>
          </cell>
          <cell r="E117">
            <v>3</v>
          </cell>
          <cell r="F117">
            <v>0</v>
          </cell>
        </row>
        <row r="118">
          <cell r="D118" t="str">
            <v>1/2" Hex Mini CIM 36</v>
          </cell>
          <cell r="E118">
            <v>1</v>
          </cell>
          <cell r="F118">
            <v>0</v>
          </cell>
        </row>
        <row r="119">
          <cell r="D119" t="str">
            <v>1/2" Hex Mini CIM 40</v>
          </cell>
          <cell r="E119">
            <v>1</v>
          </cell>
          <cell r="F119">
            <v>0</v>
          </cell>
        </row>
        <row r="120">
          <cell r="D120" t="str">
            <v>1/2" Hex Mini CIM 45</v>
          </cell>
          <cell r="E120">
            <v>1</v>
          </cell>
          <cell r="F120">
            <v>0</v>
          </cell>
        </row>
        <row r="121">
          <cell r="D121" t="str">
            <v>1/2" Hex Mini CIM 49</v>
          </cell>
          <cell r="E121">
            <v>1</v>
          </cell>
          <cell r="F121">
            <v>0</v>
          </cell>
        </row>
        <row r="122">
          <cell r="D122" t="str">
            <v>1/2" Hex Mini CIM 50</v>
          </cell>
          <cell r="E122">
            <v>1</v>
          </cell>
          <cell r="F122">
            <v>0</v>
          </cell>
        </row>
        <row r="123">
          <cell r="D123" t="str">
            <v>1/2" Hex Mini CIM 63</v>
          </cell>
          <cell r="E123">
            <v>1</v>
          </cell>
          <cell r="F123">
            <v>0</v>
          </cell>
        </row>
        <row r="124">
          <cell r="D124" t="str">
            <v>1/2" Hex Mini CIM 70</v>
          </cell>
          <cell r="E124">
            <v>0</v>
          </cell>
          <cell r="F124">
            <v>0</v>
          </cell>
        </row>
        <row r="125">
          <cell r="D125" t="str">
            <v>1/2" Hex Mini CIM 81</v>
          </cell>
          <cell r="E125">
            <v>0</v>
          </cell>
          <cell r="F125">
            <v>0</v>
          </cell>
        </row>
        <row r="126">
          <cell r="D126" t="str">
            <v>1/2" Hex Mini CIM 90</v>
          </cell>
          <cell r="E126">
            <v>0</v>
          </cell>
          <cell r="F126">
            <v>0</v>
          </cell>
        </row>
        <row r="127">
          <cell r="D127" t="str">
            <v>1/2" Hex Mini CIM 100</v>
          </cell>
          <cell r="E127">
            <v>0</v>
          </cell>
          <cell r="F127">
            <v>0</v>
          </cell>
        </row>
        <row r="128">
          <cell r="D128" t="str">
            <v>1/2" Hex CIM 9</v>
          </cell>
          <cell r="E128">
            <v>5</v>
          </cell>
          <cell r="F128">
            <v>0</v>
          </cell>
        </row>
        <row r="129">
          <cell r="D129" t="str">
            <v>1/2" Hex CIM 12</v>
          </cell>
          <cell r="E129">
            <v>5</v>
          </cell>
          <cell r="F129">
            <v>0</v>
          </cell>
        </row>
        <row r="130">
          <cell r="D130" t="str">
            <v>1/2" Hex CIM 15</v>
          </cell>
          <cell r="E130">
            <v>4</v>
          </cell>
          <cell r="F130">
            <v>0</v>
          </cell>
        </row>
        <row r="131">
          <cell r="D131" t="str">
            <v>1/2" Hex CIM 16</v>
          </cell>
          <cell r="E131">
            <v>4</v>
          </cell>
          <cell r="F131">
            <v>0</v>
          </cell>
        </row>
        <row r="132">
          <cell r="D132" t="str">
            <v>1/2" Hex CIM 20</v>
          </cell>
          <cell r="E132">
            <v>3</v>
          </cell>
          <cell r="F132">
            <v>0</v>
          </cell>
        </row>
        <row r="133">
          <cell r="D133" t="str">
            <v>1/2" Hex CIM 21</v>
          </cell>
          <cell r="E133">
            <v>3</v>
          </cell>
          <cell r="F133">
            <v>0</v>
          </cell>
        </row>
        <row r="134">
          <cell r="D134" t="str">
            <v>1/2" Hex CIM 25</v>
          </cell>
          <cell r="E134">
            <v>1</v>
          </cell>
          <cell r="F134">
            <v>0</v>
          </cell>
        </row>
        <row r="135">
          <cell r="D135" t="str">
            <v>1/2" Hex CIM 27</v>
          </cell>
          <cell r="E135">
            <v>1</v>
          </cell>
          <cell r="F135">
            <v>0</v>
          </cell>
        </row>
        <row r="136">
          <cell r="D136" t="str">
            <v>1/2" Hex CIM 28</v>
          </cell>
          <cell r="E136">
            <v>1</v>
          </cell>
          <cell r="F136">
            <v>0</v>
          </cell>
        </row>
        <row r="137">
          <cell r="D137" t="str">
            <v>1/2" Hex CIM 30</v>
          </cell>
          <cell r="E137">
            <v>1</v>
          </cell>
          <cell r="F137">
            <v>0</v>
          </cell>
        </row>
        <row r="138">
          <cell r="D138" t="str">
            <v>1/2" Hex CIM 35</v>
          </cell>
          <cell r="E138">
            <v>1</v>
          </cell>
          <cell r="F138">
            <v>0</v>
          </cell>
        </row>
        <row r="139">
          <cell r="D139" t="str">
            <v>1/2" Hex CIM 36</v>
          </cell>
          <cell r="E139">
            <v>1</v>
          </cell>
          <cell r="F139">
            <v>0</v>
          </cell>
        </row>
        <row r="140">
          <cell r="D140" t="str">
            <v>1/2" Hex CIM 40</v>
          </cell>
          <cell r="E140">
            <v>1</v>
          </cell>
          <cell r="F140">
            <v>0</v>
          </cell>
        </row>
        <row r="141">
          <cell r="D141" t="str">
            <v>1/2" Hex CIM 45</v>
          </cell>
          <cell r="E141">
            <v>0</v>
          </cell>
          <cell r="F141">
            <v>0</v>
          </cell>
        </row>
        <row r="142">
          <cell r="D142" t="str">
            <v>1/2" Hex CIM 49</v>
          </cell>
          <cell r="E142">
            <v>0</v>
          </cell>
          <cell r="F142">
            <v>0</v>
          </cell>
        </row>
        <row r="143">
          <cell r="D143" t="str">
            <v>1/2" Hex CIM 50</v>
          </cell>
          <cell r="E143">
            <v>0</v>
          </cell>
          <cell r="F143">
            <v>0</v>
          </cell>
        </row>
        <row r="144">
          <cell r="D144" t="str">
            <v>1/2" Hex CIM 63</v>
          </cell>
          <cell r="E144">
            <v>0</v>
          </cell>
          <cell r="F144">
            <v>0</v>
          </cell>
        </row>
        <row r="145">
          <cell r="D145" t="str">
            <v>1/2" Hex CIM 70</v>
          </cell>
          <cell r="E145">
            <v>0</v>
          </cell>
          <cell r="F145">
            <v>0</v>
          </cell>
        </row>
        <row r="146">
          <cell r="D146" t="str">
            <v>1/2" Hex CIM 81</v>
          </cell>
          <cell r="E146">
            <v>0</v>
          </cell>
          <cell r="F146">
            <v>0</v>
          </cell>
        </row>
        <row r="147">
          <cell r="D147" t="str">
            <v>1/2" Hex CIM 90</v>
          </cell>
          <cell r="E147">
            <v>0</v>
          </cell>
          <cell r="F147">
            <v>0</v>
          </cell>
        </row>
        <row r="148">
          <cell r="D148" t="str">
            <v>1/2" Hex CIM 100</v>
          </cell>
          <cell r="E148">
            <v>0</v>
          </cell>
          <cell r="F148">
            <v>0</v>
          </cell>
        </row>
        <row r="149">
          <cell r="D149" t="str">
            <v>1/2" Hex 775pro 9</v>
          </cell>
          <cell r="E149">
            <v>10</v>
          </cell>
          <cell r="F149">
            <v>5</v>
          </cell>
        </row>
        <row r="150">
          <cell r="D150" t="str">
            <v>1/2" Hex 775pro 12</v>
          </cell>
          <cell r="E150">
            <v>10</v>
          </cell>
          <cell r="F150">
            <v>4</v>
          </cell>
        </row>
        <row r="151">
          <cell r="D151" t="str">
            <v>1/2" Hex 775pro 15</v>
          </cell>
          <cell r="E151">
            <v>10</v>
          </cell>
          <cell r="F151">
            <v>3</v>
          </cell>
        </row>
        <row r="152">
          <cell r="D152" t="str">
            <v>1/2" Hex 775pro 16</v>
          </cell>
          <cell r="E152">
            <v>10</v>
          </cell>
          <cell r="F152">
            <v>3</v>
          </cell>
        </row>
        <row r="153">
          <cell r="D153" t="str">
            <v>1/2" Hex 775pro 20</v>
          </cell>
          <cell r="E153">
            <v>10</v>
          </cell>
          <cell r="F153">
            <v>1</v>
          </cell>
        </row>
        <row r="154">
          <cell r="D154" t="str">
            <v>1/2" Hex 775pro 21</v>
          </cell>
          <cell r="E154">
            <v>10</v>
          </cell>
          <cell r="F154">
            <v>1</v>
          </cell>
        </row>
        <row r="155">
          <cell r="D155" t="str">
            <v>1/2" Hex 775pro 25</v>
          </cell>
          <cell r="E155">
            <v>7</v>
          </cell>
          <cell r="F155">
            <v>1</v>
          </cell>
        </row>
        <row r="156">
          <cell r="D156" t="str">
            <v>1/2" Hex 775pro 27</v>
          </cell>
          <cell r="E156">
            <v>7</v>
          </cell>
          <cell r="F156">
            <v>1</v>
          </cell>
        </row>
        <row r="157">
          <cell r="D157" t="str">
            <v>1/2" Hex 775pro 28</v>
          </cell>
          <cell r="E157">
            <v>7</v>
          </cell>
          <cell r="F157">
            <v>1</v>
          </cell>
        </row>
        <row r="158">
          <cell r="D158" t="str">
            <v>1/2" Hex 775pro 30</v>
          </cell>
          <cell r="E158">
            <v>7</v>
          </cell>
          <cell r="F158">
            <v>1</v>
          </cell>
        </row>
        <row r="159">
          <cell r="D159" t="str">
            <v>1/2" Hex 775pro 35</v>
          </cell>
          <cell r="E159">
            <v>5</v>
          </cell>
          <cell r="F159">
            <v>1</v>
          </cell>
        </row>
        <row r="160">
          <cell r="D160" t="str">
            <v>1/2" Hex 775pro 36</v>
          </cell>
          <cell r="E160">
            <v>5</v>
          </cell>
          <cell r="F160">
            <v>1</v>
          </cell>
        </row>
        <row r="161">
          <cell r="D161" t="str">
            <v>1/2" Hex 775pro 40</v>
          </cell>
          <cell r="E161">
            <v>5</v>
          </cell>
          <cell r="F161">
            <v>1</v>
          </cell>
        </row>
        <row r="162">
          <cell r="D162" t="str">
            <v>1/2" Hex 775pro 45</v>
          </cell>
          <cell r="E162">
            <v>4</v>
          </cell>
          <cell r="F162">
            <v>1</v>
          </cell>
        </row>
        <row r="163">
          <cell r="D163" t="str">
            <v>1/2" Hex 775pro 49</v>
          </cell>
          <cell r="E163">
            <v>4</v>
          </cell>
          <cell r="F163">
            <v>1</v>
          </cell>
        </row>
        <row r="164">
          <cell r="D164" t="str">
            <v>1/2" Hex 775pro 50</v>
          </cell>
          <cell r="E164">
            <v>4</v>
          </cell>
          <cell r="F164">
            <v>0</v>
          </cell>
        </row>
        <row r="165">
          <cell r="D165" t="str">
            <v>1/2" Hex 775pro 63</v>
          </cell>
          <cell r="E165">
            <v>3</v>
          </cell>
          <cell r="F165">
            <v>0</v>
          </cell>
        </row>
        <row r="166">
          <cell r="D166" t="str">
            <v>1/2" Hex 775pro 70</v>
          </cell>
          <cell r="E166">
            <v>3</v>
          </cell>
          <cell r="F166">
            <v>0</v>
          </cell>
        </row>
        <row r="167">
          <cell r="D167" t="str">
            <v>1/2" Hex 775pro 81</v>
          </cell>
          <cell r="E167">
            <v>1</v>
          </cell>
          <cell r="F167">
            <v>0</v>
          </cell>
        </row>
        <row r="168">
          <cell r="D168" t="str">
            <v>1/2" Hex 775pro 90</v>
          </cell>
          <cell r="E168">
            <v>1</v>
          </cell>
          <cell r="F168">
            <v>0</v>
          </cell>
        </row>
        <row r="169">
          <cell r="D169" t="str">
            <v>1/2" Hex 775pro 100</v>
          </cell>
          <cell r="E169">
            <v>1</v>
          </cell>
          <cell r="F169">
            <v>0</v>
          </cell>
        </row>
        <row r="170">
          <cell r="D170" t="str">
            <v>1/2" Round AM 9015 9</v>
          </cell>
          <cell r="E170">
            <v>10</v>
          </cell>
          <cell r="F170">
            <v>10</v>
          </cell>
        </row>
        <row r="171">
          <cell r="D171" t="str">
            <v>1/2" Round AM 9015 12</v>
          </cell>
          <cell r="E171">
            <v>10</v>
          </cell>
          <cell r="F171">
            <v>7</v>
          </cell>
        </row>
        <row r="172">
          <cell r="D172" t="str">
            <v>1/2" Round AM 9015 15</v>
          </cell>
          <cell r="E172">
            <v>10</v>
          </cell>
          <cell r="F172">
            <v>5</v>
          </cell>
        </row>
        <row r="173">
          <cell r="D173" t="str">
            <v>1/2" Round AM 9015 16</v>
          </cell>
          <cell r="E173">
            <v>10</v>
          </cell>
          <cell r="F173">
            <v>5</v>
          </cell>
        </row>
        <row r="174">
          <cell r="D174" t="str">
            <v>1/2" Round AM 9015 20</v>
          </cell>
          <cell r="E174">
            <v>10</v>
          </cell>
          <cell r="F174">
            <v>4</v>
          </cell>
        </row>
        <row r="175">
          <cell r="D175" t="str">
            <v>1/2" Round AM 9015 21</v>
          </cell>
          <cell r="E175">
            <v>10</v>
          </cell>
          <cell r="F175">
            <v>4</v>
          </cell>
        </row>
        <row r="176">
          <cell r="D176" t="str">
            <v>1/2" Round AM 9015 25</v>
          </cell>
          <cell r="E176">
            <v>7</v>
          </cell>
          <cell r="F176">
            <v>3</v>
          </cell>
        </row>
        <row r="177">
          <cell r="D177" t="str">
            <v>1/2" Round AM 9015 27</v>
          </cell>
          <cell r="E177">
            <v>7</v>
          </cell>
          <cell r="F177">
            <v>3</v>
          </cell>
        </row>
        <row r="178">
          <cell r="D178" t="str">
            <v>1/2" Round AM 9015 28</v>
          </cell>
          <cell r="E178">
            <v>7</v>
          </cell>
          <cell r="F178">
            <v>3</v>
          </cell>
        </row>
        <row r="179">
          <cell r="D179" t="str">
            <v>1/2" Round AM 9015 30</v>
          </cell>
          <cell r="E179">
            <v>7</v>
          </cell>
          <cell r="F179">
            <v>3</v>
          </cell>
        </row>
        <row r="180">
          <cell r="D180" t="str">
            <v>1/2" Round AM 9015 35</v>
          </cell>
          <cell r="E180">
            <v>5</v>
          </cell>
          <cell r="F180">
            <v>1</v>
          </cell>
        </row>
        <row r="181">
          <cell r="D181" t="str">
            <v>1/2" Round AM 9015 36</v>
          </cell>
          <cell r="E181">
            <v>5</v>
          </cell>
          <cell r="F181">
            <v>1</v>
          </cell>
        </row>
        <row r="182">
          <cell r="D182" t="str">
            <v>1/2" Round AM 9015 40</v>
          </cell>
          <cell r="E182">
            <v>5</v>
          </cell>
          <cell r="F182">
            <v>1</v>
          </cell>
        </row>
        <row r="183">
          <cell r="D183" t="str">
            <v>1/2" Round AM 9015 45</v>
          </cell>
          <cell r="E183">
            <v>5</v>
          </cell>
          <cell r="F183">
            <v>1</v>
          </cell>
        </row>
        <row r="184">
          <cell r="D184" t="str">
            <v>1/2" Round AM 9015 49</v>
          </cell>
          <cell r="E184">
            <v>5</v>
          </cell>
          <cell r="F184">
            <v>1</v>
          </cell>
        </row>
        <row r="185">
          <cell r="D185" t="str">
            <v>1/2" Round AM 9015 50</v>
          </cell>
          <cell r="E185">
            <v>5</v>
          </cell>
          <cell r="F185">
            <v>1</v>
          </cell>
        </row>
        <row r="186">
          <cell r="D186" t="str">
            <v>1/2" Round AM 9015 63</v>
          </cell>
          <cell r="E186">
            <v>4</v>
          </cell>
          <cell r="F186">
            <v>1</v>
          </cell>
        </row>
        <row r="187">
          <cell r="D187" t="str">
            <v>1/2" Round AM 9015 70</v>
          </cell>
          <cell r="E187">
            <v>4</v>
          </cell>
          <cell r="F187">
            <v>1</v>
          </cell>
        </row>
        <row r="188">
          <cell r="D188" t="str">
            <v>1/2" Round AM 9015 81</v>
          </cell>
          <cell r="E188">
            <v>3</v>
          </cell>
          <cell r="F188">
            <v>1</v>
          </cell>
        </row>
        <row r="189">
          <cell r="D189" t="str">
            <v>1/2" Round AM 9015 90</v>
          </cell>
          <cell r="E189">
            <v>3</v>
          </cell>
          <cell r="F189">
            <v>1</v>
          </cell>
        </row>
        <row r="190">
          <cell r="D190" t="str">
            <v>1/2" Round AM 9015 100</v>
          </cell>
          <cell r="E190">
            <v>1</v>
          </cell>
          <cell r="F190">
            <v>0</v>
          </cell>
        </row>
        <row r="191">
          <cell r="D191" t="str">
            <v>1/2" Round NeveRest 9</v>
          </cell>
          <cell r="E191">
            <v>10</v>
          </cell>
          <cell r="F191">
            <v>10</v>
          </cell>
        </row>
        <row r="192">
          <cell r="D192" t="str">
            <v>1/2" Round NeveRest 12</v>
          </cell>
          <cell r="E192">
            <v>10</v>
          </cell>
          <cell r="F192">
            <v>10</v>
          </cell>
        </row>
        <row r="193">
          <cell r="D193" t="str">
            <v>1/2" Round NeveRest 15</v>
          </cell>
          <cell r="E193">
            <v>10</v>
          </cell>
          <cell r="F193">
            <v>10</v>
          </cell>
        </row>
        <row r="194">
          <cell r="D194" t="str">
            <v>1/2" Round NeveRest 16</v>
          </cell>
          <cell r="E194">
            <v>10</v>
          </cell>
          <cell r="F194">
            <v>10</v>
          </cell>
        </row>
        <row r="195">
          <cell r="D195" t="str">
            <v>1/2" Round NeveRest 20</v>
          </cell>
          <cell r="E195">
            <v>10</v>
          </cell>
          <cell r="F195">
            <v>10</v>
          </cell>
        </row>
        <row r="196">
          <cell r="D196" t="str">
            <v>1/2" Round NeveRest 21</v>
          </cell>
          <cell r="E196">
            <v>9</v>
          </cell>
          <cell r="F196">
            <v>9</v>
          </cell>
        </row>
        <row r="197">
          <cell r="D197" t="str">
            <v>1/2" Round NeveRest 25</v>
          </cell>
          <cell r="E197">
            <v>7</v>
          </cell>
          <cell r="F197">
            <v>7</v>
          </cell>
        </row>
        <row r="198">
          <cell r="D198" t="str">
            <v>1/2" Round NeveRest 27</v>
          </cell>
          <cell r="E198">
            <v>7</v>
          </cell>
          <cell r="F198">
            <v>7</v>
          </cell>
        </row>
        <row r="199">
          <cell r="D199" t="str">
            <v>1/2" Round NeveRest 28</v>
          </cell>
          <cell r="E199">
            <v>7</v>
          </cell>
          <cell r="F199">
            <v>7</v>
          </cell>
        </row>
        <row r="200">
          <cell r="D200" t="str">
            <v>1/2" Round NeveRest 30</v>
          </cell>
          <cell r="E200">
            <v>5</v>
          </cell>
          <cell r="F200">
            <v>5</v>
          </cell>
        </row>
        <row r="201">
          <cell r="D201" t="str">
            <v>1/2" Round NeveRest 35</v>
          </cell>
          <cell r="E201">
            <v>5</v>
          </cell>
          <cell r="F201">
            <v>5</v>
          </cell>
        </row>
        <row r="202">
          <cell r="D202" t="str">
            <v>1/2" Round NeveRest 36</v>
          </cell>
          <cell r="E202">
            <v>5</v>
          </cell>
          <cell r="F202">
            <v>5</v>
          </cell>
        </row>
        <row r="203">
          <cell r="D203" t="str">
            <v>1/2" Round NeveRest 40</v>
          </cell>
          <cell r="E203">
            <v>5</v>
          </cell>
          <cell r="F203">
            <v>5</v>
          </cell>
        </row>
        <row r="204">
          <cell r="D204" t="str">
            <v>1/2" Round NeveRest 45</v>
          </cell>
          <cell r="E204">
            <v>5</v>
          </cell>
          <cell r="F204">
            <v>4</v>
          </cell>
        </row>
        <row r="205">
          <cell r="D205" t="str">
            <v>1/2" Round NeveRest 49</v>
          </cell>
          <cell r="E205">
            <v>5</v>
          </cell>
          <cell r="F205">
            <v>4</v>
          </cell>
        </row>
        <row r="206">
          <cell r="D206" t="str">
            <v>1/2" Round NeveRest 50</v>
          </cell>
          <cell r="E206">
            <v>5</v>
          </cell>
          <cell r="F206">
            <v>4</v>
          </cell>
        </row>
        <row r="207">
          <cell r="D207" t="str">
            <v>1/2" Round NeveRest 63</v>
          </cell>
          <cell r="E207">
            <v>4</v>
          </cell>
          <cell r="F207">
            <v>3</v>
          </cell>
        </row>
        <row r="208">
          <cell r="D208" t="str">
            <v>1/2" Round NeveRest 70</v>
          </cell>
          <cell r="E208">
            <v>3</v>
          </cell>
          <cell r="F208">
            <v>1</v>
          </cell>
        </row>
        <row r="209">
          <cell r="D209" t="str">
            <v>1/2" Round NeveRest 81</v>
          </cell>
          <cell r="E209">
            <v>3</v>
          </cell>
          <cell r="F209">
            <v>1</v>
          </cell>
        </row>
        <row r="210">
          <cell r="D210" t="str">
            <v>1/2" Round NeveRest 90</v>
          </cell>
          <cell r="E210">
            <v>1</v>
          </cell>
          <cell r="F210">
            <v>1</v>
          </cell>
        </row>
        <row r="211">
          <cell r="D211" t="str">
            <v>1/2" Round NeveRest 100</v>
          </cell>
          <cell r="E211">
            <v>1</v>
          </cell>
          <cell r="F211">
            <v>1</v>
          </cell>
        </row>
        <row r="212">
          <cell r="D212" t="str">
            <v>1/2" Round BB RS-550 9</v>
          </cell>
          <cell r="E212">
            <v>10</v>
          </cell>
          <cell r="F212">
            <v>10</v>
          </cell>
        </row>
        <row r="213">
          <cell r="D213" t="str">
            <v>1/2" Round BB RS-550 12</v>
          </cell>
          <cell r="E213">
            <v>10</v>
          </cell>
          <cell r="F213">
            <v>7</v>
          </cell>
        </row>
        <row r="214">
          <cell r="D214" t="str">
            <v>1/2" Round BB RS-550 15</v>
          </cell>
          <cell r="E214">
            <v>10</v>
          </cell>
          <cell r="F214">
            <v>5</v>
          </cell>
        </row>
        <row r="215">
          <cell r="D215" t="str">
            <v>1/2" Round BB RS-550 16</v>
          </cell>
          <cell r="E215">
            <v>10</v>
          </cell>
          <cell r="F215">
            <v>5</v>
          </cell>
        </row>
        <row r="216">
          <cell r="D216" t="str">
            <v>1/2" Round BB RS-550 20</v>
          </cell>
          <cell r="E216">
            <v>10</v>
          </cell>
          <cell r="F216">
            <v>4</v>
          </cell>
        </row>
        <row r="217">
          <cell r="D217" t="str">
            <v>1/2" Round BB RS-550 21</v>
          </cell>
          <cell r="E217">
            <v>9</v>
          </cell>
          <cell r="F217">
            <v>4</v>
          </cell>
        </row>
        <row r="218">
          <cell r="D218" t="str">
            <v>1/2" Round BB RS-550 25</v>
          </cell>
          <cell r="E218">
            <v>7</v>
          </cell>
          <cell r="F218">
            <v>3</v>
          </cell>
        </row>
        <row r="219">
          <cell r="D219" t="str">
            <v>1/2" Round BB RS-550 27</v>
          </cell>
          <cell r="E219">
            <v>7</v>
          </cell>
          <cell r="F219">
            <v>3</v>
          </cell>
        </row>
        <row r="220">
          <cell r="D220" t="str">
            <v>1/2" Round BB RS-550 28</v>
          </cell>
          <cell r="E220">
            <v>7</v>
          </cell>
          <cell r="F220">
            <v>3</v>
          </cell>
        </row>
        <row r="221">
          <cell r="D221" t="str">
            <v>1/2" Round BB RS-550 30</v>
          </cell>
          <cell r="E221">
            <v>5</v>
          </cell>
          <cell r="F221">
            <v>3</v>
          </cell>
        </row>
        <row r="222">
          <cell r="D222" t="str">
            <v>1/2" Round BB RS-550 35</v>
          </cell>
          <cell r="E222">
            <v>5</v>
          </cell>
          <cell r="F222">
            <v>1</v>
          </cell>
        </row>
        <row r="223">
          <cell r="D223" t="str">
            <v>1/2" Round BB RS-550 36</v>
          </cell>
          <cell r="E223">
            <v>5</v>
          </cell>
          <cell r="F223">
            <v>1</v>
          </cell>
        </row>
        <row r="224">
          <cell r="D224" t="str">
            <v>1/2" Round BB RS-550 40</v>
          </cell>
          <cell r="E224">
            <v>5</v>
          </cell>
          <cell r="F224">
            <v>1</v>
          </cell>
        </row>
        <row r="225">
          <cell r="D225" t="str">
            <v>1/2" Round BB RS-550 45</v>
          </cell>
          <cell r="E225">
            <v>5</v>
          </cell>
          <cell r="F225">
            <v>1</v>
          </cell>
        </row>
        <row r="226">
          <cell r="D226" t="str">
            <v>1/2" Round BB RS-550 49</v>
          </cell>
          <cell r="E226">
            <v>5</v>
          </cell>
          <cell r="F226">
            <v>1</v>
          </cell>
        </row>
        <row r="227">
          <cell r="D227" t="str">
            <v>1/2" Round BB RS-550 50</v>
          </cell>
          <cell r="E227">
            <v>5</v>
          </cell>
          <cell r="F227">
            <v>1</v>
          </cell>
        </row>
        <row r="228">
          <cell r="D228" t="str">
            <v>1/2" Round BB RS-550 63</v>
          </cell>
          <cell r="E228">
            <v>4</v>
          </cell>
          <cell r="F228">
            <v>1</v>
          </cell>
        </row>
        <row r="229">
          <cell r="D229" t="str">
            <v>1/2" Round BB RS-550 70</v>
          </cell>
          <cell r="E229">
            <v>3</v>
          </cell>
          <cell r="F229">
            <v>1</v>
          </cell>
        </row>
        <row r="230">
          <cell r="D230" t="str">
            <v>1/2" Round BB RS-550 81</v>
          </cell>
          <cell r="E230">
            <v>3</v>
          </cell>
          <cell r="F230">
            <v>1</v>
          </cell>
        </row>
        <row r="231">
          <cell r="D231" t="str">
            <v>1/2" Round BB RS-550 90</v>
          </cell>
          <cell r="E231">
            <v>1</v>
          </cell>
          <cell r="F231">
            <v>1</v>
          </cell>
        </row>
        <row r="232">
          <cell r="D232" t="str">
            <v>1/2" Round BB RS-550 100</v>
          </cell>
          <cell r="E232">
            <v>1</v>
          </cell>
          <cell r="F232">
            <v>0</v>
          </cell>
        </row>
        <row r="233">
          <cell r="D233" t="str">
            <v>1/2" Round BB RS-775 9</v>
          </cell>
          <cell r="E233">
            <v>10</v>
          </cell>
          <cell r="F233">
            <v>10</v>
          </cell>
        </row>
        <row r="234">
          <cell r="D234" t="str">
            <v>1/2" Round BB RS-775 12</v>
          </cell>
          <cell r="E234">
            <v>10</v>
          </cell>
          <cell r="F234">
            <v>10</v>
          </cell>
        </row>
        <row r="235">
          <cell r="D235" t="str">
            <v>1/2" Round BB RS-775 15</v>
          </cell>
          <cell r="E235">
            <v>7</v>
          </cell>
          <cell r="F235">
            <v>7</v>
          </cell>
        </row>
        <row r="236">
          <cell r="D236" t="str">
            <v>1/2" Round BB RS-775 16</v>
          </cell>
          <cell r="E236">
            <v>7</v>
          </cell>
          <cell r="F236">
            <v>7</v>
          </cell>
        </row>
        <row r="237">
          <cell r="D237" t="str">
            <v>1/2" Round BB RS-775 20</v>
          </cell>
          <cell r="E237">
            <v>5</v>
          </cell>
          <cell r="F237">
            <v>5</v>
          </cell>
        </row>
        <row r="238">
          <cell r="D238" t="str">
            <v>1/2" Round BB RS-775 21</v>
          </cell>
          <cell r="E238">
            <v>5</v>
          </cell>
          <cell r="F238">
            <v>5</v>
          </cell>
        </row>
        <row r="239">
          <cell r="D239" t="str">
            <v>1/2" Round BB RS-775 25</v>
          </cell>
          <cell r="E239">
            <v>5</v>
          </cell>
          <cell r="F239">
            <v>5</v>
          </cell>
        </row>
        <row r="240">
          <cell r="D240" t="str">
            <v>1/2" Round BB RS-775 27</v>
          </cell>
          <cell r="E240">
            <v>5</v>
          </cell>
          <cell r="F240">
            <v>4</v>
          </cell>
        </row>
        <row r="241">
          <cell r="D241" t="str">
            <v>1/2" Round BB RS-775 28</v>
          </cell>
          <cell r="E241">
            <v>5</v>
          </cell>
          <cell r="F241">
            <v>4</v>
          </cell>
        </row>
        <row r="242">
          <cell r="D242" t="str">
            <v>1/2" Round BB RS-775 30</v>
          </cell>
          <cell r="E242">
            <v>5</v>
          </cell>
          <cell r="F242">
            <v>4</v>
          </cell>
        </row>
        <row r="243">
          <cell r="D243" t="str">
            <v>1/2" Round BB RS-775 35</v>
          </cell>
          <cell r="E243">
            <v>4</v>
          </cell>
          <cell r="F243">
            <v>3</v>
          </cell>
        </row>
        <row r="244">
          <cell r="D244" t="str">
            <v>1/2" Round BB RS-775 36</v>
          </cell>
          <cell r="E244">
            <v>4</v>
          </cell>
          <cell r="F244">
            <v>3</v>
          </cell>
        </row>
        <row r="245">
          <cell r="D245" t="str">
            <v>1/2" Round BB RS-775 40</v>
          </cell>
          <cell r="E245">
            <v>4</v>
          </cell>
          <cell r="F245">
            <v>3</v>
          </cell>
        </row>
        <row r="246">
          <cell r="D246" t="str">
            <v>1/2" Round BB RS-775 45</v>
          </cell>
          <cell r="E246">
            <v>3</v>
          </cell>
          <cell r="F246">
            <v>1</v>
          </cell>
        </row>
        <row r="247">
          <cell r="D247" t="str">
            <v>1/2" Round BB RS-775 49</v>
          </cell>
          <cell r="E247">
            <v>3</v>
          </cell>
          <cell r="F247">
            <v>1</v>
          </cell>
        </row>
        <row r="248">
          <cell r="D248" t="str">
            <v>1/2" Round BB RS-775 50</v>
          </cell>
          <cell r="E248">
            <v>3</v>
          </cell>
          <cell r="F248">
            <v>1</v>
          </cell>
        </row>
        <row r="249">
          <cell r="D249" t="str">
            <v>1/2" Round BB RS-775 63</v>
          </cell>
          <cell r="E249">
            <v>1</v>
          </cell>
          <cell r="F249">
            <v>1</v>
          </cell>
        </row>
        <row r="250">
          <cell r="D250" t="str">
            <v>1/2" Round BB RS-775 70</v>
          </cell>
          <cell r="E250">
            <v>1</v>
          </cell>
          <cell r="F250">
            <v>1</v>
          </cell>
        </row>
        <row r="251">
          <cell r="D251" t="str">
            <v>1/2" Round BB RS-775 81</v>
          </cell>
          <cell r="E251">
            <v>1</v>
          </cell>
          <cell r="F251">
            <v>1</v>
          </cell>
        </row>
        <row r="252">
          <cell r="D252" t="str">
            <v>1/2" Round BB RS-775 90</v>
          </cell>
          <cell r="E252">
            <v>1</v>
          </cell>
          <cell r="F252">
            <v>1</v>
          </cell>
        </row>
        <row r="253">
          <cell r="D253" t="str">
            <v>1/2" Round BB RS-775 100</v>
          </cell>
          <cell r="E253">
            <v>1</v>
          </cell>
          <cell r="F253">
            <v>1</v>
          </cell>
        </row>
        <row r="254">
          <cell r="D254" t="str">
            <v>1/2" Round BAG 9</v>
          </cell>
          <cell r="E254">
            <v>10</v>
          </cell>
          <cell r="F254">
            <v>9</v>
          </cell>
        </row>
        <row r="255">
          <cell r="D255" t="str">
            <v>1/2" Round BAG 12</v>
          </cell>
          <cell r="E255">
            <v>10</v>
          </cell>
          <cell r="F255">
            <v>5</v>
          </cell>
        </row>
        <row r="256">
          <cell r="D256" t="str">
            <v>1/2" Round BAG 15</v>
          </cell>
          <cell r="E256">
            <v>10</v>
          </cell>
          <cell r="F256">
            <v>5</v>
          </cell>
        </row>
        <row r="257">
          <cell r="D257" t="str">
            <v>1/2" Round BAG 16</v>
          </cell>
          <cell r="E257">
            <v>10</v>
          </cell>
          <cell r="F257">
            <v>5</v>
          </cell>
        </row>
        <row r="258">
          <cell r="D258" t="str">
            <v>1/2" Round BAG 20</v>
          </cell>
          <cell r="E258">
            <v>10</v>
          </cell>
          <cell r="F258">
            <v>4</v>
          </cell>
        </row>
        <row r="259">
          <cell r="D259" t="str">
            <v>1/2" Round BAG 21</v>
          </cell>
          <cell r="E259">
            <v>10</v>
          </cell>
          <cell r="F259">
            <v>3</v>
          </cell>
        </row>
        <row r="260">
          <cell r="D260" t="str">
            <v>1/2" Round BAG 25</v>
          </cell>
          <cell r="E260">
            <v>7</v>
          </cell>
          <cell r="F260">
            <v>3</v>
          </cell>
        </row>
        <row r="261">
          <cell r="D261" t="str">
            <v>1/2" Round BAG 27</v>
          </cell>
          <cell r="E261">
            <v>7</v>
          </cell>
          <cell r="F261">
            <v>3</v>
          </cell>
        </row>
        <row r="262">
          <cell r="D262" t="str">
            <v>1/2" Round BAG 28</v>
          </cell>
          <cell r="E262">
            <v>7</v>
          </cell>
          <cell r="F262">
            <v>1</v>
          </cell>
        </row>
        <row r="263">
          <cell r="D263" t="str">
            <v>1/2" Round BAG 30</v>
          </cell>
          <cell r="E263">
            <v>7</v>
          </cell>
          <cell r="F263">
            <v>1</v>
          </cell>
        </row>
        <row r="264">
          <cell r="D264" t="str">
            <v>1/2" Round BAG 35</v>
          </cell>
          <cell r="E264">
            <v>5</v>
          </cell>
          <cell r="F264">
            <v>1</v>
          </cell>
        </row>
        <row r="265">
          <cell r="D265" t="str">
            <v>1/2" Round BAG 36</v>
          </cell>
          <cell r="E265">
            <v>5</v>
          </cell>
          <cell r="F265">
            <v>1</v>
          </cell>
        </row>
        <row r="266">
          <cell r="D266" t="str">
            <v>1/2" Round BAG 40</v>
          </cell>
          <cell r="E266">
            <v>5</v>
          </cell>
          <cell r="F266">
            <v>1</v>
          </cell>
        </row>
        <row r="267">
          <cell r="D267" t="str">
            <v>1/2" Round BAG 45</v>
          </cell>
          <cell r="E267">
            <v>5</v>
          </cell>
          <cell r="F267">
            <v>1</v>
          </cell>
        </row>
        <row r="268">
          <cell r="D268" t="str">
            <v>1/2" Round BAG 49</v>
          </cell>
          <cell r="E268">
            <v>5</v>
          </cell>
          <cell r="F268">
            <v>1</v>
          </cell>
        </row>
        <row r="269">
          <cell r="D269" t="str">
            <v>1/2" Round BAG 50</v>
          </cell>
          <cell r="E269">
            <v>5</v>
          </cell>
          <cell r="F269">
            <v>1</v>
          </cell>
        </row>
        <row r="270">
          <cell r="D270" t="str">
            <v>1/2" Round BAG 63</v>
          </cell>
          <cell r="E270">
            <v>4</v>
          </cell>
          <cell r="F270">
            <v>1</v>
          </cell>
        </row>
        <row r="271">
          <cell r="D271" t="str">
            <v>1/2" Round BAG 70</v>
          </cell>
          <cell r="E271">
            <v>4</v>
          </cell>
          <cell r="F271">
            <v>1</v>
          </cell>
        </row>
        <row r="272">
          <cell r="D272" t="str">
            <v>1/2" Round BAG 81</v>
          </cell>
          <cell r="E272">
            <v>3</v>
          </cell>
          <cell r="F272">
            <v>1</v>
          </cell>
        </row>
        <row r="273">
          <cell r="D273" t="str">
            <v>1/2" Round BAG 90</v>
          </cell>
          <cell r="E273">
            <v>3</v>
          </cell>
          <cell r="F273">
            <v>0</v>
          </cell>
        </row>
        <row r="274">
          <cell r="D274" t="str">
            <v>1/2" Round BAG 100</v>
          </cell>
          <cell r="E274">
            <v>1</v>
          </cell>
          <cell r="F274">
            <v>0</v>
          </cell>
        </row>
        <row r="275">
          <cell r="D275" t="str">
            <v>1/2" Round Mini CIM 9</v>
          </cell>
          <cell r="E275">
            <v>7</v>
          </cell>
          <cell r="F275">
            <v>0</v>
          </cell>
        </row>
        <row r="276">
          <cell r="D276" t="str">
            <v>1/2" Round Mini CIM 12</v>
          </cell>
          <cell r="E276">
            <v>5</v>
          </cell>
          <cell r="F276">
            <v>0</v>
          </cell>
        </row>
        <row r="277">
          <cell r="D277" t="str">
            <v>1/2" Round Mini CIM 15</v>
          </cell>
          <cell r="E277">
            <v>5</v>
          </cell>
          <cell r="F277">
            <v>0</v>
          </cell>
        </row>
        <row r="278">
          <cell r="D278" t="str">
            <v>1/2" Round Mini CIM 16</v>
          </cell>
          <cell r="E278">
            <v>5</v>
          </cell>
          <cell r="F278">
            <v>0</v>
          </cell>
        </row>
        <row r="279">
          <cell r="D279" t="str">
            <v>1/2" Round Mini CIM 20</v>
          </cell>
          <cell r="E279">
            <v>4</v>
          </cell>
          <cell r="F279">
            <v>0</v>
          </cell>
        </row>
        <row r="280">
          <cell r="D280" t="str">
            <v>1/2" Round Mini CIM 21</v>
          </cell>
          <cell r="E280">
            <v>4</v>
          </cell>
          <cell r="F280">
            <v>0</v>
          </cell>
        </row>
        <row r="281">
          <cell r="D281" t="str">
            <v>1/2" Round Mini CIM 25</v>
          </cell>
          <cell r="E281">
            <v>3</v>
          </cell>
          <cell r="F281">
            <v>0</v>
          </cell>
        </row>
        <row r="282">
          <cell r="D282" t="str">
            <v>1/2" Round Mini CIM 27</v>
          </cell>
          <cell r="E282">
            <v>3</v>
          </cell>
          <cell r="F282">
            <v>0</v>
          </cell>
        </row>
        <row r="283">
          <cell r="D283" t="str">
            <v>1/2" Round Mini CIM 28</v>
          </cell>
          <cell r="E283">
            <v>3</v>
          </cell>
          <cell r="F283">
            <v>0</v>
          </cell>
        </row>
        <row r="284">
          <cell r="D284" t="str">
            <v>1/2" Round Mini CIM 30</v>
          </cell>
          <cell r="E284">
            <v>3</v>
          </cell>
          <cell r="F284">
            <v>0</v>
          </cell>
        </row>
        <row r="285">
          <cell r="D285" t="str">
            <v>1/2" Round Mini CIM 35</v>
          </cell>
          <cell r="E285">
            <v>1</v>
          </cell>
          <cell r="F285">
            <v>0</v>
          </cell>
        </row>
        <row r="286">
          <cell r="D286" t="str">
            <v>1/2" Round Mini CIM 36</v>
          </cell>
          <cell r="E286">
            <v>1</v>
          </cell>
          <cell r="F286">
            <v>0</v>
          </cell>
        </row>
        <row r="287">
          <cell r="D287" t="str">
            <v>1/2" Round Mini CIM 40</v>
          </cell>
          <cell r="E287">
            <v>1</v>
          </cell>
          <cell r="F287">
            <v>0</v>
          </cell>
        </row>
        <row r="288">
          <cell r="D288" t="str">
            <v>1/2" Round Mini CIM 45</v>
          </cell>
          <cell r="E288">
            <v>1</v>
          </cell>
          <cell r="F288">
            <v>0</v>
          </cell>
        </row>
        <row r="289">
          <cell r="D289" t="str">
            <v>1/2" Round Mini CIM 49</v>
          </cell>
          <cell r="E289">
            <v>1</v>
          </cell>
          <cell r="F289">
            <v>0</v>
          </cell>
        </row>
        <row r="290">
          <cell r="D290" t="str">
            <v>1/2" Round Mini CIM 50</v>
          </cell>
          <cell r="E290">
            <v>1</v>
          </cell>
          <cell r="F290">
            <v>0</v>
          </cell>
        </row>
        <row r="291">
          <cell r="D291" t="str">
            <v>1/2" Round Mini CIM 63</v>
          </cell>
          <cell r="E291">
            <v>1</v>
          </cell>
          <cell r="F291">
            <v>0</v>
          </cell>
        </row>
        <row r="292">
          <cell r="D292" t="str">
            <v>1/2" Round Mini CIM 70</v>
          </cell>
          <cell r="E292">
            <v>0</v>
          </cell>
          <cell r="F292">
            <v>0</v>
          </cell>
        </row>
        <row r="293">
          <cell r="D293" t="str">
            <v>1/2" Round Mini CIM 81</v>
          </cell>
          <cell r="E293">
            <v>0</v>
          </cell>
          <cell r="F293">
            <v>0</v>
          </cell>
        </row>
        <row r="294">
          <cell r="D294" t="str">
            <v>1/2" Round Mini CIM 90</v>
          </cell>
          <cell r="E294">
            <v>0</v>
          </cell>
          <cell r="F294">
            <v>0</v>
          </cell>
        </row>
        <row r="295">
          <cell r="D295" t="str">
            <v>1/2" Round Mini CIM 100</v>
          </cell>
          <cell r="E295">
            <v>0</v>
          </cell>
          <cell r="F295">
            <v>0</v>
          </cell>
        </row>
        <row r="296">
          <cell r="D296" t="str">
            <v>1/2" Round CIM 9</v>
          </cell>
          <cell r="E296">
            <v>5</v>
          </cell>
          <cell r="F296">
            <v>0</v>
          </cell>
        </row>
        <row r="297">
          <cell r="D297" t="str">
            <v>1/2" Round CIM 12</v>
          </cell>
          <cell r="E297">
            <v>4</v>
          </cell>
          <cell r="F297">
            <v>0</v>
          </cell>
        </row>
        <row r="298">
          <cell r="D298" t="str">
            <v>1/2" Round CIM 15</v>
          </cell>
          <cell r="E298">
            <v>3</v>
          </cell>
          <cell r="F298">
            <v>0</v>
          </cell>
        </row>
        <row r="299">
          <cell r="D299" t="str">
            <v>1/2" Round CIM 16</v>
          </cell>
          <cell r="E299">
            <v>3</v>
          </cell>
          <cell r="F299">
            <v>0</v>
          </cell>
        </row>
        <row r="300">
          <cell r="D300" t="str">
            <v>1/2" Round CIM 20</v>
          </cell>
          <cell r="E300">
            <v>1</v>
          </cell>
          <cell r="F300">
            <v>0</v>
          </cell>
        </row>
        <row r="301">
          <cell r="D301" t="str">
            <v>1/2" Round CIM 21</v>
          </cell>
          <cell r="E301">
            <v>1</v>
          </cell>
          <cell r="F301">
            <v>0</v>
          </cell>
        </row>
        <row r="302">
          <cell r="D302" t="str">
            <v>1/2" Round CIM 25</v>
          </cell>
          <cell r="E302">
            <v>1</v>
          </cell>
          <cell r="F302">
            <v>0</v>
          </cell>
        </row>
        <row r="303">
          <cell r="D303" t="str">
            <v>1/2" Round CIM 27</v>
          </cell>
          <cell r="E303">
            <v>1</v>
          </cell>
          <cell r="F303">
            <v>0</v>
          </cell>
        </row>
        <row r="304">
          <cell r="D304" t="str">
            <v>1/2" Round CIM 28</v>
          </cell>
          <cell r="E304">
            <v>1</v>
          </cell>
          <cell r="F304">
            <v>0</v>
          </cell>
        </row>
        <row r="305">
          <cell r="D305" t="str">
            <v>1/2" Round CIM 30</v>
          </cell>
          <cell r="E305">
            <v>1</v>
          </cell>
          <cell r="F305">
            <v>0</v>
          </cell>
        </row>
        <row r="306">
          <cell r="D306" t="str">
            <v>1/2" Round CIM 35</v>
          </cell>
          <cell r="E306">
            <v>1</v>
          </cell>
          <cell r="F306">
            <v>0</v>
          </cell>
        </row>
        <row r="307">
          <cell r="D307" t="str">
            <v>1/2" Round CIM 36</v>
          </cell>
          <cell r="E307">
            <v>1</v>
          </cell>
          <cell r="F307">
            <v>0</v>
          </cell>
        </row>
        <row r="308">
          <cell r="D308" t="str">
            <v>1/2" Round CIM 40</v>
          </cell>
          <cell r="E308">
            <v>1</v>
          </cell>
          <cell r="F308">
            <v>0</v>
          </cell>
        </row>
        <row r="309">
          <cell r="D309" t="str">
            <v>1/2" Round CIM 45</v>
          </cell>
          <cell r="E309">
            <v>1</v>
          </cell>
          <cell r="F309">
            <v>0</v>
          </cell>
        </row>
        <row r="310">
          <cell r="D310" t="str">
            <v>1/2" Round CIM 49</v>
          </cell>
          <cell r="E310">
            <v>0</v>
          </cell>
          <cell r="F310">
            <v>0</v>
          </cell>
        </row>
        <row r="311">
          <cell r="D311" t="str">
            <v>1/2" Round CIM 50</v>
          </cell>
          <cell r="E311">
            <v>1</v>
          </cell>
          <cell r="F311">
            <v>0</v>
          </cell>
        </row>
        <row r="312">
          <cell r="D312" t="str">
            <v>1/2" Round CIM 63</v>
          </cell>
          <cell r="E312">
            <v>0</v>
          </cell>
          <cell r="F312">
            <v>0</v>
          </cell>
        </row>
        <row r="313">
          <cell r="D313" t="str">
            <v>1/2" Round CIM 70</v>
          </cell>
          <cell r="E313">
            <v>0</v>
          </cell>
          <cell r="F313">
            <v>0</v>
          </cell>
        </row>
        <row r="314">
          <cell r="D314" t="str">
            <v>1/2" Round CIM 81</v>
          </cell>
          <cell r="E314">
            <v>0</v>
          </cell>
          <cell r="F314">
            <v>0</v>
          </cell>
        </row>
        <row r="315">
          <cell r="D315" t="str">
            <v>1/2" Round CIM 90</v>
          </cell>
          <cell r="E315">
            <v>0</v>
          </cell>
          <cell r="F315">
            <v>0</v>
          </cell>
        </row>
        <row r="316">
          <cell r="D316" t="str">
            <v>1/2" Round CIM 100</v>
          </cell>
          <cell r="E316">
            <v>0</v>
          </cell>
          <cell r="F316">
            <v>0</v>
          </cell>
        </row>
        <row r="317">
          <cell r="D317" t="str">
            <v>1/2" Round 775pro 9</v>
          </cell>
          <cell r="E317">
            <v>10</v>
          </cell>
          <cell r="F317">
            <v>5</v>
          </cell>
        </row>
        <row r="318">
          <cell r="D318" t="str">
            <v>1/2" Round 775pro 12</v>
          </cell>
          <cell r="E318">
            <v>10</v>
          </cell>
          <cell r="F318">
            <v>4</v>
          </cell>
        </row>
        <row r="319">
          <cell r="D319" t="str">
            <v>1/2" Round 775pro 15</v>
          </cell>
          <cell r="E319">
            <v>10</v>
          </cell>
          <cell r="F319">
            <v>3</v>
          </cell>
        </row>
        <row r="320">
          <cell r="D320" t="str">
            <v>1/2" Round 775pro 16</v>
          </cell>
          <cell r="E320">
            <v>10</v>
          </cell>
          <cell r="F320">
            <v>3</v>
          </cell>
        </row>
        <row r="321">
          <cell r="D321" t="str">
            <v>1/2" Round 775pro 20</v>
          </cell>
          <cell r="E321">
            <v>9</v>
          </cell>
          <cell r="F321">
            <v>1</v>
          </cell>
        </row>
        <row r="322">
          <cell r="D322" t="str">
            <v>1/2" Round 775pro 21</v>
          </cell>
          <cell r="E322">
            <v>7</v>
          </cell>
          <cell r="F322">
            <v>1</v>
          </cell>
        </row>
        <row r="323">
          <cell r="D323" t="str">
            <v>1/2" Round 775pro 25</v>
          </cell>
          <cell r="E323">
            <v>7</v>
          </cell>
          <cell r="F323">
            <v>1</v>
          </cell>
        </row>
        <row r="324">
          <cell r="D324" t="str">
            <v>1/2" Round 775pro 27</v>
          </cell>
          <cell r="E324">
            <v>5</v>
          </cell>
          <cell r="F324">
            <v>1</v>
          </cell>
        </row>
        <row r="325">
          <cell r="D325" t="str">
            <v>1/2" Round 775pro 28</v>
          </cell>
          <cell r="E325">
            <v>5</v>
          </cell>
          <cell r="F325">
            <v>1</v>
          </cell>
        </row>
        <row r="326">
          <cell r="D326" t="str">
            <v>1/2" Round 775pro 30</v>
          </cell>
          <cell r="E326">
            <v>5</v>
          </cell>
          <cell r="F326">
            <v>1</v>
          </cell>
        </row>
        <row r="327">
          <cell r="D327" t="str">
            <v>1/2" Round 775pro 35</v>
          </cell>
          <cell r="E327">
            <v>5</v>
          </cell>
          <cell r="F327">
            <v>1</v>
          </cell>
        </row>
        <row r="328">
          <cell r="D328" t="str">
            <v>1/2" Round 775pro 36</v>
          </cell>
          <cell r="E328">
            <v>5</v>
          </cell>
          <cell r="F328">
            <v>1</v>
          </cell>
        </row>
        <row r="329">
          <cell r="D329" t="str">
            <v>1/2" Round 775pro 40</v>
          </cell>
          <cell r="E329">
            <v>4</v>
          </cell>
          <cell r="F329">
            <v>1</v>
          </cell>
        </row>
        <row r="330">
          <cell r="D330" t="str">
            <v>1/2" Round 775pro 45</v>
          </cell>
          <cell r="E330">
            <v>4</v>
          </cell>
          <cell r="F330">
            <v>1</v>
          </cell>
        </row>
        <row r="331">
          <cell r="D331" t="str">
            <v>1/2" Round 775pro 49</v>
          </cell>
          <cell r="E331">
            <v>3</v>
          </cell>
          <cell r="F331">
            <v>1</v>
          </cell>
        </row>
        <row r="332">
          <cell r="D332" t="str">
            <v>1/2" Round 775pro 50</v>
          </cell>
          <cell r="E332">
            <v>3</v>
          </cell>
          <cell r="F332">
            <v>0</v>
          </cell>
        </row>
        <row r="333">
          <cell r="D333" t="str">
            <v>1/2" Round 775pro 63</v>
          </cell>
          <cell r="E333">
            <v>1</v>
          </cell>
          <cell r="F333">
            <v>0</v>
          </cell>
        </row>
        <row r="334">
          <cell r="D334" t="str">
            <v>1/2" Round 775pro 70</v>
          </cell>
          <cell r="E334">
            <v>1</v>
          </cell>
          <cell r="F334">
            <v>0</v>
          </cell>
        </row>
        <row r="335">
          <cell r="D335" t="str">
            <v>1/2" Round 775pro 81</v>
          </cell>
          <cell r="E335">
            <v>1</v>
          </cell>
          <cell r="F335">
            <v>0</v>
          </cell>
        </row>
        <row r="336">
          <cell r="D336" t="str">
            <v>1/2" Round 775pro 90</v>
          </cell>
          <cell r="E336">
            <v>1</v>
          </cell>
          <cell r="F336">
            <v>0</v>
          </cell>
        </row>
        <row r="337">
          <cell r="D337" t="str">
            <v>1/2" Round 775pro 100</v>
          </cell>
          <cell r="E337">
            <v>1</v>
          </cell>
          <cell r="F337">
            <v>0</v>
          </cell>
        </row>
        <row r="338">
          <cell r="D338" t="str">
            <v>3/8" Hex AM 9015 9</v>
          </cell>
          <cell r="E338">
            <v>10</v>
          </cell>
          <cell r="F338">
            <v>10</v>
          </cell>
        </row>
        <row r="339">
          <cell r="D339" t="str">
            <v>3/8" Hex AM 9015 12</v>
          </cell>
          <cell r="E339">
            <v>10</v>
          </cell>
          <cell r="F339">
            <v>7</v>
          </cell>
        </row>
        <row r="340">
          <cell r="D340" t="str">
            <v>3/8" Hex AM 9015 15</v>
          </cell>
          <cell r="E340">
            <v>7</v>
          </cell>
          <cell r="F340">
            <v>5</v>
          </cell>
        </row>
        <row r="341">
          <cell r="D341" t="str">
            <v>3/8" Hex AM 9015 16</v>
          </cell>
          <cell r="E341">
            <v>7</v>
          </cell>
          <cell r="F341">
            <v>5</v>
          </cell>
        </row>
        <row r="342">
          <cell r="D342" t="str">
            <v>3/8" Hex AM 9015 20</v>
          </cell>
          <cell r="E342">
            <v>5</v>
          </cell>
          <cell r="F342">
            <v>4</v>
          </cell>
        </row>
        <row r="343">
          <cell r="D343" t="str">
            <v>3/8" Hex AM 9015 21</v>
          </cell>
          <cell r="E343">
            <v>5</v>
          </cell>
          <cell r="F343">
            <v>4</v>
          </cell>
        </row>
        <row r="344">
          <cell r="D344" t="str">
            <v>3/8" Hex AM 9015 25</v>
          </cell>
          <cell r="E344">
            <v>5</v>
          </cell>
          <cell r="F344">
            <v>3</v>
          </cell>
        </row>
        <row r="345">
          <cell r="D345" t="str">
            <v>3/8" Hex AM 9015 27</v>
          </cell>
          <cell r="E345">
            <v>4</v>
          </cell>
          <cell r="F345">
            <v>3</v>
          </cell>
        </row>
        <row r="346">
          <cell r="D346" t="str">
            <v>3/8" Hex AM 9015 28</v>
          </cell>
          <cell r="E346">
            <v>4</v>
          </cell>
          <cell r="F346">
            <v>3</v>
          </cell>
        </row>
        <row r="347">
          <cell r="D347" t="str">
            <v>3/8" Hex AM 9015 30</v>
          </cell>
          <cell r="E347">
            <v>4</v>
          </cell>
          <cell r="F347">
            <v>3</v>
          </cell>
        </row>
        <row r="348">
          <cell r="D348" t="str">
            <v>3/8" Hex AM 9015 35</v>
          </cell>
          <cell r="E348">
            <v>3</v>
          </cell>
          <cell r="F348">
            <v>1</v>
          </cell>
        </row>
        <row r="349">
          <cell r="D349" t="str">
            <v>3/8" Hex AM 9015 36</v>
          </cell>
          <cell r="E349">
            <v>3</v>
          </cell>
          <cell r="F349">
            <v>1</v>
          </cell>
        </row>
        <row r="350">
          <cell r="D350" t="str">
            <v>3/8" Hex AM 9015 40</v>
          </cell>
          <cell r="E350">
            <v>3</v>
          </cell>
          <cell r="F350">
            <v>1</v>
          </cell>
        </row>
        <row r="351">
          <cell r="D351" t="str">
            <v>3/8" Hex AM 9015 45</v>
          </cell>
          <cell r="E351">
            <v>1</v>
          </cell>
          <cell r="F351">
            <v>1</v>
          </cell>
        </row>
        <row r="352">
          <cell r="D352" t="str">
            <v>3/8" Hex AM 9015 49</v>
          </cell>
          <cell r="E352">
            <v>1</v>
          </cell>
          <cell r="F352">
            <v>1</v>
          </cell>
        </row>
        <row r="353">
          <cell r="D353" t="str">
            <v>3/8" Hex AM 9015 50</v>
          </cell>
          <cell r="E353">
            <v>1</v>
          </cell>
          <cell r="F353">
            <v>1</v>
          </cell>
        </row>
        <row r="354">
          <cell r="D354" t="str">
            <v>3/8" Hex AM 9015 63</v>
          </cell>
          <cell r="E354">
            <v>1</v>
          </cell>
          <cell r="F354">
            <v>1</v>
          </cell>
        </row>
        <row r="355">
          <cell r="D355" t="str">
            <v>3/8" Hex AM 9015 70</v>
          </cell>
          <cell r="E355">
            <v>1</v>
          </cell>
          <cell r="F355">
            <v>1</v>
          </cell>
        </row>
        <row r="356">
          <cell r="D356" t="str">
            <v>3/8" Hex AM 9015 81</v>
          </cell>
          <cell r="E356">
            <v>1</v>
          </cell>
          <cell r="F356">
            <v>1</v>
          </cell>
        </row>
        <row r="357">
          <cell r="D357" t="str">
            <v>3/8" Hex AM 9015 90</v>
          </cell>
          <cell r="E357">
            <v>1</v>
          </cell>
          <cell r="F357">
            <v>1</v>
          </cell>
        </row>
        <row r="358">
          <cell r="D358" t="str">
            <v>3/8" Hex AM 9015 100</v>
          </cell>
          <cell r="E358">
            <v>1</v>
          </cell>
          <cell r="F358">
            <v>0</v>
          </cell>
        </row>
        <row r="359">
          <cell r="D359" t="str">
            <v>3/8" Hex NeveRest 9</v>
          </cell>
          <cell r="E359">
            <v>10</v>
          </cell>
          <cell r="F359">
            <v>10</v>
          </cell>
        </row>
        <row r="360">
          <cell r="D360" t="str">
            <v>3/8" Hex NeveRest 12</v>
          </cell>
          <cell r="E360">
            <v>10</v>
          </cell>
          <cell r="F360">
            <v>10</v>
          </cell>
        </row>
        <row r="361">
          <cell r="D361" t="str">
            <v>3/8" Hex NeveRest 15</v>
          </cell>
          <cell r="E361">
            <v>7</v>
          </cell>
          <cell r="F361">
            <v>10</v>
          </cell>
        </row>
        <row r="362">
          <cell r="D362" t="str">
            <v>3/8" Hex NeveRest 16</v>
          </cell>
          <cell r="E362">
            <v>7</v>
          </cell>
          <cell r="F362">
            <v>10</v>
          </cell>
        </row>
        <row r="363">
          <cell r="D363" t="str">
            <v>3/8" Hex NeveRest 20</v>
          </cell>
          <cell r="E363">
            <v>5</v>
          </cell>
          <cell r="F363">
            <v>10</v>
          </cell>
        </row>
        <row r="364">
          <cell r="D364" t="str">
            <v>3/8" Hex NeveRest 21</v>
          </cell>
          <cell r="E364">
            <v>5</v>
          </cell>
          <cell r="F364">
            <v>9</v>
          </cell>
        </row>
        <row r="365">
          <cell r="D365" t="str">
            <v>3/8" Hex NeveRest 25</v>
          </cell>
          <cell r="E365">
            <v>5</v>
          </cell>
          <cell r="F365">
            <v>7</v>
          </cell>
        </row>
        <row r="366">
          <cell r="D366" t="str">
            <v>3/8" Hex NeveRest 27</v>
          </cell>
          <cell r="E366">
            <v>4</v>
          </cell>
          <cell r="F366">
            <v>7</v>
          </cell>
        </row>
        <row r="367">
          <cell r="D367" t="str">
            <v>3/8" Hex NeveRest 28</v>
          </cell>
          <cell r="E367">
            <v>4</v>
          </cell>
          <cell r="F367">
            <v>7</v>
          </cell>
        </row>
        <row r="368">
          <cell r="D368" t="str">
            <v>3/8" Hex NeveRest 30</v>
          </cell>
          <cell r="E368">
            <v>4</v>
          </cell>
          <cell r="F368">
            <v>5</v>
          </cell>
        </row>
        <row r="369">
          <cell r="D369" t="str">
            <v>3/8" Hex NeveRest 35</v>
          </cell>
          <cell r="E369">
            <v>3</v>
          </cell>
          <cell r="F369">
            <v>5</v>
          </cell>
        </row>
        <row r="370">
          <cell r="D370" t="str">
            <v>3/8" Hex NeveRest 36</v>
          </cell>
          <cell r="E370">
            <v>3</v>
          </cell>
          <cell r="F370">
            <v>5</v>
          </cell>
        </row>
        <row r="371">
          <cell r="D371" t="str">
            <v>3/8" Hex NeveRest 40</v>
          </cell>
          <cell r="E371">
            <v>3</v>
          </cell>
          <cell r="F371">
            <v>5</v>
          </cell>
        </row>
        <row r="372">
          <cell r="D372" t="str">
            <v>3/8" Hex NeveRest 45</v>
          </cell>
          <cell r="E372">
            <v>1</v>
          </cell>
          <cell r="F372">
            <v>4</v>
          </cell>
        </row>
        <row r="373">
          <cell r="D373" t="str">
            <v>3/8" Hex NeveRest 49</v>
          </cell>
          <cell r="E373">
            <v>1</v>
          </cell>
          <cell r="F373">
            <v>4</v>
          </cell>
        </row>
        <row r="374">
          <cell r="D374" t="str">
            <v>3/8" Hex NeveRest 50</v>
          </cell>
          <cell r="E374">
            <v>1</v>
          </cell>
          <cell r="F374">
            <v>4</v>
          </cell>
        </row>
        <row r="375">
          <cell r="D375" t="str">
            <v>3/8" Hex NeveRest 63</v>
          </cell>
          <cell r="E375">
            <v>1</v>
          </cell>
          <cell r="F375">
            <v>3</v>
          </cell>
        </row>
        <row r="376">
          <cell r="D376" t="str">
            <v>3/8" Hex NeveRest 70</v>
          </cell>
          <cell r="E376">
            <v>1</v>
          </cell>
          <cell r="F376">
            <v>1</v>
          </cell>
        </row>
        <row r="377">
          <cell r="D377" t="str">
            <v>3/8" Hex NeveRest 81</v>
          </cell>
          <cell r="E377">
            <v>1</v>
          </cell>
          <cell r="F377">
            <v>1</v>
          </cell>
        </row>
        <row r="378">
          <cell r="D378" t="str">
            <v>3/8" Hex NeveRest 90</v>
          </cell>
          <cell r="E378">
            <v>1</v>
          </cell>
          <cell r="F378">
            <v>1</v>
          </cell>
        </row>
        <row r="379">
          <cell r="D379" t="str">
            <v>3/8" Hex NeveRest 100</v>
          </cell>
          <cell r="E379">
            <v>1</v>
          </cell>
          <cell r="F379">
            <v>1</v>
          </cell>
        </row>
        <row r="380">
          <cell r="D380" t="str">
            <v>3/8" Hex BB RS-550 9</v>
          </cell>
          <cell r="E380">
            <v>10</v>
          </cell>
          <cell r="F380">
            <v>10</v>
          </cell>
        </row>
        <row r="381">
          <cell r="D381" t="str">
            <v>3/8" Hex BB RS-550 12</v>
          </cell>
          <cell r="E381">
            <v>10</v>
          </cell>
          <cell r="F381">
            <v>7</v>
          </cell>
        </row>
        <row r="382">
          <cell r="D382" t="str">
            <v>3/8" Hex BB RS-550 15</v>
          </cell>
          <cell r="E382">
            <v>7</v>
          </cell>
          <cell r="F382">
            <v>5</v>
          </cell>
        </row>
        <row r="383">
          <cell r="D383" t="str">
            <v>3/8" Hex BB RS-550 16</v>
          </cell>
          <cell r="E383">
            <v>7</v>
          </cell>
          <cell r="F383">
            <v>5</v>
          </cell>
        </row>
        <row r="384">
          <cell r="D384" t="str">
            <v>3/8" Hex BB RS-550 20</v>
          </cell>
          <cell r="E384">
            <v>5</v>
          </cell>
          <cell r="F384">
            <v>4</v>
          </cell>
        </row>
        <row r="385">
          <cell r="D385" t="str">
            <v>3/8" Hex BB RS-550 21</v>
          </cell>
          <cell r="E385">
            <v>5</v>
          </cell>
          <cell r="F385">
            <v>4</v>
          </cell>
        </row>
        <row r="386">
          <cell r="D386" t="str">
            <v>3/8" Hex BB RS-550 25</v>
          </cell>
          <cell r="E386">
            <v>5</v>
          </cell>
          <cell r="F386">
            <v>3</v>
          </cell>
        </row>
        <row r="387">
          <cell r="D387" t="str">
            <v>3/8" Hex BB RS-550 27</v>
          </cell>
          <cell r="E387">
            <v>4</v>
          </cell>
          <cell r="F387">
            <v>3</v>
          </cell>
        </row>
        <row r="388">
          <cell r="D388" t="str">
            <v>3/8" Hex BB RS-550 28</v>
          </cell>
          <cell r="E388">
            <v>4</v>
          </cell>
          <cell r="F388">
            <v>3</v>
          </cell>
        </row>
        <row r="389">
          <cell r="D389" t="str">
            <v>3/8" Hex BB RS-550 30</v>
          </cell>
          <cell r="E389">
            <v>4</v>
          </cell>
          <cell r="F389">
            <v>3</v>
          </cell>
        </row>
        <row r="390">
          <cell r="D390" t="str">
            <v>3/8" Hex BB RS-550 35</v>
          </cell>
          <cell r="E390">
            <v>3</v>
          </cell>
          <cell r="F390">
            <v>1</v>
          </cell>
        </row>
        <row r="391">
          <cell r="D391" t="str">
            <v>3/8" Hex BB RS-550 36</v>
          </cell>
          <cell r="E391">
            <v>3</v>
          </cell>
          <cell r="F391">
            <v>1</v>
          </cell>
        </row>
        <row r="392">
          <cell r="D392" t="str">
            <v>3/8" Hex BB RS-550 40</v>
          </cell>
          <cell r="E392">
            <v>3</v>
          </cell>
          <cell r="F392">
            <v>5</v>
          </cell>
        </row>
        <row r="393">
          <cell r="D393" t="str">
            <v>3/8" Hex BB RS-550 45</v>
          </cell>
          <cell r="E393">
            <v>1</v>
          </cell>
          <cell r="F393">
            <v>4</v>
          </cell>
        </row>
        <row r="394">
          <cell r="D394" t="str">
            <v>3/8" Hex BB RS-550 49</v>
          </cell>
          <cell r="E394">
            <v>1</v>
          </cell>
          <cell r="F394">
            <v>4</v>
          </cell>
        </row>
        <row r="395">
          <cell r="D395" t="str">
            <v>3/8" Hex BB RS-550 50</v>
          </cell>
          <cell r="E395">
            <v>1</v>
          </cell>
          <cell r="F395">
            <v>1</v>
          </cell>
        </row>
        <row r="396">
          <cell r="D396" t="str">
            <v>3/8" Hex BB RS-550 63</v>
          </cell>
          <cell r="E396">
            <v>1</v>
          </cell>
          <cell r="F396">
            <v>1</v>
          </cell>
        </row>
        <row r="397">
          <cell r="D397" t="str">
            <v>3/8" Hex BB RS-550 70</v>
          </cell>
          <cell r="E397">
            <v>1</v>
          </cell>
          <cell r="F397">
            <v>1</v>
          </cell>
        </row>
        <row r="398">
          <cell r="D398" t="str">
            <v>3/8" Hex BB RS-550 81</v>
          </cell>
          <cell r="E398">
            <v>1</v>
          </cell>
          <cell r="F398">
            <v>1</v>
          </cell>
        </row>
        <row r="399">
          <cell r="D399" t="str">
            <v>3/8" Hex BB RS-550 90</v>
          </cell>
          <cell r="E399">
            <v>1</v>
          </cell>
          <cell r="F399">
            <v>1</v>
          </cell>
        </row>
        <row r="400">
          <cell r="D400" t="str">
            <v>3/8" Hex BB RS-550 100</v>
          </cell>
          <cell r="E400">
            <v>1</v>
          </cell>
          <cell r="F400">
            <v>0</v>
          </cell>
        </row>
        <row r="401">
          <cell r="D401" t="str">
            <v>3/8" Hex BB RS-775 9</v>
          </cell>
          <cell r="E401">
            <v>7</v>
          </cell>
          <cell r="F401">
            <v>10</v>
          </cell>
        </row>
        <row r="402">
          <cell r="D402" t="str">
            <v>3/8" Hex BB RS-775 12</v>
          </cell>
          <cell r="E402">
            <v>5</v>
          </cell>
          <cell r="F402">
            <v>10</v>
          </cell>
        </row>
        <row r="403">
          <cell r="D403" t="str">
            <v>3/8" Hex BB RS-775 15</v>
          </cell>
          <cell r="E403">
            <v>4</v>
          </cell>
          <cell r="F403">
            <v>7</v>
          </cell>
        </row>
        <row r="404">
          <cell r="D404" t="str">
            <v>3/8" Hex BB RS-775 16</v>
          </cell>
          <cell r="E404">
            <v>4</v>
          </cell>
          <cell r="F404">
            <v>7</v>
          </cell>
        </row>
        <row r="405">
          <cell r="D405" t="str">
            <v>3/8" Hex BB RS-775 20</v>
          </cell>
          <cell r="E405">
            <v>3</v>
          </cell>
          <cell r="F405">
            <v>5</v>
          </cell>
        </row>
        <row r="406">
          <cell r="D406" t="str">
            <v>3/8" Hex BB RS-775 21</v>
          </cell>
          <cell r="E406">
            <v>3</v>
          </cell>
          <cell r="F406">
            <v>5</v>
          </cell>
        </row>
        <row r="407">
          <cell r="D407" t="str">
            <v>3/8" Hex BB RS-775 25</v>
          </cell>
          <cell r="E407">
            <v>1</v>
          </cell>
          <cell r="F407">
            <v>5</v>
          </cell>
        </row>
        <row r="408">
          <cell r="D408" t="str">
            <v>3/8" Hex BB RS-775 27</v>
          </cell>
          <cell r="E408">
            <v>1</v>
          </cell>
          <cell r="F408">
            <v>4</v>
          </cell>
        </row>
        <row r="409">
          <cell r="D409" t="str">
            <v>3/8" Hex BB RS-775 28</v>
          </cell>
          <cell r="E409">
            <v>1</v>
          </cell>
          <cell r="F409">
            <v>4</v>
          </cell>
        </row>
        <row r="410">
          <cell r="D410" t="str">
            <v>3/8" Hex BB RS-775 30</v>
          </cell>
          <cell r="E410">
            <v>1</v>
          </cell>
          <cell r="F410">
            <v>4</v>
          </cell>
        </row>
        <row r="411">
          <cell r="D411" t="str">
            <v>3/8" Hex BB RS-775 35</v>
          </cell>
          <cell r="E411">
            <v>1</v>
          </cell>
          <cell r="F411">
            <v>3</v>
          </cell>
        </row>
        <row r="412">
          <cell r="D412" t="str">
            <v>3/8" Hex BB RS-775 36</v>
          </cell>
          <cell r="E412">
            <v>1</v>
          </cell>
          <cell r="F412">
            <v>3</v>
          </cell>
        </row>
        <row r="413">
          <cell r="D413" t="str">
            <v>3/8" Hex BB RS-775 40</v>
          </cell>
          <cell r="E413">
            <v>1</v>
          </cell>
          <cell r="F413">
            <v>3</v>
          </cell>
        </row>
        <row r="414">
          <cell r="D414" t="str">
            <v>3/8" Hex BB RS-775 45</v>
          </cell>
          <cell r="E414">
            <v>1</v>
          </cell>
          <cell r="F414">
            <v>1</v>
          </cell>
        </row>
        <row r="415">
          <cell r="D415" t="str">
            <v>3/8" Hex BB RS-775 49</v>
          </cell>
          <cell r="E415">
            <v>1</v>
          </cell>
          <cell r="F415">
            <v>1</v>
          </cell>
        </row>
        <row r="416">
          <cell r="D416" t="str">
            <v>3/8" Hex BB RS-775 50</v>
          </cell>
          <cell r="E416">
            <v>1</v>
          </cell>
          <cell r="F416">
            <v>1</v>
          </cell>
        </row>
        <row r="417">
          <cell r="D417" t="str">
            <v>3/8" Hex BB RS-775 63</v>
          </cell>
          <cell r="E417">
            <v>1</v>
          </cell>
          <cell r="F417">
            <v>1</v>
          </cell>
        </row>
        <row r="418">
          <cell r="D418" t="str">
            <v>3/8" Hex BB RS-775 70</v>
          </cell>
          <cell r="E418">
            <v>1</v>
          </cell>
          <cell r="F418">
            <v>1</v>
          </cell>
        </row>
        <row r="419">
          <cell r="D419" t="str">
            <v>3/8" Hex BB RS-775 81</v>
          </cell>
          <cell r="E419">
            <v>0</v>
          </cell>
          <cell r="F419">
            <v>1</v>
          </cell>
        </row>
        <row r="420">
          <cell r="D420" t="str">
            <v>3/8" Hex BB RS-775 90</v>
          </cell>
          <cell r="E420">
            <v>0</v>
          </cell>
          <cell r="F420">
            <v>1</v>
          </cell>
        </row>
        <row r="421">
          <cell r="D421" t="str">
            <v>3/8" Hex BB RS-775 100</v>
          </cell>
          <cell r="E421">
            <v>0</v>
          </cell>
          <cell r="F421">
            <v>1</v>
          </cell>
        </row>
        <row r="422">
          <cell r="D422" t="str">
            <v>3/8" Hex BAG 9</v>
          </cell>
          <cell r="E422">
            <v>10</v>
          </cell>
          <cell r="F422">
            <v>9</v>
          </cell>
        </row>
        <row r="423">
          <cell r="D423" t="str">
            <v>3/8" Hex BAG 12</v>
          </cell>
          <cell r="E423">
            <v>10</v>
          </cell>
          <cell r="F423">
            <v>5</v>
          </cell>
        </row>
        <row r="424">
          <cell r="D424" t="str">
            <v>3/8" Hex BAG 15</v>
          </cell>
          <cell r="E424">
            <v>7</v>
          </cell>
          <cell r="F424">
            <v>5</v>
          </cell>
        </row>
        <row r="425">
          <cell r="D425" t="str">
            <v>3/8" Hex BAG 16</v>
          </cell>
          <cell r="E425">
            <v>7</v>
          </cell>
          <cell r="F425">
            <v>5</v>
          </cell>
        </row>
        <row r="426">
          <cell r="D426" t="str">
            <v>3/8" Hex BAG 20</v>
          </cell>
          <cell r="E426">
            <v>5</v>
          </cell>
          <cell r="F426">
            <v>4</v>
          </cell>
        </row>
        <row r="427">
          <cell r="D427" t="str">
            <v>3/8" Hex BAG 21</v>
          </cell>
          <cell r="E427">
            <v>5</v>
          </cell>
          <cell r="F427">
            <v>3</v>
          </cell>
        </row>
        <row r="428">
          <cell r="D428" t="str">
            <v>3/8" Hex BAG 25</v>
          </cell>
          <cell r="E428">
            <v>5</v>
          </cell>
          <cell r="F428">
            <v>3</v>
          </cell>
        </row>
        <row r="429">
          <cell r="D429" t="str">
            <v>3/8" Hex BAG 27</v>
          </cell>
          <cell r="E429">
            <v>4</v>
          </cell>
          <cell r="F429">
            <v>3</v>
          </cell>
        </row>
        <row r="430">
          <cell r="D430" t="str">
            <v>3/8" Hex BAG 28</v>
          </cell>
          <cell r="E430">
            <v>4</v>
          </cell>
          <cell r="F430">
            <v>1</v>
          </cell>
        </row>
        <row r="431">
          <cell r="D431" t="str">
            <v>3/8" Hex BAG 30</v>
          </cell>
          <cell r="E431">
            <v>4</v>
          </cell>
          <cell r="F431">
            <v>1</v>
          </cell>
        </row>
        <row r="432">
          <cell r="D432" t="str">
            <v>3/8" Hex BAG 35</v>
          </cell>
          <cell r="E432">
            <v>3</v>
          </cell>
          <cell r="F432">
            <v>1</v>
          </cell>
        </row>
        <row r="433">
          <cell r="D433" t="str">
            <v>3/8" Hex BAG 36</v>
          </cell>
          <cell r="E433">
            <v>3</v>
          </cell>
          <cell r="F433">
            <v>1</v>
          </cell>
        </row>
        <row r="434">
          <cell r="D434" t="str">
            <v>3/8" Hex BAG 40</v>
          </cell>
          <cell r="E434">
            <v>3</v>
          </cell>
          <cell r="F434">
            <v>1</v>
          </cell>
        </row>
        <row r="435">
          <cell r="D435" t="str">
            <v>3/8" Hex BAG 45</v>
          </cell>
          <cell r="E435">
            <v>1</v>
          </cell>
          <cell r="F435">
            <v>1</v>
          </cell>
        </row>
        <row r="436">
          <cell r="D436" t="str">
            <v>3/8" Hex BAG 49</v>
          </cell>
          <cell r="E436">
            <v>1</v>
          </cell>
          <cell r="F436">
            <v>1</v>
          </cell>
        </row>
        <row r="437">
          <cell r="D437" t="str">
            <v>3/8" Hex BAG 50</v>
          </cell>
          <cell r="E437">
            <v>1</v>
          </cell>
          <cell r="F437">
            <v>1</v>
          </cell>
        </row>
        <row r="438">
          <cell r="D438" t="str">
            <v>3/8" Hex BAG 63</v>
          </cell>
          <cell r="E438">
            <v>1</v>
          </cell>
          <cell r="F438">
            <v>1</v>
          </cell>
        </row>
        <row r="439">
          <cell r="D439" t="str">
            <v>3/8" Hex BAG 70</v>
          </cell>
          <cell r="E439">
            <v>1</v>
          </cell>
          <cell r="F439">
            <v>1</v>
          </cell>
        </row>
        <row r="440">
          <cell r="D440" t="str">
            <v>3/8" Hex BAG 81</v>
          </cell>
          <cell r="E440">
            <v>1</v>
          </cell>
          <cell r="F440">
            <v>1</v>
          </cell>
        </row>
        <row r="441">
          <cell r="D441" t="str">
            <v>3/8" Hex BAG 90</v>
          </cell>
          <cell r="E441">
            <v>1</v>
          </cell>
          <cell r="F441">
            <v>0</v>
          </cell>
        </row>
        <row r="442">
          <cell r="D442" t="str">
            <v>3/8" Hex BAG 100</v>
          </cell>
          <cell r="E442">
            <v>1</v>
          </cell>
          <cell r="F442">
            <v>0</v>
          </cell>
        </row>
        <row r="443">
          <cell r="D443" t="str">
            <v>3/8" Hex Mini CIM 9</v>
          </cell>
          <cell r="E443">
            <v>4</v>
          </cell>
          <cell r="F443">
            <v>0</v>
          </cell>
        </row>
        <row r="444">
          <cell r="D444" t="str">
            <v>3/8" Hex Mini CIM 12</v>
          </cell>
          <cell r="E444">
            <v>3</v>
          </cell>
          <cell r="F444">
            <v>0</v>
          </cell>
        </row>
        <row r="445">
          <cell r="D445" t="str">
            <v>3/8" Hex Mini CIM 15</v>
          </cell>
          <cell r="E445">
            <v>1</v>
          </cell>
          <cell r="F445">
            <v>0</v>
          </cell>
        </row>
        <row r="446">
          <cell r="D446" t="str">
            <v>3/8" Hex Mini CIM 16</v>
          </cell>
          <cell r="E446">
            <v>1</v>
          </cell>
          <cell r="F446">
            <v>0</v>
          </cell>
        </row>
        <row r="447">
          <cell r="D447" t="str">
            <v>3/8" Hex Mini CIM 20</v>
          </cell>
          <cell r="E447">
            <v>1</v>
          </cell>
          <cell r="F447">
            <v>0</v>
          </cell>
        </row>
        <row r="448">
          <cell r="D448" t="str">
            <v>3/8" Hex Mini CIM 21</v>
          </cell>
          <cell r="E448">
            <v>1</v>
          </cell>
          <cell r="F448">
            <v>0</v>
          </cell>
        </row>
        <row r="449">
          <cell r="D449" t="str">
            <v>3/8" Hex Mini CIM 25</v>
          </cell>
          <cell r="E449">
            <v>1</v>
          </cell>
          <cell r="F449">
            <v>0</v>
          </cell>
        </row>
        <row r="450">
          <cell r="D450" t="str">
            <v>3/8" Hex Mini CIM 27</v>
          </cell>
          <cell r="E450">
            <v>1</v>
          </cell>
          <cell r="F450">
            <v>0</v>
          </cell>
        </row>
        <row r="451">
          <cell r="D451" t="str">
            <v>3/8" Hex Mini CIM 28</v>
          </cell>
          <cell r="E451">
            <v>1</v>
          </cell>
          <cell r="F451">
            <v>0</v>
          </cell>
        </row>
        <row r="452">
          <cell r="D452" t="str">
            <v>3/8" Hex Mini CIM 30</v>
          </cell>
          <cell r="E452">
            <v>1</v>
          </cell>
          <cell r="F452">
            <v>0</v>
          </cell>
        </row>
        <row r="453">
          <cell r="D453" t="str">
            <v>3/8" Hex Mini CIM 35</v>
          </cell>
          <cell r="E453">
            <v>1</v>
          </cell>
          <cell r="F453">
            <v>0</v>
          </cell>
        </row>
        <row r="454">
          <cell r="D454" t="str">
            <v>3/8" Hex Mini CIM 36</v>
          </cell>
          <cell r="E454">
            <v>1</v>
          </cell>
          <cell r="F454">
            <v>0</v>
          </cell>
        </row>
        <row r="455">
          <cell r="D455" t="str">
            <v>3/8" Hex Mini CIM 40</v>
          </cell>
          <cell r="E455">
            <v>1</v>
          </cell>
          <cell r="F455">
            <v>0</v>
          </cell>
        </row>
        <row r="456">
          <cell r="D456" t="str">
            <v>3/8" Hex Mini CIM 45</v>
          </cell>
          <cell r="E456">
            <v>0</v>
          </cell>
          <cell r="F456">
            <v>0</v>
          </cell>
        </row>
        <row r="457">
          <cell r="D457" t="str">
            <v>3/8" Hex Mini CIM 49</v>
          </cell>
          <cell r="E457">
            <v>0</v>
          </cell>
          <cell r="F457">
            <v>0</v>
          </cell>
        </row>
        <row r="458">
          <cell r="D458" t="str">
            <v>3/8" Hex Mini CIM 50</v>
          </cell>
          <cell r="E458">
            <v>0</v>
          </cell>
          <cell r="F458">
            <v>0</v>
          </cell>
        </row>
        <row r="459">
          <cell r="D459" t="str">
            <v>3/8" Hex Mini CIM 63</v>
          </cell>
          <cell r="E459">
            <v>0</v>
          </cell>
          <cell r="F459">
            <v>0</v>
          </cell>
        </row>
        <row r="460">
          <cell r="D460" t="str">
            <v>3/8" Hex Mini CIM 70</v>
          </cell>
          <cell r="E460">
            <v>0</v>
          </cell>
          <cell r="F460">
            <v>0</v>
          </cell>
        </row>
        <row r="461">
          <cell r="D461" t="str">
            <v>3/8" Hex Mini CIM 81</v>
          </cell>
          <cell r="E461">
            <v>0</v>
          </cell>
          <cell r="F461">
            <v>0</v>
          </cell>
        </row>
        <row r="462">
          <cell r="D462" t="str">
            <v>3/8" Hex Mini CIM 90</v>
          </cell>
          <cell r="E462">
            <v>0</v>
          </cell>
          <cell r="F462">
            <v>0</v>
          </cell>
        </row>
        <row r="463">
          <cell r="D463" t="str">
            <v>3/8" Hex Mini CIM 100</v>
          </cell>
          <cell r="E463">
            <v>0</v>
          </cell>
          <cell r="F463">
            <v>0</v>
          </cell>
        </row>
        <row r="464">
          <cell r="D464" t="str">
            <v>3/8" Hex CIM 9</v>
          </cell>
          <cell r="E464">
            <v>1</v>
          </cell>
          <cell r="F464">
            <v>0</v>
          </cell>
        </row>
        <row r="465">
          <cell r="D465" t="str">
            <v>3/8" Hex CIM 12</v>
          </cell>
          <cell r="E465">
            <v>1</v>
          </cell>
          <cell r="F465">
            <v>0</v>
          </cell>
        </row>
        <row r="466">
          <cell r="D466" t="str">
            <v>3/8" Hex CIM 15</v>
          </cell>
          <cell r="E466">
            <v>1</v>
          </cell>
          <cell r="F466">
            <v>0</v>
          </cell>
        </row>
        <row r="467">
          <cell r="D467" t="str">
            <v>3/8" Hex CIM 16</v>
          </cell>
          <cell r="E467">
            <v>1</v>
          </cell>
          <cell r="F467">
            <v>0</v>
          </cell>
        </row>
        <row r="468">
          <cell r="D468" t="str">
            <v>3/8" Hex CIM 20</v>
          </cell>
          <cell r="E468">
            <v>1</v>
          </cell>
          <cell r="F468">
            <v>0</v>
          </cell>
        </row>
        <row r="469">
          <cell r="D469" t="str">
            <v>3/8" Hex CIM 21</v>
          </cell>
          <cell r="E469">
            <v>1</v>
          </cell>
          <cell r="F469">
            <v>0</v>
          </cell>
        </row>
        <row r="470">
          <cell r="D470" t="str">
            <v>3/8" Hex CIM 25</v>
          </cell>
          <cell r="E470">
            <v>0</v>
          </cell>
          <cell r="F470">
            <v>0</v>
          </cell>
        </row>
        <row r="471">
          <cell r="D471" t="str">
            <v>3/8" Hex CIM 27</v>
          </cell>
          <cell r="E471">
            <v>0</v>
          </cell>
          <cell r="F471">
            <v>0</v>
          </cell>
        </row>
        <row r="472">
          <cell r="D472" t="str">
            <v>3/8" Hex CIM 28</v>
          </cell>
          <cell r="E472">
            <v>0</v>
          </cell>
          <cell r="F472">
            <v>0</v>
          </cell>
        </row>
        <row r="473">
          <cell r="D473" t="str">
            <v>3/8" Hex CIM 30</v>
          </cell>
          <cell r="E473">
            <v>0</v>
          </cell>
          <cell r="F473">
            <v>0</v>
          </cell>
        </row>
        <row r="474">
          <cell r="D474" t="str">
            <v>3/8" Hex CIM 35</v>
          </cell>
          <cell r="E474">
            <v>0</v>
          </cell>
          <cell r="F474">
            <v>0</v>
          </cell>
        </row>
        <row r="475">
          <cell r="D475" t="str">
            <v>3/8" Hex CIM 36</v>
          </cell>
          <cell r="E475">
            <v>0</v>
          </cell>
          <cell r="F475">
            <v>0</v>
          </cell>
        </row>
        <row r="476">
          <cell r="D476" t="str">
            <v>3/8" Hex CIM 40</v>
          </cell>
          <cell r="E476">
            <v>0</v>
          </cell>
          <cell r="F476">
            <v>0</v>
          </cell>
        </row>
        <row r="477">
          <cell r="D477" t="str">
            <v>3/8" Hex CIM 45</v>
          </cell>
          <cell r="E477">
            <v>0</v>
          </cell>
          <cell r="F477">
            <v>0</v>
          </cell>
        </row>
        <row r="478">
          <cell r="D478" t="str">
            <v>3/8" Hex CIM 49</v>
          </cell>
          <cell r="E478">
            <v>0</v>
          </cell>
          <cell r="F478">
            <v>0</v>
          </cell>
        </row>
        <row r="479">
          <cell r="D479" t="str">
            <v>3/8" Hex CIM 50</v>
          </cell>
          <cell r="E479">
            <v>0</v>
          </cell>
          <cell r="F479">
            <v>0</v>
          </cell>
        </row>
        <row r="480">
          <cell r="D480" t="str">
            <v>3/8" Hex CIM 63</v>
          </cell>
          <cell r="E480">
            <v>0</v>
          </cell>
          <cell r="F480">
            <v>0</v>
          </cell>
        </row>
        <row r="481">
          <cell r="D481" t="str">
            <v>3/8" Hex CIM 70</v>
          </cell>
          <cell r="E481">
            <v>0</v>
          </cell>
          <cell r="F481">
            <v>0</v>
          </cell>
        </row>
        <row r="482">
          <cell r="D482" t="str">
            <v>3/8" Hex CIM 81</v>
          </cell>
          <cell r="E482">
            <v>0</v>
          </cell>
          <cell r="F482">
            <v>0</v>
          </cell>
        </row>
        <row r="483">
          <cell r="D483" t="str">
            <v>3/8" Hex CIM 90</v>
          </cell>
          <cell r="E483">
            <v>0</v>
          </cell>
          <cell r="F483">
            <v>0</v>
          </cell>
        </row>
        <row r="484">
          <cell r="D484" t="str">
            <v>3/8" Hex CIM 100</v>
          </cell>
          <cell r="E484">
            <v>0</v>
          </cell>
          <cell r="F484">
            <v>0</v>
          </cell>
        </row>
        <row r="485">
          <cell r="D485" t="str">
            <v>3/8" Hex 775pro 9</v>
          </cell>
          <cell r="E485">
            <v>7</v>
          </cell>
          <cell r="F485">
            <v>5</v>
          </cell>
        </row>
        <row r="486">
          <cell r="D486" t="str">
            <v>3/8" Hex 775pro 12</v>
          </cell>
          <cell r="E486">
            <v>5</v>
          </cell>
          <cell r="F486">
            <v>4</v>
          </cell>
        </row>
        <row r="487">
          <cell r="D487" t="str">
            <v>3/8" Hex 775pro 15</v>
          </cell>
          <cell r="E487">
            <v>5</v>
          </cell>
          <cell r="F487">
            <v>3</v>
          </cell>
        </row>
        <row r="488">
          <cell r="D488" t="str">
            <v>3/8" Hex 775pro 16</v>
          </cell>
          <cell r="E488">
            <v>4</v>
          </cell>
          <cell r="F488">
            <v>3</v>
          </cell>
        </row>
        <row r="489">
          <cell r="D489" t="str">
            <v>3/8" Hex 775pro 20</v>
          </cell>
          <cell r="E489">
            <v>3</v>
          </cell>
          <cell r="F489">
            <v>1</v>
          </cell>
        </row>
        <row r="490">
          <cell r="D490" t="str">
            <v>3/8" Hex 775pro 21</v>
          </cell>
          <cell r="E490">
            <v>3</v>
          </cell>
          <cell r="F490">
            <v>1</v>
          </cell>
        </row>
        <row r="491">
          <cell r="D491" t="str">
            <v>3/8" Hex 775pro 25</v>
          </cell>
          <cell r="E491">
            <v>3</v>
          </cell>
          <cell r="F491">
            <v>1</v>
          </cell>
        </row>
        <row r="492">
          <cell r="D492" t="str">
            <v>3/8" Hex 775pro 27</v>
          </cell>
          <cell r="E492">
            <v>1</v>
          </cell>
          <cell r="F492">
            <v>1</v>
          </cell>
        </row>
        <row r="493">
          <cell r="D493" t="str">
            <v>3/8" Hex 775pro 28</v>
          </cell>
          <cell r="E493">
            <v>1</v>
          </cell>
          <cell r="F493">
            <v>1</v>
          </cell>
        </row>
        <row r="494">
          <cell r="D494" t="str">
            <v>3/8" Hex 775pro 30</v>
          </cell>
          <cell r="E494">
            <v>1</v>
          </cell>
          <cell r="F494">
            <v>1</v>
          </cell>
        </row>
        <row r="495">
          <cell r="D495" t="str">
            <v>3/8" Hex 775pro 35</v>
          </cell>
          <cell r="E495">
            <v>1</v>
          </cell>
          <cell r="F495">
            <v>1</v>
          </cell>
        </row>
        <row r="496">
          <cell r="D496" t="str">
            <v>3/8" Hex 775pro 36</v>
          </cell>
          <cell r="E496">
            <v>1</v>
          </cell>
          <cell r="F496">
            <v>1</v>
          </cell>
        </row>
        <row r="497">
          <cell r="D497" t="str">
            <v>3/8" Hex 775pro 40</v>
          </cell>
          <cell r="E497">
            <v>1</v>
          </cell>
          <cell r="F497">
            <v>1</v>
          </cell>
        </row>
        <row r="498">
          <cell r="D498" t="str">
            <v>3/8" Hex 775pro 45</v>
          </cell>
          <cell r="E498">
            <v>1</v>
          </cell>
          <cell r="F498">
            <v>1</v>
          </cell>
        </row>
        <row r="499">
          <cell r="D499" t="str">
            <v>3/8" Hex 775pro 49</v>
          </cell>
          <cell r="E499">
            <v>1</v>
          </cell>
          <cell r="F499">
            <v>1</v>
          </cell>
        </row>
        <row r="500">
          <cell r="D500" t="str">
            <v>3/8" Hex 775pro 50</v>
          </cell>
          <cell r="E500">
            <v>1</v>
          </cell>
          <cell r="F500">
            <v>0</v>
          </cell>
        </row>
        <row r="501">
          <cell r="D501" t="str">
            <v>3/8" Hex 775pro 63</v>
          </cell>
          <cell r="E501">
            <v>1</v>
          </cell>
          <cell r="F501">
            <v>0</v>
          </cell>
        </row>
        <row r="502">
          <cell r="D502" t="str">
            <v>3/8" Hex 775pro 70</v>
          </cell>
          <cell r="E502">
            <v>1</v>
          </cell>
          <cell r="F502">
            <v>0</v>
          </cell>
        </row>
        <row r="503">
          <cell r="D503" t="str">
            <v>3/8" Hex 775pro 81</v>
          </cell>
          <cell r="E503">
            <v>0</v>
          </cell>
          <cell r="F503">
            <v>0</v>
          </cell>
        </row>
        <row r="504">
          <cell r="D504" t="str">
            <v>3/8" Hex 775pro 90</v>
          </cell>
          <cell r="E504">
            <v>0</v>
          </cell>
          <cell r="F504">
            <v>0</v>
          </cell>
        </row>
        <row r="505">
          <cell r="D505" t="str">
            <v>3/8" Hex 775pro 100</v>
          </cell>
          <cell r="E505">
            <v>0</v>
          </cell>
          <cell r="F505">
            <v>0</v>
          </cell>
        </row>
        <row r="506">
          <cell r="D506" t="str">
            <v>CIM Motor AM 9015 9</v>
          </cell>
          <cell r="E506">
            <v>7</v>
          </cell>
          <cell r="F506">
            <v>7</v>
          </cell>
        </row>
        <row r="507">
          <cell r="D507" t="str">
            <v>CIM Motor AM 9015 12</v>
          </cell>
          <cell r="E507">
            <v>5</v>
          </cell>
          <cell r="F507">
            <v>5</v>
          </cell>
        </row>
        <row r="508">
          <cell r="D508" t="str">
            <v>CIM Motor AM 9015 15</v>
          </cell>
          <cell r="E508">
            <v>4</v>
          </cell>
          <cell r="F508">
            <v>5</v>
          </cell>
        </row>
        <row r="509">
          <cell r="D509" t="str">
            <v>CIM Motor AM 9015 16</v>
          </cell>
          <cell r="E509">
            <v>4</v>
          </cell>
          <cell r="F509">
            <v>5</v>
          </cell>
        </row>
        <row r="510">
          <cell r="D510" t="str">
            <v>CIM Motor AM 9015 20</v>
          </cell>
          <cell r="E510">
            <v>3</v>
          </cell>
          <cell r="F510">
            <v>4</v>
          </cell>
        </row>
        <row r="511">
          <cell r="D511" t="str">
            <v>CIM Motor AM 9015 21</v>
          </cell>
          <cell r="E511">
            <v>3</v>
          </cell>
          <cell r="F511">
            <v>3</v>
          </cell>
        </row>
        <row r="512">
          <cell r="D512" t="str">
            <v>CIM Motor AM 9015 25</v>
          </cell>
          <cell r="E512">
            <v>1</v>
          </cell>
          <cell r="F512">
            <v>3</v>
          </cell>
        </row>
        <row r="513">
          <cell r="D513" t="str">
            <v>CIM Motor AM 9015 27</v>
          </cell>
          <cell r="E513">
            <v>1</v>
          </cell>
          <cell r="F513">
            <v>1</v>
          </cell>
        </row>
        <row r="514">
          <cell r="D514" t="str">
            <v>CIM Motor AM 9015 28</v>
          </cell>
          <cell r="E514">
            <v>1</v>
          </cell>
          <cell r="F514">
            <v>1</v>
          </cell>
        </row>
        <row r="515">
          <cell r="D515" t="str">
            <v>CIM Motor AM 9015 30</v>
          </cell>
          <cell r="E515">
            <v>1</v>
          </cell>
          <cell r="F515">
            <v>1</v>
          </cell>
        </row>
        <row r="516">
          <cell r="D516" t="str">
            <v>CIM Motor AM 9015 35</v>
          </cell>
          <cell r="E516">
            <v>1</v>
          </cell>
          <cell r="F516">
            <v>1</v>
          </cell>
        </row>
        <row r="517">
          <cell r="D517" t="str">
            <v>CIM Motor AM 9015 36</v>
          </cell>
          <cell r="E517">
            <v>1</v>
          </cell>
          <cell r="F517">
            <v>1</v>
          </cell>
        </row>
        <row r="518">
          <cell r="D518" t="str">
            <v>CIM Motor AM 9015 40</v>
          </cell>
          <cell r="E518">
            <v>1</v>
          </cell>
          <cell r="F518">
            <v>1</v>
          </cell>
        </row>
        <row r="519">
          <cell r="D519" t="str">
            <v>CIM Motor AM 9015 45</v>
          </cell>
          <cell r="E519">
            <v>1</v>
          </cell>
          <cell r="F519">
            <v>1</v>
          </cell>
        </row>
        <row r="520">
          <cell r="D520" t="str">
            <v>CIM Motor AM 9015 49</v>
          </cell>
          <cell r="E520">
            <v>1</v>
          </cell>
          <cell r="F520">
            <v>1</v>
          </cell>
        </row>
        <row r="521">
          <cell r="D521" t="str">
            <v>CIM Motor AM 9015 50</v>
          </cell>
          <cell r="E521">
            <v>1</v>
          </cell>
          <cell r="F521">
            <v>1</v>
          </cell>
        </row>
        <row r="522">
          <cell r="D522" t="str">
            <v>CIM Motor AM 9015 63</v>
          </cell>
          <cell r="E522">
            <v>1</v>
          </cell>
          <cell r="F522">
            <v>1</v>
          </cell>
        </row>
        <row r="523">
          <cell r="D523" t="str">
            <v>CIM Motor AM 9015 70</v>
          </cell>
          <cell r="E523">
            <v>0</v>
          </cell>
          <cell r="F523">
            <v>1</v>
          </cell>
        </row>
        <row r="524">
          <cell r="D524" t="str">
            <v>CIM Motor AM 9015 81</v>
          </cell>
          <cell r="E524">
            <v>0</v>
          </cell>
          <cell r="F524">
            <v>0</v>
          </cell>
        </row>
        <row r="525">
          <cell r="D525" t="str">
            <v>CIM Motor AM 9015 90</v>
          </cell>
          <cell r="E525">
            <v>0</v>
          </cell>
          <cell r="F525">
            <v>0</v>
          </cell>
        </row>
        <row r="526">
          <cell r="D526" t="str">
            <v>CIM Motor AM 9015 100</v>
          </cell>
          <cell r="E526">
            <v>0</v>
          </cell>
          <cell r="F526">
            <v>0</v>
          </cell>
        </row>
        <row r="527">
          <cell r="D527" t="str">
            <v>CIM Motor NeveRest 9</v>
          </cell>
          <cell r="E527">
            <v>5</v>
          </cell>
          <cell r="F527">
            <v>10</v>
          </cell>
        </row>
        <row r="528">
          <cell r="D528" t="str">
            <v>CIM Motor NeveRest 12</v>
          </cell>
          <cell r="E528">
            <v>4</v>
          </cell>
          <cell r="F528">
            <v>10</v>
          </cell>
        </row>
        <row r="529">
          <cell r="D529" t="str">
            <v>CIM Motor NeveRest 15</v>
          </cell>
          <cell r="E529">
            <v>3</v>
          </cell>
          <cell r="F529">
            <v>10</v>
          </cell>
        </row>
        <row r="530">
          <cell r="D530" t="str">
            <v>CIM Motor NeveRest 16</v>
          </cell>
          <cell r="E530">
            <v>3</v>
          </cell>
          <cell r="F530">
            <v>10</v>
          </cell>
        </row>
        <row r="531">
          <cell r="D531" t="str">
            <v>CIM Motor NeveRest 20</v>
          </cell>
          <cell r="E531">
            <v>1</v>
          </cell>
          <cell r="F531">
            <v>7</v>
          </cell>
        </row>
        <row r="532">
          <cell r="D532" t="str">
            <v>CIM Motor NeveRest 21</v>
          </cell>
          <cell r="E532">
            <v>1</v>
          </cell>
          <cell r="F532">
            <v>7</v>
          </cell>
        </row>
        <row r="533">
          <cell r="D533" t="str">
            <v>CIM Motor NeveRest 25</v>
          </cell>
          <cell r="E533">
            <v>1</v>
          </cell>
          <cell r="F533">
            <v>5</v>
          </cell>
        </row>
        <row r="534">
          <cell r="D534" t="str">
            <v>CIM Motor NeveRest 27</v>
          </cell>
          <cell r="E534">
            <v>1</v>
          </cell>
          <cell r="F534">
            <v>5</v>
          </cell>
        </row>
        <row r="535">
          <cell r="D535" t="str">
            <v>CIM Motor NeveRest 28</v>
          </cell>
          <cell r="E535">
            <v>1</v>
          </cell>
          <cell r="F535">
            <v>5</v>
          </cell>
        </row>
        <row r="536">
          <cell r="D536" t="str">
            <v>CIM Motor NeveRest 30</v>
          </cell>
          <cell r="E536">
            <v>1</v>
          </cell>
          <cell r="F536">
            <v>5</v>
          </cell>
        </row>
        <row r="537">
          <cell r="D537" t="str">
            <v>CIM Motor NeveRest 35</v>
          </cell>
          <cell r="E537">
            <v>1</v>
          </cell>
          <cell r="F537">
            <v>4</v>
          </cell>
        </row>
        <row r="538">
          <cell r="D538" t="str">
            <v>CIM Motor NeveRest 36</v>
          </cell>
          <cell r="E538">
            <v>1</v>
          </cell>
          <cell r="F538">
            <v>4</v>
          </cell>
        </row>
        <row r="539">
          <cell r="D539" t="str">
            <v>CIM Motor NeveRest 40</v>
          </cell>
          <cell r="E539">
            <v>1</v>
          </cell>
          <cell r="F539">
            <v>4</v>
          </cell>
        </row>
        <row r="540">
          <cell r="D540" t="str">
            <v>CIM Motor NeveRest 45</v>
          </cell>
          <cell r="E540">
            <v>1</v>
          </cell>
          <cell r="F540">
            <v>3</v>
          </cell>
        </row>
        <row r="541">
          <cell r="D541" t="str">
            <v>CIM Motor NeveRest 49</v>
          </cell>
          <cell r="E541">
            <v>1</v>
          </cell>
          <cell r="F541">
            <v>3</v>
          </cell>
        </row>
        <row r="542">
          <cell r="D542" t="str">
            <v>CIM Motor NeveRest 50</v>
          </cell>
          <cell r="E542">
            <v>1</v>
          </cell>
          <cell r="F542">
            <v>3</v>
          </cell>
        </row>
        <row r="543">
          <cell r="D543" t="str">
            <v>CIM Motor NeveRest 63</v>
          </cell>
          <cell r="E543">
            <v>0</v>
          </cell>
          <cell r="F543">
            <v>1</v>
          </cell>
        </row>
        <row r="544">
          <cell r="D544" t="str">
            <v>CIM Motor NeveRest 70</v>
          </cell>
          <cell r="E544">
            <v>0</v>
          </cell>
          <cell r="F544">
            <v>1</v>
          </cell>
        </row>
        <row r="545">
          <cell r="D545" t="str">
            <v>CIM Motor NeveRest 81</v>
          </cell>
          <cell r="E545">
            <v>0</v>
          </cell>
          <cell r="F545">
            <v>1</v>
          </cell>
        </row>
        <row r="546">
          <cell r="D546" t="str">
            <v>CIM Motor NeveRest 90</v>
          </cell>
          <cell r="E546">
            <v>0</v>
          </cell>
          <cell r="F546">
            <v>1</v>
          </cell>
        </row>
        <row r="547">
          <cell r="D547" t="str">
            <v>CIM Motor NeveRest 100</v>
          </cell>
          <cell r="E547">
            <v>0</v>
          </cell>
          <cell r="F547">
            <v>1</v>
          </cell>
        </row>
        <row r="548">
          <cell r="D548" t="str">
            <v>CIM Motor BB RS-550 9</v>
          </cell>
          <cell r="E548">
            <v>5</v>
          </cell>
          <cell r="F548">
            <v>7</v>
          </cell>
        </row>
        <row r="549">
          <cell r="D549" t="str">
            <v>CIM Motor BB RS-550 12</v>
          </cell>
          <cell r="E549">
            <v>4</v>
          </cell>
          <cell r="F549">
            <v>5</v>
          </cell>
        </row>
        <row r="550">
          <cell r="D550" t="str">
            <v>CIM Motor BB RS-550 15</v>
          </cell>
          <cell r="E550">
            <v>3</v>
          </cell>
          <cell r="F550">
            <v>5</v>
          </cell>
        </row>
        <row r="551">
          <cell r="D551" t="str">
            <v>CIM Motor BB RS-550 16</v>
          </cell>
          <cell r="E551">
            <v>3</v>
          </cell>
          <cell r="F551">
            <v>5</v>
          </cell>
        </row>
        <row r="552">
          <cell r="D552" t="str">
            <v>CIM Motor BB RS-550 20</v>
          </cell>
          <cell r="E552">
            <v>1</v>
          </cell>
          <cell r="F552">
            <v>4</v>
          </cell>
        </row>
        <row r="553">
          <cell r="D553" t="str">
            <v>CIM Motor BB RS-550 21</v>
          </cell>
          <cell r="E553">
            <v>1</v>
          </cell>
          <cell r="F553">
            <v>3</v>
          </cell>
        </row>
        <row r="554">
          <cell r="D554" t="str">
            <v>CIM Motor BB RS-550 25</v>
          </cell>
          <cell r="E554">
            <v>1</v>
          </cell>
          <cell r="F554">
            <v>3</v>
          </cell>
        </row>
        <row r="555">
          <cell r="D555" t="str">
            <v>CIM Motor BB RS-550 27</v>
          </cell>
          <cell r="E555">
            <v>1</v>
          </cell>
          <cell r="F555">
            <v>1</v>
          </cell>
        </row>
        <row r="556">
          <cell r="D556" t="str">
            <v>CIM Motor BB RS-550 28</v>
          </cell>
          <cell r="E556">
            <v>1</v>
          </cell>
          <cell r="F556">
            <v>1</v>
          </cell>
        </row>
        <row r="557">
          <cell r="D557" t="str">
            <v>CIM Motor BB RS-550 30</v>
          </cell>
          <cell r="E557">
            <v>1</v>
          </cell>
          <cell r="F557">
            <v>1</v>
          </cell>
        </row>
        <row r="558">
          <cell r="D558" t="str">
            <v>CIM Motor BB RS-550 35</v>
          </cell>
          <cell r="E558">
            <v>1</v>
          </cell>
          <cell r="F558">
            <v>1</v>
          </cell>
        </row>
        <row r="559">
          <cell r="D559" t="str">
            <v>CIM Motor BB RS-550 36</v>
          </cell>
          <cell r="E559">
            <v>1</v>
          </cell>
          <cell r="F559">
            <v>1</v>
          </cell>
        </row>
        <row r="560">
          <cell r="D560" t="str">
            <v>CIM Motor BB RS-550 40</v>
          </cell>
          <cell r="E560">
            <v>1</v>
          </cell>
          <cell r="F560">
            <v>1</v>
          </cell>
        </row>
        <row r="561">
          <cell r="D561" t="str">
            <v>CIM Motor BB RS-550 45</v>
          </cell>
          <cell r="E561">
            <v>1</v>
          </cell>
          <cell r="F561">
            <v>1</v>
          </cell>
        </row>
        <row r="562">
          <cell r="D562" t="str">
            <v>CIM Motor BB RS-550 49</v>
          </cell>
          <cell r="E562">
            <v>1</v>
          </cell>
          <cell r="F562">
            <v>1</v>
          </cell>
        </row>
        <row r="563">
          <cell r="D563" t="str">
            <v>CIM Motor BB RS-550 50</v>
          </cell>
          <cell r="E563">
            <v>1</v>
          </cell>
          <cell r="F563">
            <v>1</v>
          </cell>
        </row>
        <row r="564">
          <cell r="D564" t="str">
            <v>CIM Motor BB RS-550 63</v>
          </cell>
          <cell r="E564">
            <v>0</v>
          </cell>
          <cell r="F564">
            <v>1</v>
          </cell>
        </row>
        <row r="565">
          <cell r="D565" t="str">
            <v>CIM Motor BB RS-550 70</v>
          </cell>
          <cell r="E565">
            <v>0</v>
          </cell>
          <cell r="F565">
            <v>1</v>
          </cell>
        </row>
        <row r="566">
          <cell r="D566" t="str">
            <v>CIM Motor BB RS-550 81</v>
          </cell>
          <cell r="E566">
            <v>0</v>
          </cell>
          <cell r="F566">
            <v>0</v>
          </cell>
        </row>
        <row r="567">
          <cell r="D567" t="str">
            <v>CIM Motor BB RS-550 90</v>
          </cell>
          <cell r="E567">
            <v>0</v>
          </cell>
          <cell r="F567">
            <v>0</v>
          </cell>
        </row>
        <row r="568">
          <cell r="D568" t="str">
            <v>CIM Motor BB RS-550 100</v>
          </cell>
          <cell r="E568">
            <v>0</v>
          </cell>
          <cell r="F568">
            <v>0</v>
          </cell>
        </row>
        <row r="569">
          <cell r="D569" t="str">
            <v>CIM Motor BB RS-775 9</v>
          </cell>
          <cell r="E569">
            <v>4</v>
          </cell>
          <cell r="F569">
            <v>7</v>
          </cell>
        </row>
        <row r="570">
          <cell r="D570" t="str">
            <v>CIM Motor BB RS-775 12</v>
          </cell>
          <cell r="E570">
            <v>3</v>
          </cell>
          <cell r="F570">
            <v>5</v>
          </cell>
        </row>
        <row r="571">
          <cell r="D571" t="str">
            <v>CIM Motor BB RS-775 15</v>
          </cell>
          <cell r="E571">
            <v>1</v>
          </cell>
          <cell r="F571">
            <v>5</v>
          </cell>
        </row>
        <row r="572">
          <cell r="D572" t="str">
            <v>CIM Motor BB RS-775 16</v>
          </cell>
          <cell r="E572">
            <v>1</v>
          </cell>
          <cell r="F572">
            <v>5</v>
          </cell>
        </row>
        <row r="573">
          <cell r="D573" t="str">
            <v>CIM Motor BB RS-775 20</v>
          </cell>
          <cell r="E573">
            <v>1</v>
          </cell>
          <cell r="F573">
            <v>4</v>
          </cell>
        </row>
        <row r="574">
          <cell r="D574" t="str">
            <v>CIM Motor BB RS-775 21</v>
          </cell>
          <cell r="E574">
            <v>1</v>
          </cell>
          <cell r="F574">
            <v>3</v>
          </cell>
        </row>
        <row r="575">
          <cell r="D575" t="str">
            <v>CIM Motor BB RS-775 25</v>
          </cell>
          <cell r="E575">
            <v>1</v>
          </cell>
          <cell r="F575">
            <v>3</v>
          </cell>
        </row>
        <row r="576">
          <cell r="D576" t="str">
            <v>CIM Motor BB RS-775 27</v>
          </cell>
          <cell r="E576">
            <v>1</v>
          </cell>
          <cell r="F576">
            <v>1</v>
          </cell>
        </row>
        <row r="577">
          <cell r="D577" t="str">
            <v>CIM Motor BB RS-775 28</v>
          </cell>
          <cell r="E577">
            <v>1</v>
          </cell>
          <cell r="F577">
            <v>1</v>
          </cell>
        </row>
        <row r="578">
          <cell r="D578" t="str">
            <v>CIM Motor BB RS-775 30</v>
          </cell>
          <cell r="E578">
            <v>1</v>
          </cell>
          <cell r="F578">
            <v>1</v>
          </cell>
        </row>
        <row r="579">
          <cell r="D579" t="str">
            <v>CIM Motor BB RS-775 35</v>
          </cell>
          <cell r="E579">
            <v>1</v>
          </cell>
          <cell r="F579">
            <v>1</v>
          </cell>
        </row>
        <row r="580">
          <cell r="D580" t="str">
            <v>CIM Motor BB RS-775 36</v>
          </cell>
          <cell r="E580">
            <v>1</v>
          </cell>
          <cell r="F580">
            <v>1</v>
          </cell>
        </row>
        <row r="581">
          <cell r="D581" t="str">
            <v>CIM Motor BB RS-775 40</v>
          </cell>
          <cell r="E581">
            <v>0</v>
          </cell>
          <cell r="F581">
            <v>1</v>
          </cell>
        </row>
        <row r="582">
          <cell r="D582" t="str">
            <v>CIM Motor BB RS-775 45</v>
          </cell>
          <cell r="E582">
            <v>0</v>
          </cell>
          <cell r="F582">
            <v>1</v>
          </cell>
        </row>
        <row r="583">
          <cell r="D583" t="str">
            <v>CIM Motor BB RS-775 49</v>
          </cell>
          <cell r="E583">
            <v>0</v>
          </cell>
          <cell r="F583">
            <v>1</v>
          </cell>
        </row>
        <row r="584">
          <cell r="D584" t="str">
            <v>CIM Motor BB RS-775 50</v>
          </cell>
          <cell r="E584">
            <v>0</v>
          </cell>
          <cell r="F584">
            <v>1</v>
          </cell>
        </row>
        <row r="585">
          <cell r="D585" t="str">
            <v>CIM Motor BB RS-775 63</v>
          </cell>
          <cell r="E585">
            <v>0</v>
          </cell>
          <cell r="F585">
            <v>1</v>
          </cell>
        </row>
        <row r="586">
          <cell r="D586" t="str">
            <v>CIM Motor BB RS-775 70</v>
          </cell>
          <cell r="E586">
            <v>0</v>
          </cell>
          <cell r="F586">
            <v>1</v>
          </cell>
        </row>
        <row r="587">
          <cell r="D587" t="str">
            <v>CIM Motor BB RS-775 81</v>
          </cell>
          <cell r="E587">
            <v>0</v>
          </cell>
          <cell r="F587">
            <v>1</v>
          </cell>
        </row>
        <row r="588">
          <cell r="D588" t="str">
            <v>CIM Motor BB RS-775 90</v>
          </cell>
          <cell r="E588">
            <v>0</v>
          </cell>
          <cell r="F588">
            <v>1</v>
          </cell>
        </row>
        <row r="589">
          <cell r="D589" t="str">
            <v>CIM Motor BB RS-775 100</v>
          </cell>
          <cell r="E589">
            <v>0</v>
          </cell>
          <cell r="F589">
            <v>1</v>
          </cell>
        </row>
        <row r="590">
          <cell r="D590" t="str">
            <v>CIM Motor BAG 9</v>
          </cell>
          <cell r="E590">
            <v>7</v>
          </cell>
          <cell r="F590">
            <v>7</v>
          </cell>
        </row>
        <row r="591">
          <cell r="D591" t="str">
            <v>CIM Motor BAG 12</v>
          </cell>
          <cell r="E591">
            <v>5</v>
          </cell>
          <cell r="F591">
            <v>5</v>
          </cell>
        </row>
        <row r="592">
          <cell r="D592" t="str">
            <v>CIM Motor BAG 15</v>
          </cell>
          <cell r="E592">
            <v>4</v>
          </cell>
          <cell r="F592">
            <v>4</v>
          </cell>
        </row>
        <row r="593">
          <cell r="D593" t="str">
            <v>CIM Motor BAG 16</v>
          </cell>
          <cell r="E593">
            <v>4</v>
          </cell>
          <cell r="F593">
            <v>4</v>
          </cell>
        </row>
        <row r="594">
          <cell r="D594" t="str">
            <v>CIM Motor BAG 20</v>
          </cell>
          <cell r="E594">
            <v>3</v>
          </cell>
          <cell r="F594">
            <v>3</v>
          </cell>
        </row>
        <row r="595">
          <cell r="D595" t="str">
            <v>CIM Motor BAG 21</v>
          </cell>
          <cell r="E595">
            <v>3</v>
          </cell>
          <cell r="F595">
            <v>3</v>
          </cell>
        </row>
        <row r="596">
          <cell r="D596" t="str">
            <v>CIM Motor BAG 25</v>
          </cell>
          <cell r="E596">
            <v>1</v>
          </cell>
          <cell r="F596">
            <v>1</v>
          </cell>
        </row>
        <row r="597">
          <cell r="D597" t="str">
            <v>CIM Motor BAG 27</v>
          </cell>
          <cell r="E597">
            <v>1</v>
          </cell>
          <cell r="F597">
            <v>1</v>
          </cell>
        </row>
        <row r="598">
          <cell r="D598" t="str">
            <v>CIM Motor BAG 28</v>
          </cell>
          <cell r="E598">
            <v>1</v>
          </cell>
          <cell r="F598">
            <v>1</v>
          </cell>
        </row>
        <row r="599">
          <cell r="D599" t="str">
            <v>CIM Motor BAG 30</v>
          </cell>
          <cell r="E599">
            <v>1</v>
          </cell>
          <cell r="F599">
            <v>1</v>
          </cell>
        </row>
        <row r="600">
          <cell r="D600" t="str">
            <v>CIM Motor BAG 35</v>
          </cell>
          <cell r="E600">
            <v>1</v>
          </cell>
          <cell r="F600">
            <v>1</v>
          </cell>
        </row>
        <row r="601">
          <cell r="D601" t="str">
            <v>CIM Motor BAG 36</v>
          </cell>
          <cell r="E601">
            <v>1</v>
          </cell>
          <cell r="F601">
            <v>1</v>
          </cell>
        </row>
        <row r="602">
          <cell r="D602" t="str">
            <v>CIM Motor BAG 40</v>
          </cell>
          <cell r="E602">
            <v>1</v>
          </cell>
          <cell r="F602">
            <v>1</v>
          </cell>
        </row>
        <row r="603">
          <cell r="D603" t="str">
            <v>CIM Motor BAG 45</v>
          </cell>
          <cell r="E603">
            <v>1</v>
          </cell>
          <cell r="F603">
            <v>1</v>
          </cell>
        </row>
        <row r="604">
          <cell r="D604" t="str">
            <v>CIM Motor BAG 49</v>
          </cell>
          <cell r="E604">
            <v>1</v>
          </cell>
          <cell r="F604">
            <v>1</v>
          </cell>
        </row>
        <row r="605">
          <cell r="D605" t="str">
            <v>CIM Motor BAG 50</v>
          </cell>
          <cell r="E605">
            <v>1</v>
          </cell>
          <cell r="F605">
            <v>1</v>
          </cell>
        </row>
        <row r="606">
          <cell r="D606" t="str">
            <v>CIM Motor BAG 63</v>
          </cell>
          <cell r="E606">
            <v>1</v>
          </cell>
          <cell r="F606">
            <v>1</v>
          </cell>
        </row>
        <row r="607">
          <cell r="D607" t="str">
            <v>CIM Motor BAG 70</v>
          </cell>
          <cell r="E607">
            <v>1</v>
          </cell>
          <cell r="F607">
            <v>0</v>
          </cell>
        </row>
        <row r="608">
          <cell r="D608" t="str">
            <v>CIM Motor BAG 81</v>
          </cell>
          <cell r="E608">
            <v>1</v>
          </cell>
          <cell r="F608">
            <v>0</v>
          </cell>
        </row>
        <row r="609">
          <cell r="D609" t="str">
            <v>CIM Motor BAG 90</v>
          </cell>
          <cell r="E609">
            <v>1</v>
          </cell>
          <cell r="F609">
            <v>0</v>
          </cell>
        </row>
        <row r="610">
          <cell r="D610" t="str">
            <v>CIM Motor BAG 100</v>
          </cell>
          <cell r="E610">
            <v>1</v>
          </cell>
          <cell r="F610">
            <v>0</v>
          </cell>
        </row>
        <row r="611">
          <cell r="D611" t="str">
            <v>CIM Motor Mini CIM 9</v>
          </cell>
          <cell r="E611">
            <v>1</v>
          </cell>
          <cell r="F611">
            <v>0</v>
          </cell>
        </row>
        <row r="612">
          <cell r="D612" t="str">
            <v>CIM Motor Mini CIM 12</v>
          </cell>
          <cell r="E612">
            <v>1</v>
          </cell>
          <cell r="F612">
            <v>0</v>
          </cell>
        </row>
        <row r="613">
          <cell r="D613" t="str">
            <v>CIM Motor Mini CIM 15</v>
          </cell>
          <cell r="E613">
            <v>1</v>
          </cell>
          <cell r="F613">
            <v>0</v>
          </cell>
        </row>
        <row r="614">
          <cell r="D614" t="str">
            <v>CIM Motor Mini CIM 16</v>
          </cell>
          <cell r="E614">
            <v>1</v>
          </cell>
          <cell r="F614">
            <v>0</v>
          </cell>
        </row>
        <row r="615">
          <cell r="D615" t="str">
            <v>CIM Motor Mini CIM 20</v>
          </cell>
          <cell r="E615">
            <v>1</v>
          </cell>
          <cell r="F615">
            <v>0</v>
          </cell>
        </row>
        <row r="616">
          <cell r="D616" t="str">
            <v>CIM Motor Mini CIM 21</v>
          </cell>
          <cell r="E616">
            <v>1</v>
          </cell>
          <cell r="F616">
            <v>0</v>
          </cell>
        </row>
        <row r="617">
          <cell r="D617" t="str">
            <v>CIM Motor Mini CIM 25</v>
          </cell>
          <cell r="E617">
            <v>1</v>
          </cell>
          <cell r="F617">
            <v>0</v>
          </cell>
        </row>
        <row r="618">
          <cell r="D618" t="str">
            <v>CIM Motor Mini CIM 27</v>
          </cell>
          <cell r="E618">
            <v>1</v>
          </cell>
          <cell r="F618">
            <v>0</v>
          </cell>
        </row>
        <row r="619">
          <cell r="D619" t="str">
            <v>CIM Motor Mini CIM 28</v>
          </cell>
          <cell r="E619">
            <v>1</v>
          </cell>
          <cell r="F619">
            <v>0</v>
          </cell>
        </row>
        <row r="620">
          <cell r="D620" t="str">
            <v>CIM Motor Mini CIM 30</v>
          </cell>
          <cell r="E620">
            <v>1</v>
          </cell>
          <cell r="F620">
            <v>0</v>
          </cell>
        </row>
        <row r="621">
          <cell r="D621" t="str">
            <v>CIM Motor Mini CIM 35</v>
          </cell>
          <cell r="E621">
            <v>0</v>
          </cell>
          <cell r="F621">
            <v>0</v>
          </cell>
        </row>
        <row r="622">
          <cell r="D622" t="str">
            <v>CIM Motor Mini CIM 36</v>
          </cell>
          <cell r="E622">
            <v>0</v>
          </cell>
          <cell r="F622">
            <v>0</v>
          </cell>
        </row>
        <row r="623">
          <cell r="D623" t="str">
            <v>CIM Motor Mini CIM 40</v>
          </cell>
          <cell r="E623">
            <v>0</v>
          </cell>
          <cell r="F623">
            <v>0</v>
          </cell>
        </row>
        <row r="624">
          <cell r="D624" t="str">
            <v>CIM Motor Mini CIM 45</v>
          </cell>
          <cell r="E624">
            <v>0</v>
          </cell>
          <cell r="F624">
            <v>0</v>
          </cell>
        </row>
        <row r="625">
          <cell r="D625" t="str">
            <v>CIM Motor Mini CIM 49</v>
          </cell>
          <cell r="E625">
            <v>0</v>
          </cell>
          <cell r="F625">
            <v>0</v>
          </cell>
        </row>
        <row r="626">
          <cell r="D626" t="str">
            <v>CIM Motor Mini CIM 50</v>
          </cell>
          <cell r="E626">
            <v>0</v>
          </cell>
          <cell r="F626">
            <v>0</v>
          </cell>
        </row>
        <row r="627">
          <cell r="D627" t="str">
            <v>CIM Motor Mini CIM 63</v>
          </cell>
          <cell r="E627">
            <v>0</v>
          </cell>
          <cell r="F627">
            <v>0</v>
          </cell>
        </row>
        <row r="628">
          <cell r="D628" t="str">
            <v>CIM Motor Mini CIM 70</v>
          </cell>
          <cell r="E628">
            <v>0</v>
          </cell>
          <cell r="F628">
            <v>0</v>
          </cell>
        </row>
        <row r="629">
          <cell r="D629" t="str">
            <v>CIM Motor Mini CIM 81</v>
          </cell>
          <cell r="E629">
            <v>0</v>
          </cell>
          <cell r="F629">
            <v>0</v>
          </cell>
        </row>
        <row r="630">
          <cell r="D630" t="str">
            <v>CIM Motor Mini CIM 90</v>
          </cell>
          <cell r="E630">
            <v>0</v>
          </cell>
          <cell r="F630">
            <v>0</v>
          </cell>
        </row>
        <row r="631">
          <cell r="D631" t="str">
            <v>CIM Motor Mini CIM 100</v>
          </cell>
          <cell r="E631">
            <v>0</v>
          </cell>
          <cell r="F631">
            <v>0</v>
          </cell>
        </row>
        <row r="632">
          <cell r="D632" t="str">
            <v>CIM Motor CIM 9</v>
          </cell>
          <cell r="E632">
            <v>1</v>
          </cell>
          <cell r="F632">
            <v>0</v>
          </cell>
        </row>
        <row r="633">
          <cell r="D633" t="str">
            <v>CIM Motor CIM 12</v>
          </cell>
          <cell r="E633">
            <v>1</v>
          </cell>
          <cell r="F633">
            <v>0</v>
          </cell>
        </row>
        <row r="634">
          <cell r="D634" t="str">
            <v>CIM Motor CIM 15</v>
          </cell>
          <cell r="E634">
            <v>0</v>
          </cell>
          <cell r="F634">
            <v>0</v>
          </cell>
        </row>
        <row r="635">
          <cell r="D635" t="str">
            <v>CIM Motor CIM 16</v>
          </cell>
          <cell r="E635">
            <v>0</v>
          </cell>
          <cell r="F635">
            <v>0</v>
          </cell>
        </row>
        <row r="636">
          <cell r="D636" t="str">
            <v>CIM Motor CIM 20</v>
          </cell>
          <cell r="E636">
            <v>0</v>
          </cell>
          <cell r="F636">
            <v>0</v>
          </cell>
        </row>
        <row r="637">
          <cell r="D637" t="str">
            <v>CIM Motor CIM 21</v>
          </cell>
          <cell r="E637">
            <v>0</v>
          </cell>
          <cell r="F637">
            <v>0</v>
          </cell>
        </row>
        <row r="638">
          <cell r="D638" t="str">
            <v>CIM Motor CIM 25</v>
          </cell>
          <cell r="E638">
            <v>0</v>
          </cell>
          <cell r="F638">
            <v>0</v>
          </cell>
        </row>
        <row r="639">
          <cell r="D639" t="str">
            <v>CIM Motor CIM 27</v>
          </cell>
          <cell r="E639">
            <v>0</v>
          </cell>
          <cell r="F639">
            <v>0</v>
          </cell>
        </row>
        <row r="640">
          <cell r="D640" t="str">
            <v>CIM Motor CIM 28</v>
          </cell>
          <cell r="E640">
            <v>0</v>
          </cell>
          <cell r="F640">
            <v>0</v>
          </cell>
        </row>
        <row r="641">
          <cell r="D641" t="str">
            <v>CIM Motor CIM 30</v>
          </cell>
          <cell r="E641">
            <v>0</v>
          </cell>
          <cell r="F641">
            <v>0</v>
          </cell>
        </row>
        <row r="642">
          <cell r="D642" t="str">
            <v>CIM Motor CIM 35</v>
          </cell>
          <cell r="E642">
            <v>0</v>
          </cell>
          <cell r="F642">
            <v>0</v>
          </cell>
        </row>
        <row r="643">
          <cell r="D643" t="str">
            <v>CIM Motor CIM 36</v>
          </cell>
          <cell r="E643">
            <v>0</v>
          </cell>
          <cell r="F643">
            <v>0</v>
          </cell>
        </row>
        <row r="644">
          <cell r="D644" t="str">
            <v>CIM Motor CIM 40</v>
          </cell>
          <cell r="E644">
            <v>0</v>
          </cell>
          <cell r="F644">
            <v>0</v>
          </cell>
        </row>
        <row r="645">
          <cell r="D645" t="str">
            <v>CIM Motor CIM 45</v>
          </cell>
          <cell r="E645">
            <v>0</v>
          </cell>
          <cell r="F645">
            <v>0</v>
          </cell>
        </row>
        <row r="646">
          <cell r="D646" t="str">
            <v>CIM Motor CIM 49</v>
          </cell>
          <cell r="E646">
            <v>0</v>
          </cell>
          <cell r="F646">
            <v>0</v>
          </cell>
        </row>
        <row r="647">
          <cell r="D647" t="str">
            <v>CIM Motor CIM 50</v>
          </cell>
          <cell r="E647">
            <v>0</v>
          </cell>
          <cell r="F647">
            <v>0</v>
          </cell>
        </row>
        <row r="648">
          <cell r="D648" t="str">
            <v>CIM Motor CIM 63</v>
          </cell>
          <cell r="E648">
            <v>0</v>
          </cell>
          <cell r="F648">
            <v>0</v>
          </cell>
        </row>
        <row r="649">
          <cell r="D649" t="str">
            <v>CIM Motor CIM 70</v>
          </cell>
          <cell r="E649">
            <v>0</v>
          </cell>
          <cell r="F649">
            <v>0</v>
          </cell>
        </row>
        <row r="650">
          <cell r="D650" t="str">
            <v>CIM Motor CIM 81</v>
          </cell>
          <cell r="E650">
            <v>0</v>
          </cell>
          <cell r="F650">
            <v>0</v>
          </cell>
        </row>
        <row r="651">
          <cell r="D651" t="str">
            <v>CIM Motor CIM 90</v>
          </cell>
          <cell r="E651">
            <v>0</v>
          </cell>
          <cell r="F651">
            <v>0</v>
          </cell>
        </row>
        <row r="652">
          <cell r="D652" t="str">
            <v>CIM Motor CIM 100</v>
          </cell>
          <cell r="E652">
            <v>0</v>
          </cell>
          <cell r="F652">
            <v>0</v>
          </cell>
        </row>
        <row r="653">
          <cell r="D653" t="str">
            <v>CIM Motor 775pro 9</v>
          </cell>
          <cell r="E653">
            <v>4</v>
          </cell>
          <cell r="F653">
            <v>4</v>
          </cell>
        </row>
        <row r="654">
          <cell r="D654" t="str">
            <v>CIM Motor 775pro 12</v>
          </cell>
          <cell r="E654">
            <v>3</v>
          </cell>
          <cell r="F654">
            <v>3</v>
          </cell>
        </row>
        <row r="655">
          <cell r="D655" t="str">
            <v>CIM Motor 775pro 15</v>
          </cell>
          <cell r="E655">
            <v>1</v>
          </cell>
          <cell r="F655">
            <v>1</v>
          </cell>
        </row>
        <row r="656">
          <cell r="D656" t="str">
            <v>CIM Motor 775pro 16</v>
          </cell>
          <cell r="E656">
            <v>1</v>
          </cell>
          <cell r="F656">
            <v>1</v>
          </cell>
        </row>
        <row r="657">
          <cell r="D657" t="str">
            <v>CIM Motor 775pro 20</v>
          </cell>
          <cell r="E657">
            <v>1</v>
          </cell>
          <cell r="F657">
            <v>1</v>
          </cell>
        </row>
        <row r="658">
          <cell r="D658" t="str">
            <v>CIM Motor 775pro 21</v>
          </cell>
          <cell r="E658">
            <v>1</v>
          </cell>
          <cell r="F658">
            <v>1</v>
          </cell>
        </row>
        <row r="659">
          <cell r="D659" t="str">
            <v>CIM Motor 775pro 25</v>
          </cell>
          <cell r="E659">
            <v>1</v>
          </cell>
          <cell r="F659">
            <v>1</v>
          </cell>
        </row>
        <row r="660">
          <cell r="D660" t="str">
            <v>CIM Motor 775pro 27</v>
          </cell>
          <cell r="E660">
            <v>1</v>
          </cell>
          <cell r="F660">
            <v>1</v>
          </cell>
        </row>
        <row r="661">
          <cell r="D661" t="str">
            <v>CIM Motor 775pro 28</v>
          </cell>
          <cell r="E661">
            <v>1</v>
          </cell>
          <cell r="F661">
            <v>1</v>
          </cell>
        </row>
        <row r="662">
          <cell r="D662" t="str">
            <v>CIM Motor 775pro 30</v>
          </cell>
          <cell r="E662">
            <v>1</v>
          </cell>
          <cell r="F662">
            <v>1</v>
          </cell>
        </row>
        <row r="663">
          <cell r="D663" t="str">
            <v>CIM Motor 775pro 35</v>
          </cell>
          <cell r="E663">
            <v>1</v>
          </cell>
          <cell r="F663">
            <v>1</v>
          </cell>
        </row>
        <row r="664">
          <cell r="D664" t="str">
            <v>CIM Motor 775pro 36</v>
          </cell>
          <cell r="E664">
            <v>1</v>
          </cell>
          <cell r="F664">
            <v>1</v>
          </cell>
        </row>
        <row r="665">
          <cell r="D665" t="str">
            <v>CIM Motor 775pro 40</v>
          </cell>
          <cell r="E665">
            <v>1</v>
          </cell>
          <cell r="F665">
            <v>1</v>
          </cell>
        </row>
        <row r="666">
          <cell r="D666" t="str">
            <v>CIM Motor 775pro 45</v>
          </cell>
          <cell r="E666">
            <v>0</v>
          </cell>
          <cell r="F666">
            <v>0</v>
          </cell>
        </row>
        <row r="667">
          <cell r="D667" t="str">
            <v>CIM Motor 775pro 49</v>
          </cell>
          <cell r="E667">
            <v>0</v>
          </cell>
          <cell r="F667">
            <v>0</v>
          </cell>
        </row>
        <row r="668">
          <cell r="D668" t="str">
            <v>CIM Motor 775pro 50</v>
          </cell>
          <cell r="E668">
            <v>0</v>
          </cell>
          <cell r="F668">
            <v>0</v>
          </cell>
        </row>
        <row r="669">
          <cell r="D669" t="str">
            <v>CIM Motor 775pro 63</v>
          </cell>
          <cell r="E669">
            <v>0</v>
          </cell>
          <cell r="F669">
            <v>0</v>
          </cell>
        </row>
        <row r="670">
          <cell r="D670" t="str">
            <v>CIM Motor 775pro 70</v>
          </cell>
          <cell r="E670">
            <v>0</v>
          </cell>
          <cell r="F670">
            <v>0</v>
          </cell>
        </row>
        <row r="671">
          <cell r="D671" t="str">
            <v>CIM Motor 775pro 81</v>
          </cell>
          <cell r="E671">
            <v>0</v>
          </cell>
          <cell r="F671">
            <v>0</v>
          </cell>
        </row>
        <row r="672">
          <cell r="D672" t="str">
            <v>CIM Motor 775pro 90</v>
          </cell>
          <cell r="E672">
            <v>0</v>
          </cell>
          <cell r="F672">
            <v>0</v>
          </cell>
        </row>
        <row r="673">
          <cell r="D673" t="str">
            <v>CIM Motor 775pro 100</v>
          </cell>
          <cell r="E673">
            <v>0</v>
          </cell>
          <cell r="F673">
            <v>0</v>
          </cell>
        </row>
        <row r="674">
          <cell r="D674" t="str">
            <v>Female AM 9015 9</v>
          </cell>
          <cell r="E674">
            <v>10</v>
          </cell>
          <cell r="F674">
            <v>10</v>
          </cell>
        </row>
        <row r="675">
          <cell r="D675" t="str">
            <v>Female AM 9015 12</v>
          </cell>
          <cell r="E675">
            <v>10</v>
          </cell>
          <cell r="F675">
            <v>7</v>
          </cell>
        </row>
        <row r="676">
          <cell r="D676" t="str">
            <v>Female AM 9015 15</v>
          </cell>
          <cell r="E676">
            <v>10</v>
          </cell>
          <cell r="F676">
            <v>5</v>
          </cell>
        </row>
        <row r="677">
          <cell r="D677" t="str">
            <v>Female AM 9015 16</v>
          </cell>
          <cell r="E677">
            <v>10</v>
          </cell>
          <cell r="F677">
            <v>5</v>
          </cell>
        </row>
        <row r="678">
          <cell r="D678" t="str">
            <v>Female AM 9015 20</v>
          </cell>
          <cell r="E678">
            <v>10</v>
          </cell>
          <cell r="F678">
            <v>4</v>
          </cell>
        </row>
        <row r="679">
          <cell r="D679" t="str">
            <v>Female AM 9015 21</v>
          </cell>
          <cell r="E679">
            <v>10</v>
          </cell>
          <cell r="F679">
            <v>4</v>
          </cell>
        </row>
        <row r="680">
          <cell r="D680" t="str">
            <v>Female AM 9015 25</v>
          </cell>
          <cell r="E680">
            <v>7</v>
          </cell>
          <cell r="F680">
            <v>3</v>
          </cell>
        </row>
        <row r="681">
          <cell r="D681" t="str">
            <v>Female AM 9015 27</v>
          </cell>
          <cell r="E681">
            <v>7</v>
          </cell>
          <cell r="F681">
            <v>3</v>
          </cell>
        </row>
        <row r="682">
          <cell r="D682" t="str">
            <v>Female AM 9015 28</v>
          </cell>
          <cell r="E682">
            <v>7</v>
          </cell>
          <cell r="F682">
            <v>3</v>
          </cell>
        </row>
        <row r="683">
          <cell r="D683" t="str">
            <v>Female AM 9015 30</v>
          </cell>
          <cell r="E683">
            <v>7</v>
          </cell>
          <cell r="F683">
            <v>3</v>
          </cell>
        </row>
        <row r="684">
          <cell r="D684" t="str">
            <v>Female AM 9015 35</v>
          </cell>
          <cell r="E684">
            <v>5</v>
          </cell>
          <cell r="F684">
            <v>1</v>
          </cell>
        </row>
        <row r="685">
          <cell r="D685" t="str">
            <v>Female AM 9015 36</v>
          </cell>
          <cell r="E685">
            <v>5</v>
          </cell>
          <cell r="F685">
            <v>1</v>
          </cell>
        </row>
        <row r="686">
          <cell r="D686" t="str">
            <v>Female AM 9015 40</v>
          </cell>
          <cell r="E686">
            <v>5</v>
          </cell>
          <cell r="F686">
            <v>1</v>
          </cell>
        </row>
        <row r="687">
          <cell r="D687" t="str">
            <v>Female AM 9015 45</v>
          </cell>
          <cell r="E687">
            <v>5</v>
          </cell>
          <cell r="F687">
            <v>1</v>
          </cell>
        </row>
        <row r="688">
          <cell r="D688" t="str">
            <v>Female AM 9015 49</v>
          </cell>
          <cell r="E688">
            <v>5</v>
          </cell>
          <cell r="F688">
            <v>1</v>
          </cell>
        </row>
        <row r="689">
          <cell r="D689" t="str">
            <v>Female AM 9015 50</v>
          </cell>
          <cell r="E689">
            <v>5</v>
          </cell>
          <cell r="F689">
            <v>1</v>
          </cell>
        </row>
        <row r="690">
          <cell r="D690" t="str">
            <v>Female AM 9015 63</v>
          </cell>
          <cell r="E690">
            <v>5</v>
          </cell>
          <cell r="F690">
            <v>1</v>
          </cell>
        </row>
        <row r="691">
          <cell r="D691" t="str">
            <v>Female AM 9015 70</v>
          </cell>
          <cell r="E691">
            <v>4</v>
          </cell>
          <cell r="F691">
            <v>1</v>
          </cell>
        </row>
        <row r="692">
          <cell r="D692" t="str">
            <v>Female AM 9015 81</v>
          </cell>
          <cell r="E692">
            <v>4</v>
          </cell>
          <cell r="F692">
            <v>1</v>
          </cell>
        </row>
        <row r="693">
          <cell r="D693" t="str">
            <v>Female AM 9015 90</v>
          </cell>
          <cell r="E693">
            <v>3</v>
          </cell>
          <cell r="F693">
            <v>1</v>
          </cell>
        </row>
        <row r="694">
          <cell r="D694" t="str">
            <v>Female AM 9015 100</v>
          </cell>
          <cell r="E694">
            <v>3</v>
          </cell>
          <cell r="F694">
            <v>0</v>
          </cell>
        </row>
        <row r="695">
          <cell r="D695" t="str">
            <v>Female NeveRest 9</v>
          </cell>
          <cell r="E695">
            <v>10</v>
          </cell>
          <cell r="F695">
            <v>10</v>
          </cell>
        </row>
        <row r="696">
          <cell r="D696" t="str">
            <v>Female NeveRest 12</v>
          </cell>
          <cell r="E696">
            <v>10</v>
          </cell>
          <cell r="F696">
            <v>10</v>
          </cell>
        </row>
        <row r="697">
          <cell r="D697" t="str">
            <v>Female NeveRest 15</v>
          </cell>
          <cell r="E697">
            <v>10</v>
          </cell>
          <cell r="F697">
            <v>10</v>
          </cell>
        </row>
        <row r="698">
          <cell r="D698" t="str">
            <v>Female NeveRest 16</v>
          </cell>
          <cell r="E698">
            <v>10</v>
          </cell>
          <cell r="F698">
            <v>10</v>
          </cell>
        </row>
        <row r="699">
          <cell r="D699" t="str">
            <v>Female NeveRest 20</v>
          </cell>
          <cell r="E699">
            <v>10</v>
          </cell>
          <cell r="F699">
            <v>10</v>
          </cell>
        </row>
        <row r="700">
          <cell r="D700" t="str">
            <v>Female NeveRest 21</v>
          </cell>
          <cell r="E700">
            <v>9</v>
          </cell>
          <cell r="F700">
            <v>9</v>
          </cell>
        </row>
        <row r="701">
          <cell r="D701" t="str">
            <v>Female NeveRest 25</v>
          </cell>
          <cell r="E701">
            <v>7</v>
          </cell>
          <cell r="F701">
            <v>7</v>
          </cell>
        </row>
        <row r="702">
          <cell r="D702" t="str">
            <v>Female NeveRest 27</v>
          </cell>
          <cell r="E702">
            <v>7</v>
          </cell>
          <cell r="F702">
            <v>7</v>
          </cell>
        </row>
        <row r="703">
          <cell r="D703" t="str">
            <v>Female NeveRest 28</v>
          </cell>
          <cell r="E703">
            <v>7</v>
          </cell>
          <cell r="F703">
            <v>7</v>
          </cell>
        </row>
        <row r="704">
          <cell r="D704" t="str">
            <v>Female NeveRest 30</v>
          </cell>
          <cell r="E704">
            <v>5</v>
          </cell>
          <cell r="F704">
            <v>5</v>
          </cell>
        </row>
        <row r="705">
          <cell r="D705" t="str">
            <v>Female NeveRest 35</v>
          </cell>
          <cell r="E705">
            <v>5</v>
          </cell>
          <cell r="F705">
            <v>5</v>
          </cell>
        </row>
        <row r="706">
          <cell r="D706" t="str">
            <v>Female NeveRest 36</v>
          </cell>
          <cell r="E706">
            <v>5</v>
          </cell>
          <cell r="F706">
            <v>5</v>
          </cell>
        </row>
        <row r="707">
          <cell r="D707" t="str">
            <v>Female NeveRest 40</v>
          </cell>
          <cell r="E707">
            <v>5</v>
          </cell>
          <cell r="F707">
            <v>5</v>
          </cell>
        </row>
        <row r="708">
          <cell r="D708" t="str">
            <v>Female NeveRest 45</v>
          </cell>
          <cell r="E708">
            <v>5</v>
          </cell>
          <cell r="F708">
            <v>4</v>
          </cell>
        </row>
        <row r="709">
          <cell r="D709" t="str">
            <v>Female NeveRest 49</v>
          </cell>
          <cell r="E709">
            <v>5</v>
          </cell>
          <cell r="F709">
            <v>4</v>
          </cell>
        </row>
        <row r="710">
          <cell r="D710" t="str">
            <v>Female NeveRest 50</v>
          </cell>
          <cell r="E710">
            <v>5</v>
          </cell>
          <cell r="F710">
            <v>4</v>
          </cell>
        </row>
        <row r="711">
          <cell r="D711" t="str">
            <v>Female NeveRest 63</v>
          </cell>
          <cell r="E711">
            <v>4</v>
          </cell>
          <cell r="F711">
            <v>3</v>
          </cell>
        </row>
        <row r="712">
          <cell r="D712" t="str">
            <v>Female NeveRest 70</v>
          </cell>
          <cell r="E712">
            <v>4</v>
          </cell>
          <cell r="F712">
            <v>1</v>
          </cell>
        </row>
        <row r="713">
          <cell r="D713" t="str">
            <v>Female NeveRest 81</v>
          </cell>
          <cell r="E713">
            <v>3</v>
          </cell>
          <cell r="F713">
            <v>1</v>
          </cell>
        </row>
        <row r="714">
          <cell r="D714" t="str">
            <v>Female NeveRest 90</v>
          </cell>
          <cell r="E714">
            <v>3</v>
          </cell>
          <cell r="F714">
            <v>1</v>
          </cell>
        </row>
        <row r="715">
          <cell r="D715" t="str">
            <v>Female NeveRest 100</v>
          </cell>
          <cell r="E715">
            <v>3</v>
          </cell>
          <cell r="F715">
            <v>1</v>
          </cell>
        </row>
        <row r="716">
          <cell r="D716" t="str">
            <v>Female BB RS-550 9</v>
          </cell>
          <cell r="E716">
            <v>10</v>
          </cell>
          <cell r="F716">
            <v>10</v>
          </cell>
        </row>
        <row r="717">
          <cell r="D717" t="str">
            <v>Female BB RS-550 12</v>
          </cell>
          <cell r="E717">
            <v>10</v>
          </cell>
          <cell r="F717">
            <v>7</v>
          </cell>
        </row>
        <row r="718">
          <cell r="D718" t="str">
            <v>Female BB RS-550 15</v>
          </cell>
          <cell r="E718">
            <v>10</v>
          </cell>
          <cell r="F718">
            <v>5</v>
          </cell>
        </row>
        <row r="719">
          <cell r="D719" t="str">
            <v>Female BB RS-550 16</v>
          </cell>
          <cell r="E719">
            <v>10</v>
          </cell>
          <cell r="F719">
            <v>5</v>
          </cell>
        </row>
        <row r="720">
          <cell r="D720" t="str">
            <v>Female BB RS-550 20</v>
          </cell>
          <cell r="E720">
            <v>10</v>
          </cell>
          <cell r="F720">
            <v>4</v>
          </cell>
        </row>
        <row r="721">
          <cell r="D721" t="str">
            <v>Female BB RS-550 21</v>
          </cell>
          <cell r="E721">
            <v>9</v>
          </cell>
          <cell r="F721">
            <v>4</v>
          </cell>
        </row>
        <row r="722">
          <cell r="D722" t="str">
            <v>Female BB RS-550 25</v>
          </cell>
          <cell r="E722">
            <v>7</v>
          </cell>
          <cell r="F722">
            <v>3</v>
          </cell>
        </row>
        <row r="723">
          <cell r="D723" t="str">
            <v>Female BB RS-550 27</v>
          </cell>
          <cell r="E723">
            <v>7</v>
          </cell>
          <cell r="F723">
            <v>3</v>
          </cell>
        </row>
        <row r="724">
          <cell r="D724" t="str">
            <v>Female BB RS-550 28</v>
          </cell>
          <cell r="E724">
            <v>7</v>
          </cell>
          <cell r="F724">
            <v>3</v>
          </cell>
        </row>
        <row r="725">
          <cell r="D725" t="str">
            <v>Female BB RS-550 30</v>
          </cell>
          <cell r="E725">
            <v>5</v>
          </cell>
          <cell r="F725">
            <v>3</v>
          </cell>
        </row>
        <row r="726">
          <cell r="D726" t="str">
            <v>Female BB RS-550 35</v>
          </cell>
          <cell r="E726">
            <v>5</v>
          </cell>
          <cell r="F726">
            <v>1</v>
          </cell>
        </row>
        <row r="727">
          <cell r="D727" t="str">
            <v>Female BB RS-550 36</v>
          </cell>
          <cell r="E727">
            <v>5</v>
          </cell>
          <cell r="F727">
            <v>1</v>
          </cell>
        </row>
        <row r="728">
          <cell r="D728" t="str">
            <v>Female BB RS-550 40</v>
          </cell>
          <cell r="E728">
            <v>5</v>
          </cell>
          <cell r="F728">
            <v>1</v>
          </cell>
        </row>
        <row r="729">
          <cell r="D729" t="str">
            <v>Female BB RS-550 45</v>
          </cell>
          <cell r="E729">
            <v>5</v>
          </cell>
          <cell r="F729">
            <v>1</v>
          </cell>
        </row>
        <row r="730">
          <cell r="D730" t="str">
            <v>Female BB RS-550 49</v>
          </cell>
          <cell r="E730">
            <v>5</v>
          </cell>
          <cell r="F730">
            <v>1</v>
          </cell>
        </row>
        <row r="731">
          <cell r="D731" t="str">
            <v>Female BB RS-550 50</v>
          </cell>
          <cell r="E731">
            <v>5</v>
          </cell>
          <cell r="F731">
            <v>1</v>
          </cell>
        </row>
        <row r="732">
          <cell r="D732" t="str">
            <v>Female BB RS-550 63</v>
          </cell>
          <cell r="E732">
            <v>4</v>
          </cell>
          <cell r="F732">
            <v>1</v>
          </cell>
        </row>
        <row r="733">
          <cell r="D733" t="str">
            <v>Female BB RS-550 70</v>
          </cell>
          <cell r="E733">
            <v>4</v>
          </cell>
          <cell r="F733">
            <v>1</v>
          </cell>
        </row>
        <row r="734">
          <cell r="D734" t="str">
            <v>Female BB RS-550 81</v>
          </cell>
          <cell r="E734">
            <v>3</v>
          </cell>
          <cell r="F734">
            <v>1</v>
          </cell>
        </row>
        <row r="735">
          <cell r="D735" t="str">
            <v>Female BB RS-550 90</v>
          </cell>
          <cell r="E735">
            <v>3</v>
          </cell>
          <cell r="F735">
            <v>1</v>
          </cell>
        </row>
        <row r="736">
          <cell r="D736" t="str">
            <v>Female BB RS-550 100</v>
          </cell>
          <cell r="E736">
            <v>3</v>
          </cell>
          <cell r="F736">
            <v>0</v>
          </cell>
        </row>
        <row r="737">
          <cell r="D737" t="str">
            <v>Female BB RS-775 9</v>
          </cell>
          <cell r="E737">
            <v>10</v>
          </cell>
          <cell r="F737">
            <v>10</v>
          </cell>
        </row>
        <row r="738">
          <cell r="D738" t="str">
            <v>Female BB RS-775 12</v>
          </cell>
          <cell r="E738">
            <v>10</v>
          </cell>
          <cell r="F738">
            <v>10</v>
          </cell>
        </row>
        <row r="739">
          <cell r="D739" t="str">
            <v>Female BB RS-775 15</v>
          </cell>
          <cell r="E739">
            <v>7</v>
          </cell>
          <cell r="F739">
            <v>7</v>
          </cell>
        </row>
        <row r="740">
          <cell r="D740" t="str">
            <v>Female BB RS-775 16</v>
          </cell>
          <cell r="E740">
            <v>7</v>
          </cell>
          <cell r="F740">
            <v>7</v>
          </cell>
        </row>
        <row r="741">
          <cell r="D741" t="str">
            <v>Female BB RS-775 20</v>
          </cell>
          <cell r="E741">
            <v>5</v>
          </cell>
          <cell r="F741">
            <v>5</v>
          </cell>
        </row>
        <row r="742">
          <cell r="D742" t="str">
            <v>Female BB RS-775 21</v>
          </cell>
          <cell r="E742">
            <v>5</v>
          </cell>
          <cell r="F742">
            <v>5</v>
          </cell>
        </row>
        <row r="743">
          <cell r="D743" t="str">
            <v>Female BB RS-775 25</v>
          </cell>
          <cell r="E743">
            <v>5</v>
          </cell>
          <cell r="F743">
            <v>5</v>
          </cell>
        </row>
        <row r="744">
          <cell r="D744" t="str">
            <v>Female BB RS-775 27</v>
          </cell>
          <cell r="E744">
            <v>5</v>
          </cell>
          <cell r="F744">
            <v>4</v>
          </cell>
        </row>
        <row r="745">
          <cell r="D745" t="str">
            <v>Female BB RS-775 28</v>
          </cell>
          <cell r="E745">
            <v>5</v>
          </cell>
          <cell r="F745">
            <v>4</v>
          </cell>
        </row>
        <row r="746">
          <cell r="D746" t="str">
            <v>Female BB RS-775 30</v>
          </cell>
          <cell r="E746">
            <v>5</v>
          </cell>
          <cell r="F746">
            <v>4</v>
          </cell>
        </row>
        <row r="747">
          <cell r="D747" t="str">
            <v>Female BB RS-775 35</v>
          </cell>
          <cell r="E747">
            <v>5</v>
          </cell>
          <cell r="F747">
            <v>3</v>
          </cell>
        </row>
        <row r="748">
          <cell r="D748" t="str">
            <v>Female BB RS-775 36</v>
          </cell>
          <cell r="E748">
            <v>5</v>
          </cell>
          <cell r="F748">
            <v>3</v>
          </cell>
        </row>
        <row r="749">
          <cell r="D749" t="str">
            <v>Female BB RS-775 40</v>
          </cell>
          <cell r="E749">
            <v>4</v>
          </cell>
          <cell r="F749">
            <v>3</v>
          </cell>
        </row>
        <row r="750">
          <cell r="D750" t="str">
            <v>Female BB RS-775 45</v>
          </cell>
          <cell r="E750">
            <v>4</v>
          </cell>
          <cell r="F750">
            <v>1</v>
          </cell>
        </row>
        <row r="751">
          <cell r="D751" t="str">
            <v>Female BB RS-775 49</v>
          </cell>
          <cell r="E751">
            <v>4</v>
          </cell>
          <cell r="F751">
            <v>1</v>
          </cell>
        </row>
        <row r="752">
          <cell r="D752" t="str">
            <v>Female BB RS-775 50</v>
          </cell>
          <cell r="E752">
            <v>3</v>
          </cell>
          <cell r="F752">
            <v>1</v>
          </cell>
        </row>
        <row r="753">
          <cell r="D753" t="str">
            <v>Female BB RS-775 63</v>
          </cell>
          <cell r="E753">
            <v>3</v>
          </cell>
          <cell r="F753">
            <v>1</v>
          </cell>
        </row>
        <row r="754">
          <cell r="D754" t="str">
            <v>Female BB RS-775 70</v>
          </cell>
          <cell r="E754">
            <v>1</v>
          </cell>
          <cell r="F754">
            <v>1</v>
          </cell>
        </row>
        <row r="755">
          <cell r="D755" t="str">
            <v>Female BB RS-775 81</v>
          </cell>
          <cell r="E755">
            <v>1</v>
          </cell>
          <cell r="F755">
            <v>1</v>
          </cell>
        </row>
        <row r="756">
          <cell r="D756" t="str">
            <v>Female BB RS-775 90</v>
          </cell>
          <cell r="E756">
            <v>1</v>
          </cell>
          <cell r="F756">
            <v>1</v>
          </cell>
        </row>
        <row r="757">
          <cell r="D757" t="str">
            <v>Female BB RS-775 100</v>
          </cell>
          <cell r="E757">
            <v>1</v>
          </cell>
          <cell r="F757">
            <v>1</v>
          </cell>
        </row>
        <row r="758">
          <cell r="D758" t="str">
            <v>Female BAG 9</v>
          </cell>
          <cell r="E758">
            <v>10</v>
          </cell>
          <cell r="F758">
            <v>9</v>
          </cell>
        </row>
        <row r="759">
          <cell r="D759" t="str">
            <v>Female BAG 12</v>
          </cell>
          <cell r="E759">
            <v>10</v>
          </cell>
          <cell r="F759">
            <v>5</v>
          </cell>
        </row>
        <row r="760">
          <cell r="D760" t="str">
            <v>Female BAG 15</v>
          </cell>
          <cell r="E760">
            <v>10</v>
          </cell>
          <cell r="F760">
            <v>5</v>
          </cell>
        </row>
        <row r="761">
          <cell r="D761" t="str">
            <v>Female BAG 16</v>
          </cell>
          <cell r="E761">
            <v>10</v>
          </cell>
          <cell r="F761">
            <v>5</v>
          </cell>
        </row>
        <row r="762">
          <cell r="D762" t="str">
            <v>Female BAG 20</v>
          </cell>
          <cell r="E762">
            <v>10</v>
          </cell>
          <cell r="F762">
            <v>4</v>
          </cell>
        </row>
        <row r="763">
          <cell r="D763" t="str">
            <v>Female BAG 21</v>
          </cell>
          <cell r="E763">
            <v>10</v>
          </cell>
          <cell r="F763">
            <v>3</v>
          </cell>
        </row>
        <row r="764">
          <cell r="D764" t="str">
            <v>Female BAG 25</v>
          </cell>
          <cell r="E764">
            <v>7</v>
          </cell>
          <cell r="F764">
            <v>3</v>
          </cell>
        </row>
        <row r="765">
          <cell r="D765" t="str">
            <v>Female BAG 27</v>
          </cell>
          <cell r="E765">
            <v>7</v>
          </cell>
          <cell r="F765">
            <v>3</v>
          </cell>
        </row>
        <row r="766">
          <cell r="D766" t="str">
            <v>Female BAG 28</v>
          </cell>
          <cell r="E766">
            <v>7</v>
          </cell>
          <cell r="F766">
            <v>1</v>
          </cell>
        </row>
        <row r="767">
          <cell r="D767" t="str">
            <v>Female BAG 30</v>
          </cell>
          <cell r="E767">
            <v>7</v>
          </cell>
          <cell r="F767">
            <v>1</v>
          </cell>
        </row>
        <row r="768">
          <cell r="D768" t="str">
            <v>Female BAG 35</v>
          </cell>
          <cell r="E768">
            <v>5</v>
          </cell>
          <cell r="F768">
            <v>1</v>
          </cell>
        </row>
        <row r="769">
          <cell r="D769" t="str">
            <v>Female BAG 36</v>
          </cell>
          <cell r="E769">
            <v>5</v>
          </cell>
          <cell r="F769">
            <v>1</v>
          </cell>
        </row>
        <row r="770">
          <cell r="D770" t="str">
            <v>Female BAG 40</v>
          </cell>
          <cell r="E770">
            <v>5</v>
          </cell>
          <cell r="F770">
            <v>1</v>
          </cell>
        </row>
        <row r="771">
          <cell r="D771" t="str">
            <v>Female BAG 45</v>
          </cell>
          <cell r="E771">
            <v>5</v>
          </cell>
          <cell r="F771">
            <v>1</v>
          </cell>
        </row>
        <row r="772">
          <cell r="D772" t="str">
            <v>Female BAG 49</v>
          </cell>
          <cell r="E772">
            <v>5</v>
          </cell>
          <cell r="F772">
            <v>1</v>
          </cell>
        </row>
        <row r="773">
          <cell r="D773" t="str">
            <v>Female BAG 50</v>
          </cell>
          <cell r="E773">
            <v>5</v>
          </cell>
          <cell r="F773">
            <v>1</v>
          </cell>
        </row>
        <row r="774">
          <cell r="D774" t="str">
            <v>Female BAG 63</v>
          </cell>
          <cell r="E774">
            <v>5</v>
          </cell>
          <cell r="F774">
            <v>1</v>
          </cell>
        </row>
        <row r="775">
          <cell r="D775" t="str">
            <v>Female BAG 70</v>
          </cell>
          <cell r="E775">
            <v>4</v>
          </cell>
          <cell r="F775">
            <v>1</v>
          </cell>
        </row>
        <row r="776">
          <cell r="D776" t="str">
            <v>Female BAG 81</v>
          </cell>
          <cell r="E776">
            <v>4</v>
          </cell>
          <cell r="F776">
            <v>1</v>
          </cell>
        </row>
        <row r="777">
          <cell r="D777" t="str">
            <v>Female BAG 90</v>
          </cell>
          <cell r="E777">
            <v>3</v>
          </cell>
          <cell r="F777">
            <v>0</v>
          </cell>
        </row>
        <row r="778">
          <cell r="D778" t="str">
            <v>Female BAG 100</v>
          </cell>
          <cell r="E778">
            <v>3</v>
          </cell>
          <cell r="F778">
            <v>0</v>
          </cell>
        </row>
        <row r="779">
          <cell r="D779" t="str">
            <v>Female Mini CIM 9</v>
          </cell>
          <cell r="E779">
            <v>7</v>
          </cell>
          <cell r="F779">
            <v>0</v>
          </cell>
        </row>
        <row r="780">
          <cell r="D780" t="str">
            <v>Female Mini CIM 12</v>
          </cell>
          <cell r="E780">
            <v>5</v>
          </cell>
          <cell r="F780">
            <v>0</v>
          </cell>
        </row>
        <row r="781">
          <cell r="D781" t="str">
            <v>Female Mini CIM 15</v>
          </cell>
          <cell r="E781">
            <v>5</v>
          </cell>
          <cell r="F781">
            <v>0</v>
          </cell>
        </row>
        <row r="782">
          <cell r="D782" t="str">
            <v>Female Mini CIM 16</v>
          </cell>
          <cell r="E782">
            <v>5</v>
          </cell>
          <cell r="F782">
            <v>0</v>
          </cell>
        </row>
        <row r="783">
          <cell r="D783" t="str">
            <v>Female Mini CIM 20</v>
          </cell>
          <cell r="E783">
            <v>5</v>
          </cell>
          <cell r="F783">
            <v>0</v>
          </cell>
        </row>
        <row r="784">
          <cell r="D784" t="str">
            <v>Female Mini CIM 21</v>
          </cell>
          <cell r="E784">
            <v>5</v>
          </cell>
          <cell r="F784">
            <v>0</v>
          </cell>
        </row>
        <row r="785">
          <cell r="D785" t="str">
            <v>Female Mini CIM 25</v>
          </cell>
          <cell r="E785">
            <v>4</v>
          </cell>
          <cell r="F785">
            <v>0</v>
          </cell>
        </row>
        <row r="786">
          <cell r="D786" t="str">
            <v>Female Mini CIM 27</v>
          </cell>
          <cell r="E786">
            <v>4</v>
          </cell>
          <cell r="F786">
            <v>0</v>
          </cell>
        </row>
        <row r="787">
          <cell r="D787" t="str">
            <v>Female Mini CIM 28</v>
          </cell>
          <cell r="E787">
            <v>3</v>
          </cell>
          <cell r="F787">
            <v>0</v>
          </cell>
        </row>
        <row r="788">
          <cell r="D788" t="str">
            <v>Female Mini CIM 30</v>
          </cell>
          <cell r="E788">
            <v>3</v>
          </cell>
          <cell r="F788">
            <v>0</v>
          </cell>
        </row>
        <row r="789">
          <cell r="D789" t="str">
            <v>Female Mini CIM 35</v>
          </cell>
          <cell r="E789">
            <v>3</v>
          </cell>
          <cell r="F789">
            <v>0</v>
          </cell>
        </row>
        <row r="790">
          <cell r="D790" t="str">
            <v>Female Mini CIM 36</v>
          </cell>
          <cell r="E790">
            <v>1</v>
          </cell>
          <cell r="F790">
            <v>0</v>
          </cell>
        </row>
        <row r="791">
          <cell r="D791" t="str">
            <v>Female Mini CIM 40</v>
          </cell>
          <cell r="E791">
            <v>1</v>
          </cell>
          <cell r="F791">
            <v>0</v>
          </cell>
        </row>
        <row r="792">
          <cell r="D792" t="str">
            <v>Female Mini CIM 45</v>
          </cell>
          <cell r="E792">
            <v>1</v>
          </cell>
          <cell r="F792">
            <v>0</v>
          </cell>
        </row>
        <row r="793">
          <cell r="D793" t="str">
            <v>Female Mini CIM 49</v>
          </cell>
          <cell r="E793">
            <v>1</v>
          </cell>
          <cell r="F793">
            <v>0</v>
          </cell>
        </row>
        <row r="794">
          <cell r="D794" t="str">
            <v>Female Mini CIM 50</v>
          </cell>
          <cell r="E794">
            <v>1</v>
          </cell>
          <cell r="F794">
            <v>0</v>
          </cell>
        </row>
        <row r="795">
          <cell r="D795" t="str">
            <v>Female Mini CIM 63</v>
          </cell>
          <cell r="E795">
            <v>1</v>
          </cell>
          <cell r="F795">
            <v>0</v>
          </cell>
        </row>
        <row r="796">
          <cell r="D796" t="str">
            <v>Female Mini CIM 70</v>
          </cell>
          <cell r="E796">
            <v>0</v>
          </cell>
          <cell r="F796">
            <v>0</v>
          </cell>
        </row>
        <row r="797">
          <cell r="D797" t="str">
            <v>Female Mini CIM 81</v>
          </cell>
          <cell r="E797">
            <v>0</v>
          </cell>
          <cell r="F797">
            <v>0</v>
          </cell>
        </row>
        <row r="798">
          <cell r="D798" t="str">
            <v>Female Mini CIM 90</v>
          </cell>
          <cell r="E798">
            <v>0</v>
          </cell>
          <cell r="F798">
            <v>0</v>
          </cell>
        </row>
        <row r="799">
          <cell r="D799" t="str">
            <v>Female Mini CIM 100</v>
          </cell>
          <cell r="E799">
            <v>0</v>
          </cell>
          <cell r="F799">
            <v>0</v>
          </cell>
        </row>
        <row r="800">
          <cell r="D800" t="str">
            <v>Female CIM 9</v>
          </cell>
          <cell r="E800">
            <v>5</v>
          </cell>
          <cell r="F800">
            <v>0</v>
          </cell>
        </row>
        <row r="801">
          <cell r="D801" t="str">
            <v>Female CIM 12</v>
          </cell>
          <cell r="E801">
            <v>5</v>
          </cell>
          <cell r="F801">
            <v>0</v>
          </cell>
        </row>
        <row r="802">
          <cell r="D802" t="str">
            <v>Female CIM 15</v>
          </cell>
          <cell r="E802">
            <v>4</v>
          </cell>
          <cell r="F802">
            <v>0</v>
          </cell>
        </row>
        <row r="803">
          <cell r="D803" t="str">
            <v>Female CIM 16</v>
          </cell>
          <cell r="E803">
            <v>4</v>
          </cell>
          <cell r="F803">
            <v>0</v>
          </cell>
        </row>
        <row r="804">
          <cell r="D804" t="str">
            <v>Female CIM 20</v>
          </cell>
          <cell r="E804">
            <v>3</v>
          </cell>
          <cell r="F804">
            <v>0</v>
          </cell>
        </row>
        <row r="805">
          <cell r="D805" t="str">
            <v>Female CIM 21</v>
          </cell>
          <cell r="E805">
            <v>3</v>
          </cell>
          <cell r="F805">
            <v>0</v>
          </cell>
        </row>
        <row r="806">
          <cell r="D806" t="str">
            <v>Female CIM 25</v>
          </cell>
          <cell r="E806">
            <v>1</v>
          </cell>
          <cell r="F806">
            <v>0</v>
          </cell>
        </row>
        <row r="807">
          <cell r="D807" t="str">
            <v>Female CIM 27</v>
          </cell>
          <cell r="E807">
            <v>1</v>
          </cell>
          <cell r="F807">
            <v>0</v>
          </cell>
        </row>
        <row r="808">
          <cell r="D808" t="str">
            <v>Female CIM 28</v>
          </cell>
          <cell r="E808">
            <v>1</v>
          </cell>
          <cell r="F808">
            <v>0</v>
          </cell>
        </row>
        <row r="809">
          <cell r="D809" t="str">
            <v>Female CIM 30</v>
          </cell>
          <cell r="E809">
            <v>1</v>
          </cell>
          <cell r="F809">
            <v>0</v>
          </cell>
        </row>
        <row r="810">
          <cell r="D810" t="str">
            <v>Female CIM 35</v>
          </cell>
          <cell r="E810">
            <v>1</v>
          </cell>
          <cell r="F810">
            <v>0</v>
          </cell>
        </row>
        <row r="811">
          <cell r="D811" t="str">
            <v>Female CIM 36</v>
          </cell>
          <cell r="E811">
            <v>1</v>
          </cell>
          <cell r="F811">
            <v>0</v>
          </cell>
        </row>
        <row r="812">
          <cell r="D812" t="str">
            <v>Female CIM 40</v>
          </cell>
          <cell r="E812">
            <v>1</v>
          </cell>
          <cell r="F812">
            <v>0</v>
          </cell>
        </row>
        <row r="813">
          <cell r="D813" t="str">
            <v>Female CIM 45</v>
          </cell>
          <cell r="E813">
            <v>0</v>
          </cell>
          <cell r="F813">
            <v>0</v>
          </cell>
        </row>
        <row r="814">
          <cell r="D814" t="str">
            <v>Female CIM 49</v>
          </cell>
          <cell r="E814">
            <v>0</v>
          </cell>
          <cell r="F814">
            <v>0</v>
          </cell>
        </row>
        <row r="815">
          <cell r="D815" t="str">
            <v>Female CIM 50</v>
          </cell>
          <cell r="E815">
            <v>0</v>
          </cell>
          <cell r="F815">
            <v>0</v>
          </cell>
        </row>
        <row r="816">
          <cell r="D816" t="str">
            <v>Female CIM 63</v>
          </cell>
          <cell r="E816">
            <v>0</v>
          </cell>
          <cell r="F816">
            <v>0</v>
          </cell>
        </row>
        <row r="817">
          <cell r="D817" t="str">
            <v>Female CIM 70</v>
          </cell>
          <cell r="E817">
            <v>0</v>
          </cell>
          <cell r="F817">
            <v>0</v>
          </cell>
        </row>
        <row r="818">
          <cell r="D818" t="str">
            <v>Female CIM 81</v>
          </cell>
          <cell r="E818">
            <v>0</v>
          </cell>
          <cell r="F818">
            <v>0</v>
          </cell>
        </row>
        <row r="819">
          <cell r="D819" t="str">
            <v>Female CIM 90</v>
          </cell>
          <cell r="E819">
            <v>0</v>
          </cell>
          <cell r="F819">
            <v>0</v>
          </cell>
        </row>
        <row r="820">
          <cell r="D820" t="str">
            <v>Female CIM 100</v>
          </cell>
          <cell r="E820">
            <v>0</v>
          </cell>
          <cell r="F820">
            <v>0</v>
          </cell>
        </row>
        <row r="821">
          <cell r="D821" t="str">
            <v>Female 775pro 9</v>
          </cell>
          <cell r="E821">
            <v>10</v>
          </cell>
          <cell r="F821">
            <v>5</v>
          </cell>
        </row>
        <row r="822">
          <cell r="D822" t="str">
            <v>Female 775pro 12</v>
          </cell>
          <cell r="E822">
            <v>10</v>
          </cell>
          <cell r="F822">
            <v>4</v>
          </cell>
        </row>
        <row r="823">
          <cell r="D823" t="str">
            <v>Female 775pro 15</v>
          </cell>
          <cell r="E823">
            <v>10</v>
          </cell>
          <cell r="F823">
            <v>3</v>
          </cell>
        </row>
        <row r="824">
          <cell r="D824" t="str">
            <v>Female 775pro 16</v>
          </cell>
          <cell r="E824">
            <v>10</v>
          </cell>
          <cell r="F824">
            <v>3</v>
          </cell>
        </row>
        <row r="825">
          <cell r="D825" t="str">
            <v>Female 775pro 20</v>
          </cell>
          <cell r="E825">
            <v>10</v>
          </cell>
          <cell r="F825">
            <v>1</v>
          </cell>
        </row>
        <row r="826">
          <cell r="D826" t="str">
            <v>Female 775pro 21</v>
          </cell>
          <cell r="E826">
            <v>10</v>
          </cell>
          <cell r="F826">
            <v>1</v>
          </cell>
        </row>
        <row r="827">
          <cell r="D827" t="str">
            <v>Female 775pro 25</v>
          </cell>
          <cell r="E827">
            <v>7</v>
          </cell>
          <cell r="F827">
            <v>1</v>
          </cell>
        </row>
        <row r="828">
          <cell r="D828" t="str">
            <v>Female 775pro 27</v>
          </cell>
          <cell r="E828">
            <v>7</v>
          </cell>
          <cell r="F828">
            <v>1</v>
          </cell>
        </row>
        <row r="829">
          <cell r="D829" t="str">
            <v>Female 775pro 28</v>
          </cell>
          <cell r="E829">
            <v>7</v>
          </cell>
          <cell r="F829">
            <v>1</v>
          </cell>
        </row>
        <row r="830">
          <cell r="D830" t="str">
            <v>Female 775pro 30</v>
          </cell>
          <cell r="E830">
            <v>7</v>
          </cell>
          <cell r="F830">
            <v>1</v>
          </cell>
        </row>
        <row r="831">
          <cell r="D831" t="str">
            <v>Female 775pro 35</v>
          </cell>
          <cell r="E831">
            <v>5</v>
          </cell>
          <cell r="F831">
            <v>1</v>
          </cell>
        </row>
        <row r="832">
          <cell r="D832" t="str">
            <v>Female 775pro 36</v>
          </cell>
          <cell r="E832">
            <v>5</v>
          </cell>
          <cell r="F832">
            <v>1</v>
          </cell>
        </row>
        <row r="833">
          <cell r="D833" t="str">
            <v>Female 775pro 40</v>
          </cell>
          <cell r="E833">
            <v>5</v>
          </cell>
          <cell r="F833">
            <v>1</v>
          </cell>
        </row>
        <row r="834">
          <cell r="D834" t="str">
            <v>Female 775pro 45</v>
          </cell>
          <cell r="E834">
            <v>4</v>
          </cell>
          <cell r="F834">
            <v>1</v>
          </cell>
        </row>
        <row r="835">
          <cell r="D835" t="str">
            <v>Female 775pro 49</v>
          </cell>
          <cell r="E835">
            <v>4</v>
          </cell>
          <cell r="F835">
            <v>1</v>
          </cell>
        </row>
        <row r="836">
          <cell r="D836" t="str">
            <v>Female 775pro 50</v>
          </cell>
          <cell r="E836">
            <v>4</v>
          </cell>
          <cell r="F836">
            <v>0</v>
          </cell>
        </row>
        <row r="837">
          <cell r="D837" t="str">
            <v>Female 775pro 63</v>
          </cell>
          <cell r="E837">
            <v>3</v>
          </cell>
          <cell r="F837">
            <v>0</v>
          </cell>
        </row>
        <row r="838">
          <cell r="D838" t="str">
            <v>Female 775pro 70</v>
          </cell>
          <cell r="E838">
            <v>3</v>
          </cell>
          <cell r="F838">
            <v>0</v>
          </cell>
        </row>
        <row r="839">
          <cell r="D839" t="str">
            <v>Female 775pro 81</v>
          </cell>
          <cell r="E839">
            <v>1</v>
          </cell>
          <cell r="F839">
            <v>0</v>
          </cell>
        </row>
        <row r="840">
          <cell r="D840" t="str">
            <v>Female 775pro 90</v>
          </cell>
          <cell r="E840">
            <v>1</v>
          </cell>
          <cell r="F840">
            <v>0</v>
          </cell>
        </row>
        <row r="841">
          <cell r="D841" t="str">
            <v>Female 775pro 100</v>
          </cell>
          <cell r="E841">
            <v>1</v>
          </cell>
          <cell r="F841">
            <v>0</v>
          </cell>
        </row>
      </sheetData>
      <sheetData sheetId="12"/>
      <sheetData sheetId="13"/>
      <sheetData sheetId="14"/>
      <sheetData sheetId="15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BAG Motor</v>
          </cell>
          <cell r="C8">
            <v>13180</v>
          </cell>
          <cell r="D8">
            <v>0.43</v>
          </cell>
          <cell r="E8">
            <v>1.8</v>
          </cell>
          <cell r="F8">
            <v>53</v>
          </cell>
          <cell r="G8">
            <v>148.37218504128995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  <cell r="J9"/>
          <cell r="K9"/>
          <cell r="L9"/>
          <cell r="M9"/>
          <cell r="N9"/>
          <cell r="Q9"/>
          <cell r="R9"/>
          <cell r="S9"/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  <cell r="J10"/>
          <cell r="K10"/>
          <cell r="L10"/>
          <cell r="M10"/>
          <cell r="N10"/>
          <cell r="Q10"/>
          <cell r="R10"/>
          <cell r="S10"/>
        </row>
        <row r="11">
          <cell r="B11" t="str">
            <v>AM 775</v>
          </cell>
          <cell r="C11">
            <v>5800</v>
          </cell>
          <cell r="D11">
            <v>0.28000000000000003</v>
          </cell>
          <cell r="E11">
            <v>1.6</v>
          </cell>
          <cell r="F11">
            <v>18</v>
          </cell>
          <cell r="G11">
            <v>42.516220578581873</v>
          </cell>
          <cell r="J11"/>
          <cell r="K11"/>
          <cell r="L11"/>
          <cell r="M11"/>
          <cell r="N11"/>
          <cell r="Q11"/>
          <cell r="R11"/>
          <cell r="S11"/>
        </row>
        <row r="12">
          <cell r="B12" t="str">
            <v>AM 9015</v>
          </cell>
          <cell r="C12">
            <v>14270</v>
          </cell>
          <cell r="D12">
            <v>0.36</v>
          </cell>
          <cell r="E12">
            <v>3.7</v>
          </cell>
          <cell r="F12">
            <v>71</v>
          </cell>
          <cell r="G12">
            <v>134.49158150017905</v>
          </cell>
        </row>
        <row r="13">
          <cell r="B13" t="str">
            <v>CIM + Mini</v>
          </cell>
          <cell r="C13">
            <v>5508</v>
          </cell>
          <cell r="D13">
            <v>3.82</v>
          </cell>
          <cell r="E13">
            <v>8.16</v>
          </cell>
          <cell r="F13">
            <v>220</v>
          </cell>
          <cell r="G13">
            <v>550.84057269512709</v>
          </cell>
        </row>
        <row r="14">
          <cell r="B14" t="str">
            <v>CIM + 2 Mini</v>
          </cell>
          <cell r="C14">
            <v>5593</v>
          </cell>
          <cell r="D14">
            <v>5.23</v>
          </cell>
          <cell r="E14">
            <v>9.6199999999999992</v>
          </cell>
          <cell r="F14">
            <v>309</v>
          </cell>
          <cell r="G14">
            <v>765.79959942741618</v>
          </cell>
        </row>
        <row r="15">
          <cell r="B15" t="str">
            <v>2 CIM + Mini</v>
          </cell>
          <cell r="C15">
            <v>5437</v>
          </cell>
          <cell r="D15">
            <v>6.23</v>
          </cell>
          <cell r="E15">
            <v>9.15</v>
          </cell>
          <cell r="F15">
            <v>351</v>
          </cell>
          <cell r="G15">
            <v>886.78023812205663</v>
          </cell>
        </row>
        <row r="16">
          <cell r="B16" t="str">
            <v>BB RS-775</v>
          </cell>
          <cell r="C16">
            <v>13050</v>
          </cell>
          <cell r="D16">
            <v>0.72</v>
          </cell>
          <cell r="E16">
            <v>2.7</v>
          </cell>
          <cell r="F16">
            <v>97</v>
          </cell>
          <cell r="G16">
            <v>245.98670477608078</v>
          </cell>
        </row>
        <row r="17">
          <cell r="B17" t="str">
            <v>BB RS-550</v>
          </cell>
          <cell r="C17">
            <v>19000</v>
          </cell>
          <cell r="D17">
            <v>0.38</v>
          </cell>
          <cell r="E17">
            <v>0.4</v>
          </cell>
          <cell r="F17">
            <v>84</v>
          </cell>
          <cell r="G17">
            <v>189.01915799098592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B24"/>
          <cell r="C24"/>
          <cell r="D24"/>
          <cell r="E24"/>
          <cell r="F24"/>
          <cell r="G24">
            <v>0</v>
          </cell>
        </row>
        <row r="25">
          <cell r="B25"/>
          <cell r="C25"/>
          <cell r="D25"/>
          <cell r="E25"/>
          <cell r="F25"/>
          <cell r="G25">
            <v>0</v>
          </cell>
        </row>
        <row r="26">
          <cell r="B26"/>
          <cell r="C26"/>
          <cell r="D26"/>
          <cell r="E26"/>
          <cell r="F26"/>
          <cell r="G26">
            <v>0</v>
          </cell>
        </row>
        <row r="27">
          <cell r="B27"/>
          <cell r="C27"/>
          <cell r="D27"/>
          <cell r="E27"/>
          <cell r="F27"/>
          <cell r="G27">
            <v>0</v>
          </cell>
        </row>
        <row r="28">
          <cell r="B28"/>
          <cell r="C28"/>
          <cell r="D28"/>
          <cell r="E28"/>
          <cell r="F28"/>
          <cell r="G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2:V210"/>
  <sheetViews>
    <sheetView tabSelected="1" topLeftCell="E1" zoomScaleNormal="100" workbookViewId="0">
      <selection activeCell="U21" sqref="U21"/>
    </sheetView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3.140625" style="1" customWidth="1"/>
    <col min="4" max="4" width="9.140625" style="1" customWidth="1"/>
    <col min="5" max="5" width="9.28515625" style="1" customWidth="1"/>
    <col min="6" max="6" width="9.140625" style="1"/>
    <col min="7" max="7" width="20.28515625" style="1" customWidth="1"/>
    <col min="8" max="8" width="9.140625" style="1" customWidth="1"/>
    <col min="9" max="16384" width="9.140625" style="1"/>
  </cols>
  <sheetData>
    <row r="2" spans="2:22" ht="31.5" x14ac:dyDescent="0.25">
      <c r="C2" s="2" t="s">
        <v>0</v>
      </c>
    </row>
    <row r="4" spans="2:22" x14ac:dyDescent="0.25">
      <c r="B4" s="3" t="b">
        <v>1</v>
      </c>
      <c r="C4" s="1" t="s">
        <v>1</v>
      </c>
    </row>
    <row r="6" spans="2:22" x14ac:dyDescent="0.25">
      <c r="C6" s="21" t="s">
        <v>2</v>
      </c>
      <c r="D6" s="22"/>
      <c r="E6" s="4" t="s">
        <v>3</v>
      </c>
    </row>
    <row r="7" spans="2:22" x14ac:dyDescent="0.25">
      <c r="C7" s="5" t="s">
        <v>4</v>
      </c>
      <c r="D7" s="6">
        <f>VLOOKUP($C$6, MotorSpecs, 2, FALSE)</f>
        <v>18730</v>
      </c>
      <c r="E7" s="7">
        <f>D7*(D11/12)</f>
        <v>18730</v>
      </c>
      <c r="F7" s="1">
        <f>E7*PI()/30</f>
        <v>1961.4010133912275</v>
      </c>
      <c r="H7" s="1">
        <f>H11/D11</f>
        <v>0.80085424452749587</v>
      </c>
      <c r="I7" s="1">
        <v>0.01</v>
      </c>
      <c r="J7" s="1">
        <v>0</v>
      </c>
    </row>
    <row r="8" spans="2:22" x14ac:dyDescent="0.25">
      <c r="C8" s="8" t="s">
        <v>5</v>
      </c>
      <c r="D8" s="9">
        <f>VLOOKUP($C$6, MotorSpecs, 3, FALSE)</f>
        <v>0.71</v>
      </c>
      <c r="E8" s="10">
        <f>D8*D10*(D11/12)*D12</f>
        <v>1.917</v>
      </c>
    </row>
    <row r="10" spans="2:22" x14ac:dyDescent="0.25">
      <c r="C10" s="11" t="s">
        <v>6</v>
      </c>
      <c r="D10" s="12">
        <v>3</v>
      </c>
      <c r="G10" s="11" t="s">
        <v>7</v>
      </c>
      <c r="H10" s="20">
        <f>(($E$7/60)/$E$8) * (($D$16*IF($B$4,0.001^2,0.0254^2/2.2))/$D$14^2 + ($D$18*$D$19^2/2*IF($B$4,0.001^2,0.0254^2/2.2))/$D$20^2) * LN(($E$7)/($E$7-$D$14*$D$15))</f>
        <v>0.33942403007532113</v>
      </c>
      <c r="P10" s="1">
        <v>0</v>
      </c>
      <c r="Q10" s="1">
        <v>0</v>
      </c>
      <c r="R10" s="1">
        <v>1</v>
      </c>
      <c r="T10" s="23">
        <v>0</v>
      </c>
      <c r="U10" s="1">
        <f>$D$15</f>
        <v>5000</v>
      </c>
      <c r="V10" s="1">
        <f t="shared" ref="V10:V73" si="0">MAX(-1,MIN(1, $H$7+$I$7*($D$15-U10)))</f>
        <v>0.80085424452749587</v>
      </c>
    </row>
    <row r="11" spans="2:22" x14ac:dyDescent="0.25">
      <c r="C11" s="11" t="s">
        <v>8</v>
      </c>
      <c r="D11" s="12">
        <v>12</v>
      </c>
      <c r="G11" s="11" t="s">
        <v>17</v>
      </c>
      <c r="H11" s="19">
        <f>D15*D14/D7*12</f>
        <v>9.6102509343299509</v>
      </c>
      <c r="P11" s="1">
        <v>0.02</v>
      </c>
      <c r="Q11" s="1">
        <f>IF(P11=P10, Q10, Q10+0.02*$E$8*(R10-$D$14*(Q10*PI()/30)/$E$7)/($E$16/$D$14+$E$18*$D$14/$D$20^2)*30/PI())</f>
        <v>94.482588668024761</v>
      </c>
      <c r="R11" s="1">
        <f>MAX(-1,MIN(1, $H$7+$I$7*($D$15-Q11)))</f>
        <v>1</v>
      </c>
      <c r="T11" s="23">
        <v>0.01</v>
      </c>
      <c r="U11" s="1">
        <f>$D$15</f>
        <v>5000</v>
      </c>
      <c r="V11" s="1">
        <f t="shared" si="0"/>
        <v>0.80085424452749587</v>
      </c>
    </row>
    <row r="12" spans="2:22" x14ac:dyDescent="0.25">
      <c r="C12" s="11" t="s">
        <v>9</v>
      </c>
      <c r="D12" s="13">
        <v>0.9</v>
      </c>
      <c r="P12" s="1">
        <f>IF(AND(ABS(Q11-Q10)&lt;0.01/0.02, ABS(Q11-$D$15)/$D$15&lt;0.02), P11, P11+0.02)</f>
        <v>0.04</v>
      </c>
      <c r="Q12" s="1">
        <f t="shared" ref="Q12:Q75" si="1">IF(P12=P11, Q11, Q11+0.02*$E$8*(R11-$D$14*(Q11*PI()/30)/$E$7)/($E$16/$D$14+$E$18*$D$14/$D$20^2)*30/PI())</f>
        <v>188.81544497845732</v>
      </c>
      <c r="R12" s="1">
        <f t="shared" ref="R12:R75" si="2">MAX(-1,MIN(1, $H$7+$I$7*($D$15-Q12)))</f>
        <v>1</v>
      </c>
      <c r="T12" s="23">
        <v>0.02</v>
      </c>
      <c r="U12" s="1">
        <f t="shared" ref="U12:U20" si="3">$D$15</f>
        <v>5000</v>
      </c>
      <c r="V12" s="1">
        <f t="shared" si="0"/>
        <v>0.80085424452749587</v>
      </c>
    </row>
    <row r="13" spans="2:22" x14ac:dyDescent="0.25">
      <c r="G13" s="11" t="s">
        <v>10</v>
      </c>
      <c r="H13" s="14">
        <f>60/(2*PI())*SQRT((2*PI()/60*D15)^2-(D25*(D22/IF($B$4,1,2.2))*D23*(D24/IF($B$4,1,3.281))^2)/((D16*IF($B$4,0.001^2,0.0254^2/2.2))+(D14/D20)^2*((D18/IF($B$4,1,2.2))*(D19*IF($B$4,0.001,0.0254))^2/2)))</f>
        <v>4820.2749246755684</v>
      </c>
      <c r="I13" s="15"/>
      <c r="P13" s="1">
        <f t="shared" ref="P13:P76" si="4">IF(AND(ABS(Q12-Q11)&lt;0.01/0.02, ABS(Q12-$D$15)/$D$15&lt;0.02), P12, P12+0.02)</f>
        <v>0.06</v>
      </c>
      <c r="Q13" s="1">
        <f t="shared" si="1"/>
        <v>282.99880622135527</v>
      </c>
      <c r="R13" s="1">
        <f t="shared" si="2"/>
        <v>1</v>
      </c>
      <c r="T13" s="23">
        <v>0.03</v>
      </c>
      <c r="U13" s="1">
        <f t="shared" si="3"/>
        <v>5000</v>
      </c>
      <c r="V13" s="1">
        <f t="shared" si="0"/>
        <v>0.80085424452749587</v>
      </c>
    </row>
    <row r="14" spans="2:22" x14ac:dyDescent="0.25">
      <c r="C14" s="11" t="s">
        <v>11</v>
      </c>
      <c r="D14" s="16">
        <v>3</v>
      </c>
      <c r="G14" s="11" t="s">
        <v>12</v>
      </c>
      <c r="H14" s="20">
        <f>(($E$7/60)/$E$8) * (($D$16*IF($B$4,0.001^2,0.0254^2/2.2))/$D$14^2 + ($D$18*$D$19^2/2*IF($B$4,0.001^2,0.0254^2/2.2))/$D$20^2) * LN(($E$7-$D$14*H13)/($E$7-$D$14*$D$15))</f>
        <v>2.8398054355307591E-2</v>
      </c>
      <c r="P14" s="1">
        <f t="shared" si="4"/>
        <v>0.08</v>
      </c>
      <c r="Q14" s="1">
        <f t="shared" si="1"/>
        <v>377.03290931072814</v>
      </c>
      <c r="R14" s="1">
        <f t="shared" si="2"/>
        <v>1</v>
      </c>
      <c r="T14" s="23">
        <v>0.04</v>
      </c>
      <c r="U14" s="1">
        <f t="shared" si="3"/>
        <v>5000</v>
      </c>
      <c r="V14" s="1">
        <f t="shared" si="0"/>
        <v>0.80085424452749587</v>
      </c>
    </row>
    <row r="15" spans="2:22" x14ac:dyDescent="0.25">
      <c r="C15" s="11" t="s">
        <v>13</v>
      </c>
      <c r="D15" s="12">
        <v>5000</v>
      </c>
      <c r="E15" s="1">
        <f>D15*PI()/30</f>
        <v>523.59877559829886</v>
      </c>
      <c r="P15" s="1">
        <f t="shared" si="4"/>
        <v>0.1</v>
      </c>
      <c r="Q15" s="1">
        <f t="shared" si="1"/>
        <v>470.91799078513327</v>
      </c>
      <c r="R15" s="1">
        <f t="shared" si="2"/>
        <v>1</v>
      </c>
      <c r="T15" s="23">
        <v>0.05</v>
      </c>
      <c r="U15" s="1">
        <f t="shared" si="3"/>
        <v>5000</v>
      </c>
      <c r="V15" s="1">
        <f t="shared" si="0"/>
        <v>0.80085424452749587</v>
      </c>
    </row>
    <row r="16" spans="2:22" x14ac:dyDescent="0.25">
      <c r="C16" s="11" t="str">
        <f>"Wheel MoI ("&amp;IF($B$4,"kg*mm^2","lb*in^2")&amp;")"</f>
        <v>Wheel MoI (kg*mm^2)</v>
      </c>
      <c r="D16" s="18">
        <v>375</v>
      </c>
      <c r="E16" s="1">
        <f>$D$16*IF($B$4,0.001^2,0.0254^2/2.2)</f>
        <v>3.7500000000000001E-4</v>
      </c>
      <c r="P16" s="1">
        <f t="shared" si="4"/>
        <v>0.12000000000000001</v>
      </c>
      <c r="Q16" s="1">
        <f t="shared" si="1"/>
        <v>564.65428680827085</v>
      </c>
      <c r="R16" s="1">
        <f t="shared" si="2"/>
        <v>1</v>
      </c>
      <c r="T16" s="23">
        <v>0.06</v>
      </c>
      <c r="U16" s="1">
        <f t="shared" si="3"/>
        <v>5000</v>
      </c>
      <c r="V16" s="1">
        <f t="shared" si="0"/>
        <v>0.80085424452749587</v>
      </c>
    </row>
    <row r="17" spans="3:22" x14ac:dyDescent="0.25">
      <c r="P17" s="1">
        <f t="shared" si="4"/>
        <v>0.14000000000000001</v>
      </c>
      <c r="Q17" s="1">
        <f t="shared" si="1"/>
        <v>658.24203316957789</v>
      </c>
      <c r="R17" s="1">
        <f t="shared" si="2"/>
        <v>1</v>
      </c>
      <c r="T17" s="23">
        <v>7.0000000000000007E-2</v>
      </c>
      <c r="U17" s="1">
        <f t="shared" si="3"/>
        <v>5000</v>
      </c>
      <c r="V17" s="1">
        <f t="shared" si="0"/>
        <v>0.80085424452749587</v>
      </c>
    </row>
    <row r="18" spans="3:22" x14ac:dyDescent="0.25">
      <c r="C18" s="11" t="str">
        <f>"Flywheel Mass ("&amp;IF($B$4,"kg","lbs")&amp;")"</f>
        <v>Flywheel Mass (kg)</v>
      </c>
      <c r="D18" s="17">
        <v>4</v>
      </c>
      <c r="E18" s="1">
        <f>$D$18*$D$19^2/2*IF($B$4,0.001^2,0.0254^2/2.2)</f>
        <v>4.4999999999999998E-2</v>
      </c>
      <c r="P18" s="1">
        <f t="shared" si="4"/>
        <v>0.16</v>
      </c>
      <c r="Q18" s="1">
        <f t="shared" si="1"/>
        <v>751.68146528482157</v>
      </c>
      <c r="R18" s="1">
        <f t="shared" si="2"/>
        <v>1</v>
      </c>
      <c r="T18" s="23">
        <v>0.08</v>
      </c>
      <c r="U18" s="1">
        <f t="shared" si="3"/>
        <v>5000</v>
      </c>
      <c r="V18" s="1">
        <f t="shared" si="0"/>
        <v>0.80085424452749587</v>
      </c>
    </row>
    <row r="19" spans="3:22" x14ac:dyDescent="0.25">
      <c r="C19" s="11" t="str">
        <f>"Flywheel Radius ("&amp;IF($B$4,"mm","in")&amp;")"</f>
        <v>Flywheel Radius (mm)</v>
      </c>
      <c r="D19" s="18">
        <v>150</v>
      </c>
      <c r="P19" s="1">
        <f t="shared" si="4"/>
        <v>0.18</v>
      </c>
      <c r="Q19" s="1">
        <f t="shared" si="1"/>
        <v>844.97281819669104</v>
      </c>
      <c r="R19" s="1">
        <f t="shared" si="2"/>
        <v>1</v>
      </c>
      <c r="T19" s="23">
        <v>0.09</v>
      </c>
      <c r="U19" s="1">
        <f t="shared" si="3"/>
        <v>5000</v>
      </c>
      <c r="V19" s="1">
        <f t="shared" si="0"/>
        <v>0.80085424452749587</v>
      </c>
    </row>
    <row r="20" spans="3:22" x14ac:dyDescent="0.25">
      <c r="C20" s="11" t="s">
        <v>15</v>
      </c>
      <c r="D20" s="16">
        <v>6</v>
      </c>
      <c r="P20" s="1">
        <f t="shared" si="4"/>
        <v>0.19999999999999998</v>
      </c>
      <c r="Q20" s="1">
        <f t="shared" si="1"/>
        <v>938.11632657538894</v>
      </c>
      <c r="R20" s="1">
        <f t="shared" si="2"/>
        <v>1</v>
      </c>
      <c r="T20" s="23">
        <v>0.1</v>
      </c>
      <c r="U20" s="1">
        <f t="shared" si="3"/>
        <v>5000</v>
      </c>
      <c r="V20" s="1">
        <f t="shared" si="0"/>
        <v>0.80085424452749587</v>
      </c>
    </row>
    <row r="21" spans="3:22" x14ac:dyDescent="0.25">
      <c r="P21" s="1">
        <f t="shared" si="4"/>
        <v>0.21999999999999997</v>
      </c>
      <c r="Q21" s="1">
        <f t="shared" si="1"/>
        <v>1031.1122247192218</v>
      </c>
      <c r="R21" s="1">
        <f t="shared" si="2"/>
        <v>1</v>
      </c>
      <c r="T21" s="23">
        <v>0.105</v>
      </c>
      <c r="U21" s="1">
        <f>30/PI()*SQRT((U20*PI()/30)^2 - 2*D22*D25*(D24/IF($B$4,1,3.281))^2/(E16+(D14/D20)^2*E18))</f>
        <v>4928.8964423877296</v>
      </c>
      <c r="V21" s="1">
        <f t="shared" si="0"/>
        <v>1</v>
      </c>
    </row>
    <row r="22" spans="3:22" x14ac:dyDescent="0.25">
      <c r="C22" s="11" t="str">
        <f>"Object Mass ("&amp;IF($B$4,"kg","lbs")&amp;")"</f>
        <v>Object Mass (kg)</v>
      </c>
      <c r="D22" s="17">
        <v>0.3</v>
      </c>
      <c r="P22" s="1">
        <f t="shared" si="4"/>
        <v>0.23999999999999996</v>
      </c>
      <c r="Q22" s="1">
        <f t="shared" si="1"/>
        <v>1123.960746555189</v>
      </c>
      <c r="R22" s="1">
        <f t="shared" si="2"/>
        <v>1</v>
      </c>
      <c r="T22" s="1">
        <f t="shared" ref="T22:T85" si="5">IF(AND(ABS(U21-U20)&lt;0.01/0.02, ABS(U21-$D$15)/$D$15&lt;0.02), T21, T21+0.02)</f>
        <v>0.125</v>
      </c>
      <c r="U22" s="1">
        <f t="shared" ref="U22:U85" si="6">IF(T22=T21, U21, U21+0.02*$E$8*(V21-$D$14*(U21*PI()/30)/$E$7)/($E$16/$D$14+$E$18*$D$14/$D$20^2)*30/PI())</f>
        <v>5015.5679063284279</v>
      </c>
      <c r="V22" s="1">
        <f t="shared" si="0"/>
        <v>0.64517518124321738</v>
      </c>
    </row>
    <row r="23" spans="3:22" x14ac:dyDescent="0.25">
      <c r="C23" s="11" t="s">
        <v>16</v>
      </c>
      <c r="D23" s="18">
        <v>5</v>
      </c>
      <c r="P23" s="1">
        <f t="shared" si="4"/>
        <v>0.25999999999999995</v>
      </c>
      <c r="Q23" s="1">
        <f t="shared" si="1"/>
        <v>1216.6621256395715</v>
      </c>
      <c r="R23" s="1">
        <f t="shared" si="2"/>
        <v>1</v>
      </c>
      <c r="T23" s="1">
        <f t="shared" si="5"/>
        <v>0.14499999999999999</v>
      </c>
      <c r="U23" s="1">
        <f t="shared" si="6"/>
        <v>5068.5772492805318</v>
      </c>
      <c r="V23" s="1">
        <f t="shared" si="0"/>
        <v>0.11508175172217827</v>
      </c>
    </row>
    <row r="24" spans="3:22" x14ac:dyDescent="0.25">
      <c r="C24" s="11" t="str">
        <f>"Exit Velocity ("&amp;IF($B$4,"m","ft")&amp;"/s)"</f>
        <v>Exit Velocity (m/s)</v>
      </c>
      <c r="D24" s="17">
        <v>9.9999999999999929</v>
      </c>
      <c r="P24" s="1">
        <f t="shared" si="4"/>
        <v>0.27999999999999997</v>
      </c>
      <c r="Q24" s="1">
        <f t="shared" si="1"/>
        <v>1309.2165951585193</v>
      </c>
      <c r="R24" s="1">
        <f t="shared" si="2"/>
        <v>1</v>
      </c>
      <c r="T24" s="1">
        <f t="shared" si="5"/>
        <v>0.16499999999999998</v>
      </c>
      <c r="U24" s="1">
        <f t="shared" si="6"/>
        <v>5071.4179856160936</v>
      </c>
      <c r="V24" s="1">
        <f t="shared" si="0"/>
        <v>8.6674388366560162E-2</v>
      </c>
    </row>
    <row r="25" spans="3:22" x14ac:dyDescent="0.25">
      <c r="C25" s="11" t="s">
        <v>14</v>
      </c>
      <c r="D25" s="12">
        <v>1.5</v>
      </c>
      <c r="P25" s="1">
        <f t="shared" si="4"/>
        <v>0.3</v>
      </c>
      <c r="Q25" s="1">
        <f t="shared" si="1"/>
        <v>1401.6243879286383</v>
      </c>
      <c r="R25" s="1">
        <f t="shared" si="2"/>
        <v>1</v>
      </c>
      <c r="T25" s="1">
        <f t="shared" si="5"/>
        <v>0.18499999999999997</v>
      </c>
      <c r="U25" s="1">
        <f t="shared" si="6"/>
        <v>5071.570218835348</v>
      </c>
      <c r="V25" s="1">
        <f t="shared" si="0"/>
        <v>8.5152056174016E-2</v>
      </c>
    </row>
    <row r="26" spans="3:22" x14ac:dyDescent="0.25">
      <c r="P26" s="1">
        <f t="shared" si="4"/>
        <v>0.32</v>
      </c>
      <c r="Q26" s="1">
        <f t="shared" si="1"/>
        <v>1493.8857363975751</v>
      </c>
      <c r="R26" s="1">
        <f t="shared" si="2"/>
        <v>1</v>
      </c>
      <c r="T26" s="1">
        <f t="shared" si="5"/>
        <v>0.18499999999999997</v>
      </c>
      <c r="U26" s="1">
        <f t="shared" si="6"/>
        <v>5071.570218835348</v>
      </c>
      <c r="V26" s="1">
        <f t="shared" si="0"/>
        <v>8.5152056174016E-2</v>
      </c>
    </row>
    <row r="27" spans="3:22" x14ac:dyDescent="0.25">
      <c r="P27" s="1">
        <f t="shared" si="4"/>
        <v>0.34</v>
      </c>
      <c r="Q27" s="1">
        <f t="shared" si="1"/>
        <v>1586.0008726446026</v>
      </c>
      <c r="R27" s="1">
        <f t="shared" si="2"/>
        <v>1</v>
      </c>
      <c r="T27" s="1">
        <f t="shared" si="5"/>
        <v>0.18499999999999997</v>
      </c>
      <c r="U27" s="1">
        <f t="shared" si="6"/>
        <v>5071.570218835348</v>
      </c>
      <c r="V27" s="1">
        <f t="shared" si="0"/>
        <v>8.5152056174016E-2</v>
      </c>
    </row>
    <row r="28" spans="3:22" x14ac:dyDescent="0.25">
      <c r="P28" s="1">
        <f t="shared" si="4"/>
        <v>0.36000000000000004</v>
      </c>
      <c r="Q28" s="1">
        <f t="shared" si="1"/>
        <v>1677.9700283812035</v>
      </c>
      <c r="R28" s="1">
        <f t="shared" si="2"/>
        <v>1</v>
      </c>
      <c r="T28" s="1">
        <f t="shared" si="5"/>
        <v>0.18499999999999997</v>
      </c>
      <c r="U28" s="1">
        <f t="shared" si="6"/>
        <v>5071.570218835348</v>
      </c>
      <c r="V28" s="1">
        <f t="shared" si="0"/>
        <v>8.5152056174016E-2</v>
      </c>
    </row>
    <row r="29" spans="3:22" x14ac:dyDescent="0.25">
      <c r="P29" s="1">
        <f t="shared" si="4"/>
        <v>0.38000000000000006</v>
      </c>
      <c r="Q29" s="1">
        <f t="shared" si="1"/>
        <v>1769.7934349516529</v>
      </c>
      <c r="R29" s="1">
        <f t="shared" si="2"/>
        <v>1</v>
      </c>
      <c r="T29" s="1">
        <f t="shared" si="5"/>
        <v>0.18499999999999997</v>
      </c>
      <c r="U29" s="1">
        <f t="shared" si="6"/>
        <v>5071.570218835348</v>
      </c>
      <c r="V29" s="1">
        <f t="shared" si="0"/>
        <v>8.5152056174016E-2</v>
      </c>
    </row>
    <row r="30" spans="3:22" x14ac:dyDescent="0.25">
      <c r="P30" s="1">
        <f t="shared" si="4"/>
        <v>0.40000000000000008</v>
      </c>
      <c r="Q30" s="1">
        <f t="shared" si="1"/>
        <v>1861.4713233336004</v>
      </c>
      <c r="R30" s="1">
        <f t="shared" si="2"/>
        <v>1</v>
      </c>
      <c r="T30" s="1">
        <f t="shared" si="5"/>
        <v>0.18499999999999997</v>
      </c>
      <c r="U30" s="1">
        <f t="shared" si="6"/>
        <v>5071.570218835348</v>
      </c>
      <c r="V30" s="1">
        <f t="shared" si="0"/>
        <v>8.5152056174016E-2</v>
      </c>
    </row>
    <row r="31" spans="3:22" x14ac:dyDescent="0.25">
      <c r="P31" s="1">
        <f t="shared" si="4"/>
        <v>0.4200000000000001</v>
      </c>
      <c r="Q31" s="1">
        <f t="shared" si="1"/>
        <v>1953.003924138651</v>
      </c>
      <c r="R31" s="1">
        <f t="shared" si="2"/>
        <v>1</v>
      </c>
      <c r="T31" s="1">
        <f t="shared" si="5"/>
        <v>0.18499999999999997</v>
      </c>
      <c r="U31" s="1">
        <f t="shared" si="6"/>
        <v>5071.570218835348</v>
      </c>
      <c r="V31" s="1">
        <f t="shared" si="0"/>
        <v>8.5152056174016E-2</v>
      </c>
    </row>
    <row r="32" spans="3:22" x14ac:dyDescent="0.25">
      <c r="P32" s="1">
        <f t="shared" si="4"/>
        <v>0.44000000000000011</v>
      </c>
      <c r="Q32" s="1">
        <f t="shared" si="1"/>
        <v>2044.3914676129457</v>
      </c>
      <c r="R32" s="1">
        <f t="shared" si="2"/>
        <v>1</v>
      </c>
      <c r="T32" s="1">
        <f t="shared" si="5"/>
        <v>0.18499999999999997</v>
      </c>
      <c r="U32" s="1">
        <f t="shared" si="6"/>
        <v>5071.570218835348</v>
      </c>
      <c r="V32" s="1">
        <f t="shared" si="0"/>
        <v>8.5152056174016E-2</v>
      </c>
    </row>
    <row r="33" spans="16:22" x14ac:dyDescent="0.25">
      <c r="P33" s="1">
        <f t="shared" si="4"/>
        <v>0.46000000000000013</v>
      </c>
      <c r="Q33" s="1">
        <f t="shared" si="1"/>
        <v>2135.6341836377405</v>
      </c>
      <c r="R33" s="1">
        <f t="shared" si="2"/>
        <v>1</v>
      </c>
      <c r="T33" s="1">
        <f t="shared" si="5"/>
        <v>0.18499999999999997</v>
      </c>
      <c r="U33" s="1">
        <f t="shared" si="6"/>
        <v>5071.570218835348</v>
      </c>
      <c r="V33" s="1">
        <f t="shared" si="0"/>
        <v>8.5152056174016E-2</v>
      </c>
    </row>
    <row r="34" spans="16:22" x14ac:dyDescent="0.25">
      <c r="P34" s="1">
        <f t="shared" si="4"/>
        <v>0.48000000000000015</v>
      </c>
      <c r="Q34" s="1">
        <f t="shared" si="1"/>
        <v>2226.7323017299836</v>
      </c>
      <c r="R34" s="1">
        <f t="shared" si="2"/>
        <v>1</v>
      </c>
      <c r="T34" s="1">
        <f t="shared" si="5"/>
        <v>0.18499999999999997</v>
      </c>
      <c r="U34" s="1">
        <f t="shared" si="6"/>
        <v>5071.570218835348</v>
      </c>
      <c r="V34" s="1">
        <f t="shared" si="0"/>
        <v>8.5152056174016E-2</v>
      </c>
    </row>
    <row r="35" spans="16:22" x14ac:dyDescent="0.25">
      <c r="P35" s="1">
        <f t="shared" si="4"/>
        <v>0.50000000000000011</v>
      </c>
      <c r="Q35" s="1">
        <f t="shared" si="1"/>
        <v>2317.6860510428942</v>
      </c>
      <c r="R35" s="1">
        <f t="shared" si="2"/>
        <v>1</v>
      </c>
      <c r="T35" s="1">
        <f t="shared" si="5"/>
        <v>0.18499999999999997</v>
      </c>
      <c r="U35" s="1">
        <f t="shared" si="6"/>
        <v>5071.570218835348</v>
      </c>
      <c r="V35" s="1">
        <f t="shared" si="0"/>
        <v>8.5152056174016E-2</v>
      </c>
    </row>
    <row r="36" spans="16:22" x14ac:dyDescent="0.25">
      <c r="P36" s="1">
        <f t="shared" si="4"/>
        <v>0.52000000000000013</v>
      </c>
      <c r="Q36" s="1">
        <f t="shared" si="1"/>
        <v>2408.4956603665387</v>
      </c>
      <c r="R36" s="1">
        <f t="shared" si="2"/>
        <v>1</v>
      </c>
      <c r="T36" s="1">
        <f t="shared" si="5"/>
        <v>0.18499999999999997</v>
      </c>
      <c r="U36" s="1">
        <f t="shared" si="6"/>
        <v>5071.570218835348</v>
      </c>
      <c r="V36" s="1">
        <f t="shared" si="0"/>
        <v>8.5152056174016E-2</v>
      </c>
    </row>
    <row r="37" spans="16:22" x14ac:dyDescent="0.25">
      <c r="P37" s="1">
        <f t="shared" si="4"/>
        <v>0.54000000000000015</v>
      </c>
      <c r="Q37" s="1">
        <f t="shared" si="1"/>
        <v>2499.161358128405</v>
      </c>
      <c r="R37" s="1">
        <f t="shared" si="2"/>
        <v>1</v>
      </c>
      <c r="T37" s="1">
        <f t="shared" si="5"/>
        <v>0.18499999999999997</v>
      </c>
      <c r="U37" s="1">
        <f t="shared" si="6"/>
        <v>5071.570218835348</v>
      </c>
      <c r="V37" s="1">
        <f t="shared" si="0"/>
        <v>8.5152056174016E-2</v>
      </c>
    </row>
    <row r="38" spans="16:22" x14ac:dyDescent="0.25">
      <c r="P38" s="1">
        <f t="shared" si="4"/>
        <v>0.56000000000000016</v>
      </c>
      <c r="Q38" s="1">
        <f t="shared" si="1"/>
        <v>2589.6833723939781</v>
      </c>
      <c r="R38" s="1">
        <f t="shared" si="2"/>
        <v>1</v>
      </c>
      <c r="T38" s="1">
        <f t="shared" si="5"/>
        <v>0.18499999999999997</v>
      </c>
      <c r="U38" s="1">
        <f t="shared" si="6"/>
        <v>5071.570218835348</v>
      </c>
      <c r="V38" s="1">
        <f t="shared" si="0"/>
        <v>8.5152056174016E-2</v>
      </c>
    </row>
    <row r="39" spans="16:22" x14ac:dyDescent="0.25">
      <c r="P39" s="1">
        <f t="shared" si="4"/>
        <v>0.58000000000000018</v>
      </c>
      <c r="Q39" s="1">
        <f t="shared" si="1"/>
        <v>2680.061930867314</v>
      </c>
      <c r="R39" s="1">
        <f t="shared" si="2"/>
        <v>1</v>
      </c>
      <c r="T39" s="1">
        <f t="shared" si="5"/>
        <v>0.18499999999999997</v>
      </c>
      <c r="U39" s="1">
        <f t="shared" si="6"/>
        <v>5071.570218835348</v>
      </c>
      <c r="V39" s="1">
        <f t="shared" si="0"/>
        <v>8.5152056174016E-2</v>
      </c>
    </row>
    <row r="40" spans="16:22" x14ac:dyDescent="0.25">
      <c r="P40" s="1">
        <f t="shared" si="4"/>
        <v>0.6000000000000002</v>
      </c>
      <c r="Q40" s="1">
        <f t="shared" si="1"/>
        <v>2770.2972608916125</v>
      </c>
      <c r="R40" s="1">
        <f t="shared" si="2"/>
        <v>1</v>
      </c>
      <c r="T40" s="1">
        <f t="shared" si="5"/>
        <v>0.18499999999999997</v>
      </c>
      <c r="U40" s="1">
        <f t="shared" si="6"/>
        <v>5071.570218835348</v>
      </c>
      <c r="V40" s="1">
        <f t="shared" si="0"/>
        <v>8.5152056174016E-2</v>
      </c>
    </row>
    <row r="41" spans="16:22" x14ac:dyDescent="0.25">
      <c r="P41" s="1">
        <f t="shared" si="4"/>
        <v>0.62000000000000022</v>
      </c>
      <c r="Q41" s="1">
        <f t="shared" si="1"/>
        <v>2860.3895894497878</v>
      </c>
      <c r="R41" s="1">
        <f t="shared" si="2"/>
        <v>1</v>
      </c>
      <c r="T41" s="1">
        <f t="shared" si="5"/>
        <v>0.18499999999999997</v>
      </c>
      <c r="U41" s="1">
        <f t="shared" si="6"/>
        <v>5071.570218835348</v>
      </c>
      <c r="V41" s="1">
        <f t="shared" si="0"/>
        <v>8.5152056174016E-2</v>
      </c>
    </row>
    <row r="42" spans="16:22" x14ac:dyDescent="0.25">
      <c r="P42" s="1">
        <f t="shared" si="4"/>
        <v>0.64000000000000024</v>
      </c>
      <c r="Q42" s="1">
        <f t="shared" si="1"/>
        <v>2950.3391431650402</v>
      </c>
      <c r="R42" s="1">
        <f t="shared" si="2"/>
        <v>1</v>
      </c>
      <c r="T42" s="1">
        <f t="shared" si="5"/>
        <v>0.18499999999999997</v>
      </c>
      <c r="U42" s="1">
        <f t="shared" si="6"/>
        <v>5071.570218835348</v>
      </c>
      <c r="V42" s="1">
        <f t="shared" si="0"/>
        <v>8.5152056174016E-2</v>
      </c>
    </row>
    <row r="43" spans="16:22" x14ac:dyDescent="0.25">
      <c r="P43" s="1">
        <f t="shared" si="4"/>
        <v>0.66000000000000025</v>
      </c>
      <c r="Q43" s="1">
        <f t="shared" si="1"/>
        <v>3040.1461483014273</v>
      </c>
      <c r="R43" s="1">
        <f t="shared" si="2"/>
        <v>1</v>
      </c>
      <c r="T43" s="1">
        <f t="shared" si="5"/>
        <v>0.18499999999999997</v>
      </c>
      <c r="U43" s="1">
        <f t="shared" si="6"/>
        <v>5071.570218835348</v>
      </c>
      <c r="V43" s="1">
        <f t="shared" si="0"/>
        <v>8.5152056174016E-2</v>
      </c>
    </row>
    <row r="44" spans="16:22" x14ac:dyDescent="0.25">
      <c r="P44" s="1">
        <f t="shared" si="4"/>
        <v>0.68000000000000027</v>
      </c>
      <c r="Q44" s="1">
        <f t="shared" si="1"/>
        <v>3129.8108307644316</v>
      </c>
      <c r="R44" s="1">
        <f t="shared" si="2"/>
        <v>1</v>
      </c>
      <c r="T44" s="1">
        <f t="shared" si="5"/>
        <v>0.18499999999999997</v>
      </c>
      <c r="U44" s="1">
        <f t="shared" si="6"/>
        <v>5071.570218835348</v>
      </c>
      <c r="V44" s="1">
        <f t="shared" si="0"/>
        <v>8.5152056174016E-2</v>
      </c>
    </row>
    <row r="45" spans="16:22" x14ac:dyDescent="0.25">
      <c r="P45" s="1">
        <f t="shared" si="4"/>
        <v>0.70000000000000029</v>
      </c>
      <c r="Q45" s="1">
        <f t="shared" si="1"/>
        <v>3219.3334161015291</v>
      </c>
      <c r="R45" s="1">
        <f t="shared" si="2"/>
        <v>1</v>
      </c>
      <c r="T45" s="1">
        <f t="shared" si="5"/>
        <v>0.18499999999999997</v>
      </c>
      <c r="U45" s="1">
        <f t="shared" si="6"/>
        <v>5071.570218835348</v>
      </c>
      <c r="V45" s="1">
        <f t="shared" si="0"/>
        <v>8.5152056174016E-2</v>
      </c>
    </row>
    <row r="46" spans="16:22" x14ac:dyDescent="0.25">
      <c r="P46" s="1">
        <f t="shared" si="4"/>
        <v>0.72000000000000031</v>
      </c>
      <c r="Q46" s="1">
        <f t="shared" si="1"/>
        <v>3308.7141295027577</v>
      </c>
      <c r="R46" s="1">
        <f t="shared" si="2"/>
        <v>1</v>
      </c>
      <c r="T46" s="1">
        <f t="shared" si="5"/>
        <v>0.18499999999999997</v>
      </c>
      <c r="U46" s="1">
        <f t="shared" si="6"/>
        <v>5071.570218835348</v>
      </c>
      <c r="V46" s="1">
        <f t="shared" si="0"/>
        <v>8.5152056174016E-2</v>
      </c>
    </row>
    <row r="47" spans="16:22" x14ac:dyDescent="0.25">
      <c r="P47" s="1">
        <f t="shared" si="4"/>
        <v>0.74000000000000032</v>
      </c>
      <c r="Q47" s="1">
        <f t="shared" si="1"/>
        <v>3397.9531958012817</v>
      </c>
      <c r="R47" s="1">
        <f t="shared" si="2"/>
        <v>1</v>
      </c>
      <c r="T47" s="1">
        <f t="shared" si="5"/>
        <v>0.18499999999999997</v>
      </c>
      <c r="U47" s="1">
        <f t="shared" si="6"/>
        <v>5071.570218835348</v>
      </c>
      <c r="V47" s="1">
        <f t="shared" si="0"/>
        <v>8.5152056174016E-2</v>
      </c>
    </row>
    <row r="48" spans="16:22" x14ac:dyDescent="0.25">
      <c r="P48" s="1">
        <f t="shared" si="4"/>
        <v>0.76000000000000034</v>
      </c>
      <c r="Q48" s="1">
        <f t="shared" si="1"/>
        <v>3487.0508394739591</v>
      </c>
      <c r="R48" s="1">
        <f t="shared" si="2"/>
        <v>1</v>
      </c>
      <c r="T48" s="1">
        <f t="shared" si="5"/>
        <v>0.18499999999999997</v>
      </c>
      <c r="U48" s="1">
        <f t="shared" si="6"/>
        <v>5071.570218835348</v>
      </c>
      <c r="V48" s="1">
        <f t="shared" si="0"/>
        <v>8.5152056174016E-2</v>
      </c>
    </row>
    <row r="49" spans="16:22" x14ac:dyDescent="0.25">
      <c r="P49" s="1">
        <f t="shared" si="4"/>
        <v>0.78000000000000036</v>
      </c>
      <c r="Q49" s="1">
        <f t="shared" si="1"/>
        <v>3576.0072846419057</v>
      </c>
      <c r="R49" s="1">
        <f t="shared" si="2"/>
        <v>1</v>
      </c>
      <c r="T49" s="1">
        <f t="shared" si="5"/>
        <v>0.18499999999999997</v>
      </c>
      <c r="U49" s="1">
        <f t="shared" si="6"/>
        <v>5071.570218835348</v>
      </c>
      <c r="V49" s="1">
        <f t="shared" si="0"/>
        <v>8.5152056174016E-2</v>
      </c>
    </row>
    <row r="50" spans="16:22" x14ac:dyDescent="0.25">
      <c r="P50" s="1">
        <f t="shared" si="4"/>
        <v>0.80000000000000038</v>
      </c>
      <c r="Q50" s="1">
        <f t="shared" si="1"/>
        <v>3664.822755071059</v>
      </c>
      <c r="R50" s="1">
        <f t="shared" si="2"/>
        <v>1</v>
      </c>
      <c r="T50" s="1">
        <f t="shared" si="5"/>
        <v>0.18499999999999997</v>
      </c>
      <c r="U50" s="1">
        <f t="shared" si="6"/>
        <v>5071.570218835348</v>
      </c>
      <c r="V50" s="1">
        <f t="shared" si="0"/>
        <v>8.5152056174016E-2</v>
      </c>
    </row>
    <row r="51" spans="16:22" x14ac:dyDescent="0.25">
      <c r="P51" s="1">
        <f t="shared" si="4"/>
        <v>0.8200000000000004</v>
      </c>
      <c r="Q51" s="1">
        <f t="shared" si="1"/>
        <v>3753.4974741727401</v>
      </c>
      <c r="R51" s="1">
        <f t="shared" si="2"/>
        <v>1</v>
      </c>
      <c r="T51" s="1">
        <f t="shared" si="5"/>
        <v>0.18499999999999997</v>
      </c>
      <c r="U51" s="1">
        <f t="shared" si="6"/>
        <v>5071.570218835348</v>
      </c>
      <c r="V51" s="1">
        <f t="shared" si="0"/>
        <v>8.5152056174016E-2</v>
      </c>
    </row>
    <row r="52" spans="16:22" x14ac:dyDescent="0.25">
      <c r="P52" s="1">
        <f t="shared" si="4"/>
        <v>0.84000000000000041</v>
      </c>
      <c r="Q52" s="1">
        <f t="shared" si="1"/>
        <v>3842.0316650042168</v>
      </c>
      <c r="R52" s="1">
        <f t="shared" si="2"/>
        <v>1</v>
      </c>
      <c r="T52" s="1">
        <f t="shared" si="5"/>
        <v>0.18499999999999997</v>
      </c>
      <c r="U52" s="1">
        <f t="shared" si="6"/>
        <v>5071.570218835348</v>
      </c>
      <c r="V52" s="1">
        <f t="shared" si="0"/>
        <v>8.5152056174016E-2</v>
      </c>
    </row>
    <row r="53" spans="16:22" x14ac:dyDescent="0.25">
      <c r="P53" s="1">
        <f t="shared" si="4"/>
        <v>0.86000000000000043</v>
      </c>
      <c r="Q53" s="1">
        <f t="shared" si="1"/>
        <v>3930.4255502692649</v>
      </c>
      <c r="R53" s="1">
        <f t="shared" si="2"/>
        <v>1</v>
      </c>
      <c r="T53" s="1">
        <f t="shared" si="5"/>
        <v>0.18499999999999997</v>
      </c>
      <c r="U53" s="1">
        <f t="shared" si="6"/>
        <v>5071.570218835348</v>
      </c>
      <c r="V53" s="1">
        <f t="shared" si="0"/>
        <v>8.5152056174016E-2</v>
      </c>
    </row>
    <row r="54" spans="16:22" x14ac:dyDescent="0.25">
      <c r="P54" s="1">
        <f t="shared" si="4"/>
        <v>0.88000000000000045</v>
      </c>
      <c r="Q54" s="1">
        <f t="shared" si="1"/>
        <v>4018.6793523187275</v>
      </c>
      <c r="R54" s="1">
        <f t="shared" si="2"/>
        <v>1</v>
      </c>
      <c r="T54" s="1">
        <f t="shared" si="5"/>
        <v>0.18499999999999997</v>
      </c>
      <c r="U54" s="1">
        <f t="shared" si="6"/>
        <v>5071.570218835348</v>
      </c>
      <c r="V54" s="1">
        <f t="shared" si="0"/>
        <v>8.5152056174016E-2</v>
      </c>
    </row>
    <row r="55" spans="16:22" x14ac:dyDescent="0.25">
      <c r="P55" s="1">
        <f t="shared" si="4"/>
        <v>0.90000000000000047</v>
      </c>
      <c r="Q55" s="1">
        <f t="shared" si="1"/>
        <v>4106.7932931510741</v>
      </c>
      <c r="R55" s="1">
        <f t="shared" si="2"/>
        <v>1</v>
      </c>
      <c r="T55" s="1">
        <f t="shared" si="5"/>
        <v>0.18499999999999997</v>
      </c>
      <c r="U55" s="1">
        <f t="shared" si="6"/>
        <v>5071.570218835348</v>
      </c>
      <c r="V55" s="1">
        <f t="shared" si="0"/>
        <v>8.5152056174016E-2</v>
      </c>
    </row>
    <row r="56" spans="16:22" x14ac:dyDescent="0.25">
      <c r="P56" s="1">
        <f t="shared" si="4"/>
        <v>0.92000000000000048</v>
      </c>
      <c r="Q56" s="1">
        <f t="shared" si="1"/>
        <v>4194.7675944129605</v>
      </c>
      <c r="R56" s="1">
        <f t="shared" si="2"/>
        <v>1</v>
      </c>
      <c r="T56" s="1">
        <f t="shared" si="5"/>
        <v>0.18499999999999997</v>
      </c>
      <c r="U56" s="1">
        <f t="shared" si="6"/>
        <v>5071.570218835348</v>
      </c>
      <c r="V56" s="1">
        <f t="shared" si="0"/>
        <v>8.5152056174016E-2</v>
      </c>
    </row>
    <row r="57" spans="16:22" x14ac:dyDescent="0.25">
      <c r="P57" s="1">
        <f t="shared" si="4"/>
        <v>0.9400000000000005</v>
      </c>
      <c r="Q57" s="1">
        <f t="shared" si="1"/>
        <v>4282.6024773997851</v>
      </c>
      <c r="R57" s="1">
        <f t="shared" si="2"/>
        <v>1</v>
      </c>
      <c r="T57" s="1">
        <f t="shared" si="5"/>
        <v>0.18499999999999997</v>
      </c>
      <c r="U57" s="1">
        <f t="shared" si="6"/>
        <v>5071.570218835348</v>
      </c>
      <c r="V57" s="1">
        <f t="shared" si="0"/>
        <v>8.5152056174016E-2</v>
      </c>
    </row>
    <row r="58" spans="16:22" x14ac:dyDescent="0.25">
      <c r="P58" s="1">
        <f t="shared" si="4"/>
        <v>0.96000000000000052</v>
      </c>
      <c r="Q58" s="1">
        <f t="shared" si="1"/>
        <v>4370.2981630562463</v>
      </c>
      <c r="R58" s="1">
        <f t="shared" si="2"/>
        <v>1</v>
      </c>
      <c r="T58" s="1">
        <f t="shared" si="5"/>
        <v>0.18499999999999997</v>
      </c>
      <c r="U58" s="1">
        <f t="shared" si="6"/>
        <v>5071.570218835348</v>
      </c>
      <c r="V58" s="1">
        <f t="shared" si="0"/>
        <v>8.5152056174016E-2</v>
      </c>
    </row>
    <row r="59" spans="16:22" x14ac:dyDescent="0.25">
      <c r="P59" s="1">
        <f t="shared" si="4"/>
        <v>0.98000000000000054</v>
      </c>
      <c r="Q59" s="1">
        <f t="shared" si="1"/>
        <v>4457.8548719768969</v>
      </c>
      <c r="R59" s="1">
        <f t="shared" si="2"/>
        <v>1</v>
      </c>
      <c r="T59" s="1">
        <f t="shared" si="5"/>
        <v>0.18499999999999997</v>
      </c>
      <c r="U59" s="1">
        <f t="shared" si="6"/>
        <v>5071.570218835348</v>
      </c>
      <c r="V59" s="1">
        <f t="shared" si="0"/>
        <v>8.5152056174016E-2</v>
      </c>
    </row>
    <row r="60" spans="16:22" x14ac:dyDescent="0.25">
      <c r="P60" s="1">
        <f t="shared" si="4"/>
        <v>1.0000000000000004</v>
      </c>
      <c r="Q60" s="1">
        <f t="shared" si="1"/>
        <v>4545.2728244067002</v>
      </c>
      <c r="R60" s="1">
        <f t="shared" si="2"/>
        <v>1</v>
      </c>
      <c r="T60" s="1">
        <f t="shared" si="5"/>
        <v>0.18499999999999997</v>
      </c>
      <c r="U60" s="1">
        <f t="shared" si="6"/>
        <v>5071.570218835348</v>
      </c>
      <c r="V60" s="1">
        <f t="shared" si="0"/>
        <v>8.5152056174016E-2</v>
      </c>
    </row>
    <row r="61" spans="16:22" x14ac:dyDescent="0.25">
      <c r="P61" s="1">
        <f t="shared" si="4"/>
        <v>1.0200000000000005</v>
      </c>
      <c r="Q61" s="1">
        <f t="shared" si="1"/>
        <v>4632.5522402415854</v>
      </c>
      <c r="R61" s="1">
        <f t="shared" si="2"/>
        <v>1</v>
      </c>
      <c r="T61" s="1">
        <f t="shared" si="5"/>
        <v>0.18499999999999997</v>
      </c>
      <c r="U61" s="1">
        <f t="shared" si="6"/>
        <v>5071.570218835348</v>
      </c>
      <c r="V61" s="1">
        <f t="shared" si="0"/>
        <v>8.5152056174016E-2</v>
      </c>
    </row>
    <row r="62" spans="16:22" x14ac:dyDescent="0.25">
      <c r="P62" s="1">
        <f t="shared" si="4"/>
        <v>1.0400000000000005</v>
      </c>
      <c r="Q62" s="1">
        <f t="shared" si="1"/>
        <v>4719.6933390289969</v>
      </c>
      <c r="R62" s="1">
        <f t="shared" si="2"/>
        <v>1</v>
      </c>
      <c r="T62" s="1">
        <f t="shared" si="5"/>
        <v>0.18499999999999997</v>
      </c>
      <c r="U62" s="1">
        <f t="shared" si="6"/>
        <v>5071.570218835348</v>
      </c>
      <c r="V62" s="1">
        <f t="shared" si="0"/>
        <v>8.5152056174016E-2</v>
      </c>
    </row>
    <row r="63" spans="16:22" x14ac:dyDescent="0.25">
      <c r="P63" s="1">
        <f t="shared" si="4"/>
        <v>1.0600000000000005</v>
      </c>
      <c r="Q63" s="1">
        <f t="shared" si="1"/>
        <v>4806.6963399684491</v>
      </c>
      <c r="R63" s="1">
        <f t="shared" si="2"/>
        <v>1</v>
      </c>
      <c r="T63" s="1">
        <f t="shared" si="5"/>
        <v>0.18499999999999997</v>
      </c>
      <c r="U63" s="1">
        <f t="shared" si="6"/>
        <v>5071.570218835348</v>
      </c>
      <c r="V63" s="1">
        <f t="shared" si="0"/>
        <v>8.5152056174016E-2</v>
      </c>
    </row>
    <row r="64" spans="16:22" x14ac:dyDescent="0.25">
      <c r="P64" s="1">
        <f t="shared" si="4"/>
        <v>1.0800000000000005</v>
      </c>
      <c r="Q64" s="1">
        <f t="shared" si="1"/>
        <v>4893.5614619120788</v>
      </c>
      <c r="R64" s="1">
        <f t="shared" si="2"/>
        <v>1</v>
      </c>
      <c r="T64" s="1">
        <f t="shared" si="5"/>
        <v>0.18499999999999997</v>
      </c>
      <c r="U64" s="1">
        <f t="shared" si="6"/>
        <v>5071.570218835348</v>
      </c>
      <c r="V64" s="1">
        <f t="shared" si="0"/>
        <v>8.5152056174016E-2</v>
      </c>
    </row>
    <row r="65" spans="16:22" x14ac:dyDescent="0.25">
      <c r="P65" s="1">
        <f t="shared" si="4"/>
        <v>1.1000000000000005</v>
      </c>
      <c r="Q65" s="1">
        <f t="shared" si="1"/>
        <v>4980.288923365194</v>
      </c>
      <c r="R65" s="1">
        <f t="shared" si="2"/>
        <v>0.99796501087555567</v>
      </c>
      <c r="T65" s="1">
        <f t="shared" si="5"/>
        <v>0.18499999999999997</v>
      </c>
      <c r="U65" s="1">
        <f t="shared" si="6"/>
        <v>5071.570218835348</v>
      </c>
      <c r="V65" s="1">
        <f t="shared" si="0"/>
        <v>8.5152056174016E-2</v>
      </c>
    </row>
    <row r="66" spans="16:22" x14ac:dyDescent="0.25">
      <c r="P66" s="1">
        <f t="shared" si="4"/>
        <v>1.1200000000000006</v>
      </c>
      <c r="Q66" s="1">
        <f t="shared" si="1"/>
        <v>5066.686671446434</v>
      </c>
      <c r="R66" s="1">
        <f t="shared" si="2"/>
        <v>0.13398753006315534</v>
      </c>
      <c r="T66" s="1">
        <f t="shared" si="5"/>
        <v>0.18499999999999997</v>
      </c>
      <c r="U66" s="1">
        <f t="shared" si="6"/>
        <v>5071.570218835348</v>
      </c>
      <c r="V66" s="1">
        <f t="shared" si="0"/>
        <v>8.5152056174016E-2</v>
      </c>
    </row>
    <row r="67" spans="16:22" x14ac:dyDescent="0.25">
      <c r="P67" s="1">
        <f t="shared" si="4"/>
        <v>1.1400000000000006</v>
      </c>
      <c r="Q67" s="1">
        <f t="shared" si="1"/>
        <v>5071.3166707751725</v>
      </c>
      <c r="R67" s="1">
        <f t="shared" si="2"/>
        <v>8.7687536775770902E-2</v>
      </c>
      <c r="T67" s="1">
        <f t="shared" si="5"/>
        <v>0.18499999999999997</v>
      </c>
      <c r="U67" s="1">
        <f t="shared" si="6"/>
        <v>5071.570218835348</v>
      </c>
      <c r="V67" s="1">
        <f t="shared" si="0"/>
        <v>8.5152056174016E-2</v>
      </c>
    </row>
    <row r="68" spans="16:22" x14ac:dyDescent="0.25">
      <c r="P68" s="1">
        <f t="shared" si="4"/>
        <v>1.1600000000000006</v>
      </c>
      <c r="Q68" s="1">
        <f t="shared" si="1"/>
        <v>5071.5647894386811</v>
      </c>
      <c r="R68" s="1">
        <f t="shared" si="2"/>
        <v>8.520635014068445E-2</v>
      </c>
      <c r="T68" s="1">
        <f t="shared" si="5"/>
        <v>0.18499999999999997</v>
      </c>
      <c r="U68" s="1">
        <f t="shared" si="6"/>
        <v>5071.570218835348</v>
      </c>
      <c r="V68" s="1">
        <f t="shared" si="0"/>
        <v>8.5152056174016E-2</v>
      </c>
    </row>
    <row r="69" spans="16:22" x14ac:dyDescent="0.25">
      <c r="P69" s="1">
        <f t="shared" si="4"/>
        <v>1.1600000000000006</v>
      </c>
      <c r="Q69" s="1">
        <f t="shared" si="1"/>
        <v>5071.5647894386811</v>
      </c>
      <c r="R69" s="1">
        <f t="shared" si="2"/>
        <v>8.520635014068445E-2</v>
      </c>
      <c r="T69" s="1">
        <f t="shared" si="5"/>
        <v>0.18499999999999997</v>
      </c>
      <c r="U69" s="1">
        <f t="shared" si="6"/>
        <v>5071.570218835348</v>
      </c>
      <c r="V69" s="1">
        <f t="shared" si="0"/>
        <v>8.5152056174016E-2</v>
      </c>
    </row>
    <row r="70" spans="16:22" x14ac:dyDescent="0.25">
      <c r="P70" s="1">
        <f t="shared" si="4"/>
        <v>1.1600000000000006</v>
      </c>
      <c r="Q70" s="1">
        <f t="shared" si="1"/>
        <v>5071.5647894386811</v>
      </c>
      <c r="R70" s="1">
        <f t="shared" si="2"/>
        <v>8.520635014068445E-2</v>
      </c>
      <c r="T70" s="1">
        <f t="shared" si="5"/>
        <v>0.18499999999999997</v>
      </c>
      <c r="U70" s="1">
        <f t="shared" si="6"/>
        <v>5071.570218835348</v>
      </c>
      <c r="V70" s="1">
        <f t="shared" si="0"/>
        <v>8.5152056174016E-2</v>
      </c>
    </row>
    <row r="71" spans="16:22" x14ac:dyDescent="0.25">
      <c r="P71" s="1">
        <f t="shared" si="4"/>
        <v>1.1600000000000006</v>
      </c>
      <c r="Q71" s="1">
        <f t="shared" si="1"/>
        <v>5071.5647894386811</v>
      </c>
      <c r="R71" s="1">
        <f t="shared" si="2"/>
        <v>8.520635014068445E-2</v>
      </c>
      <c r="T71" s="1">
        <f t="shared" si="5"/>
        <v>0.18499999999999997</v>
      </c>
      <c r="U71" s="1">
        <f t="shared" si="6"/>
        <v>5071.570218835348</v>
      </c>
      <c r="V71" s="1">
        <f t="shared" si="0"/>
        <v>8.5152056174016E-2</v>
      </c>
    </row>
    <row r="72" spans="16:22" x14ac:dyDescent="0.25">
      <c r="P72" s="1">
        <f t="shared" si="4"/>
        <v>1.1600000000000006</v>
      </c>
      <c r="Q72" s="1">
        <f t="shared" si="1"/>
        <v>5071.5647894386811</v>
      </c>
      <c r="R72" s="1">
        <f t="shared" si="2"/>
        <v>8.520635014068445E-2</v>
      </c>
      <c r="T72" s="1">
        <f t="shared" si="5"/>
        <v>0.18499999999999997</v>
      </c>
      <c r="U72" s="1">
        <f t="shared" si="6"/>
        <v>5071.570218835348</v>
      </c>
      <c r="V72" s="1">
        <f t="shared" si="0"/>
        <v>8.5152056174016E-2</v>
      </c>
    </row>
    <row r="73" spans="16:22" x14ac:dyDescent="0.25">
      <c r="P73" s="1">
        <f t="shared" si="4"/>
        <v>1.1600000000000006</v>
      </c>
      <c r="Q73" s="1">
        <f t="shared" si="1"/>
        <v>5071.5647894386811</v>
      </c>
      <c r="R73" s="1">
        <f t="shared" si="2"/>
        <v>8.520635014068445E-2</v>
      </c>
      <c r="T73" s="1">
        <f t="shared" si="5"/>
        <v>0.18499999999999997</v>
      </c>
      <c r="U73" s="1">
        <f t="shared" si="6"/>
        <v>5071.570218835348</v>
      </c>
      <c r="V73" s="1">
        <f t="shared" si="0"/>
        <v>8.5152056174016E-2</v>
      </c>
    </row>
    <row r="74" spans="16:22" x14ac:dyDescent="0.25">
      <c r="P74" s="1">
        <f t="shared" si="4"/>
        <v>1.1600000000000006</v>
      </c>
      <c r="Q74" s="1">
        <f t="shared" si="1"/>
        <v>5071.5647894386811</v>
      </c>
      <c r="R74" s="1">
        <f t="shared" si="2"/>
        <v>8.520635014068445E-2</v>
      </c>
      <c r="T74" s="1">
        <f t="shared" si="5"/>
        <v>0.18499999999999997</v>
      </c>
      <c r="U74" s="1">
        <f t="shared" si="6"/>
        <v>5071.570218835348</v>
      </c>
      <c r="V74" s="1">
        <f t="shared" ref="V74:V137" si="7">MAX(-1,MIN(1, $H$7+$I$7*($D$15-U74)))</f>
        <v>8.5152056174016E-2</v>
      </c>
    </row>
    <row r="75" spans="16:22" x14ac:dyDescent="0.25">
      <c r="P75" s="1">
        <f t="shared" si="4"/>
        <v>1.1600000000000006</v>
      </c>
      <c r="Q75" s="1">
        <f t="shared" si="1"/>
        <v>5071.5647894386811</v>
      </c>
      <c r="R75" s="1">
        <f t="shared" si="2"/>
        <v>8.520635014068445E-2</v>
      </c>
      <c r="T75" s="1">
        <f t="shared" si="5"/>
        <v>0.18499999999999997</v>
      </c>
      <c r="U75" s="1">
        <f t="shared" si="6"/>
        <v>5071.570218835348</v>
      </c>
      <c r="V75" s="1">
        <f t="shared" si="7"/>
        <v>8.5152056174016E-2</v>
      </c>
    </row>
    <row r="76" spans="16:22" x14ac:dyDescent="0.25">
      <c r="P76" s="1">
        <f t="shared" si="4"/>
        <v>1.1600000000000006</v>
      </c>
      <c r="Q76" s="1">
        <f t="shared" ref="Q76:Q139" si="8">IF(P76=P75, Q75, Q75+0.02*$E$8*(R75-$D$14*(Q75*PI()/30)/$E$7)/($E$16/$D$14+$E$18*$D$14/$D$20^2)*30/PI())</f>
        <v>5071.5647894386811</v>
      </c>
      <c r="R76" s="1">
        <f t="shared" ref="R76:R139" si="9">MAX(-1,MIN(1, $H$7+$I$7*($D$15-Q76)))</f>
        <v>8.520635014068445E-2</v>
      </c>
      <c r="T76" s="1">
        <f t="shared" si="5"/>
        <v>0.18499999999999997</v>
      </c>
      <c r="U76" s="1">
        <f t="shared" si="6"/>
        <v>5071.570218835348</v>
      </c>
      <c r="V76" s="1">
        <f t="shared" si="7"/>
        <v>8.5152056174016E-2</v>
      </c>
    </row>
    <row r="77" spans="16:22" x14ac:dyDescent="0.25">
      <c r="P77" s="1">
        <f t="shared" ref="P77:P140" si="10">IF(AND(ABS(Q76-Q75)&lt;0.01/0.02, ABS(Q76-$D$15)/$D$15&lt;0.02), P76, P76+0.02)</f>
        <v>1.1600000000000006</v>
      </c>
      <c r="Q77" s="1">
        <f t="shared" si="8"/>
        <v>5071.5647894386811</v>
      </c>
      <c r="R77" s="1">
        <f t="shared" si="9"/>
        <v>8.520635014068445E-2</v>
      </c>
      <c r="T77" s="1">
        <f t="shared" si="5"/>
        <v>0.18499999999999997</v>
      </c>
      <c r="U77" s="1">
        <f t="shared" si="6"/>
        <v>5071.570218835348</v>
      </c>
      <c r="V77" s="1">
        <f t="shared" si="7"/>
        <v>8.5152056174016E-2</v>
      </c>
    </row>
    <row r="78" spans="16:22" x14ac:dyDescent="0.25">
      <c r="P78" s="1">
        <f t="shared" si="10"/>
        <v>1.1600000000000006</v>
      </c>
      <c r="Q78" s="1">
        <f t="shared" si="8"/>
        <v>5071.5647894386811</v>
      </c>
      <c r="R78" s="1">
        <f t="shared" si="9"/>
        <v>8.520635014068445E-2</v>
      </c>
      <c r="T78" s="1">
        <f t="shared" si="5"/>
        <v>0.18499999999999997</v>
      </c>
      <c r="U78" s="1">
        <f t="shared" si="6"/>
        <v>5071.570218835348</v>
      </c>
      <c r="V78" s="1">
        <f t="shared" si="7"/>
        <v>8.5152056174016E-2</v>
      </c>
    </row>
    <row r="79" spans="16:22" x14ac:dyDescent="0.25">
      <c r="P79" s="1">
        <f t="shared" si="10"/>
        <v>1.1600000000000006</v>
      </c>
      <c r="Q79" s="1">
        <f t="shared" si="8"/>
        <v>5071.5647894386811</v>
      </c>
      <c r="R79" s="1">
        <f t="shared" si="9"/>
        <v>8.520635014068445E-2</v>
      </c>
      <c r="T79" s="1">
        <f t="shared" si="5"/>
        <v>0.18499999999999997</v>
      </c>
      <c r="U79" s="1">
        <f t="shared" si="6"/>
        <v>5071.570218835348</v>
      </c>
      <c r="V79" s="1">
        <f t="shared" si="7"/>
        <v>8.5152056174016E-2</v>
      </c>
    </row>
    <row r="80" spans="16:22" x14ac:dyDescent="0.25">
      <c r="P80" s="1">
        <f t="shared" si="10"/>
        <v>1.1600000000000006</v>
      </c>
      <c r="Q80" s="1">
        <f t="shared" si="8"/>
        <v>5071.5647894386811</v>
      </c>
      <c r="R80" s="1">
        <f t="shared" si="9"/>
        <v>8.520635014068445E-2</v>
      </c>
      <c r="T80" s="1">
        <f t="shared" si="5"/>
        <v>0.18499999999999997</v>
      </c>
      <c r="U80" s="1">
        <f t="shared" si="6"/>
        <v>5071.570218835348</v>
      </c>
      <c r="V80" s="1">
        <f t="shared" si="7"/>
        <v>8.5152056174016E-2</v>
      </c>
    </row>
    <row r="81" spans="16:22" x14ac:dyDescent="0.25">
      <c r="P81" s="1">
        <f t="shared" si="10"/>
        <v>1.1600000000000006</v>
      </c>
      <c r="Q81" s="1">
        <f t="shared" si="8"/>
        <v>5071.5647894386811</v>
      </c>
      <c r="R81" s="1">
        <f t="shared" si="9"/>
        <v>8.520635014068445E-2</v>
      </c>
      <c r="T81" s="1">
        <f t="shared" si="5"/>
        <v>0.18499999999999997</v>
      </c>
      <c r="U81" s="1">
        <f t="shared" si="6"/>
        <v>5071.570218835348</v>
      </c>
      <c r="V81" s="1">
        <f t="shared" si="7"/>
        <v>8.5152056174016E-2</v>
      </c>
    </row>
    <row r="82" spans="16:22" x14ac:dyDescent="0.25">
      <c r="P82" s="1">
        <f t="shared" si="10"/>
        <v>1.1600000000000006</v>
      </c>
      <c r="Q82" s="1">
        <f t="shared" si="8"/>
        <v>5071.5647894386811</v>
      </c>
      <c r="R82" s="1">
        <f t="shared" si="9"/>
        <v>8.520635014068445E-2</v>
      </c>
      <c r="T82" s="1">
        <f t="shared" si="5"/>
        <v>0.18499999999999997</v>
      </c>
      <c r="U82" s="1">
        <f t="shared" si="6"/>
        <v>5071.570218835348</v>
      </c>
      <c r="V82" s="1">
        <f t="shared" si="7"/>
        <v>8.5152056174016E-2</v>
      </c>
    </row>
    <row r="83" spans="16:22" x14ac:dyDescent="0.25">
      <c r="P83" s="1">
        <f t="shared" si="10"/>
        <v>1.1600000000000006</v>
      </c>
      <c r="Q83" s="1">
        <f t="shared" si="8"/>
        <v>5071.5647894386811</v>
      </c>
      <c r="R83" s="1">
        <f t="shared" si="9"/>
        <v>8.520635014068445E-2</v>
      </c>
      <c r="T83" s="1">
        <f t="shared" si="5"/>
        <v>0.18499999999999997</v>
      </c>
      <c r="U83" s="1">
        <f t="shared" si="6"/>
        <v>5071.570218835348</v>
      </c>
      <c r="V83" s="1">
        <f t="shared" si="7"/>
        <v>8.5152056174016E-2</v>
      </c>
    </row>
    <row r="84" spans="16:22" x14ac:dyDescent="0.25">
      <c r="P84" s="1">
        <f t="shared" si="10"/>
        <v>1.1600000000000006</v>
      </c>
      <c r="Q84" s="1">
        <f t="shared" si="8"/>
        <v>5071.5647894386811</v>
      </c>
      <c r="R84" s="1">
        <f t="shared" si="9"/>
        <v>8.520635014068445E-2</v>
      </c>
      <c r="T84" s="1">
        <f t="shared" si="5"/>
        <v>0.18499999999999997</v>
      </c>
      <c r="U84" s="1">
        <f t="shared" si="6"/>
        <v>5071.570218835348</v>
      </c>
      <c r="V84" s="1">
        <f t="shared" si="7"/>
        <v>8.5152056174016E-2</v>
      </c>
    </row>
    <row r="85" spans="16:22" x14ac:dyDescent="0.25">
      <c r="P85" s="1">
        <f t="shared" si="10"/>
        <v>1.1600000000000006</v>
      </c>
      <c r="Q85" s="1">
        <f t="shared" si="8"/>
        <v>5071.5647894386811</v>
      </c>
      <c r="R85" s="1">
        <f t="shared" si="9"/>
        <v>8.520635014068445E-2</v>
      </c>
      <c r="T85" s="1">
        <f t="shared" si="5"/>
        <v>0.18499999999999997</v>
      </c>
      <c r="U85" s="1">
        <f t="shared" si="6"/>
        <v>5071.570218835348</v>
      </c>
      <c r="V85" s="1">
        <f t="shared" si="7"/>
        <v>8.5152056174016E-2</v>
      </c>
    </row>
    <row r="86" spans="16:22" x14ac:dyDescent="0.25">
      <c r="P86" s="1">
        <f t="shared" si="10"/>
        <v>1.1600000000000006</v>
      </c>
      <c r="Q86" s="1">
        <f t="shared" si="8"/>
        <v>5071.5647894386811</v>
      </c>
      <c r="R86" s="1">
        <f t="shared" si="9"/>
        <v>8.520635014068445E-2</v>
      </c>
      <c r="T86" s="1">
        <f t="shared" ref="T86:T149" si="11">IF(AND(ABS(U85-U84)&lt;0.01/0.02, ABS(U85-$D$15)/$D$15&lt;0.02), T85, T85+0.02)</f>
        <v>0.18499999999999997</v>
      </c>
      <c r="U86" s="1">
        <f t="shared" ref="U86:U149" si="12">IF(T86=T85, U85, U85+0.02*$E$8*(V85-$D$14*(U85*PI()/30)/$E$7)/($E$16/$D$14+$E$18*$D$14/$D$20^2)*30/PI())</f>
        <v>5071.570218835348</v>
      </c>
      <c r="V86" s="1">
        <f t="shared" si="7"/>
        <v>8.5152056174016E-2</v>
      </c>
    </row>
    <row r="87" spans="16:22" x14ac:dyDescent="0.25">
      <c r="P87" s="1">
        <f t="shared" si="10"/>
        <v>1.1600000000000006</v>
      </c>
      <c r="Q87" s="1">
        <f t="shared" si="8"/>
        <v>5071.5647894386811</v>
      </c>
      <c r="R87" s="1">
        <f t="shared" si="9"/>
        <v>8.520635014068445E-2</v>
      </c>
      <c r="T87" s="1">
        <f t="shared" si="11"/>
        <v>0.18499999999999997</v>
      </c>
      <c r="U87" s="1">
        <f t="shared" si="12"/>
        <v>5071.570218835348</v>
      </c>
      <c r="V87" s="1">
        <f t="shared" si="7"/>
        <v>8.5152056174016E-2</v>
      </c>
    </row>
    <row r="88" spans="16:22" x14ac:dyDescent="0.25">
      <c r="P88" s="1">
        <f t="shared" si="10"/>
        <v>1.1600000000000006</v>
      </c>
      <c r="Q88" s="1">
        <f t="shared" si="8"/>
        <v>5071.5647894386811</v>
      </c>
      <c r="R88" s="1">
        <f t="shared" si="9"/>
        <v>8.520635014068445E-2</v>
      </c>
      <c r="T88" s="1">
        <f t="shared" si="11"/>
        <v>0.18499999999999997</v>
      </c>
      <c r="U88" s="1">
        <f t="shared" si="12"/>
        <v>5071.570218835348</v>
      </c>
      <c r="V88" s="1">
        <f t="shared" si="7"/>
        <v>8.5152056174016E-2</v>
      </c>
    </row>
    <row r="89" spans="16:22" x14ac:dyDescent="0.25">
      <c r="P89" s="1">
        <f t="shared" si="10"/>
        <v>1.1600000000000006</v>
      </c>
      <c r="Q89" s="1">
        <f t="shared" si="8"/>
        <v>5071.5647894386811</v>
      </c>
      <c r="R89" s="1">
        <f t="shared" si="9"/>
        <v>8.520635014068445E-2</v>
      </c>
      <c r="T89" s="1">
        <f t="shared" si="11"/>
        <v>0.18499999999999997</v>
      </c>
      <c r="U89" s="1">
        <f t="shared" si="12"/>
        <v>5071.570218835348</v>
      </c>
      <c r="V89" s="1">
        <f t="shared" si="7"/>
        <v>8.5152056174016E-2</v>
      </c>
    </row>
    <row r="90" spans="16:22" x14ac:dyDescent="0.25">
      <c r="P90" s="1">
        <f t="shared" si="10"/>
        <v>1.1600000000000006</v>
      </c>
      <c r="Q90" s="1">
        <f t="shared" si="8"/>
        <v>5071.5647894386811</v>
      </c>
      <c r="R90" s="1">
        <f t="shared" si="9"/>
        <v>8.520635014068445E-2</v>
      </c>
      <c r="T90" s="1">
        <f t="shared" si="11"/>
        <v>0.18499999999999997</v>
      </c>
      <c r="U90" s="1">
        <f t="shared" si="12"/>
        <v>5071.570218835348</v>
      </c>
      <c r="V90" s="1">
        <f t="shared" si="7"/>
        <v>8.5152056174016E-2</v>
      </c>
    </row>
    <row r="91" spans="16:22" x14ac:dyDescent="0.25">
      <c r="P91" s="1">
        <f t="shared" si="10"/>
        <v>1.1600000000000006</v>
      </c>
      <c r="Q91" s="1">
        <f t="shared" si="8"/>
        <v>5071.5647894386811</v>
      </c>
      <c r="R91" s="1">
        <f t="shared" si="9"/>
        <v>8.520635014068445E-2</v>
      </c>
      <c r="T91" s="1">
        <f t="shared" si="11"/>
        <v>0.18499999999999997</v>
      </c>
      <c r="U91" s="1">
        <f t="shared" si="12"/>
        <v>5071.570218835348</v>
      </c>
      <c r="V91" s="1">
        <f t="shared" si="7"/>
        <v>8.5152056174016E-2</v>
      </c>
    </row>
    <row r="92" spans="16:22" x14ac:dyDescent="0.25">
      <c r="P92" s="1">
        <f t="shared" si="10"/>
        <v>1.1600000000000006</v>
      </c>
      <c r="Q92" s="1">
        <f t="shared" si="8"/>
        <v>5071.5647894386811</v>
      </c>
      <c r="R92" s="1">
        <f t="shared" si="9"/>
        <v>8.520635014068445E-2</v>
      </c>
      <c r="T92" s="1">
        <f t="shared" si="11"/>
        <v>0.18499999999999997</v>
      </c>
      <c r="U92" s="1">
        <f t="shared" si="12"/>
        <v>5071.570218835348</v>
      </c>
      <c r="V92" s="1">
        <f t="shared" si="7"/>
        <v>8.5152056174016E-2</v>
      </c>
    </row>
    <row r="93" spans="16:22" x14ac:dyDescent="0.25">
      <c r="P93" s="1">
        <f t="shared" si="10"/>
        <v>1.1600000000000006</v>
      </c>
      <c r="Q93" s="1">
        <f t="shared" si="8"/>
        <v>5071.5647894386811</v>
      </c>
      <c r="R93" s="1">
        <f t="shared" si="9"/>
        <v>8.520635014068445E-2</v>
      </c>
      <c r="T93" s="1">
        <f t="shared" si="11"/>
        <v>0.18499999999999997</v>
      </c>
      <c r="U93" s="1">
        <f t="shared" si="12"/>
        <v>5071.570218835348</v>
      </c>
      <c r="V93" s="1">
        <f t="shared" si="7"/>
        <v>8.5152056174016E-2</v>
      </c>
    </row>
    <row r="94" spans="16:22" x14ac:dyDescent="0.25">
      <c r="P94" s="1">
        <f t="shared" si="10"/>
        <v>1.1600000000000006</v>
      </c>
      <c r="Q94" s="1">
        <f t="shared" si="8"/>
        <v>5071.5647894386811</v>
      </c>
      <c r="R94" s="1">
        <f t="shared" si="9"/>
        <v>8.520635014068445E-2</v>
      </c>
      <c r="T94" s="1">
        <f t="shared" si="11"/>
        <v>0.18499999999999997</v>
      </c>
      <c r="U94" s="1">
        <f t="shared" si="12"/>
        <v>5071.570218835348</v>
      </c>
      <c r="V94" s="1">
        <f t="shared" si="7"/>
        <v>8.5152056174016E-2</v>
      </c>
    </row>
    <row r="95" spans="16:22" x14ac:dyDescent="0.25">
      <c r="P95" s="1">
        <f t="shared" si="10"/>
        <v>1.1600000000000006</v>
      </c>
      <c r="Q95" s="1">
        <f t="shared" si="8"/>
        <v>5071.5647894386811</v>
      </c>
      <c r="R95" s="1">
        <f t="shared" si="9"/>
        <v>8.520635014068445E-2</v>
      </c>
      <c r="T95" s="1">
        <f t="shared" si="11"/>
        <v>0.18499999999999997</v>
      </c>
      <c r="U95" s="1">
        <f t="shared" si="12"/>
        <v>5071.570218835348</v>
      </c>
      <c r="V95" s="1">
        <f t="shared" si="7"/>
        <v>8.5152056174016E-2</v>
      </c>
    </row>
    <row r="96" spans="16:22" x14ac:dyDescent="0.25">
      <c r="P96" s="1">
        <f t="shared" si="10"/>
        <v>1.1600000000000006</v>
      </c>
      <c r="Q96" s="1">
        <f t="shared" si="8"/>
        <v>5071.5647894386811</v>
      </c>
      <c r="R96" s="1">
        <f t="shared" si="9"/>
        <v>8.520635014068445E-2</v>
      </c>
      <c r="T96" s="1">
        <f t="shared" si="11"/>
        <v>0.18499999999999997</v>
      </c>
      <c r="U96" s="1">
        <f t="shared" si="12"/>
        <v>5071.570218835348</v>
      </c>
      <c r="V96" s="1">
        <f t="shared" si="7"/>
        <v>8.5152056174016E-2</v>
      </c>
    </row>
    <row r="97" spans="16:22" x14ac:dyDescent="0.25">
      <c r="P97" s="1">
        <f t="shared" si="10"/>
        <v>1.1600000000000006</v>
      </c>
      <c r="Q97" s="1">
        <f t="shared" si="8"/>
        <v>5071.5647894386811</v>
      </c>
      <c r="R97" s="1">
        <f t="shared" si="9"/>
        <v>8.520635014068445E-2</v>
      </c>
      <c r="T97" s="1">
        <f t="shared" si="11"/>
        <v>0.18499999999999997</v>
      </c>
      <c r="U97" s="1">
        <f t="shared" si="12"/>
        <v>5071.570218835348</v>
      </c>
      <c r="V97" s="1">
        <f t="shared" si="7"/>
        <v>8.5152056174016E-2</v>
      </c>
    </row>
    <row r="98" spans="16:22" x14ac:dyDescent="0.25">
      <c r="P98" s="1">
        <f t="shared" si="10"/>
        <v>1.1600000000000006</v>
      </c>
      <c r="Q98" s="1">
        <f t="shared" si="8"/>
        <v>5071.5647894386811</v>
      </c>
      <c r="R98" s="1">
        <f t="shared" si="9"/>
        <v>8.520635014068445E-2</v>
      </c>
      <c r="T98" s="1">
        <f t="shared" si="11"/>
        <v>0.18499999999999997</v>
      </c>
      <c r="U98" s="1">
        <f t="shared" si="12"/>
        <v>5071.570218835348</v>
      </c>
      <c r="V98" s="1">
        <f t="shared" si="7"/>
        <v>8.5152056174016E-2</v>
      </c>
    </row>
    <row r="99" spans="16:22" x14ac:dyDescent="0.25">
      <c r="P99" s="1">
        <f t="shared" si="10"/>
        <v>1.1600000000000006</v>
      </c>
      <c r="Q99" s="1">
        <f t="shared" si="8"/>
        <v>5071.5647894386811</v>
      </c>
      <c r="R99" s="1">
        <f t="shared" si="9"/>
        <v>8.520635014068445E-2</v>
      </c>
      <c r="T99" s="1">
        <f t="shared" si="11"/>
        <v>0.18499999999999997</v>
      </c>
      <c r="U99" s="1">
        <f t="shared" si="12"/>
        <v>5071.570218835348</v>
      </c>
      <c r="V99" s="1">
        <f t="shared" si="7"/>
        <v>8.5152056174016E-2</v>
      </c>
    </row>
    <row r="100" spans="16:22" x14ac:dyDescent="0.25">
      <c r="P100" s="1">
        <f t="shared" si="10"/>
        <v>1.1600000000000006</v>
      </c>
      <c r="Q100" s="1">
        <f t="shared" si="8"/>
        <v>5071.5647894386811</v>
      </c>
      <c r="R100" s="1">
        <f t="shared" si="9"/>
        <v>8.520635014068445E-2</v>
      </c>
      <c r="T100" s="1">
        <f t="shared" si="11"/>
        <v>0.18499999999999997</v>
      </c>
      <c r="U100" s="1">
        <f t="shared" si="12"/>
        <v>5071.570218835348</v>
      </c>
      <c r="V100" s="1">
        <f t="shared" si="7"/>
        <v>8.5152056174016E-2</v>
      </c>
    </row>
    <row r="101" spans="16:22" x14ac:dyDescent="0.25">
      <c r="P101" s="1">
        <f t="shared" si="10"/>
        <v>1.1600000000000006</v>
      </c>
      <c r="Q101" s="1">
        <f t="shared" si="8"/>
        <v>5071.5647894386811</v>
      </c>
      <c r="R101" s="1">
        <f t="shared" si="9"/>
        <v>8.520635014068445E-2</v>
      </c>
      <c r="T101" s="1">
        <f t="shared" si="11"/>
        <v>0.18499999999999997</v>
      </c>
      <c r="U101" s="1">
        <f t="shared" si="12"/>
        <v>5071.570218835348</v>
      </c>
      <c r="V101" s="1">
        <f t="shared" si="7"/>
        <v>8.5152056174016E-2</v>
      </c>
    </row>
    <row r="102" spans="16:22" x14ac:dyDescent="0.25">
      <c r="P102" s="1">
        <f t="shared" si="10"/>
        <v>1.1600000000000006</v>
      </c>
      <c r="Q102" s="1">
        <f t="shared" si="8"/>
        <v>5071.5647894386811</v>
      </c>
      <c r="R102" s="1">
        <f t="shared" si="9"/>
        <v>8.520635014068445E-2</v>
      </c>
      <c r="T102" s="1">
        <f t="shared" si="11"/>
        <v>0.18499999999999997</v>
      </c>
      <c r="U102" s="1">
        <f t="shared" si="12"/>
        <v>5071.570218835348</v>
      </c>
      <c r="V102" s="1">
        <f t="shared" si="7"/>
        <v>8.5152056174016E-2</v>
      </c>
    </row>
    <row r="103" spans="16:22" x14ac:dyDescent="0.25">
      <c r="P103" s="1">
        <f t="shared" si="10"/>
        <v>1.1600000000000006</v>
      </c>
      <c r="Q103" s="1">
        <f t="shared" si="8"/>
        <v>5071.5647894386811</v>
      </c>
      <c r="R103" s="1">
        <f t="shared" si="9"/>
        <v>8.520635014068445E-2</v>
      </c>
      <c r="T103" s="1">
        <f t="shared" si="11"/>
        <v>0.18499999999999997</v>
      </c>
      <c r="U103" s="1">
        <f t="shared" si="12"/>
        <v>5071.570218835348</v>
      </c>
      <c r="V103" s="1">
        <f t="shared" si="7"/>
        <v>8.5152056174016E-2</v>
      </c>
    </row>
    <row r="104" spans="16:22" x14ac:dyDescent="0.25">
      <c r="P104" s="1">
        <f t="shared" si="10"/>
        <v>1.1600000000000006</v>
      </c>
      <c r="Q104" s="1">
        <f t="shared" si="8"/>
        <v>5071.5647894386811</v>
      </c>
      <c r="R104" s="1">
        <f t="shared" si="9"/>
        <v>8.520635014068445E-2</v>
      </c>
      <c r="T104" s="1">
        <f t="shared" si="11"/>
        <v>0.18499999999999997</v>
      </c>
      <c r="U104" s="1">
        <f t="shared" si="12"/>
        <v>5071.570218835348</v>
      </c>
      <c r="V104" s="1">
        <f t="shared" si="7"/>
        <v>8.5152056174016E-2</v>
      </c>
    </row>
    <row r="105" spans="16:22" x14ac:dyDescent="0.25">
      <c r="P105" s="1">
        <f t="shared" si="10"/>
        <v>1.1600000000000006</v>
      </c>
      <c r="Q105" s="1">
        <f t="shared" si="8"/>
        <v>5071.5647894386811</v>
      </c>
      <c r="R105" s="1">
        <f t="shared" si="9"/>
        <v>8.520635014068445E-2</v>
      </c>
      <c r="T105" s="1">
        <f t="shared" si="11"/>
        <v>0.18499999999999997</v>
      </c>
      <c r="U105" s="1">
        <f t="shared" si="12"/>
        <v>5071.570218835348</v>
      </c>
      <c r="V105" s="1">
        <f t="shared" si="7"/>
        <v>8.5152056174016E-2</v>
      </c>
    </row>
    <row r="106" spans="16:22" x14ac:dyDescent="0.25">
      <c r="P106" s="1">
        <f t="shared" si="10"/>
        <v>1.1600000000000006</v>
      </c>
      <c r="Q106" s="1">
        <f t="shared" si="8"/>
        <v>5071.5647894386811</v>
      </c>
      <c r="R106" s="1">
        <f t="shared" si="9"/>
        <v>8.520635014068445E-2</v>
      </c>
      <c r="T106" s="1">
        <f t="shared" si="11"/>
        <v>0.18499999999999997</v>
      </c>
      <c r="U106" s="1">
        <f t="shared" si="12"/>
        <v>5071.570218835348</v>
      </c>
      <c r="V106" s="1">
        <f t="shared" si="7"/>
        <v>8.5152056174016E-2</v>
      </c>
    </row>
    <row r="107" spans="16:22" x14ac:dyDescent="0.25">
      <c r="P107" s="1">
        <f t="shared" si="10"/>
        <v>1.1600000000000006</v>
      </c>
      <c r="Q107" s="1">
        <f t="shared" si="8"/>
        <v>5071.5647894386811</v>
      </c>
      <c r="R107" s="1">
        <f t="shared" si="9"/>
        <v>8.520635014068445E-2</v>
      </c>
      <c r="T107" s="1">
        <f t="shared" si="11"/>
        <v>0.18499999999999997</v>
      </c>
      <c r="U107" s="1">
        <f t="shared" si="12"/>
        <v>5071.570218835348</v>
      </c>
      <c r="V107" s="1">
        <f t="shared" si="7"/>
        <v>8.5152056174016E-2</v>
      </c>
    </row>
    <row r="108" spans="16:22" x14ac:dyDescent="0.25">
      <c r="P108" s="1">
        <f t="shared" si="10"/>
        <v>1.1600000000000006</v>
      </c>
      <c r="Q108" s="1">
        <f t="shared" si="8"/>
        <v>5071.5647894386811</v>
      </c>
      <c r="R108" s="1">
        <f t="shared" si="9"/>
        <v>8.520635014068445E-2</v>
      </c>
      <c r="T108" s="1">
        <f t="shared" si="11"/>
        <v>0.18499999999999997</v>
      </c>
      <c r="U108" s="1">
        <f t="shared" si="12"/>
        <v>5071.570218835348</v>
      </c>
      <c r="V108" s="1">
        <f t="shared" si="7"/>
        <v>8.5152056174016E-2</v>
      </c>
    </row>
    <row r="109" spans="16:22" x14ac:dyDescent="0.25">
      <c r="P109" s="1">
        <f t="shared" si="10"/>
        <v>1.1600000000000006</v>
      </c>
      <c r="Q109" s="1">
        <f t="shared" si="8"/>
        <v>5071.5647894386811</v>
      </c>
      <c r="R109" s="1">
        <f t="shared" si="9"/>
        <v>8.520635014068445E-2</v>
      </c>
      <c r="T109" s="1">
        <f t="shared" si="11"/>
        <v>0.18499999999999997</v>
      </c>
      <c r="U109" s="1">
        <f t="shared" si="12"/>
        <v>5071.570218835348</v>
      </c>
      <c r="V109" s="1">
        <f t="shared" si="7"/>
        <v>8.5152056174016E-2</v>
      </c>
    </row>
    <row r="110" spans="16:22" x14ac:dyDescent="0.25">
      <c r="P110" s="1">
        <f t="shared" si="10"/>
        <v>1.1600000000000006</v>
      </c>
      <c r="Q110" s="1">
        <f t="shared" si="8"/>
        <v>5071.5647894386811</v>
      </c>
      <c r="R110" s="1">
        <f t="shared" si="9"/>
        <v>8.520635014068445E-2</v>
      </c>
      <c r="T110" s="1">
        <f t="shared" si="11"/>
        <v>0.18499999999999997</v>
      </c>
      <c r="U110" s="1">
        <f t="shared" si="12"/>
        <v>5071.570218835348</v>
      </c>
      <c r="V110" s="1">
        <f t="shared" si="7"/>
        <v>8.5152056174016E-2</v>
      </c>
    </row>
    <row r="111" spans="16:22" x14ac:dyDescent="0.25">
      <c r="P111" s="1">
        <f t="shared" si="10"/>
        <v>1.1600000000000006</v>
      </c>
      <c r="Q111" s="1">
        <f t="shared" si="8"/>
        <v>5071.5647894386811</v>
      </c>
      <c r="R111" s="1">
        <f t="shared" si="9"/>
        <v>8.520635014068445E-2</v>
      </c>
      <c r="T111" s="1">
        <f t="shared" si="11"/>
        <v>0.18499999999999997</v>
      </c>
      <c r="U111" s="1">
        <f t="shared" si="12"/>
        <v>5071.570218835348</v>
      </c>
      <c r="V111" s="1">
        <f t="shared" si="7"/>
        <v>8.5152056174016E-2</v>
      </c>
    </row>
    <row r="112" spans="16:22" x14ac:dyDescent="0.25">
      <c r="P112" s="1">
        <f t="shared" si="10"/>
        <v>1.1600000000000006</v>
      </c>
      <c r="Q112" s="1">
        <f t="shared" si="8"/>
        <v>5071.5647894386811</v>
      </c>
      <c r="R112" s="1">
        <f t="shared" si="9"/>
        <v>8.520635014068445E-2</v>
      </c>
      <c r="T112" s="1">
        <f t="shared" si="11"/>
        <v>0.18499999999999997</v>
      </c>
      <c r="U112" s="1">
        <f t="shared" si="12"/>
        <v>5071.570218835348</v>
      </c>
      <c r="V112" s="1">
        <f t="shared" si="7"/>
        <v>8.5152056174016E-2</v>
      </c>
    </row>
    <row r="113" spans="16:22" x14ac:dyDescent="0.25">
      <c r="P113" s="1">
        <f t="shared" si="10"/>
        <v>1.1600000000000006</v>
      </c>
      <c r="Q113" s="1">
        <f t="shared" si="8"/>
        <v>5071.5647894386811</v>
      </c>
      <c r="R113" s="1">
        <f t="shared" si="9"/>
        <v>8.520635014068445E-2</v>
      </c>
      <c r="T113" s="1">
        <f t="shared" si="11"/>
        <v>0.18499999999999997</v>
      </c>
      <c r="U113" s="1">
        <f t="shared" si="12"/>
        <v>5071.570218835348</v>
      </c>
      <c r="V113" s="1">
        <f t="shared" si="7"/>
        <v>8.5152056174016E-2</v>
      </c>
    </row>
    <row r="114" spans="16:22" x14ac:dyDescent="0.25">
      <c r="P114" s="1">
        <f t="shared" si="10"/>
        <v>1.1600000000000006</v>
      </c>
      <c r="Q114" s="1">
        <f t="shared" si="8"/>
        <v>5071.5647894386811</v>
      </c>
      <c r="R114" s="1">
        <f t="shared" si="9"/>
        <v>8.520635014068445E-2</v>
      </c>
      <c r="T114" s="1">
        <f t="shared" si="11"/>
        <v>0.18499999999999997</v>
      </c>
      <c r="U114" s="1">
        <f t="shared" si="12"/>
        <v>5071.570218835348</v>
      </c>
      <c r="V114" s="1">
        <f t="shared" si="7"/>
        <v>8.5152056174016E-2</v>
      </c>
    </row>
    <row r="115" spans="16:22" x14ac:dyDescent="0.25">
      <c r="P115" s="1">
        <f t="shared" si="10"/>
        <v>1.1600000000000006</v>
      </c>
      <c r="Q115" s="1">
        <f t="shared" si="8"/>
        <v>5071.5647894386811</v>
      </c>
      <c r="R115" s="1">
        <f t="shared" si="9"/>
        <v>8.520635014068445E-2</v>
      </c>
      <c r="T115" s="1">
        <f t="shared" si="11"/>
        <v>0.18499999999999997</v>
      </c>
      <c r="U115" s="1">
        <f t="shared" si="12"/>
        <v>5071.570218835348</v>
      </c>
      <c r="V115" s="1">
        <f t="shared" si="7"/>
        <v>8.5152056174016E-2</v>
      </c>
    </row>
    <row r="116" spans="16:22" x14ac:dyDescent="0.25">
      <c r="P116" s="1">
        <f t="shared" si="10"/>
        <v>1.1600000000000006</v>
      </c>
      <c r="Q116" s="1">
        <f t="shared" si="8"/>
        <v>5071.5647894386811</v>
      </c>
      <c r="R116" s="1">
        <f t="shared" si="9"/>
        <v>8.520635014068445E-2</v>
      </c>
      <c r="T116" s="1">
        <f t="shared" si="11"/>
        <v>0.18499999999999997</v>
      </c>
      <c r="U116" s="1">
        <f t="shared" si="12"/>
        <v>5071.570218835348</v>
      </c>
      <c r="V116" s="1">
        <f t="shared" si="7"/>
        <v>8.5152056174016E-2</v>
      </c>
    </row>
    <row r="117" spans="16:22" x14ac:dyDescent="0.25">
      <c r="P117" s="1">
        <f t="shared" si="10"/>
        <v>1.1600000000000006</v>
      </c>
      <c r="Q117" s="1">
        <f t="shared" si="8"/>
        <v>5071.5647894386811</v>
      </c>
      <c r="R117" s="1">
        <f t="shared" si="9"/>
        <v>8.520635014068445E-2</v>
      </c>
      <c r="T117" s="1">
        <f t="shared" si="11"/>
        <v>0.18499999999999997</v>
      </c>
      <c r="U117" s="1">
        <f t="shared" si="12"/>
        <v>5071.570218835348</v>
      </c>
      <c r="V117" s="1">
        <f t="shared" si="7"/>
        <v>8.5152056174016E-2</v>
      </c>
    </row>
    <row r="118" spans="16:22" x14ac:dyDescent="0.25">
      <c r="P118" s="1">
        <f t="shared" si="10"/>
        <v>1.1600000000000006</v>
      </c>
      <c r="Q118" s="1">
        <f t="shared" si="8"/>
        <v>5071.5647894386811</v>
      </c>
      <c r="R118" s="1">
        <f t="shared" si="9"/>
        <v>8.520635014068445E-2</v>
      </c>
      <c r="T118" s="1">
        <f t="shared" si="11"/>
        <v>0.18499999999999997</v>
      </c>
      <c r="U118" s="1">
        <f t="shared" si="12"/>
        <v>5071.570218835348</v>
      </c>
      <c r="V118" s="1">
        <f t="shared" si="7"/>
        <v>8.5152056174016E-2</v>
      </c>
    </row>
    <row r="119" spans="16:22" x14ac:dyDescent="0.25">
      <c r="P119" s="1">
        <f t="shared" si="10"/>
        <v>1.1600000000000006</v>
      </c>
      <c r="Q119" s="1">
        <f t="shared" si="8"/>
        <v>5071.5647894386811</v>
      </c>
      <c r="R119" s="1">
        <f t="shared" si="9"/>
        <v>8.520635014068445E-2</v>
      </c>
      <c r="T119" s="1">
        <f t="shared" si="11"/>
        <v>0.18499999999999997</v>
      </c>
      <c r="U119" s="1">
        <f t="shared" si="12"/>
        <v>5071.570218835348</v>
      </c>
      <c r="V119" s="1">
        <f t="shared" si="7"/>
        <v>8.5152056174016E-2</v>
      </c>
    </row>
    <row r="120" spans="16:22" x14ac:dyDescent="0.25">
      <c r="P120" s="1">
        <f t="shared" si="10"/>
        <v>1.1600000000000006</v>
      </c>
      <c r="Q120" s="1">
        <f t="shared" si="8"/>
        <v>5071.5647894386811</v>
      </c>
      <c r="R120" s="1">
        <f t="shared" si="9"/>
        <v>8.520635014068445E-2</v>
      </c>
      <c r="T120" s="1">
        <f t="shared" si="11"/>
        <v>0.18499999999999997</v>
      </c>
      <c r="U120" s="1">
        <f t="shared" si="12"/>
        <v>5071.570218835348</v>
      </c>
      <c r="V120" s="1">
        <f t="shared" si="7"/>
        <v>8.5152056174016E-2</v>
      </c>
    </row>
    <row r="121" spans="16:22" x14ac:dyDescent="0.25">
      <c r="P121" s="1">
        <f t="shared" si="10"/>
        <v>1.1600000000000006</v>
      </c>
      <c r="Q121" s="1">
        <f t="shared" si="8"/>
        <v>5071.5647894386811</v>
      </c>
      <c r="R121" s="1">
        <f t="shared" si="9"/>
        <v>8.520635014068445E-2</v>
      </c>
      <c r="T121" s="1">
        <f t="shared" si="11"/>
        <v>0.18499999999999997</v>
      </c>
      <c r="U121" s="1">
        <f t="shared" si="12"/>
        <v>5071.570218835348</v>
      </c>
      <c r="V121" s="1">
        <f t="shared" si="7"/>
        <v>8.5152056174016E-2</v>
      </c>
    </row>
    <row r="122" spans="16:22" x14ac:dyDescent="0.25">
      <c r="P122" s="1">
        <f t="shared" si="10"/>
        <v>1.1600000000000006</v>
      </c>
      <c r="Q122" s="1">
        <f t="shared" si="8"/>
        <v>5071.5647894386811</v>
      </c>
      <c r="R122" s="1">
        <f t="shared" si="9"/>
        <v>8.520635014068445E-2</v>
      </c>
      <c r="T122" s="1">
        <f t="shared" si="11"/>
        <v>0.18499999999999997</v>
      </c>
      <c r="U122" s="1">
        <f t="shared" si="12"/>
        <v>5071.570218835348</v>
      </c>
      <c r="V122" s="1">
        <f t="shared" si="7"/>
        <v>8.5152056174016E-2</v>
      </c>
    </row>
    <row r="123" spans="16:22" x14ac:dyDescent="0.25">
      <c r="P123" s="1">
        <f t="shared" si="10"/>
        <v>1.1600000000000006</v>
      </c>
      <c r="Q123" s="1">
        <f t="shared" si="8"/>
        <v>5071.5647894386811</v>
      </c>
      <c r="R123" s="1">
        <f t="shared" si="9"/>
        <v>8.520635014068445E-2</v>
      </c>
      <c r="T123" s="1">
        <f t="shared" si="11"/>
        <v>0.18499999999999997</v>
      </c>
      <c r="U123" s="1">
        <f t="shared" si="12"/>
        <v>5071.570218835348</v>
      </c>
      <c r="V123" s="1">
        <f t="shared" si="7"/>
        <v>8.5152056174016E-2</v>
      </c>
    </row>
    <row r="124" spans="16:22" x14ac:dyDescent="0.25">
      <c r="P124" s="1">
        <f t="shared" si="10"/>
        <v>1.1600000000000006</v>
      </c>
      <c r="Q124" s="1">
        <f t="shared" si="8"/>
        <v>5071.5647894386811</v>
      </c>
      <c r="R124" s="1">
        <f t="shared" si="9"/>
        <v>8.520635014068445E-2</v>
      </c>
      <c r="T124" s="1">
        <f t="shared" si="11"/>
        <v>0.18499999999999997</v>
      </c>
      <c r="U124" s="1">
        <f t="shared" si="12"/>
        <v>5071.570218835348</v>
      </c>
      <c r="V124" s="1">
        <f t="shared" si="7"/>
        <v>8.5152056174016E-2</v>
      </c>
    </row>
    <row r="125" spans="16:22" x14ac:dyDescent="0.25">
      <c r="P125" s="1">
        <f t="shared" si="10"/>
        <v>1.1600000000000006</v>
      </c>
      <c r="Q125" s="1">
        <f t="shared" si="8"/>
        <v>5071.5647894386811</v>
      </c>
      <c r="R125" s="1">
        <f t="shared" si="9"/>
        <v>8.520635014068445E-2</v>
      </c>
      <c r="T125" s="1">
        <f t="shared" si="11"/>
        <v>0.18499999999999997</v>
      </c>
      <c r="U125" s="1">
        <f t="shared" si="12"/>
        <v>5071.570218835348</v>
      </c>
      <c r="V125" s="1">
        <f t="shared" si="7"/>
        <v>8.5152056174016E-2</v>
      </c>
    </row>
    <row r="126" spans="16:22" x14ac:dyDescent="0.25">
      <c r="P126" s="1">
        <f t="shared" si="10"/>
        <v>1.1600000000000006</v>
      </c>
      <c r="Q126" s="1">
        <f t="shared" si="8"/>
        <v>5071.5647894386811</v>
      </c>
      <c r="R126" s="1">
        <f t="shared" si="9"/>
        <v>8.520635014068445E-2</v>
      </c>
      <c r="T126" s="1">
        <f t="shared" si="11"/>
        <v>0.18499999999999997</v>
      </c>
      <c r="U126" s="1">
        <f t="shared" si="12"/>
        <v>5071.570218835348</v>
      </c>
      <c r="V126" s="1">
        <f t="shared" si="7"/>
        <v>8.5152056174016E-2</v>
      </c>
    </row>
    <row r="127" spans="16:22" x14ac:dyDescent="0.25">
      <c r="P127" s="1">
        <f t="shared" si="10"/>
        <v>1.1600000000000006</v>
      </c>
      <c r="Q127" s="1">
        <f t="shared" si="8"/>
        <v>5071.5647894386811</v>
      </c>
      <c r="R127" s="1">
        <f t="shared" si="9"/>
        <v>8.520635014068445E-2</v>
      </c>
      <c r="T127" s="1">
        <f t="shared" si="11"/>
        <v>0.18499999999999997</v>
      </c>
      <c r="U127" s="1">
        <f t="shared" si="12"/>
        <v>5071.570218835348</v>
      </c>
      <c r="V127" s="1">
        <f t="shared" si="7"/>
        <v>8.5152056174016E-2</v>
      </c>
    </row>
    <row r="128" spans="16:22" x14ac:dyDescent="0.25">
      <c r="P128" s="1">
        <f t="shared" si="10"/>
        <v>1.1600000000000006</v>
      </c>
      <c r="Q128" s="1">
        <f t="shared" si="8"/>
        <v>5071.5647894386811</v>
      </c>
      <c r="R128" s="1">
        <f t="shared" si="9"/>
        <v>8.520635014068445E-2</v>
      </c>
      <c r="T128" s="1">
        <f t="shared" si="11"/>
        <v>0.18499999999999997</v>
      </c>
      <c r="U128" s="1">
        <f t="shared" si="12"/>
        <v>5071.570218835348</v>
      </c>
      <c r="V128" s="1">
        <f t="shared" si="7"/>
        <v>8.5152056174016E-2</v>
      </c>
    </row>
    <row r="129" spans="16:22" x14ac:dyDescent="0.25">
      <c r="P129" s="1">
        <f t="shared" si="10"/>
        <v>1.1600000000000006</v>
      </c>
      <c r="Q129" s="1">
        <f t="shared" si="8"/>
        <v>5071.5647894386811</v>
      </c>
      <c r="R129" s="1">
        <f t="shared" si="9"/>
        <v>8.520635014068445E-2</v>
      </c>
      <c r="T129" s="1">
        <f t="shared" si="11"/>
        <v>0.18499999999999997</v>
      </c>
      <c r="U129" s="1">
        <f t="shared" si="12"/>
        <v>5071.570218835348</v>
      </c>
      <c r="V129" s="1">
        <f t="shared" si="7"/>
        <v>8.5152056174016E-2</v>
      </c>
    </row>
    <row r="130" spans="16:22" x14ac:dyDescent="0.25">
      <c r="P130" s="1">
        <f t="shared" si="10"/>
        <v>1.1600000000000006</v>
      </c>
      <c r="Q130" s="1">
        <f t="shared" si="8"/>
        <v>5071.5647894386811</v>
      </c>
      <c r="R130" s="1">
        <f t="shared" si="9"/>
        <v>8.520635014068445E-2</v>
      </c>
      <c r="T130" s="1">
        <f t="shared" si="11"/>
        <v>0.18499999999999997</v>
      </c>
      <c r="U130" s="1">
        <f t="shared" si="12"/>
        <v>5071.570218835348</v>
      </c>
      <c r="V130" s="1">
        <f t="shared" si="7"/>
        <v>8.5152056174016E-2</v>
      </c>
    </row>
    <row r="131" spans="16:22" x14ac:dyDescent="0.25">
      <c r="P131" s="1">
        <f t="shared" si="10"/>
        <v>1.1600000000000006</v>
      </c>
      <c r="Q131" s="1">
        <f t="shared" si="8"/>
        <v>5071.5647894386811</v>
      </c>
      <c r="R131" s="1">
        <f t="shared" si="9"/>
        <v>8.520635014068445E-2</v>
      </c>
      <c r="T131" s="1">
        <f t="shared" si="11"/>
        <v>0.18499999999999997</v>
      </c>
      <c r="U131" s="1">
        <f t="shared" si="12"/>
        <v>5071.570218835348</v>
      </c>
      <c r="V131" s="1">
        <f t="shared" si="7"/>
        <v>8.5152056174016E-2</v>
      </c>
    </row>
    <row r="132" spans="16:22" x14ac:dyDescent="0.25">
      <c r="P132" s="1">
        <f t="shared" si="10"/>
        <v>1.1600000000000006</v>
      </c>
      <c r="Q132" s="1">
        <f t="shared" si="8"/>
        <v>5071.5647894386811</v>
      </c>
      <c r="R132" s="1">
        <f t="shared" si="9"/>
        <v>8.520635014068445E-2</v>
      </c>
      <c r="T132" s="1">
        <f t="shared" si="11"/>
        <v>0.18499999999999997</v>
      </c>
      <c r="U132" s="1">
        <f t="shared" si="12"/>
        <v>5071.570218835348</v>
      </c>
      <c r="V132" s="1">
        <f t="shared" si="7"/>
        <v>8.5152056174016E-2</v>
      </c>
    </row>
    <row r="133" spans="16:22" x14ac:dyDescent="0.25">
      <c r="P133" s="1">
        <f t="shared" si="10"/>
        <v>1.1600000000000006</v>
      </c>
      <c r="Q133" s="1">
        <f t="shared" si="8"/>
        <v>5071.5647894386811</v>
      </c>
      <c r="R133" s="1">
        <f t="shared" si="9"/>
        <v>8.520635014068445E-2</v>
      </c>
      <c r="T133" s="1">
        <f t="shared" si="11"/>
        <v>0.18499999999999997</v>
      </c>
      <c r="U133" s="1">
        <f t="shared" si="12"/>
        <v>5071.570218835348</v>
      </c>
      <c r="V133" s="1">
        <f t="shared" si="7"/>
        <v>8.5152056174016E-2</v>
      </c>
    </row>
    <row r="134" spans="16:22" x14ac:dyDescent="0.25">
      <c r="P134" s="1">
        <f t="shared" si="10"/>
        <v>1.1600000000000006</v>
      </c>
      <c r="Q134" s="1">
        <f t="shared" si="8"/>
        <v>5071.5647894386811</v>
      </c>
      <c r="R134" s="1">
        <f t="shared" si="9"/>
        <v>8.520635014068445E-2</v>
      </c>
      <c r="T134" s="1">
        <f t="shared" si="11"/>
        <v>0.18499999999999997</v>
      </c>
      <c r="U134" s="1">
        <f t="shared" si="12"/>
        <v>5071.570218835348</v>
      </c>
      <c r="V134" s="1">
        <f t="shared" si="7"/>
        <v>8.5152056174016E-2</v>
      </c>
    </row>
    <row r="135" spans="16:22" x14ac:dyDescent="0.25">
      <c r="P135" s="1">
        <f t="shared" si="10"/>
        <v>1.1600000000000006</v>
      </c>
      <c r="Q135" s="1">
        <f t="shared" si="8"/>
        <v>5071.5647894386811</v>
      </c>
      <c r="R135" s="1">
        <f t="shared" si="9"/>
        <v>8.520635014068445E-2</v>
      </c>
      <c r="T135" s="1">
        <f t="shared" si="11"/>
        <v>0.18499999999999997</v>
      </c>
      <c r="U135" s="1">
        <f t="shared" si="12"/>
        <v>5071.570218835348</v>
      </c>
      <c r="V135" s="1">
        <f t="shared" si="7"/>
        <v>8.5152056174016E-2</v>
      </c>
    </row>
    <row r="136" spans="16:22" x14ac:dyDescent="0.25">
      <c r="P136" s="1">
        <f t="shared" si="10"/>
        <v>1.1600000000000006</v>
      </c>
      <c r="Q136" s="1">
        <f t="shared" si="8"/>
        <v>5071.5647894386811</v>
      </c>
      <c r="R136" s="1">
        <f t="shared" si="9"/>
        <v>8.520635014068445E-2</v>
      </c>
      <c r="T136" s="1">
        <f t="shared" si="11"/>
        <v>0.18499999999999997</v>
      </c>
      <c r="U136" s="1">
        <f t="shared" si="12"/>
        <v>5071.570218835348</v>
      </c>
      <c r="V136" s="1">
        <f t="shared" si="7"/>
        <v>8.5152056174016E-2</v>
      </c>
    </row>
    <row r="137" spans="16:22" x14ac:dyDescent="0.25">
      <c r="P137" s="1">
        <f t="shared" si="10"/>
        <v>1.1600000000000006</v>
      </c>
      <c r="Q137" s="1">
        <f t="shared" si="8"/>
        <v>5071.5647894386811</v>
      </c>
      <c r="R137" s="1">
        <f t="shared" si="9"/>
        <v>8.520635014068445E-2</v>
      </c>
      <c r="T137" s="1">
        <f t="shared" si="11"/>
        <v>0.18499999999999997</v>
      </c>
      <c r="U137" s="1">
        <f t="shared" si="12"/>
        <v>5071.570218835348</v>
      </c>
      <c r="V137" s="1">
        <f t="shared" si="7"/>
        <v>8.5152056174016E-2</v>
      </c>
    </row>
    <row r="138" spans="16:22" x14ac:dyDescent="0.25">
      <c r="P138" s="1">
        <f t="shared" si="10"/>
        <v>1.1600000000000006</v>
      </c>
      <c r="Q138" s="1">
        <f t="shared" si="8"/>
        <v>5071.5647894386811</v>
      </c>
      <c r="R138" s="1">
        <f t="shared" si="9"/>
        <v>8.520635014068445E-2</v>
      </c>
      <c r="T138" s="1">
        <f t="shared" si="11"/>
        <v>0.18499999999999997</v>
      </c>
      <c r="U138" s="1">
        <f t="shared" si="12"/>
        <v>5071.570218835348</v>
      </c>
      <c r="V138" s="1">
        <f t="shared" ref="V138:V201" si="13">MAX(-1,MIN(1, $H$7+$I$7*($D$15-U138)))</f>
        <v>8.5152056174016E-2</v>
      </c>
    </row>
    <row r="139" spans="16:22" x14ac:dyDescent="0.25">
      <c r="P139" s="1">
        <f t="shared" si="10"/>
        <v>1.1600000000000006</v>
      </c>
      <c r="Q139" s="1">
        <f t="shared" si="8"/>
        <v>5071.5647894386811</v>
      </c>
      <c r="R139" s="1">
        <f t="shared" si="9"/>
        <v>8.520635014068445E-2</v>
      </c>
      <c r="T139" s="1">
        <f t="shared" si="11"/>
        <v>0.18499999999999997</v>
      </c>
      <c r="U139" s="1">
        <f t="shared" si="12"/>
        <v>5071.570218835348</v>
      </c>
      <c r="V139" s="1">
        <f t="shared" si="13"/>
        <v>8.5152056174016E-2</v>
      </c>
    </row>
    <row r="140" spans="16:22" x14ac:dyDescent="0.25">
      <c r="P140" s="1">
        <f t="shared" si="10"/>
        <v>1.1600000000000006</v>
      </c>
      <c r="Q140" s="1">
        <f t="shared" ref="Q140:Q203" si="14">IF(P140=P139, Q139, Q139+0.02*$E$8*(R139-$D$14*(Q139*PI()/30)/$E$7)/($E$16/$D$14+$E$18*$D$14/$D$20^2)*30/PI())</f>
        <v>5071.5647894386811</v>
      </c>
      <c r="R140" s="1">
        <f t="shared" ref="R140:R203" si="15">MAX(-1,MIN(1, $H$7+$I$7*($D$15-Q140)))</f>
        <v>8.520635014068445E-2</v>
      </c>
      <c r="T140" s="1">
        <f t="shared" si="11"/>
        <v>0.18499999999999997</v>
      </c>
      <c r="U140" s="1">
        <f t="shared" si="12"/>
        <v>5071.570218835348</v>
      </c>
      <c r="V140" s="1">
        <f t="shared" si="13"/>
        <v>8.5152056174016E-2</v>
      </c>
    </row>
    <row r="141" spans="16:22" x14ac:dyDescent="0.25">
      <c r="P141" s="1">
        <f t="shared" ref="P141:P204" si="16">IF(AND(ABS(Q140-Q139)&lt;0.01/0.02, ABS(Q140-$D$15)/$D$15&lt;0.02), P140, P140+0.02)</f>
        <v>1.1600000000000006</v>
      </c>
      <c r="Q141" s="1">
        <f t="shared" si="14"/>
        <v>5071.5647894386811</v>
      </c>
      <c r="R141" s="1">
        <f t="shared" si="15"/>
        <v>8.520635014068445E-2</v>
      </c>
      <c r="T141" s="1">
        <f t="shared" si="11"/>
        <v>0.18499999999999997</v>
      </c>
      <c r="U141" s="1">
        <f t="shared" si="12"/>
        <v>5071.570218835348</v>
      </c>
      <c r="V141" s="1">
        <f t="shared" si="13"/>
        <v>8.5152056174016E-2</v>
      </c>
    </row>
    <row r="142" spans="16:22" x14ac:dyDescent="0.25">
      <c r="P142" s="1">
        <f t="shared" si="16"/>
        <v>1.1600000000000006</v>
      </c>
      <c r="Q142" s="1">
        <f t="shared" si="14"/>
        <v>5071.5647894386811</v>
      </c>
      <c r="R142" s="1">
        <f t="shared" si="15"/>
        <v>8.520635014068445E-2</v>
      </c>
      <c r="T142" s="1">
        <f t="shared" si="11"/>
        <v>0.18499999999999997</v>
      </c>
      <c r="U142" s="1">
        <f t="shared" si="12"/>
        <v>5071.570218835348</v>
      </c>
      <c r="V142" s="1">
        <f t="shared" si="13"/>
        <v>8.5152056174016E-2</v>
      </c>
    </row>
    <row r="143" spans="16:22" x14ac:dyDescent="0.25">
      <c r="P143" s="1">
        <f t="shared" si="16"/>
        <v>1.1600000000000006</v>
      </c>
      <c r="Q143" s="1">
        <f t="shared" si="14"/>
        <v>5071.5647894386811</v>
      </c>
      <c r="R143" s="1">
        <f t="shared" si="15"/>
        <v>8.520635014068445E-2</v>
      </c>
      <c r="T143" s="1">
        <f t="shared" si="11"/>
        <v>0.18499999999999997</v>
      </c>
      <c r="U143" s="1">
        <f t="shared" si="12"/>
        <v>5071.570218835348</v>
      </c>
      <c r="V143" s="1">
        <f t="shared" si="13"/>
        <v>8.5152056174016E-2</v>
      </c>
    </row>
    <row r="144" spans="16:22" x14ac:dyDescent="0.25">
      <c r="P144" s="1">
        <f t="shared" si="16"/>
        <v>1.1600000000000006</v>
      </c>
      <c r="Q144" s="1">
        <f t="shared" si="14"/>
        <v>5071.5647894386811</v>
      </c>
      <c r="R144" s="1">
        <f t="shared" si="15"/>
        <v>8.520635014068445E-2</v>
      </c>
      <c r="T144" s="1">
        <f t="shared" si="11"/>
        <v>0.18499999999999997</v>
      </c>
      <c r="U144" s="1">
        <f t="shared" si="12"/>
        <v>5071.570218835348</v>
      </c>
      <c r="V144" s="1">
        <f t="shared" si="13"/>
        <v>8.5152056174016E-2</v>
      </c>
    </row>
    <row r="145" spans="16:22" x14ac:dyDescent="0.25">
      <c r="P145" s="1">
        <f t="shared" si="16"/>
        <v>1.1600000000000006</v>
      </c>
      <c r="Q145" s="1">
        <f t="shared" si="14"/>
        <v>5071.5647894386811</v>
      </c>
      <c r="R145" s="1">
        <f t="shared" si="15"/>
        <v>8.520635014068445E-2</v>
      </c>
      <c r="T145" s="1">
        <f t="shared" si="11"/>
        <v>0.18499999999999997</v>
      </c>
      <c r="U145" s="1">
        <f t="shared" si="12"/>
        <v>5071.570218835348</v>
      </c>
      <c r="V145" s="1">
        <f t="shared" si="13"/>
        <v>8.5152056174016E-2</v>
      </c>
    </row>
    <row r="146" spans="16:22" x14ac:dyDescent="0.25">
      <c r="P146" s="1">
        <f t="shared" si="16"/>
        <v>1.1600000000000006</v>
      </c>
      <c r="Q146" s="1">
        <f t="shared" si="14"/>
        <v>5071.5647894386811</v>
      </c>
      <c r="R146" s="1">
        <f t="shared" si="15"/>
        <v>8.520635014068445E-2</v>
      </c>
      <c r="T146" s="1">
        <f t="shared" si="11"/>
        <v>0.18499999999999997</v>
      </c>
      <c r="U146" s="1">
        <f t="shared" si="12"/>
        <v>5071.570218835348</v>
      </c>
      <c r="V146" s="1">
        <f t="shared" si="13"/>
        <v>8.5152056174016E-2</v>
      </c>
    </row>
    <row r="147" spans="16:22" x14ac:dyDescent="0.25">
      <c r="P147" s="1">
        <f t="shared" si="16"/>
        <v>1.1600000000000006</v>
      </c>
      <c r="Q147" s="1">
        <f t="shared" si="14"/>
        <v>5071.5647894386811</v>
      </c>
      <c r="R147" s="1">
        <f t="shared" si="15"/>
        <v>8.520635014068445E-2</v>
      </c>
      <c r="T147" s="1">
        <f t="shared" si="11"/>
        <v>0.18499999999999997</v>
      </c>
      <c r="U147" s="1">
        <f t="shared" si="12"/>
        <v>5071.570218835348</v>
      </c>
      <c r="V147" s="1">
        <f t="shared" si="13"/>
        <v>8.5152056174016E-2</v>
      </c>
    </row>
    <row r="148" spans="16:22" x14ac:dyDescent="0.25">
      <c r="P148" s="1">
        <f t="shared" si="16"/>
        <v>1.1600000000000006</v>
      </c>
      <c r="Q148" s="1">
        <f t="shared" si="14"/>
        <v>5071.5647894386811</v>
      </c>
      <c r="R148" s="1">
        <f t="shared" si="15"/>
        <v>8.520635014068445E-2</v>
      </c>
      <c r="T148" s="1">
        <f t="shared" si="11"/>
        <v>0.18499999999999997</v>
      </c>
      <c r="U148" s="1">
        <f t="shared" si="12"/>
        <v>5071.570218835348</v>
      </c>
      <c r="V148" s="1">
        <f t="shared" si="13"/>
        <v>8.5152056174016E-2</v>
      </c>
    </row>
    <row r="149" spans="16:22" x14ac:dyDescent="0.25">
      <c r="P149" s="1">
        <f t="shared" si="16"/>
        <v>1.1600000000000006</v>
      </c>
      <c r="Q149" s="1">
        <f t="shared" si="14"/>
        <v>5071.5647894386811</v>
      </c>
      <c r="R149" s="1">
        <f t="shared" si="15"/>
        <v>8.520635014068445E-2</v>
      </c>
      <c r="T149" s="1">
        <f t="shared" si="11"/>
        <v>0.18499999999999997</v>
      </c>
      <c r="U149" s="1">
        <f t="shared" si="12"/>
        <v>5071.570218835348</v>
      </c>
      <c r="V149" s="1">
        <f t="shared" si="13"/>
        <v>8.5152056174016E-2</v>
      </c>
    </row>
    <row r="150" spans="16:22" x14ac:dyDescent="0.25">
      <c r="P150" s="1">
        <f t="shared" si="16"/>
        <v>1.1600000000000006</v>
      </c>
      <c r="Q150" s="1">
        <f t="shared" si="14"/>
        <v>5071.5647894386811</v>
      </c>
      <c r="R150" s="1">
        <f t="shared" si="15"/>
        <v>8.520635014068445E-2</v>
      </c>
      <c r="T150" s="1">
        <f t="shared" ref="T150:T210" si="17">IF(AND(ABS(U149-U148)&lt;0.01/0.02, ABS(U149-$D$15)/$D$15&lt;0.02), T149, T149+0.02)</f>
        <v>0.18499999999999997</v>
      </c>
      <c r="U150" s="1">
        <f t="shared" ref="U150:U210" si="18">IF(T150=T149, U149, U149+0.02*$E$8*(V149-$D$14*(U149*PI()/30)/$E$7)/($E$16/$D$14+$E$18*$D$14/$D$20^2)*30/PI())</f>
        <v>5071.570218835348</v>
      </c>
      <c r="V150" s="1">
        <f t="shared" si="13"/>
        <v>8.5152056174016E-2</v>
      </c>
    </row>
    <row r="151" spans="16:22" x14ac:dyDescent="0.25">
      <c r="P151" s="1">
        <f t="shared" si="16"/>
        <v>1.1600000000000006</v>
      </c>
      <c r="Q151" s="1">
        <f t="shared" si="14"/>
        <v>5071.5647894386811</v>
      </c>
      <c r="R151" s="1">
        <f t="shared" si="15"/>
        <v>8.520635014068445E-2</v>
      </c>
      <c r="T151" s="1">
        <f t="shared" si="17"/>
        <v>0.18499999999999997</v>
      </c>
      <c r="U151" s="1">
        <f t="shared" si="18"/>
        <v>5071.570218835348</v>
      </c>
      <c r="V151" s="1">
        <f t="shared" si="13"/>
        <v>8.5152056174016E-2</v>
      </c>
    </row>
    <row r="152" spans="16:22" x14ac:dyDescent="0.25">
      <c r="P152" s="1">
        <f t="shared" si="16"/>
        <v>1.1600000000000006</v>
      </c>
      <c r="Q152" s="1">
        <f t="shared" si="14"/>
        <v>5071.5647894386811</v>
      </c>
      <c r="R152" s="1">
        <f t="shared" si="15"/>
        <v>8.520635014068445E-2</v>
      </c>
      <c r="T152" s="1">
        <f t="shared" si="17"/>
        <v>0.18499999999999997</v>
      </c>
      <c r="U152" s="1">
        <f t="shared" si="18"/>
        <v>5071.570218835348</v>
      </c>
      <c r="V152" s="1">
        <f t="shared" si="13"/>
        <v>8.5152056174016E-2</v>
      </c>
    </row>
    <row r="153" spans="16:22" x14ac:dyDescent="0.25">
      <c r="P153" s="1">
        <f t="shared" si="16"/>
        <v>1.1600000000000006</v>
      </c>
      <c r="Q153" s="1">
        <f t="shared" si="14"/>
        <v>5071.5647894386811</v>
      </c>
      <c r="R153" s="1">
        <f t="shared" si="15"/>
        <v>8.520635014068445E-2</v>
      </c>
      <c r="T153" s="1">
        <f t="shared" si="17"/>
        <v>0.18499999999999997</v>
      </c>
      <c r="U153" s="1">
        <f t="shared" si="18"/>
        <v>5071.570218835348</v>
      </c>
      <c r="V153" s="1">
        <f t="shared" si="13"/>
        <v>8.5152056174016E-2</v>
      </c>
    </row>
    <row r="154" spans="16:22" x14ac:dyDescent="0.25">
      <c r="P154" s="1">
        <f t="shared" si="16"/>
        <v>1.1600000000000006</v>
      </c>
      <c r="Q154" s="1">
        <f t="shared" si="14"/>
        <v>5071.5647894386811</v>
      </c>
      <c r="R154" s="1">
        <f t="shared" si="15"/>
        <v>8.520635014068445E-2</v>
      </c>
      <c r="T154" s="1">
        <f t="shared" si="17"/>
        <v>0.18499999999999997</v>
      </c>
      <c r="U154" s="1">
        <f t="shared" si="18"/>
        <v>5071.570218835348</v>
      </c>
      <c r="V154" s="1">
        <f t="shared" si="13"/>
        <v>8.5152056174016E-2</v>
      </c>
    </row>
    <row r="155" spans="16:22" x14ac:dyDescent="0.25">
      <c r="P155" s="1">
        <f t="shared" si="16"/>
        <v>1.1600000000000006</v>
      </c>
      <c r="Q155" s="1">
        <f t="shared" si="14"/>
        <v>5071.5647894386811</v>
      </c>
      <c r="R155" s="1">
        <f t="shared" si="15"/>
        <v>8.520635014068445E-2</v>
      </c>
      <c r="T155" s="1">
        <f t="shared" si="17"/>
        <v>0.18499999999999997</v>
      </c>
      <c r="U155" s="1">
        <f t="shared" si="18"/>
        <v>5071.570218835348</v>
      </c>
      <c r="V155" s="1">
        <f t="shared" si="13"/>
        <v>8.5152056174016E-2</v>
      </c>
    </row>
    <row r="156" spans="16:22" x14ac:dyDescent="0.25">
      <c r="P156" s="1">
        <f t="shared" si="16"/>
        <v>1.1600000000000006</v>
      </c>
      <c r="Q156" s="1">
        <f t="shared" si="14"/>
        <v>5071.5647894386811</v>
      </c>
      <c r="R156" s="1">
        <f t="shared" si="15"/>
        <v>8.520635014068445E-2</v>
      </c>
      <c r="T156" s="1">
        <f t="shared" si="17"/>
        <v>0.18499999999999997</v>
      </c>
      <c r="U156" s="1">
        <f t="shared" si="18"/>
        <v>5071.570218835348</v>
      </c>
      <c r="V156" s="1">
        <f t="shared" si="13"/>
        <v>8.5152056174016E-2</v>
      </c>
    </row>
    <row r="157" spans="16:22" x14ac:dyDescent="0.25">
      <c r="P157" s="1">
        <f t="shared" si="16"/>
        <v>1.1600000000000006</v>
      </c>
      <c r="Q157" s="1">
        <f t="shared" si="14"/>
        <v>5071.5647894386811</v>
      </c>
      <c r="R157" s="1">
        <f t="shared" si="15"/>
        <v>8.520635014068445E-2</v>
      </c>
      <c r="T157" s="1">
        <f t="shared" si="17"/>
        <v>0.18499999999999997</v>
      </c>
      <c r="U157" s="1">
        <f t="shared" si="18"/>
        <v>5071.570218835348</v>
      </c>
      <c r="V157" s="1">
        <f t="shared" si="13"/>
        <v>8.5152056174016E-2</v>
      </c>
    </row>
    <row r="158" spans="16:22" x14ac:dyDescent="0.25">
      <c r="P158" s="1">
        <f t="shared" si="16"/>
        <v>1.1600000000000006</v>
      </c>
      <c r="Q158" s="1">
        <f t="shared" si="14"/>
        <v>5071.5647894386811</v>
      </c>
      <c r="R158" s="1">
        <f t="shared" si="15"/>
        <v>8.520635014068445E-2</v>
      </c>
      <c r="T158" s="1">
        <f t="shared" si="17"/>
        <v>0.18499999999999997</v>
      </c>
      <c r="U158" s="1">
        <f t="shared" si="18"/>
        <v>5071.570218835348</v>
      </c>
      <c r="V158" s="1">
        <f t="shared" si="13"/>
        <v>8.5152056174016E-2</v>
      </c>
    </row>
    <row r="159" spans="16:22" x14ac:dyDescent="0.25">
      <c r="P159" s="1">
        <f t="shared" si="16"/>
        <v>1.1600000000000006</v>
      </c>
      <c r="Q159" s="1">
        <f t="shared" si="14"/>
        <v>5071.5647894386811</v>
      </c>
      <c r="R159" s="1">
        <f t="shared" si="15"/>
        <v>8.520635014068445E-2</v>
      </c>
      <c r="T159" s="1">
        <f t="shared" si="17"/>
        <v>0.18499999999999997</v>
      </c>
      <c r="U159" s="1">
        <f t="shared" si="18"/>
        <v>5071.570218835348</v>
      </c>
      <c r="V159" s="1">
        <f t="shared" si="13"/>
        <v>8.5152056174016E-2</v>
      </c>
    </row>
    <row r="160" spans="16:22" x14ac:dyDescent="0.25">
      <c r="P160" s="1">
        <f t="shared" si="16"/>
        <v>1.1600000000000006</v>
      </c>
      <c r="Q160" s="1">
        <f t="shared" si="14"/>
        <v>5071.5647894386811</v>
      </c>
      <c r="R160" s="1">
        <f t="shared" si="15"/>
        <v>8.520635014068445E-2</v>
      </c>
      <c r="T160" s="1">
        <f t="shared" si="17"/>
        <v>0.18499999999999997</v>
      </c>
      <c r="U160" s="1">
        <f t="shared" si="18"/>
        <v>5071.570218835348</v>
      </c>
      <c r="V160" s="1">
        <f t="shared" si="13"/>
        <v>8.5152056174016E-2</v>
      </c>
    </row>
    <row r="161" spans="16:22" x14ac:dyDescent="0.25">
      <c r="P161" s="1">
        <f t="shared" si="16"/>
        <v>1.1600000000000006</v>
      </c>
      <c r="Q161" s="1">
        <f t="shared" si="14"/>
        <v>5071.5647894386811</v>
      </c>
      <c r="R161" s="1">
        <f t="shared" si="15"/>
        <v>8.520635014068445E-2</v>
      </c>
      <c r="T161" s="1">
        <f t="shared" si="17"/>
        <v>0.18499999999999997</v>
      </c>
      <c r="U161" s="1">
        <f t="shared" si="18"/>
        <v>5071.570218835348</v>
      </c>
      <c r="V161" s="1">
        <f t="shared" si="13"/>
        <v>8.5152056174016E-2</v>
      </c>
    </row>
    <row r="162" spans="16:22" x14ac:dyDescent="0.25">
      <c r="P162" s="1">
        <f t="shared" si="16"/>
        <v>1.1600000000000006</v>
      </c>
      <c r="Q162" s="1">
        <f t="shared" si="14"/>
        <v>5071.5647894386811</v>
      </c>
      <c r="R162" s="1">
        <f t="shared" si="15"/>
        <v>8.520635014068445E-2</v>
      </c>
      <c r="T162" s="1">
        <f t="shared" si="17"/>
        <v>0.18499999999999997</v>
      </c>
      <c r="U162" s="1">
        <f t="shared" si="18"/>
        <v>5071.570218835348</v>
      </c>
      <c r="V162" s="1">
        <f t="shared" si="13"/>
        <v>8.5152056174016E-2</v>
      </c>
    </row>
    <row r="163" spans="16:22" x14ac:dyDescent="0.25">
      <c r="P163" s="1">
        <f t="shared" si="16"/>
        <v>1.1600000000000006</v>
      </c>
      <c r="Q163" s="1">
        <f t="shared" si="14"/>
        <v>5071.5647894386811</v>
      </c>
      <c r="R163" s="1">
        <f t="shared" si="15"/>
        <v>8.520635014068445E-2</v>
      </c>
      <c r="T163" s="1">
        <f t="shared" si="17"/>
        <v>0.18499999999999997</v>
      </c>
      <c r="U163" s="1">
        <f t="shared" si="18"/>
        <v>5071.570218835348</v>
      </c>
      <c r="V163" s="1">
        <f t="shared" si="13"/>
        <v>8.5152056174016E-2</v>
      </c>
    </row>
    <row r="164" spans="16:22" x14ac:dyDescent="0.25">
      <c r="P164" s="1">
        <f t="shared" si="16"/>
        <v>1.1600000000000006</v>
      </c>
      <c r="Q164" s="1">
        <f t="shared" si="14"/>
        <v>5071.5647894386811</v>
      </c>
      <c r="R164" s="1">
        <f t="shared" si="15"/>
        <v>8.520635014068445E-2</v>
      </c>
      <c r="T164" s="1">
        <f t="shared" si="17"/>
        <v>0.18499999999999997</v>
      </c>
      <c r="U164" s="1">
        <f t="shared" si="18"/>
        <v>5071.570218835348</v>
      </c>
      <c r="V164" s="1">
        <f t="shared" si="13"/>
        <v>8.5152056174016E-2</v>
      </c>
    </row>
    <row r="165" spans="16:22" x14ac:dyDescent="0.25">
      <c r="P165" s="1">
        <f t="shared" si="16"/>
        <v>1.1600000000000006</v>
      </c>
      <c r="Q165" s="1">
        <f t="shared" si="14"/>
        <v>5071.5647894386811</v>
      </c>
      <c r="R165" s="1">
        <f t="shared" si="15"/>
        <v>8.520635014068445E-2</v>
      </c>
      <c r="T165" s="1">
        <f t="shared" si="17"/>
        <v>0.18499999999999997</v>
      </c>
      <c r="U165" s="1">
        <f t="shared" si="18"/>
        <v>5071.570218835348</v>
      </c>
      <c r="V165" s="1">
        <f t="shared" si="13"/>
        <v>8.5152056174016E-2</v>
      </c>
    </row>
    <row r="166" spans="16:22" x14ac:dyDescent="0.25">
      <c r="P166" s="1">
        <f t="shared" si="16"/>
        <v>1.1600000000000006</v>
      </c>
      <c r="Q166" s="1">
        <f t="shared" si="14"/>
        <v>5071.5647894386811</v>
      </c>
      <c r="R166" s="1">
        <f t="shared" si="15"/>
        <v>8.520635014068445E-2</v>
      </c>
      <c r="T166" s="1">
        <f t="shared" si="17"/>
        <v>0.18499999999999997</v>
      </c>
      <c r="U166" s="1">
        <f t="shared" si="18"/>
        <v>5071.570218835348</v>
      </c>
      <c r="V166" s="1">
        <f t="shared" si="13"/>
        <v>8.5152056174016E-2</v>
      </c>
    </row>
    <row r="167" spans="16:22" x14ac:dyDescent="0.25">
      <c r="P167" s="1">
        <f t="shared" si="16"/>
        <v>1.1600000000000006</v>
      </c>
      <c r="Q167" s="1">
        <f t="shared" si="14"/>
        <v>5071.5647894386811</v>
      </c>
      <c r="R167" s="1">
        <f t="shared" si="15"/>
        <v>8.520635014068445E-2</v>
      </c>
      <c r="T167" s="1">
        <f t="shared" si="17"/>
        <v>0.18499999999999997</v>
      </c>
      <c r="U167" s="1">
        <f t="shared" si="18"/>
        <v>5071.570218835348</v>
      </c>
      <c r="V167" s="1">
        <f t="shared" si="13"/>
        <v>8.5152056174016E-2</v>
      </c>
    </row>
    <row r="168" spans="16:22" x14ac:dyDescent="0.25">
      <c r="P168" s="1">
        <f t="shared" si="16"/>
        <v>1.1600000000000006</v>
      </c>
      <c r="Q168" s="1">
        <f t="shared" si="14"/>
        <v>5071.5647894386811</v>
      </c>
      <c r="R168" s="1">
        <f t="shared" si="15"/>
        <v>8.520635014068445E-2</v>
      </c>
      <c r="T168" s="1">
        <f t="shared" si="17"/>
        <v>0.18499999999999997</v>
      </c>
      <c r="U168" s="1">
        <f t="shared" si="18"/>
        <v>5071.570218835348</v>
      </c>
      <c r="V168" s="1">
        <f t="shared" si="13"/>
        <v>8.5152056174016E-2</v>
      </c>
    </row>
    <row r="169" spans="16:22" x14ac:dyDescent="0.25">
      <c r="P169" s="1">
        <f t="shared" si="16"/>
        <v>1.1600000000000006</v>
      </c>
      <c r="Q169" s="1">
        <f t="shared" si="14"/>
        <v>5071.5647894386811</v>
      </c>
      <c r="R169" s="1">
        <f t="shared" si="15"/>
        <v>8.520635014068445E-2</v>
      </c>
      <c r="T169" s="1">
        <f t="shared" si="17"/>
        <v>0.18499999999999997</v>
      </c>
      <c r="U169" s="1">
        <f t="shared" si="18"/>
        <v>5071.570218835348</v>
      </c>
      <c r="V169" s="1">
        <f t="shared" si="13"/>
        <v>8.5152056174016E-2</v>
      </c>
    </row>
    <row r="170" spans="16:22" x14ac:dyDescent="0.25">
      <c r="P170" s="1">
        <f t="shared" si="16"/>
        <v>1.1600000000000006</v>
      </c>
      <c r="Q170" s="1">
        <f t="shared" si="14"/>
        <v>5071.5647894386811</v>
      </c>
      <c r="R170" s="1">
        <f t="shared" si="15"/>
        <v>8.520635014068445E-2</v>
      </c>
      <c r="T170" s="1">
        <f t="shared" si="17"/>
        <v>0.18499999999999997</v>
      </c>
      <c r="U170" s="1">
        <f t="shared" si="18"/>
        <v>5071.570218835348</v>
      </c>
      <c r="V170" s="1">
        <f t="shared" si="13"/>
        <v>8.5152056174016E-2</v>
      </c>
    </row>
    <row r="171" spans="16:22" x14ac:dyDescent="0.25">
      <c r="P171" s="1">
        <f t="shared" si="16"/>
        <v>1.1600000000000006</v>
      </c>
      <c r="Q171" s="1">
        <f t="shared" si="14"/>
        <v>5071.5647894386811</v>
      </c>
      <c r="R171" s="1">
        <f t="shared" si="15"/>
        <v>8.520635014068445E-2</v>
      </c>
      <c r="T171" s="1">
        <f t="shared" si="17"/>
        <v>0.18499999999999997</v>
      </c>
      <c r="U171" s="1">
        <f t="shared" si="18"/>
        <v>5071.570218835348</v>
      </c>
      <c r="V171" s="1">
        <f t="shared" si="13"/>
        <v>8.5152056174016E-2</v>
      </c>
    </row>
    <row r="172" spans="16:22" x14ac:dyDescent="0.25">
      <c r="P172" s="1">
        <f t="shared" si="16"/>
        <v>1.1600000000000006</v>
      </c>
      <c r="Q172" s="1">
        <f t="shared" si="14"/>
        <v>5071.5647894386811</v>
      </c>
      <c r="R172" s="1">
        <f t="shared" si="15"/>
        <v>8.520635014068445E-2</v>
      </c>
      <c r="T172" s="1">
        <f t="shared" si="17"/>
        <v>0.18499999999999997</v>
      </c>
      <c r="U172" s="1">
        <f t="shared" si="18"/>
        <v>5071.570218835348</v>
      </c>
      <c r="V172" s="1">
        <f t="shared" si="13"/>
        <v>8.5152056174016E-2</v>
      </c>
    </row>
    <row r="173" spans="16:22" x14ac:dyDescent="0.25">
      <c r="P173" s="1">
        <f t="shared" si="16"/>
        <v>1.1600000000000006</v>
      </c>
      <c r="Q173" s="1">
        <f t="shared" si="14"/>
        <v>5071.5647894386811</v>
      </c>
      <c r="R173" s="1">
        <f t="shared" si="15"/>
        <v>8.520635014068445E-2</v>
      </c>
      <c r="T173" s="1">
        <f t="shared" si="17"/>
        <v>0.18499999999999997</v>
      </c>
      <c r="U173" s="1">
        <f t="shared" si="18"/>
        <v>5071.570218835348</v>
      </c>
      <c r="V173" s="1">
        <f t="shared" si="13"/>
        <v>8.5152056174016E-2</v>
      </c>
    </row>
    <row r="174" spans="16:22" x14ac:dyDescent="0.25">
      <c r="P174" s="1">
        <f t="shared" si="16"/>
        <v>1.1600000000000006</v>
      </c>
      <c r="Q174" s="1">
        <f t="shared" si="14"/>
        <v>5071.5647894386811</v>
      </c>
      <c r="R174" s="1">
        <f t="shared" si="15"/>
        <v>8.520635014068445E-2</v>
      </c>
      <c r="T174" s="1">
        <f t="shared" si="17"/>
        <v>0.18499999999999997</v>
      </c>
      <c r="U174" s="1">
        <f t="shared" si="18"/>
        <v>5071.570218835348</v>
      </c>
      <c r="V174" s="1">
        <f t="shared" si="13"/>
        <v>8.5152056174016E-2</v>
      </c>
    </row>
    <row r="175" spans="16:22" x14ac:dyDescent="0.25">
      <c r="P175" s="1">
        <f t="shared" si="16"/>
        <v>1.1600000000000006</v>
      </c>
      <c r="Q175" s="1">
        <f t="shared" si="14"/>
        <v>5071.5647894386811</v>
      </c>
      <c r="R175" s="1">
        <f t="shared" si="15"/>
        <v>8.520635014068445E-2</v>
      </c>
      <c r="T175" s="1">
        <f t="shared" si="17"/>
        <v>0.18499999999999997</v>
      </c>
      <c r="U175" s="1">
        <f t="shared" si="18"/>
        <v>5071.570218835348</v>
      </c>
      <c r="V175" s="1">
        <f t="shared" si="13"/>
        <v>8.5152056174016E-2</v>
      </c>
    </row>
    <row r="176" spans="16:22" x14ac:dyDescent="0.25">
      <c r="P176" s="1">
        <f t="shared" si="16"/>
        <v>1.1600000000000006</v>
      </c>
      <c r="Q176" s="1">
        <f t="shared" si="14"/>
        <v>5071.5647894386811</v>
      </c>
      <c r="R176" s="1">
        <f t="shared" si="15"/>
        <v>8.520635014068445E-2</v>
      </c>
      <c r="T176" s="1">
        <f t="shared" si="17"/>
        <v>0.18499999999999997</v>
      </c>
      <c r="U176" s="1">
        <f t="shared" si="18"/>
        <v>5071.570218835348</v>
      </c>
      <c r="V176" s="1">
        <f t="shared" si="13"/>
        <v>8.5152056174016E-2</v>
      </c>
    </row>
    <row r="177" spans="16:22" x14ac:dyDescent="0.25">
      <c r="P177" s="1">
        <f t="shared" si="16"/>
        <v>1.1600000000000006</v>
      </c>
      <c r="Q177" s="1">
        <f t="shared" si="14"/>
        <v>5071.5647894386811</v>
      </c>
      <c r="R177" s="1">
        <f t="shared" si="15"/>
        <v>8.520635014068445E-2</v>
      </c>
      <c r="T177" s="1">
        <f t="shared" si="17"/>
        <v>0.18499999999999997</v>
      </c>
      <c r="U177" s="1">
        <f t="shared" si="18"/>
        <v>5071.570218835348</v>
      </c>
      <c r="V177" s="1">
        <f t="shared" si="13"/>
        <v>8.5152056174016E-2</v>
      </c>
    </row>
    <row r="178" spans="16:22" x14ac:dyDescent="0.25">
      <c r="P178" s="1">
        <f t="shared" si="16"/>
        <v>1.1600000000000006</v>
      </c>
      <c r="Q178" s="1">
        <f t="shared" si="14"/>
        <v>5071.5647894386811</v>
      </c>
      <c r="R178" s="1">
        <f t="shared" si="15"/>
        <v>8.520635014068445E-2</v>
      </c>
      <c r="T178" s="1">
        <f t="shared" si="17"/>
        <v>0.18499999999999997</v>
      </c>
      <c r="U178" s="1">
        <f t="shared" si="18"/>
        <v>5071.570218835348</v>
      </c>
      <c r="V178" s="1">
        <f t="shared" si="13"/>
        <v>8.5152056174016E-2</v>
      </c>
    </row>
    <row r="179" spans="16:22" x14ac:dyDescent="0.25">
      <c r="P179" s="1">
        <f t="shared" si="16"/>
        <v>1.1600000000000006</v>
      </c>
      <c r="Q179" s="1">
        <f t="shared" si="14"/>
        <v>5071.5647894386811</v>
      </c>
      <c r="R179" s="1">
        <f t="shared" si="15"/>
        <v>8.520635014068445E-2</v>
      </c>
      <c r="T179" s="1">
        <f t="shared" si="17"/>
        <v>0.18499999999999997</v>
      </c>
      <c r="U179" s="1">
        <f t="shared" si="18"/>
        <v>5071.570218835348</v>
      </c>
      <c r="V179" s="1">
        <f t="shared" si="13"/>
        <v>8.5152056174016E-2</v>
      </c>
    </row>
    <row r="180" spans="16:22" x14ac:dyDescent="0.25">
      <c r="P180" s="1">
        <f t="shared" si="16"/>
        <v>1.1600000000000006</v>
      </c>
      <c r="Q180" s="1">
        <f t="shared" si="14"/>
        <v>5071.5647894386811</v>
      </c>
      <c r="R180" s="1">
        <f t="shared" si="15"/>
        <v>8.520635014068445E-2</v>
      </c>
      <c r="T180" s="1">
        <f t="shared" si="17"/>
        <v>0.18499999999999997</v>
      </c>
      <c r="U180" s="1">
        <f t="shared" si="18"/>
        <v>5071.570218835348</v>
      </c>
      <c r="V180" s="1">
        <f t="shared" si="13"/>
        <v>8.5152056174016E-2</v>
      </c>
    </row>
    <row r="181" spans="16:22" x14ac:dyDescent="0.25">
      <c r="P181" s="1">
        <f t="shared" si="16"/>
        <v>1.1600000000000006</v>
      </c>
      <c r="Q181" s="1">
        <f t="shared" si="14"/>
        <v>5071.5647894386811</v>
      </c>
      <c r="R181" s="1">
        <f t="shared" si="15"/>
        <v>8.520635014068445E-2</v>
      </c>
      <c r="T181" s="1">
        <f t="shared" si="17"/>
        <v>0.18499999999999997</v>
      </c>
      <c r="U181" s="1">
        <f t="shared" si="18"/>
        <v>5071.570218835348</v>
      </c>
      <c r="V181" s="1">
        <f t="shared" si="13"/>
        <v>8.5152056174016E-2</v>
      </c>
    </row>
    <row r="182" spans="16:22" x14ac:dyDescent="0.25">
      <c r="P182" s="1">
        <f t="shared" si="16"/>
        <v>1.1600000000000006</v>
      </c>
      <c r="Q182" s="1">
        <f t="shared" si="14"/>
        <v>5071.5647894386811</v>
      </c>
      <c r="R182" s="1">
        <f t="shared" si="15"/>
        <v>8.520635014068445E-2</v>
      </c>
      <c r="T182" s="1">
        <f t="shared" si="17"/>
        <v>0.18499999999999997</v>
      </c>
      <c r="U182" s="1">
        <f t="shared" si="18"/>
        <v>5071.570218835348</v>
      </c>
      <c r="V182" s="1">
        <f t="shared" si="13"/>
        <v>8.5152056174016E-2</v>
      </c>
    </row>
    <row r="183" spans="16:22" x14ac:dyDescent="0.25">
      <c r="P183" s="1">
        <f t="shared" si="16"/>
        <v>1.1600000000000006</v>
      </c>
      <c r="Q183" s="1">
        <f t="shared" si="14"/>
        <v>5071.5647894386811</v>
      </c>
      <c r="R183" s="1">
        <f t="shared" si="15"/>
        <v>8.520635014068445E-2</v>
      </c>
      <c r="T183" s="1">
        <f t="shared" si="17"/>
        <v>0.18499999999999997</v>
      </c>
      <c r="U183" s="1">
        <f t="shared" si="18"/>
        <v>5071.570218835348</v>
      </c>
      <c r="V183" s="1">
        <f t="shared" si="13"/>
        <v>8.5152056174016E-2</v>
      </c>
    </row>
    <row r="184" spans="16:22" x14ac:dyDescent="0.25">
      <c r="P184" s="1">
        <f t="shared" si="16"/>
        <v>1.1600000000000006</v>
      </c>
      <c r="Q184" s="1">
        <f t="shared" si="14"/>
        <v>5071.5647894386811</v>
      </c>
      <c r="R184" s="1">
        <f t="shared" si="15"/>
        <v>8.520635014068445E-2</v>
      </c>
      <c r="T184" s="1">
        <f t="shared" si="17"/>
        <v>0.18499999999999997</v>
      </c>
      <c r="U184" s="1">
        <f t="shared" si="18"/>
        <v>5071.570218835348</v>
      </c>
      <c r="V184" s="1">
        <f t="shared" si="13"/>
        <v>8.5152056174016E-2</v>
      </c>
    </row>
    <row r="185" spans="16:22" x14ac:dyDescent="0.25">
      <c r="P185" s="1">
        <f t="shared" si="16"/>
        <v>1.1600000000000006</v>
      </c>
      <c r="Q185" s="1">
        <f t="shared" si="14"/>
        <v>5071.5647894386811</v>
      </c>
      <c r="R185" s="1">
        <f t="shared" si="15"/>
        <v>8.520635014068445E-2</v>
      </c>
      <c r="T185" s="1">
        <f t="shared" si="17"/>
        <v>0.18499999999999997</v>
      </c>
      <c r="U185" s="1">
        <f t="shared" si="18"/>
        <v>5071.570218835348</v>
      </c>
      <c r="V185" s="1">
        <f t="shared" si="13"/>
        <v>8.5152056174016E-2</v>
      </c>
    </row>
    <row r="186" spans="16:22" x14ac:dyDescent="0.25">
      <c r="P186" s="1">
        <f t="shared" si="16"/>
        <v>1.1600000000000006</v>
      </c>
      <c r="Q186" s="1">
        <f t="shared" si="14"/>
        <v>5071.5647894386811</v>
      </c>
      <c r="R186" s="1">
        <f t="shared" si="15"/>
        <v>8.520635014068445E-2</v>
      </c>
      <c r="T186" s="1">
        <f t="shared" si="17"/>
        <v>0.18499999999999997</v>
      </c>
      <c r="U186" s="1">
        <f t="shared" si="18"/>
        <v>5071.570218835348</v>
      </c>
      <c r="V186" s="1">
        <f t="shared" si="13"/>
        <v>8.5152056174016E-2</v>
      </c>
    </row>
    <row r="187" spans="16:22" x14ac:dyDescent="0.25">
      <c r="P187" s="1">
        <f t="shared" si="16"/>
        <v>1.1600000000000006</v>
      </c>
      <c r="Q187" s="1">
        <f t="shared" si="14"/>
        <v>5071.5647894386811</v>
      </c>
      <c r="R187" s="1">
        <f t="shared" si="15"/>
        <v>8.520635014068445E-2</v>
      </c>
      <c r="T187" s="1">
        <f t="shared" si="17"/>
        <v>0.18499999999999997</v>
      </c>
      <c r="U187" s="1">
        <f t="shared" si="18"/>
        <v>5071.570218835348</v>
      </c>
      <c r="V187" s="1">
        <f t="shared" si="13"/>
        <v>8.5152056174016E-2</v>
      </c>
    </row>
    <row r="188" spans="16:22" x14ac:dyDescent="0.25">
      <c r="P188" s="1">
        <f t="shared" si="16"/>
        <v>1.1600000000000006</v>
      </c>
      <c r="Q188" s="1">
        <f t="shared" si="14"/>
        <v>5071.5647894386811</v>
      </c>
      <c r="R188" s="1">
        <f t="shared" si="15"/>
        <v>8.520635014068445E-2</v>
      </c>
      <c r="T188" s="1">
        <f t="shared" si="17"/>
        <v>0.18499999999999997</v>
      </c>
      <c r="U188" s="1">
        <f t="shared" si="18"/>
        <v>5071.570218835348</v>
      </c>
      <c r="V188" s="1">
        <f t="shared" si="13"/>
        <v>8.5152056174016E-2</v>
      </c>
    </row>
    <row r="189" spans="16:22" x14ac:dyDescent="0.25">
      <c r="P189" s="1">
        <f t="shared" si="16"/>
        <v>1.1600000000000006</v>
      </c>
      <c r="Q189" s="1">
        <f t="shared" si="14"/>
        <v>5071.5647894386811</v>
      </c>
      <c r="R189" s="1">
        <f t="shared" si="15"/>
        <v>8.520635014068445E-2</v>
      </c>
      <c r="T189" s="1">
        <f t="shared" si="17"/>
        <v>0.18499999999999997</v>
      </c>
      <c r="U189" s="1">
        <f t="shared" si="18"/>
        <v>5071.570218835348</v>
      </c>
      <c r="V189" s="1">
        <f t="shared" si="13"/>
        <v>8.5152056174016E-2</v>
      </c>
    </row>
    <row r="190" spans="16:22" x14ac:dyDescent="0.25">
      <c r="P190" s="1">
        <f t="shared" si="16"/>
        <v>1.1600000000000006</v>
      </c>
      <c r="Q190" s="1">
        <f t="shared" si="14"/>
        <v>5071.5647894386811</v>
      </c>
      <c r="R190" s="1">
        <f t="shared" si="15"/>
        <v>8.520635014068445E-2</v>
      </c>
      <c r="T190" s="1">
        <f t="shared" si="17"/>
        <v>0.18499999999999997</v>
      </c>
      <c r="U190" s="1">
        <f t="shared" si="18"/>
        <v>5071.570218835348</v>
      </c>
      <c r="V190" s="1">
        <f t="shared" si="13"/>
        <v>8.5152056174016E-2</v>
      </c>
    </row>
    <row r="191" spans="16:22" x14ac:dyDescent="0.25">
      <c r="P191" s="1">
        <f t="shared" si="16"/>
        <v>1.1600000000000006</v>
      </c>
      <c r="Q191" s="1">
        <f t="shared" si="14"/>
        <v>5071.5647894386811</v>
      </c>
      <c r="R191" s="1">
        <f t="shared" si="15"/>
        <v>8.520635014068445E-2</v>
      </c>
      <c r="T191" s="1">
        <f t="shared" si="17"/>
        <v>0.18499999999999997</v>
      </c>
      <c r="U191" s="1">
        <f t="shared" si="18"/>
        <v>5071.570218835348</v>
      </c>
      <c r="V191" s="1">
        <f t="shared" si="13"/>
        <v>8.5152056174016E-2</v>
      </c>
    </row>
    <row r="192" spans="16:22" x14ac:dyDescent="0.25">
      <c r="P192" s="1">
        <f t="shared" si="16"/>
        <v>1.1600000000000006</v>
      </c>
      <c r="Q192" s="1">
        <f t="shared" si="14"/>
        <v>5071.5647894386811</v>
      </c>
      <c r="R192" s="1">
        <f t="shared" si="15"/>
        <v>8.520635014068445E-2</v>
      </c>
      <c r="T192" s="1">
        <f t="shared" si="17"/>
        <v>0.18499999999999997</v>
      </c>
      <c r="U192" s="1">
        <f t="shared" si="18"/>
        <v>5071.570218835348</v>
      </c>
      <c r="V192" s="1">
        <f t="shared" si="13"/>
        <v>8.5152056174016E-2</v>
      </c>
    </row>
    <row r="193" spans="16:22" x14ac:dyDescent="0.25">
      <c r="P193" s="1">
        <f t="shared" si="16"/>
        <v>1.1600000000000006</v>
      </c>
      <c r="Q193" s="1">
        <f t="shared" si="14"/>
        <v>5071.5647894386811</v>
      </c>
      <c r="R193" s="1">
        <f t="shared" si="15"/>
        <v>8.520635014068445E-2</v>
      </c>
      <c r="T193" s="1">
        <f t="shared" si="17"/>
        <v>0.18499999999999997</v>
      </c>
      <c r="U193" s="1">
        <f t="shared" si="18"/>
        <v>5071.570218835348</v>
      </c>
      <c r="V193" s="1">
        <f t="shared" si="13"/>
        <v>8.5152056174016E-2</v>
      </c>
    </row>
    <row r="194" spans="16:22" x14ac:dyDescent="0.25">
      <c r="P194" s="1">
        <f t="shared" si="16"/>
        <v>1.1600000000000006</v>
      </c>
      <c r="Q194" s="1">
        <f t="shared" si="14"/>
        <v>5071.5647894386811</v>
      </c>
      <c r="R194" s="1">
        <f t="shared" si="15"/>
        <v>8.520635014068445E-2</v>
      </c>
      <c r="T194" s="1">
        <f t="shared" si="17"/>
        <v>0.18499999999999997</v>
      </c>
      <c r="U194" s="1">
        <f t="shared" si="18"/>
        <v>5071.570218835348</v>
      </c>
      <c r="V194" s="1">
        <f t="shared" si="13"/>
        <v>8.5152056174016E-2</v>
      </c>
    </row>
    <row r="195" spans="16:22" x14ac:dyDescent="0.25">
      <c r="P195" s="1">
        <f t="shared" si="16"/>
        <v>1.1600000000000006</v>
      </c>
      <c r="Q195" s="1">
        <f t="shared" si="14"/>
        <v>5071.5647894386811</v>
      </c>
      <c r="R195" s="1">
        <f t="shared" si="15"/>
        <v>8.520635014068445E-2</v>
      </c>
      <c r="T195" s="1">
        <f t="shared" si="17"/>
        <v>0.18499999999999997</v>
      </c>
      <c r="U195" s="1">
        <f t="shared" si="18"/>
        <v>5071.570218835348</v>
      </c>
      <c r="V195" s="1">
        <f t="shared" si="13"/>
        <v>8.5152056174016E-2</v>
      </c>
    </row>
    <row r="196" spans="16:22" x14ac:dyDescent="0.25">
      <c r="P196" s="1">
        <f t="shared" si="16"/>
        <v>1.1600000000000006</v>
      </c>
      <c r="Q196" s="1">
        <f t="shared" si="14"/>
        <v>5071.5647894386811</v>
      </c>
      <c r="R196" s="1">
        <f t="shared" si="15"/>
        <v>8.520635014068445E-2</v>
      </c>
      <c r="T196" s="1">
        <f t="shared" si="17"/>
        <v>0.18499999999999997</v>
      </c>
      <c r="U196" s="1">
        <f t="shared" si="18"/>
        <v>5071.570218835348</v>
      </c>
      <c r="V196" s="1">
        <f t="shared" si="13"/>
        <v>8.5152056174016E-2</v>
      </c>
    </row>
    <row r="197" spans="16:22" x14ac:dyDescent="0.25">
      <c r="P197" s="1">
        <f t="shared" si="16"/>
        <v>1.1600000000000006</v>
      </c>
      <c r="Q197" s="1">
        <f t="shared" si="14"/>
        <v>5071.5647894386811</v>
      </c>
      <c r="R197" s="1">
        <f t="shared" si="15"/>
        <v>8.520635014068445E-2</v>
      </c>
      <c r="T197" s="1">
        <f t="shared" si="17"/>
        <v>0.18499999999999997</v>
      </c>
      <c r="U197" s="1">
        <f t="shared" si="18"/>
        <v>5071.570218835348</v>
      </c>
      <c r="V197" s="1">
        <f t="shared" si="13"/>
        <v>8.5152056174016E-2</v>
      </c>
    </row>
    <row r="198" spans="16:22" x14ac:dyDescent="0.25">
      <c r="P198" s="1">
        <f t="shared" si="16"/>
        <v>1.1600000000000006</v>
      </c>
      <c r="Q198" s="1">
        <f t="shared" si="14"/>
        <v>5071.5647894386811</v>
      </c>
      <c r="R198" s="1">
        <f t="shared" si="15"/>
        <v>8.520635014068445E-2</v>
      </c>
      <c r="T198" s="1">
        <f t="shared" si="17"/>
        <v>0.18499999999999997</v>
      </c>
      <c r="U198" s="1">
        <f t="shared" si="18"/>
        <v>5071.570218835348</v>
      </c>
      <c r="V198" s="1">
        <f t="shared" si="13"/>
        <v>8.5152056174016E-2</v>
      </c>
    </row>
    <row r="199" spans="16:22" x14ac:dyDescent="0.25">
      <c r="P199" s="1">
        <f t="shared" si="16"/>
        <v>1.1600000000000006</v>
      </c>
      <c r="Q199" s="1">
        <f t="shared" si="14"/>
        <v>5071.5647894386811</v>
      </c>
      <c r="R199" s="1">
        <f t="shared" si="15"/>
        <v>8.520635014068445E-2</v>
      </c>
      <c r="T199" s="1">
        <f t="shared" si="17"/>
        <v>0.18499999999999997</v>
      </c>
      <c r="U199" s="1">
        <f t="shared" si="18"/>
        <v>5071.570218835348</v>
      </c>
      <c r="V199" s="1">
        <f t="shared" si="13"/>
        <v>8.5152056174016E-2</v>
      </c>
    </row>
    <row r="200" spans="16:22" x14ac:dyDescent="0.25">
      <c r="P200" s="1">
        <f t="shared" si="16"/>
        <v>1.1600000000000006</v>
      </c>
      <c r="Q200" s="1">
        <f t="shared" si="14"/>
        <v>5071.5647894386811</v>
      </c>
      <c r="R200" s="1">
        <f t="shared" si="15"/>
        <v>8.520635014068445E-2</v>
      </c>
      <c r="T200" s="1">
        <f t="shared" si="17"/>
        <v>0.18499999999999997</v>
      </c>
      <c r="U200" s="1">
        <f t="shared" si="18"/>
        <v>5071.570218835348</v>
      </c>
      <c r="V200" s="1">
        <f t="shared" si="13"/>
        <v>8.5152056174016E-2</v>
      </c>
    </row>
    <row r="201" spans="16:22" x14ac:dyDescent="0.25">
      <c r="P201" s="1">
        <f t="shared" si="16"/>
        <v>1.1600000000000006</v>
      </c>
      <c r="Q201" s="1">
        <f t="shared" si="14"/>
        <v>5071.5647894386811</v>
      </c>
      <c r="R201" s="1">
        <f t="shared" si="15"/>
        <v>8.520635014068445E-2</v>
      </c>
      <c r="T201" s="1">
        <f t="shared" si="17"/>
        <v>0.18499999999999997</v>
      </c>
      <c r="U201" s="1">
        <f t="shared" si="18"/>
        <v>5071.570218835348</v>
      </c>
      <c r="V201" s="1">
        <f t="shared" si="13"/>
        <v>8.5152056174016E-2</v>
      </c>
    </row>
    <row r="202" spans="16:22" x14ac:dyDescent="0.25">
      <c r="P202" s="1">
        <f t="shared" si="16"/>
        <v>1.1600000000000006</v>
      </c>
      <c r="Q202" s="1">
        <f t="shared" si="14"/>
        <v>5071.5647894386811</v>
      </c>
      <c r="R202" s="1">
        <f t="shared" si="15"/>
        <v>8.520635014068445E-2</v>
      </c>
      <c r="T202" s="1">
        <f t="shared" si="17"/>
        <v>0.18499999999999997</v>
      </c>
      <c r="U202" s="1">
        <f t="shared" si="18"/>
        <v>5071.570218835348</v>
      </c>
      <c r="V202" s="1">
        <f t="shared" ref="V202:V210" si="19">MAX(-1,MIN(1, $H$7+$I$7*($D$15-U202)))</f>
        <v>8.5152056174016E-2</v>
      </c>
    </row>
    <row r="203" spans="16:22" x14ac:dyDescent="0.25">
      <c r="P203" s="1">
        <f t="shared" si="16"/>
        <v>1.1600000000000006</v>
      </c>
      <c r="Q203" s="1">
        <f t="shared" si="14"/>
        <v>5071.5647894386811</v>
      </c>
      <c r="R203" s="1">
        <f t="shared" si="15"/>
        <v>8.520635014068445E-2</v>
      </c>
      <c r="T203" s="1">
        <f t="shared" si="17"/>
        <v>0.18499999999999997</v>
      </c>
      <c r="U203" s="1">
        <f t="shared" si="18"/>
        <v>5071.570218835348</v>
      </c>
      <c r="V203" s="1">
        <f t="shared" si="19"/>
        <v>8.5152056174016E-2</v>
      </c>
    </row>
    <row r="204" spans="16:22" x14ac:dyDescent="0.25">
      <c r="P204" s="1">
        <f t="shared" si="16"/>
        <v>1.1600000000000006</v>
      </c>
      <c r="Q204" s="1">
        <f t="shared" ref="Q204:Q210" si="20">IF(P204=P203, Q203, Q203+0.02*$E$8*(R203-$D$14*(Q203*PI()/30)/$E$7)/($E$16/$D$14+$E$18*$D$14/$D$20^2)*30/PI())</f>
        <v>5071.5647894386811</v>
      </c>
      <c r="R204" s="1">
        <f t="shared" ref="R204:R210" si="21">MAX(-1,MIN(1, $H$7+$I$7*($D$15-Q204)))</f>
        <v>8.520635014068445E-2</v>
      </c>
      <c r="T204" s="1">
        <f t="shared" si="17"/>
        <v>0.18499999999999997</v>
      </c>
      <c r="U204" s="1">
        <f t="shared" si="18"/>
        <v>5071.570218835348</v>
      </c>
      <c r="V204" s="1">
        <f t="shared" si="19"/>
        <v>8.5152056174016E-2</v>
      </c>
    </row>
    <row r="205" spans="16:22" x14ac:dyDescent="0.25">
      <c r="P205" s="1">
        <f t="shared" ref="P205:P210" si="22">IF(AND(ABS(Q204-Q203)&lt;0.01/0.02, ABS(Q204-$D$15)/$D$15&lt;0.02), P204, P204+0.02)</f>
        <v>1.1600000000000006</v>
      </c>
      <c r="Q205" s="1">
        <f t="shared" si="20"/>
        <v>5071.5647894386811</v>
      </c>
      <c r="R205" s="1">
        <f t="shared" si="21"/>
        <v>8.520635014068445E-2</v>
      </c>
      <c r="T205" s="1">
        <f t="shared" si="17"/>
        <v>0.18499999999999997</v>
      </c>
      <c r="U205" s="1">
        <f t="shared" si="18"/>
        <v>5071.570218835348</v>
      </c>
      <c r="V205" s="1">
        <f t="shared" si="19"/>
        <v>8.5152056174016E-2</v>
      </c>
    </row>
    <row r="206" spans="16:22" x14ac:dyDescent="0.25">
      <c r="P206" s="1">
        <f t="shared" si="22"/>
        <v>1.1600000000000006</v>
      </c>
      <c r="Q206" s="1">
        <f t="shared" si="20"/>
        <v>5071.5647894386811</v>
      </c>
      <c r="R206" s="1">
        <f t="shared" si="21"/>
        <v>8.520635014068445E-2</v>
      </c>
      <c r="T206" s="1">
        <f t="shared" si="17"/>
        <v>0.18499999999999997</v>
      </c>
      <c r="U206" s="1">
        <f t="shared" si="18"/>
        <v>5071.570218835348</v>
      </c>
      <c r="V206" s="1">
        <f t="shared" si="19"/>
        <v>8.5152056174016E-2</v>
      </c>
    </row>
    <row r="207" spans="16:22" x14ac:dyDescent="0.25">
      <c r="P207" s="1">
        <f t="shared" si="22"/>
        <v>1.1600000000000006</v>
      </c>
      <c r="Q207" s="1">
        <f t="shared" si="20"/>
        <v>5071.5647894386811</v>
      </c>
      <c r="R207" s="1">
        <f t="shared" si="21"/>
        <v>8.520635014068445E-2</v>
      </c>
      <c r="T207" s="1">
        <f t="shared" si="17"/>
        <v>0.18499999999999997</v>
      </c>
      <c r="U207" s="1">
        <f t="shared" si="18"/>
        <v>5071.570218835348</v>
      </c>
      <c r="V207" s="1">
        <f t="shared" si="19"/>
        <v>8.5152056174016E-2</v>
      </c>
    </row>
    <row r="208" spans="16:22" x14ac:dyDescent="0.25">
      <c r="P208" s="1">
        <f t="shared" si="22"/>
        <v>1.1600000000000006</v>
      </c>
      <c r="Q208" s="1">
        <f t="shared" si="20"/>
        <v>5071.5647894386811</v>
      </c>
      <c r="R208" s="1">
        <f t="shared" si="21"/>
        <v>8.520635014068445E-2</v>
      </c>
      <c r="T208" s="1">
        <f t="shared" si="17"/>
        <v>0.18499999999999997</v>
      </c>
      <c r="U208" s="1">
        <f t="shared" si="18"/>
        <v>5071.570218835348</v>
      </c>
      <c r="V208" s="1">
        <f t="shared" si="19"/>
        <v>8.5152056174016E-2</v>
      </c>
    </row>
    <row r="209" spans="16:22" x14ac:dyDescent="0.25">
      <c r="P209" s="1">
        <f t="shared" si="22"/>
        <v>1.1600000000000006</v>
      </c>
      <c r="Q209" s="1">
        <f t="shared" si="20"/>
        <v>5071.5647894386811</v>
      </c>
      <c r="R209" s="1">
        <f t="shared" si="21"/>
        <v>8.520635014068445E-2</v>
      </c>
      <c r="T209" s="1">
        <f t="shared" si="17"/>
        <v>0.18499999999999997</v>
      </c>
      <c r="U209" s="1">
        <f t="shared" si="18"/>
        <v>5071.570218835348</v>
      </c>
      <c r="V209" s="1">
        <f t="shared" si="19"/>
        <v>8.5152056174016E-2</v>
      </c>
    </row>
    <row r="210" spans="16:22" x14ac:dyDescent="0.25">
      <c r="P210" s="1">
        <f t="shared" si="22"/>
        <v>1.1600000000000006</v>
      </c>
      <c r="Q210" s="1">
        <f t="shared" si="20"/>
        <v>5071.5647894386811</v>
      </c>
      <c r="R210" s="1">
        <f t="shared" si="21"/>
        <v>8.520635014068445E-2</v>
      </c>
      <c r="T210" s="1">
        <f t="shared" si="17"/>
        <v>0.18499999999999997</v>
      </c>
      <c r="U210" s="1">
        <f t="shared" si="18"/>
        <v>5071.570218835348</v>
      </c>
      <c r="V210" s="1">
        <f t="shared" si="19"/>
        <v>8.5152056174016E-2</v>
      </c>
    </row>
  </sheetData>
  <sheetProtection formatCells="0" formatColumns="0" formatRows="0"/>
  <dataConsolidate/>
  <mergeCells count="1">
    <mergeCell ref="C6:D6"/>
  </mergeCells>
  <dataValidations disablePrompts="1"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Flywheel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Flywheel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2019-10-28T19:33:06Z</dcterms:created>
  <dcterms:modified xsi:type="dcterms:W3CDTF">2019-11-01T00:19:36Z</dcterms:modified>
</cp:coreProperties>
</file>