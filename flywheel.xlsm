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3170"/>
  </bookViews>
  <sheets>
    <sheet name="Flywheel" sheetId="1" r:id="rId1"/>
  </sheets>
  <externalReferences>
    <externalReference r:id="rId2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[1]º´¨ÅØÅ!$I$43:$N$44</definedName>
    <definedName name="VP_90">[1]º´¨ÅØÅ!$I$48:$N$49</definedName>
    <definedName name="VP_Base">[1]º´¨ÅØÅ!$I$3:$N$7</definedName>
    <definedName name="VP_DualMotor">[1]º´¨ÅØÅ!$I$32:$N$39</definedName>
    <definedName name="VP_Encoder">[1]º´¨ÅØÅ!$I$57:$N$58</definedName>
    <definedName name="VP_Load">[1]º´¨ÅØÅ!$D$2:$F$841</definedName>
    <definedName name="VP_Motor">[1]º´¨ÅØÅ!$I$11:$N$18</definedName>
    <definedName name="VP_Ratchet">[1]º´¨ÅØÅ!$I$53:$N$54</definedName>
    <definedName name="VP_Stage">[1]º´¨ÅØÅ!$I$22:$N$28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7" i="1" l="1"/>
  <c r="O7" i="1"/>
  <c r="P7" i="1" s="1"/>
  <c r="K8" i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R7" i="1"/>
  <c r="E8" i="1"/>
  <c r="N7" i="1"/>
  <c r="N8" i="1" l="1"/>
  <c r="E15" i="1"/>
  <c r="E18" i="1"/>
  <c r="Q7" i="1" s="1"/>
  <c r="L8" i="1" s="1"/>
  <c r="E16" i="1"/>
  <c r="R8" i="1" l="1"/>
  <c r="M8" i="1" s="1"/>
  <c r="N9" i="1" s="1"/>
  <c r="H13" i="1"/>
  <c r="O8" i="1" l="1"/>
  <c r="P8" i="1" s="1"/>
  <c r="C16" i="1"/>
  <c r="C19" i="1"/>
  <c r="C18" i="1"/>
  <c r="Q8" i="1" l="1"/>
  <c r="L9" i="1" s="1"/>
  <c r="C24" i="1"/>
  <c r="C22" i="1"/>
  <c r="D8" i="1"/>
  <c r="D7" i="1"/>
  <c r="H11" i="1" s="1"/>
  <c r="R9" i="1" l="1"/>
  <c r="M9" i="1" s="1"/>
  <c r="E7" i="1"/>
  <c r="O9" i="1" l="1"/>
  <c r="N10" i="1"/>
  <c r="H10" i="1"/>
  <c r="F7" i="1"/>
  <c r="H14" i="1"/>
  <c r="P9" i="1" l="1"/>
  <c r="Q9" i="1" s="1"/>
  <c r="L10" i="1" s="1"/>
  <c r="R10" i="1" s="1"/>
  <c r="M10" i="1" s="1"/>
  <c r="O10" i="1" s="1"/>
  <c r="P10" i="1" l="1"/>
  <c r="Q10" i="1" s="1"/>
  <c r="L11" i="1" s="1"/>
  <c r="R11" i="1" s="1"/>
  <c r="M11" i="1" s="1"/>
  <c r="N11" i="1"/>
  <c r="N12" i="1" l="1"/>
  <c r="O11" i="1"/>
  <c r="P11" i="1" l="1"/>
  <c r="Q11" i="1" s="1"/>
  <c r="L12" i="1" s="1"/>
  <c r="R12" i="1" s="1"/>
  <c r="M12" i="1" s="1"/>
  <c r="O12" i="1" s="1"/>
  <c r="P12" i="1" l="1"/>
  <c r="Q12" i="1" s="1"/>
  <c r="L13" i="1" s="1"/>
  <c r="R13" i="1" s="1"/>
  <c r="M13" i="1" s="1"/>
  <c r="N13" i="1"/>
  <c r="N14" i="1" l="1"/>
  <c r="O13" i="1"/>
  <c r="P13" i="1" l="1"/>
  <c r="Q13" i="1" s="1"/>
  <c r="L14" i="1" s="1"/>
  <c r="R14" i="1" s="1"/>
  <c r="M14" i="1" s="1"/>
  <c r="O14" i="1" l="1"/>
  <c r="N15" i="1"/>
  <c r="P14" i="1" l="1"/>
  <c r="Q14" i="1" s="1"/>
  <c r="L15" i="1" s="1"/>
  <c r="R15" i="1" s="1"/>
  <c r="M15" i="1" s="1"/>
  <c r="O15" i="1" s="1"/>
  <c r="P15" i="1" l="1"/>
  <c r="Q15" i="1" s="1"/>
  <c r="L16" i="1" s="1"/>
  <c r="R16" i="1" s="1"/>
  <c r="M16" i="1" s="1"/>
  <c r="N16" i="1"/>
  <c r="N17" i="1" l="1"/>
  <c r="O16" i="1"/>
  <c r="P16" i="1" l="1"/>
  <c r="Q16" i="1" s="1"/>
  <c r="L17" i="1" s="1"/>
  <c r="R17" i="1" s="1"/>
  <c r="M17" i="1" s="1"/>
  <c r="O17" i="1" l="1"/>
  <c r="N18" i="1"/>
  <c r="P17" i="1" l="1"/>
  <c r="Q17" i="1" s="1"/>
  <c r="L18" i="1" s="1"/>
  <c r="R18" i="1" s="1"/>
  <c r="M18" i="1" s="1"/>
  <c r="O18" i="1" s="1"/>
  <c r="P18" i="1" l="1"/>
  <c r="Q18" i="1" s="1"/>
  <c r="L19" i="1" s="1"/>
  <c r="R19" i="1" s="1"/>
  <c r="M19" i="1" s="1"/>
  <c r="N19" i="1"/>
  <c r="N20" i="1" l="1"/>
  <c r="O19" i="1"/>
  <c r="P19" i="1" l="1"/>
  <c r="Q19" i="1" s="1"/>
  <c r="L20" i="1" s="1"/>
  <c r="R20" i="1" s="1"/>
  <c r="M20" i="1" s="1"/>
  <c r="O20" i="1" l="1"/>
  <c r="N21" i="1"/>
  <c r="P20" i="1" l="1"/>
  <c r="Q20" i="1" s="1"/>
  <c r="L21" i="1" s="1"/>
  <c r="R21" i="1" s="1"/>
  <c r="M21" i="1" s="1"/>
  <c r="O21" i="1" s="1"/>
  <c r="P21" i="1" l="1"/>
  <c r="Q21" i="1" s="1"/>
  <c r="L22" i="1" s="1"/>
  <c r="R22" i="1" s="1"/>
  <c r="M22" i="1" s="1"/>
  <c r="N22" i="1"/>
  <c r="N23" i="1" l="1"/>
  <c r="O22" i="1"/>
  <c r="P22" i="1" l="1"/>
  <c r="Q22" i="1" s="1"/>
  <c r="L23" i="1" s="1"/>
  <c r="R23" i="1" s="1"/>
  <c r="M23" i="1" s="1"/>
  <c r="O23" i="1" l="1"/>
  <c r="N24" i="1"/>
  <c r="P23" i="1" l="1"/>
  <c r="Q23" i="1" s="1"/>
  <c r="L24" i="1" s="1"/>
  <c r="R24" i="1" s="1"/>
  <c r="M24" i="1" s="1"/>
  <c r="O24" i="1" s="1"/>
  <c r="P24" i="1" l="1"/>
  <c r="Q24" i="1" s="1"/>
  <c r="L25" i="1" s="1"/>
  <c r="R25" i="1" s="1"/>
  <c r="M25" i="1" s="1"/>
  <c r="N25" i="1"/>
  <c r="N26" i="1" l="1"/>
  <c r="O25" i="1"/>
  <c r="P25" i="1" l="1"/>
  <c r="Q25" i="1" s="1"/>
  <c r="L26" i="1" s="1"/>
  <c r="R26" i="1" s="1"/>
  <c r="M26" i="1" s="1"/>
  <c r="O26" i="1" l="1"/>
  <c r="N27" i="1"/>
  <c r="P26" i="1" l="1"/>
  <c r="Q26" i="1" s="1"/>
  <c r="L27" i="1" s="1"/>
  <c r="R27" i="1" s="1"/>
  <c r="M27" i="1" s="1"/>
  <c r="O27" i="1" s="1"/>
  <c r="P27" i="1" l="1"/>
  <c r="Q27" i="1" s="1"/>
  <c r="L28" i="1" s="1"/>
  <c r="R28" i="1" s="1"/>
  <c r="M28" i="1" s="1"/>
  <c r="N28" i="1"/>
  <c r="O28" i="1" l="1"/>
  <c r="N29" i="1"/>
  <c r="P28" i="1" l="1"/>
  <c r="Q28" i="1" s="1"/>
  <c r="L29" i="1" s="1"/>
  <c r="R29" i="1" s="1"/>
  <c r="M29" i="1" s="1"/>
  <c r="O29" i="1" l="1"/>
  <c r="N30" i="1"/>
  <c r="P29" i="1" l="1"/>
  <c r="Q29" i="1" s="1"/>
  <c r="L30" i="1" s="1"/>
  <c r="R30" i="1" s="1"/>
  <c r="M30" i="1" s="1"/>
  <c r="O30" i="1" l="1"/>
  <c r="N31" i="1"/>
  <c r="P30" i="1" l="1"/>
  <c r="Q30" i="1" s="1"/>
  <c r="L31" i="1" s="1"/>
  <c r="R31" i="1" s="1"/>
  <c r="M31" i="1" s="1"/>
  <c r="O31" i="1" l="1"/>
  <c r="N32" i="1"/>
  <c r="P31" i="1" l="1"/>
  <c r="Q31" i="1" s="1"/>
  <c r="L32" i="1" s="1"/>
  <c r="R32" i="1" s="1"/>
  <c r="M32" i="1" s="1"/>
  <c r="O32" i="1" l="1"/>
  <c r="N33" i="1"/>
  <c r="P32" i="1" l="1"/>
  <c r="Q32" i="1" s="1"/>
  <c r="L33" i="1" s="1"/>
  <c r="R33" i="1" s="1"/>
  <c r="M33" i="1" s="1"/>
  <c r="O33" i="1" l="1"/>
  <c r="N34" i="1"/>
  <c r="P33" i="1" l="1"/>
  <c r="Q33" i="1" s="1"/>
  <c r="L34" i="1" s="1"/>
  <c r="R34" i="1" s="1"/>
  <c r="M34" i="1" s="1"/>
  <c r="O34" i="1" l="1"/>
  <c r="N35" i="1"/>
  <c r="P34" i="1" l="1"/>
  <c r="Q34" i="1" s="1"/>
  <c r="L35" i="1" s="1"/>
  <c r="R35" i="1" s="1"/>
  <c r="M35" i="1" s="1"/>
  <c r="O35" i="1" l="1"/>
  <c r="N36" i="1"/>
  <c r="P35" i="1" l="1"/>
  <c r="Q35" i="1" s="1"/>
  <c r="L36" i="1" s="1"/>
  <c r="R36" i="1" s="1"/>
  <c r="M36" i="1" s="1"/>
  <c r="O36" i="1" l="1"/>
  <c r="N37" i="1"/>
  <c r="P36" i="1" l="1"/>
  <c r="Q36" i="1" s="1"/>
  <c r="L37" i="1" s="1"/>
  <c r="R37" i="1" s="1"/>
  <c r="M37" i="1" s="1"/>
  <c r="O37" i="1" l="1"/>
  <c r="N38" i="1"/>
  <c r="P37" i="1" l="1"/>
  <c r="Q37" i="1" s="1"/>
  <c r="L38" i="1" s="1"/>
  <c r="R38" i="1" s="1"/>
  <c r="M38" i="1" s="1"/>
  <c r="O38" i="1" l="1"/>
  <c r="N39" i="1"/>
  <c r="P38" i="1" l="1"/>
  <c r="Q38" i="1" s="1"/>
  <c r="L39" i="1" s="1"/>
  <c r="R39" i="1" s="1"/>
  <c r="M39" i="1" s="1"/>
  <c r="O39" i="1" l="1"/>
  <c r="N40" i="1"/>
  <c r="P39" i="1" l="1"/>
  <c r="Q39" i="1" s="1"/>
  <c r="L40" i="1" s="1"/>
  <c r="R40" i="1" s="1"/>
  <c r="M40" i="1" s="1"/>
  <c r="O40" i="1" l="1"/>
  <c r="N41" i="1"/>
  <c r="P40" i="1" l="1"/>
  <c r="Q40" i="1" s="1"/>
  <c r="L41" i="1" s="1"/>
  <c r="R41" i="1" s="1"/>
  <c r="M41" i="1" s="1"/>
  <c r="O41" i="1" l="1"/>
  <c r="N42" i="1"/>
  <c r="P41" i="1" l="1"/>
  <c r="Q41" i="1" s="1"/>
  <c r="L42" i="1" s="1"/>
  <c r="R42" i="1" s="1"/>
  <c r="M42" i="1" s="1"/>
  <c r="O42" i="1" l="1"/>
  <c r="N43" i="1"/>
  <c r="P42" i="1" l="1"/>
  <c r="Q42" i="1" s="1"/>
  <c r="L43" i="1" s="1"/>
  <c r="R43" i="1" s="1"/>
  <c r="M43" i="1" s="1"/>
  <c r="O43" i="1" l="1"/>
  <c r="N44" i="1"/>
  <c r="P43" i="1" l="1"/>
  <c r="Q43" i="1" s="1"/>
  <c r="L44" i="1" s="1"/>
  <c r="R44" i="1" s="1"/>
  <c r="M44" i="1" s="1"/>
  <c r="O44" i="1" l="1"/>
  <c r="N45" i="1"/>
  <c r="P44" i="1" l="1"/>
  <c r="Q44" i="1" s="1"/>
  <c r="L45" i="1" s="1"/>
  <c r="R45" i="1" s="1"/>
  <c r="M45" i="1" s="1"/>
  <c r="O45" i="1" l="1"/>
  <c r="N46" i="1"/>
  <c r="P45" i="1" l="1"/>
  <c r="Q45" i="1" s="1"/>
  <c r="L46" i="1" s="1"/>
  <c r="R46" i="1" s="1"/>
  <c r="M46" i="1" s="1"/>
  <c r="O46" i="1" l="1"/>
  <c r="N47" i="1"/>
  <c r="P46" i="1" l="1"/>
  <c r="Q46" i="1" s="1"/>
  <c r="L47" i="1" s="1"/>
  <c r="R47" i="1" s="1"/>
  <c r="M47" i="1" s="1"/>
  <c r="O47" i="1" l="1"/>
  <c r="N48" i="1"/>
  <c r="P47" i="1" l="1"/>
  <c r="Q47" i="1" s="1"/>
  <c r="L48" i="1" s="1"/>
  <c r="R48" i="1" s="1"/>
  <c r="M48" i="1" s="1"/>
  <c r="O48" i="1" l="1"/>
  <c r="N49" i="1"/>
  <c r="P48" i="1" l="1"/>
  <c r="Q48" i="1" s="1"/>
  <c r="L49" i="1" s="1"/>
  <c r="R49" i="1" s="1"/>
  <c r="M49" i="1" s="1"/>
  <c r="O49" i="1" l="1"/>
  <c r="N50" i="1"/>
  <c r="P49" i="1" l="1"/>
  <c r="Q49" i="1" s="1"/>
  <c r="L50" i="1" s="1"/>
  <c r="R50" i="1" s="1"/>
  <c r="M50" i="1" s="1"/>
  <c r="O50" i="1" l="1"/>
  <c r="N51" i="1"/>
  <c r="P50" i="1" l="1"/>
  <c r="Q50" i="1" s="1"/>
  <c r="L51" i="1" s="1"/>
  <c r="R51" i="1" s="1"/>
  <c r="M51" i="1" s="1"/>
  <c r="O51" i="1" l="1"/>
  <c r="N52" i="1"/>
  <c r="P51" i="1" l="1"/>
  <c r="Q51" i="1" s="1"/>
  <c r="L52" i="1" s="1"/>
  <c r="R52" i="1" s="1"/>
  <c r="M52" i="1" s="1"/>
  <c r="O52" i="1" l="1"/>
  <c r="N53" i="1"/>
  <c r="P52" i="1" l="1"/>
  <c r="Q52" i="1" s="1"/>
  <c r="L53" i="1" s="1"/>
  <c r="R53" i="1" s="1"/>
  <c r="M53" i="1" s="1"/>
  <c r="O53" i="1" l="1"/>
  <c r="N54" i="1"/>
  <c r="P53" i="1" l="1"/>
  <c r="Q53" i="1" s="1"/>
  <c r="L54" i="1" s="1"/>
  <c r="R54" i="1" s="1"/>
  <c r="M54" i="1" s="1"/>
  <c r="O54" i="1" l="1"/>
  <c r="N55" i="1"/>
  <c r="P54" i="1" l="1"/>
  <c r="Q54" i="1" s="1"/>
  <c r="L55" i="1" s="1"/>
  <c r="R55" i="1" s="1"/>
  <c r="M55" i="1" s="1"/>
  <c r="O55" i="1" l="1"/>
  <c r="N56" i="1"/>
  <c r="P55" i="1" l="1"/>
  <c r="Q55" i="1" s="1"/>
  <c r="L56" i="1" s="1"/>
  <c r="R56" i="1" s="1"/>
  <c r="M56" i="1" s="1"/>
  <c r="O56" i="1" l="1"/>
  <c r="N57" i="1"/>
  <c r="P56" i="1" l="1"/>
  <c r="Q56" i="1" s="1"/>
  <c r="L57" i="1" s="1"/>
  <c r="R57" i="1" s="1"/>
  <c r="M57" i="1" s="1"/>
  <c r="O57" i="1" l="1"/>
  <c r="N58" i="1"/>
  <c r="P57" i="1" l="1"/>
  <c r="Q57" i="1" s="1"/>
  <c r="L58" i="1" s="1"/>
  <c r="R58" i="1" s="1"/>
  <c r="M58" i="1" s="1"/>
  <c r="O58" i="1" l="1"/>
  <c r="N59" i="1"/>
  <c r="P58" i="1" l="1"/>
  <c r="Q58" i="1" s="1"/>
  <c r="L59" i="1" s="1"/>
  <c r="R59" i="1" s="1"/>
  <c r="M59" i="1" s="1"/>
  <c r="O59" i="1" l="1"/>
  <c r="N60" i="1"/>
  <c r="P59" i="1" l="1"/>
  <c r="Q59" i="1" s="1"/>
  <c r="L60" i="1" s="1"/>
  <c r="R60" i="1" s="1"/>
  <c r="M60" i="1" s="1"/>
  <c r="O60" i="1" l="1"/>
  <c r="N61" i="1"/>
  <c r="P60" i="1" l="1"/>
  <c r="Q60" i="1" s="1"/>
  <c r="L61" i="1" s="1"/>
  <c r="R61" i="1" s="1"/>
  <c r="M61" i="1" s="1"/>
  <c r="O61" i="1" l="1"/>
  <c r="N62" i="1"/>
  <c r="P61" i="1" l="1"/>
  <c r="Q61" i="1" s="1"/>
  <c r="L62" i="1" s="1"/>
  <c r="R62" i="1" s="1"/>
  <c r="M62" i="1" s="1"/>
  <c r="O62" i="1" l="1"/>
  <c r="N63" i="1"/>
  <c r="P62" i="1" l="1"/>
  <c r="Q62" i="1" s="1"/>
  <c r="L63" i="1" s="1"/>
  <c r="R63" i="1" s="1"/>
  <c r="M63" i="1" s="1"/>
  <c r="O63" i="1" l="1"/>
  <c r="N64" i="1"/>
  <c r="P63" i="1" l="1"/>
  <c r="Q63" i="1" s="1"/>
  <c r="L64" i="1" s="1"/>
  <c r="R64" i="1" s="1"/>
  <c r="M64" i="1" s="1"/>
  <c r="O64" i="1" l="1"/>
  <c r="N65" i="1"/>
  <c r="P64" i="1" l="1"/>
  <c r="Q64" i="1" s="1"/>
  <c r="L65" i="1" s="1"/>
  <c r="R65" i="1" s="1"/>
  <c r="M65" i="1" s="1"/>
  <c r="N66" i="1" l="1"/>
  <c r="O65" i="1"/>
  <c r="P65" i="1" l="1"/>
  <c r="Q65" i="1" s="1"/>
  <c r="L66" i="1" s="1"/>
  <c r="R66" i="1" s="1"/>
  <c r="M66" i="1" s="1"/>
  <c r="O66" i="1" l="1"/>
  <c r="N67" i="1"/>
  <c r="P66" i="1" l="1"/>
  <c r="Q66" i="1" s="1"/>
  <c r="L67" i="1" s="1"/>
  <c r="R67" i="1" s="1"/>
  <c r="M67" i="1" s="1"/>
  <c r="O67" i="1" l="1"/>
  <c r="N68" i="1"/>
  <c r="P67" i="1" l="1"/>
  <c r="Q67" i="1" s="1"/>
  <c r="L68" i="1" s="1"/>
  <c r="R68" i="1" s="1"/>
  <c r="M68" i="1" s="1"/>
  <c r="O68" i="1" l="1"/>
  <c r="N69" i="1"/>
  <c r="P68" i="1" l="1"/>
  <c r="Q68" i="1" s="1"/>
  <c r="L69" i="1" s="1"/>
  <c r="R69" i="1" s="1"/>
  <c r="M69" i="1" s="1"/>
  <c r="O69" i="1" l="1"/>
  <c r="N70" i="1"/>
  <c r="P69" i="1" l="1"/>
  <c r="Q69" i="1" s="1"/>
  <c r="L70" i="1" s="1"/>
  <c r="R70" i="1" s="1"/>
  <c r="M70" i="1" s="1"/>
  <c r="O70" i="1" l="1"/>
  <c r="N71" i="1"/>
  <c r="P70" i="1" l="1"/>
  <c r="Q70" i="1" s="1"/>
  <c r="L71" i="1" s="1"/>
  <c r="R71" i="1" s="1"/>
  <c r="M71" i="1" s="1"/>
  <c r="O71" i="1" l="1"/>
  <c r="N72" i="1"/>
  <c r="P71" i="1" l="1"/>
  <c r="Q71" i="1" s="1"/>
  <c r="L72" i="1" s="1"/>
  <c r="R72" i="1" s="1"/>
  <c r="M72" i="1" s="1"/>
  <c r="O72" i="1" l="1"/>
  <c r="N73" i="1"/>
  <c r="P72" i="1" l="1"/>
  <c r="Q72" i="1" s="1"/>
  <c r="L73" i="1" s="1"/>
  <c r="R73" i="1" s="1"/>
  <c r="M73" i="1" s="1"/>
  <c r="O73" i="1" l="1"/>
  <c r="N74" i="1"/>
  <c r="P73" i="1" l="1"/>
  <c r="Q73" i="1" s="1"/>
  <c r="L74" i="1" s="1"/>
  <c r="R74" i="1" s="1"/>
  <c r="M74" i="1" s="1"/>
  <c r="O74" i="1" s="1"/>
  <c r="P74" i="1" l="1"/>
  <c r="Q74" i="1" s="1"/>
  <c r="L75" i="1" s="1"/>
  <c r="R75" i="1" s="1"/>
  <c r="M75" i="1" s="1"/>
  <c r="N75" i="1"/>
  <c r="O75" i="1" l="1"/>
  <c r="P75" i="1" s="1"/>
  <c r="Q75" i="1" s="1"/>
  <c r="L76" i="1" s="1"/>
  <c r="R76" i="1" s="1"/>
  <c r="M76" i="1" s="1"/>
  <c r="N76" i="1"/>
  <c r="O76" i="1" l="1"/>
  <c r="P76" i="1" s="1"/>
  <c r="Q76" i="1" s="1"/>
  <c r="L77" i="1" s="1"/>
  <c r="R77" i="1" s="1"/>
  <c r="M77" i="1" s="1"/>
  <c r="N77" i="1"/>
  <c r="O77" i="1" l="1"/>
  <c r="P77" i="1" s="1"/>
  <c r="Q77" i="1" s="1"/>
  <c r="L78" i="1" s="1"/>
  <c r="R78" i="1" s="1"/>
  <c r="M78" i="1" s="1"/>
  <c r="N78" i="1"/>
  <c r="O78" i="1" l="1"/>
  <c r="P78" i="1" s="1"/>
  <c r="Q78" i="1" s="1"/>
  <c r="L79" i="1" s="1"/>
  <c r="R79" i="1" s="1"/>
  <c r="M79" i="1" s="1"/>
  <c r="N79" i="1"/>
  <c r="O79" i="1" l="1"/>
  <c r="P79" i="1" s="1"/>
  <c r="Q79" i="1" s="1"/>
  <c r="L80" i="1" s="1"/>
  <c r="R80" i="1" s="1"/>
  <c r="M80" i="1" s="1"/>
  <c r="N80" i="1"/>
  <c r="O80" i="1" l="1"/>
  <c r="P80" i="1" s="1"/>
  <c r="Q80" i="1" s="1"/>
  <c r="L81" i="1" s="1"/>
  <c r="R81" i="1" s="1"/>
  <c r="M81" i="1" s="1"/>
  <c r="N81" i="1"/>
  <c r="O81" i="1" l="1"/>
  <c r="P81" i="1" s="1"/>
  <c r="Q81" i="1" s="1"/>
  <c r="L82" i="1" s="1"/>
  <c r="R82" i="1" s="1"/>
  <c r="M82" i="1" s="1"/>
  <c r="N82" i="1"/>
  <c r="O82" i="1" l="1"/>
  <c r="P82" i="1" s="1"/>
  <c r="Q82" i="1" s="1"/>
  <c r="L83" i="1" s="1"/>
  <c r="R83" i="1" s="1"/>
  <c r="M83" i="1" s="1"/>
  <c r="N83" i="1"/>
  <c r="O83" i="1" l="1"/>
  <c r="P83" i="1" s="1"/>
  <c r="Q83" i="1" s="1"/>
  <c r="L84" i="1" s="1"/>
  <c r="R84" i="1" s="1"/>
  <c r="M84" i="1" s="1"/>
  <c r="N84" i="1"/>
  <c r="O84" i="1" l="1"/>
  <c r="P84" i="1" s="1"/>
  <c r="Q84" i="1" s="1"/>
  <c r="L85" i="1" s="1"/>
  <c r="R85" i="1" s="1"/>
  <c r="M85" i="1" s="1"/>
  <c r="N85" i="1"/>
  <c r="O85" i="1" l="1"/>
  <c r="P85" i="1" s="1"/>
  <c r="Q85" i="1" s="1"/>
  <c r="L86" i="1" s="1"/>
  <c r="R86" i="1" s="1"/>
  <c r="M86" i="1" s="1"/>
  <c r="N86" i="1"/>
  <c r="O86" i="1" l="1"/>
  <c r="P86" i="1"/>
  <c r="Q86" i="1" s="1"/>
  <c r="L87" i="1" s="1"/>
  <c r="R87" i="1" s="1"/>
  <c r="M87" i="1" s="1"/>
  <c r="N87" i="1"/>
  <c r="O87" i="1" l="1"/>
  <c r="P87" i="1" s="1"/>
  <c r="Q87" i="1" s="1"/>
  <c r="L88" i="1" s="1"/>
  <c r="R88" i="1" s="1"/>
  <c r="M88" i="1" s="1"/>
  <c r="N88" i="1"/>
  <c r="O88" i="1" l="1"/>
  <c r="P88" i="1" s="1"/>
  <c r="Q88" i="1" s="1"/>
  <c r="L89" i="1" s="1"/>
  <c r="R89" i="1" s="1"/>
  <c r="M89" i="1" s="1"/>
  <c r="N89" i="1"/>
  <c r="O89" i="1" l="1"/>
  <c r="P89" i="1" s="1"/>
  <c r="Q89" i="1" s="1"/>
  <c r="L90" i="1" s="1"/>
  <c r="R90" i="1" s="1"/>
  <c r="M90" i="1" s="1"/>
  <c r="N90" i="1"/>
  <c r="O90" i="1" l="1"/>
  <c r="P90" i="1" s="1"/>
  <c r="Q90" i="1" s="1"/>
  <c r="L91" i="1" s="1"/>
  <c r="R91" i="1" s="1"/>
  <c r="M91" i="1" s="1"/>
  <c r="N91" i="1"/>
  <c r="O91" i="1" l="1"/>
  <c r="P91" i="1" s="1"/>
  <c r="Q91" i="1" s="1"/>
  <c r="L92" i="1" s="1"/>
  <c r="R92" i="1" s="1"/>
  <c r="M92" i="1" s="1"/>
  <c r="N92" i="1"/>
  <c r="O92" i="1" l="1"/>
  <c r="P92" i="1" s="1"/>
  <c r="Q92" i="1" s="1"/>
  <c r="L93" i="1" s="1"/>
  <c r="R93" i="1" s="1"/>
  <c r="M93" i="1" s="1"/>
  <c r="N93" i="1"/>
  <c r="O93" i="1" l="1"/>
  <c r="P93" i="1"/>
  <c r="Q93" i="1" s="1"/>
  <c r="L94" i="1" s="1"/>
  <c r="R94" i="1" s="1"/>
  <c r="M94" i="1" s="1"/>
  <c r="N94" i="1"/>
  <c r="O94" i="1" l="1"/>
  <c r="P94" i="1" s="1"/>
  <c r="Q94" i="1" s="1"/>
  <c r="L95" i="1" s="1"/>
  <c r="R95" i="1" s="1"/>
  <c r="M95" i="1" s="1"/>
  <c r="N95" i="1"/>
  <c r="O95" i="1" l="1"/>
  <c r="P95" i="1" s="1"/>
  <c r="Q95" i="1" s="1"/>
  <c r="L96" i="1" s="1"/>
  <c r="R96" i="1" s="1"/>
  <c r="M96" i="1" s="1"/>
  <c r="N96" i="1"/>
  <c r="N97" i="1" l="1"/>
  <c r="O96" i="1"/>
  <c r="P96" i="1" l="1"/>
  <c r="Q96" i="1" s="1"/>
  <c r="L97" i="1" s="1"/>
  <c r="R97" i="1" s="1"/>
  <c r="M97" i="1" s="1"/>
  <c r="O97" i="1" l="1"/>
  <c r="N98" i="1"/>
  <c r="P97" i="1" l="1"/>
  <c r="Q97" i="1" s="1"/>
  <c r="L98" i="1" s="1"/>
  <c r="R98" i="1" s="1"/>
  <c r="M98" i="1" s="1"/>
  <c r="O98" i="1" l="1"/>
  <c r="N99" i="1"/>
  <c r="P98" i="1" l="1"/>
  <c r="Q98" i="1" s="1"/>
  <c r="L99" i="1" s="1"/>
  <c r="R99" i="1" s="1"/>
  <c r="M99" i="1" s="1"/>
  <c r="O99" i="1" l="1"/>
  <c r="N100" i="1"/>
  <c r="P99" i="1" l="1"/>
  <c r="Q99" i="1" s="1"/>
  <c r="L100" i="1" s="1"/>
  <c r="R100" i="1" s="1"/>
  <c r="M100" i="1" s="1"/>
  <c r="O100" i="1" l="1"/>
  <c r="N101" i="1"/>
  <c r="P100" i="1" l="1"/>
  <c r="Q100" i="1" s="1"/>
  <c r="L101" i="1" s="1"/>
  <c r="R101" i="1" s="1"/>
  <c r="M101" i="1" s="1"/>
  <c r="N102" i="1" l="1"/>
  <c r="O101" i="1"/>
  <c r="P101" i="1" l="1"/>
  <c r="Q101" i="1" s="1"/>
  <c r="L102" i="1" s="1"/>
  <c r="R102" i="1" s="1"/>
  <c r="M102" i="1" s="1"/>
  <c r="N103" i="1" l="1"/>
  <c r="O102" i="1"/>
  <c r="P102" i="1" l="1"/>
  <c r="Q102" i="1" s="1"/>
  <c r="L103" i="1" s="1"/>
  <c r="R103" i="1" s="1"/>
  <c r="M103" i="1" s="1"/>
  <c r="O103" i="1" s="1"/>
  <c r="N104" i="1" l="1"/>
  <c r="P103" i="1"/>
  <c r="Q103" i="1" s="1"/>
  <c r="L104" i="1" s="1"/>
  <c r="R104" i="1" s="1"/>
  <c r="M104" i="1" s="1"/>
  <c r="O104" i="1" s="1"/>
  <c r="P104" i="1" l="1"/>
  <c r="Q104" i="1" s="1"/>
  <c r="L105" i="1" s="1"/>
  <c r="R105" i="1" s="1"/>
  <c r="M105" i="1" s="1"/>
  <c r="N105" i="1"/>
  <c r="O105" i="1" l="1"/>
  <c r="P105" i="1" s="1"/>
  <c r="Q105" i="1" s="1"/>
  <c r="L106" i="1" s="1"/>
  <c r="R106" i="1" s="1"/>
  <c r="M106" i="1" s="1"/>
  <c r="N106" i="1"/>
  <c r="O106" i="1" l="1"/>
  <c r="P106" i="1" s="1"/>
  <c r="Q106" i="1" s="1"/>
  <c r="L107" i="1" s="1"/>
  <c r="R107" i="1" s="1"/>
  <c r="M107" i="1" s="1"/>
  <c r="N107" i="1"/>
  <c r="O107" i="1" l="1"/>
  <c r="P107" i="1" s="1"/>
  <c r="Q107" i="1" s="1"/>
  <c r="L108" i="1" s="1"/>
  <c r="R108" i="1" s="1"/>
  <c r="M108" i="1" s="1"/>
  <c r="N108" i="1"/>
  <c r="O108" i="1" l="1"/>
  <c r="P108" i="1"/>
  <c r="Q108" i="1" s="1"/>
  <c r="L109" i="1" s="1"/>
  <c r="R109" i="1" s="1"/>
  <c r="M109" i="1" s="1"/>
  <c r="N109" i="1"/>
  <c r="O109" i="1" l="1"/>
  <c r="P109" i="1" s="1"/>
  <c r="Q109" i="1" s="1"/>
  <c r="L110" i="1" s="1"/>
  <c r="R110" i="1" s="1"/>
  <c r="M110" i="1" s="1"/>
  <c r="N110" i="1"/>
  <c r="O110" i="1" l="1"/>
  <c r="P110" i="1" s="1"/>
  <c r="Q110" i="1" s="1"/>
  <c r="L111" i="1" s="1"/>
  <c r="R111" i="1" s="1"/>
  <c r="M111" i="1" s="1"/>
  <c r="N111" i="1"/>
  <c r="N112" i="1" l="1"/>
  <c r="O111" i="1"/>
  <c r="P111" i="1" l="1"/>
  <c r="Q111" i="1" s="1"/>
  <c r="L112" i="1" s="1"/>
  <c r="R112" i="1" s="1"/>
  <c r="M112" i="1" s="1"/>
  <c r="O112" i="1" l="1"/>
  <c r="N113" i="1"/>
  <c r="P112" i="1" l="1"/>
  <c r="Q112" i="1" s="1"/>
  <c r="L113" i="1" s="1"/>
  <c r="R113" i="1" s="1"/>
  <c r="M113" i="1" s="1"/>
  <c r="O113" i="1" l="1"/>
  <c r="N114" i="1"/>
  <c r="P113" i="1" l="1"/>
  <c r="Q113" i="1" s="1"/>
  <c r="L114" i="1" s="1"/>
  <c r="R114" i="1" s="1"/>
  <c r="M114" i="1" s="1"/>
  <c r="O114" i="1" l="1"/>
  <c r="N115" i="1"/>
  <c r="P114" i="1" l="1"/>
  <c r="Q114" i="1" s="1"/>
  <c r="L115" i="1" s="1"/>
  <c r="R115" i="1" s="1"/>
  <c r="M115" i="1" s="1"/>
  <c r="O115" i="1" l="1"/>
  <c r="N116" i="1"/>
  <c r="P115" i="1" l="1"/>
  <c r="Q115" i="1" s="1"/>
  <c r="L116" i="1" s="1"/>
  <c r="R116" i="1" s="1"/>
  <c r="M116" i="1" s="1"/>
  <c r="O116" i="1" l="1"/>
  <c r="N117" i="1"/>
  <c r="P116" i="1" l="1"/>
  <c r="Q116" i="1" s="1"/>
  <c r="L117" i="1" s="1"/>
  <c r="R117" i="1" s="1"/>
  <c r="M117" i="1" s="1"/>
  <c r="O117" i="1" l="1"/>
  <c r="N118" i="1"/>
  <c r="P117" i="1" l="1"/>
  <c r="Q117" i="1" s="1"/>
  <c r="L118" i="1" s="1"/>
  <c r="R118" i="1" s="1"/>
  <c r="M118" i="1" s="1"/>
  <c r="O118" i="1" l="1"/>
  <c r="N119" i="1"/>
  <c r="P118" i="1" l="1"/>
  <c r="Q118" i="1" s="1"/>
  <c r="L119" i="1" s="1"/>
  <c r="R119" i="1" s="1"/>
  <c r="M119" i="1" s="1"/>
  <c r="O119" i="1" l="1"/>
  <c r="N120" i="1"/>
  <c r="P119" i="1" l="1"/>
  <c r="Q119" i="1" s="1"/>
  <c r="L120" i="1" s="1"/>
  <c r="R120" i="1" s="1"/>
  <c r="M120" i="1" s="1"/>
  <c r="O120" i="1" l="1"/>
  <c r="N121" i="1"/>
  <c r="P120" i="1" l="1"/>
  <c r="Q120" i="1" s="1"/>
  <c r="L121" i="1" s="1"/>
  <c r="R121" i="1" s="1"/>
  <c r="M121" i="1" s="1"/>
  <c r="O121" i="1" l="1"/>
  <c r="N122" i="1"/>
  <c r="P121" i="1" l="1"/>
  <c r="Q121" i="1" s="1"/>
  <c r="L122" i="1" s="1"/>
  <c r="R122" i="1" s="1"/>
  <c r="M122" i="1" s="1"/>
  <c r="O122" i="1" l="1"/>
  <c r="N123" i="1"/>
  <c r="P122" i="1" l="1"/>
  <c r="Q122" i="1" s="1"/>
  <c r="L123" i="1" s="1"/>
  <c r="R123" i="1" s="1"/>
  <c r="M123" i="1" s="1"/>
  <c r="O123" i="1" l="1"/>
  <c r="N124" i="1"/>
  <c r="P123" i="1" l="1"/>
  <c r="Q123" i="1" s="1"/>
  <c r="L124" i="1" s="1"/>
  <c r="R124" i="1" s="1"/>
  <c r="M124" i="1" s="1"/>
  <c r="O124" i="1" l="1"/>
  <c r="N125" i="1"/>
  <c r="P124" i="1" l="1"/>
  <c r="Q124" i="1" s="1"/>
  <c r="L125" i="1" s="1"/>
  <c r="R125" i="1" s="1"/>
  <c r="M125" i="1" s="1"/>
  <c r="O125" i="1" l="1"/>
  <c r="N126" i="1"/>
  <c r="P125" i="1" l="1"/>
  <c r="Q125" i="1" s="1"/>
  <c r="L126" i="1" s="1"/>
  <c r="R126" i="1" s="1"/>
  <c r="M126" i="1" s="1"/>
  <c r="O126" i="1" l="1"/>
  <c r="N127" i="1"/>
  <c r="P126" i="1" l="1"/>
  <c r="Q126" i="1" s="1"/>
  <c r="L127" i="1" s="1"/>
  <c r="R127" i="1" s="1"/>
  <c r="M127" i="1" s="1"/>
  <c r="O127" i="1" l="1"/>
  <c r="N128" i="1"/>
  <c r="P127" i="1" l="1"/>
  <c r="Q127" i="1" s="1"/>
  <c r="L128" i="1" s="1"/>
  <c r="R128" i="1" s="1"/>
  <c r="M128" i="1" s="1"/>
  <c r="O128" i="1" l="1"/>
  <c r="N129" i="1"/>
  <c r="P128" i="1" l="1"/>
  <c r="Q128" i="1" s="1"/>
  <c r="L129" i="1" s="1"/>
  <c r="R129" i="1" s="1"/>
  <c r="M129" i="1" s="1"/>
  <c r="O129" i="1" l="1"/>
  <c r="N130" i="1"/>
  <c r="P129" i="1" l="1"/>
  <c r="Q129" i="1" s="1"/>
  <c r="L130" i="1" s="1"/>
  <c r="R130" i="1" s="1"/>
  <c r="M130" i="1" s="1"/>
  <c r="O130" i="1" l="1"/>
  <c r="N131" i="1"/>
  <c r="P130" i="1" l="1"/>
  <c r="Q130" i="1" s="1"/>
  <c r="L131" i="1" s="1"/>
  <c r="R131" i="1" s="1"/>
  <c r="M131" i="1" s="1"/>
  <c r="O131" i="1" l="1"/>
  <c r="N132" i="1"/>
  <c r="P131" i="1" l="1"/>
  <c r="Q131" i="1" s="1"/>
  <c r="L132" i="1" s="1"/>
  <c r="R132" i="1" s="1"/>
  <c r="M132" i="1" s="1"/>
  <c r="O132" i="1" l="1"/>
  <c r="N133" i="1"/>
  <c r="P132" i="1" l="1"/>
  <c r="Q132" i="1" s="1"/>
  <c r="L133" i="1" s="1"/>
  <c r="R133" i="1" s="1"/>
  <c r="M133" i="1" s="1"/>
  <c r="O133" i="1" l="1"/>
  <c r="N134" i="1"/>
  <c r="P133" i="1" l="1"/>
  <c r="Q133" i="1" s="1"/>
  <c r="L134" i="1" s="1"/>
  <c r="R134" i="1" s="1"/>
  <c r="M134" i="1" s="1"/>
  <c r="O134" i="1" s="1"/>
  <c r="P134" i="1" l="1"/>
  <c r="Q134" i="1" s="1"/>
  <c r="L135" i="1" s="1"/>
  <c r="R135" i="1" s="1"/>
  <c r="M135" i="1" s="1"/>
  <c r="N135" i="1"/>
  <c r="O135" i="1" l="1"/>
  <c r="P135" i="1" s="1"/>
  <c r="Q135" i="1" s="1"/>
  <c r="L136" i="1" s="1"/>
  <c r="R136" i="1" s="1"/>
  <c r="M136" i="1" s="1"/>
  <c r="N136" i="1"/>
  <c r="N137" i="1" l="1"/>
  <c r="O136" i="1"/>
  <c r="P136" i="1" l="1"/>
  <c r="Q136" i="1" s="1"/>
  <c r="L137" i="1" s="1"/>
  <c r="R137" i="1" s="1"/>
  <c r="M137" i="1" s="1"/>
  <c r="O137" i="1" l="1"/>
  <c r="N138" i="1"/>
  <c r="P137" i="1" l="1"/>
  <c r="Q137" i="1" s="1"/>
  <c r="L138" i="1" s="1"/>
  <c r="R138" i="1" s="1"/>
  <c r="M138" i="1" s="1"/>
  <c r="O138" i="1" l="1"/>
  <c r="N139" i="1"/>
  <c r="P138" i="1" l="1"/>
  <c r="Q138" i="1" s="1"/>
  <c r="L139" i="1" s="1"/>
  <c r="R139" i="1" s="1"/>
  <c r="M139" i="1" s="1"/>
  <c r="O139" i="1" l="1"/>
  <c r="N140" i="1"/>
  <c r="P139" i="1" l="1"/>
  <c r="Q139" i="1" s="1"/>
  <c r="L140" i="1" s="1"/>
  <c r="R140" i="1" s="1"/>
  <c r="M140" i="1" s="1"/>
  <c r="O140" i="1" l="1"/>
  <c r="N141" i="1"/>
  <c r="P140" i="1" l="1"/>
  <c r="Q140" i="1" s="1"/>
  <c r="L141" i="1" s="1"/>
  <c r="R141" i="1" s="1"/>
  <c r="M141" i="1" s="1"/>
  <c r="O141" i="1" l="1"/>
  <c r="N142" i="1"/>
  <c r="P141" i="1" l="1"/>
  <c r="Q141" i="1" s="1"/>
  <c r="L142" i="1" s="1"/>
  <c r="R142" i="1" s="1"/>
  <c r="M142" i="1" s="1"/>
  <c r="O142" i="1" l="1"/>
  <c r="N143" i="1"/>
  <c r="P142" i="1" l="1"/>
  <c r="Q142" i="1" s="1"/>
  <c r="L143" i="1" s="1"/>
  <c r="R143" i="1" s="1"/>
  <c r="M143" i="1" s="1"/>
  <c r="O143" i="1" l="1"/>
  <c r="N144" i="1"/>
  <c r="P143" i="1" l="1"/>
  <c r="Q143" i="1" s="1"/>
  <c r="L144" i="1" s="1"/>
  <c r="R144" i="1" s="1"/>
  <c r="M144" i="1" s="1"/>
  <c r="O144" i="1" l="1"/>
  <c r="N145" i="1"/>
  <c r="P144" i="1" l="1"/>
  <c r="Q144" i="1" s="1"/>
  <c r="L145" i="1" s="1"/>
  <c r="R145" i="1" s="1"/>
  <c r="M145" i="1" s="1"/>
  <c r="O145" i="1" l="1"/>
  <c r="N146" i="1"/>
  <c r="P145" i="1" l="1"/>
  <c r="Q145" i="1" s="1"/>
  <c r="L146" i="1" s="1"/>
  <c r="R146" i="1" s="1"/>
  <c r="M146" i="1" s="1"/>
  <c r="O146" i="1" l="1"/>
  <c r="N147" i="1"/>
  <c r="P146" i="1" l="1"/>
  <c r="Q146" i="1" s="1"/>
  <c r="L147" i="1" s="1"/>
  <c r="R147" i="1" s="1"/>
  <c r="M147" i="1" s="1"/>
  <c r="O147" i="1" l="1"/>
  <c r="N148" i="1"/>
  <c r="P147" i="1" l="1"/>
  <c r="Q147" i="1" s="1"/>
  <c r="L148" i="1" s="1"/>
  <c r="R148" i="1" s="1"/>
  <c r="M148" i="1" s="1"/>
  <c r="O148" i="1" l="1"/>
  <c r="N149" i="1"/>
  <c r="P148" i="1" l="1"/>
  <c r="Q148" i="1" s="1"/>
  <c r="L149" i="1" s="1"/>
  <c r="R149" i="1" s="1"/>
  <c r="M149" i="1" s="1"/>
  <c r="O149" i="1" l="1"/>
  <c r="N150" i="1"/>
  <c r="P149" i="1" l="1"/>
  <c r="Q149" i="1" s="1"/>
  <c r="L150" i="1" s="1"/>
  <c r="R150" i="1" s="1"/>
  <c r="M150" i="1" s="1"/>
  <c r="O150" i="1" l="1"/>
  <c r="N151" i="1"/>
  <c r="P150" i="1" l="1"/>
  <c r="Q150" i="1" s="1"/>
  <c r="L151" i="1" s="1"/>
  <c r="R151" i="1" s="1"/>
  <c r="M151" i="1" s="1"/>
  <c r="O151" i="1" l="1"/>
  <c r="N152" i="1"/>
  <c r="P151" i="1" l="1"/>
  <c r="Q151" i="1" s="1"/>
  <c r="L152" i="1" s="1"/>
  <c r="R152" i="1" s="1"/>
  <c r="M152" i="1" s="1"/>
  <c r="O152" i="1" l="1"/>
  <c r="N153" i="1"/>
  <c r="P152" i="1" l="1"/>
  <c r="Q152" i="1" s="1"/>
  <c r="L153" i="1" s="1"/>
  <c r="R153" i="1" s="1"/>
  <c r="M153" i="1" s="1"/>
  <c r="O153" i="1" l="1"/>
  <c r="N154" i="1"/>
  <c r="P153" i="1" l="1"/>
  <c r="Q153" i="1" s="1"/>
  <c r="L154" i="1" s="1"/>
  <c r="R154" i="1" s="1"/>
  <c r="M154" i="1" s="1"/>
  <c r="O154" i="1" l="1"/>
  <c r="N155" i="1"/>
  <c r="P154" i="1" l="1"/>
  <c r="Q154" i="1" s="1"/>
  <c r="L155" i="1" s="1"/>
  <c r="R155" i="1" s="1"/>
  <c r="M155" i="1" s="1"/>
  <c r="O155" i="1" l="1"/>
  <c r="N156" i="1"/>
  <c r="P155" i="1" l="1"/>
  <c r="Q155" i="1" s="1"/>
  <c r="L156" i="1" s="1"/>
  <c r="R156" i="1" s="1"/>
  <c r="M156" i="1" s="1"/>
  <c r="O156" i="1" l="1"/>
  <c r="N157" i="1"/>
  <c r="P156" i="1" l="1"/>
  <c r="Q156" i="1" s="1"/>
  <c r="L157" i="1" s="1"/>
  <c r="R157" i="1" s="1"/>
  <c r="M157" i="1" s="1"/>
  <c r="O157" i="1" l="1"/>
  <c r="N158" i="1"/>
  <c r="P157" i="1" l="1"/>
  <c r="Q157" i="1" s="1"/>
  <c r="L158" i="1" s="1"/>
  <c r="R158" i="1" s="1"/>
  <c r="M158" i="1" s="1"/>
  <c r="O158" i="1" s="1"/>
  <c r="P158" i="1" l="1"/>
  <c r="Q158" i="1" s="1"/>
  <c r="L159" i="1" s="1"/>
  <c r="R159" i="1" s="1"/>
  <c r="M159" i="1" s="1"/>
  <c r="N159" i="1"/>
  <c r="O159" i="1" l="1"/>
  <c r="P159" i="1" s="1"/>
  <c r="Q159" i="1" s="1"/>
  <c r="L160" i="1" s="1"/>
  <c r="R160" i="1" s="1"/>
  <c r="M160" i="1" s="1"/>
  <c r="N160" i="1"/>
  <c r="O160" i="1" l="1"/>
  <c r="P160" i="1" s="1"/>
  <c r="Q160" i="1" s="1"/>
  <c r="L161" i="1" s="1"/>
  <c r="R161" i="1" s="1"/>
  <c r="M161" i="1" s="1"/>
  <c r="N161" i="1"/>
  <c r="O161" i="1" l="1"/>
  <c r="P161" i="1" s="1"/>
  <c r="Q161" i="1" s="1"/>
  <c r="L162" i="1" s="1"/>
  <c r="R162" i="1" s="1"/>
  <c r="M162" i="1" s="1"/>
  <c r="N162" i="1"/>
  <c r="O162" i="1" l="1"/>
  <c r="P162" i="1" s="1"/>
  <c r="Q162" i="1" s="1"/>
  <c r="L163" i="1" s="1"/>
  <c r="R163" i="1" s="1"/>
  <c r="M163" i="1" s="1"/>
  <c r="N163" i="1"/>
  <c r="O163" i="1" l="1"/>
  <c r="P163" i="1" s="1"/>
  <c r="Q163" i="1" s="1"/>
  <c r="L164" i="1" s="1"/>
  <c r="R164" i="1" s="1"/>
  <c r="M164" i="1" s="1"/>
  <c r="N164" i="1"/>
  <c r="O164" i="1" l="1"/>
  <c r="P164" i="1" s="1"/>
  <c r="Q164" i="1" s="1"/>
  <c r="L165" i="1" s="1"/>
  <c r="R165" i="1" s="1"/>
  <c r="M165" i="1" s="1"/>
  <c r="N165" i="1"/>
  <c r="O165" i="1" l="1"/>
  <c r="P165" i="1" s="1"/>
  <c r="Q165" i="1" s="1"/>
  <c r="L166" i="1" s="1"/>
  <c r="R166" i="1" s="1"/>
  <c r="M166" i="1" s="1"/>
  <c r="N166" i="1"/>
  <c r="O166" i="1" l="1"/>
  <c r="P166" i="1"/>
  <c r="Q166" i="1" s="1"/>
  <c r="L167" i="1" s="1"/>
  <c r="R167" i="1" s="1"/>
  <c r="M167" i="1" s="1"/>
  <c r="N167" i="1"/>
  <c r="O167" i="1" l="1"/>
  <c r="P167" i="1" s="1"/>
  <c r="Q167" i="1" s="1"/>
  <c r="L168" i="1" s="1"/>
  <c r="R168" i="1" s="1"/>
  <c r="M168" i="1" s="1"/>
  <c r="N168" i="1"/>
  <c r="O168" i="1" l="1"/>
  <c r="P168" i="1" s="1"/>
  <c r="Q168" i="1" s="1"/>
  <c r="L169" i="1" s="1"/>
  <c r="R169" i="1" s="1"/>
  <c r="M169" i="1" s="1"/>
  <c r="N169" i="1"/>
  <c r="O169" i="1" l="1"/>
  <c r="P169" i="1" s="1"/>
  <c r="Q169" i="1" s="1"/>
  <c r="L170" i="1" s="1"/>
  <c r="R170" i="1" s="1"/>
  <c r="M170" i="1" s="1"/>
  <c r="N170" i="1"/>
  <c r="O170" i="1" l="1"/>
  <c r="P170" i="1" s="1"/>
  <c r="Q170" i="1" s="1"/>
  <c r="L171" i="1" s="1"/>
  <c r="R171" i="1" s="1"/>
  <c r="M171" i="1" s="1"/>
  <c r="N171" i="1"/>
  <c r="O171" i="1" l="1"/>
  <c r="P171" i="1" s="1"/>
  <c r="Q171" i="1" s="1"/>
  <c r="L172" i="1" s="1"/>
  <c r="R172" i="1" s="1"/>
  <c r="M172" i="1" s="1"/>
  <c r="N172" i="1"/>
  <c r="O172" i="1" l="1"/>
  <c r="P172" i="1"/>
  <c r="Q172" i="1" s="1"/>
  <c r="L173" i="1" s="1"/>
  <c r="R173" i="1" s="1"/>
  <c r="M173" i="1" s="1"/>
  <c r="N173" i="1"/>
  <c r="O173" i="1" l="1"/>
  <c r="P173" i="1" s="1"/>
  <c r="Q173" i="1" s="1"/>
  <c r="L174" i="1" s="1"/>
  <c r="R174" i="1" s="1"/>
  <c r="M174" i="1" s="1"/>
  <c r="N174" i="1"/>
  <c r="O174" i="1" l="1"/>
  <c r="P174" i="1" s="1"/>
  <c r="Q174" i="1" s="1"/>
  <c r="L175" i="1" s="1"/>
  <c r="R175" i="1" s="1"/>
  <c r="M175" i="1" s="1"/>
  <c r="N175" i="1"/>
  <c r="O175" i="1" l="1"/>
  <c r="P175" i="1" s="1"/>
  <c r="Q175" i="1" s="1"/>
  <c r="L176" i="1" s="1"/>
  <c r="R176" i="1" s="1"/>
  <c r="M176" i="1" s="1"/>
  <c r="N176" i="1"/>
  <c r="O176" i="1" l="1"/>
  <c r="P176" i="1" s="1"/>
  <c r="Q176" i="1" s="1"/>
  <c r="L177" i="1" s="1"/>
  <c r="R177" i="1" s="1"/>
  <c r="M177" i="1" s="1"/>
  <c r="N177" i="1"/>
  <c r="O177" i="1" l="1"/>
  <c r="P177" i="1" s="1"/>
  <c r="Q177" i="1" s="1"/>
  <c r="L178" i="1" s="1"/>
  <c r="R178" i="1" s="1"/>
  <c r="M178" i="1" s="1"/>
  <c r="N178" i="1"/>
  <c r="O178" i="1" l="1"/>
  <c r="P178" i="1" s="1"/>
  <c r="Q178" i="1" s="1"/>
  <c r="L179" i="1" s="1"/>
  <c r="R179" i="1" s="1"/>
  <c r="M179" i="1" s="1"/>
  <c r="N179" i="1"/>
  <c r="O179" i="1" l="1"/>
  <c r="P179" i="1" s="1"/>
  <c r="Q179" i="1" s="1"/>
  <c r="L180" i="1" s="1"/>
  <c r="R180" i="1" s="1"/>
  <c r="M180" i="1" s="1"/>
  <c r="N180" i="1"/>
  <c r="O180" i="1" l="1"/>
  <c r="P180" i="1"/>
  <c r="Q180" i="1" s="1"/>
  <c r="L181" i="1" s="1"/>
  <c r="R181" i="1" s="1"/>
  <c r="M181" i="1" s="1"/>
  <c r="N181" i="1"/>
  <c r="O181" i="1" l="1"/>
  <c r="P181" i="1" s="1"/>
  <c r="Q181" i="1" s="1"/>
  <c r="L182" i="1" s="1"/>
  <c r="R182" i="1" s="1"/>
  <c r="M182" i="1" s="1"/>
  <c r="N182" i="1"/>
  <c r="O182" i="1" l="1"/>
  <c r="P182" i="1" s="1"/>
  <c r="Q182" i="1" s="1"/>
  <c r="L183" i="1" s="1"/>
  <c r="R183" i="1" s="1"/>
  <c r="M183" i="1" s="1"/>
  <c r="N183" i="1"/>
  <c r="O183" i="1" l="1"/>
  <c r="P183" i="1" s="1"/>
  <c r="Q183" i="1" s="1"/>
  <c r="L184" i="1" s="1"/>
  <c r="R184" i="1" s="1"/>
  <c r="M184" i="1" s="1"/>
  <c r="N184" i="1"/>
  <c r="O184" i="1" l="1"/>
  <c r="P184" i="1" s="1"/>
  <c r="Q184" i="1" s="1"/>
  <c r="L185" i="1" s="1"/>
  <c r="R185" i="1" s="1"/>
  <c r="M185" i="1" s="1"/>
  <c r="N185" i="1"/>
  <c r="O185" i="1" l="1"/>
  <c r="P185" i="1" s="1"/>
  <c r="Q185" i="1" s="1"/>
  <c r="L186" i="1" s="1"/>
  <c r="R186" i="1" s="1"/>
  <c r="M186" i="1" s="1"/>
  <c r="N186" i="1"/>
  <c r="O186" i="1" l="1"/>
  <c r="P186" i="1" s="1"/>
  <c r="Q186" i="1" s="1"/>
  <c r="L187" i="1" s="1"/>
  <c r="R187" i="1" s="1"/>
  <c r="M187" i="1" s="1"/>
  <c r="N187" i="1"/>
  <c r="O187" i="1" l="1"/>
  <c r="P187" i="1" s="1"/>
  <c r="Q187" i="1" s="1"/>
  <c r="L188" i="1" s="1"/>
  <c r="R188" i="1" s="1"/>
  <c r="M188" i="1" s="1"/>
  <c r="N188" i="1"/>
  <c r="O188" i="1" l="1"/>
  <c r="P188" i="1" s="1"/>
  <c r="Q188" i="1" s="1"/>
  <c r="L189" i="1" s="1"/>
  <c r="R189" i="1" s="1"/>
  <c r="M189" i="1" s="1"/>
  <c r="N189" i="1"/>
  <c r="O189" i="1" l="1"/>
  <c r="P189" i="1" s="1"/>
  <c r="Q189" i="1" s="1"/>
  <c r="L190" i="1" s="1"/>
  <c r="R190" i="1" s="1"/>
  <c r="M190" i="1" s="1"/>
  <c r="N190" i="1"/>
  <c r="O190" i="1" l="1"/>
  <c r="P190" i="1" s="1"/>
  <c r="Q190" i="1" s="1"/>
  <c r="L191" i="1" s="1"/>
  <c r="R191" i="1" s="1"/>
  <c r="M191" i="1" s="1"/>
  <c r="N191" i="1"/>
  <c r="O191" i="1" l="1"/>
  <c r="P191" i="1" s="1"/>
  <c r="Q191" i="1" s="1"/>
  <c r="L192" i="1" s="1"/>
  <c r="R192" i="1" s="1"/>
  <c r="M192" i="1" s="1"/>
  <c r="N192" i="1"/>
  <c r="O192" i="1" l="1"/>
  <c r="P192" i="1" s="1"/>
  <c r="Q192" i="1" s="1"/>
  <c r="L193" i="1" s="1"/>
  <c r="R193" i="1" s="1"/>
  <c r="M193" i="1" s="1"/>
  <c r="N193" i="1"/>
  <c r="O193" i="1" l="1"/>
  <c r="P193" i="1"/>
  <c r="Q193" i="1" s="1"/>
  <c r="L194" i="1" s="1"/>
  <c r="R194" i="1" s="1"/>
  <c r="M194" i="1" s="1"/>
  <c r="N194" i="1"/>
  <c r="O194" i="1" l="1"/>
  <c r="P194" i="1" s="1"/>
  <c r="Q194" i="1" s="1"/>
  <c r="L195" i="1" s="1"/>
  <c r="R195" i="1" s="1"/>
  <c r="M195" i="1" s="1"/>
  <c r="N195" i="1"/>
  <c r="O195" i="1" l="1"/>
  <c r="P195" i="1" s="1"/>
  <c r="Q195" i="1" s="1"/>
  <c r="L196" i="1" s="1"/>
  <c r="R196" i="1" s="1"/>
  <c r="M196" i="1" s="1"/>
  <c r="N196" i="1"/>
  <c r="N197" i="1" l="1"/>
  <c r="O196" i="1"/>
  <c r="P196" i="1" l="1"/>
  <c r="Q196" i="1" s="1"/>
  <c r="L197" i="1" s="1"/>
  <c r="R197" i="1" s="1"/>
  <c r="M197" i="1" s="1"/>
  <c r="O197" i="1" l="1"/>
  <c r="N198" i="1"/>
  <c r="P197" i="1" l="1"/>
  <c r="Q197" i="1" s="1"/>
  <c r="L198" i="1" s="1"/>
  <c r="R198" i="1" s="1"/>
  <c r="M198" i="1" s="1"/>
  <c r="O198" i="1" l="1"/>
  <c r="N199" i="1"/>
  <c r="P198" i="1" l="1"/>
  <c r="Q198" i="1" s="1"/>
  <c r="L199" i="1" s="1"/>
  <c r="R199" i="1" s="1"/>
  <c r="M199" i="1" s="1"/>
  <c r="O199" i="1" l="1"/>
  <c r="N200" i="1"/>
  <c r="P199" i="1" l="1"/>
  <c r="Q199" i="1" s="1"/>
  <c r="L200" i="1" s="1"/>
  <c r="R200" i="1" s="1"/>
  <c r="M200" i="1" s="1"/>
  <c r="O200" i="1" l="1"/>
  <c r="N201" i="1"/>
  <c r="P200" i="1" l="1"/>
  <c r="Q200" i="1" s="1"/>
  <c r="L201" i="1" s="1"/>
  <c r="R201" i="1" s="1"/>
  <c r="M201" i="1" s="1"/>
  <c r="O201" i="1" l="1"/>
  <c r="N202" i="1"/>
  <c r="P201" i="1" l="1"/>
  <c r="Q201" i="1" s="1"/>
  <c r="L202" i="1" s="1"/>
  <c r="R202" i="1" s="1"/>
  <c r="M202" i="1" s="1"/>
  <c r="O202" i="1" l="1"/>
  <c r="N203" i="1"/>
  <c r="P202" i="1" l="1"/>
  <c r="Q202" i="1" s="1"/>
  <c r="L203" i="1" s="1"/>
  <c r="R203" i="1" s="1"/>
  <c r="M203" i="1" s="1"/>
  <c r="O203" i="1" l="1"/>
  <c r="N204" i="1"/>
  <c r="P203" i="1" l="1"/>
  <c r="Q203" i="1" s="1"/>
  <c r="L204" i="1" s="1"/>
  <c r="R204" i="1" s="1"/>
  <c r="M204" i="1" s="1"/>
  <c r="O204" i="1" l="1"/>
  <c r="N205" i="1"/>
  <c r="P204" i="1" l="1"/>
  <c r="Q204" i="1" s="1"/>
  <c r="L205" i="1" s="1"/>
  <c r="R205" i="1" s="1"/>
  <c r="M205" i="1" s="1"/>
  <c r="O205" i="1" l="1"/>
  <c r="N206" i="1"/>
  <c r="P205" i="1" l="1"/>
  <c r="Q205" i="1" s="1"/>
  <c r="L206" i="1" s="1"/>
  <c r="R206" i="1" s="1"/>
  <c r="M206" i="1" s="1"/>
  <c r="O206" i="1" l="1"/>
  <c r="N207" i="1"/>
  <c r="P206" i="1" l="1"/>
  <c r="Q206" i="1" s="1"/>
  <c r="L207" i="1" s="1"/>
  <c r="R207" i="1" s="1"/>
  <c r="M207" i="1" s="1"/>
  <c r="O207" i="1" l="1"/>
  <c r="N208" i="1"/>
  <c r="P207" i="1" l="1"/>
  <c r="Q207" i="1" s="1"/>
  <c r="L208" i="1" s="1"/>
  <c r="R208" i="1" s="1"/>
  <c r="M208" i="1" s="1"/>
  <c r="O208" i="1" l="1"/>
  <c r="N209" i="1"/>
  <c r="P208" i="1" l="1"/>
  <c r="Q208" i="1" s="1"/>
  <c r="L209" i="1" s="1"/>
  <c r="R209" i="1" s="1"/>
  <c r="M209" i="1" s="1"/>
  <c r="O209" i="1" l="1"/>
  <c r="N210" i="1"/>
  <c r="P209" i="1" l="1"/>
  <c r="Q209" i="1" s="1"/>
  <c r="L210" i="1" s="1"/>
  <c r="R210" i="1" s="1"/>
  <c r="M210" i="1" s="1"/>
  <c r="O210" i="1" l="1"/>
  <c r="N211" i="1"/>
  <c r="P210" i="1" l="1"/>
  <c r="Q210" i="1" s="1"/>
  <c r="L211" i="1" s="1"/>
  <c r="R211" i="1" s="1"/>
  <c r="M211" i="1" s="1"/>
  <c r="O211" i="1" l="1"/>
  <c r="N212" i="1"/>
  <c r="P211" i="1" l="1"/>
  <c r="Q211" i="1" s="1"/>
  <c r="L212" i="1" s="1"/>
  <c r="R212" i="1" s="1"/>
  <c r="M212" i="1" s="1"/>
  <c r="O212" i="1" l="1"/>
  <c r="N213" i="1"/>
  <c r="P212" i="1" l="1"/>
  <c r="Q212" i="1" s="1"/>
  <c r="L213" i="1" s="1"/>
  <c r="R213" i="1" s="1"/>
  <c r="M213" i="1" s="1"/>
  <c r="O213" i="1" l="1"/>
  <c r="N214" i="1"/>
  <c r="P213" i="1" l="1"/>
  <c r="Q213" i="1" s="1"/>
  <c r="L214" i="1" s="1"/>
  <c r="R214" i="1" s="1"/>
  <c r="M214" i="1" s="1"/>
  <c r="O214" i="1" l="1"/>
  <c r="N215" i="1"/>
  <c r="P214" i="1" l="1"/>
  <c r="Q214" i="1" s="1"/>
  <c r="L215" i="1" s="1"/>
  <c r="R215" i="1" s="1"/>
  <c r="M215" i="1" s="1"/>
  <c r="O215" i="1" l="1"/>
  <c r="N216" i="1"/>
  <c r="P215" i="1" l="1"/>
  <c r="Q215" i="1" s="1"/>
  <c r="L216" i="1" s="1"/>
  <c r="R216" i="1" s="1"/>
  <c r="M216" i="1" s="1"/>
  <c r="O216" i="1" l="1"/>
  <c r="N217" i="1"/>
  <c r="P216" i="1" l="1"/>
  <c r="Q216" i="1" s="1"/>
  <c r="L217" i="1" s="1"/>
  <c r="R217" i="1" s="1"/>
  <c r="M217" i="1" s="1"/>
  <c r="O217" i="1" l="1"/>
  <c r="N218" i="1"/>
  <c r="P217" i="1" l="1"/>
  <c r="Q217" i="1" s="1"/>
  <c r="L218" i="1" s="1"/>
  <c r="R218" i="1" s="1"/>
  <c r="M218" i="1" s="1"/>
  <c r="O218" i="1" l="1"/>
  <c r="N219" i="1"/>
  <c r="P218" i="1" l="1"/>
  <c r="Q218" i="1" s="1"/>
  <c r="L219" i="1" s="1"/>
  <c r="R219" i="1" s="1"/>
  <c r="M219" i="1" s="1"/>
  <c r="O219" i="1" s="1"/>
  <c r="P219" i="1" l="1"/>
  <c r="Q219" i="1" s="1"/>
  <c r="L220" i="1" s="1"/>
  <c r="R220" i="1" s="1"/>
  <c r="M220" i="1" s="1"/>
  <c r="N220" i="1"/>
  <c r="O220" i="1" l="1"/>
  <c r="P220" i="1" s="1"/>
  <c r="Q220" i="1" s="1"/>
  <c r="L221" i="1" s="1"/>
  <c r="R221" i="1" s="1"/>
  <c r="M221" i="1" s="1"/>
  <c r="N221" i="1"/>
  <c r="O221" i="1" l="1"/>
  <c r="P221" i="1" s="1"/>
  <c r="Q221" i="1" s="1"/>
  <c r="L222" i="1" s="1"/>
  <c r="R222" i="1" s="1"/>
  <c r="M222" i="1" s="1"/>
  <c r="N222" i="1"/>
  <c r="N223" i="1" l="1"/>
  <c r="O222" i="1"/>
  <c r="P222" i="1" l="1"/>
  <c r="Q222" i="1" s="1"/>
  <c r="L223" i="1" s="1"/>
  <c r="R223" i="1" s="1"/>
  <c r="M223" i="1" s="1"/>
  <c r="O223" i="1" l="1"/>
  <c r="N224" i="1"/>
  <c r="P223" i="1" l="1"/>
  <c r="Q223" i="1" s="1"/>
  <c r="L224" i="1" s="1"/>
  <c r="R224" i="1" s="1"/>
  <c r="M224" i="1" s="1"/>
  <c r="O224" i="1" l="1"/>
  <c r="N225" i="1"/>
  <c r="P224" i="1" l="1"/>
  <c r="Q224" i="1" s="1"/>
  <c r="L225" i="1" s="1"/>
  <c r="R225" i="1" s="1"/>
  <c r="M225" i="1" s="1"/>
  <c r="O225" i="1" l="1"/>
  <c r="N226" i="1"/>
  <c r="P225" i="1" l="1"/>
  <c r="Q225" i="1" s="1"/>
  <c r="L226" i="1" s="1"/>
  <c r="R226" i="1" s="1"/>
  <c r="M226" i="1" s="1"/>
  <c r="O226" i="1" l="1"/>
  <c r="N227" i="1"/>
  <c r="P226" i="1" l="1"/>
  <c r="Q226" i="1" s="1"/>
  <c r="L227" i="1" s="1"/>
  <c r="R227" i="1" s="1"/>
  <c r="M227" i="1" s="1"/>
  <c r="O227" i="1" l="1"/>
  <c r="N228" i="1"/>
  <c r="P227" i="1" l="1"/>
  <c r="Q227" i="1" s="1"/>
  <c r="L228" i="1" s="1"/>
  <c r="R228" i="1" s="1"/>
  <c r="M228" i="1" s="1"/>
  <c r="O228" i="1" l="1"/>
  <c r="N229" i="1"/>
  <c r="P228" i="1" l="1"/>
  <c r="Q228" i="1" s="1"/>
  <c r="L229" i="1" s="1"/>
  <c r="R229" i="1" s="1"/>
  <c r="M229" i="1" s="1"/>
  <c r="O229" i="1" l="1"/>
  <c r="N230" i="1"/>
  <c r="P229" i="1" l="1"/>
  <c r="Q229" i="1" s="1"/>
  <c r="L230" i="1" s="1"/>
  <c r="R230" i="1" s="1"/>
  <c r="M230" i="1" s="1"/>
  <c r="O230" i="1" l="1"/>
  <c r="N231" i="1"/>
  <c r="P230" i="1" l="1"/>
  <c r="Q230" i="1" s="1"/>
  <c r="L231" i="1" s="1"/>
  <c r="R231" i="1" s="1"/>
  <c r="M231" i="1" s="1"/>
  <c r="O231" i="1" l="1"/>
  <c r="N232" i="1"/>
  <c r="P231" i="1" l="1"/>
  <c r="Q231" i="1" s="1"/>
  <c r="L232" i="1" s="1"/>
  <c r="R232" i="1" s="1"/>
  <c r="M232" i="1" s="1"/>
  <c r="O232" i="1" l="1"/>
  <c r="N233" i="1"/>
  <c r="P232" i="1" l="1"/>
  <c r="Q232" i="1" s="1"/>
  <c r="L233" i="1" s="1"/>
  <c r="R233" i="1" s="1"/>
  <c r="M233" i="1" s="1"/>
  <c r="O233" i="1" l="1"/>
  <c r="N234" i="1"/>
  <c r="P233" i="1" l="1"/>
  <c r="Q233" i="1" s="1"/>
  <c r="L234" i="1" s="1"/>
  <c r="R234" i="1" s="1"/>
  <c r="M234" i="1" s="1"/>
  <c r="O234" i="1" l="1"/>
  <c r="N235" i="1"/>
  <c r="P234" i="1" l="1"/>
  <c r="Q234" i="1" s="1"/>
  <c r="L235" i="1" s="1"/>
  <c r="R235" i="1" s="1"/>
  <c r="M235" i="1" s="1"/>
  <c r="O235" i="1" l="1"/>
  <c r="N236" i="1"/>
  <c r="P235" i="1" l="1"/>
  <c r="Q235" i="1" s="1"/>
  <c r="L236" i="1" s="1"/>
  <c r="R236" i="1" s="1"/>
  <c r="M236" i="1" s="1"/>
  <c r="O236" i="1" l="1"/>
  <c r="N237" i="1"/>
  <c r="P236" i="1" l="1"/>
  <c r="Q236" i="1" s="1"/>
  <c r="L237" i="1" s="1"/>
  <c r="R237" i="1" s="1"/>
  <c r="M237" i="1" s="1"/>
  <c r="O237" i="1" l="1"/>
  <c r="N238" i="1"/>
  <c r="P237" i="1" l="1"/>
  <c r="Q237" i="1" s="1"/>
  <c r="L238" i="1" s="1"/>
  <c r="R238" i="1" s="1"/>
  <c r="M238" i="1" s="1"/>
  <c r="O238" i="1" l="1"/>
  <c r="N239" i="1"/>
  <c r="P238" i="1" l="1"/>
  <c r="Q238" i="1" s="1"/>
  <c r="L239" i="1" s="1"/>
  <c r="R239" i="1" s="1"/>
  <c r="M239" i="1" s="1"/>
  <c r="O239" i="1" l="1"/>
  <c r="N240" i="1"/>
  <c r="P239" i="1" l="1"/>
  <c r="Q239" i="1" s="1"/>
  <c r="L240" i="1" s="1"/>
  <c r="R240" i="1" s="1"/>
  <c r="M240" i="1" s="1"/>
  <c r="O240" i="1" l="1"/>
  <c r="N241" i="1"/>
  <c r="P240" i="1" l="1"/>
  <c r="Q240" i="1" s="1"/>
  <c r="L241" i="1" s="1"/>
  <c r="R241" i="1" s="1"/>
  <c r="M241" i="1" s="1"/>
  <c r="O241" i="1" l="1"/>
  <c r="N242" i="1"/>
  <c r="P241" i="1" l="1"/>
  <c r="Q241" i="1" s="1"/>
  <c r="L242" i="1" s="1"/>
  <c r="R242" i="1" s="1"/>
  <c r="M242" i="1" s="1"/>
  <c r="O242" i="1" l="1"/>
  <c r="N243" i="1"/>
  <c r="P242" i="1" l="1"/>
  <c r="Q242" i="1" s="1"/>
  <c r="L243" i="1" s="1"/>
  <c r="R243" i="1" s="1"/>
  <c r="M243" i="1" s="1"/>
  <c r="O243" i="1" l="1"/>
  <c r="N244" i="1"/>
  <c r="P243" i="1" l="1"/>
  <c r="Q243" i="1" s="1"/>
  <c r="L244" i="1" s="1"/>
  <c r="R244" i="1" s="1"/>
  <c r="M244" i="1" s="1"/>
  <c r="O244" i="1" l="1"/>
  <c r="N245" i="1"/>
  <c r="P244" i="1" l="1"/>
  <c r="Q244" i="1" s="1"/>
  <c r="L245" i="1" s="1"/>
  <c r="R245" i="1" s="1"/>
  <c r="M245" i="1" s="1"/>
  <c r="O245" i="1" l="1"/>
  <c r="N246" i="1"/>
  <c r="P245" i="1" l="1"/>
  <c r="Q245" i="1" s="1"/>
  <c r="L246" i="1" s="1"/>
  <c r="R246" i="1" s="1"/>
  <c r="M246" i="1" s="1"/>
  <c r="O246" i="1" l="1"/>
  <c r="N247" i="1"/>
  <c r="P246" i="1" l="1"/>
  <c r="Q246" i="1" s="1"/>
  <c r="L247" i="1" s="1"/>
  <c r="R247" i="1" s="1"/>
  <c r="M247" i="1" s="1"/>
  <c r="O247" i="1" l="1"/>
  <c r="N248" i="1"/>
  <c r="P247" i="1" l="1"/>
  <c r="Q247" i="1" s="1"/>
  <c r="L248" i="1" s="1"/>
  <c r="R248" i="1" s="1"/>
  <c r="M248" i="1" s="1"/>
  <c r="O248" i="1" l="1"/>
  <c r="N249" i="1"/>
  <c r="P248" i="1" l="1"/>
  <c r="Q248" i="1" s="1"/>
  <c r="L249" i="1" s="1"/>
  <c r="R249" i="1" s="1"/>
  <c r="M249" i="1" s="1"/>
  <c r="O249" i="1" l="1"/>
  <c r="N250" i="1"/>
  <c r="P249" i="1" l="1"/>
  <c r="Q249" i="1" s="1"/>
  <c r="L250" i="1" s="1"/>
  <c r="R250" i="1" s="1"/>
  <c r="M250" i="1" s="1"/>
  <c r="O250" i="1" l="1"/>
  <c r="N251" i="1"/>
  <c r="P250" i="1" l="1"/>
  <c r="Q250" i="1" s="1"/>
  <c r="L251" i="1" s="1"/>
  <c r="R251" i="1" s="1"/>
  <c r="M251" i="1" s="1"/>
  <c r="O251" i="1" l="1"/>
  <c r="N252" i="1"/>
  <c r="P251" i="1" l="1"/>
  <c r="Q251" i="1" s="1"/>
  <c r="L252" i="1" s="1"/>
  <c r="R252" i="1" s="1"/>
  <c r="M252" i="1" s="1"/>
  <c r="O252" i="1" l="1"/>
  <c r="N253" i="1"/>
  <c r="P252" i="1" l="1"/>
  <c r="Q252" i="1" s="1"/>
  <c r="L253" i="1" s="1"/>
  <c r="R253" i="1" s="1"/>
  <c r="M253" i="1" s="1"/>
  <c r="O253" i="1" l="1"/>
  <c r="N254" i="1"/>
  <c r="P253" i="1" l="1"/>
  <c r="Q253" i="1" s="1"/>
  <c r="L254" i="1" s="1"/>
  <c r="R254" i="1" s="1"/>
  <c r="M254" i="1" s="1"/>
  <c r="N255" i="1" l="1"/>
  <c r="O254" i="1"/>
  <c r="P254" i="1" l="1"/>
  <c r="Q254" i="1" s="1"/>
  <c r="L255" i="1" s="1"/>
  <c r="R255" i="1" s="1"/>
  <c r="M255" i="1" s="1"/>
  <c r="O255" i="1" l="1"/>
  <c r="N256" i="1"/>
  <c r="P255" i="1" l="1"/>
  <c r="Q255" i="1" s="1"/>
  <c r="L256" i="1" s="1"/>
  <c r="R256" i="1" s="1"/>
  <c r="M256" i="1" s="1"/>
  <c r="O256" i="1" l="1"/>
  <c r="N257" i="1"/>
  <c r="P256" i="1" l="1"/>
  <c r="Q256" i="1" s="1"/>
  <c r="L257" i="1" s="1"/>
  <c r="R257" i="1" s="1"/>
  <c r="M257" i="1" s="1"/>
  <c r="O257" i="1" s="1"/>
  <c r="P257" i="1" l="1"/>
  <c r="Q257" i="1" s="1"/>
</calcChain>
</file>

<file path=xl/sharedStrings.xml><?xml version="1.0" encoding="utf-8"?>
<sst xmlns="http://schemas.openxmlformats.org/spreadsheetml/2006/main" count="29" uniqueCount="29">
  <si>
    <t>Flywheel Calculator</t>
  </si>
  <si>
    <t>Metric?</t>
  </si>
  <si>
    <t>775pro</t>
  </si>
  <si>
    <t>Adjusted</t>
  </si>
  <si>
    <t>Free Speed (RPM)</t>
  </si>
  <si>
    <t>Stall Torque (Nm)</t>
  </si>
  <si>
    <t># of Motors</t>
  </si>
  <si>
    <t>Spin-up Time (s)</t>
  </si>
  <si>
    <t>Max Voltage (V)</t>
  </si>
  <si>
    <t>Gearbox Efficiency</t>
  </si>
  <si>
    <t>Min. Speed (rpm)</t>
  </si>
  <si>
    <t>Gear Ratio</t>
  </si>
  <si>
    <t>Recovery Time (s)</t>
  </si>
  <si>
    <t>Shooting Speed (rpm)</t>
  </si>
  <si>
    <t>Compression Coefficient</t>
  </si>
  <si>
    <t>Flywheel Gear Ratio</t>
  </si>
  <si>
    <t># of Objects in Volley</t>
  </si>
  <si>
    <t>Steady-State Volt. (V)</t>
  </si>
  <si>
    <t>t</t>
  </si>
  <si>
    <t>w</t>
  </si>
  <si>
    <t>PID</t>
  </si>
  <si>
    <t>P Constant</t>
  </si>
  <si>
    <t>I Constant</t>
  </si>
  <si>
    <t>error</t>
  </si>
  <si>
    <t>integral</t>
  </si>
  <si>
    <t>torque</t>
  </si>
  <si>
    <t>a</t>
  </si>
  <si>
    <t>w rpm</t>
  </si>
  <si>
    <t>Sim. Time Const.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</si>
</sst>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/>
    <xf numFmtId="0" fontId="8" fillId="0" borderId="0"/>
  </cellStyleXfs>
  <cellXfs count="23">
    <xf numFmtId="0" fontId="0" fillId="0" borderId="0" xfId="0"/>
    <xf numFmtId="0" fontId="0" fillId="0" borderId="0" xfId="0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0" fillId="0" borderId="3" xfId="0" applyFont="1" applyBorder="1" applyAlignment="1" applyProtection="1">
      <alignment horizontal="left" vertical="center"/>
    </xf>
    <xf numFmtId="1" fontId="0" fillId="0" borderId="4" xfId="0" applyNumberFormat="1" applyBorder="1" applyAlignment="1" applyProtection="1">
      <alignment vertical="center"/>
    </xf>
    <xf numFmtId="1" fontId="0" fillId="0" borderId="5" xfId="0" applyNumberFormat="1" applyBorder="1" applyAlignment="1" applyProtection="1">
      <alignment vertical="center"/>
    </xf>
    <xf numFmtId="0" fontId="0" fillId="0" borderId="6" xfId="0" applyFont="1" applyBorder="1" applyAlignment="1" applyProtection="1">
      <alignment horizontal="left" vertical="center"/>
    </xf>
    <xf numFmtId="2" fontId="0" fillId="0" borderId="7" xfId="0" applyNumberFormat="1" applyBorder="1" applyAlignment="1" applyProtection="1">
      <alignment vertical="center"/>
    </xf>
    <xf numFmtId="2" fontId="0" fillId="0" borderId="8" xfId="0" applyNumberFormat="1" applyBorder="1" applyAlignment="1" applyProtection="1">
      <alignment vertical="center"/>
    </xf>
    <xf numFmtId="0" fontId="0" fillId="0" borderId="9" xfId="0" applyFont="1" applyFill="1" applyBorder="1" applyAlignment="1" applyProtection="1">
      <alignment horizontal="left" vertical="center"/>
    </xf>
    <xf numFmtId="0" fontId="0" fillId="2" borderId="10" xfId="0" applyFill="1" applyBorder="1" applyAlignment="1" applyProtection="1">
      <alignment vertical="center"/>
    </xf>
    <xf numFmtId="9" fontId="0" fillId="2" borderId="10" xfId="1" applyFont="1" applyFill="1" applyBorder="1" applyAlignment="1" applyProtection="1">
      <alignment vertical="center"/>
    </xf>
    <xf numFmtId="1" fontId="0" fillId="3" borderId="10" xfId="0" applyNumberFormat="1" applyFill="1" applyBorder="1" applyAlignment="1" applyProtection="1">
      <alignment vertical="center"/>
    </xf>
    <xf numFmtId="1" fontId="0" fillId="0" borderId="0" xfId="0" applyNumberFormat="1" applyAlignment="1" applyProtection="1">
      <alignment vertical="center"/>
    </xf>
    <xf numFmtId="164" fontId="0" fillId="2" borderId="10" xfId="1" applyNumberFormat="1" applyFont="1" applyFill="1" applyBorder="1" applyAlignment="1" applyProtection="1">
      <alignment vertical="center"/>
    </xf>
    <xf numFmtId="165" fontId="0" fillId="2" borderId="10" xfId="0" applyNumberFormat="1" applyFill="1" applyBorder="1" applyAlignment="1" applyProtection="1">
      <alignment vertical="center"/>
    </xf>
    <xf numFmtId="1" fontId="0" fillId="2" borderId="10" xfId="0" applyNumberFormat="1" applyFill="1" applyBorder="1" applyAlignment="1" applyProtection="1">
      <alignment vertical="center"/>
    </xf>
    <xf numFmtId="165" fontId="0" fillId="3" borderId="10" xfId="0" applyNumberFormat="1" applyFill="1" applyBorder="1" applyAlignment="1" applyProtection="1">
      <alignment vertical="center"/>
    </xf>
    <xf numFmtId="2" fontId="0" fillId="3" borderId="10" xfId="0" applyNumberFormat="1" applyFill="1" applyBorder="1" applyAlignment="1" applyProtection="1">
      <alignment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Flywheel!$K$7:$K$257</c:f>
              <c:numCache>
                <c:formatCode>General</c:formatCode>
                <c:ptCount val="25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</c:numCache>
            </c:numRef>
          </c:xVal>
          <c:yVal>
            <c:numRef>
              <c:f>Flywheel!$R$7:$R$257</c:f>
              <c:numCache>
                <c:formatCode>General</c:formatCode>
                <c:ptCount val="251"/>
                <c:pt idx="0">
                  <c:v>0</c:v>
                </c:pt>
                <c:pt idx="1">
                  <c:v>53.643960599061707</c:v>
                </c:pt>
                <c:pt idx="2">
                  <c:v>106.82700162918262</c:v>
                </c:pt>
                <c:pt idx="3">
                  <c:v>159.55308340288738</c:v>
                </c:pt>
                <c:pt idx="4">
                  <c:v>211.82613220490856</c:v>
                </c:pt>
                <c:pt idx="5">
                  <c:v>263.65004058455992</c:v>
                </c:pt>
                <c:pt idx="6">
                  <c:v>315.02866764559832</c:v>
                </c:pt>
                <c:pt idx="7">
                  <c:v>365.96583933359403</c:v>
                </c:pt>
                <c:pt idx="8">
                  <c:v>416.46534872083294</c:v>
                </c:pt>
                <c:pt idx="9">
                  <c:v>466.53095628876997</c:v>
                </c:pt>
                <c:pt idx="10">
                  <c:v>516.16639020805633</c:v>
                </c:pt>
                <c:pt idx="11">
                  <c:v>565.37534661616007</c:v>
                </c:pt>
                <c:pt idx="12">
                  <c:v>614.16148989260171</c:v>
                </c:pt>
                <c:pt idx="13">
                  <c:v>662.52845293182475</c:v>
                </c:pt>
                <c:pt idx="14">
                  <c:v>710.47983741372161</c:v>
                </c:pt>
                <c:pt idx="15">
                  <c:v>758.01921407183579</c:v>
                </c:pt>
                <c:pt idx="16">
                  <c:v>805.15012295925828</c:v>
                </c:pt>
                <c:pt idx="17">
                  <c:v>851.87607371224055</c:v>
                </c:pt>
                <c:pt idx="18">
                  <c:v>898.20054581154204</c:v>
                </c:pt>
                <c:pt idx="19">
                  <c:v>944.12698884153201</c:v>
                </c:pt>
                <c:pt idx="20">
                  <c:v>989.65882274706587</c:v>
                </c:pt>
                <c:pt idx="21">
                  <c:v>1034.7994380881528</c:v>
                </c:pt>
                <c:pt idx="22">
                  <c:v>1079.5521962924361</c:v>
                </c:pt>
                <c:pt idx="23">
                  <c:v>1123.9204299055061</c:v>
                </c:pt>
                <c:pt idx="24">
                  <c:v>1167.9074428390581</c:v>
                </c:pt>
                <c:pt idx="25">
                  <c:v>1211.5165106169225</c:v>
                </c:pt>
                <c:pt idx="26">
                  <c:v>1254.7508806189771</c:v>
                </c:pt>
                <c:pt idx="27">
                  <c:v>1297.6137723229674</c:v>
                </c:pt>
                <c:pt idx="28">
                  <c:v>1340.108377544246</c:v>
                </c:pt>
                <c:pt idx="29">
                  <c:v>1382.2378606734535</c:v>
                </c:pt>
                <c:pt idx="30">
                  <c:v>1424.0053589121576</c:v>
                </c:pt>
                <c:pt idx="31">
                  <c:v>1465.4139825064672</c:v>
                </c:pt>
                <c:pt idx="32">
                  <c:v>1506.4668149786376</c:v>
                </c:pt>
                <c:pt idx="33">
                  <c:v>1547.1669133566888</c:v>
                </c:pt>
                <c:pt idx="34">
                  <c:v>1587.5173084020487</c:v>
                </c:pt>
                <c:pt idx="35">
                  <c:v>1627.5210048352403</c:v>
                </c:pt>
                <c:pt idx="36">
                  <c:v>1667.1809815596316</c:v>
                </c:pt>
                <c:pt idx="37">
                  <c:v>1706.5001918832597</c:v>
                </c:pt>
                <c:pt idx="38">
                  <c:v>1745.4815637387533</c:v>
                </c:pt>
                <c:pt idx="39">
                  <c:v>1784.1279999013616</c:v>
                </c:pt>
                <c:pt idx="40">
                  <c:v>1822.4423782051124</c:v>
                </c:pt>
                <c:pt idx="41">
                  <c:v>1860.4275517571111</c:v>
                </c:pt>
                <c:pt idx="42">
                  <c:v>1898.0863491500011</c:v>
                </c:pt>
                <c:pt idx="43">
                  <c:v>1935.421574672594</c:v>
                </c:pt>
                <c:pt idx="44">
                  <c:v>1972.4360085186961</c:v>
                </c:pt>
                <c:pt idx="45">
                  <c:v>2009.1324069941356</c:v>
                </c:pt>
                <c:pt idx="46">
                  <c:v>2045.5135027220135</c:v>
                </c:pt>
                <c:pt idx="47">
                  <c:v>2081.5820048461896</c:v>
                </c:pt>
                <c:pt idx="48">
                  <c:v>2117.3405992330222</c:v>
                </c:pt>
                <c:pt idx="49">
                  <c:v>2152.7919486713708</c:v>
                </c:pt>
                <c:pt idx="50">
                  <c:v>2187.9386930708856</c:v>
                </c:pt>
                <c:pt idx="51">
                  <c:v>2222.7834496585874</c:v>
                </c:pt>
                <c:pt idx="52">
                  <c:v>2257.3288131737622</c:v>
                </c:pt>
                <c:pt idx="53">
                  <c:v>2291.5773560611819</c:v>
                </c:pt>
                <c:pt idx="54">
                  <c:v>2325.5316286626598</c:v>
                </c:pt>
                <c:pt idx="55">
                  <c:v>2359.1941594069667</c:v>
                </c:pt>
                <c:pt idx="56">
                  <c:v>2392.5674549981113</c:v>
                </c:pt>
                <c:pt idx="57">
                  <c:v>2425.6540006020023</c:v>
                </c:pt>
                <c:pt idx="58">
                  <c:v>2458.4562600315098</c:v>
                </c:pt>
                <c:pt idx="59">
                  <c:v>2490.9766759299341</c:v>
                </c:pt>
                <c:pt idx="60">
                  <c:v>2523.2176699528986</c:v>
                </c:pt>
                <c:pt idx="61">
                  <c:v>2555.1816429486807</c:v>
                </c:pt>
                <c:pt idx="62">
                  <c:v>2586.870975136992</c:v>
                </c:pt>
                <c:pt idx="63">
                  <c:v>2618.2880262862232</c:v>
                </c:pt>
                <c:pt idx="64">
                  <c:v>2649.4351358891681</c:v>
                </c:pt>
                <c:pt idx="65">
                  <c:v>2680.3146233372295</c:v>
                </c:pt>
                <c:pt idx="66">
                  <c:v>2710.9287880931424</c:v>
                </c:pt>
                <c:pt idx="67">
                  <c:v>2741.2799098621995</c:v>
                </c:pt>
                <c:pt idx="68">
                  <c:v>2771.3702487620117</c:v>
                </c:pt>
                <c:pt idx="69">
                  <c:v>2801.202045490812</c:v>
                </c:pt>
                <c:pt idx="70">
                  <c:v>2830.7775214943076</c:v>
                </c:pt>
                <c:pt idx="71">
                  <c:v>2860.098879131102</c:v>
                </c:pt>
                <c:pt idx="72">
                  <c:v>2889.1683018366994</c:v>
                </c:pt>
                <c:pt idx="73">
                  <c:v>2917.987954286089</c:v>
                </c:pt>
                <c:pt idx="74">
                  <c:v>2946.5599825549434</c:v>
                </c:pt>
                <c:pt idx="75">
                  <c:v>2974.886514279427</c:v>
                </c:pt>
                <c:pt idx="76">
                  <c:v>3002.9696588146312</c:v>
                </c:pt>
                <c:pt idx="77">
                  <c:v>3030.8115073916483</c:v>
                </c:pt>
                <c:pt idx="78">
                  <c:v>3058.4141332732993</c:v>
                </c:pt>
                <c:pt idx="79">
                  <c:v>3085.7795919085183</c:v>
                </c:pt>
                <c:pt idx="80">
                  <c:v>3112.9099210854124</c:v>
                </c:pt>
                <c:pt idx="81">
                  <c:v>3139.8071410830116</c:v>
                </c:pt>
                <c:pt idx="82">
                  <c:v>3166.4732548217034</c:v>
                </c:pt>
                <c:pt idx="83">
                  <c:v>3192.9102480123875</c:v>
                </c:pt>
                <c:pt idx="84">
                  <c:v>3219.1200893043401</c:v>
                </c:pt>
                <c:pt idx="85">
                  <c:v>3245.1047304318122</c:v>
                </c:pt>
                <c:pt idx="86">
                  <c:v>3270.8661063593663</c:v>
                </c:pt>
                <c:pt idx="87">
                  <c:v>3296.4061354259643</c:v>
                </c:pt>
                <c:pt idx="88">
                  <c:v>3321.7267194878191</c:v>
                </c:pt>
                <c:pt idx="89">
                  <c:v>3346.8297440600163</c:v>
                </c:pt>
                <c:pt idx="90">
                  <c:v>3371.717078456923</c:v>
                </c:pt>
                <c:pt idx="91">
                  <c:v>3396.390575931383</c:v>
                </c:pt>
                <c:pt idx="92">
                  <c:v>3420.8520738127272</c:v>
                </c:pt>
                <c:pt idx="93">
                  <c:v>3445.1033936435833</c:v>
                </c:pt>
                <c:pt idx="94">
                  <c:v>3469.146341315527</c:v>
                </c:pt>
                <c:pt idx="95">
                  <c:v>3492.9827072035514</c:v>
                </c:pt>
                <c:pt idx="96">
                  <c:v>3516.6142662993939</c:v>
                </c:pt>
                <c:pt idx="97">
                  <c:v>3540.0427783437099</c:v>
                </c:pt>
                <c:pt idx="98">
                  <c:v>3563.2699879571132</c:v>
                </c:pt>
                <c:pt idx="99">
                  <c:v>3586.2976247700899</c:v>
                </c:pt>
                <c:pt idx="100">
                  <c:v>3609.1274035517986</c:v>
                </c:pt>
                <c:pt idx="101">
                  <c:v>3631.7610243377594</c:v>
                </c:pt>
                <c:pt idx="102">
                  <c:v>3654.2001725564501</c:v>
                </c:pt>
                <c:pt idx="103">
                  <c:v>3676.446519154812</c:v>
                </c:pt>
                <c:pt idx="104">
                  <c:v>3698.5017207226783</c:v>
                </c:pt>
                <c:pt idx="105">
                  <c:v>3720.3674196161323</c:v>
                </c:pt>
                <c:pt idx="106">
                  <c:v>3742.0452440798085</c:v>
                </c:pt>
                <c:pt idx="107">
                  <c:v>3763.5368083681406</c:v>
                </c:pt>
                <c:pt idx="108">
                  <c:v>3784.843712865566</c:v>
                </c:pt>
                <c:pt idx="109">
                  <c:v>3805.967544205701</c:v>
                </c:pt>
                <c:pt idx="110">
                  <c:v>3826.9098753894909</c:v>
                </c:pt>
                <c:pt idx="111">
                  <c:v>3847.6722659023453</c:v>
                </c:pt>
                <c:pt idx="112">
                  <c:v>3868.2562618302645</c:v>
                </c:pt>
                <c:pt idx="113">
                  <c:v>3888.6633959749702</c:v>
                </c:pt>
                <c:pt idx="114">
                  <c:v>3908.895187968048</c:v>
                </c:pt>
                <c:pt idx="115">
                  <c:v>3928.9531443841056</c:v>
                </c:pt>
                <c:pt idx="116">
                  <c:v>3948.838758852964</c:v>
                </c:pt>
                <c:pt idx="117">
                  <c:v>3968.5535121708799</c:v>
                </c:pt>
                <c:pt idx="118">
                  <c:v>3988.0988724108129</c:v>
                </c:pt>
                <c:pt idx="119">
                  <c:v>4007.4762950317477</c:v>
                </c:pt>
                <c:pt idx="120">
                  <c:v>4026.6872229870796</c:v>
                </c:pt>
                <c:pt idx="121">
                  <c:v>4045.7330868320573</c:v>
                </c:pt>
                <c:pt idx="122">
                  <c:v>4064.6153048303172</c:v>
                </c:pt>
                <c:pt idx="123">
                  <c:v>4083.3352830594918</c:v>
                </c:pt>
                <c:pt idx="124">
                  <c:v>4101.8944155159161</c:v>
                </c:pt>
                <c:pt idx="125">
                  <c:v>4120.2940842184298</c:v>
                </c:pt>
                <c:pt idx="126">
                  <c:v>4138.5356593112938</c:v>
                </c:pt>
                <c:pt idx="127">
                  <c:v>4156.6204991662171</c:v>
                </c:pt>
                <c:pt idx="128">
                  <c:v>4174.5499504835079</c:v>
                </c:pt>
                <c:pt idx="129">
                  <c:v>4192.3253483923581</c:v>
                </c:pt>
                <c:pt idx="130">
                  <c:v>4209.9480165502655</c:v>
                </c:pt>
                <c:pt idx="131">
                  <c:v>4227.4192672415984</c:v>
                </c:pt>
                <c:pt idx="132">
                  <c:v>4244.7404014753174</c:v>
                </c:pt>
                <c:pt idx="133">
                  <c:v>4261.9127090818556</c:v>
                </c:pt>
                <c:pt idx="134">
                  <c:v>4278.9374688091675</c:v>
                </c:pt>
                <c:pt idx="135">
                  <c:v>4295.8159484179496</c:v>
                </c:pt>
                <c:pt idx="136">
                  <c:v>4312.5494047760467</c:v>
                </c:pt>
                <c:pt idx="137">
                  <c:v>4329.1390839520473</c:v>
                </c:pt>
                <c:pt idx="138">
                  <c:v>4345.5862213080691</c:v>
                </c:pt>
                <c:pt idx="139">
                  <c:v>4361.8920415917528</c:v>
                </c:pt>
                <c:pt idx="140">
                  <c:v>4378.0577590274652</c:v>
                </c:pt>
                <c:pt idx="141">
                  <c:v>4394.0845774067157</c:v>
                </c:pt>
                <c:pt idx="142">
                  <c:v>4409.9736901777987</c:v>
                </c:pt>
                <c:pt idx="143">
                  <c:v>4425.7262805346618</c:v>
                </c:pt>
                <c:pt idx="144">
                  <c:v>4441.3435215050149</c:v>
                </c:pt>
                <c:pt idx="145">
                  <c:v>4456.8265760376844</c:v>
                </c:pt>
                <c:pt idx="146">
                  <c:v>4472.1765970892047</c:v>
                </c:pt>
                <c:pt idx="147">
                  <c:v>4487.3947277096813</c:v>
                </c:pt>
                <c:pt idx="148">
                  <c:v>4502.4821011279055</c:v>
                </c:pt>
                <c:pt idx="149">
                  <c:v>4517.4398408357411</c:v>
                </c:pt>
                <c:pt idx="150">
                  <c:v>4532.2690606717879</c:v>
                </c:pt>
                <c:pt idx="151">
                  <c:v>4546.9708649043214</c:v>
                </c:pt>
                <c:pt idx="152">
                  <c:v>4561.5463483135263</c:v>
                </c:pt>
                <c:pt idx="153">
                  <c:v>4575.9965962730157</c:v>
                </c:pt>
                <c:pt idx="154">
                  <c:v>4590.3226848306613</c:v>
                </c:pt>
                <c:pt idx="155">
                  <c:v>4604.5256807887135</c:v>
                </c:pt>
                <c:pt idx="156">
                  <c:v>4618.6066417832481</c:v>
                </c:pt>
                <c:pt idx="157">
                  <c:v>4632.5666163629212</c:v>
                </c:pt>
                <c:pt idx="158">
                  <c:v>4646.4066440670495</c:v>
                </c:pt>
                <c:pt idx="159">
                  <c:v>4660.1277555030219</c:v>
                </c:pt>
                <c:pt idx="160">
                  <c:v>4673.7309724230454</c:v>
                </c:pt>
                <c:pt idx="161">
                  <c:v>4687.2173078002261</c:v>
                </c:pt>
                <c:pt idx="162">
                  <c:v>4700.5877659040061</c:v>
                </c:pt>
                <c:pt idx="163">
                  <c:v>4713.8433423749448</c:v>
                </c:pt>
                <c:pt idx="164">
                  <c:v>4726.9850242988578</c:v>
                </c:pt>
                <c:pt idx="165">
                  <c:v>4740.0137902803253</c:v>
                </c:pt>
                <c:pt idx="166">
                  <c:v>4752.9306105155629</c:v>
                </c:pt>
                <c:pt idx="167">
                  <c:v>4765.7364468646674</c:v>
                </c:pt>
                <c:pt idx="168">
                  <c:v>4778.4322529232395</c:v>
                </c:pt>
                <c:pt idx="169">
                  <c:v>4791.0189740934011</c:v>
                </c:pt>
                <c:pt idx="170">
                  <c:v>4803.4975476541886</c:v>
                </c:pt>
                <c:pt idx="171">
                  <c:v>4815.8689028313529</c:v>
                </c:pt>
                <c:pt idx="172">
                  <c:v>4828.1339608665494</c:v>
                </c:pt>
                <c:pt idx="173">
                  <c:v>4840.2936350859445</c:v>
                </c:pt>
                <c:pt idx="174">
                  <c:v>4852.3488309682243</c:v>
                </c:pt>
                <c:pt idx="175">
                  <c:v>4864.3004462120225</c:v>
                </c:pt>
                <c:pt idx="176">
                  <c:v>4876.1493708027665</c:v>
                </c:pt>
                <c:pt idx="177">
                  <c:v>4887.8964870789532</c:v>
                </c:pt>
                <c:pt idx="178">
                  <c:v>4899.542669797851</c:v>
                </c:pt>
                <c:pt idx="179">
                  <c:v>4911.0887862006402</c:v>
                </c:pt>
                <c:pt idx="180">
                  <c:v>4921.2663727142253</c:v>
                </c:pt>
                <c:pt idx="181">
                  <c:v>4930.2100892111166</c:v>
                </c:pt>
                <c:pt idx="182">
                  <c:v>4938.0842167414376</c:v>
                </c:pt>
                <c:pt idx="183">
                  <c:v>4945.0280469269892</c:v>
                </c:pt>
                <c:pt idx="184">
                  <c:v>4951.1603315612911</c:v>
                </c:pt>
                <c:pt idx="185">
                  <c:v>4956.5828081039108</c:v>
                </c:pt>
                <c:pt idx="186">
                  <c:v>4961.3830198735895</c:v>
                </c:pt>
                <c:pt idx="187">
                  <c:v>4965.6365921209062</c:v>
                </c:pt>
                <c:pt idx="188">
                  <c:v>4969.409084111152</c:v>
                </c:pt>
                <c:pt idx="189">
                  <c:v>4972.7575077297106</c:v>
                </c:pt>
                <c:pt idx="190">
                  <c:v>4975.7315814988433</c:v>
                </c:pt>
                <c:pt idx="191">
                  <c:v>4978.3747729348679</c:v>
                </c:pt>
                <c:pt idx="192">
                  <c:v>4980.7251702744388</c:v>
                </c:pt>
                <c:pt idx="193">
                  <c:v>4982.8162156408544</c:v>
                </c:pt>
                <c:pt idx="194">
                  <c:v>4984.6773249180242</c:v>
                </c:pt>
                <c:pt idx="195">
                  <c:v>4986.3344143894965</c:v>
                </c:pt>
                <c:pt idx="196">
                  <c:v>4987.8103501778396</c:v>
                </c:pt>
                <c:pt idx="197">
                  <c:v>4989.1253333917239</c:v>
                </c:pt>
                <c:pt idx="198">
                  <c:v>4990.2972314378439</c:v>
                </c:pt>
                <c:pt idx="199">
                  <c:v>4991.3418640225527</c:v>
                </c:pt>
                <c:pt idx="200">
                  <c:v>4992.2732508343288</c:v>
                </c:pt>
                <c:pt idx="201">
                  <c:v>4993.1038266730593</c:v>
                </c:pt>
                <c:pt idx="202">
                  <c:v>4993.8446288076675</c:v>
                </c:pt>
                <c:pt idx="203">
                  <c:v>4994.5054605478954</c:v>
                </c:pt>
                <c:pt idx="204">
                  <c:v>4995.095034369343</c:v>
                </c:pt>
                <c:pt idx="205">
                  <c:v>4995.6210974022379</c:v>
                </c:pt>
                <c:pt idx="206">
                  <c:v>4996.0905416602318</c:v>
                </c:pt>
                <c:pt idx="207">
                  <c:v>4996.5095010269033</c:v>
                </c:pt>
                <c:pt idx="208">
                  <c:v>4996.8834367200989</c:v>
                </c:pt>
                <c:pt idx="209">
                  <c:v>4997.2172127060921</c:v>
                </c:pt>
                <c:pt idx="210">
                  <c:v>4997.515162327767</c:v>
                </c:pt>
                <c:pt idx="211">
                  <c:v>4997.7811472360727</c:v>
                </c:pt>
                <c:pt idx="212">
                  <c:v>4998.0186095663248</c:v>
                </c:pt>
                <c:pt idx="213">
                  <c:v>4998.2306181755057</c:v>
                </c:pt>
                <c:pt idx="214">
                  <c:v>4998.4199096499824</c:v>
                </c:pt>
                <c:pt idx="215">
                  <c:v>4998.588924701774</c:v>
                </c:pt>
                <c:pt idx="216">
                  <c:v>4998.7398404932228</c:v>
                </c:pt>
                <c:pt idx="217">
                  <c:v>4998.8745993625207</c:v>
                </c:pt>
                <c:pt idx="218">
                  <c:v>4998.9949343643975</c:v>
                </c:pt>
                <c:pt idx="219">
                  <c:v>4999.1023919898707</c:v>
                </c:pt>
                <c:pt idx="220">
                  <c:v>4999.1983523852787</c:v>
                </c:pt>
                <c:pt idx="221">
                  <c:v>4999.2840473527085</c:v>
                </c:pt>
                <c:pt idx="222">
                  <c:v>4999.36057638078</c:v>
                </c:pt>
                <c:pt idx="223">
                  <c:v>4999.4289209256794</c:v>
                </c:pt>
                <c:pt idx="224">
                  <c:v>4999.489957136926</c:v>
                </c:pt>
                <c:pt idx="225">
                  <c:v>4999.5444672000467</c:v>
                </c:pt>
                <c:pt idx="226">
                  <c:v>4999.5931494486958</c:v>
                </c:pt>
                <c:pt idx="227">
                  <c:v>4999.6366273815165</c:v>
                </c:pt>
                <c:pt idx="228">
                  <c:v>4999.6754577037646</c:v>
                </c:pt>
                <c:pt idx="229">
                  <c:v>4999.7101375003322</c:v>
                </c:pt>
                <c:pt idx="230">
                  <c:v>4999.74111063488</c:v>
                </c:pt>
                <c:pt idx="231">
                  <c:v>4999.7687734592873</c:v>
                </c:pt>
                <c:pt idx="232">
                  <c:v>4999.7934799083469</c:v>
                </c:pt>
                <c:pt idx="233">
                  <c:v>4999.8155460463295</c:v>
                </c:pt>
                <c:pt idx="234">
                  <c:v>4999.8352541247878</c:v>
                </c:pt>
                <c:pt idx="235">
                  <c:v>4999.8528562043966</c:v>
                </c:pt>
                <c:pt idx="236">
                  <c:v>4999.8685773879333</c:v>
                </c:pt>
                <c:pt idx="237">
                  <c:v>4999.8826187063269</c:v>
                </c:pt>
                <c:pt idx="238">
                  <c:v>4999.8951596951292</c:v>
                </c:pt>
                <c:pt idx="239">
                  <c:v>4999.9063606947748</c:v>
                </c:pt>
                <c:pt idx="240">
                  <c:v>4999.9163649042985</c:v>
                </c:pt>
                <c:pt idx="241">
                  <c:v>4999.9253002150317</c:v>
                </c:pt>
                <c:pt idx="242">
                  <c:v>4999.9332808479039</c:v>
                </c:pt>
                <c:pt idx="243">
                  <c:v>4999.9404088154215</c:v>
                </c:pt>
                <c:pt idx="244">
                  <c:v>4999.9467752271594</c:v>
                </c:pt>
                <c:pt idx="245">
                  <c:v>4999.9524614555157</c:v>
                </c:pt>
                <c:pt idx="246">
                  <c:v>4999.9575401767406</c:v>
                </c:pt>
                <c:pt idx="247">
                  <c:v>4999.9620763005769</c:v>
                </c:pt>
                <c:pt idx="248">
                  <c:v>4999.9661278004678</c:v>
                </c:pt>
                <c:pt idx="249">
                  <c:v>4999.9697464549663</c:v>
                </c:pt>
                <c:pt idx="250">
                  <c:v>4999.9729785098589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308992"/>
        <c:axId val="113359872"/>
      </c:scatterChart>
      <c:valAx>
        <c:axId val="11430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359872"/>
        <c:crosses val="autoZero"/>
        <c:crossBetween val="midCat"/>
      </c:valAx>
      <c:valAx>
        <c:axId val="11335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30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3</xdr:row>
          <xdr:rowOff>180975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2</xdr:col>
      <xdr:colOff>28575</xdr:colOff>
      <xdr:row>31</xdr:row>
      <xdr:rowOff>166686</xdr:rowOff>
    </xdr:from>
    <xdr:to>
      <xdr:col>9</xdr:col>
      <xdr:colOff>401638</xdr:colOff>
      <xdr:row>51</xdr:row>
      <xdr:rowOff>152399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Flywheel"/>
      <sheetName val="sfd"/>
      <sheetName val="Spe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9</v>
          </cell>
          <cell r="E2">
            <v>10</v>
          </cell>
          <cell r="F2">
            <v>10</v>
          </cell>
        </row>
        <row r="3">
          <cell r="D3" t="str">
            <v>1/2" Hex AM 9015 12</v>
          </cell>
          <cell r="E3">
            <v>10</v>
          </cell>
          <cell r="F3">
            <v>7</v>
          </cell>
          <cell r="I3" t="str">
            <v>1/2" Hex</v>
          </cell>
          <cell r="J3">
            <v>39.99</v>
          </cell>
          <cell r="K3">
            <v>31.979999999999997</v>
          </cell>
          <cell r="L3" t="str">
            <v>217-4973,</v>
          </cell>
          <cell r="M3" t="str">
            <v>217-5823,217-2897,</v>
          </cell>
        </row>
        <row r="4">
          <cell r="D4" t="str">
            <v>1/2" Hex AM 9015 15</v>
          </cell>
          <cell r="E4">
            <v>10</v>
          </cell>
          <cell r="F4">
            <v>5</v>
          </cell>
          <cell r="I4" t="str">
            <v>1/2" Round</v>
          </cell>
          <cell r="J4">
            <v>39.99</v>
          </cell>
          <cell r="K4">
            <v>27.979999999999997</v>
          </cell>
          <cell r="L4" t="str">
            <v>217-4975,</v>
          </cell>
          <cell r="M4" t="str">
            <v>217-5823,217-2895,</v>
          </cell>
        </row>
        <row r="5">
          <cell r="D5" t="str">
            <v>1/2" Hex AM 9015 16</v>
          </cell>
          <cell r="E5">
            <v>10</v>
          </cell>
          <cell r="F5">
            <v>5</v>
          </cell>
          <cell r="I5" t="str">
            <v>3/8" Hex</v>
          </cell>
          <cell r="J5">
            <v>39.99</v>
          </cell>
          <cell r="K5">
            <v>17.989999999999998</v>
          </cell>
          <cell r="L5" t="str">
            <v>217-4974,</v>
          </cell>
          <cell r="M5" t="str">
            <v>217-5823,</v>
          </cell>
        </row>
        <row r="6">
          <cell r="D6" t="str">
            <v>1/2" Hex AM 9015 20</v>
          </cell>
          <cell r="E6">
            <v>10</v>
          </cell>
          <cell r="F6">
            <v>4</v>
          </cell>
          <cell r="I6" t="str">
            <v>CIM Motor</v>
          </cell>
          <cell r="J6">
            <v>39.99</v>
          </cell>
          <cell r="K6">
            <v>27.979999999999997</v>
          </cell>
          <cell r="L6" t="str">
            <v>217-4976,</v>
          </cell>
          <cell r="M6" t="str">
            <v>217-5823,217-2893,</v>
          </cell>
        </row>
        <row r="7">
          <cell r="D7" t="str">
            <v>1/2" Hex AM 9015 21</v>
          </cell>
          <cell r="E7">
            <v>10</v>
          </cell>
          <cell r="F7">
            <v>4</v>
          </cell>
          <cell r="I7" t="str">
            <v>Female</v>
          </cell>
          <cell r="J7">
            <v>44.99</v>
          </cell>
          <cell r="K7">
            <v>24.99</v>
          </cell>
          <cell r="L7" t="str">
            <v>217-6473,</v>
          </cell>
          <cell r="M7" t="str">
            <v>217-5995,</v>
          </cell>
        </row>
        <row r="8">
          <cell r="D8" t="str">
            <v>1/2" Hex AM 9015 25</v>
          </cell>
          <cell r="E8">
            <v>7</v>
          </cell>
          <cell r="F8">
            <v>3</v>
          </cell>
        </row>
        <row r="9">
          <cell r="D9" t="str">
            <v>1/2" Hex AM 9015 27</v>
          </cell>
          <cell r="E9">
            <v>7</v>
          </cell>
          <cell r="F9">
            <v>3</v>
          </cell>
        </row>
        <row r="10">
          <cell r="D10" t="str">
            <v>1/2" Hex AM 9015 28</v>
          </cell>
          <cell r="E10">
            <v>7</v>
          </cell>
          <cell r="F10">
            <v>3</v>
          </cell>
        </row>
        <row r="11">
          <cell r="D11" t="str">
            <v>1/2" Hex AM 9015 30</v>
          </cell>
          <cell r="E11">
            <v>7</v>
          </cell>
          <cell r="F11">
            <v>3</v>
          </cell>
          <cell r="I11" t="str">
            <v>AM 9015</v>
          </cell>
          <cell r="J11">
            <v>0</v>
          </cell>
          <cell r="K11">
            <v>12.98</v>
          </cell>
          <cell r="M11" t="str">
            <v>217-3564,217-4649,</v>
          </cell>
        </row>
        <row r="12">
          <cell r="D12" t="str">
            <v>1/2" Hex AM 9015 35</v>
          </cell>
          <cell r="E12">
            <v>5</v>
          </cell>
          <cell r="F12">
            <v>1</v>
          </cell>
          <cell r="I12" t="str">
            <v>NeveRest</v>
          </cell>
          <cell r="J12">
            <v>0</v>
          </cell>
          <cell r="K12">
            <v>0</v>
          </cell>
        </row>
        <row r="13">
          <cell r="D13" t="str">
            <v>1/2" Hex AM 9015 36</v>
          </cell>
          <cell r="E13">
            <v>5</v>
          </cell>
          <cell r="F13">
            <v>1</v>
          </cell>
          <cell r="I13" t="str">
            <v>BB RS-550</v>
          </cell>
          <cell r="J13">
            <v>0</v>
          </cell>
          <cell r="K13">
            <v>0</v>
          </cell>
        </row>
        <row r="14">
          <cell r="D14" t="str">
            <v>1/2" Hex AM 9015 40</v>
          </cell>
          <cell r="E14">
            <v>5</v>
          </cell>
          <cell r="F14">
            <v>1</v>
          </cell>
          <cell r="I14" t="str">
            <v>BB RS-775</v>
          </cell>
          <cell r="J14">
            <v>0</v>
          </cell>
          <cell r="K14">
            <v>12.98</v>
          </cell>
          <cell r="M14" t="str">
            <v>217-3564,217-4649,</v>
          </cell>
        </row>
        <row r="15">
          <cell r="D15" t="str">
            <v>1/2" Hex AM 9015 45</v>
          </cell>
          <cell r="E15">
            <v>5</v>
          </cell>
          <cell r="F15">
            <v>1</v>
          </cell>
          <cell r="I15" t="str">
            <v>BAG</v>
          </cell>
          <cell r="J15">
            <v>0</v>
          </cell>
          <cell r="K15">
            <v>12.98</v>
          </cell>
          <cell r="M15" t="str">
            <v>217-3564,217-4649,</v>
          </cell>
        </row>
        <row r="16">
          <cell r="D16" t="str">
            <v>1/2" Hex AM 9015 49</v>
          </cell>
          <cell r="E16">
            <v>5</v>
          </cell>
          <cell r="F16">
            <v>1</v>
          </cell>
          <cell r="I16" t="str">
            <v>Mini CIM</v>
          </cell>
          <cell r="J16">
            <v>4.99</v>
          </cell>
          <cell r="K16">
            <v>11.98</v>
          </cell>
          <cell r="L16" t="str">
            <v>217-4018,</v>
          </cell>
          <cell r="M16" t="str">
            <v>217-4018,</v>
          </cell>
        </row>
        <row r="17">
          <cell r="D17" t="str">
            <v>1/2" Hex AM 9015 50</v>
          </cell>
          <cell r="E17">
            <v>5</v>
          </cell>
          <cell r="F17">
            <v>1</v>
          </cell>
          <cell r="I17" t="str">
            <v>CIM</v>
          </cell>
          <cell r="J17">
            <v>4.99</v>
          </cell>
          <cell r="K17">
            <v>11.98</v>
          </cell>
          <cell r="L17" t="str">
            <v>217-4018,</v>
          </cell>
          <cell r="M17" t="str">
            <v>217-4018,</v>
          </cell>
        </row>
        <row r="18">
          <cell r="D18" t="str">
            <v>1/2" Hex AM 9015 63</v>
          </cell>
          <cell r="E18">
            <v>5</v>
          </cell>
          <cell r="F18">
            <v>1</v>
          </cell>
          <cell r="I18" t="str">
            <v>775pro</v>
          </cell>
          <cell r="J18">
            <v>0</v>
          </cell>
          <cell r="K18">
            <v>12.98</v>
          </cell>
          <cell r="M18" t="str">
            <v>217-3564,217-4649,</v>
          </cell>
        </row>
        <row r="19">
          <cell r="D19" t="str">
            <v>1/2" Hex AM 9015 70</v>
          </cell>
          <cell r="E19">
            <v>4</v>
          </cell>
          <cell r="F19">
            <v>1</v>
          </cell>
        </row>
        <row r="20">
          <cell r="D20" t="str">
            <v>1/2" Hex AM 9015 81</v>
          </cell>
          <cell r="E20">
            <v>4</v>
          </cell>
          <cell r="F20">
            <v>1</v>
          </cell>
        </row>
        <row r="21">
          <cell r="D21" t="str">
            <v>1/2" Hex AM 9015 90</v>
          </cell>
          <cell r="E21">
            <v>3</v>
          </cell>
          <cell r="F21">
            <v>1</v>
          </cell>
        </row>
        <row r="22">
          <cell r="D22" t="str">
            <v>1/2" Hex AM 9015 100</v>
          </cell>
          <cell r="E22">
            <v>3</v>
          </cell>
          <cell r="F22">
            <v>0</v>
          </cell>
          <cell r="I22" t="str">
            <v>None</v>
          </cell>
          <cell r="J22">
            <v>0</v>
          </cell>
          <cell r="K22">
            <v>0</v>
          </cell>
        </row>
        <row r="23">
          <cell r="D23" t="str">
            <v>1/2" Hex NeveRest 9</v>
          </cell>
          <cell r="E23">
            <v>10</v>
          </cell>
          <cell r="F23">
            <v>10</v>
          </cell>
          <cell r="I23" t="str">
            <v>3 : 1</v>
          </cell>
          <cell r="J23">
            <v>24.98</v>
          </cell>
          <cell r="K23">
            <v>16.98</v>
          </cell>
          <cell r="L23" t="str">
            <v>217-2816,217-2817,</v>
          </cell>
          <cell r="M23" t="str">
            <v>217-5832,217-2817,</v>
          </cell>
        </row>
        <row r="24">
          <cell r="D24" t="str">
            <v>1/2" Hex NeveRest 12</v>
          </cell>
          <cell r="E24">
            <v>10</v>
          </cell>
          <cell r="F24">
            <v>10</v>
          </cell>
          <cell r="I24" t="str">
            <v>4 : 1</v>
          </cell>
          <cell r="J24">
            <v>24.98</v>
          </cell>
          <cell r="K24">
            <v>16.98</v>
          </cell>
          <cell r="L24" t="str">
            <v>217-2816,217-2818,</v>
          </cell>
          <cell r="M24" t="str">
            <v>217-5832,217-2818,</v>
          </cell>
        </row>
        <row r="25">
          <cell r="D25" t="str">
            <v>1/2" Hex NeveRest 15</v>
          </cell>
          <cell r="E25">
            <v>10</v>
          </cell>
          <cell r="F25">
            <v>10</v>
          </cell>
          <cell r="I25" t="str">
            <v>5 : 1</v>
          </cell>
          <cell r="J25">
            <v>24.98</v>
          </cell>
          <cell r="K25">
            <v>16.98</v>
          </cell>
          <cell r="L25" t="str">
            <v>217-2816,217-2819,</v>
          </cell>
          <cell r="M25" t="str">
            <v>217-5832,217-2819,</v>
          </cell>
        </row>
        <row r="26">
          <cell r="D26" t="str">
            <v>1/2" Hex NeveRest 16</v>
          </cell>
          <cell r="E26">
            <v>10</v>
          </cell>
          <cell r="F26">
            <v>10</v>
          </cell>
          <cell r="I26" t="str">
            <v>7 : 1</v>
          </cell>
          <cell r="J26">
            <v>24.98</v>
          </cell>
          <cell r="K26">
            <v>16.98</v>
          </cell>
          <cell r="L26" t="str">
            <v>217-2816,217-3102,</v>
          </cell>
          <cell r="M26" t="str">
            <v>217-5832,217-3102,</v>
          </cell>
        </row>
        <row r="27">
          <cell r="D27" t="str">
            <v>1/2" Hex NeveRest 20</v>
          </cell>
          <cell r="E27">
            <v>10</v>
          </cell>
          <cell r="F27">
            <v>10</v>
          </cell>
          <cell r="I27" t="str">
            <v>9 : 1</v>
          </cell>
          <cell r="J27">
            <v>24.98</v>
          </cell>
          <cell r="K27">
            <v>16.98</v>
          </cell>
          <cell r="L27" t="str">
            <v>217-2816,217-3106,</v>
          </cell>
          <cell r="M27" t="str">
            <v>217-5832,217-3106,</v>
          </cell>
        </row>
        <row r="28">
          <cell r="D28" t="str">
            <v>1/2" Hex NeveRest 21</v>
          </cell>
          <cell r="E28">
            <v>9</v>
          </cell>
          <cell r="F28">
            <v>9</v>
          </cell>
          <cell r="I28" t="str">
            <v>10 : 1</v>
          </cell>
          <cell r="J28">
            <v>24.98</v>
          </cell>
          <cell r="K28">
            <v>16.98</v>
          </cell>
          <cell r="L28" t="str">
            <v>217-2816,217-2820,</v>
          </cell>
          <cell r="M28" t="str">
            <v>217-5832,217-2820,</v>
          </cell>
        </row>
        <row r="29">
          <cell r="D29" t="str">
            <v>1/2" Hex NeveRest 25</v>
          </cell>
          <cell r="E29">
            <v>7</v>
          </cell>
          <cell r="F29">
            <v>7</v>
          </cell>
        </row>
        <row r="30">
          <cell r="D30" t="str">
            <v>1/2" Hex NeveRest 27</v>
          </cell>
          <cell r="E30">
            <v>7</v>
          </cell>
          <cell r="F30">
            <v>7</v>
          </cell>
        </row>
        <row r="31">
          <cell r="D31" t="str">
            <v>1/2" Hex NeveRest 28</v>
          </cell>
          <cell r="E31">
            <v>7</v>
          </cell>
          <cell r="F31">
            <v>7</v>
          </cell>
        </row>
        <row r="32">
          <cell r="D32" t="str">
            <v>1/2" Hex NeveRest 30</v>
          </cell>
          <cell r="E32">
            <v>5</v>
          </cell>
          <cell r="F32">
            <v>5</v>
          </cell>
          <cell r="I32" t="str">
            <v>None</v>
          </cell>
          <cell r="J32">
            <v>0</v>
          </cell>
          <cell r="K32"/>
        </row>
        <row r="33">
          <cell r="D33" t="str">
            <v>1/2" Hex NeveRest 35</v>
          </cell>
          <cell r="E33">
            <v>5</v>
          </cell>
          <cell r="F33">
            <v>5</v>
          </cell>
          <cell r="I33" t="str">
            <v>DM Nyl 1:1</v>
          </cell>
          <cell r="J33">
            <v>41.97</v>
          </cell>
          <cell r="K33"/>
          <cell r="L33" t="str">
            <v>217-6342,217-2701,217-6432,</v>
          </cell>
          <cell r="M33" t="str">
            <v>217-6342,217-2701,217-6432,</v>
          </cell>
          <cell r="N33" t="str">
            <v>217-6342,217-2701,217-6432,</v>
          </cell>
        </row>
        <row r="34">
          <cell r="D34" t="str">
            <v>1/2" Hex NeveRest 36</v>
          </cell>
          <cell r="E34">
            <v>5</v>
          </cell>
          <cell r="F34">
            <v>5</v>
          </cell>
          <cell r="I34" t="str">
            <v>DM Nyl 3.75:1</v>
          </cell>
          <cell r="J34">
            <v>42.97</v>
          </cell>
          <cell r="K34"/>
          <cell r="L34" t="str">
            <v>217-6342,217-3210,217-6367,</v>
          </cell>
          <cell r="M34" t="str">
            <v>217-6342,217-3210,217-6362,</v>
          </cell>
          <cell r="N34" t="str">
            <v>217-6342,217-3210,217-6368,</v>
          </cell>
        </row>
        <row r="35">
          <cell r="D35" t="str">
            <v>1/2" Hex NeveRest 40</v>
          </cell>
          <cell r="E35">
            <v>5</v>
          </cell>
          <cell r="F35">
            <v>5</v>
          </cell>
          <cell r="I35" t="str">
            <v>DM Nyl 5.33:1</v>
          </cell>
          <cell r="J35">
            <v>42.97</v>
          </cell>
          <cell r="K35"/>
          <cell r="L35" t="str">
            <v>217-6342,217-5455,217-6333,</v>
          </cell>
          <cell r="M35" t="str">
            <v>217-6342,217-5455,217-6285,</v>
          </cell>
          <cell r="N35" t="str">
            <v>217-6342,217-5455,217-6339,</v>
          </cell>
        </row>
        <row r="36">
          <cell r="D36" t="str">
            <v>1/2" Hex NeveRest 45</v>
          </cell>
          <cell r="E36">
            <v>5</v>
          </cell>
          <cell r="F36">
            <v>4</v>
          </cell>
          <cell r="I36" t="str">
            <v>DM Al 1:1</v>
          </cell>
          <cell r="J36">
            <v>56.97</v>
          </cell>
          <cell r="K36"/>
          <cell r="L36" t="str">
            <v>217-6417,217-2701,217-6432,</v>
          </cell>
          <cell r="M36" t="str">
            <v>217-6417,217-2701,217-6432,</v>
          </cell>
          <cell r="N36" t="str">
            <v>217-6417,217-2701,217-6432,</v>
          </cell>
        </row>
        <row r="37">
          <cell r="D37" t="str">
            <v>1/2" Hex NeveRest 49</v>
          </cell>
          <cell r="E37">
            <v>5</v>
          </cell>
          <cell r="F37">
            <v>4</v>
          </cell>
          <cell r="I37" t="str">
            <v>DM Al 3.75:1</v>
          </cell>
          <cell r="J37">
            <v>57.97</v>
          </cell>
          <cell r="K37"/>
          <cell r="L37" t="str">
            <v>217-6417,217-3210,217-6367,</v>
          </cell>
          <cell r="M37" t="str">
            <v>217-6417,217-3210,217-6362,</v>
          </cell>
          <cell r="N37" t="str">
            <v>217-6417,217-3210,217-6368,</v>
          </cell>
        </row>
        <row r="38">
          <cell r="D38" t="str">
            <v>1/2" Hex NeveRest 50</v>
          </cell>
          <cell r="E38">
            <v>5</v>
          </cell>
          <cell r="F38">
            <v>4</v>
          </cell>
          <cell r="I38" t="str">
            <v>DM Al 5.33:1</v>
          </cell>
          <cell r="J38">
            <v>57.97</v>
          </cell>
          <cell r="K38"/>
          <cell r="L38" t="str">
            <v>217-6417,217-5455,217-6333,</v>
          </cell>
          <cell r="M38" t="str">
            <v>217-6417,217-5455,217-6285,</v>
          </cell>
          <cell r="N38" t="str">
            <v>217-6417,217-5455,217-6339,</v>
          </cell>
        </row>
        <row r="39">
          <cell r="D39" t="str">
            <v>1/2" Hex NeveRest 63</v>
          </cell>
          <cell r="E39">
            <v>4</v>
          </cell>
          <cell r="F39">
            <v>3</v>
          </cell>
          <cell r="I39" t="str">
            <v>Dual Motor</v>
          </cell>
          <cell r="J39">
            <v>14.98</v>
          </cell>
          <cell r="K39"/>
          <cell r="L39" t="str">
            <v>217-3141,</v>
          </cell>
        </row>
        <row r="40">
          <cell r="D40" t="str">
            <v>1/2" Hex NeveRest 70</v>
          </cell>
          <cell r="E40">
            <v>4</v>
          </cell>
          <cell r="F40">
            <v>1</v>
          </cell>
        </row>
        <row r="41">
          <cell r="D41" t="str">
            <v>1/2" Hex NeveRest 81</v>
          </cell>
          <cell r="E41">
            <v>3</v>
          </cell>
          <cell r="F41">
            <v>1</v>
          </cell>
        </row>
        <row r="42">
          <cell r="D42" t="str">
            <v>1/2" Hex NeveRest 90</v>
          </cell>
          <cell r="E42">
            <v>3</v>
          </cell>
          <cell r="F42">
            <v>1</v>
          </cell>
        </row>
        <row r="43">
          <cell r="D43" t="str">
            <v>1/2" Hex NeveRest 100</v>
          </cell>
          <cell r="E43">
            <v>3</v>
          </cell>
          <cell r="F43">
            <v>1</v>
          </cell>
          <cell r="I43" t="str">
            <v>Yes</v>
          </cell>
          <cell r="J43">
            <v>67.95</v>
          </cell>
          <cell r="K43"/>
          <cell r="L43" t="str">
            <v>217-6011,217-6043,217-5882,217-5875,217-5870,</v>
          </cell>
          <cell r="M43" t="str">
            <v>217-6011,217-6043,217-5882,217-5875,217-5871,</v>
          </cell>
          <cell r="N43" t="str">
            <v>217-6011,217-6043,217-5882,217-5875,217-5872,</v>
          </cell>
        </row>
        <row r="44">
          <cell r="D44" t="str">
            <v>1/2" Hex BB RS-550 9</v>
          </cell>
          <cell r="E44">
            <v>10</v>
          </cell>
          <cell r="F44">
            <v>10</v>
          </cell>
          <cell r="I44" t="str">
            <v>No</v>
          </cell>
          <cell r="J44">
            <v>0</v>
          </cell>
          <cell r="K44"/>
        </row>
        <row r="45">
          <cell r="D45" t="str">
            <v>1/2" Hex BB RS-550 12</v>
          </cell>
          <cell r="E45">
            <v>10</v>
          </cell>
          <cell r="F45">
            <v>7</v>
          </cell>
        </row>
        <row r="46">
          <cell r="D46" t="str">
            <v>1/2" Hex BB RS-550 15</v>
          </cell>
          <cell r="E46">
            <v>10</v>
          </cell>
          <cell r="F46">
            <v>5</v>
          </cell>
        </row>
        <row r="47">
          <cell r="D47" t="str">
            <v>1/2" Hex BB RS-550 16</v>
          </cell>
          <cell r="E47">
            <v>10</v>
          </cell>
          <cell r="F47">
            <v>5</v>
          </cell>
        </row>
        <row r="48">
          <cell r="D48" t="str">
            <v>1/2" Hex BB RS-550 20</v>
          </cell>
          <cell r="E48">
            <v>10</v>
          </cell>
          <cell r="F48">
            <v>4</v>
          </cell>
          <cell r="I48" t="str">
            <v>Yes</v>
          </cell>
          <cell r="J48">
            <v>84.99</v>
          </cell>
          <cell r="K48"/>
          <cell r="L48" t="str">
            <v>217-6293,</v>
          </cell>
        </row>
        <row r="49">
          <cell r="D49" t="str">
            <v>1/2" Hex BB RS-550 21</v>
          </cell>
          <cell r="E49">
            <v>9</v>
          </cell>
          <cell r="F49">
            <v>4</v>
          </cell>
          <cell r="I49" t="str">
            <v>No</v>
          </cell>
          <cell r="J49">
            <v>0</v>
          </cell>
          <cell r="K49"/>
        </row>
        <row r="50">
          <cell r="D50" t="str">
            <v>1/2" Hex BB RS-550 25</v>
          </cell>
          <cell r="E50">
            <v>7</v>
          </cell>
          <cell r="F50">
            <v>3</v>
          </cell>
        </row>
        <row r="51">
          <cell r="D51" t="str">
            <v>1/2" Hex BB RS-550 27</v>
          </cell>
          <cell r="E51">
            <v>7</v>
          </cell>
          <cell r="F51">
            <v>3</v>
          </cell>
        </row>
        <row r="52">
          <cell r="D52" t="str">
            <v>1/2" Hex BB RS-550 28</v>
          </cell>
          <cell r="E52">
            <v>7</v>
          </cell>
          <cell r="F52">
            <v>3</v>
          </cell>
        </row>
        <row r="53">
          <cell r="D53" t="str">
            <v>1/2" Hex BB RS-550 30</v>
          </cell>
          <cell r="E53">
            <v>5</v>
          </cell>
          <cell r="F53">
            <v>3</v>
          </cell>
          <cell r="I53" t="str">
            <v>Yes</v>
          </cell>
          <cell r="J53">
            <v>14.99</v>
          </cell>
          <cell r="K53"/>
          <cell r="L53" t="str">
            <v>217-6048,</v>
          </cell>
        </row>
        <row r="54">
          <cell r="D54" t="str">
            <v>1/2" Hex BB RS-550 35</v>
          </cell>
          <cell r="E54">
            <v>5</v>
          </cell>
          <cell r="F54">
            <v>1</v>
          </cell>
          <cell r="I54" t="str">
            <v>No</v>
          </cell>
          <cell r="J54">
            <v>0</v>
          </cell>
          <cell r="K54"/>
        </row>
        <row r="55">
          <cell r="D55" t="str">
            <v>1/2" Hex BB RS-550 36</v>
          </cell>
          <cell r="E55">
            <v>5</v>
          </cell>
          <cell r="F55">
            <v>1</v>
          </cell>
        </row>
        <row r="56">
          <cell r="D56" t="str">
            <v>1/2" Hex BB RS-550 40</v>
          </cell>
          <cell r="E56">
            <v>5</v>
          </cell>
          <cell r="F56">
            <v>5</v>
          </cell>
        </row>
        <row r="57">
          <cell r="D57" t="str">
            <v>1/2" Hex BB RS-550 45</v>
          </cell>
          <cell r="E57">
            <v>5</v>
          </cell>
          <cell r="F57">
            <v>4</v>
          </cell>
          <cell r="I57" t="str">
            <v>Yes</v>
          </cell>
          <cell r="J57">
            <v>49.99</v>
          </cell>
          <cell r="K57"/>
          <cell r="L57" t="str">
            <v>217-5046,</v>
          </cell>
        </row>
        <row r="58">
          <cell r="D58" t="str">
            <v>1/2" Hex BB RS-550 49</v>
          </cell>
          <cell r="E58">
            <v>5</v>
          </cell>
          <cell r="F58">
            <v>4</v>
          </cell>
          <cell r="I58" t="str">
            <v>No</v>
          </cell>
          <cell r="J58">
            <v>0</v>
          </cell>
          <cell r="K58"/>
        </row>
        <row r="59">
          <cell r="D59" t="str">
            <v>1/2" Hex BB RS-550 50</v>
          </cell>
          <cell r="E59">
            <v>5</v>
          </cell>
          <cell r="F59">
            <v>1</v>
          </cell>
        </row>
        <row r="60">
          <cell r="D60" t="str">
            <v>1/2" Hex BB RS-550 63</v>
          </cell>
          <cell r="E60">
            <v>4</v>
          </cell>
          <cell r="F60">
            <v>1</v>
          </cell>
        </row>
        <row r="61">
          <cell r="D61" t="str">
            <v>1/2" Hex BB RS-550 70</v>
          </cell>
          <cell r="E61">
            <v>4</v>
          </cell>
          <cell r="F61">
            <v>1</v>
          </cell>
        </row>
        <row r="62">
          <cell r="D62" t="str">
            <v>1/2" Hex BB RS-550 81</v>
          </cell>
          <cell r="E62">
            <v>3</v>
          </cell>
          <cell r="F62">
            <v>1</v>
          </cell>
        </row>
        <row r="63">
          <cell r="D63" t="str">
            <v>1/2" Hex BB RS-550 90</v>
          </cell>
          <cell r="E63">
            <v>3</v>
          </cell>
          <cell r="F63">
            <v>1</v>
          </cell>
        </row>
        <row r="64">
          <cell r="D64" t="str">
            <v>1/2" Hex BB RS-550 100</v>
          </cell>
          <cell r="E64">
            <v>3</v>
          </cell>
          <cell r="F64">
            <v>0</v>
          </cell>
        </row>
        <row r="65">
          <cell r="D65" t="str">
            <v>1/2" Hex BB RS-775 9</v>
          </cell>
          <cell r="E65">
            <v>10</v>
          </cell>
          <cell r="F65">
            <v>10</v>
          </cell>
        </row>
        <row r="66">
          <cell r="D66" t="str">
            <v>1/2" Hex BB RS-775 12</v>
          </cell>
          <cell r="E66">
            <v>10</v>
          </cell>
          <cell r="F66">
            <v>10</v>
          </cell>
        </row>
        <row r="67">
          <cell r="D67" t="str">
            <v>1/2" Hex BB RS-775 15</v>
          </cell>
          <cell r="E67">
            <v>7</v>
          </cell>
          <cell r="F67">
            <v>7</v>
          </cell>
        </row>
        <row r="68">
          <cell r="D68" t="str">
            <v>1/2" Hex BB RS-775 16</v>
          </cell>
          <cell r="E68">
            <v>7</v>
          </cell>
          <cell r="F68">
            <v>7</v>
          </cell>
        </row>
        <row r="69">
          <cell r="D69" t="str">
            <v>1/2" Hex BB RS-775 20</v>
          </cell>
          <cell r="E69">
            <v>5</v>
          </cell>
          <cell r="F69">
            <v>5</v>
          </cell>
        </row>
        <row r="70">
          <cell r="D70" t="str">
            <v>1/2" Hex BB RS-775 21</v>
          </cell>
          <cell r="E70">
            <v>5</v>
          </cell>
          <cell r="F70">
            <v>5</v>
          </cell>
        </row>
        <row r="71">
          <cell r="D71" t="str">
            <v>1/2" Hex BB RS-775 25</v>
          </cell>
          <cell r="E71">
            <v>5</v>
          </cell>
          <cell r="F71">
            <v>5</v>
          </cell>
        </row>
        <row r="72">
          <cell r="D72" t="str">
            <v>1/2" Hex BB RS-775 27</v>
          </cell>
          <cell r="E72">
            <v>5</v>
          </cell>
          <cell r="F72">
            <v>4</v>
          </cell>
        </row>
        <row r="73">
          <cell r="D73" t="str">
            <v>1/2" Hex BB RS-775 28</v>
          </cell>
          <cell r="E73">
            <v>5</v>
          </cell>
          <cell r="F73">
            <v>4</v>
          </cell>
        </row>
        <row r="74">
          <cell r="D74" t="str">
            <v>1/2" Hex BB RS-775 30</v>
          </cell>
          <cell r="E74">
            <v>5</v>
          </cell>
          <cell r="F74">
            <v>4</v>
          </cell>
        </row>
        <row r="75">
          <cell r="D75" t="str">
            <v>1/2" Hex BB RS-775 35</v>
          </cell>
          <cell r="E75">
            <v>5</v>
          </cell>
          <cell r="F75">
            <v>3</v>
          </cell>
        </row>
        <row r="76">
          <cell r="D76" t="str">
            <v>1/2" Hex BB RS-775 36</v>
          </cell>
          <cell r="E76">
            <v>5</v>
          </cell>
          <cell r="F76">
            <v>3</v>
          </cell>
        </row>
        <row r="77">
          <cell r="D77" t="str">
            <v>1/2" Hex BB RS-775 40</v>
          </cell>
          <cell r="E77">
            <v>4</v>
          </cell>
          <cell r="F77">
            <v>3</v>
          </cell>
        </row>
        <row r="78">
          <cell r="D78" t="str">
            <v>1/2" Hex BB RS-775 45</v>
          </cell>
          <cell r="E78">
            <v>4</v>
          </cell>
          <cell r="F78">
            <v>1</v>
          </cell>
        </row>
        <row r="79">
          <cell r="D79" t="str">
            <v>1/2" Hex BB RS-775 49</v>
          </cell>
          <cell r="E79">
            <v>4</v>
          </cell>
          <cell r="F79">
            <v>1</v>
          </cell>
        </row>
        <row r="80">
          <cell r="D80" t="str">
            <v>1/2" Hex BB RS-775 50</v>
          </cell>
          <cell r="E80">
            <v>3</v>
          </cell>
          <cell r="F80">
            <v>1</v>
          </cell>
        </row>
        <row r="81">
          <cell r="D81" t="str">
            <v>1/2" Hex BB RS-775 63</v>
          </cell>
          <cell r="E81">
            <v>3</v>
          </cell>
          <cell r="F81">
            <v>1</v>
          </cell>
        </row>
        <row r="82">
          <cell r="D82" t="str">
            <v>1/2" Hex BB RS-775 70</v>
          </cell>
          <cell r="E82">
            <v>1</v>
          </cell>
          <cell r="F82">
            <v>1</v>
          </cell>
        </row>
        <row r="83">
          <cell r="D83" t="str">
            <v>1/2" Hex BB RS-775 81</v>
          </cell>
          <cell r="E83">
            <v>1</v>
          </cell>
          <cell r="F83">
            <v>1</v>
          </cell>
        </row>
        <row r="84">
          <cell r="D84" t="str">
            <v>1/2" Hex BB RS-775 90</v>
          </cell>
          <cell r="E84">
            <v>1</v>
          </cell>
          <cell r="F84">
            <v>1</v>
          </cell>
        </row>
        <row r="85">
          <cell r="D85" t="str">
            <v>1/2" Hex BB RS-775 100</v>
          </cell>
          <cell r="E85">
            <v>1</v>
          </cell>
          <cell r="F85">
            <v>1</v>
          </cell>
        </row>
        <row r="86">
          <cell r="D86" t="str">
            <v>1/2" Hex BAG 9</v>
          </cell>
          <cell r="E86">
            <v>10</v>
          </cell>
          <cell r="F86">
            <v>9</v>
          </cell>
        </row>
        <row r="87">
          <cell r="D87" t="str">
            <v>1/2" Hex BAG 12</v>
          </cell>
          <cell r="E87">
            <v>10</v>
          </cell>
          <cell r="F87">
            <v>5</v>
          </cell>
        </row>
        <row r="88">
          <cell r="D88" t="str">
            <v>1/2" Hex BAG 15</v>
          </cell>
          <cell r="E88">
            <v>10</v>
          </cell>
          <cell r="F88">
            <v>5</v>
          </cell>
        </row>
        <row r="89">
          <cell r="D89" t="str">
            <v>1/2" Hex BAG 16</v>
          </cell>
          <cell r="E89">
            <v>10</v>
          </cell>
          <cell r="F89">
            <v>5</v>
          </cell>
        </row>
        <row r="90">
          <cell r="D90" t="str">
            <v>1/2" Hex BAG 20</v>
          </cell>
          <cell r="E90">
            <v>10</v>
          </cell>
          <cell r="F90">
            <v>4</v>
          </cell>
        </row>
        <row r="91">
          <cell r="D91" t="str">
            <v>1/2" Hex BAG 21</v>
          </cell>
          <cell r="E91">
            <v>10</v>
          </cell>
          <cell r="F91">
            <v>3</v>
          </cell>
        </row>
        <row r="92">
          <cell r="D92" t="str">
            <v>1/2" Hex BAG 25</v>
          </cell>
          <cell r="E92">
            <v>7</v>
          </cell>
          <cell r="F92">
            <v>3</v>
          </cell>
        </row>
        <row r="93">
          <cell r="D93" t="str">
            <v>1/2" Hex BAG 27</v>
          </cell>
          <cell r="E93">
            <v>7</v>
          </cell>
          <cell r="F93">
            <v>3</v>
          </cell>
        </row>
        <row r="94">
          <cell r="D94" t="str">
            <v>1/2" Hex BAG 28</v>
          </cell>
          <cell r="E94">
            <v>7</v>
          </cell>
          <cell r="F94">
            <v>1</v>
          </cell>
        </row>
        <row r="95">
          <cell r="D95" t="str">
            <v>1/2" Hex BAG 30</v>
          </cell>
          <cell r="E95">
            <v>7</v>
          </cell>
          <cell r="F95">
            <v>1</v>
          </cell>
        </row>
        <row r="96">
          <cell r="D96" t="str">
            <v>1/2" Hex BAG 35</v>
          </cell>
          <cell r="E96">
            <v>5</v>
          </cell>
          <cell r="F96">
            <v>1</v>
          </cell>
        </row>
        <row r="97">
          <cell r="D97" t="str">
            <v>1/2" Hex BAG 36</v>
          </cell>
          <cell r="E97">
            <v>5</v>
          </cell>
          <cell r="F97">
            <v>1</v>
          </cell>
        </row>
        <row r="98">
          <cell r="D98" t="str">
            <v>1/2" Hex BAG 40</v>
          </cell>
          <cell r="E98">
            <v>5</v>
          </cell>
          <cell r="F98">
            <v>1</v>
          </cell>
        </row>
        <row r="99">
          <cell r="D99" t="str">
            <v>1/2" Hex BAG 45</v>
          </cell>
          <cell r="E99">
            <v>5</v>
          </cell>
          <cell r="F99">
            <v>1</v>
          </cell>
        </row>
        <row r="100">
          <cell r="D100" t="str">
            <v>1/2" Hex BAG 49</v>
          </cell>
          <cell r="E100">
            <v>5</v>
          </cell>
          <cell r="F100">
            <v>1</v>
          </cell>
        </row>
        <row r="101">
          <cell r="D101" t="str">
            <v>1/2" Hex BAG 50</v>
          </cell>
          <cell r="E101">
            <v>5</v>
          </cell>
          <cell r="F101">
            <v>1</v>
          </cell>
        </row>
        <row r="102">
          <cell r="D102" t="str">
            <v>1/2" Hex BAG 63</v>
          </cell>
          <cell r="E102">
            <v>5</v>
          </cell>
          <cell r="F102">
            <v>1</v>
          </cell>
        </row>
        <row r="103">
          <cell r="D103" t="str">
            <v>1/2" Hex BAG 70</v>
          </cell>
          <cell r="E103">
            <v>4</v>
          </cell>
          <cell r="F103">
            <v>1</v>
          </cell>
        </row>
        <row r="104">
          <cell r="D104" t="str">
            <v>1/2" Hex BAG 81</v>
          </cell>
          <cell r="E104">
            <v>4</v>
          </cell>
          <cell r="F104">
            <v>1</v>
          </cell>
        </row>
        <row r="105">
          <cell r="D105" t="str">
            <v>1/2" Hex BAG 90</v>
          </cell>
          <cell r="E105">
            <v>3</v>
          </cell>
          <cell r="F105">
            <v>0</v>
          </cell>
        </row>
        <row r="106">
          <cell r="D106" t="str">
            <v>1/2" Hex BAG 100</v>
          </cell>
          <cell r="E106">
            <v>3</v>
          </cell>
          <cell r="F106">
            <v>0</v>
          </cell>
        </row>
        <row r="107">
          <cell r="D107" t="str">
            <v>1/2" Hex Mini CIM 9</v>
          </cell>
          <cell r="E107">
            <v>7</v>
          </cell>
          <cell r="F107">
            <v>0</v>
          </cell>
        </row>
        <row r="108">
          <cell r="D108" t="str">
            <v>1/2" Hex Mini CIM 12</v>
          </cell>
          <cell r="E108">
            <v>5</v>
          </cell>
          <cell r="F108">
            <v>0</v>
          </cell>
        </row>
        <row r="109">
          <cell r="D109" t="str">
            <v>1/2" Hex Mini CIM 15</v>
          </cell>
          <cell r="E109">
            <v>5</v>
          </cell>
          <cell r="F109">
            <v>0</v>
          </cell>
        </row>
        <row r="110">
          <cell r="D110" t="str">
            <v>1/2" Hex Mini CIM 16</v>
          </cell>
          <cell r="E110">
            <v>5</v>
          </cell>
          <cell r="F110">
            <v>0</v>
          </cell>
        </row>
        <row r="111">
          <cell r="D111" t="str">
            <v>1/2" Hex Mini CIM 20</v>
          </cell>
          <cell r="E111">
            <v>5</v>
          </cell>
          <cell r="F111">
            <v>0</v>
          </cell>
        </row>
        <row r="112">
          <cell r="D112" t="str">
            <v>1/2" Hex Mini CIM 21</v>
          </cell>
          <cell r="E112">
            <v>5</v>
          </cell>
          <cell r="F112">
            <v>0</v>
          </cell>
        </row>
        <row r="113">
          <cell r="D113" t="str">
            <v>1/2" Hex Mini CIM 25</v>
          </cell>
          <cell r="E113">
            <v>4</v>
          </cell>
          <cell r="F113">
            <v>0</v>
          </cell>
        </row>
        <row r="114">
          <cell r="D114" t="str">
            <v>1/2" Hex Mini CIM 27</v>
          </cell>
          <cell r="E114">
            <v>4</v>
          </cell>
          <cell r="F114">
            <v>0</v>
          </cell>
        </row>
        <row r="115">
          <cell r="D115" t="str">
            <v>1/2" Hex Mini CIM 28</v>
          </cell>
          <cell r="E115">
            <v>3</v>
          </cell>
          <cell r="F115">
            <v>0</v>
          </cell>
        </row>
        <row r="116">
          <cell r="D116" t="str">
            <v>1/2" Hex Mini CIM 30</v>
          </cell>
          <cell r="E116">
            <v>3</v>
          </cell>
          <cell r="F116">
            <v>0</v>
          </cell>
        </row>
        <row r="117">
          <cell r="D117" t="str">
            <v>1/2" Hex Mini CIM 35</v>
          </cell>
          <cell r="E117">
            <v>3</v>
          </cell>
          <cell r="F117">
            <v>0</v>
          </cell>
        </row>
        <row r="118">
          <cell r="D118" t="str">
            <v>1/2" Hex Mini CIM 36</v>
          </cell>
          <cell r="E118">
            <v>1</v>
          </cell>
          <cell r="F118">
            <v>0</v>
          </cell>
        </row>
        <row r="119">
          <cell r="D119" t="str">
            <v>1/2" Hex Mini CIM 40</v>
          </cell>
          <cell r="E119">
            <v>1</v>
          </cell>
          <cell r="F119">
            <v>0</v>
          </cell>
        </row>
        <row r="120">
          <cell r="D120" t="str">
            <v>1/2" Hex Mini CIM 45</v>
          </cell>
          <cell r="E120">
            <v>1</v>
          </cell>
          <cell r="F120">
            <v>0</v>
          </cell>
        </row>
        <row r="121">
          <cell r="D121" t="str">
            <v>1/2" Hex Mini CIM 49</v>
          </cell>
          <cell r="E121">
            <v>1</v>
          </cell>
          <cell r="F121">
            <v>0</v>
          </cell>
        </row>
        <row r="122">
          <cell r="D122" t="str">
            <v>1/2" Hex Mini CIM 50</v>
          </cell>
          <cell r="E122">
            <v>1</v>
          </cell>
          <cell r="F122">
            <v>0</v>
          </cell>
        </row>
        <row r="123">
          <cell r="D123" t="str">
            <v>1/2" Hex Mini CIM 63</v>
          </cell>
          <cell r="E123">
            <v>1</v>
          </cell>
          <cell r="F123">
            <v>0</v>
          </cell>
        </row>
        <row r="124">
          <cell r="D124" t="str">
            <v>1/2" Hex Mini CIM 70</v>
          </cell>
          <cell r="E124">
            <v>0</v>
          </cell>
          <cell r="F124">
            <v>0</v>
          </cell>
        </row>
        <row r="125">
          <cell r="D125" t="str">
            <v>1/2" Hex Mini CIM 81</v>
          </cell>
          <cell r="E125">
            <v>0</v>
          </cell>
          <cell r="F125">
            <v>0</v>
          </cell>
        </row>
        <row r="126">
          <cell r="D126" t="str">
            <v>1/2" Hex Mini CIM 90</v>
          </cell>
          <cell r="E126">
            <v>0</v>
          </cell>
          <cell r="F126">
            <v>0</v>
          </cell>
        </row>
        <row r="127">
          <cell r="D127" t="str">
            <v>1/2" Hex Mini CIM 100</v>
          </cell>
          <cell r="E127">
            <v>0</v>
          </cell>
          <cell r="F127">
            <v>0</v>
          </cell>
        </row>
        <row r="128">
          <cell r="D128" t="str">
            <v>1/2" Hex CIM 9</v>
          </cell>
          <cell r="E128">
            <v>5</v>
          </cell>
          <cell r="F128">
            <v>0</v>
          </cell>
        </row>
        <row r="129">
          <cell r="D129" t="str">
            <v>1/2" Hex CIM 12</v>
          </cell>
          <cell r="E129">
            <v>5</v>
          </cell>
          <cell r="F129">
            <v>0</v>
          </cell>
        </row>
        <row r="130">
          <cell r="D130" t="str">
            <v>1/2" Hex CIM 15</v>
          </cell>
          <cell r="E130">
            <v>4</v>
          </cell>
          <cell r="F130">
            <v>0</v>
          </cell>
        </row>
        <row r="131">
          <cell r="D131" t="str">
            <v>1/2" Hex CIM 16</v>
          </cell>
          <cell r="E131">
            <v>4</v>
          </cell>
          <cell r="F131">
            <v>0</v>
          </cell>
        </row>
        <row r="132">
          <cell r="D132" t="str">
            <v>1/2" Hex CIM 20</v>
          </cell>
          <cell r="E132">
            <v>3</v>
          </cell>
          <cell r="F132">
            <v>0</v>
          </cell>
        </row>
        <row r="133">
          <cell r="D133" t="str">
            <v>1/2" Hex CIM 21</v>
          </cell>
          <cell r="E133">
            <v>3</v>
          </cell>
          <cell r="F133">
            <v>0</v>
          </cell>
        </row>
        <row r="134">
          <cell r="D134" t="str">
            <v>1/2" Hex CIM 25</v>
          </cell>
          <cell r="E134">
            <v>1</v>
          </cell>
          <cell r="F134">
            <v>0</v>
          </cell>
        </row>
        <row r="135">
          <cell r="D135" t="str">
            <v>1/2" Hex CIM 27</v>
          </cell>
          <cell r="E135">
            <v>1</v>
          </cell>
          <cell r="F135">
            <v>0</v>
          </cell>
        </row>
        <row r="136">
          <cell r="D136" t="str">
            <v>1/2" Hex CIM 28</v>
          </cell>
          <cell r="E136">
            <v>1</v>
          </cell>
          <cell r="F136">
            <v>0</v>
          </cell>
        </row>
        <row r="137">
          <cell r="D137" t="str">
            <v>1/2" Hex CIM 30</v>
          </cell>
          <cell r="E137">
            <v>1</v>
          </cell>
          <cell r="F137">
            <v>0</v>
          </cell>
        </row>
        <row r="138">
          <cell r="D138" t="str">
            <v>1/2" Hex CIM 35</v>
          </cell>
          <cell r="E138">
            <v>1</v>
          </cell>
          <cell r="F138">
            <v>0</v>
          </cell>
        </row>
        <row r="139">
          <cell r="D139" t="str">
            <v>1/2" Hex CIM 36</v>
          </cell>
          <cell r="E139">
            <v>1</v>
          </cell>
          <cell r="F139">
            <v>0</v>
          </cell>
        </row>
        <row r="140">
          <cell r="D140" t="str">
            <v>1/2" Hex CIM 40</v>
          </cell>
          <cell r="E140">
            <v>1</v>
          </cell>
          <cell r="F140">
            <v>0</v>
          </cell>
        </row>
        <row r="141">
          <cell r="D141" t="str">
            <v>1/2" Hex CIM 45</v>
          </cell>
          <cell r="E141">
            <v>0</v>
          </cell>
          <cell r="F141">
            <v>0</v>
          </cell>
        </row>
        <row r="142">
          <cell r="D142" t="str">
            <v>1/2" Hex CIM 49</v>
          </cell>
          <cell r="E142">
            <v>0</v>
          </cell>
          <cell r="F142">
            <v>0</v>
          </cell>
        </row>
        <row r="143">
          <cell r="D143" t="str">
            <v>1/2" Hex CIM 50</v>
          </cell>
          <cell r="E143">
            <v>0</v>
          </cell>
          <cell r="F143">
            <v>0</v>
          </cell>
        </row>
        <row r="144">
          <cell r="D144" t="str">
            <v>1/2" Hex CIM 63</v>
          </cell>
          <cell r="E144">
            <v>0</v>
          </cell>
          <cell r="F144">
            <v>0</v>
          </cell>
        </row>
        <row r="145">
          <cell r="D145" t="str">
            <v>1/2" Hex CIM 70</v>
          </cell>
          <cell r="E145">
            <v>0</v>
          </cell>
          <cell r="F145">
            <v>0</v>
          </cell>
        </row>
        <row r="146">
          <cell r="D146" t="str">
            <v>1/2" Hex CIM 81</v>
          </cell>
          <cell r="E146">
            <v>0</v>
          </cell>
          <cell r="F146">
            <v>0</v>
          </cell>
        </row>
        <row r="147">
          <cell r="D147" t="str">
            <v>1/2" Hex CIM 90</v>
          </cell>
          <cell r="E147">
            <v>0</v>
          </cell>
          <cell r="F147">
            <v>0</v>
          </cell>
        </row>
        <row r="148">
          <cell r="D148" t="str">
            <v>1/2" Hex CIM 100</v>
          </cell>
          <cell r="E148">
            <v>0</v>
          </cell>
          <cell r="F148">
            <v>0</v>
          </cell>
        </row>
        <row r="149">
          <cell r="D149" t="str">
            <v>1/2" Hex 775pro 9</v>
          </cell>
          <cell r="E149">
            <v>10</v>
          </cell>
          <cell r="F149">
            <v>5</v>
          </cell>
        </row>
        <row r="150">
          <cell r="D150" t="str">
            <v>1/2" Hex 775pro 12</v>
          </cell>
          <cell r="E150">
            <v>10</v>
          </cell>
          <cell r="F150">
            <v>4</v>
          </cell>
        </row>
        <row r="151">
          <cell r="D151" t="str">
            <v>1/2" Hex 775pro 15</v>
          </cell>
          <cell r="E151">
            <v>10</v>
          </cell>
          <cell r="F151">
            <v>3</v>
          </cell>
        </row>
        <row r="152">
          <cell r="D152" t="str">
            <v>1/2" Hex 775pro 16</v>
          </cell>
          <cell r="E152">
            <v>10</v>
          </cell>
          <cell r="F152">
            <v>3</v>
          </cell>
        </row>
        <row r="153">
          <cell r="D153" t="str">
            <v>1/2" Hex 775pro 20</v>
          </cell>
          <cell r="E153">
            <v>10</v>
          </cell>
          <cell r="F153">
            <v>1</v>
          </cell>
        </row>
        <row r="154">
          <cell r="D154" t="str">
            <v>1/2" Hex 775pro 21</v>
          </cell>
          <cell r="E154">
            <v>10</v>
          </cell>
          <cell r="F154">
            <v>1</v>
          </cell>
        </row>
        <row r="155">
          <cell r="D155" t="str">
            <v>1/2" Hex 775pro 25</v>
          </cell>
          <cell r="E155">
            <v>7</v>
          </cell>
          <cell r="F155">
            <v>1</v>
          </cell>
        </row>
        <row r="156">
          <cell r="D156" t="str">
            <v>1/2" Hex 775pro 27</v>
          </cell>
          <cell r="E156">
            <v>7</v>
          </cell>
          <cell r="F156">
            <v>1</v>
          </cell>
        </row>
        <row r="157">
          <cell r="D157" t="str">
            <v>1/2" Hex 775pro 28</v>
          </cell>
          <cell r="E157">
            <v>7</v>
          </cell>
          <cell r="F157">
            <v>1</v>
          </cell>
        </row>
        <row r="158">
          <cell r="D158" t="str">
            <v>1/2" Hex 775pro 30</v>
          </cell>
          <cell r="E158">
            <v>7</v>
          </cell>
          <cell r="F158">
            <v>1</v>
          </cell>
        </row>
        <row r="159">
          <cell r="D159" t="str">
            <v>1/2" Hex 775pro 35</v>
          </cell>
          <cell r="E159">
            <v>5</v>
          </cell>
          <cell r="F159">
            <v>1</v>
          </cell>
        </row>
        <row r="160">
          <cell r="D160" t="str">
            <v>1/2" Hex 775pro 36</v>
          </cell>
          <cell r="E160">
            <v>5</v>
          </cell>
          <cell r="F160">
            <v>1</v>
          </cell>
        </row>
        <row r="161">
          <cell r="D161" t="str">
            <v>1/2" Hex 775pro 40</v>
          </cell>
          <cell r="E161">
            <v>5</v>
          </cell>
          <cell r="F161">
            <v>1</v>
          </cell>
        </row>
        <row r="162">
          <cell r="D162" t="str">
            <v>1/2" Hex 775pro 45</v>
          </cell>
          <cell r="E162">
            <v>4</v>
          </cell>
          <cell r="F162">
            <v>1</v>
          </cell>
        </row>
        <row r="163">
          <cell r="D163" t="str">
            <v>1/2" Hex 775pro 49</v>
          </cell>
          <cell r="E163">
            <v>4</v>
          </cell>
          <cell r="F163">
            <v>1</v>
          </cell>
        </row>
        <row r="164">
          <cell r="D164" t="str">
            <v>1/2" Hex 775pro 50</v>
          </cell>
          <cell r="E164">
            <v>4</v>
          </cell>
          <cell r="F164">
            <v>0</v>
          </cell>
        </row>
        <row r="165">
          <cell r="D165" t="str">
            <v>1/2" Hex 775pro 63</v>
          </cell>
          <cell r="E165">
            <v>3</v>
          </cell>
          <cell r="F165">
            <v>0</v>
          </cell>
        </row>
        <row r="166">
          <cell r="D166" t="str">
            <v>1/2" Hex 775pro 70</v>
          </cell>
          <cell r="E166">
            <v>3</v>
          </cell>
          <cell r="F166">
            <v>0</v>
          </cell>
        </row>
        <row r="167">
          <cell r="D167" t="str">
            <v>1/2" Hex 775pro 81</v>
          </cell>
          <cell r="E167">
            <v>1</v>
          </cell>
          <cell r="F167">
            <v>0</v>
          </cell>
        </row>
        <row r="168">
          <cell r="D168" t="str">
            <v>1/2" Hex 775pro 90</v>
          </cell>
          <cell r="E168">
            <v>1</v>
          </cell>
          <cell r="F168">
            <v>0</v>
          </cell>
        </row>
        <row r="169">
          <cell r="D169" t="str">
            <v>1/2" Hex 775pro 100</v>
          </cell>
          <cell r="E169">
            <v>1</v>
          </cell>
          <cell r="F169">
            <v>0</v>
          </cell>
        </row>
        <row r="170">
          <cell r="D170" t="str">
            <v>1/2" Round AM 9015 9</v>
          </cell>
          <cell r="E170">
            <v>10</v>
          </cell>
          <cell r="F170">
            <v>10</v>
          </cell>
        </row>
        <row r="171">
          <cell r="D171" t="str">
            <v>1/2" Round AM 9015 12</v>
          </cell>
          <cell r="E171">
            <v>10</v>
          </cell>
          <cell r="F171">
            <v>7</v>
          </cell>
        </row>
        <row r="172">
          <cell r="D172" t="str">
            <v>1/2" Round AM 9015 15</v>
          </cell>
          <cell r="E172">
            <v>10</v>
          </cell>
          <cell r="F172">
            <v>5</v>
          </cell>
        </row>
        <row r="173">
          <cell r="D173" t="str">
            <v>1/2" Round AM 9015 16</v>
          </cell>
          <cell r="E173">
            <v>10</v>
          </cell>
          <cell r="F173">
            <v>5</v>
          </cell>
        </row>
        <row r="174">
          <cell r="D174" t="str">
            <v>1/2" Round AM 9015 20</v>
          </cell>
          <cell r="E174">
            <v>10</v>
          </cell>
          <cell r="F174">
            <v>4</v>
          </cell>
        </row>
        <row r="175">
          <cell r="D175" t="str">
            <v>1/2" Round AM 9015 21</v>
          </cell>
          <cell r="E175">
            <v>10</v>
          </cell>
          <cell r="F175">
            <v>4</v>
          </cell>
        </row>
        <row r="176">
          <cell r="D176" t="str">
            <v>1/2" Round AM 9015 25</v>
          </cell>
          <cell r="E176">
            <v>7</v>
          </cell>
          <cell r="F176">
            <v>3</v>
          </cell>
        </row>
        <row r="177">
          <cell r="D177" t="str">
            <v>1/2" Round AM 9015 27</v>
          </cell>
          <cell r="E177">
            <v>7</v>
          </cell>
          <cell r="F177">
            <v>3</v>
          </cell>
        </row>
        <row r="178">
          <cell r="D178" t="str">
            <v>1/2" Round AM 9015 28</v>
          </cell>
          <cell r="E178">
            <v>7</v>
          </cell>
          <cell r="F178">
            <v>3</v>
          </cell>
        </row>
        <row r="179">
          <cell r="D179" t="str">
            <v>1/2" Round AM 9015 30</v>
          </cell>
          <cell r="E179">
            <v>7</v>
          </cell>
          <cell r="F179">
            <v>3</v>
          </cell>
        </row>
        <row r="180">
          <cell r="D180" t="str">
            <v>1/2" Round AM 9015 35</v>
          </cell>
          <cell r="E180">
            <v>5</v>
          </cell>
          <cell r="F180">
            <v>1</v>
          </cell>
        </row>
        <row r="181">
          <cell r="D181" t="str">
            <v>1/2" Round AM 9015 36</v>
          </cell>
          <cell r="E181">
            <v>5</v>
          </cell>
          <cell r="F181">
            <v>1</v>
          </cell>
        </row>
        <row r="182">
          <cell r="D182" t="str">
            <v>1/2" Round AM 9015 40</v>
          </cell>
          <cell r="E182">
            <v>5</v>
          </cell>
          <cell r="F182">
            <v>1</v>
          </cell>
        </row>
        <row r="183">
          <cell r="D183" t="str">
            <v>1/2" Round AM 9015 45</v>
          </cell>
          <cell r="E183">
            <v>5</v>
          </cell>
          <cell r="F183">
            <v>1</v>
          </cell>
        </row>
        <row r="184">
          <cell r="D184" t="str">
            <v>1/2" Round AM 9015 49</v>
          </cell>
          <cell r="E184">
            <v>5</v>
          </cell>
          <cell r="F184">
            <v>1</v>
          </cell>
        </row>
        <row r="185">
          <cell r="D185" t="str">
            <v>1/2" Round AM 9015 50</v>
          </cell>
          <cell r="E185">
            <v>5</v>
          </cell>
          <cell r="F185">
            <v>1</v>
          </cell>
        </row>
        <row r="186">
          <cell r="D186" t="str">
            <v>1/2" Round AM 9015 63</v>
          </cell>
          <cell r="E186">
            <v>4</v>
          </cell>
          <cell r="F186">
            <v>1</v>
          </cell>
        </row>
        <row r="187">
          <cell r="D187" t="str">
            <v>1/2" Round AM 9015 70</v>
          </cell>
          <cell r="E187">
            <v>4</v>
          </cell>
          <cell r="F187">
            <v>1</v>
          </cell>
        </row>
        <row r="188">
          <cell r="D188" t="str">
            <v>1/2" Round AM 9015 81</v>
          </cell>
          <cell r="E188">
            <v>3</v>
          </cell>
          <cell r="F188">
            <v>1</v>
          </cell>
        </row>
        <row r="189">
          <cell r="D189" t="str">
            <v>1/2" Round AM 9015 90</v>
          </cell>
          <cell r="E189">
            <v>3</v>
          </cell>
          <cell r="F189">
            <v>1</v>
          </cell>
        </row>
        <row r="190">
          <cell r="D190" t="str">
            <v>1/2" Round AM 9015 100</v>
          </cell>
          <cell r="E190">
            <v>1</v>
          </cell>
          <cell r="F190">
            <v>0</v>
          </cell>
        </row>
        <row r="191">
          <cell r="D191" t="str">
            <v>1/2" Round NeveRest 9</v>
          </cell>
          <cell r="E191">
            <v>10</v>
          </cell>
          <cell r="F191">
            <v>10</v>
          </cell>
        </row>
        <row r="192">
          <cell r="D192" t="str">
            <v>1/2" Round NeveRest 12</v>
          </cell>
          <cell r="E192">
            <v>10</v>
          </cell>
          <cell r="F192">
            <v>10</v>
          </cell>
        </row>
        <row r="193">
          <cell r="D193" t="str">
            <v>1/2" Round NeveRest 15</v>
          </cell>
          <cell r="E193">
            <v>10</v>
          </cell>
          <cell r="F193">
            <v>10</v>
          </cell>
        </row>
        <row r="194">
          <cell r="D194" t="str">
            <v>1/2" Round NeveRest 16</v>
          </cell>
          <cell r="E194">
            <v>10</v>
          </cell>
          <cell r="F194">
            <v>10</v>
          </cell>
        </row>
        <row r="195">
          <cell r="D195" t="str">
            <v>1/2" Round NeveRest 20</v>
          </cell>
          <cell r="E195">
            <v>10</v>
          </cell>
          <cell r="F195">
            <v>10</v>
          </cell>
        </row>
        <row r="196">
          <cell r="D196" t="str">
            <v>1/2" Round NeveRest 21</v>
          </cell>
          <cell r="E196">
            <v>9</v>
          </cell>
          <cell r="F196">
            <v>9</v>
          </cell>
        </row>
        <row r="197">
          <cell r="D197" t="str">
            <v>1/2" Round NeveRest 25</v>
          </cell>
          <cell r="E197">
            <v>7</v>
          </cell>
          <cell r="F197">
            <v>7</v>
          </cell>
        </row>
        <row r="198">
          <cell r="D198" t="str">
            <v>1/2" Round NeveRest 27</v>
          </cell>
          <cell r="E198">
            <v>7</v>
          </cell>
          <cell r="F198">
            <v>7</v>
          </cell>
        </row>
        <row r="199">
          <cell r="D199" t="str">
            <v>1/2" Round NeveRest 28</v>
          </cell>
          <cell r="E199">
            <v>7</v>
          </cell>
          <cell r="F199">
            <v>7</v>
          </cell>
        </row>
        <row r="200">
          <cell r="D200" t="str">
            <v>1/2" Round NeveRest 30</v>
          </cell>
          <cell r="E200">
            <v>5</v>
          </cell>
          <cell r="F200">
            <v>5</v>
          </cell>
        </row>
        <row r="201">
          <cell r="D201" t="str">
            <v>1/2" Round NeveRest 35</v>
          </cell>
          <cell r="E201">
            <v>5</v>
          </cell>
          <cell r="F201">
            <v>5</v>
          </cell>
        </row>
        <row r="202">
          <cell r="D202" t="str">
            <v>1/2" Round NeveRest 36</v>
          </cell>
          <cell r="E202">
            <v>5</v>
          </cell>
          <cell r="F202">
            <v>5</v>
          </cell>
        </row>
        <row r="203">
          <cell r="D203" t="str">
            <v>1/2" Round NeveRest 40</v>
          </cell>
          <cell r="E203">
            <v>5</v>
          </cell>
          <cell r="F203">
            <v>5</v>
          </cell>
        </row>
        <row r="204">
          <cell r="D204" t="str">
            <v>1/2" Round NeveRest 45</v>
          </cell>
          <cell r="E204">
            <v>5</v>
          </cell>
          <cell r="F204">
            <v>4</v>
          </cell>
        </row>
        <row r="205">
          <cell r="D205" t="str">
            <v>1/2" Round NeveRest 49</v>
          </cell>
          <cell r="E205">
            <v>5</v>
          </cell>
          <cell r="F205">
            <v>4</v>
          </cell>
        </row>
        <row r="206">
          <cell r="D206" t="str">
            <v>1/2" Round NeveRest 50</v>
          </cell>
          <cell r="E206">
            <v>5</v>
          </cell>
          <cell r="F206">
            <v>4</v>
          </cell>
        </row>
        <row r="207">
          <cell r="D207" t="str">
            <v>1/2" Round NeveRest 63</v>
          </cell>
          <cell r="E207">
            <v>4</v>
          </cell>
          <cell r="F207">
            <v>3</v>
          </cell>
        </row>
        <row r="208">
          <cell r="D208" t="str">
            <v>1/2" Round NeveRest 70</v>
          </cell>
          <cell r="E208">
            <v>3</v>
          </cell>
          <cell r="F208">
            <v>1</v>
          </cell>
        </row>
        <row r="209">
          <cell r="D209" t="str">
            <v>1/2" Round NeveRest 81</v>
          </cell>
          <cell r="E209">
            <v>3</v>
          </cell>
          <cell r="F209">
            <v>1</v>
          </cell>
        </row>
        <row r="210">
          <cell r="D210" t="str">
            <v>1/2" Round NeveRest 90</v>
          </cell>
          <cell r="E210">
            <v>1</v>
          </cell>
          <cell r="F210">
            <v>1</v>
          </cell>
        </row>
        <row r="211">
          <cell r="D211" t="str">
            <v>1/2" Round NeveRest 100</v>
          </cell>
          <cell r="E211">
            <v>1</v>
          </cell>
          <cell r="F211">
            <v>1</v>
          </cell>
        </row>
        <row r="212">
          <cell r="D212" t="str">
            <v>1/2" Round BB RS-550 9</v>
          </cell>
          <cell r="E212">
            <v>10</v>
          </cell>
          <cell r="F212">
            <v>10</v>
          </cell>
        </row>
        <row r="213">
          <cell r="D213" t="str">
            <v>1/2" Round BB RS-550 12</v>
          </cell>
          <cell r="E213">
            <v>10</v>
          </cell>
          <cell r="F213">
            <v>7</v>
          </cell>
        </row>
        <row r="214">
          <cell r="D214" t="str">
            <v>1/2" Round BB RS-550 15</v>
          </cell>
          <cell r="E214">
            <v>10</v>
          </cell>
          <cell r="F214">
            <v>5</v>
          </cell>
        </row>
        <row r="215">
          <cell r="D215" t="str">
            <v>1/2" Round BB RS-550 16</v>
          </cell>
          <cell r="E215">
            <v>10</v>
          </cell>
          <cell r="F215">
            <v>5</v>
          </cell>
        </row>
        <row r="216">
          <cell r="D216" t="str">
            <v>1/2" Round BB RS-550 20</v>
          </cell>
          <cell r="E216">
            <v>10</v>
          </cell>
          <cell r="F216">
            <v>4</v>
          </cell>
        </row>
        <row r="217">
          <cell r="D217" t="str">
            <v>1/2" Round BB RS-550 21</v>
          </cell>
          <cell r="E217">
            <v>9</v>
          </cell>
          <cell r="F217">
            <v>4</v>
          </cell>
        </row>
        <row r="218">
          <cell r="D218" t="str">
            <v>1/2" Round BB RS-550 25</v>
          </cell>
          <cell r="E218">
            <v>7</v>
          </cell>
          <cell r="F218">
            <v>3</v>
          </cell>
        </row>
        <row r="219">
          <cell r="D219" t="str">
            <v>1/2" Round BB RS-550 27</v>
          </cell>
          <cell r="E219">
            <v>7</v>
          </cell>
          <cell r="F219">
            <v>3</v>
          </cell>
        </row>
        <row r="220">
          <cell r="D220" t="str">
            <v>1/2" Round BB RS-550 28</v>
          </cell>
          <cell r="E220">
            <v>7</v>
          </cell>
          <cell r="F220">
            <v>3</v>
          </cell>
        </row>
        <row r="221">
          <cell r="D221" t="str">
            <v>1/2" Round BB RS-550 30</v>
          </cell>
          <cell r="E221">
            <v>5</v>
          </cell>
          <cell r="F221">
            <v>3</v>
          </cell>
        </row>
        <row r="222">
          <cell r="D222" t="str">
            <v>1/2" Round BB RS-550 35</v>
          </cell>
          <cell r="E222">
            <v>5</v>
          </cell>
          <cell r="F222">
            <v>1</v>
          </cell>
        </row>
        <row r="223">
          <cell r="D223" t="str">
            <v>1/2" Round BB RS-550 36</v>
          </cell>
          <cell r="E223">
            <v>5</v>
          </cell>
          <cell r="F223">
            <v>1</v>
          </cell>
        </row>
        <row r="224">
          <cell r="D224" t="str">
            <v>1/2" Round BB RS-550 40</v>
          </cell>
          <cell r="E224">
            <v>5</v>
          </cell>
          <cell r="F224">
            <v>1</v>
          </cell>
        </row>
        <row r="225">
          <cell r="D225" t="str">
            <v>1/2" Round BB RS-550 45</v>
          </cell>
          <cell r="E225">
            <v>5</v>
          </cell>
          <cell r="F225">
            <v>1</v>
          </cell>
        </row>
        <row r="226">
          <cell r="D226" t="str">
            <v>1/2" Round BB RS-550 49</v>
          </cell>
          <cell r="E226">
            <v>5</v>
          </cell>
          <cell r="F226">
            <v>1</v>
          </cell>
        </row>
        <row r="227">
          <cell r="D227" t="str">
            <v>1/2" Round BB RS-550 50</v>
          </cell>
          <cell r="E227">
            <v>5</v>
          </cell>
          <cell r="F227">
            <v>1</v>
          </cell>
        </row>
        <row r="228">
          <cell r="D228" t="str">
            <v>1/2" Round BB RS-550 63</v>
          </cell>
          <cell r="E228">
            <v>4</v>
          </cell>
          <cell r="F228">
            <v>1</v>
          </cell>
        </row>
        <row r="229">
          <cell r="D229" t="str">
            <v>1/2" Round BB RS-550 70</v>
          </cell>
          <cell r="E229">
            <v>3</v>
          </cell>
          <cell r="F229">
            <v>1</v>
          </cell>
        </row>
        <row r="230">
          <cell r="D230" t="str">
            <v>1/2" Round BB RS-550 81</v>
          </cell>
          <cell r="E230">
            <v>3</v>
          </cell>
          <cell r="F230">
            <v>1</v>
          </cell>
        </row>
        <row r="231">
          <cell r="D231" t="str">
            <v>1/2" Round BB RS-550 90</v>
          </cell>
          <cell r="E231">
            <v>1</v>
          </cell>
          <cell r="F231">
            <v>1</v>
          </cell>
        </row>
        <row r="232">
          <cell r="D232" t="str">
            <v>1/2" Round BB RS-550 100</v>
          </cell>
          <cell r="E232">
            <v>1</v>
          </cell>
          <cell r="F232">
            <v>0</v>
          </cell>
        </row>
        <row r="233">
          <cell r="D233" t="str">
            <v>1/2" Round BB RS-775 9</v>
          </cell>
          <cell r="E233">
            <v>10</v>
          </cell>
          <cell r="F233">
            <v>10</v>
          </cell>
        </row>
        <row r="234">
          <cell r="D234" t="str">
            <v>1/2" Round BB RS-775 12</v>
          </cell>
          <cell r="E234">
            <v>10</v>
          </cell>
          <cell r="F234">
            <v>10</v>
          </cell>
        </row>
        <row r="235">
          <cell r="D235" t="str">
            <v>1/2" Round BB RS-775 15</v>
          </cell>
          <cell r="E235">
            <v>7</v>
          </cell>
          <cell r="F235">
            <v>7</v>
          </cell>
        </row>
        <row r="236">
          <cell r="D236" t="str">
            <v>1/2" Round BB RS-775 16</v>
          </cell>
          <cell r="E236">
            <v>7</v>
          </cell>
          <cell r="F236">
            <v>7</v>
          </cell>
        </row>
        <row r="237">
          <cell r="D237" t="str">
            <v>1/2" Round BB RS-775 20</v>
          </cell>
          <cell r="E237">
            <v>5</v>
          </cell>
          <cell r="F237">
            <v>5</v>
          </cell>
        </row>
        <row r="238">
          <cell r="D238" t="str">
            <v>1/2" Round BB RS-775 21</v>
          </cell>
          <cell r="E238">
            <v>5</v>
          </cell>
          <cell r="F238">
            <v>5</v>
          </cell>
        </row>
        <row r="239">
          <cell r="D239" t="str">
            <v>1/2" Round BB RS-775 25</v>
          </cell>
          <cell r="E239">
            <v>5</v>
          </cell>
          <cell r="F239">
            <v>5</v>
          </cell>
        </row>
        <row r="240">
          <cell r="D240" t="str">
            <v>1/2" Round BB RS-775 27</v>
          </cell>
          <cell r="E240">
            <v>5</v>
          </cell>
          <cell r="F240">
            <v>4</v>
          </cell>
        </row>
        <row r="241">
          <cell r="D241" t="str">
            <v>1/2" Round BB RS-775 28</v>
          </cell>
          <cell r="E241">
            <v>5</v>
          </cell>
          <cell r="F241">
            <v>4</v>
          </cell>
        </row>
        <row r="242">
          <cell r="D242" t="str">
            <v>1/2" Round BB RS-775 30</v>
          </cell>
          <cell r="E242">
            <v>5</v>
          </cell>
          <cell r="F242">
            <v>4</v>
          </cell>
        </row>
        <row r="243">
          <cell r="D243" t="str">
            <v>1/2" Round BB RS-775 35</v>
          </cell>
          <cell r="E243">
            <v>4</v>
          </cell>
          <cell r="F243">
            <v>3</v>
          </cell>
        </row>
        <row r="244">
          <cell r="D244" t="str">
            <v>1/2" Round BB RS-775 36</v>
          </cell>
          <cell r="E244">
            <v>4</v>
          </cell>
          <cell r="F244">
            <v>3</v>
          </cell>
        </row>
        <row r="245">
          <cell r="D245" t="str">
            <v>1/2" Round BB RS-775 40</v>
          </cell>
          <cell r="E245">
            <v>4</v>
          </cell>
          <cell r="F245">
            <v>3</v>
          </cell>
        </row>
        <row r="246">
          <cell r="D246" t="str">
            <v>1/2" Round BB RS-775 45</v>
          </cell>
          <cell r="E246">
            <v>3</v>
          </cell>
          <cell r="F246">
            <v>1</v>
          </cell>
        </row>
        <row r="247">
          <cell r="D247" t="str">
            <v>1/2" Round BB RS-775 49</v>
          </cell>
          <cell r="E247">
            <v>3</v>
          </cell>
          <cell r="F247">
            <v>1</v>
          </cell>
        </row>
        <row r="248">
          <cell r="D248" t="str">
            <v>1/2" Round BB RS-775 50</v>
          </cell>
          <cell r="E248">
            <v>3</v>
          </cell>
          <cell r="F248">
            <v>1</v>
          </cell>
        </row>
        <row r="249">
          <cell r="D249" t="str">
            <v>1/2" Round BB RS-775 63</v>
          </cell>
          <cell r="E249">
            <v>1</v>
          </cell>
          <cell r="F249">
            <v>1</v>
          </cell>
        </row>
        <row r="250">
          <cell r="D250" t="str">
            <v>1/2" Round BB RS-775 70</v>
          </cell>
          <cell r="E250">
            <v>1</v>
          </cell>
          <cell r="F250">
            <v>1</v>
          </cell>
        </row>
        <row r="251">
          <cell r="D251" t="str">
            <v>1/2" Round BB RS-775 81</v>
          </cell>
          <cell r="E251">
            <v>1</v>
          </cell>
          <cell r="F251">
            <v>1</v>
          </cell>
        </row>
        <row r="252">
          <cell r="D252" t="str">
            <v>1/2" Round BB RS-775 90</v>
          </cell>
          <cell r="E252">
            <v>1</v>
          </cell>
          <cell r="F252">
            <v>1</v>
          </cell>
        </row>
        <row r="253">
          <cell r="D253" t="str">
            <v>1/2" Round BB RS-775 100</v>
          </cell>
          <cell r="E253">
            <v>1</v>
          </cell>
          <cell r="F253">
            <v>1</v>
          </cell>
        </row>
        <row r="254">
          <cell r="D254" t="str">
            <v>1/2" Round BAG 9</v>
          </cell>
          <cell r="E254">
            <v>10</v>
          </cell>
          <cell r="F254">
            <v>9</v>
          </cell>
        </row>
        <row r="255">
          <cell r="D255" t="str">
            <v>1/2" Round BAG 12</v>
          </cell>
          <cell r="E255">
            <v>10</v>
          </cell>
          <cell r="F255">
            <v>5</v>
          </cell>
        </row>
        <row r="256">
          <cell r="D256" t="str">
            <v>1/2" Round BAG 15</v>
          </cell>
          <cell r="E256">
            <v>10</v>
          </cell>
          <cell r="F256">
            <v>5</v>
          </cell>
        </row>
        <row r="257">
          <cell r="D257" t="str">
            <v>1/2" Round BAG 16</v>
          </cell>
          <cell r="E257">
            <v>10</v>
          </cell>
          <cell r="F257">
            <v>5</v>
          </cell>
        </row>
        <row r="258">
          <cell r="D258" t="str">
            <v>1/2" Round BAG 20</v>
          </cell>
          <cell r="E258">
            <v>10</v>
          </cell>
          <cell r="F258">
            <v>4</v>
          </cell>
        </row>
        <row r="259">
          <cell r="D259" t="str">
            <v>1/2" Round BAG 21</v>
          </cell>
          <cell r="E259">
            <v>10</v>
          </cell>
          <cell r="F259">
            <v>3</v>
          </cell>
        </row>
        <row r="260">
          <cell r="D260" t="str">
            <v>1/2" Round BAG 25</v>
          </cell>
          <cell r="E260">
            <v>7</v>
          </cell>
          <cell r="F260">
            <v>3</v>
          </cell>
        </row>
        <row r="261">
          <cell r="D261" t="str">
            <v>1/2" Round BAG 27</v>
          </cell>
          <cell r="E261">
            <v>7</v>
          </cell>
          <cell r="F261">
            <v>3</v>
          </cell>
        </row>
        <row r="262">
          <cell r="D262" t="str">
            <v>1/2" Round BAG 28</v>
          </cell>
          <cell r="E262">
            <v>7</v>
          </cell>
          <cell r="F262">
            <v>1</v>
          </cell>
        </row>
        <row r="263">
          <cell r="D263" t="str">
            <v>1/2" Round BAG 30</v>
          </cell>
          <cell r="E263">
            <v>7</v>
          </cell>
          <cell r="F263">
            <v>1</v>
          </cell>
        </row>
        <row r="264">
          <cell r="D264" t="str">
            <v>1/2" Round BAG 35</v>
          </cell>
          <cell r="E264">
            <v>5</v>
          </cell>
          <cell r="F264">
            <v>1</v>
          </cell>
        </row>
        <row r="265">
          <cell r="D265" t="str">
            <v>1/2" Round BAG 36</v>
          </cell>
          <cell r="E265">
            <v>5</v>
          </cell>
          <cell r="F265">
            <v>1</v>
          </cell>
        </row>
        <row r="266">
          <cell r="D266" t="str">
            <v>1/2" Round BAG 40</v>
          </cell>
          <cell r="E266">
            <v>5</v>
          </cell>
          <cell r="F266">
            <v>1</v>
          </cell>
        </row>
        <row r="267">
          <cell r="D267" t="str">
            <v>1/2" Round BAG 45</v>
          </cell>
          <cell r="E267">
            <v>5</v>
          </cell>
          <cell r="F267">
            <v>1</v>
          </cell>
        </row>
        <row r="268">
          <cell r="D268" t="str">
            <v>1/2" Round BAG 49</v>
          </cell>
          <cell r="E268">
            <v>5</v>
          </cell>
          <cell r="F268">
            <v>1</v>
          </cell>
        </row>
        <row r="269">
          <cell r="D269" t="str">
            <v>1/2" Round BAG 50</v>
          </cell>
          <cell r="E269">
            <v>5</v>
          </cell>
          <cell r="F269">
            <v>1</v>
          </cell>
        </row>
        <row r="270">
          <cell r="D270" t="str">
            <v>1/2" Round BAG 63</v>
          </cell>
          <cell r="E270">
            <v>4</v>
          </cell>
          <cell r="F270">
            <v>1</v>
          </cell>
        </row>
        <row r="271">
          <cell r="D271" t="str">
            <v>1/2" Round BAG 70</v>
          </cell>
          <cell r="E271">
            <v>4</v>
          </cell>
          <cell r="F271">
            <v>1</v>
          </cell>
        </row>
        <row r="272">
          <cell r="D272" t="str">
            <v>1/2" Round BAG 81</v>
          </cell>
          <cell r="E272">
            <v>3</v>
          </cell>
          <cell r="F272">
            <v>1</v>
          </cell>
        </row>
        <row r="273">
          <cell r="D273" t="str">
            <v>1/2" Round BAG 90</v>
          </cell>
          <cell r="E273">
            <v>3</v>
          </cell>
          <cell r="F273">
            <v>0</v>
          </cell>
        </row>
        <row r="274">
          <cell r="D274" t="str">
            <v>1/2" Round BAG 100</v>
          </cell>
          <cell r="E274">
            <v>1</v>
          </cell>
          <cell r="F274">
            <v>0</v>
          </cell>
        </row>
        <row r="275">
          <cell r="D275" t="str">
            <v>1/2" Round Mini CIM 9</v>
          </cell>
          <cell r="E275">
            <v>7</v>
          </cell>
          <cell r="F275">
            <v>0</v>
          </cell>
        </row>
        <row r="276">
          <cell r="D276" t="str">
            <v>1/2" Round Mini CIM 12</v>
          </cell>
          <cell r="E276">
            <v>5</v>
          </cell>
          <cell r="F276">
            <v>0</v>
          </cell>
        </row>
        <row r="277">
          <cell r="D277" t="str">
            <v>1/2" Round Mini CIM 15</v>
          </cell>
          <cell r="E277">
            <v>5</v>
          </cell>
          <cell r="F277">
            <v>0</v>
          </cell>
        </row>
        <row r="278">
          <cell r="D278" t="str">
            <v>1/2" Round Mini CIM 16</v>
          </cell>
          <cell r="E278">
            <v>5</v>
          </cell>
          <cell r="F278">
            <v>0</v>
          </cell>
        </row>
        <row r="279">
          <cell r="D279" t="str">
            <v>1/2" Round Mini CIM 20</v>
          </cell>
          <cell r="E279">
            <v>4</v>
          </cell>
          <cell r="F279">
            <v>0</v>
          </cell>
        </row>
        <row r="280">
          <cell r="D280" t="str">
            <v>1/2" Round Mini CIM 21</v>
          </cell>
          <cell r="E280">
            <v>4</v>
          </cell>
          <cell r="F280">
            <v>0</v>
          </cell>
        </row>
        <row r="281">
          <cell r="D281" t="str">
            <v>1/2" Round Mini CIM 25</v>
          </cell>
          <cell r="E281">
            <v>3</v>
          </cell>
          <cell r="F281">
            <v>0</v>
          </cell>
        </row>
        <row r="282">
          <cell r="D282" t="str">
            <v>1/2" Round Mini CIM 27</v>
          </cell>
          <cell r="E282">
            <v>3</v>
          </cell>
          <cell r="F282">
            <v>0</v>
          </cell>
        </row>
        <row r="283">
          <cell r="D283" t="str">
            <v>1/2" Round Mini CIM 28</v>
          </cell>
          <cell r="E283">
            <v>3</v>
          </cell>
          <cell r="F283">
            <v>0</v>
          </cell>
        </row>
        <row r="284">
          <cell r="D284" t="str">
            <v>1/2" Round Mini CIM 30</v>
          </cell>
          <cell r="E284">
            <v>3</v>
          </cell>
          <cell r="F284">
            <v>0</v>
          </cell>
        </row>
        <row r="285">
          <cell r="D285" t="str">
            <v>1/2" Round Mini CIM 35</v>
          </cell>
          <cell r="E285">
            <v>1</v>
          </cell>
          <cell r="F285">
            <v>0</v>
          </cell>
        </row>
        <row r="286">
          <cell r="D286" t="str">
            <v>1/2" Round Mini CIM 36</v>
          </cell>
          <cell r="E286">
            <v>1</v>
          </cell>
          <cell r="F286">
            <v>0</v>
          </cell>
        </row>
        <row r="287">
          <cell r="D287" t="str">
            <v>1/2" Round Mini CIM 40</v>
          </cell>
          <cell r="E287">
            <v>1</v>
          </cell>
          <cell r="F287">
            <v>0</v>
          </cell>
        </row>
        <row r="288">
          <cell r="D288" t="str">
            <v>1/2" Round Mini CIM 45</v>
          </cell>
          <cell r="E288">
            <v>1</v>
          </cell>
          <cell r="F288">
            <v>0</v>
          </cell>
        </row>
        <row r="289">
          <cell r="D289" t="str">
            <v>1/2" Round Mini CIM 49</v>
          </cell>
          <cell r="E289">
            <v>1</v>
          </cell>
          <cell r="F289">
            <v>0</v>
          </cell>
        </row>
        <row r="290">
          <cell r="D290" t="str">
            <v>1/2" Round Mini CIM 50</v>
          </cell>
          <cell r="E290">
            <v>1</v>
          </cell>
          <cell r="F290">
            <v>0</v>
          </cell>
        </row>
        <row r="291">
          <cell r="D291" t="str">
            <v>1/2" Round Mini CIM 63</v>
          </cell>
          <cell r="E291">
            <v>1</v>
          </cell>
          <cell r="F291">
            <v>0</v>
          </cell>
        </row>
        <row r="292">
          <cell r="D292" t="str">
            <v>1/2" Round Mini CIM 70</v>
          </cell>
          <cell r="E292">
            <v>0</v>
          </cell>
          <cell r="F292">
            <v>0</v>
          </cell>
        </row>
        <row r="293">
          <cell r="D293" t="str">
            <v>1/2" Round Mini CIM 81</v>
          </cell>
          <cell r="E293">
            <v>0</v>
          </cell>
          <cell r="F293">
            <v>0</v>
          </cell>
        </row>
        <row r="294">
          <cell r="D294" t="str">
            <v>1/2" Round Mini CIM 90</v>
          </cell>
          <cell r="E294">
            <v>0</v>
          </cell>
          <cell r="F294">
            <v>0</v>
          </cell>
        </row>
        <row r="295">
          <cell r="D295" t="str">
            <v>1/2" Round Mini CIM 100</v>
          </cell>
          <cell r="E295">
            <v>0</v>
          </cell>
          <cell r="F295">
            <v>0</v>
          </cell>
        </row>
        <row r="296">
          <cell r="D296" t="str">
            <v>1/2" Round CIM 9</v>
          </cell>
          <cell r="E296">
            <v>5</v>
          </cell>
          <cell r="F296">
            <v>0</v>
          </cell>
        </row>
        <row r="297">
          <cell r="D297" t="str">
            <v>1/2" Round CIM 12</v>
          </cell>
          <cell r="E297">
            <v>4</v>
          </cell>
          <cell r="F297">
            <v>0</v>
          </cell>
        </row>
        <row r="298">
          <cell r="D298" t="str">
            <v>1/2" Round CIM 15</v>
          </cell>
          <cell r="E298">
            <v>3</v>
          </cell>
          <cell r="F298">
            <v>0</v>
          </cell>
        </row>
        <row r="299">
          <cell r="D299" t="str">
            <v>1/2" Round CIM 16</v>
          </cell>
          <cell r="E299">
            <v>3</v>
          </cell>
          <cell r="F299">
            <v>0</v>
          </cell>
        </row>
        <row r="300">
          <cell r="D300" t="str">
            <v>1/2" Round CIM 20</v>
          </cell>
          <cell r="E300">
            <v>1</v>
          </cell>
          <cell r="F300">
            <v>0</v>
          </cell>
        </row>
        <row r="301">
          <cell r="D301" t="str">
            <v>1/2" Round CIM 21</v>
          </cell>
          <cell r="E301">
            <v>1</v>
          </cell>
          <cell r="F301">
            <v>0</v>
          </cell>
        </row>
        <row r="302">
          <cell r="D302" t="str">
            <v>1/2" Round CIM 25</v>
          </cell>
          <cell r="E302">
            <v>1</v>
          </cell>
          <cell r="F302">
            <v>0</v>
          </cell>
        </row>
        <row r="303">
          <cell r="D303" t="str">
            <v>1/2" Round CIM 27</v>
          </cell>
          <cell r="E303">
            <v>1</v>
          </cell>
          <cell r="F303">
            <v>0</v>
          </cell>
        </row>
        <row r="304">
          <cell r="D304" t="str">
            <v>1/2" Round CIM 28</v>
          </cell>
          <cell r="E304">
            <v>1</v>
          </cell>
          <cell r="F304">
            <v>0</v>
          </cell>
        </row>
        <row r="305">
          <cell r="D305" t="str">
            <v>1/2" Round CIM 30</v>
          </cell>
          <cell r="E305">
            <v>1</v>
          </cell>
          <cell r="F305">
            <v>0</v>
          </cell>
        </row>
        <row r="306">
          <cell r="D306" t="str">
            <v>1/2" Round CIM 35</v>
          </cell>
          <cell r="E306">
            <v>1</v>
          </cell>
          <cell r="F306">
            <v>0</v>
          </cell>
        </row>
        <row r="307">
          <cell r="D307" t="str">
            <v>1/2" Round CIM 36</v>
          </cell>
          <cell r="E307">
            <v>1</v>
          </cell>
          <cell r="F307">
            <v>0</v>
          </cell>
        </row>
        <row r="308">
          <cell r="D308" t="str">
            <v>1/2" Round CIM 40</v>
          </cell>
          <cell r="E308">
            <v>1</v>
          </cell>
          <cell r="F308">
            <v>0</v>
          </cell>
        </row>
        <row r="309">
          <cell r="D309" t="str">
            <v>1/2" Round CIM 45</v>
          </cell>
          <cell r="E309">
            <v>1</v>
          </cell>
          <cell r="F309">
            <v>0</v>
          </cell>
        </row>
        <row r="310">
          <cell r="D310" t="str">
            <v>1/2" Round CIM 49</v>
          </cell>
          <cell r="E310">
            <v>0</v>
          </cell>
          <cell r="F310">
            <v>0</v>
          </cell>
        </row>
        <row r="311">
          <cell r="D311" t="str">
            <v>1/2" Round CIM 50</v>
          </cell>
          <cell r="E311">
            <v>1</v>
          </cell>
          <cell r="F311">
            <v>0</v>
          </cell>
        </row>
        <row r="312">
          <cell r="D312" t="str">
            <v>1/2" Round CIM 63</v>
          </cell>
          <cell r="E312">
            <v>0</v>
          </cell>
          <cell r="F312">
            <v>0</v>
          </cell>
        </row>
        <row r="313">
          <cell r="D313" t="str">
            <v>1/2" Round CIM 70</v>
          </cell>
          <cell r="E313">
            <v>0</v>
          </cell>
          <cell r="F313">
            <v>0</v>
          </cell>
        </row>
        <row r="314">
          <cell r="D314" t="str">
            <v>1/2" Round CIM 81</v>
          </cell>
          <cell r="E314">
            <v>0</v>
          </cell>
          <cell r="F314">
            <v>0</v>
          </cell>
        </row>
        <row r="315">
          <cell r="D315" t="str">
            <v>1/2" Round CIM 90</v>
          </cell>
          <cell r="E315">
            <v>0</v>
          </cell>
          <cell r="F315">
            <v>0</v>
          </cell>
        </row>
        <row r="316">
          <cell r="D316" t="str">
            <v>1/2" Round CIM 100</v>
          </cell>
          <cell r="E316">
            <v>0</v>
          </cell>
          <cell r="F316">
            <v>0</v>
          </cell>
        </row>
        <row r="317">
          <cell r="D317" t="str">
            <v>1/2" Round 775pro 9</v>
          </cell>
          <cell r="E317">
            <v>10</v>
          </cell>
          <cell r="F317">
            <v>5</v>
          </cell>
        </row>
        <row r="318">
          <cell r="D318" t="str">
            <v>1/2" Round 775pro 12</v>
          </cell>
          <cell r="E318">
            <v>10</v>
          </cell>
          <cell r="F318">
            <v>4</v>
          </cell>
        </row>
        <row r="319">
          <cell r="D319" t="str">
            <v>1/2" Round 775pro 15</v>
          </cell>
          <cell r="E319">
            <v>10</v>
          </cell>
          <cell r="F319">
            <v>3</v>
          </cell>
        </row>
        <row r="320">
          <cell r="D320" t="str">
            <v>1/2" Round 775pro 16</v>
          </cell>
          <cell r="E320">
            <v>10</v>
          </cell>
          <cell r="F320">
            <v>3</v>
          </cell>
        </row>
        <row r="321">
          <cell r="D321" t="str">
            <v>1/2" Round 775pro 20</v>
          </cell>
          <cell r="E321">
            <v>9</v>
          </cell>
          <cell r="F321">
            <v>1</v>
          </cell>
        </row>
        <row r="322">
          <cell r="D322" t="str">
            <v>1/2" Round 775pro 21</v>
          </cell>
          <cell r="E322">
            <v>7</v>
          </cell>
          <cell r="F322">
            <v>1</v>
          </cell>
        </row>
        <row r="323">
          <cell r="D323" t="str">
            <v>1/2" Round 775pro 25</v>
          </cell>
          <cell r="E323">
            <v>7</v>
          </cell>
          <cell r="F323">
            <v>1</v>
          </cell>
        </row>
        <row r="324">
          <cell r="D324" t="str">
            <v>1/2" Round 775pro 27</v>
          </cell>
          <cell r="E324">
            <v>5</v>
          </cell>
          <cell r="F324">
            <v>1</v>
          </cell>
        </row>
        <row r="325">
          <cell r="D325" t="str">
            <v>1/2" Round 775pro 28</v>
          </cell>
          <cell r="E325">
            <v>5</v>
          </cell>
          <cell r="F325">
            <v>1</v>
          </cell>
        </row>
        <row r="326">
          <cell r="D326" t="str">
            <v>1/2" Round 775pro 30</v>
          </cell>
          <cell r="E326">
            <v>5</v>
          </cell>
          <cell r="F326">
            <v>1</v>
          </cell>
        </row>
        <row r="327">
          <cell r="D327" t="str">
            <v>1/2" Round 775pro 35</v>
          </cell>
          <cell r="E327">
            <v>5</v>
          </cell>
          <cell r="F327">
            <v>1</v>
          </cell>
        </row>
        <row r="328">
          <cell r="D328" t="str">
            <v>1/2" Round 775pro 36</v>
          </cell>
          <cell r="E328">
            <v>5</v>
          </cell>
          <cell r="F328">
            <v>1</v>
          </cell>
        </row>
        <row r="329">
          <cell r="D329" t="str">
            <v>1/2" Round 775pro 40</v>
          </cell>
          <cell r="E329">
            <v>4</v>
          </cell>
          <cell r="F329">
            <v>1</v>
          </cell>
        </row>
        <row r="330">
          <cell r="D330" t="str">
            <v>1/2" Round 775pro 45</v>
          </cell>
          <cell r="E330">
            <v>4</v>
          </cell>
          <cell r="F330">
            <v>1</v>
          </cell>
        </row>
        <row r="331">
          <cell r="D331" t="str">
            <v>1/2" Round 775pro 49</v>
          </cell>
          <cell r="E331">
            <v>3</v>
          </cell>
          <cell r="F331">
            <v>1</v>
          </cell>
        </row>
        <row r="332">
          <cell r="D332" t="str">
            <v>1/2" Round 775pro 50</v>
          </cell>
          <cell r="E332">
            <v>3</v>
          </cell>
          <cell r="F332">
            <v>0</v>
          </cell>
        </row>
        <row r="333">
          <cell r="D333" t="str">
            <v>1/2" Round 775pro 63</v>
          </cell>
          <cell r="E333">
            <v>1</v>
          </cell>
          <cell r="F333">
            <v>0</v>
          </cell>
        </row>
        <row r="334">
          <cell r="D334" t="str">
            <v>1/2" Round 775pro 70</v>
          </cell>
          <cell r="E334">
            <v>1</v>
          </cell>
          <cell r="F334">
            <v>0</v>
          </cell>
        </row>
        <row r="335">
          <cell r="D335" t="str">
            <v>1/2" Round 775pro 81</v>
          </cell>
          <cell r="E335">
            <v>1</v>
          </cell>
          <cell r="F335">
            <v>0</v>
          </cell>
        </row>
        <row r="336">
          <cell r="D336" t="str">
            <v>1/2" Round 775pro 90</v>
          </cell>
          <cell r="E336">
            <v>1</v>
          </cell>
          <cell r="F336">
            <v>0</v>
          </cell>
        </row>
        <row r="337">
          <cell r="D337" t="str">
            <v>1/2" Round 775pro 100</v>
          </cell>
          <cell r="E337">
            <v>1</v>
          </cell>
          <cell r="F337">
            <v>0</v>
          </cell>
        </row>
        <row r="338">
          <cell r="D338" t="str">
            <v>3/8" Hex AM 9015 9</v>
          </cell>
          <cell r="E338">
            <v>10</v>
          </cell>
          <cell r="F338">
            <v>10</v>
          </cell>
        </row>
        <row r="339">
          <cell r="D339" t="str">
            <v>3/8" Hex AM 9015 12</v>
          </cell>
          <cell r="E339">
            <v>10</v>
          </cell>
          <cell r="F339">
            <v>7</v>
          </cell>
        </row>
        <row r="340">
          <cell r="D340" t="str">
            <v>3/8" Hex AM 9015 15</v>
          </cell>
          <cell r="E340">
            <v>7</v>
          </cell>
          <cell r="F340">
            <v>5</v>
          </cell>
        </row>
        <row r="341">
          <cell r="D341" t="str">
            <v>3/8" Hex AM 9015 16</v>
          </cell>
          <cell r="E341">
            <v>7</v>
          </cell>
          <cell r="F341">
            <v>5</v>
          </cell>
        </row>
        <row r="342">
          <cell r="D342" t="str">
            <v>3/8" Hex AM 9015 20</v>
          </cell>
          <cell r="E342">
            <v>5</v>
          </cell>
          <cell r="F342">
            <v>4</v>
          </cell>
        </row>
        <row r="343">
          <cell r="D343" t="str">
            <v>3/8" Hex AM 9015 21</v>
          </cell>
          <cell r="E343">
            <v>5</v>
          </cell>
          <cell r="F343">
            <v>4</v>
          </cell>
        </row>
        <row r="344">
          <cell r="D344" t="str">
            <v>3/8" Hex AM 9015 25</v>
          </cell>
          <cell r="E344">
            <v>5</v>
          </cell>
          <cell r="F344">
            <v>3</v>
          </cell>
        </row>
        <row r="345">
          <cell r="D345" t="str">
            <v>3/8" Hex AM 9015 27</v>
          </cell>
          <cell r="E345">
            <v>4</v>
          </cell>
          <cell r="F345">
            <v>3</v>
          </cell>
        </row>
        <row r="346">
          <cell r="D346" t="str">
            <v>3/8" Hex AM 9015 28</v>
          </cell>
          <cell r="E346">
            <v>4</v>
          </cell>
          <cell r="F346">
            <v>3</v>
          </cell>
        </row>
        <row r="347">
          <cell r="D347" t="str">
            <v>3/8" Hex AM 9015 30</v>
          </cell>
          <cell r="E347">
            <v>4</v>
          </cell>
          <cell r="F347">
            <v>3</v>
          </cell>
        </row>
        <row r="348">
          <cell r="D348" t="str">
            <v>3/8" Hex AM 9015 35</v>
          </cell>
          <cell r="E348">
            <v>3</v>
          </cell>
          <cell r="F348">
            <v>1</v>
          </cell>
        </row>
        <row r="349">
          <cell r="D349" t="str">
            <v>3/8" Hex AM 9015 36</v>
          </cell>
          <cell r="E349">
            <v>3</v>
          </cell>
          <cell r="F349">
            <v>1</v>
          </cell>
        </row>
        <row r="350">
          <cell r="D350" t="str">
            <v>3/8" Hex AM 9015 40</v>
          </cell>
          <cell r="E350">
            <v>3</v>
          </cell>
          <cell r="F350">
            <v>1</v>
          </cell>
        </row>
        <row r="351">
          <cell r="D351" t="str">
            <v>3/8" Hex AM 9015 45</v>
          </cell>
          <cell r="E351">
            <v>1</v>
          </cell>
          <cell r="F351">
            <v>1</v>
          </cell>
        </row>
        <row r="352">
          <cell r="D352" t="str">
            <v>3/8" Hex AM 9015 49</v>
          </cell>
          <cell r="E352">
            <v>1</v>
          </cell>
          <cell r="F352">
            <v>1</v>
          </cell>
        </row>
        <row r="353">
          <cell r="D353" t="str">
            <v>3/8" Hex AM 9015 50</v>
          </cell>
          <cell r="E353">
            <v>1</v>
          </cell>
          <cell r="F353">
            <v>1</v>
          </cell>
        </row>
        <row r="354">
          <cell r="D354" t="str">
            <v>3/8" Hex AM 9015 63</v>
          </cell>
          <cell r="E354">
            <v>1</v>
          </cell>
          <cell r="F354">
            <v>1</v>
          </cell>
        </row>
        <row r="355">
          <cell r="D355" t="str">
            <v>3/8" Hex AM 9015 70</v>
          </cell>
          <cell r="E355">
            <v>1</v>
          </cell>
          <cell r="F355">
            <v>1</v>
          </cell>
        </row>
        <row r="356">
          <cell r="D356" t="str">
            <v>3/8" Hex AM 9015 81</v>
          </cell>
          <cell r="E356">
            <v>1</v>
          </cell>
          <cell r="F356">
            <v>1</v>
          </cell>
        </row>
        <row r="357">
          <cell r="D357" t="str">
            <v>3/8" Hex AM 9015 90</v>
          </cell>
          <cell r="E357">
            <v>1</v>
          </cell>
          <cell r="F357">
            <v>1</v>
          </cell>
        </row>
        <row r="358">
          <cell r="D358" t="str">
            <v>3/8" Hex AM 9015 100</v>
          </cell>
          <cell r="E358">
            <v>1</v>
          </cell>
          <cell r="F358">
            <v>0</v>
          </cell>
        </row>
        <row r="359">
          <cell r="D359" t="str">
            <v>3/8" Hex NeveRest 9</v>
          </cell>
          <cell r="E359">
            <v>10</v>
          </cell>
          <cell r="F359">
            <v>10</v>
          </cell>
        </row>
        <row r="360">
          <cell r="D360" t="str">
            <v>3/8" Hex NeveRest 12</v>
          </cell>
          <cell r="E360">
            <v>10</v>
          </cell>
          <cell r="F360">
            <v>10</v>
          </cell>
        </row>
        <row r="361">
          <cell r="D361" t="str">
            <v>3/8" Hex NeveRest 15</v>
          </cell>
          <cell r="E361">
            <v>7</v>
          </cell>
          <cell r="F361">
            <v>10</v>
          </cell>
        </row>
        <row r="362">
          <cell r="D362" t="str">
            <v>3/8" Hex NeveRest 16</v>
          </cell>
          <cell r="E362">
            <v>7</v>
          </cell>
          <cell r="F362">
            <v>10</v>
          </cell>
        </row>
        <row r="363">
          <cell r="D363" t="str">
            <v>3/8" Hex NeveRest 20</v>
          </cell>
          <cell r="E363">
            <v>5</v>
          </cell>
          <cell r="F363">
            <v>10</v>
          </cell>
        </row>
        <row r="364">
          <cell r="D364" t="str">
            <v>3/8" Hex NeveRest 21</v>
          </cell>
          <cell r="E364">
            <v>5</v>
          </cell>
          <cell r="F364">
            <v>9</v>
          </cell>
        </row>
        <row r="365">
          <cell r="D365" t="str">
            <v>3/8" Hex NeveRest 25</v>
          </cell>
          <cell r="E365">
            <v>5</v>
          </cell>
          <cell r="F365">
            <v>7</v>
          </cell>
        </row>
        <row r="366">
          <cell r="D366" t="str">
            <v>3/8" Hex NeveRest 27</v>
          </cell>
          <cell r="E366">
            <v>4</v>
          </cell>
          <cell r="F366">
            <v>7</v>
          </cell>
        </row>
        <row r="367">
          <cell r="D367" t="str">
            <v>3/8" Hex NeveRest 28</v>
          </cell>
          <cell r="E367">
            <v>4</v>
          </cell>
          <cell r="F367">
            <v>7</v>
          </cell>
        </row>
        <row r="368">
          <cell r="D368" t="str">
            <v>3/8" Hex NeveRest 30</v>
          </cell>
          <cell r="E368">
            <v>4</v>
          </cell>
          <cell r="F368">
            <v>5</v>
          </cell>
        </row>
        <row r="369">
          <cell r="D369" t="str">
            <v>3/8" Hex NeveRest 35</v>
          </cell>
          <cell r="E369">
            <v>3</v>
          </cell>
          <cell r="F369">
            <v>5</v>
          </cell>
        </row>
        <row r="370">
          <cell r="D370" t="str">
            <v>3/8" Hex NeveRest 36</v>
          </cell>
          <cell r="E370">
            <v>3</v>
          </cell>
          <cell r="F370">
            <v>5</v>
          </cell>
        </row>
        <row r="371">
          <cell r="D371" t="str">
            <v>3/8" Hex NeveRest 40</v>
          </cell>
          <cell r="E371">
            <v>3</v>
          </cell>
          <cell r="F371">
            <v>5</v>
          </cell>
        </row>
        <row r="372">
          <cell r="D372" t="str">
            <v>3/8" Hex NeveRest 45</v>
          </cell>
          <cell r="E372">
            <v>1</v>
          </cell>
          <cell r="F372">
            <v>4</v>
          </cell>
        </row>
        <row r="373">
          <cell r="D373" t="str">
            <v>3/8" Hex NeveRest 49</v>
          </cell>
          <cell r="E373">
            <v>1</v>
          </cell>
          <cell r="F373">
            <v>4</v>
          </cell>
        </row>
        <row r="374">
          <cell r="D374" t="str">
            <v>3/8" Hex NeveRest 50</v>
          </cell>
          <cell r="E374">
            <v>1</v>
          </cell>
          <cell r="F374">
            <v>4</v>
          </cell>
        </row>
        <row r="375">
          <cell r="D375" t="str">
            <v>3/8" Hex NeveRest 63</v>
          </cell>
          <cell r="E375">
            <v>1</v>
          </cell>
          <cell r="F375">
            <v>3</v>
          </cell>
        </row>
        <row r="376">
          <cell r="D376" t="str">
            <v>3/8" Hex NeveRest 70</v>
          </cell>
          <cell r="E376">
            <v>1</v>
          </cell>
          <cell r="F376">
            <v>1</v>
          </cell>
        </row>
        <row r="377">
          <cell r="D377" t="str">
            <v>3/8" Hex NeveRest 81</v>
          </cell>
          <cell r="E377">
            <v>1</v>
          </cell>
          <cell r="F377">
            <v>1</v>
          </cell>
        </row>
        <row r="378">
          <cell r="D378" t="str">
            <v>3/8" Hex NeveRest 90</v>
          </cell>
          <cell r="E378">
            <v>1</v>
          </cell>
          <cell r="F378">
            <v>1</v>
          </cell>
        </row>
        <row r="379">
          <cell r="D379" t="str">
            <v>3/8" Hex NeveRest 100</v>
          </cell>
          <cell r="E379">
            <v>1</v>
          </cell>
          <cell r="F379">
            <v>1</v>
          </cell>
        </row>
        <row r="380">
          <cell r="D380" t="str">
            <v>3/8" Hex BB RS-550 9</v>
          </cell>
          <cell r="E380">
            <v>10</v>
          </cell>
          <cell r="F380">
            <v>10</v>
          </cell>
        </row>
        <row r="381">
          <cell r="D381" t="str">
            <v>3/8" Hex BB RS-550 12</v>
          </cell>
          <cell r="E381">
            <v>10</v>
          </cell>
          <cell r="F381">
            <v>7</v>
          </cell>
        </row>
        <row r="382">
          <cell r="D382" t="str">
            <v>3/8" Hex BB RS-550 15</v>
          </cell>
          <cell r="E382">
            <v>7</v>
          </cell>
          <cell r="F382">
            <v>5</v>
          </cell>
        </row>
        <row r="383">
          <cell r="D383" t="str">
            <v>3/8" Hex BB RS-550 16</v>
          </cell>
          <cell r="E383">
            <v>7</v>
          </cell>
          <cell r="F383">
            <v>5</v>
          </cell>
        </row>
        <row r="384">
          <cell r="D384" t="str">
            <v>3/8" Hex BB RS-550 20</v>
          </cell>
          <cell r="E384">
            <v>5</v>
          </cell>
          <cell r="F384">
            <v>4</v>
          </cell>
        </row>
        <row r="385">
          <cell r="D385" t="str">
            <v>3/8" Hex BB RS-550 21</v>
          </cell>
          <cell r="E385">
            <v>5</v>
          </cell>
          <cell r="F385">
            <v>4</v>
          </cell>
        </row>
        <row r="386">
          <cell r="D386" t="str">
            <v>3/8" Hex BB RS-550 25</v>
          </cell>
          <cell r="E386">
            <v>5</v>
          </cell>
          <cell r="F386">
            <v>3</v>
          </cell>
        </row>
        <row r="387">
          <cell r="D387" t="str">
            <v>3/8" Hex BB RS-550 27</v>
          </cell>
          <cell r="E387">
            <v>4</v>
          </cell>
          <cell r="F387">
            <v>3</v>
          </cell>
        </row>
        <row r="388">
          <cell r="D388" t="str">
            <v>3/8" Hex BB RS-550 28</v>
          </cell>
          <cell r="E388">
            <v>4</v>
          </cell>
          <cell r="F388">
            <v>3</v>
          </cell>
        </row>
        <row r="389">
          <cell r="D389" t="str">
            <v>3/8" Hex BB RS-550 30</v>
          </cell>
          <cell r="E389">
            <v>4</v>
          </cell>
          <cell r="F389">
            <v>3</v>
          </cell>
        </row>
        <row r="390">
          <cell r="D390" t="str">
            <v>3/8" Hex BB RS-550 35</v>
          </cell>
          <cell r="E390">
            <v>3</v>
          </cell>
          <cell r="F390">
            <v>1</v>
          </cell>
        </row>
        <row r="391">
          <cell r="D391" t="str">
            <v>3/8" Hex BB RS-550 36</v>
          </cell>
          <cell r="E391">
            <v>3</v>
          </cell>
          <cell r="F391">
            <v>1</v>
          </cell>
        </row>
        <row r="392">
          <cell r="D392" t="str">
            <v>3/8" Hex BB RS-550 40</v>
          </cell>
          <cell r="E392">
            <v>3</v>
          </cell>
          <cell r="F392">
            <v>5</v>
          </cell>
        </row>
        <row r="393">
          <cell r="D393" t="str">
            <v>3/8" Hex BB RS-550 45</v>
          </cell>
          <cell r="E393">
            <v>1</v>
          </cell>
          <cell r="F393">
            <v>4</v>
          </cell>
        </row>
        <row r="394">
          <cell r="D394" t="str">
            <v>3/8" Hex BB RS-550 49</v>
          </cell>
          <cell r="E394">
            <v>1</v>
          </cell>
          <cell r="F394">
            <v>4</v>
          </cell>
        </row>
        <row r="395">
          <cell r="D395" t="str">
            <v>3/8" Hex BB RS-550 50</v>
          </cell>
          <cell r="E395">
            <v>1</v>
          </cell>
          <cell r="F395">
            <v>1</v>
          </cell>
        </row>
        <row r="396">
          <cell r="D396" t="str">
            <v>3/8" Hex BB RS-550 63</v>
          </cell>
          <cell r="E396">
            <v>1</v>
          </cell>
          <cell r="F396">
            <v>1</v>
          </cell>
        </row>
        <row r="397">
          <cell r="D397" t="str">
            <v>3/8" Hex BB RS-550 70</v>
          </cell>
          <cell r="E397">
            <v>1</v>
          </cell>
          <cell r="F397">
            <v>1</v>
          </cell>
        </row>
        <row r="398">
          <cell r="D398" t="str">
            <v>3/8" Hex BB RS-550 81</v>
          </cell>
          <cell r="E398">
            <v>1</v>
          </cell>
          <cell r="F398">
            <v>1</v>
          </cell>
        </row>
        <row r="399">
          <cell r="D399" t="str">
            <v>3/8" Hex BB RS-550 90</v>
          </cell>
          <cell r="E399">
            <v>1</v>
          </cell>
          <cell r="F399">
            <v>1</v>
          </cell>
        </row>
        <row r="400">
          <cell r="D400" t="str">
            <v>3/8" Hex BB RS-550 100</v>
          </cell>
          <cell r="E400">
            <v>1</v>
          </cell>
          <cell r="F400">
            <v>0</v>
          </cell>
        </row>
        <row r="401">
          <cell r="D401" t="str">
            <v>3/8" Hex BB RS-775 9</v>
          </cell>
          <cell r="E401">
            <v>7</v>
          </cell>
          <cell r="F401">
            <v>10</v>
          </cell>
        </row>
        <row r="402">
          <cell r="D402" t="str">
            <v>3/8" Hex BB RS-775 12</v>
          </cell>
          <cell r="E402">
            <v>5</v>
          </cell>
          <cell r="F402">
            <v>10</v>
          </cell>
        </row>
        <row r="403">
          <cell r="D403" t="str">
            <v>3/8" Hex BB RS-775 15</v>
          </cell>
          <cell r="E403">
            <v>4</v>
          </cell>
          <cell r="F403">
            <v>7</v>
          </cell>
        </row>
        <row r="404">
          <cell r="D404" t="str">
            <v>3/8" Hex BB RS-775 16</v>
          </cell>
          <cell r="E404">
            <v>4</v>
          </cell>
          <cell r="F404">
            <v>7</v>
          </cell>
        </row>
        <row r="405">
          <cell r="D405" t="str">
            <v>3/8" Hex BB RS-775 20</v>
          </cell>
          <cell r="E405">
            <v>3</v>
          </cell>
          <cell r="F405">
            <v>5</v>
          </cell>
        </row>
        <row r="406">
          <cell r="D406" t="str">
            <v>3/8" Hex BB RS-775 21</v>
          </cell>
          <cell r="E406">
            <v>3</v>
          </cell>
          <cell r="F406">
            <v>5</v>
          </cell>
        </row>
        <row r="407">
          <cell r="D407" t="str">
            <v>3/8" Hex BB RS-775 25</v>
          </cell>
          <cell r="E407">
            <v>1</v>
          </cell>
          <cell r="F407">
            <v>5</v>
          </cell>
        </row>
        <row r="408">
          <cell r="D408" t="str">
            <v>3/8" Hex BB RS-775 27</v>
          </cell>
          <cell r="E408">
            <v>1</v>
          </cell>
          <cell r="F408">
            <v>4</v>
          </cell>
        </row>
        <row r="409">
          <cell r="D409" t="str">
            <v>3/8" Hex BB RS-775 28</v>
          </cell>
          <cell r="E409">
            <v>1</v>
          </cell>
          <cell r="F409">
            <v>4</v>
          </cell>
        </row>
        <row r="410">
          <cell r="D410" t="str">
            <v>3/8" Hex BB RS-775 30</v>
          </cell>
          <cell r="E410">
            <v>1</v>
          </cell>
          <cell r="F410">
            <v>4</v>
          </cell>
        </row>
        <row r="411">
          <cell r="D411" t="str">
            <v>3/8" Hex BB RS-775 35</v>
          </cell>
          <cell r="E411">
            <v>1</v>
          </cell>
          <cell r="F411">
            <v>3</v>
          </cell>
        </row>
        <row r="412">
          <cell r="D412" t="str">
            <v>3/8" Hex BB RS-775 36</v>
          </cell>
          <cell r="E412">
            <v>1</v>
          </cell>
          <cell r="F412">
            <v>3</v>
          </cell>
        </row>
        <row r="413">
          <cell r="D413" t="str">
            <v>3/8" Hex BB RS-775 40</v>
          </cell>
          <cell r="E413">
            <v>1</v>
          </cell>
          <cell r="F413">
            <v>3</v>
          </cell>
        </row>
        <row r="414">
          <cell r="D414" t="str">
            <v>3/8" Hex BB RS-775 45</v>
          </cell>
          <cell r="E414">
            <v>1</v>
          </cell>
          <cell r="F414">
            <v>1</v>
          </cell>
        </row>
        <row r="415">
          <cell r="D415" t="str">
            <v>3/8" Hex BB RS-775 49</v>
          </cell>
          <cell r="E415">
            <v>1</v>
          </cell>
          <cell r="F415">
            <v>1</v>
          </cell>
        </row>
        <row r="416">
          <cell r="D416" t="str">
            <v>3/8" Hex BB RS-775 50</v>
          </cell>
          <cell r="E416">
            <v>1</v>
          </cell>
          <cell r="F416">
            <v>1</v>
          </cell>
        </row>
        <row r="417">
          <cell r="D417" t="str">
            <v>3/8" Hex BB RS-775 63</v>
          </cell>
          <cell r="E417">
            <v>1</v>
          </cell>
          <cell r="F417">
            <v>1</v>
          </cell>
        </row>
        <row r="418">
          <cell r="D418" t="str">
            <v>3/8" Hex BB RS-775 70</v>
          </cell>
          <cell r="E418">
            <v>1</v>
          </cell>
          <cell r="F418">
            <v>1</v>
          </cell>
        </row>
        <row r="419">
          <cell r="D419" t="str">
            <v>3/8" Hex BB RS-775 81</v>
          </cell>
          <cell r="E419">
            <v>0</v>
          </cell>
          <cell r="F419">
            <v>1</v>
          </cell>
        </row>
        <row r="420">
          <cell r="D420" t="str">
            <v>3/8" Hex BB RS-775 90</v>
          </cell>
          <cell r="E420">
            <v>0</v>
          </cell>
          <cell r="F420">
            <v>1</v>
          </cell>
        </row>
        <row r="421">
          <cell r="D421" t="str">
            <v>3/8" Hex BB RS-775 100</v>
          </cell>
          <cell r="E421">
            <v>0</v>
          </cell>
          <cell r="F421">
            <v>1</v>
          </cell>
        </row>
        <row r="422">
          <cell r="D422" t="str">
            <v>3/8" Hex BAG 9</v>
          </cell>
          <cell r="E422">
            <v>10</v>
          </cell>
          <cell r="F422">
            <v>9</v>
          </cell>
        </row>
        <row r="423">
          <cell r="D423" t="str">
            <v>3/8" Hex BAG 12</v>
          </cell>
          <cell r="E423">
            <v>10</v>
          </cell>
          <cell r="F423">
            <v>5</v>
          </cell>
        </row>
        <row r="424">
          <cell r="D424" t="str">
            <v>3/8" Hex BAG 15</v>
          </cell>
          <cell r="E424">
            <v>7</v>
          </cell>
          <cell r="F424">
            <v>5</v>
          </cell>
        </row>
        <row r="425">
          <cell r="D425" t="str">
            <v>3/8" Hex BAG 16</v>
          </cell>
          <cell r="E425">
            <v>7</v>
          </cell>
          <cell r="F425">
            <v>5</v>
          </cell>
        </row>
        <row r="426">
          <cell r="D426" t="str">
            <v>3/8" Hex BAG 20</v>
          </cell>
          <cell r="E426">
            <v>5</v>
          </cell>
          <cell r="F426">
            <v>4</v>
          </cell>
        </row>
        <row r="427">
          <cell r="D427" t="str">
            <v>3/8" Hex BAG 21</v>
          </cell>
          <cell r="E427">
            <v>5</v>
          </cell>
          <cell r="F427">
            <v>3</v>
          </cell>
        </row>
        <row r="428">
          <cell r="D428" t="str">
            <v>3/8" Hex BAG 25</v>
          </cell>
          <cell r="E428">
            <v>5</v>
          </cell>
          <cell r="F428">
            <v>3</v>
          </cell>
        </row>
        <row r="429">
          <cell r="D429" t="str">
            <v>3/8" Hex BAG 27</v>
          </cell>
          <cell r="E429">
            <v>4</v>
          </cell>
          <cell r="F429">
            <v>3</v>
          </cell>
        </row>
        <row r="430">
          <cell r="D430" t="str">
            <v>3/8" Hex BAG 28</v>
          </cell>
          <cell r="E430">
            <v>4</v>
          </cell>
          <cell r="F430">
            <v>1</v>
          </cell>
        </row>
        <row r="431">
          <cell r="D431" t="str">
            <v>3/8" Hex BAG 30</v>
          </cell>
          <cell r="E431">
            <v>4</v>
          </cell>
          <cell r="F431">
            <v>1</v>
          </cell>
        </row>
        <row r="432">
          <cell r="D432" t="str">
            <v>3/8" Hex BAG 35</v>
          </cell>
          <cell r="E432">
            <v>3</v>
          </cell>
          <cell r="F432">
            <v>1</v>
          </cell>
        </row>
        <row r="433">
          <cell r="D433" t="str">
            <v>3/8" Hex BAG 36</v>
          </cell>
          <cell r="E433">
            <v>3</v>
          </cell>
          <cell r="F433">
            <v>1</v>
          </cell>
        </row>
        <row r="434">
          <cell r="D434" t="str">
            <v>3/8" Hex BAG 40</v>
          </cell>
          <cell r="E434">
            <v>3</v>
          </cell>
          <cell r="F434">
            <v>1</v>
          </cell>
        </row>
        <row r="435">
          <cell r="D435" t="str">
            <v>3/8" Hex BAG 45</v>
          </cell>
          <cell r="E435">
            <v>1</v>
          </cell>
          <cell r="F435">
            <v>1</v>
          </cell>
        </row>
        <row r="436">
          <cell r="D436" t="str">
            <v>3/8" Hex BAG 49</v>
          </cell>
          <cell r="E436">
            <v>1</v>
          </cell>
          <cell r="F436">
            <v>1</v>
          </cell>
        </row>
        <row r="437">
          <cell r="D437" t="str">
            <v>3/8" Hex BAG 50</v>
          </cell>
          <cell r="E437">
            <v>1</v>
          </cell>
          <cell r="F437">
            <v>1</v>
          </cell>
        </row>
        <row r="438">
          <cell r="D438" t="str">
            <v>3/8" Hex BAG 63</v>
          </cell>
          <cell r="E438">
            <v>1</v>
          </cell>
          <cell r="F438">
            <v>1</v>
          </cell>
        </row>
        <row r="439">
          <cell r="D439" t="str">
            <v>3/8" Hex BAG 70</v>
          </cell>
          <cell r="E439">
            <v>1</v>
          </cell>
          <cell r="F439">
            <v>1</v>
          </cell>
        </row>
        <row r="440">
          <cell r="D440" t="str">
            <v>3/8" Hex BAG 81</v>
          </cell>
          <cell r="E440">
            <v>1</v>
          </cell>
          <cell r="F440">
            <v>1</v>
          </cell>
        </row>
        <row r="441">
          <cell r="D441" t="str">
            <v>3/8" Hex BAG 90</v>
          </cell>
          <cell r="E441">
            <v>1</v>
          </cell>
          <cell r="F441">
            <v>0</v>
          </cell>
        </row>
        <row r="442">
          <cell r="D442" t="str">
            <v>3/8" Hex BAG 100</v>
          </cell>
          <cell r="E442">
            <v>1</v>
          </cell>
          <cell r="F442">
            <v>0</v>
          </cell>
        </row>
        <row r="443">
          <cell r="D443" t="str">
            <v>3/8" Hex Mini CIM 9</v>
          </cell>
          <cell r="E443">
            <v>4</v>
          </cell>
          <cell r="F443">
            <v>0</v>
          </cell>
        </row>
        <row r="444">
          <cell r="D444" t="str">
            <v>3/8" Hex Mini CIM 12</v>
          </cell>
          <cell r="E444">
            <v>3</v>
          </cell>
          <cell r="F444">
            <v>0</v>
          </cell>
        </row>
        <row r="445">
          <cell r="D445" t="str">
            <v>3/8" Hex Mini CIM 15</v>
          </cell>
          <cell r="E445">
            <v>1</v>
          </cell>
          <cell r="F445">
            <v>0</v>
          </cell>
        </row>
        <row r="446">
          <cell r="D446" t="str">
            <v>3/8" Hex Mini CIM 16</v>
          </cell>
          <cell r="E446">
            <v>1</v>
          </cell>
          <cell r="F446">
            <v>0</v>
          </cell>
        </row>
        <row r="447">
          <cell r="D447" t="str">
            <v>3/8" Hex Mini CIM 20</v>
          </cell>
          <cell r="E447">
            <v>1</v>
          </cell>
          <cell r="F447">
            <v>0</v>
          </cell>
        </row>
        <row r="448">
          <cell r="D448" t="str">
            <v>3/8" Hex Mini CIM 21</v>
          </cell>
          <cell r="E448">
            <v>1</v>
          </cell>
          <cell r="F448">
            <v>0</v>
          </cell>
        </row>
        <row r="449">
          <cell r="D449" t="str">
            <v>3/8" Hex Mini CIM 25</v>
          </cell>
          <cell r="E449">
            <v>1</v>
          </cell>
          <cell r="F449">
            <v>0</v>
          </cell>
        </row>
        <row r="450">
          <cell r="D450" t="str">
            <v>3/8" Hex Mini CIM 27</v>
          </cell>
          <cell r="E450">
            <v>1</v>
          </cell>
          <cell r="F450">
            <v>0</v>
          </cell>
        </row>
        <row r="451">
          <cell r="D451" t="str">
            <v>3/8" Hex Mini CIM 28</v>
          </cell>
          <cell r="E451">
            <v>1</v>
          </cell>
          <cell r="F451">
            <v>0</v>
          </cell>
        </row>
        <row r="452">
          <cell r="D452" t="str">
            <v>3/8" Hex Mini CIM 30</v>
          </cell>
          <cell r="E452">
            <v>1</v>
          </cell>
          <cell r="F452">
            <v>0</v>
          </cell>
        </row>
        <row r="453">
          <cell r="D453" t="str">
            <v>3/8" Hex Mini CIM 35</v>
          </cell>
          <cell r="E453">
            <v>1</v>
          </cell>
          <cell r="F453">
            <v>0</v>
          </cell>
        </row>
        <row r="454">
          <cell r="D454" t="str">
            <v>3/8" Hex Mini CIM 36</v>
          </cell>
          <cell r="E454">
            <v>1</v>
          </cell>
          <cell r="F454">
            <v>0</v>
          </cell>
        </row>
        <row r="455">
          <cell r="D455" t="str">
            <v>3/8" Hex Mini CIM 40</v>
          </cell>
          <cell r="E455">
            <v>1</v>
          </cell>
          <cell r="F455">
            <v>0</v>
          </cell>
        </row>
        <row r="456">
          <cell r="D456" t="str">
            <v>3/8" Hex Mini CIM 45</v>
          </cell>
          <cell r="E456">
            <v>0</v>
          </cell>
          <cell r="F456">
            <v>0</v>
          </cell>
        </row>
        <row r="457">
          <cell r="D457" t="str">
            <v>3/8" Hex Mini CIM 49</v>
          </cell>
          <cell r="E457">
            <v>0</v>
          </cell>
          <cell r="F457">
            <v>0</v>
          </cell>
        </row>
        <row r="458">
          <cell r="D458" t="str">
            <v>3/8" Hex Mini CIM 50</v>
          </cell>
          <cell r="E458">
            <v>0</v>
          </cell>
          <cell r="F458">
            <v>0</v>
          </cell>
        </row>
        <row r="459">
          <cell r="D459" t="str">
            <v>3/8" Hex Mini CIM 63</v>
          </cell>
          <cell r="E459">
            <v>0</v>
          </cell>
          <cell r="F459">
            <v>0</v>
          </cell>
        </row>
        <row r="460">
          <cell r="D460" t="str">
            <v>3/8" Hex Mini CIM 70</v>
          </cell>
          <cell r="E460">
            <v>0</v>
          </cell>
          <cell r="F460">
            <v>0</v>
          </cell>
        </row>
        <row r="461">
          <cell r="D461" t="str">
            <v>3/8" Hex Mini CIM 81</v>
          </cell>
          <cell r="E461">
            <v>0</v>
          </cell>
          <cell r="F461">
            <v>0</v>
          </cell>
        </row>
        <row r="462">
          <cell r="D462" t="str">
            <v>3/8" Hex Mini CIM 90</v>
          </cell>
          <cell r="E462">
            <v>0</v>
          </cell>
          <cell r="F462">
            <v>0</v>
          </cell>
        </row>
        <row r="463">
          <cell r="D463" t="str">
            <v>3/8" Hex Mini CIM 100</v>
          </cell>
          <cell r="E463">
            <v>0</v>
          </cell>
          <cell r="F463">
            <v>0</v>
          </cell>
        </row>
        <row r="464">
          <cell r="D464" t="str">
            <v>3/8" Hex CIM 9</v>
          </cell>
          <cell r="E464">
            <v>1</v>
          </cell>
          <cell r="F464">
            <v>0</v>
          </cell>
        </row>
        <row r="465">
          <cell r="D465" t="str">
            <v>3/8" Hex CIM 12</v>
          </cell>
          <cell r="E465">
            <v>1</v>
          </cell>
          <cell r="F465">
            <v>0</v>
          </cell>
        </row>
        <row r="466">
          <cell r="D466" t="str">
            <v>3/8" Hex CIM 15</v>
          </cell>
          <cell r="E466">
            <v>1</v>
          </cell>
          <cell r="F466">
            <v>0</v>
          </cell>
        </row>
        <row r="467">
          <cell r="D467" t="str">
            <v>3/8" Hex CIM 16</v>
          </cell>
          <cell r="E467">
            <v>1</v>
          </cell>
          <cell r="F467">
            <v>0</v>
          </cell>
        </row>
        <row r="468">
          <cell r="D468" t="str">
            <v>3/8" Hex CIM 20</v>
          </cell>
          <cell r="E468">
            <v>1</v>
          </cell>
          <cell r="F468">
            <v>0</v>
          </cell>
        </row>
        <row r="469">
          <cell r="D469" t="str">
            <v>3/8" Hex CIM 21</v>
          </cell>
          <cell r="E469">
            <v>1</v>
          </cell>
          <cell r="F469">
            <v>0</v>
          </cell>
        </row>
        <row r="470">
          <cell r="D470" t="str">
            <v>3/8" Hex CIM 25</v>
          </cell>
          <cell r="E470">
            <v>0</v>
          </cell>
          <cell r="F470">
            <v>0</v>
          </cell>
        </row>
        <row r="471">
          <cell r="D471" t="str">
            <v>3/8" Hex CIM 27</v>
          </cell>
          <cell r="E471">
            <v>0</v>
          </cell>
          <cell r="F471">
            <v>0</v>
          </cell>
        </row>
        <row r="472">
          <cell r="D472" t="str">
            <v>3/8" Hex CIM 28</v>
          </cell>
          <cell r="E472">
            <v>0</v>
          </cell>
          <cell r="F472">
            <v>0</v>
          </cell>
        </row>
        <row r="473">
          <cell r="D473" t="str">
            <v>3/8" Hex CIM 30</v>
          </cell>
          <cell r="E473">
            <v>0</v>
          </cell>
          <cell r="F473">
            <v>0</v>
          </cell>
        </row>
        <row r="474">
          <cell r="D474" t="str">
            <v>3/8" Hex CIM 35</v>
          </cell>
          <cell r="E474">
            <v>0</v>
          </cell>
          <cell r="F474">
            <v>0</v>
          </cell>
        </row>
        <row r="475">
          <cell r="D475" t="str">
            <v>3/8" Hex CIM 36</v>
          </cell>
          <cell r="E475">
            <v>0</v>
          </cell>
          <cell r="F475">
            <v>0</v>
          </cell>
        </row>
        <row r="476">
          <cell r="D476" t="str">
            <v>3/8" Hex CIM 40</v>
          </cell>
          <cell r="E476">
            <v>0</v>
          </cell>
          <cell r="F476">
            <v>0</v>
          </cell>
        </row>
        <row r="477">
          <cell r="D477" t="str">
            <v>3/8" Hex CIM 45</v>
          </cell>
          <cell r="E477">
            <v>0</v>
          </cell>
          <cell r="F477">
            <v>0</v>
          </cell>
        </row>
        <row r="478">
          <cell r="D478" t="str">
            <v>3/8" Hex CIM 49</v>
          </cell>
          <cell r="E478">
            <v>0</v>
          </cell>
          <cell r="F478">
            <v>0</v>
          </cell>
        </row>
        <row r="479">
          <cell r="D479" t="str">
            <v>3/8" Hex CIM 50</v>
          </cell>
          <cell r="E479">
            <v>0</v>
          </cell>
          <cell r="F479">
            <v>0</v>
          </cell>
        </row>
        <row r="480">
          <cell r="D480" t="str">
            <v>3/8" Hex CIM 63</v>
          </cell>
          <cell r="E480">
            <v>0</v>
          </cell>
          <cell r="F480">
            <v>0</v>
          </cell>
        </row>
        <row r="481">
          <cell r="D481" t="str">
            <v>3/8" Hex CIM 70</v>
          </cell>
          <cell r="E481">
            <v>0</v>
          </cell>
          <cell r="F481">
            <v>0</v>
          </cell>
        </row>
        <row r="482">
          <cell r="D482" t="str">
            <v>3/8" Hex CIM 81</v>
          </cell>
          <cell r="E482">
            <v>0</v>
          </cell>
          <cell r="F482">
            <v>0</v>
          </cell>
        </row>
        <row r="483">
          <cell r="D483" t="str">
            <v>3/8" Hex CIM 90</v>
          </cell>
          <cell r="E483">
            <v>0</v>
          </cell>
          <cell r="F483">
            <v>0</v>
          </cell>
        </row>
        <row r="484">
          <cell r="D484" t="str">
            <v>3/8" Hex CIM 100</v>
          </cell>
          <cell r="E484">
            <v>0</v>
          </cell>
          <cell r="F484">
            <v>0</v>
          </cell>
        </row>
        <row r="485">
          <cell r="D485" t="str">
            <v>3/8" Hex 775pro 9</v>
          </cell>
          <cell r="E485">
            <v>7</v>
          </cell>
          <cell r="F485">
            <v>5</v>
          </cell>
        </row>
        <row r="486">
          <cell r="D486" t="str">
            <v>3/8" Hex 775pro 12</v>
          </cell>
          <cell r="E486">
            <v>5</v>
          </cell>
          <cell r="F486">
            <v>4</v>
          </cell>
        </row>
        <row r="487">
          <cell r="D487" t="str">
            <v>3/8" Hex 775pro 15</v>
          </cell>
          <cell r="E487">
            <v>5</v>
          </cell>
          <cell r="F487">
            <v>3</v>
          </cell>
        </row>
        <row r="488">
          <cell r="D488" t="str">
            <v>3/8" Hex 775pro 16</v>
          </cell>
          <cell r="E488">
            <v>4</v>
          </cell>
          <cell r="F488">
            <v>3</v>
          </cell>
        </row>
        <row r="489">
          <cell r="D489" t="str">
            <v>3/8" Hex 775pro 20</v>
          </cell>
          <cell r="E489">
            <v>3</v>
          </cell>
          <cell r="F489">
            <v>1</v>
          </cell>
        </row>
        <row r="490">
          <cell r="D490" t="str">
            <v>3/8" Hex 775pro 21</v>
          </cell>
          <cell r="E490">
            <v>3</v>
          </cell>
          <cell r="F490">
            <v>1</v>
          </cell>
        </row>
        <row r="491">
          <cell r="D491" t="str">
            <v>3/8" Hex 775pro 25</v>
          </cell>
          <cell r="E491">
            <v>3</v>
          </cell>
          <cell r="F491">
            <v>1</v>
          </cell>
        </row>
        <row r="492">
          <cell r="D492" t="str">
            <v>3/8" Hex 775pro 27</v>
          </cell>
          <cell r="E492">
            <v>1</v>
          </cell>
          <cell r="F492">
            <v>1</v>
          </cell>
        </row>
        <row r="493">
          <cell r="D493" t="str">
            <v>3/8" Hex 775pro 28</v>
          </cell>
          <cell r="E493">
            <v>1</v>
          </cell>
          <cell r="F493">
            <v>1</v>
          </cell>
        </row>
        <row r="494">
          <cell r="D494" t="str">
            <v>3/8" Hex 775pro 30</v>
          </cell>
          <cell r="E494">
            <v>1</v>
          </cell>
          <cell r="F494">
            <v>1</v>
          </cell>
        </row>
        <row r="495">
          <cell r="D495" t="str">
            <v>3/8" Hex 775pro 35</v>
          </cell>
          <cell r="E495">
            <v>1</v>
          </cell>
          <cell r="F495">
            <v>1</v>
          </cell>
        </row>
        <row r="496">
          <cell r="D496" t="str">
            <v>3/8" Hex 775pro 36</v>
          </cell>
          <cell r="E496">
            <v>1</v>
          </cell>
          <cell r="F496">
            <v>1</v>
          </cell>
        </row>
        <row r="497">
          <cell r="D497" t="str">
            <v>3/8" Hex 775pro 40</v>
          </cell>
          <cell r="E497">
            <v>1</v>
          </cell>
          <cell r="F497">
            <v>1</v>
          </cell>
        </row>
        <row r="498">
          <cell r="D498" t="str">
            <v>3/8" Hex 775pro 45</v>
          </cell>
          <cell r="E498">
            <v>1</v>
          </cell>
          <cell r="F498">
            <v>1</v>
          </cell>
        </row>
        <row r="499">
          <cell r="D499" t="str">
            <v>3/8" Hex 775pro 49</v>
          </cell>
          <cell r="E499">
            <v>1</v>
          </cell>
          <cell r="F499">
            <v>1</v>
          </cell>
        </row>
        <row r="500">
          <cell r="D500" t="str">
            <v>3/8" Hex 775pro 50</v>
          </cell>
          <cell r="E500">
            <v>1</v>
          </cell>
          <cell r="F500">
            <v>0</v>
          </cell>
        </row>
        <row r="501">
          <cell r="D501" t="str">
            <v>3/8" Hex 775pro 63</v>
          </cell>
          <cell r="E501">
            <v>1</v>
          </cell>
          <cell r="F501">
            <v>0</v>
          </cell>
        </row>
        <row r="502">
          <cell r="D502" t="str">
            <v>3/8" Hex 775pro 70</v>
          </cell>
          <cell r="E502">
            <v>1</v>
          </cell>
          <cell r="F502">
            <v>0</v>
          </cell>
        </row>
        <row r="503">
          <cell r="D503" t="str">
            <v>3/8" Hex 775pro 81</v>
          </cell>
          <cell r="E503">
            <v>0</v>
          </cell>
          <cell r="F503">
            <v>0</v>
          </cell>
        </row>
        <row r="504">
          <cell r="D504" t="str">
            <v>3/8" Hex 775pro 90</v>
          </cell>
          <cell r="E504">
            <v>0</v>
          </cell>
          <cell r="F504">
            <v>0</v>
          </cell>
        </row>
        <row r="505">
          <cell r="D505" t="str">
            <v>3/8" Hex 775pro 100</v>
          </cell>
          <cell r="E505">
            <v>0</v>
          </cell>
          <cell r="F505">
            <v>0</v>
          </cell>
        </row>
        <row r="506">
          <cell r="D506" t="str">
            <v>CIM Motor AM 9015 9</v>
          </cell>
          <cell r="E506">
            <v>7</v>
          </cell>
          <cell r="F506">
            <v>7</v>
          </cell>
        </row>
        <row r="507">
          <cell r="D507" t="str">
            <v>CIM Motor AM 9015 12</v>
          </cell>
          <cell r="E507">
            <v>5</v>
          </cell>
          <cell r="F507">
            <v>5</v>
          </cell>
        </row>
        <row r="508">
          <cell r="D508" t="str">
            <v>CIM Motor AM 9015 15</v>
          </cell>
          <cell r="E508">
            <v>4</v>
          </cell>
          <cell r="F508">
            <v>5</v>
          </cell>
        </row>
        <row r="509">
          <cell r="D509" t="str">
            <v>CIM Motor AM 9015 16</v>
          </cell>
          <cell r="E509">
            <v>4</v>
          </cell>
          <cell r="F509">
            <v>5</v>
          </cell>
        </row>
        <row r="510">
          <cell r="D510" t="str">
            <v>CIM Motor AM 9015 20</v>
          </cell>
          <cell r="E510">
            <v>3</v>
          </cell>
          <cell r="F510">
            <v>4</v>
          </cell>
        </row>
        <row r="511">
          <cell r="D511" t="str">
            <v>CIM Motor AM 9015 21</v>
          </cell>
          <cell r="E511">
            <v>3</v>
          </cell>
          <cell r="F511">
            <v>3</v>
          </cell>
        </row>
        <row r="512">
          <cell r="D512" t="str">
            <v>CIM Motor AM 9015 25</v>
          </cell>
          <cell r="E512">
            <v>1</v>
          </cell>
          <cell r="F512">
            <v>3</v>
          </cell>
        </row>
        <row r="513">
          <cell r="D513" t="str">
            <v>CIM Motor AM 9015 27</v>
          </cell>
          <cell r="E513">
            <v>1</v>
          </cell>
          <cell r="F513">
            <v>1</v>
          </cell>
        </row>
        <row r="514">
          <cell r="D514" t="str">
            <v>CIM Motor AM 9015 28</v>
          </cell>
          <cell r="E514">
            <v>1</v>
          </cell>
          <cell r="F514">
            <v>1</v>
          </cell>
        </row>
        <row r="515">
          <cell r="D515" t="str">
            <v>CIM Motor AM 9015 30</v>
          </cell>
          <cell r="E515">
            <v>1</v>
          </cell>
          <cell r="F515">
            <v>1</v>
          </cell>
        </row>
        <row r="516">
          <cell r="D516" t="str">
            <v>CIM Motor AM 9015 35</v>
          </cell>
          <cell r="E516">
            <v>1</v>
          </cell>
          <cell r="F516">
            <v>1</v>
          </cell>
        </row>
        <row r="517">
          <cell r="D517" t="str">
            <v>CIM Motor AM 9015 36</v>
          </cell>
          <cell r="E517">
            <v>1</v>
          </cell>
          <cell r="F517">
            <v>1</v>
          </cell>
        </row>
        <row r="518">
          <cell r="D518" t="str">
            <v>CIM Motor AM 9015 40</v>
          </cell>
          <cell r="E518">
            <v>1</v>
          </cell>
          <cell r="F518">
            <v>1</v>
          </cell>
        </row>
        <row r="519">
          <cell r="D519" t="str">
            <v>CIM Motor AM 9015 45</v>
          </cell>
          <cell r="E519">
            <v>1</v>
          </cell>
          <cell r="F519">
            <v>1</v>
          </cell>
        </row>
        <row r="520">
          <cell r="D520" t="str">
            <v>CIM Motor AM 9015 49</v>
          </cell>
          <cell r="E520">
            <v>1</v>
          </cell>
          <cell r="F520">
            <v>1</v>
          </cell>
        </row>
        <row r="521">
          <cell r="D521" t="str">
            <v>CIM Motor AM 9015 50</v>
          </cell>
          <cell r="E521">
            <v>1</v>
          </cell>
          <cell r="F521">
            <v>1</v>
          </cell>
        </row>
        <row r="522">
          <cell r="D522" t="str">
            <v>CIM Motor AM 9015 63</v>
          </cell>
          <cell r="E522">
            <v>1</v>
          </cell>
          <cell r="F522">
            <v>1</v>
          </cell>
        </row>
        <row r="523">
          <cell r="D523" t="str">
            <v>CIM Motor AM 9015 70</v>
          </cell>
          <cell r="E523">
            <v>0</v>
          </cell>
          <cell r="F523">
            <v>1</v>
          </cell>
        </row>
        <row r="524">
          <cell r="D524" t="str">
            <v>CIM Motor AM 9015 81</v>
          </cell>
          <cell r="E524">
            <v>0</v>
          </cell>
          <cell r="F524">
            <v>0</v>
          </cell>
        </row>
        <row r="525">
          <cell r="D525" t="str">
            <v>CIM Motor AM 9015 90</v>
          </cell>
          <cell r="E525">
            <v>0</v>
          </cell>
          <cell r="F525">
            <v>0</v>
          </cell>
        </row>
        <row r="526">
          <cell r="D526" t="str">
            <v>CIM Motor AM 9015 100</v>
          </cell>
          <cell r="E526">
            <v>0</v>
          </cell>
          <cell r="F526">
            <v>0</v>
          </cell>
        </row>
        <row r="527">
          <cell r="D527" t="str">
            <v>CIM Motor NeveRest 9</v>
          </cell>
          <cell r="E527">
            <v>5</v>
          </cell>
          <cell r="F527">
            <v>10</v>
          </cell>
        </row>
        <row r="528">
          <cell r="D528" t="str">
            <v>CIM Motor NeveRest 12</v>
          </cell>
          <cell r="E528">
            <v>4</v>
          </cell>
          <cell r="F528">
            <v>10</v>
          </cell>
        </row>
        <row r="529">
          <cell r="D529" t="str">
            <v>CIM Motor NeveRest 15</v>
          </cell>
          <cell r="E529">
            <v>3</v>
          </cell>
          <cell r="F529">
            <v>10</v>
          </cell>
        </row>
        <row r="530">
          <cell r="D530" t="str">
            <v>CIM Motor NeveRest 16</v>
          </cell>
          <cell r="E530">
            <v>3</v>
          </cell>
          <cell r="F530">
            <v>10</v>
          </cell>
        </row>
        <row r="531">
          <cell r="D531" t="str">
            <v>CIM Motor NeveRest 20</v>
          </cell>
          <cell r="E531">
            <v>1</v>
          </cell>
          <cell r="F531">
            <v>7</v>
          </cell>
        </row>
        <row r="532">
          <cell r="D532" t="str">
            <v>CIM Motor NeveRest 21</v>
          </cell>
          <cell r="E532">
            <v>1</v>
          </cell>
          <cell r="F532">
            <v>7</v>
          </cell>
        </row>
        <row r="533">
          <cell r="D533" t="str">
            <v>CIM Motor NeveRest 25</v>
          </cell>
          <cell r="E533">
            <v>1</v>
          </cell>
          <cell r="F533">
            <v>5</v>
          </cell>
        </row>
        <row r="534">
          <cell r="D534" t="str">
            <v>CIM Motor NeveRest 27</v>
          </cell>
          <cell r="E534">
            <v>1</v>
          </cell>
          <cell r="F534">
            <v>5</v>
          </cell>
        </row>
        <row r="535">
          <cell r="D535" t="str">
            <v>CIM Motor NeveRest 28</v>
          </cell>
          <cell r="E535">
            <v>1</v>
          </cell>
          <cell r="F535">
            <v>5</v>
          </cell>
        </row>
        <row r="536">
          <cell r="D536" t="str">
            <v>CIM Motor NeveRest 30</v>
          </cell>
          <cell r="E536">
            <v>1</v>
          </cell>
          <cell r="F536">
            <v>5</v>
          </cell>
        </row>
        <row r="537">
          <cell r="D537" t="str">
            <v>CIM Motor NeveRest 35</v>
          </cell>
          <cell r="E537">
            <v>1</v>
          </cell>
          <cell r="F537">
            <v>4</v>
          </cell>
        </row>
        <row r="538">
          <cell r="D538" t="str">
            <v>CIM Motor NeveRest 36</v>
          </cell>
          <cell r="E538">
            <v>1</v>
          </cell>
          <cell r="F538">
            <v>4</v>
          </cell>
        </row>
        <row r="539">
          <cell r="D539" t="str">
            <v>CIM Motor NeveRest 40</v>
          </cell>
          <cell r="E539">
            <v>1</v>
          </cell>
          <cell r="F539">
            <v>4</v>
          </cell>
        </row>
        <row r="540">
          <cell r="D540" t="str">
            <v>CIM Motor NeveRest 45</v>
          </cell>
          <cell r="E540">
            <v>1</v>
          </cell>
          <cell r="F540">
            <v>3</v>
          </cell>
        </row>
        <row r="541">
          <cell r="D541" t="str">
            <v>CIM Motor NeveRest 49</v>
          </cell>
          <cell r="E541">
            <v>1</v>
          </cell>
          <cell r="F541">
            <v>3</v>
          </cell>
        </row>
        <row r="542">
          <cell r="D542" t="str">
            <v>CIM Motor NeveRest 50</v>
          </cell>
          <cell r="E542">
            <v>1</v>
          </cell>
          <cell r="F542">
            <v>3</v>
          </cell>
        </row>
        <row r="543">
          <cell r="D543" t="str">
            <v>CIM Motor NeveRest 63</v>
          </cell>
          <cell r="E543">
            <v>0</v>
          </cell>
          <cell r="F543">
            <v>1</v>
          </cell>
        </row>
        <row r="544">
          <cell r="D544" t="str">
            <v>CIM Motor NeveRest 70</v>
          </cell>
          <cell r="E544">
            <v>0</v>
          </cell>
          <cell r="F544">
            <v>1</v>
          </cell>
        </row>
        <row r="545">
          <cell r="D545" t="str">
            <v>CIM Motor NeveRest 81</v>
          </cell>
          <cell r="E545">
            <v>0</v>
          </cell>
          <cell r="F545">
            <v>1</v>
          </cell>
        </row>
        <row r="546">
          <cell r="D546" t="str">
            <v>CIM Motor NeveRest 90</v>
          </cell>
          <cell r="E546">
            <v>0</v>
          </cell>
          <cell r="F546">
            <v>1</v>
          </cell>
        </row>
        <row r="547">
          <cell r="D547" t="str">
            <v>CIM Motor NeveRest 100</v>
          </cell>
          <cell r="E547">
            <v>0</v>
          </cell>
          <cell r="F547">
            <v>1</v>
          </cell>
        </row>
        <row r="548">
          <cell r="D548" t="str">
            <v>CIM Motor BB RS-550 9</v>
          </cell>
          <cell r="E548">
            <v>5</v>
          </cell>
          <cell r="F548">
            <v>7</v>
          </cell>
        </row>
        <row r="549">
          <cell r="D549" t="str">
            <v>CIM Motor BB RS-550 12</v>
          </cell>
          <cell r="E549">
            <v>4</v>
          </cell>
          <cell r="F549">
            <v>5</v>
          </cell>
        </row>
        <row r="550">
          <cell r="D550" t="str">
            <v>CIM Motor BB RS-550 15</v>
          </cell>
          <cell r="E550">
            <v>3</v>
          </cell>
          <cell r="F550">
            <v>5</v>
          </cell>
        </row>
        <row r="551">
          <cell r="D551" t="str">
            <v>CIM Motor BB RS-550 16</v>
          </cell>
          <cell r="E551">
            <v>3</v>
          </cell>
          <cell r="F551">
            <v>5</v>
          </cell>
        </row>
        <row r="552">
          <cell r="D552" t="str">
            <v>CIM Motor BB RS-550 20</v>
          </cell>
          <cell r="E552">
            <v>1</v>
          </cell>
          <cell r="F552">
            <v>4</v>
          </cell>
        </row>
        <row r="553">
          <cell r="D553" t="str">
            <v>CIM Motor BB RS-550 21</v>
          </cell>
          <cell r="E553">
            <v>1</v>
          </cell>
          <cell r="F553">
            <v>3</v>
          </cell>
        </row>
        <row r="554">
          <cell r="D554" t="str">
            <v>CIM Motor BB RS-550 25</v>
          </cell>
          <cell r="E554">
            <v>1</v>
          </cell>
          <cell r="F554">
            <v>3</v>
          </cell>
        </row>
        <row r="555">
          <cell r="D555" t="str">
            <v>CIM Motor BB RS-550 27</v>
          </cell>
          <cell r="E555">
            <v>1</v>
          </cell>
          <cell r="F555">
            <v>1</v>
          </cell>
        </row>
        <row r="556">
          <cell r="D556" t="str">
            <v>CIM Motor BB RS-550 28</v>
          </cell>
          <cell r="E556">
            <v>1</v>
          </cell>
          <cell r="F556">
            <v>1</v>
          </cell>
        </row>
        <row r="557">
          <cell r="D557" t="str">
            <v>CIM Motor BB RS-550 30</v>
          </cell>
          <cell r="E557">
            <v>1</v>
          </cell>
          <cell r="F557">
            <v>1</v>
          </cell>
        </row>
        <row r="558">
          <cell r="D558" t="str">
            <v>CIM Motor BB RS-550 35</v>
          </cell>
          <cell r="E558">
            <v>1</v>
          </cell>
          <cell r="F558">
            <v>1</v>
          </cell>
        </row>
        <row r="559">
          <cell r="D559" t="str">
            <v>CIM Motor BB RS-550 36</v>
          </cell>
          <cell r="E559">
            <v>1</v>
          </cell>
          <cell r="F559">
            <v>1</v>
          </cell>
        </row>
        <row r="560">
          <cell r="D560" t="str">
            <v>CIM Motor BB RS-550 40</v>
          </cell>
          <cell r="E560">
            <v>1</v>
          </cell>
          <cell r="F560">
            <v>1</v>
          </cell>
        </row>
        <row r="561">
          <cell r="D561" t="str">
            <v>CIM Motor BB RS-550 45</v>
          </cell>
          <cell r="E561">
            <v>1</v>
          </cell>
          <cell r="F561">
            <v>1</v>
          </cell>
        </row>
        <row r="562">
          <cell r="D562" t="str">
            <v>CIM Motor BB RS-550 49</v>
          </cell>
          <cell r="E562">
            <v>1</v>
          </cell>
          <cell r="F562">
            <v>1</v>
          </cell>
        </row>
        <row r="563">
          <cell r="D563" t="str">
            <v>CIM Motor BB RS-550 50</v>
          </cell>
          <cell r="E563">
            <v>1</v>
          </cell>
          <cell r="F563">
            <v>1</v>
          </cell>
        </row>
        <row r="564">
          <cell r="D564" t="str">
            <v>CIM Motor BB RS-550 63</v>
          </cell>
          <cell r="E564">
            <v>0</v>
          </cell>
          <cell r="F564">
            <v>1</v>
          </cell>
        </row>
        <row r="565">
          <cell r="D565" t="str">
            <v>CIM Motor BB RS-550 70</v>
          </cell>
          <cell r="E565">
            <v>0</v>
          </cell>
          <cell r="F565">
            <v>1</v>
          </cell>
        </row>
        <row r="566">
          <cell r="D566" t="str">
            <v>CIM Motor BB RS-550 81</v>
          </cell>
          <cell r="E566">
            <v>0</v>
          </cell>
          <cell r="F566">
            <v>0</v>
          </cell>
        </row>
        <row r="567">
          <cell r="D567" t="str">
            <v>CIM Motor BB RS-550 90</v>
          </cell>
          <cell r="E567">
            <v>0</v>
          </cell>
          <cell r="F567">
            <v>0</v>
          </cell>
        </row>
        <row r="568">
          <cell r="D568" t="str">
            <v>CIM Motor BB RS-550 100</v>
          </cell>
          <cell r="E568">
            <v>0</v>
          </cell>
          <cell r="F568">
            <v>0</v>
          </cell>
        </row>
        <row r="569">
          <cell r="D569" t="str">
            <v>CIM Motor BB RS-775 9</v>
          </cell>
          <cell r="E569">
            <v>4</v>
          </cell>
          <cell r="F569">
            <v>7</v>
          </cell>
        </row>
        <row r="570">
          <cell r="D570" t="str">
            <v>CIM Motor BB RS-775 12</v>
          </cell>
          <cell r="E570">
            <v>3</v>
          </cell>
          <cell r="F570">
            <v>5</v>
          </cell>
        </row>
        <row r="571">
          <cell r="D571" t="str">
            <v>CIM Motor BB RS-775 15</v>
          </cell>
          <cell r="E571">
            <v>1</v>
          </cell>
          <cell r="F571">
            <v>5</v>
          </cell>
        </row>
        <row r="572">
          <cell r="D572" t="str">
            <v>CIM Motor BB RS-775 16</v>
          </cell>
          <cell r="E572">
            <v>1</v>
          </cell>
          <cell r="F572">
            <v>5</v>
          </cell>
        </row>
        <row r="573">
          <cell r="D573" t="str">
            <v>CIM Motor BB RS-775 20</v>
          </cell>
          <cell r="E573">
            <v>1</v>
          </cell>
          <cell r="F573">
            <v>4</v>
          </cell>
        </row>
        <row r="574">
          <cell r="D574" t="str">
            <v>CIM Motor BB RS-775 21</v>
          </cell>
          <cell r="E574">
            <v>1</v>
          </cell>
          <cell r="F574">
            <v>3</v>
          </cell>
        </row>
        <row r="575">
          <cell r="D575" t="str">
            <v>CIM Motor BB RS-775 25</v>
          </cell>
          <cell r="E575">
            <v>1</v>
          </cell>
          <cell r="F575">
            <v>3</v>
          </cell>
        </row>
        <row r="576">
          <cell r="D576" t="str">
            <v>CIM Motor BB RS-775 27</v>
          </cell>
          <cell r="E576">
            <v>1</v>
          </cell>
          <cell r="F576">
            <v>1</v>
          </cell>
        </row>
        <row r="577">
          <cell r="D577" t="str">
            <v>CIM Motor BB RS-775 28</v>
          </cell>
          <cell r="E577">
            <v>1</v>
          </cell>
          <cell r="F577">
            <v>1</v>
          </cell>
        </row>
        <row r="578">
          <cell r="D578" t="str">
            <v>CIM Motor BB RS-775 30</v>
          </cell>
          <cell r="E578">
            <v>1</v>
          </cell>
          <cell r="F578">
            <v>1</v>
          </cell>
        </row>
        <row r="579">
          <cell r="D579" t="str">
            <v>CIM Motor BB RS-775 35</v>
          </cell>
          <cell r="E579">
            <v>1</v>
          </cell>
          <cell r="F579">
            <v>1</v>
          </cell>
        </row>
        <row r="580">
          <cell r="D580" t="str">
            <v>CIM Motor BB RS-775 36</v>
          </cell>
          <cell r="E580">
            <v>1</v>
          </cell>
          <cell r="F580">
            <v>1</v>
          </cell>
        </row>
        <row r="581">
          <cell r="D581" t="str">
            <v>CIM Motor BB RS-775 40</v>
          </cell>
          <cell r="E581">
            <v>0</v>
          </cell>
          <cell r="F581">
            <v>1</v>
          </cell>
        </row>
        <row r="582">
          <cell r="D582" t="str">
            <v>CIM Motor BB RS-775 45</v>
          </cell>
          <cell r="E582">
            <v>0</v>
          </cell>
          <cell r="F582">
            <v>1</v>
          </cell>
        </row>
        <row r="583">
          <cell r="D583" t="str">
            <v>CIM Motor BB RS-775 49</v>
          </cell>
          <cell r="E583">
            <v>0</v>
          </cell>
          <cell r="F583">
            <v>1</v>
          </cell>
        </row>
        <row r="584">
          <cell r="D584" t="str">
            <v>CIM Motor BB RS-775 50</v>
          </cell>
          <cell r="E584">
            <v>0</v>
          </cell>
          <cell r="F584">
            <v>1</v>
          </cell>
        </row>
        <row r="585">
          <cell r="D585" t="str">
            <v>CIM Motor BB RS-775 63</v>
          </cell>
          <cell r="E585">
            <v>0</v>
          </cell>
          <cell r="F585">
            <v>1</v>
          </cell>
        </row>
        <row r="586">
          <cell r="D586" t="str">
            <v>CIM Motor BB RS-775 70</v>
          </cell>
          <cell r="E586">
            <v>0</v>
          </cell>
          <cell r="F586">
            <v>1</v>
          </cell>
        </row>
        <row r="587">
          <cell r="D587" t="str">
            <v>CIM Motor BB RS-775 81</v>
          </cell>
          <cell r="E587">
            <v>0</v>
          </cell>
          <cell r="F587">
            <v>1</v>
          </cell>
        </row>
        <row r="588">
          <cell r="D588" t="str">
            <v>CIM Motor BB RS-775 90</v>
          </cell>
          <cell r="E588">
            <v>0</v>
          </cell>
          <cell r="F588">
            <v>1</v>
          </cell>
        </row>
        <row r="589">
          <cell r="D589" t="str">
            <v>CIM Motor BB RS-775 100</v>
          </cell>
          <cell r="E589">
            <v>0</v>
          </cell>
          <cell r="F589">
            <v>1</v>
          </cell>
        </row>
        <row r="590">
          <cell r="D590" t="str">
            <v>CIM Motor BAG 9</v>
          </cell>
          <cell r="E590">
            <v>7</v>
          </cell>
          <cell r="F590">
            <v>7</v>
          </cell>
        </row>
        <row r="591">
          <cell r="D591" t="str">
            <v>CIM Motor BAG 12</v>
          </cell>
          <cell r="E591">
            <v>5</v>
          </cell>
          <cell r="F591">
            <v>5</v>
          </cell>
        </row>
        <row r="592">
          <cell r="D592" t="str">
            <v>CIM Motor BAG 15</v>
          </cell>
          <cell r="E592">
            <v>4</v>
          </cell>
          <cell r="F592">
            <v>4</v>
          </cell>
        </row>
        <row r="593">
          <cell r="D593" t="str">
            <v>CIM Motor BAG 16</v>
          </cell>
          <cell r="E593">
            <v>4</v>
          </cell>
          <cell r="F593">
            <v>4</v>
          </cell>
        </row>
        <row r="594">
          <cell r="D594" t="str">
            <v>CIM Motor BAG 20</v>
          </cell>
          <cell r="E594">
            <v>3</v>
          </cell>
          <cell r="F594">
            <v>3</v>
          </cell>
        </row>
        <row r="595">
          <cell r="D595" t="str">
            <v>CIM Motor BAG 21</v>
          </cell>
          <cell r="E595">
            <v>3</v>
          </cell>
          <cell r="F595">
            <v>3</v>
          </cell>
        </row>
        <row r="596">
          <cell r="D596" t="str">
            <v>CIM Motor BAG 25</v>
          </cell>
          <cell r="E596">
            <v>1</v>
          </cell>
          <cell r="F596">
            <v>1</v>
          </cell>
        </row>
        <row r="597">
          <cell r="D597" t="str">
            <v>CIM Motor BAG 27</v>
          </cell>
          <cell r="E597">
            <v>1</v>
          </cell>
          <cell r="F597">
            <v>1</v>
          </cell>
        </row>
        <row r="598">
          <cell r="D598" t="str">
            <v>CIM Motor BAG 28</v>
          </cell>
          <cell r="E598">
            <v>1</v>
          </cell>
          <cell r="F598">
            <v>1</v>
          </cell>
        </row>
        <row r="599">
          <cell r="D599" t="str">
            <v>CIM Motor BAG 30</v>
          </cell>
          <cell r="E599">
            <v>1</v>
          </cell>
          <cell r="F599">
            <v>1</v>
          </cell>
        </row>
        <row r="600">
          <cell r="D600" t="str">
            <v>CIM Motor BAG 35</v>
          </cell>
          <cell r="E600">
            <v>1</v>
          </cell>
          <cell r="F600">
            <v>1</v>
          </cell>
        </row>
        <row r="601">
          <cell r="D601" t="str">
            <v>CIM Motor BAG 36</v>
          </cell>
          <cell r="E601">
            <v>1</v>
          </cell>
          <cell r="F601">
            <v>1</v>
          </cell>
        </row>
        <row r="602">
          <cell r="D602" t="str">
            <v>CIM Motor BAG 40</v>
          </cell>
          <cell r="E602">
            <v>1</v>
          </cell>
          <cell r="F602">
            <v>1</v>
          </cell>
        </row>
        <row r="603">
          <cell r="D603" t="str">
            <v>CIM Motor BAG 45</v>
          </cell>
          <cell r="E603">
            <v>1</v>
          </cell>
          <cell r="F603">
            <v>1</v>
          </cell>
        </row>
        <row r="604">
          <cell r="D604" t="str">
            <v>CIM Motor BAG 49</v>
          </cell>
          <cell r="E604">
            <v>1</v>
          </cell>
          <cell r="F604">
            <v>1</v>
          </cell>
        </row>
        <row r="605">
          <cell r="D605" t="str">
            <v>CIM Motor BAG 50</v>
          </cell>
          <cell r="E605">
            <v>1</v>
          </cell>
          <cell r="F605">
            <v>1</v>
          </cell>
        </row>
        <row r="606">
          <cell r="D606" t="str">
            <v>CIM Motor BAG 63</v>
          </cell>
          <cell r="E606">
            <v>1</v>
          </cell>
          <cell r="F606">
            <v>1</v>
          </cell>
        </row>
        <row r="607">
          <cell r="D607" t="str">
            <v>CIM Motor BAG 70</v>
          </cell>
          <cell r="E607">
            <v>1</v>
          </cell>
          <cell r="F607">
            <v>0</v>
          </cell>
        </row>
        <row r="608">
          <cell r="D608" t="str">
            <v>CIM Motor BAG 81</v>
          </cell>
          <cell r="E608">
            <v>1</v>
          </cell>
          <cell r="F608">
            <v>0</v>
          </cell>
        </row>
        <row r="609">
          <cell r="D609" t="str">
            <v>CIM Motor BAG 90</v>
          </cell>
          <cell r="E609">
            <v>1</v>
          </cell>
          <cell r="F609">
            <v>0</v>
          </cell>
        </row>
        <row r="610">
          <cell r="D610" t="str">
            <v>CIM Motor BAG 100</v>
          </cell>
          <cell r="E610">
            <v>1</v>
          </cell>
          <cell r="F610">
            <v>0</v>
          </cell>
        </row>
        <row r="611">
          <cell r="D611" t="str">
            <v>CIM Motor Mini CIM 9</v>
          </cell>
          <cell r="E611">
            <v>1</v>
          </cell>
          <cell r="F611">
            <v>0</v>
          </cell>
        </row>
        <row r="612">
          <cell r="D612" t="str">
            <v>CIM Motor Mini CIM 12</v>
          </cell>
          <cell r="E612">
            <v>1</v>
          </cell>
          <cell r="F612">
            <v>0</v>
          </cell>
        </row>
        <row r="613">
          <cell r="D613" t="str">
            <v>CIM Motor Mini CIM 15</v>
          </cell>
          <cell r="E613">
            <v>1</v>
          </cell>
          <cell r="F613">
            <v>0</v>
          </cell>
        </row>
        <row r="614">
          <cell r="D614" t="str">
            <v>CIM Motor Mini CIM 16</v>
          </cell>
          <cell r="E614">
            <v>1</v>
          </cell>
          <cell r="F614">
            <v>0</v>
          </cell>
        </row>
        <row r="615">
          <cell r="D615" t="str">
            <v>CIM Motor Mini CIM 20</v>
          </cell>
          <cell r="E615">
            <v>1</v>
          </cell>
          <cell r="F615">
            <v>0</v>
          </cell>
        </row>
        <row r="616">
          <cell r="D616" t="str">
            <v>CIM Motor Mini CIM 21</v>
          </cell>
          <cell r="E616">
            <v>1</v>
          </cell>
          <cell r="F616">
            <v>0</v>
          </cell>
        </row>
        <row r="617">
          <cell r="D617" t="str">
            <v>CIM Motor Mini CIM 25</v>
          </cell>
          <cell r="E617">
            <v>1</v>
          </cell>
          <cell r="F617">
            <v>0</v>
          </cell>
        </row>
        <row r="618">
          <cell r="D618" t="str">
            <v>CIM Motor Mini CIM 27</v>
          </cell>
          <cell r="E618">
            <v>1</v>
          </cell>
          <cell r="F618">
            <v>0</v>
          </cell>
        </row>
        <row r="619">
          <cell r="D619" t="str">
            <v>CIM Motor Mini CIM 28</v>
          </cell>
          <cell r="E619">
            <v>1</v>
          </cell>
          <cell r="F619">
            <v>0</v>
          </cell>
        </row>
        <row r="620">
          <cell r="D620" t="str">
            <v>CIM Motor Mini CIM 30</v>
          </cell>
          <cell r="E620">
            <v>1</v>
          </cell>
          <cell r="F620">
            <v>0</v>
          </cell>
        </row>
        <row r="621">
          <cell r="D621" t="str">
            <v>CIM Motor Mini CIM 35</v>
          </cell>
          <cell r="E621">
            <v>0</v>
          </cell>
          <cell r="F621">
            <v>0</v>
          </cell>
        </row>
        <row r="622">
          <cell r="D622" t="str">
            <v>CIM Motor Mini CIM 36</v>
          </cell>
          <cell r="E622">
            <v>0</v>
          </cell>
          <cell r="F622">
            <v>0</v>
          </cell>
        </row>
        <row r="623">
          <cell r="D623" t="str">
            <v>CIM Motor Mini CIM 40</v>
          </cell>
          <cell r="E623">
            <v>0</v>
          </cell>
          <cell r="F623">
            <v>0</v>
          </cell>
        </row>
        <row r="624">
          <cell r="D624" t="str">
            <v>CIM Motor Mini CIM 45</v>
          </cell>
          <cell r="E624">
            <v>0</v>
          </cell>
          <cell r="F624">
            <v>0</v>
          </cell>
        </row>
        <row r="625">
          <cell r="D625" t="str">
            <v>CIM Motor Mini CIM 49</v>
          </cell>
          <cell r="E625">
            <v>0</v>
          </cell>
          <cell r="F625">
            <v>0</v>
          </cell>
        </row>
        <row r="626">
          <cell r="D626" t="str">
            <v>CIM Motor Mini CIM 50</v>
          </cell>
          <cell r="E626">
            <v>0</v>
          </cell>
          <cell r="F626">
            <v>0</v>
          </cell>
        </row>
        <row r="627">
          <cell r="D627" t="str">
            <v>CIM Motor Mini CIM 63</v>
          </cell>
          <cell r="E627">
            <v>0</v>
          </cell>
          <cell r="F627">
            <v>0</v>
          </cell>
        </row>
        <row r="628">
          <cell r="D628" t="str">
            <v>CIM Motor Mini CIM 70</v>
          </cell>
          <cell r="E628">
            <v>0</v>
          </cell>
          <cell r="F628">
            <v>0</v>
          </cell>
        </row>
        <row r="629">
          <cell r="D629" t="str">
            <v>CIM Motor Mini CIM 81</v>
          </cell>
          <cell r="E629">
            <v>0</v>
          </cell>
          <cell r="F629">
            <v>0</v>
          </cell>
        </row>
        <row r="630">
          <cell r="D630" t="str">
            <v>CIM Motor Mini CIM 90</v>
          </cell>
          <cell r="E630">
            <v>0</v>
          </cell>
          <cell r="F630">
            <v>0</v>
          </cell>
        </row>
        <row r="631">
          <cell r="D631" t="str">
            <v>CIM Motor Mini CIM 100</v>
          </cell>
          <cell r="E631">
            <v>0</v>
          </cell>
          <cell r="F631">
            <v>0</v>
          </cell>
        </row>
        <row r="632">
          <cell r="D632" t="str">
            <v>CIM Motor CIM 9</v>
          </cell>
          <cell r="E632">
            <v>1</v>
          </cell>
          <cell r="F632">
            <v>0</v>
          </cell>
        </row>
        <row r="633">
          <cell r="D633" t="str">
            <v>CIM Motor CIM 12</v>
          </cell>
          <cell r="E633">
            <v>1</v>
          </cell>
          <cell r="F633">
            <v>0</v>
          </cell>
        </row>
        <row r="634">
          <cell r="D634" t="str">
            <v>CIM Motor CIM 15</v>
          </cell>
          <cell r="E634">
            <v>0</v>
          </cell>
          <cell r="F634">
            <v>0</v>
          </cell>
        </row>
        <row r="635">
          <cell r="D635" t="str">
            <v>CIM Motor CIM 16</v>
          </cell>
          <cell r="E635">
            <v>0</v>
          </cell>
          <cell r="F635">
            <v>0</v>
          </cell>
        </row>
        <row r="636">
          <cell r="D636" t="str">
            <v>CIM Motor CIM 20</v>
          </cell>
          <cell r="E636">
            <v>0</v>
          </cell>
          <cell r="F636">
            <v>0</v>
          </cell>
        </row>
        <row r="637">
          <cell r="D637" t="str">
            <v>CIM Motor CIM 21</v>
          </cell>
          <cell r="E637">
            <v>0</v>
          </cell>
          <cell r="F637">
            <v>0</v>
          </cell>
        </row>
        <row r="638">
          <cell r="D638" t="str">
            <v>CIM Motor CIM 25</v>
          </cell>
          <cell r="E638">
            <v>0</v>
          </cell>
          <cell r="F638">
            <v>0</v>
          </cell>
        </row>
        <row r="639">
          <cell r="D639" t="str">
            <v>CIM Motor CIM 27</v>
          </cell>
          <cell r="E639">
            <v>0</v>
          </cell>
          <cell r="F639">
            <v>0</v>
          </cell>
        </row>
        <row r="640">
          <cell r="D640" t="str">
            <v>CIM Motor CIM 28</v>
          </cell>
          <cell r="E640">
            <v>0</v>
          </cell>
          <cell r="F640">
            <v>0</v>
          </cell>
        </row>
        <row r="641">
          <cell r="D641" t="str">
            <v>CIM Motor CIM 30</v>
          </cell>
          <cell r="E641">
            <v>0</v>
          </cell>
          <cell r="F641">
            <v>0</v>
          </cell>
        </row>
        <row r="642">
          <cell r="D642" t="str">
            <v>CIM Motor CIM 35</v>
          </cell>
          <cell r="E642">
            <v>0</v>
          </cell>
          <cell r="F642">
            <v>0</v>
          </cell>
        </row>
        <row r="643">
          <cell r="D643" t="str">
            <v>CIM Motor CIM 36</v>
          </cell>
          <cell r="E643">
            <v>0</v>
          </cell>
          <cell r="F643">
            <v>0</v>
          </cell>
        </row>
        <row r="644">
          <cell r="D644" t="str">
            <v>CIM Motor CIM 40</v>
          </cell>
          <cell r="E644">
            <v>0</v>
          </cell>
          <cell r="F644">
            <v>0</v>
          </cell>
        </row>
        <row r="645">
          <cell r="D645" t="str">
            <v>CIM Motor CIM 45</v>
          </cell>
          <cell r="E645">
            <v>0</v>
          </cell>
          <cell r="F645">
            <v>0</v>
          </cell>
        </row>
        <row r="646">
          <cell r="D646" t="str">
            <v>CIM Motor CIM 49</v>
          </cell>
          <cell r="E646">
            <v>0</v>
          </cell>
          <cell r="F646">
            <v>0</v>
          </cell>
        </row>
        <row r="647">
          <cell r="D647" t="str">
            <v>CIM Motor CIM 50</v>
          </cell>
          <cell r="E647">
            <v>0</v>
          </cell>
          <cell r="F647">
            <v>0</v>
          </cell>
        </row>
        <row r="648">
          <cell r="D648" t="str">
            <v>CIM Motor CIM 63</v>
          </cell>
          <cell r="E648">
            <v>0</v>
          </cell>
          <cell r="F648">
            <v>0</v>
          </cell>
        </row>
        <row r="649">
          <cell r="D649" t="str">
            <v>CIM Motor CIM 70</v>
          </cell>
          <cell r="E649">
            <v>0</v>
          </cell>
          <cell r="F649">
            <v>0</v>
          </cell>
        </row>
        <row r="650">
          <cell r="D650" t="str">
            <v>CIM Motor CIM 81</v>
          </cell>
          <cell r="E650">
            <v>0</v>
          </cell>
          <cell r="F650">
            <v>0</v>
          </cell>
        </row>
        <row r="651">
          <cell r="D651" t="str">
            <v>CIM Motor CIM 90</v>
          </cell>
          <cell r="E651">
            <v>0</v>
          </cell>
          <cell r="F651">
            <v>0</v>
          </cell>
        </row>
        <row r="652">
          <cell r="D652" t="str">
            <v>CIM Motor CIM 100</v>
          </cell>
          <cell r="E652">
            <v>0</v>
          </cell>
          <cell r="F652">
            <v>0</v>
          </cell>
        </row>
        <row r="653">
          <cell r="D653" t="str">
            <v>CIM Motor 775pro 9</v>
          </cell>
          <cell r="E653">
            <v>4</v>
          </cell>
          <cell r="F653">
            <v>4</v>
          </cell>
        </row>
        <row r="654">
          <cell r="D654" t="str">
            <v>CIM Motor 775pro 12</v>
          </cell>
          <cell r="E654">
            <v>3</v>
          </cell>
          <cell r="F654">
            <v>3</v>
          </cell>
        </row>
        <row r="655">
          <cell r="D655" t="str">
            <v>CIM Motor 775pro 15</v>
          </cell>
          <cell r="E655">
            <v>1</v>
          </cell>
          <cell r="F655">
            <v>1</v>
          </cell>
        </row>
        <row r="656">
          <cell r="D656" t="str">
            <v>CIM Motor 775pro 16</v>
          </cell>
          <cell r="E656">
            <v>1</v>
          </cell>
          <cell r="F656">
            <v>1</v>
          </cell>
        </row>
        <row r="657">
          <cell r="D657" t="str">
            <v>CIM Motor 775pro 20</v>
          </cell>
          <cell r="E657">
            <v>1</v>
          </cell>
          <cell r="F657">
            <v>1</v>
          </cell>
        </row>
        <row r="658">
          <cell r="D658" t="str">
            <v>CIM Motor 775pro 21</v>
          </cell>
          <cell r="E658">
            <v>1</v>
          </cell>
          <cell r="F658">
            <v>1</v>
          </cell>
        </row>
        <row r="659">
          <cell r="D659" t="str">
            <v>CIM Motor 775pro 25</v>
          </cell>
          <cell r="E659">
            <v>1</v>
          </cell>
          <cell r="F659">
            <v>1</v>
          </cell>
        </row>
        <row r="660">
          <cell r="D660" t="str">
            <v>CIM Motor 775pro 27</v>
          </cell>
          <cell r="E660">
            <v>1</v>
          </cell>
          <cell r="F660">
            <v>1</v>
          </cell>
        </row>
        <row r="661">
          <cell r="D661" t="str">
            <v>CIM Motor 775pro 28</v>
          </cell>
          <cell r="E661">
            <v>1</v>
          </cell>
          <cell r="F661">
            <v>1</v>
          </cell>
        </row>
        <row r="662">
          <cell r="D662" t="str">
            <v>CIM Motor 775pro 30</v>
          </cell>
          <cell r="E662">
            <v>1</v>
          </cell>
          <cell r="F662">
            <v>1</v>
          </cell>
        </row>
        <row r="663">
          <cell r="D663" t="str">
            <v>CIM Motor 775pro 35</v>
          </cell>
          <cell r="E663">
            <v>1</v>
          </cell>
          <cell r="F663">
            <v>1</v>
          </cell>
        </row>
        <row r="664">
          <cell r="D664" t="str">
            <v>CIM Motor 775pro 36</v>
          </cell>
          <cell r="E664">
            <v>1</v>
          </cell>
          <cell r="F664">
            <v>1</v>
          </cell>
        </row>
        <row r="665">
          <cell r="D665" t="str">
            <v>CIM Motor 775pro 40</v>
          </cell>
          <cell r="E665">
            <v>1</v>
          </cell>
          <cell r="F665">
            <v>1</v>
          </cell>
        </row>
        <row r="666">
          <cell r="D666" t="str">
            <v>CIM Motor 775pro 45</v>
          </cell>
          <cell r="E666">
            <v>0</v>
          </cell>
          <cell r="F666">
            <v>0</v>
          </cell>
        </row>
        <row r="667">
          <cell r="D667" t="str">
            <v>CIM Motor 775pro 49</v>
          </cell>
          <cell r="E667">
            <v>0</v>
          </cell>
          <cell r="F667">
            <v>0</v>
          </cell>
        </row>
        <row r="668">
          <cell r="D668" t="str">
            <v>CIM Motor 775pro 50</v>
          </cell>
          <cell r="E668">
            <v>0</v>
          </cell>
          <cell r="F668">
            <v>0</v>
          </cell>
        </row>
        <row r="669">
          <cell r="D669" t="str">
            <v>CIM Motor 775pro 63</v>
          </cell>
          <cell r="E669">
            <v>0</v>
          </cell>
          <cell r="F669">
            <v>0</v>
          </cell>
        </row>
        <row r="670">
          <cell r="D670" t="str">
            <v>CIM Motor 775pro 70</v>
          </cell>
          <cell r="E670">
            <v>0</v>
          </cell>
          <cell r="F670">
            <v>0</v>
          </cell>
        </row>
        <row r="671">
          <cell r="D671" t="str">
            <v>CIM Motor 775pro 81</v>
          </cell>
          <cell r="E671">
            <v>0</v>
          </cell>
          <cell r="F671">
            <v>0</v>
          </cell>
        </row>
        <row r="672">
          <cell r="D672" t="str">
            <v>CIM Motor 775pro 90</v>
          </cell>
          <cell r="E672">
            <v>0</v>
          </cell>
          <cell r="F672">
            <v>0</v>
          </cell>
        </row>
        <row r="673">
          <cell r="D673" t="str">
            <v>CIM Motor 775pro 100</v>
          </cell>
          <cell r="E673">
            <v>0</v>
          </cell>
          <cell r="F673">
            <v>0</v>
          </cell>
        </row>
        <row r="674">
          <cell r="D674" t="str">
            <v>Female AM 9015 9</v>
          </cell>
          <cell r="E674">
            <v>10</v>
          </cell>
          <cell r="F674">
            <v>10</v>
          </cell>
        </row>
        <row r="675">
          <cell r="D675" t="str">
            <v>Female AM 9015 12</v>
          </cell>
          <cell r="E675">
            <v>10</v>
          </cell>
          <cell r="F675">
            <v>7</v>
          </cell>
        </row>
        <row r="676">
          <cell r="D676" t="str">
            <v>Female AM 9015 15</v>
          </cell>
          <cell r="E676">
            <v>10</v>
          </cell>
          <cell r="F676">
            <v>5</v>
          </cell>
        </row>
        <row r="677">
          <cell r="D677" t="str">
            <v>Female AM 9015 16</v>
          </cell>
          <cell r="E677">
            <v>10</v>
          </cell>
          <cell r="F677">
            <v>5</v>
          </cell>
        </row>
        <row r="678">
          <cell r="D678" t="str">
            <v>Female AM 9015 20</v>
          </cell>
          <cell r="E678">
            <v>10</v>
          </cell>
          <cell r="F678">
            <v>4</v>
          </cell>
        </row>
        <row r="679">
          <cell r="D679" t="str">
            <v>Female AM 9015 21</v>
          </cell>
          <cell r="E679">
            <v>10</v>
          </cell>
          <cell r="F679">
            <v>4</v>
          </cell>
        </row>
        <row r="680">
          <cell r="D680" t="str">
            <v>Female AM 9015 25</v>
          </cell>
          <cell r="E680">
            <v>7</v>
          </cell>
          <cell r="F680">
            <v>3</v>
          </cell>
        </row>
        <row r="681">
          <cell r="D681" t="str">
            <v>Female AM 9015 27</v>
          </cell>
          <cell r="E681">
            <v>7</v>
          </cell>
          <cell r="F681">
            <v>3</v>
          </cell>
        </row>
        <row r="682">
          <cell r="D682" t="str">
            <v>Female AM 9015 28</v>
          </cell>
          <cell r="E682">
            <v>7</v>
          </cell>
          <cell r="F682">
            <v>3</v>
          </cell>
        </row>
        <row r="683">
          <cell r="D683" t="str">
            <v>Female AM 9015 30</v>
          </cell>
          <cell r="E683">
            <v>7</v>
          </cell>
          <cell r="F683">
            <v>3</v>
          </cell>
        </row>
        <row r="684">
          <cell r="D684" t="str">
            <v>Female AM 9015 35</v>
          </cell>
          <cell r="E684">
            <v>5</v>
          </cell>
          <cell r="F684">
            <v>1</v>
          </cell>
        </row>
        <row r="685">
          <cell r="D685" t="str">
            <v>Female AM 9015 36</v>
          </cell>
          <cell r="E685">
            <v>5</v>
          </cell>
          <cell r="F685">
            <v>1</v>
          </cell>
        </row>
        <row r="686">
          <cell r="D686" t="str">
            <v>Female AM 9015 40</v>
          </cell>
          <cell r="E686">
            <v>5</v>
          </cell>
          <cell r="F686">
            <v>1</v>
          </cell>
        </row>
        <row r="687">
          <cell r="D687" t="str">
            <v>Female AM 9015 45</v>
          </cell>
          <cell r="E687">
            <v>5</v>
          </cell>
          <cell r="F687">
            <v>1</v>
          </cell>
        </row>
        <row r="688">
          <cell r="D688" t="str">
            <v>Female AM 9015 49</v>
          </cell>
          <cell r="E688">
            <v>5</v>
          </cell>
          <cell r="F688">
            <v>1</v>
          </cell>
        </row>
        <row r="689">
          <cell r="D689" t="str">
            <v>Female AM 9015 50</v>
          </cell>
          <cell r="E689">
            <v>5</v>
          </cell>
          <cell r="F689">
            <v>1</v>
          </cell>
        </row>
        <row r="690">
          <cell r="D690" t="str">
            <v>Female AM 9015 63</v>
          </cell>
          <cell r="E690">
            <v>5</v>
          </cell>
          <cell r="F690">
            <v>1</v>
          </cell>
        </row>
        <row r="691">
          <cell r="D691" t="str">
            <v>Female AM 9015 70</v>
          </cell>
          <cell r="E691">
            <v>4</v>
          </cell>
          <cell r="F691">
            <v>1</v>
          </cell>
        </row>
        <row r="692">
          <cell r="D692" t="str">
            <v>Female AM 9015 81</v>
          </cell>
          <cell r="E692">
            <v>4</v>
          </cell>
          <cell r="F692">
            <v>1</v>
          </cell>
        </row>
        <row r="693">
          <cell r="D693" t="str">
            <v>Female AM 9015 90</v>
          </cell>
          <cell r="E693">
            <v>3</v>
          </cell>
          <cell r="F693">
            <v>1</v>
          </cell>
        </row>
        <row r="694">
          <cell r="D694" t="str">
            <v>Female AM 9015 100</v>
          </cell>
          <cell r="E694">
            <v>3</v>
          </cell>
          <cell r="F694">
            <v>0</v>
          </cell>
        </row>
        <row r="695">
          <cell r="D695" t="str">
            <v>Female NeveRest 9</v>
          </cell>
          <cell r="E695">
            <v>10</v>
          </cell>
          <cell r="F695">
            <v>10</v>
          </cell>
        </row>
        <row r="696">
          <cell r="D696" t="str">
            <v>Female NeveRest 12</v>
          </cell>
          <cell r="E696">
            <v>10</v>
          </cell>
          <cell r="F696">
            <v>10</v>
          </cell>
        </row>
        <row r="697">
          <cell r="D697" t="str">
            <v>Female NeveRest 15</v>
          </cell>
          <cell r="E697">
            <v>10</v>
          </cell>
          <cell r="F697">
            <v>10</v>
          </cell>
        </row>
        <row r="698">
          <cell r="D698" t="str">
            <v>Female NeveRest 16</v>
          </cell>
          <cell r="E698">
            <v>10</v>
          </cell>
          <cell r="F698">
            <v>10</v>
          </cell>
        </row>
        <row r="699">
          <cell r="D699" t="str">
            <v>Female NeveRest 20</v>
          </cell>
          <cell r="E699">
            <v>10</v>
          </cell>
          <cell r="F699">
            <v>10</v>
          </cell>
        </row>
        <row r="700">
          <cell r="D700" t="str">
            <v>Female NeveRest 21</v>
          </cell>
          <cell r="E700">
            <v>9</v>
          </cell>
          <cell r="F700">
            <v>9</v>
          </cell>
        </row>
        <row r="701">
          <cell r="D701" t="str">
            <v>Female NeveRest 25</v>
          </cell>
          <cell r="E701">
            <v>7</v>
          </cell>
          <cell r="F701">
            <v>7</v>
          </cell>
        </row>
        <row r="702">
          <cell r="D702" t="str">
            <v>Female NeveRest 27</v>
          </cell>
          <cell r="E702">
            <v>7</v>
          </cell>
          <cell r="F702">
            <v>7</v>
          </cell>
        </row>
        <row r="703">
          <cell r="D703" t="str">
            <v>Female NeveRest 28</v>
          </cell>
          <cell r="E703">
            <v>7</v>
          </cell>
          <cell r="F703">
            <v>7</v>
          </cell>
        </row>
        <row r="704">
          <cell r="D704" t="str">
            <v>Female NeveRest 30</v>
          </cell>
          <cell r="E704">
            <v>5</v>
          </cell>
          <cell r="F704">
            <v>5</v>
          </cell>
        </row>
        <row r="705">
          <cell r="D705" t="str">
            <v>Female NeveRest 35</v>
          </cell>
          <cell r="E705">
            <v>5</v>
          </cell>
          <cell r="F705">
            <v>5</v>
          </cell>
        </row>
        <row r="706">
          <cell r="D706" t="str">
            <v>Female NeveRest 36</v>
          </cell>
          <cell r="E706">
            <v>5</v>
          </cell>
          <cell r="F706">
            <v>5</v>
          </cell>
        </row>
        <row r="707">
          <cell r="D707" t="str">
            <v>Female NeveRest 40</v>
          </cell>
          <cell r="E707">
            <v>5</v>
          </cell>
          <cell r="F707">
            <v>5</v>
          </cell>
        </row>
        <row r="708">
          <cell r="D708" t="str">
            <v>Female NeveRest 45</v>
          </cell>
          <cell r="E708">
            <v>5</v>
          </cell>
          <cell r="F708">
            <v>4</v>
          </cell>
        </row>
        <row r="709">
          <cell r="D709" t="str">
            <v>Female NeveRest 49</v>
          </cell>
          <cell r="E709">
            <v>5</v>
          </cell>
          <cell r="F709">
            <v>4</v>
          </cell>
        </row>
        <row r="710">
          <cell r="D710" t="str">
            <v>Female NeveRest 50</v>
          </cell>
          <cell r="E710">
            <v>5</v>
          </cell>
          <cell r="F710">
            <v>4</v>
          </cell>
        </row>
        <row r="711">
          <cell r="D711" t="str">
            <v>Female NeveRest 63</v>
          </cell>
          <cell r="E711">
            <v>4</v>
          </cell>
          <cell r="F711">
            <v>3</v>
          </cell>
        </row>
        <row r="712">
          <cell r="D712" t="str">
            <v>Female NeveRest 70</v>
          </cell>
          <cell r="E712">
            <v>4</v>
          </cell>
          <cell r="F712">
            <v>1</v>
          </cell>
        </row>
        <row r="713">
          <cell r="D713" t="str">
            <v>Female NeveRest 81</v>
          </cell>
          <cell r="E713">
            <v>3</v>
          </cell>
          <cell r="F713">
            <v>1</v>
          </cell>
        </row>
        <row r="714">
          <cell r="D714" t="str">
            <v>Female NeveRest 90</v>
          </cell>
          <cell r="E714">
            <v>3</v>
          </cell>
          <cell r="F714">
            <v>1</v>
          </cell>
        </row>
        <row r="715">
          <cell r="D715" t="str">
            <v>Female NeveRest 100</v>
          </cell>
          <cell r="E715">
            <v>3</v>
          </cell>
          <cell r="F715">
            <v>1</v>
          </cell>
        </row>
        <row r="716">
          <cell r="D716" t="str">
            <v>Female BB RS-550 9</v>
          </cell>
          <cell r="E716">
            <v>10</v>
          </cell>
          <cell r="F716">
            <v>10</v>
          </cell>
        </row>
        <row r="717">
          <cell r="D717" t="str">
            <v>Female BB RS-550 12</v>
          </cell>
          <cell r="E717">
            <v>10</v>
          </cell>
          <cell r="F717">
            <v>7</v>
          </cell>
        </row>
        <row r="718">
          <cell r="D718" t="str">
            <v>Female BB RS-550 15</v>
          </cell>
          <cell r="E718">
            <v>10</v>
          </cell>
          <cell r="F718">
            <v>5</v>
          </cell>
        </row>
        <row r="719">
          <cell r="D719" t="str">
            <v>Female BB RS-550 16</v>
          </cell>
          <cell r="E719">
            <v>10</v>
          </cell>
          <cell r="F719">
            <v>5</v>
          </cell>
        </row>
        <row r="720">
          <cell r="D720" t="str">
            <v>Female BB RS-550 20</v>
          </cell>
          <cell r="E720">
            <v>10</v>
          </cell>
          <cell r="F720">
            <v>4</v>
          </cell>
        </row>
        <row r="721">
          <cell r="D721" t="str">
            <v>Female BB RS-550 21</v>
          </cell>
          <cell r="E721">
            <v>9</v>
          </cell>
          <cell r="F721">
            <v>4</v>
          </cell>
        </row>
        <row r="722">
          <cell r="D722" t="str">
            <v>Female BB RS-550 25</v>
          </cell>
          <cell r="E722">
            <v>7</v>
          </cell>
          <cell r="F722">
            <v>3</v>
          </cell>
        </row>
        <row r="723">
          <cell r="D723" t="str">
            <v>Female BB RS-550 27</v>
          </cell>
          <cell r="E723">
            <v>7</v>
          </cell>
          <cell r="F723">
            <v>3</v>
          </cell>
        </row>
        <row r="724">
          <cell r="D724" t="str">
            <v>Female BB RS-550 28</v>
          </cell>
          <cell r="E724">
            <v>7</v>
          </cell>
          <cell r="F724">
            <v>3</v>
          </cell>
        </row>
        <row r="725">
          <cell r="D725" t="str">
            <v>Female BB RS-550 30</v>
          </cell>
          <cell r="E725">
            <v>5</v>
          </cell>
          <cell r="F725">
            <v>3</v>
          </cell>
        </row>
        <row r="726">
          <cell r="D726" t="str">
            <v>Female BB RS-550 35</v>
          </cell>
          <cell r="E726">
            <v>5</v>
          </cell>
          <cell r="F726">
            <v>1</v>
          </cell>
        </row>
        <row r="727">
          <cell r="D727" t="str">
            <v>Female BB RS-550 36</v>
          </cell>
          <cell r="E727">
            <v>5</v>
          </cell>
          <cell r="F727">
            <v>1</v>
          </cell>
        </row>
        <row r="728">
          <cell r="D728" t="str">
            <v>Female BB RS-550 40</v>
          </cell>
          <cell r="E728">
            <v>5</v>
          </cell>
          <cell r="F728">
            <v>1</v>
          </cell>
        </row>
        <row r="729">
          <cell r="D729" t="str">
            <v>Female BB RS-550 45</v>
          </cell>
          <cell r="E729">
            <v>5</v>
          </cell>
          <cell r="F729">
            <v>1</v>
          </cell>
        </row>
        <row r="730">
          <cell r="D730" t="str">
            <v>Female BB RS-550 49</v>
          </cell>
          <cell r="E730">
            <v>5</v>
          </cell>
          <cell r="F730">
            <v>1</v>
          </cell>
        </row>
        <row r="731">
          <cell r="D731" t="str">
            <v>Female BB RS-550 50</v>
          </cell>
          <cell r="E731">
            <v>5</v>
          </cell>
          <cell r="F731">
            <v>1</v>
          </cell>
        </row>
        <row r="732">
          <cell r="D732" t="str">
            <v>Female BB RS-550 63</v>
          </cell>
          <cell r="E732">
            <v>4</v>
          </cell>
          <cell r="F732">
            <v>1</v>
          </cell>
        </row>
        <row r="733">
          <cell r="D733" t="str">
            <v>Female BB RS-550 70</v>
          </cell>
          <cell r="E733">
            <v>4</v>
          </cell>
          <cell r="F733">
            <v>1</v>
          </cell>
        </row>
        <row r="734">
          <cell r="D734" t="str">
            <v>Female BB RS-550 81</v>
          </cell>
          <cell r="E734">
            <v>3</v>
          </cell>
          <cell r="F734">
            <v>1</v>
          </cell>
        </row>
        <row r="735">
          <cell r="D735" t="str">
            <v>Female BB RS-550 90</v>
          </cell>
          <cell r="E735">
            <v>3</v>
          </cell>
          <cell r="F735">
            <v>1</v>
          </cell>
        </row>
        <row r="736">
          <cell r="D736" t="str">
            <v>Female BB RS-550 100</v>
          </cell>
          <cell r="E736">
            <v>3</v>
          </cell>
          <cell r="F736">
            <v>0</v>
          </cell>
        </row>
        <row r="737">
          <cell r="D737" t="str">
            <v>Female BB RS-775 9</v>
          </cell>
          <cell r="E737">
            <v>10</v>
          </cell>
          <cell r="F737">
            <v>10</v>
          </cell>
        </row>
        <row r="738">
          <cell r="D738" t="str">
            <v>Female BB RS-775 12</v>
          </cell>
          <cell r="E738">
            <v>10</v>
          </cell>
          <cell r="F738">
            <v>10</v>
          </cell>
        </row>
        <row r="739">
          <cell r="D739" t="str">
            <v>Female BB RS-775 15</v>
          </cell>
          <cell r="E739">
            <v>7</v>
          </cell>
          <cell r="F739">
            <v>7</v>
          </cell>
        </row>
        <row r="740">
          <cell r="D740" t="str">
            <v>Female BB RS-775 16</v>
          </cell>
          <cell r="E740">
            <v>7</v>
          </cell>
          <cell r="F740">
            <v>7</v>
          </cell>
        </row>
        <row r="741">
          <cell r="D741" t="str">
            <v>Female BB RS-775 20</v>
          </cell>
          <cell r="E741">
            <v>5</v>
          </cell>
          <cell r="F741">
            <v>5</v>
          </cell>
        </row>
        <row r="742">
          <cell r="D742" t="str">
            <v>Female BB RS-775 21</v>
          </cell>
          <cell r="E742">
            <v>5</v>
          </cell>
          <cell r="F742">
            <v>5</v>
          </cell>
        </row>
        <row r="743">
          <cell r="D743" t="str">
            <v>Female BB RS-775 25</v>
          </cell>
          <cell r="E743">
            <v>5</v>
          </cell>
          <cell r="F743">
            <v>5</v>
          </cell>
        </row>
        <row r="744">
          <cell r="D744" t="str">
            <v>Female BB RS-775 27</v>
          </cell>
          <cell r="E744">
            <v>5</v>
          </cell>
          <cell r="F744">
            <v>4</v>
          </cell>
        </row>
        <row r="745">
          <cell r="D745" t="str">
            <v>Female BB RS-775 28</v>
          </cell>
          <cell r="E745">
            <v>5</v>
          </cell>
          <cell r="F745">
            <v>4</v>
          </cell>
        </row>
        <row r="746">
          <cell r="D746" t="str">
            <v>Female BB RS-775 30</v>
          </cell>
          <cell r="E746">
            <v>5</v>
          </cell>
          <cell r="F746">
            <v>4</v>
          </cell>
        </row>
        <row r="747">
          <cell r="D747" t="str">
            <v>Female BB RS-775 35</v>
          </cell>
          <cell r="E747">
            <v>5</v>
          </cell>
          <cell r="F747">
            <v>3</v>
          </cell>
        </row>
        <row r="748">
          <cell r="D748" t="str">
            <v>Female BB RS-775 36</v>
          </cell>
          <cell r="E748">
            <v>5</v>
          </cell>
          <cell r="F748">
            <v>3</v>
          </cell>
        </row>
        <row r="749">
          <cell r="D749" t="str">
            <v>Female BB RS-775 40</v>
          </cell>
          <cell r="E749">
            <v>4</v>
          </cell>
          <cell r="F749">
            <v>3</v>
          </cell>
        </row>
        <row r="750">
          <cell r="D750" t="str">
            <v>Female BB RS-775 45</v>
          </cell>
          <cell r="E750">
            <v>4</v>
          </cell>
          <cell r="F750">
            <v>1</v>
          </cell>
        </row>
        <row r="751">
          <cell r="D751" t="str">
            <v>Female BB RS-775 49</v>
          </cell>
          <cell r="E751">
            <v>4</v>
          </cell>
          <cell r="F751">
            <v>1</v>
          </cell>
        </row>
        <row r="752">
          <cell r="D752" t="str">
            <v>Female BB RS-775 50</v>
          </cell>
          <cell r="E752">
            <v>3</v>
          </cell>
          <cell r="F752">
            <v>1</v>
          </cell>
        </row>
        <row r="753">
          <cell r="D753" t="str">
            <v>Female BB RS-775 63</v>
          </cell>
          <cell r="E753">
            <v>3</v>
          </cell>
          <cell r="F753">
            <v>1</v>
          </cell>
        </row>
        <row r="754">
          <cell r="D754" t="str">
            <v>Female BB RS-775 70</v>
          </cell>
          <cell r="E754">
            <v>1</v>
          </cell>
          <cell r="F754">
            <v>1</v>
          </cell>
        </row>
        <row r="755">
          <cell r="D755" t="str">
            <v>Female BB RS-775 81</v>
          </cell>
          <cell r="E755">
            <v>1</v>
          </cell>
          <cell r="F755">
            <v>1</v>
          </cell>
        </row>
        <row r="756">
          <cell r="D756" t="str">
            <v>Female BB RS-775 90</v>
          </cell>
          <cell r="E756">
            <v>1</v>
          </cell>
          <cell r="F756">
            <v>1</v>
          </cell>
        </row>
        <row r="757">
          <cell r="D757" t="str">
            <v>Female BB RS-775 100</v>
          </cell>
          <cell r="E757">
            <v>1</v>
          </cell>
          <cell r="F757">
            <v>1</v>
          </cell>
        </row>
        <row r="758">
          <cell r="D758" t="str">
            <v>Female BAG 9</v>
          </cell>
          <cell r="E758">
            <v>10</v>
          </cell>
          <cell r="F758">
            <v>9</v>
          </cell>
        </row>
        <row r="759">
          <cell r="D759" t="str">
            <v>Female BAG 12</v>
          </cell>
          <cell r="E759">
            <v>10</v>
          </cell>
          <cell r="F759">
            <v>5</v>
          </cell>
        </row>
        <row r="760">
          <cell r="D760" t="str">
            <v>Female BAG 15</v>
          </cell>
          <cell r="E760">
            <v>10</v>
          </cell>
          <cell r="F760">
            <v>5</v>
          </cell>
        </row>
        <row r="761">
          <cell r="D761" t="str">
            <v>Female BAG 16</v>
          </cell>
          <cell r="E761">
            <v>10</v>
          </cell>
          <cell r="F761">
            <v>5</v>
          </cell>
        </row>
        <row r="762">
          <cell r="D762" t="str">
            <v>Female BAG 20</v>
          </cell>
          <cell r="E762">
            <v>10</v>
          </cell>
          <cell r="F762">
            <v>4</v>
          </cell>
        </row>
        <row r="763">
          <cell r="D763" t="str">
            <v>Female BAG 21</v>
          </cell>
          <cell r="E763">
            <v>10</v>
          </cell>
          <cell r="F763">
            <v>3</v>
          </cell>
        </row>
        <row r="764">
          <cell r="D764" t="str">
            <v>Female BAG 25</v>
          </cell>
          <cell r="E764">
            <v>7</v>
          </cell>
          <cell r="F764">
            <v>3</v>
          </cell>
        </row>
        <row r="765">
          <cell r="D765" t="str">
            <v>Female BAG 27</v>
          </cell>
          <cell r="E765">
            <v>7</v>
          </cell>
          <cell r="F765">
            <v>3</v>
          </cell>
        </row>
        <row r="766">
          <cell r="D766" t="str">
            <v>Female BAG 28</v>
          </cell>
          <cell r="E766">
            <v>7</v>
          </cell>
          <cell r="F766">
            <v>1</v>
          </cell>
        </row>
        <row r="767">
          <cell r="D767" t="str">
            <v>Female BAG 30</v>
          </cell>
          <cell r="E767">
            <v>7</v>
          </cell>
          <cell r="F767">
            <v>1</v>
          </cell>
        </row>
        <row r="768">
          <cell r="D768" t="str">
            <v>Female BAG 35</v>
          </cell>
          <cell r="E768">
            <v>5</v>
          </cell>
          <cell r="F768">
            <v>1</v>
          </cell>
        </row>
        <row r="769">
          <cell r="D769" t="str">
            <v>Female BAG 36</v>
          </cell>
          <cell r="E769">
            <v>5</v>
          </cell>
          <cell r="F769">
            <v>1</v>
          </cell>
        </row>
        <row r="770">
          <cell r="D770" t="str">
            <v>Female BAG 40</v>
          </cell>
          <cell r="E770">
            <v>5</v>
          </cell>
          <cell r="F770">
            <v>1</v>
          </cell>
        </row>
        <row r="771">
          <cell r="D771" t="str">
            <v>Female BAG 45</v>
          </cell>
          <cell r="E771">
            <v>5</v>
          </cell>
          <cell r="F771">
            <v>1</v>
          </cell>
        </row>
        <row r="772">
          <cell r="D772" t="str">
            <v>Female BAG 49</v>
          </cell>
          <cell r="E772">
            <v>5</v>
          </cell>
          <cell r="F772">
            <v>1</v>
          </cell>
        </row>
        <row r="773">
          <cell r="D773" t="str">
            <v>Female BAG 50</v>
          </cell>
          <cell r="E773">
            <v>5</v>
          </cell>
          <cell r="F773">
            <v>1</v>
          </cell>
        </row>
        <row r="774">
          <cell r="D774" t="str">
            <v>Female BAG 63</v>
          </cell>
          <cell r="E774">
            <v>5</v>
          </cell>
          <cell r="F774">
            <v>1</v>
          </cell>
        </row>
        <row r="775">
          <cell r="D775" t="str">
            <v>Female BAG 70</v>
          </cell>
          <cell r="E775">
            <v>4</v>
          </cell>
          <cell r="F775">
            <v>1</v>
          </cell>
        </row>
        <row r="776">
          <cell r="D776" t="str">
            <v>Female BAG 81</v>
          </cell>
          <cell r="E776">
            <v>4</v>
          </cell>
          <cell r="F776">
            <v>1</v>
          </cell>
        </row>
        <row r="777">
          <cell r="D777" t="str">
            <v>Female BAG 90</v>
          </cell>
          <cell r="E777">
            <v>3</v>
          </cell>
          <cell r="F777">
            <v>0</v>
          </cell>
        </row>
        <row r="778">
          <cell r="D778" t="str">
            <v>Female BAG 100</v>
          </cell>
          <cell r="E778">
            <v>3</v>
          </cell>
          <cell r="F778">
            <v>0</v>
          </cell>
        </row>
        <row r="779">
          <cell r="D779" t="str">
            <v>Female Mini CIM 9</v>
          </cell>
          <cell r="E779">
            <v>7</v>
          </cell>
          <cell r="F779">
            <v>0</v>
          </cell>
        </row>
        <row r="780">
          <cell r="D780" t="str">
            <v>Female Mini CIM 12</v>
          </cell>
          <cell r="E780">
            <v>5</v>
          </cell>
          <cell r="F780">
            <v>0</v>
          </cell>
        </row>
        <row r="781">
          <cell r="D781" t="str">
            <v>Female Mini CIM 15</v>
          </cell>
          <cell r="E781">
            <v>5</v>
          </cell>
          <cell r="F781">
            <v>0</v>
          </cell>
        </row>
        <row r="782">
          <cell r="D782" t="str">
            <v>Female Mini CIM 16</v>
          </cell>
          <cell r="E782">
            <v>5</v>
          </cell>
          <cell r="F782">
            <v>0</v>
          </cell>
        </row>
        <row r="783">
          <cell r="D783" t="str">
            <v>Female Mini CIM 20</v>
          </cell>
          <cell r="E783">
            <v>5</v>
          </cell>
          <cell r="F783">
            <v>0</v>
          </cell>
        </row>
        <row r="784">
          <cell r="D784" t="str">
            <v>Female Mini CIM 21</v>
          </cell>
          <cell r="E784">
            <v>5</v>
          </cell>
          <cell r="F784">
            <v>0</v>
          </cell>
        </row>
        <row r="785">
          <cell r="D785" t="str">
            <v>Female Mini CIM 25</v>
          </cell>
          <cell r="E785">
            <v>4</v>
          </cell>
          <cell r="F785">
            <v>0</v>
          </cell>
        </row>
        <row r="786">
          <cell r="D786" t="str">
            <v>Female Mini CIM 27</v>
          </cell>
          <cell r="E786">
            <v>4</v>
          </cell>
          <cell r="F786">
            <v>0</v>
          </cell>
        </row>
        <row r="787">
          <cell r="D787" t="str">
            <v>Female Mini CIM 28</v>
          </cell>
          <cell r="E787">
            <v>3</v>
          </cell>
          <cell r="F787">
            <v>0</v>
          </cell>
        </row>
        <row r="788">
          <cell r="D788" t="str">
            <v>Female Mini CIM 30</v>
          </cell>
          <cell r="E788">
            <v>3</v>
          </cell>
          <cell r="F788">
            <v>0</v>
          </cell>
        </row>
        <row r="789">
          <cell r="D789" t="str">
            <v>Female Mini CIM 35</v>
          </cell>
          <cell r="E789">
            <v>3</v>
          </cell>
          <cell r="F789">
            <v>0</v>
          </cell>
        </row>
        <row r="790">
          <cell r="D790" t="str">
            <v>Female Mini CIM 36</v>
          </cell>
          <cell r="E790">
            <v>1</v>
          </cell>
          <cell r="F790">
            <v>0</v>
          </cell>
        </row>
        <row r="791">
          <cell r="D791" t="str">
            <v>Female Mini CIM 40</v>
          </cell>
          <cell r="E791">
            <v>1</v>
          </cell>
          <cell r="F791">
            <v>0</v>
          </cell>
        </row>
        <row r="792">
          <cell r="D792" t="str">
            <v>Female Mini CIM 45</v>
          </cell>
          <cell r="E792">
            <v>1</v>
          </cell>
          <cell r="F792">
            <v>0</v>
          </cell>
        </row>
        <row r="793">
          <cell r="D793" t="str">
            <v>Female Mini CIM 49</v>
          </cell>
          <cell r="E793">
            <v>1</v>
          </cell>
          <cell r="F793">
            <v>0</v>
          </cell>
        </row>
        <row r="794">
          <cell r="D794" t="str">
            <v>Female Mini CIM 50</v>
          </cell>
          <cell r="E794">
            <v>1</v>
          </cell>
          <cell r="F794">
            <v>0</v>
          </cell>
        </row>
        <row r="795">
          <cell r="D795" t="str">
            <v>Female Mini CIM 63</v>
          </cell>
          <cell r="E795">
            <v>1</v>
          </cell>
          <cell r="F795">
            <v>0</v>
          </cell>
        </row>
        <row r="796">
          <cell r="D796" t="str">
            <v>Female Mini CIM 70</v>
          </cell>
          <cell r="E796">
            <v>0</v>
          </cell>
          <cell r="F796">
            <v>0</v>
          </cell>
        </row>
        <row r="797">
          <cell r="D797" t="str">
            <v>Female Mini CIM 81</v>
          </cell>
          <cell r="E797">
            <v>0</v>
          </cell>
          <cell r="F797">
            <v>0</v>
          </cell>
        </row>
        <row r="798">
          <cell r="D798" t="str">
            <v>Female Mini CIM 90</v>
          </cell>
          <cell r="E798">
            <v>0</v>
          </cell>
          <cell r="F798">
            <v>0</v>
          </cell>
        </row>
        <row r="799">
          <cell r="D799" t="str">
            <v>Female Mini CIM 100</v>
          </cell>
          <cell r="E799">
            <v>0</v>
          </cell>
          <cell r="F799">
            <v>0</v>
          </cell>
        </row>
        <row r="800">
          <cell r="D800" t="str">
            <v>Female CIM 9</v>
          </cell>
          <cell r="E800">
            <v>5</v>
          </cell>
          <cell r="F800">
            <v>0</v>
          </cell>
        </row>
        <row r="801">
          <cell r="D801" t="str">
            <v>Female CIM 12</v>
          </cell>
          <cell r="E801">
            <v>5</v>
          </cell>
          <cell r="F801">
            <v>0</v>
          </cell>
        </row>
        <row r="802">
          <cell r="D802" t="str">
            <v>Female CIM 15</v>
          </cell>
          <cell r="E802">
            <v>4</v>
          </cell>
          <cell r="F802">
            <v>0</v>
          </cell>
        </row>
        <row r="803">
          <cell r="D803" t="str">
            <v>Female CIM 16</v>
          </cell>
          <cell r="E803">
            <v>4</v>
          </cell>
          <cell r="F803">
            <v>0</v>
          </cell>
        </row>
        <row r="804">
          <cell r="D804" t="str">
            <v>Female CIM 20</v>
          </cell>
          <cell r="E804">
            <v>3</v>
          </cell>
          <cell r="F804">
            <v>0</v>
          </cell>
        </row>
        <row r="805">
          <cell r="D805" t="str">
            <v>Female CIM 21</v>
          </cell>
          <cell r="E805">
            <v>3</v>
          </cell>
          <cell r="F805">
            <v>0</v>
          </cell>
        </row>
        <row r="806">
          <cell r="D806" t="str">
            <v>Female CIM 25</v>
          </cell>
          <cell r="E806">
            <v>1</v>
          </cell>
          <cell r="F806">
            <v>0</v>
          </cell>
        </row>
        <row r="807">
          <cell r="D807" t="str">
            <v>Female CIM 27</v>
          </cell>
          <cell r="E807">
            <v>1</v>
          </cell>
          <cell r="F807">
            <v>0</v>
          </cell>
        </row>
        <row r="808">
          <cell r="D808" t="str">
            <v>Female CIM 28</v>
          </cell>
          <cell r="E808">
            <v>1</v>
          </cell>
          <cell r="F808">
            <v>0</v>
          </cell>
        </row>
        <row r="809">
          <cell r="D809" t="str">
            <v>Female CIM 30</v>
          </cell>
          <cell r="E809">
            <v>1</v>
          </cell>
          <cell r="F809">
            <v>0</v>
          </cell>
        </row>
        <row r="810">
          <cell r="D810" t="str">
            <v>Female CIM 35</v>
          </cell>
          <cell r="E810">
            <v>1</v>
          </cell>
          <cell r="F810">
            <v>0</v>
          </cell>
        </row>
        <row r="811">
          <cell r="D811" t="str">
            <v>Female CIM 36</v>
          </cell>
          <cell r="E811">
            <v>1</v>
          </cell>
          <cell r="F811">
            <v>0</v>
          </cell>
        </row>
        <row r="812">
          <cell r="D812" t="str">
            <v>Female CIM 40</v>
          </cell>
          <cell r="E812">
            <v>1</v>
          </cell>
          <cell r="F812">
            <v>0</v>
          </cell>
        </row>
        <row r="813">
          <cell r="D813" t="str">
            <v>Female CIM 45</v>
          </cell>
          <cell r="E813">
            <v>0</v>
          </cell>
          <cell r="F813">
            <v>0</v>
          </cell>
        </row>
        <row r="814">
          <cell r="D814" t="str">
            <v>Female CIM 49</v>
          </cell>
          <cell r="E814">
            <v>0</v>
          </cell>
          <cell r="F814">
            <v>0</v>
          </cell>
        </row>
        <row r="815">
          <cell r="D815" t="str">
            <v>Female CIM 50</v>
          </cell>
          <cell r="E815">
            <v>0</v>
          </cell>
          <cell r="F815">
            <v>0</v>
          </cell>
        </row>
        <row r="816">
          <cell r="D816" t="str">
            <v>Female CIM 63</v>
          </cell>
          <cell r="E816">
            <v>0</v>
          </cell>
          <cell r="F816">
            <v>0</v>
          </cell>
        </row>
        <row r="817">
          <cell r="D817" t="str">
            <v>Female CIM 70</v>
          </cell>
          <cell r="E817">
            <v>0</v>
          </cell>
          <cell r="F817">
            <v>0</v>
          </cell>
        </row>
        <row r="818">
          <cell r="D818" t="str">
            <v>Female CIM 81</v>
          </cell>
          <cell r="E818">
            <v>0</v>
          </cell>
          <cell r="F818">
            <v>0</v>
          </cell>
        </row>
        <row r="819">
          <cell r="D819" t="str">
            <v>Female CIM 90</v>
          </cell>
          <cell r="E819">
            <v>0</v>
          </cell>
          <cell r="F819">
            <v>0</v>
          </cell>
        </row>
        <row r="820">
          <cell r="D820" t="str">
            <v>Female CIM 100</v>
          </cell>
          <cell r="E820">
            <v>0</v>
          </cell>
          <cell r="F820">
            <v>0</v>
          </cell>
        </row>
        <row r="821">
          <cell r="D821" t="str">
            <v>Female 775pro 9</v>
          </cell>
          <cell r="E821">
            <v>10</v>
          </cell>
          <cell r="F821">
            <v>5</v>
          </cell>
        </row>
        <row r="822">
          <cell r="D822" t="str">
            <v>Female 775pro 12</v>
          </cell>
          <cell r="E822">
            <v>10</v>
          </cell>
          <cell r="F822">
            <v>4</v>
          </cell>
        </row>
        <row r="823">
          <cell r="D823" t="str">
            <v>Female 775pro 15</v>
          </cell>
          <cell r="E823">
            <v>10</v>
          </cell>
          <cell r="F823">
            <v>3</v>
          </cell>
        </row>
        <row r="824">
          <cell r="D824" t="str">
            <v>Female 775pro 16</v>
          </cell>
          <cell r="E824">
            <v>10</v>
          </cell>
          <cell r="F824">
            <v>3</v>
          </cell>
        </row>
        <row r="825">
          <cell r="D825" t="str">
            <v>Female 775pro 20</v>
          </cell>
          <cell r="E825">
            <v>10</v>
          </cell>
          <cell r="F825">
            <v>1</v>
          </cell>
        </row>
        <row r="826">
          <cell r="D826" t="str">
            <v>Female 775pro 21</v>
          </cell>
          <cell r="E826">
            <v>10</v>
          </cell>
          <cell r="F826">
            <v>1</v>
          </cell>
        </row>
        <row r="827">
          <cell r="D827" t="str">
            <v>Female 775pro 25</v>
          </cell>
          <cell r="E827">
            <v>7</v>
          </cell>
          <cell r="F827">
            <v>1</v>
          </cell>
        </row>
        <row r="828">
          <cell r="D828" t="str">
            <v>Female 775pro 27</v>
          </cell>
          <cell r="E828">
            <v>7</v>
          </cell>
          <cell r="F828">
            <v>1</v>
          </cell>
        </row>
        <row r="829">
          <cell r="D829" t="str">
            <v>Female 775pro 28</v>
          </cell>
          <cell r="E829">
            <v>7</v>
          </cell>
          <cell r="F829">
            <v>1</v>
          </cell>
        </row>
        <row r="830">
          <cell r="D830" t="str">
            <v>Female 775pro 30</v>
          </cell>
          <cell r="E830">
            <v>7</v>
          </cell>
          <cell r="F830">
            <v>1</v>
          </cell>
        </row>
        <row r="831">
          <cell r="D831" t="str">
            <v>Female 775pro 35</v>
          </cell>
          <cell r="E831">
            <v>5</v>
          </cell>
          <cell r="F831">
            <v>1</v>
          </cell>
        </row>
        <row r="832">
          <cell r="D832" t="str">
            <v>Female 775pro 36</v>
          </cell>
          <cell r="E832">
            <v>5</v>
          </cell>
          <cell r="F832">
            <v>1</v>
          </cell>
        </row>
        <row r="833">
          <cell r="D833" t="str">
            <v>Female 775pro 40</v>
          </cell>
          <cell r="E833">
            <v>5</v>
          </cell>
          <cell r="F833">
            <v>1</v>
          </cell>
        </row>
        <row r="834">
          <cell r="D834" t="str">
            <v>Female 775pro 45</v>
          </cell>
          <cell r="E834">
            <v>4</v>
          </cell>
          <cell r="F834">
            <v>1</v>
          </cell>
        </row>
        <row r="835">
          <cell r="D835" t="str">
            <v>Female 775pro 49</v>
          </cell>
          <cell r="E835">
            <v>4</v>
          </cell>
          <cell r="F835">
            <v>1</v>
          </cell>
        </row>
        <row r="836">
          <cell r="D836" t="str">
            <v>Female 775pro 50</v>
          </cell>
          <cell r="E836">
            <v>4</v>
          </cell>
          <cell r="F836">
            <v>0</v>
          </cell>
        </row>
        <row r="837">
          <cell r="D837" t="str">
            <v>Female 775pro 63</v>
          </cell>
          <cell r="E837">
            <v>3</v>
          </cell>
          <cell r="F837">
            <v>0</v>
          </cell>
        </row>
        <row r="838">
          <cell r="D838" t="str">
            <v>Female 775pro 70</v>
          </cell>
          <cell r="E838">
            <v>3</v>
          </cell>
          <cell r="F838">
            <v>0</v>
          </cell>
        </row>
        <row r="839">
          <cell r="D839" t="str">
            <v>Female 775pro 81</v>
          </cell>
          <cell r="E839">
            <v>1</v>
          </cell>
          <cell r="F839">
            <v>0</v>
          </cell>
        </row>
        <row r="840">
          <cell r="D840" t="str">
            <v>Female 775pro 90</v>
          </cell>
          <cell r="E840">
            <v>1</v>
          </cell>
          <cell r="F840">
            <v>0</v>
          </cell>
        </row>
        <row r="841">
          <cell r="D841" t="str">
            <v>Female 775pro 100</v>
          </cell>
          <cell r="E841">
            <v>1</v>
          </cell>
          <cell r="F841">
            <v>0</v>
          </cell>
        </row>
      </sheetData>
      <sheetData sheetId="12"/>
      <sheetData sheetId="13"/>
      <sheetData sheetId="14"/>
      <sheetData sheetId="15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BAG Motor</v>
          </cell>
          <cell r="C8">
            <v>13180</v>
          </cell>
          <cell r="D8">
            <v>0.43</v>
          </cell>
          <cell r="E8">
            <v>1.8</v>
          </cell>
          <cell r="F8">
            <v>53</v>
          </cell>
          <cell r="G8">
            <v>148.37218504128995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  <cell r="J9"/>
          <cell r="K9"/>
          <cell r="L9"/>
          <cell r="M9"/>
          <cell r="N9"/>
          <cell r="Q9"/>
          <cell r="R9"/>
          <cell r="S9"/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  <cell r="J10"/>
          <cell r="K10"/>
          <cell r="L10"/>
          <cell r="M10"/>
          <cell r="N10"/>
          <cell r="Q10"/>
          <cell r="R10"/>
          <cell r="S10"/>
        </row>
        <row r="11">
          <cell r="B11" t="str">
            <v>AM 775</v>
          </cell>
          <cell r="C11">
            <v>5800</v>
          </cell>
          <cell r="D11">
            <v>0.28000000000000003</v>
          </cell>
          <cell r="E11">
            <v>1.6</v>
          </cell>
          <cell r="F11">
            <v>18</v>
          </cell>
          <cell r="G11">
            <v>42.516220578581873</v>
          </cell>
          <cell r="J11"/>
          <cell r="K11"/>
          <cell r="L11"/>
          <cell r="M11"/>
          <cell r="N11"/>
          <cell r="Q11"/>
          <cell r="R11"/>
          <cell r="S11"/>
        </row>
        <row r="12">
          <cell r="B12" t="str">
            <v>AM 9015</v>
          </cell>
          <cell r="C12">
            <v>14270</v>
          </cell>
          <cell r="D12">
            <v>0.36</v>
          </cell>
          <cell r="E12">
            <v>3.7</v>
          </cell>
          <cell r="F12">
            <v>71</v>
          </cell>
          <cell r="G12">
            <v>134.49158150017905</v>
          </cell>
        </row>
        <row r="13">
          <cell r="B13" t="str">
            <v>CIM + Mini</v>
          </cell>
          <cell r="C13">
            <v>5508</v>
          </cell>
          <cell r="D13">
            <v>3.82</v>
          </cell>
          <cell r="E13">
            <v>8.16</v>
          </cell>
          <cell r="F13">
            <v>220</v>
          </cell>
          <cell r="G13">
            <v>550.84057269512709</v>
          </cell>
        </row>
        <row r="14">
          <cell r="B14" t="str">
            <v>CIM + 2 Mini</v>
          </cell>
          <cell r="C14">
            <v>5593</v>
          </cell>
          <cell r="D14">
            <v>5.23</v>
          </cell>
          <cell r="E14">
            <v>9.6199999999999992</v>
          </cell>
          <cell r="F14">
            <v>309</v>
          </cell>
          <cell r="G14">
            <v>765.79959942741618</v>
          </cell>
        </row>
        <row r="15">
          <cell r="B15" t="str">
            <v>2 CIM + Mini</v>
          </cell>
          <cell r="C15">
            <v>5437</v>
          </cell>
          <cell r="D15">
            <v>6.23</v>
          </cell>
          <cell r="E15">
            <v>9.15</v>
          </cell>
          <cell r="F15">
            <v>351</v>
          </cell>
          <cell r="G15">
            <v>886.78023812205663</v>
          </cell>
        </row>
        <row r="16">
          <cell r="B16" t="str">
            <v>BB RS-775</v>
          </cell>
          <cell r="C16">
            <v>13050</v>
          </cell>
          <cell r="D16">
            <v>0.72</v>
          </cell>
          <cell r="E16">
            <v>2.7</v>
          </cell>
          <cell r="F16">
            <v>97</v>
          </cell>
          <cell r="G16">
            <v>245.98670477608078</v>
          </cell>
        </row>
        <row r="17">
          <cell r="B17" t="str">
            <v>BB RS-550</v>
          </cell>
          <cell r="C17">
            <v>19000</v>
          </cell>
          <cell r="D17">
            <v>0.38</v>
          </cell>
          <cell r="E17">
            <v>0.4</v>
          </cell>
          <cell r="F17">
            <v>84</v>
          </cell>
          <cell r="G17">
            <v>189.01915799098592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/>
          <cell r="C24"/>
          <cell r="D24"/>
          <cell r="E24"/>
          <cell r="F24"/>
          <cell r="G24">
            <v>0</v>
          </cell>
        </row>
        <row r="25">
          <cell r="B25"/>
          <cell r="C25"/>
          <cell r="D25"/>
          <cell r="E25"/>
          <cell r="F25"/>
          <cell r="G25">
            <v>0</v>
          </cell>
        </row>
        <row r="26">
          <cell r="B26"/>
          <cell r="C26"/>
          <cell r="D26"/>
          <cell r="E26"/>
          <cell r="F26"/>
          <cell r="G26">
            <v>0</v>
          </cell>
        </row>
        <row r="27">
          <cell r="B27"/>
          <cell r="C27"/>
          <cell r="D27"/>
          <cell r="E27"/>
          <cell r="F27"/>
          <cell r="G27">
            <v>0</v>
          </cell>
        </row>
        <row r="28">
          <cell r="B28"/>
          <cell r="C28"/>
          <cell r="D28"/>
          <cell r="E28"/>
          <cell r="F28"/>
          <cell r="G2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2:R257"/>
  <sheetViews>
    <sheetView tabSelected="1" topLeftCell="B1" zoomScaleNormal="100" workbookViewId="0">
      <selection activeCell="I8" sqref="I8"/>
    </sheetView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3.140625" style="1" customWidth="1"/>
    <col min="4" max="4" width="9.140625" style="1" customWidth="1"/>
    <col min="5" max="5" width="9.28515625" style="1" customWidth="1"/>
    <col min="6" max="6" width="9.140625" style="1"/>
    <col min="7" max="7" width="20.28515625" style="1" customWidth="1"/>
    <col min="8" max="8" width="9.140625" style="1" customWidth="1"/>
    <col min="9" max="16384" width="9.140625" style="1"/>
  </cols>
  <sheetData>
    <row r="2" spans="2:18" ht="31.5" x14ac:dyDescent="0.25">
      <c r="C2" s="2" t="s">
        <v>0</v>
      </c>
    </row>
    <row r="4" spans="2:18" x14ac:dyDescent="0.25">
      <c r="B4" s="3" t="b">
        <v>1</v>
      </c>
      <c r="C4" s="1" t="s">
        <v>1</v>
      </c>
    </row>
    <row r="6" spans="2:18" x14ac:dyDescent="0.25">
      <c r="C6" s="21" t="s">
        <v>2</v>
      </c>
      <c r="D6" s="22"/>
      <c r="E6" s="4" t="s">
        <v>3</v>
      </c>
      <c r="K6" s="1" t="s">
        <v>18</v>
      </c>
      <c r="L6" s="1" t="s">
        <v>19</v>
      </c>
      <c r="M6" s="1" t="s">
        <v>23</v>
      </c>
      <c r="N6" s="1" t="s">
        <v>24</v>
      </c>
      <c r="O6" s="1" t="s">
        <v>20</v>
      </c>
      <c r="P6" s="1" t="s">
        <v>25</v>
      </c>
      <c r="Q6" s="1" t="s">
        <v>26</v>
      </c>
      <c r="R6" s="1" t="s">
        <v>27</v>
      </c>
    </row>
    <row r="7" spans="2:18" x14ac:dyDescent="0.25">
      <c r="C7" s="5" t="s">
        <v>4</v>
      </c>
      <c r="D7" s="6">
        <f>VLOOKUP($C$6, MotorSpecs, 2, FALSE)</f>
        <v>18730</v>
      </c>
      <c r="E7" s="7">
        <f>D7*(D11/12)</f>
        <v>18730</v>
      </c>
      <c r="F7" s="1">
        <f>E7*PI()/30</f>
        <v>1961.4010133912275</v>
      </c>
      <c r="K7" s="1">
        <v>0</v>
      </c>
      <c r="L7" s="1">
        <v>0</v>
      </c>
      <c r="M7" s="1">
        <f>$D$15-R7</f>
        <v>5000</v>
      </c>
      <c r="N7" s="1">
        <f>0</f>
        <v>0</v>
      </c>
      <c r="O7" s="1">
        <f>MAX(-$D$11/12, MIN($D$11/12, $D$27*M7+$D$28*N7))</f>
        <v>1</v>
      </c>
      <c r="P7" s="1">
        <f>($E$8*O7)*$D$20*(1-(L7*$D$20)/($F$7))</f>
        <v>3.8340000000000001</v>
      </c>
      <c r="Q7" s="1">
        <f>P7/($E$16+$D$20/$D$14*$E$18)</f>
        <v>112.35164835164836</v>
      </c>
      <c r="R7" s="1">
        <f>L7*30/PI()</f>
        <v>0</v>
      </c>
    </row>
    <row r="8" spans="2:18" x14ac:dyDescent="0.25">
      <c r="C8" s="8" t="s">
        <v>5</v>
      </c>
      <c r="D8" s="9">
        <f>VLOOKUP($C$6, MotorSpecs, 3, FALSE)</f>
        <v>0.71</v>
      </c>
      <c r="E8" s="10">
        <f>D8*D10*D12</f>
        <v>1.278</v>
      </c>
      <c r="K8" s="1">
        <f>K7+$D$30</f>
        <v>0.05</v>
      </c>
      <c r="L8" s="1">
        <f>L7+Q7*$D$30</f>
        <v>5.6175824175824189</v>
      </c>
      <c r="M8" s="1">
        <f t="shared" ref="M8:M71" si="0">$D$15-R8</f>
        <v>4946.3560394009382</v>
      </c>
      <c r="N8" s="1">
        <f>N7+M7*$D$30</f>
        <v>250</v>
      </c>
      <c r="O8" s="1">
        <f>MAX(-$D$11/12, MIN($D$11/12, $D$27*M8+$D$28*N8))</f>
        <v>1</v>
      </c>
      <c r="P8" s="1">
        <f t="shared" ref="P8:P71" si="1">($E$8*O8)*$D$20*(1-(L8*$D$20)/($F$7))</f>
        <v>3.8010575101542763</v>
      </c>
      <c r="Q8" s="1">
        <f>P8/($E$16+$D$20/$D$14*$E$18)</f>
        <v>111.38630066386159</v>
      </c>
      <c r="R8" s="1">
        <f>L8*30/PI()</f>
        <v>53.643960599061707</v>
      </c>
    </row>
    <row r="9" spans="2:18" x14ac:dyDescent="0.25">
      <c r="K9" s="1">
        <f t="shared" ref="K9:K72" si="2">K8+$D$30</f>
        <v>0.1</v>
      </c>
      <c r="L9" s="1">
        <f t="shared" ref="L9:L72" si="3">L8+Q8*$D$30</f>
        <v>11.186897450775499</v>
      </c>
      <c r="M9" s="1">
        <f t="shared" si="0"/>
        <v>4893.1729983708174</v>
      </c>
      <c r="N9" s="1">
        <f t="shared" ref="N9:N72" si="4">N8+M8*$D$30</f>
        <v>497.31780197004696</v>
      </c>
      <c r="O9" s="1">
        <f t="shared" ref="O9:O72" si="5">MAX(-$D$11/12, MIN($D$11/12, $D$27*M9+$D$28*N9))</f>
        <v>1</v>
      </c>
      <c r="P9" s="1">
        <f t="shared" si="1"/>
        <v>3.7683980687272367</v>
      </c>
      <c r="Q9" s="1">
        <f t="shared" ref="Q9:Q72" si="6">P9/($E$16+$D$20/$D$14*$E$18)</f>
        <v>110.42924743523039</v>
      </c>
      <c r="R9" s="1">
        <f t="shared" ref="R9:R72" si="7">L9*30/PI()</f>
        <v>106.82700162918262</v>
      </c>
    </row>
    <row r="10" spans="2:18" x14ac:dyDescent="0.25">
      <c r="C10" s="11" t="s">
        <v>6</v>
      </c>
      <c r="D10" s="12">
        <v>2</v>
      </c>
      <c r="G10" s="11" t="s">
        <v>7</v>
      </c>
      <c r="H10" s="20">
        <f>(($E$7/60)/$E$8) * (($D$16*IF($B$4,0.001^2,0.0254^2/2.2))/$D$14^2 + ($D$18*$D$19^2/2*IF($B$4,0.001^2,0.0254^2/2.2))/$D$20^2) * LN(($E$7)/($E$7-$D$14*$D$15))</f>
        <v>1.4945606485574623</v>
      </c>
      <c r="K10" s="1">
        <f t="shared" si="2"/>
        <v>0.15000000000000002</v>
      </c>
      <c r="L10" s="1">
        <f t="shared" si="3"/>
        <v>16.70835982253702</v>
      </c>
      <c r="M10" s="1">
        <f t="shared" si="0"/>
        <v>4840.4469165971122</v>
      </c>
      <c r="N10" s="1">
        <f t="shared" si="4"/>
        <v>741.9764518885878</v>
      </c>
      <c r="O10" s="1">
        <f t="shared" si="5"/>
        <v>1</v>
      </c>
      <c r="P10" s="1">
        <f t="shared" si="1"/>
        <v>3.7360192437106243</v>
      </c>
      <c r="Q10" s="1">
        <f t="shared" si="6"/>
        <v>109.48041739811354</v>
      </c>
      <c r="R10" s="1">
        <f t="shared" si="7"/>
        <v>159.55308340288738</v>
      </c>
    </row>
    <row r="11" spans="2:18" x14ac:dyDescent="0.25">
      <c r="C11" s="11" t="s">
        <v>8</v>
      </c>
      <c r="D11" s="12">
        <v>12</v>
      </c>
      <c r="G11" s="11" t="s">
        <v>17</v>
      </c>
      <c r="H11" s="19">
        <f>D15*D14/D7*12</f>
        <v>9.6102509343299509</v>
      </c>
      <c r="K11" s="1">
        <f t="shared" si="2"/>
        <v>0.2</v>
      </c>
      <c r="L11" s="1">
        <f t="shared" si="3"/>
        <v>22.182380692442699</v>
      </c>
      <c r="M11" s="1">
        <f t="shared" si="0"/>
        <v>4788.1738677950916</v>
      </c>
      <c r="N11" s="1">
        <f t="shared" si="4"/>
        <v>983.99879771844348</v>
      </c>
      <c r="O11" s="1">
        <f t="shared" si="5"/>
        <v>1</v>
      </c>
      <c r="P11" s="1">
        <f t="shared" si="1"/>
        <v>3.7039186239924797</v>
      </c>
      <c r="Q11" s="1">
        <f t="shared" si="6"/>
        <v>108.53973989721554</v>
      </c>
      <c r="R11" s="1">
        <f t="shared" si="7"/>
        <v>211.82613220490856</v>
      </c>
    </row>
    <row r="12" spans="2:18" x14ac:dyDescent="0.25">
      <c r="C12" s="11" t="s">
        <v>9</v>
      </c>
      <c r="D12" s="13">
        <v>0.9</v>
      </c>
      <c r="K12" s="1">
        <f t="shared" si="2"/>
        <v>0.25</v>
      </c>
      <c r="L12" s="1">
        <f t="shared" si="3"/>
        <v>27.609367687303475</v>
      </c>
      <c r="M12" s="1">
        <f t="shared" si="0"/>
        <v>4736.34995941544</v>
      </c>
      <c r="N12" s="1">
        <f t="shared" si="4"/>
        <v>1223.407491108198</v>
      </c>
      <c r="O12" s="1">
        <f t="shared" si="5"/>
        <v>1</v>
      </c>
      <c r="P12" s="1">
        <f t="shared" si="1"/>
        <v>3.6720938191775971</v>
      </c>
      <c r="Q12" s="1">
        <f t="shared" si="6"/>
        <v>107.60714488432521</v>
      </c>
      <c r="R12" s="1">
        <f t="shared" si="7"/>
        <v>263.65004058455992</v>
      </c>
    </row>
    <row r="13" spans="2:18" x14ac:dyDescent="0.25">
      <c r="G13" s="11" t="s">
        <v>10</v>
      </c>
      <c r="H13" s="14">
        <f>60/(2*PI())*SQRT((2*PI()/60*D15)^2-(D25*(D22/IF($B$4,1,2.2))*D23*(D24/IF($B$4,1,3.281))^2)/((D16*IF($B$4,0.001^2,0.0254^2/2.2))+(D14/D20)^2*((D18/IF($B$4,1,2.2))*(D19*IF($B$4,0.001,0.0254))^2/2)))</f>
        <v>4939.5094306771771</v>
      </c>
      <c r="I13" s="15"/>
      <c r="K13" s="1">
        <f t="shared" si="2"/>
        <v>0.3</v>
      </c>
      <c r="L13" s="1">
        <f t="shared" si="3"/>
        <v>32.989724931519739</v>
      </c>
      <c r="M13" s="1">
        <f t="shared" si="0"/>
        <v>4684.971332354402</v>
      </c>
      <c r="N13" s="1">
        <f t="shared" si="4"/>
        <v>1460.2249890789699</v>
      </c>
      <c r="O13" s="1">
        <f t="shared" si="5"/>
        <v>1</v>
      </c>
      <c r="P13" s="1">
        <f t="shared" si="1"/>
        <v>3.640542459409521</v>
      </c>
      <c r="Q13" s="1">
        <f t="shared" si="6"/>
        <v>106.68256291309953</v>
      </c>
      <c r="R13" s="1">
        <f t="shared" si="7"/>
        <v>315.02866764559832</v>
      </c>
    </row>
    <row r="14" spans="2:18" x14ac:dyDescent="0.25">
      <c r="C14" s="11" t="s">
        <v>11</v>
      </c>
      <c r="D14" s="16">
        <v>3</v>
      </c>
      <c r="G14" s="11" t="s">
        <v>12</v>
      </c>
      <c r="H14" s="20">
        <f>(($E$7/60)/$E$8) * (($D$16*IF($B$4,0.001^2,0.0254^2/2.2))/$D$14^2 + ($D$18*$D$19^2/2*IF($B$4,0.001^2,0.0254^2/2.2))/$D$20^2) * LN(($E$7-$D$14*H13)/($E$7-$D$14*$D$15))</f>
        <v>4.3997641947944824E-2</v>
      </c>
      <c r="K14" s="1">
        <f t="shared" si="2"/>
        <v>0.35</v>
      </c>
      <c r="L14" s="1">
        <f t="shared" si="3"/>
        <v>38.323853077174718</v>
      </c>
      <c r="M14" s="1">
        <f t="shared" si="0"/>
        <v>4634.034160666406</v>
      </c>
      <c r="N14" s="1">
        <f t="shared" si="4"/>
        <v>1694.47355569669</v>
      </c>
      <c r="O14" s="1">
        <f t="shared" si="5"/>
        <v>1</v>
      </c>
      <c r="P14" s="1">
        <f t="shared" si="1"/>
        <v>3.6092621951940735</v>
      </c>
      <c r="Q14" s="1">
        <f t="shared" si="6"/>
        <v>105.76592513389228</v>
      </c>
      <c r="R14" s="1">
        <f t="shared" si="7"/>
        <v>365.96583933359403</v>
      </c>
    </row>
    <row r="15" spans="2:18" x14ac:dyDescent="0.25">
      <c r="C15" s="11" t="s">
        <v>13</v>
      </c>
      <c r="D15" s="12">
        <v>5000</v>
      </c>
      <c r="E15" s="1">
        <f>D15*PI()/30</f>
        <v>523.59877559829886</v>
      </c>
      <c r="K15" s="1">
        <f t="shared" si="2"/>
        <v>0.39999999999999997</v>
      </c>
      <c r="L15" s="1">
        <f t="shared" si="3"/>
        <v>43.612149333869333</v>
      </c>
      <c r="M15" s="1">
        <f t="shared" si="0"/>
        <v>4583.5346512791675</v>
      </c>
      <c r="N15" s="1">
        <f t="shared" si="4"/>
        <v>1926.1752637300103</v>
      </c>
      <c r="O15" s="1">
        <f t="shared" si="5"/>
        <v>1</v>
      </c>
      <c r="P15" s="1">
        <f t="shared" si="1"/>
        <v>3.5782506972243984</v>
      </c>
      <c r="Q15" s="1">
        <f t="shared" si="6"/>
        <v>104.85716328862708</v>
      </c>
      <c r="R15" s="1">
        <f t="shared" si="7"/>
        <v>416.46534872083294</v>
      </c>
    </row>
    <row r="16" spans="2:18" x14ac:dyDescent="0.25">
      <c r="C16" s="11" t="str">
        <f>"Wheel MoI ("&amp;IF($B$4,"kg*mm^2","lb*in^2")&amp;")"</f>
        <v>Wheel MoI (kg*mm^2)</v>
      </c>
      <c r="D16" s="18">
        <v>375</v>
      </c>
      <c r="E16" s="1">
        <f>$D$16*IF($B$4,0.001^2,0.0254^2/2.2)</f>
        <v>3.7500000000000001E-4</v>
      </c>
      <c r="K16" s="1">
        <f t="shared" si="2"/>
        <v>0.44999999999999996</v>
      </c>
      <c r="L16" s="1">
        <f t="shared" si="3"/>
        <v>48.855007498300687</v>
      </c>
      <c r="M16" s="1">
        <f t="shared" si="0"/>
        <v>4533.4690437112304</v>
      </c>
      <c r="N16" s="1">
        <f t="shared" si="4"/>
        <v>2155.3519962939686</v>
      </c>
      <c r="O16" s="1">
        <f t="shared" si="5"/>
        <v>1</v>
      </c>
      <c r="P16" s="1">
        <f t="shared" si="1"/>
        <v>3.5475056562075054</v>
      </c>
      <c r="Q16" s="1">
        <f t="shared" si="6"/>
        <v>103.95620970571446</v>
      </c>
      <c r="R16" s="1">
        <f t="shared" si="7"/>
        <v>466.53095628876997</v>
      </c>
    </row>
    <row r="17" spans="3:18" x14ac:dyDescent="0.25">
      <c r="K17" s="1">
        <f t="shared" si="2"/>
        <v>0.49999999999999994</v>
      </c>
      <c r="L17" s="1">
        <f t="shared" si="3"/>
        <v>54.052817983586408</v>
      </c>
      <c r="M17" s="1">
        <f t="shared" si="0"/>
        <v>4483.8336097919437</v>
      </c>
      <c r="N17" s="1">
        <f t="shared" si="4"/>
        <v>2382.02544847953</v>
      </c>
      <c r="O17" s="1">
        <f t="shared" si="5"/>
        <v>1</v>
      </c>
      <c r="P17" s="1">
        <f t="shared" si="1"/>
        <v>3.5170247826923084</v>
      </c>
      <c r="Q17" s="1">
        <f t="shared" si="6"/>
        <v>103.06299729501272</v>
      </c>
      <c r="R17" s="1">
        <f t="shared" si="7"/>
        <v>516.16639020805633</v>
      </c>
    </row>
    <row r="18" spans="3:18" x14ac:dyDescent="0.25">
      <c r="C18" s="11" t="str">
        <f>"Flywheel Mass ("&amp;IF($B$4,"kg","lbs")&amp;")"</f>
        <v>Flywheel Mass (kg)</v>
      </c>
      <c r="D18" s="17">
        <v>3</v>
      </c>
      <c r="E18" s="1">
        <f>$D$18*$D$19^2/2*IF($B$4,0.001^2,0.0254^2/2.2)</f>
        <v>3.3749999999999995E-2</v>
      </c>
      <c r="K18" s="1">
        <f t="shared" si="2"/>
        <v>0.54999999999999993</v>
      </c>
      <c r="L18" s="1">
        <f t="shared" si="3"/>
        <v>59.205967848337046</v>
      </c>
      <c r="M18" s="1">
        <f t="shared" si="0"/>
        <v>4434.6246533838403</v>
      </c>
      <c r="N18" s="1">
        <f t="shared" si="4"/>
        <v>2606.2171289691273</v>
      </c>
      <c r="O18" s="1">
        <f t="shared" si="5"/>
        <v>1</v>
      </c>
      <c r="P18" s="1">
        <f t="shared" si="1"/>
        <v>3.4868058068991421</v>
      </c>
      <c r="Q18" s="1">
        <f t="shared" si="6"/>
        <v>102.17745954283201</v>
      </c>
      <c r="R18" s="1">
        <f t="shared" si="7"/>
        <v>565.37534661616007</v>
      </c>
    </row>
    <row r="19" spans="3:18" x14ac:dyDescent="0.25">
      <c r="C19" s="11" t="str">
        <f>"Flywheel Radius ("&amp;IF($B$4,"mm","in")&amp;")"</f>
        <v>Flywheel Radius (mm)</v>
      </c>
      <c r="D19" s="18">
        <v>150</v>
      </c>
      <c r="K19" s="1">
        <f t="shared" si="2"/>
        <v>0.6</v>
      </c>
      <c r="L19" s="1">
        <f t="shared" si="3"/>
        <v>64.314840825478655</v>
      </c>
      <c r="M19" s="1">
        <f t="shared" si="0"/>
        <v>4385.8385101073982</v>
      </c>
      <c r="N19" s="1">
        <f t="shared" si="4"/>
        <v>2827.9483616383195</v>
      </c>
      <c r="O19" s="1">
        <f t="shared" si="5"/>
        <v>1</v>
      </c>
      <c r="P19" s="1">
        <f t="shared" si="1"/>
        <v>3.4568464785507365</v>
      </c>
      <c r="Q19" s="1">
        <f t="shared" si="6"/>
        <v>101.2995305069813</v>
      </c>
      <c r="R19" s="1">
        <f t="shared" si="7"/>
        <v>614.16148989260171</v>
      </c>
    </row>
    <row r="20" spans="3:18" x14ac:dyDescent="0.25">
      <c r="C20" s="11" t="s">
        <v>15</v>
      </c>
      <c r="D20" s="16">
        <v>3</v>
      </c>
      <c r="K20" s="1">
        <f t="shared" si="2"/>
        <v>0.65</v>
      </c>
      <c r="L20" s="1">
        <f t="shared" si="3"/>
        <v>69.379817350827722</v>
      </c>
      <c r="M20" s="1">
        <f t="shared" si="0"/>
        <v>4337.4715470681749</v>
      </c>
      <c r="N20" s="1">
        <f t="shared" si="4"/>
        <v>3047.2402871436893</v>
      </c>
      <c r="O20" s="1">
        <f t="shared" si="5"/>
        <v>1</v>
      </c>
      <c r="P20" s="1">
        <f t="shared" si="1"/>
        <v>3.4271445667046532</v>
      </c>
      <c r="Q20" s="1">
        <f t="shared" si="6"/>
        <v>100.42914481185798</v>
      </c>
      <c r="R20" s="1">
        <f t="shared" si="7"/>
        <v>662.52845293182475</v>
      </c>
    </row>
    <row r="21" spans="3:18" x14ac:dyDescent="0.25">
      <c r="K21" s="1">
        <f t="shared" si="2"/>
        <v>0.70000000000000007</v>
      </c>
      <c r="L21" s="1">
        <f t="shared" si="3"/>
        <v>74.401274591420616</v>
      </c>
      <c r="M21" s="1">
        <f t="shared" si="0"/>
        <v>4289.5201625862783</v>
      </c>
      <c r="N21" s="1">
        <f t="shared" si="4"/>
        <v>3264.1138644970979</v>
      </c>
      <c r="O21" s="1">
        <f t="shared" si="5"/>
        <v>1</v>
      </c>
      <c r="P21" s="1">
        <f t="shared" si="1"/>
        <v>3.397697859587153</v>
      </c>
      <c r="Q21" s="1">
        <f t="shared" si="6"/>
        <v>99.566237643579584</v>
      </c>
      <c r="R21" s="1">
        <f t="shared" si="7"/>
        <v>710.47983741372161</v>
      </c>
    </row>
    <row r="22" spans="3:18" x14ac:dyDescent="0.25">
      <c r="C22" s="11" t="str">
        <f>"Object Mass ("&amp;IF($B$4,"kg","lbs")&amp;")"</f>
        <v>Object Mass (kg)</v>
      </c>
      <c r="D22" s="17">
        <v>0.3</v>
      </c>
      <c r="K22" s="1">
        <f t="shared" si="2"/>
        <v>0.75000000000000011</v>
      </c>
      <c r="L22" s="1">
        <f t="shared" si="3"/>
        <v>79.379586473599602</v>
      </c>
      <c r="M22" s="1">
        <f t="shared" si="0"/>
        <v>4241.9807859281646</v>
      </c>
      <c r="N22" s="1">
        <f t="shared" si="4"/>
        <v>3478.5898726264118</v>
      </c>
      <c r="O22" s="1">
        <f t="shared" si="5"/>
        <v>1</v>
      </c>
      <c r="P22" s="1">
        <f t="shared" si="1"/>
        <v>3.3685041644284968</v>
      </c>
      <c r="Q22" s="1">
        <f t="shared" si="6"/>
        <v>98.710744745157427</v>
      </c>
      <c r="R22" s="1">
        <f t="shared" si="7"/>
        <v>758.01921407183579</v>
      </c>
    </row>
    <row r="23" spans="3:18" x14ac:dyDescent="0.25">
      <c r="C23" s="11" t="s">
        <v>16</v>
      </c>
      <c r="D23" s="18">
        <v>5</v>
      </c>
      <c r="K23" s="1">
        <f t="shared" si="2"/>
        <v>0.80000000000000016</v>
      </c>
      <c r="L23" s="1">
        <f t="shared" si="3"/>
        <v>84.315123710857478</v>
      </c>
      <c r="M23" s="1">
        <f t="shared" si="0"/>
        <v>4194.8498770407414</v>
      </c>
      <c r="N23" s="1">
        <f t="shared" si="4"/>
        <v>3690.6889119228199</v>
      </c>
      <c r="O23" s="1">
        <f t="shared" si="5"/>
        <v>1</v>
      </c>
      <c r="P23" s="1">
        <f t="shared" si="1"/>
        <v>3.3395613072996593</v>
      </c>
      <c r="Q23" s="1">
        <f t="shared" si="6"/>
        <v>97.862602411711634</v>
      </c>
      <c r="R23" s="1">
        <f t="shared" si="7"/>
        <v>805.15012295925828</v>
      </c>
    </row>
    <row r="24" spans="3:18" x14ac:dyDescent="0.25">
      <c r="C24" s="11" t="str">
        <f>"Exit Velocity ("&amp;IF($B$4,"m","ft")&amp;"/s)"</f>
        <v>Exit Velocity (m/s)</v>
      </c>
      <c r="D24" s="17">
        <v>9.9999999999999929</v>
      </c>
      <c r="K24" s="1">
        <f t="shared" si="2"/>
        <v>0.8500000000000002</v>
      </c>
      <c r="L24" s="1">
        <f t="shared" si="3"/>
        <v>89.208253831443059</v>
      </c>
      <c r="M24" s="1">
        <f t="shared" si="0"/>
        <v>4148.1239262877598</v>
      </c>
      <c r="N24" s="1">
        <f t="shared" si="4"/>
        <v>3900.431405774857</v>
      </c>
      <c r="O24" s="1">
        <f t="shared" si="5"/>
        <v>1</v>
      </c>
      <c r="P24" s="1">
        <f t="shared" si="1"/>
        <v>3.310867132950444</v>
      </c>
      <c r="Q24" s="1">
        <f t="shared" si="6"/>
        <v>97.021747485727303</v>
      </c>
      <c r="R24" s="1">
        <f t="shared" si="7"/>
        <v>851.87607371224055</v>
      </c>
    </row>
    <row r="25" spans="3:18" x14ac:dyDescent="0.25">
      <c r="C25" s="11" t="s">
        <v>14</v>
      </c>
      <c r="D25" s="12">
        <v>1.5</v>
      </c>
      <c r="K25" s="1">
        <f t="shared" si="2"/>
        <v>0.90000000000000024</v>
      </c>
      <c r="L25" s="1">
        <f t="shared" si="3"/>
        <v>94.059341205729424</v>
      </c>
      <c r="M25" s="1">
        <f t="shared" si="0"/>
        <v>4101.7994541884582</v>
      </c>
      <c r="N25" s="1">
        <f t="shared" si="4"/>
        <v>4107.8376020892447</v>
      </c>
      <c r="O25" s="1">
        <f t="shared" si="5"/>
        <v>1</v>
      </c>
      <c r="P25" s="1">
        <f t="shared" si="1"/>
        <v>3.2824195046489932</v>
      </c>
      <c r="Q25" s="1">
        <f t="shared" si="6"/>
        <v>96.188117352351469</v>
      </c>
      <c r="R25" s="1">
        <f t="shared" si="7"/>
        <v>898.20054581154204</v>
      </c>
    </row>
    <row r="26" spans="3:18" x14ac:dyDescent="0.25">
      <c r="K26" s="1">
        <f t="shared" si="2"/>
        <v>0.95000000000000029</v>
      </c>
      <c r="L26" s="1">
        <f t="shared" si="3"/>
        <v>98.868747073346995</v>
      </c>
      <c r="M26" s="1">
        <f t="shared" si="0"/>
        <v>4055.8730111584682</v>
      </c>
      <c r="N26" s="1">
        <f t="shared" si="4"/>
        <v>4312.9275747986676</v>
      </c>
      <c r="O26" s="1">
        <f t="shared" si="5"/>
        <v>1</v>
      </c>
      <c r="P26" s="1">
        <f t="shared" si="1"/>
        <v>3.254216304022675</v>
      </c>
      <c r="Q26" s="1">
        <f t="shared" si="6"/>
        <v>95.361649934730423</v>
      </c>
      <c r="R26" s="1">
        <f t="shared" si="7"/>
        <v>944.12698884153201</v>
      </c>
    </row>
    <row r="27" spans="3:18" x14ac:dyDescent="0.25">
      <c r="C27" s="1" t="s">
        <v>21</v>
      </c>
      <c r="D27" s="1">
        <v>0.01</v>
      </c>
      <c r="K27" s="1">
        <f t="shared" si="2"/>
        <v>1.0000000000000002</v>
      </c>
      <c r="L27" s="1">
        <f t="shared" si="3"/>
        <v>103.63682957008352</v>
      </c>
      <c r="M27" s="1">
        <f t="shared" si="0"/>
        <v>4010.3411772529344</v>
      </c>
      <c r="N27" s="1">
        <f t="shared" si="4"/>
        <v>4515.7212253565913</v>
      </c>
      <c r="O27" s="1">
        <f t="shared" si="5"/>
        <v>1</v>
      </c>
      <c r="P27" s="1">
        <f t="shared" si="1"/>
        <v>3.2262554309003337</v>
      </c>
      <c r="Q27" s="1">
        <f t="shared" si="6"/>
        <v>94.542283689387077</v>
      </c>
      <c r="R27" s="1">
        <f t="shared" si="7"/>
        <v>989.65882274706587</v>
      </c>
    </row>
    <row r="28" spans="3:18" x14ac:dyDescent="0.25">
      <c r="C28" s="1" t="s">
        <v>22</v>
      </c>
      <c r="D28" s="1">
        <v>0</v>
      </c>
      <c r="K28" s="1">
        <f t="shared" si="2"/>
        <v>1.0500000000000003</v>
      </c>
      <c r="L28" s="1">
        <f t="shared" si="3"/>
        <v>108.36394375455288</v>
      </c>
      <c r="M28" s="1">
        <f t="shared" si="0"/>
        <v>3965.2005619118472</v>
      </c>
      <c r="N28" s="1">
        <f t="shared" si="4"/>
        <v>4716.2382842192383</v>
      </c>
      <c r="O28" s="1">
        <f t="shared" si="5"/>
        <v>1</v>
      </c>
      <c r="P28" s="1">
        <f t="shared" si="1"/>
        <v>3.1985348031559035</v>
      </c>
      <c r="Q28" s="1">
        <f t="shared" si="6"/>
        <v>93.729957601638205</v>
      </c>
      <c r="R28" s="1">
        <f t="shared" si="7"/>
        <v>1034.7994380881528</v>
      </c>
    </row>
    <row r="29" spans="3:18" x14ac:dyDescent="0.25">
      <c r="K29" s="1">
        <f t="shared" si="2"/>
        <v>1.1000000000000003</v>
      </c>
      <c r="L29" s="1">
        <f t="shared" si="3"/>
        <v>113.05044163463479</v>
      </c>
      <c r="M29" s="1">
        <f t="shared" si="0"/>
        <v>3920.4478037075642</v>
      </c>
      <c r="N29" s="1">
        <f t="shared" si="4"/>
        <v>4914.4983123148304</v>
      </c>
      <c r="O29" s="1">
        <f t="shared" si="5"/>
        <v>1</v>
      </c>
      <c r="P29" s="1">
        <f t="shared" si="1"/>
        <v>3.1710523565533584</v>
      </c>
      <c r="Q29" s="1">
        <f t="shared" si="6"/>
        <v>92.924611181050807</v>
      </c>
      <c r="R29" s="1">
        <f t="shared" si="7"/>
        <v>1079.5521962924361</v>
      </c>
    </row>
    <row r="30" spans="3:18" x14ac:dyDescent="0.25">
      <c r="C30" s="1" t="s">
        <v>28</v>
      </c>
      <c r="D30" s="1">
        <v>0.05</v>
      </c>
      <c r="K30" s="1">
        <f t="shared" si="2"/>
        <v>1.1500000000000004</v>
      </c>
      <c r="L30" s="1">
        <f t="shared" si="3"/>
        <v>117.69667219368733</v>
      </c>
      <c r="M30" s="1">
        <f t="shared" si="0"/>
        <v>3876.0795700944936</v>
      </c>
      <c r="N30" s="1">
        <f t="shared" si="4"/>
        <v>5110.5207025002082</v>
      </c>
      <c r="O30" s="1">
        <f t="shared" si="5"/>
        <v>1</v>
      </c>
      <c r="P30" s="1">
        <f t="shared" si="1"/>
        <v>3.1438060445929992</v>
      </c>
      <c r="Q30" s="1">
        <f t="shared" si="6"/>
        <v>92.126184456937722</v>
      </c>
      <c r="R30" s="1">
        <f t="shared" si="7"/>
        <v>1123.9204299055061</v>
      </c>
    </row>
    <row r="31" spans="3:18" x14ac:dyDescent="0.25">
      <c r="K31" s="1">
        <f t="shared" si="2"/>
        <v>1.2000000000000004</v>
      </c>
      <c r="L31" s="1">
        <f t="shared" si="3"/>
        <v>122.30298141653422</v>
      </c>
      <c r="M31" s="1">
        <f t="shared" si="0"/>
        <v>3832.0925571609419</v>
      </c>
      <c r="N31" s="1">
        <f t="shared" si="4"/>
        <v>5304.3246810049332</v>
      </c>
      <c r="O31" s="1">
        <f t="shared" si="5"/>
        <v>1</v>
      </c>
      <c r="P31" s="1">
        <f t="shared" si="1"/>
        <v>3.1167938383590577</v>
      </c>
      <c r="Q31" s="1">
        <f t="shared" si="6"/>
        <v>91.33461797389181</v>
      </c>
      <c r="R31" s="1">
        <f t="shared" si="7"/>
        <v>1167.9074428390581</v>
      </c>
    </row>
    <row r="32" spans="3:18" x14ac:dyDescent="0.25">
      <c r="K32" s="1">
        <f t="shared" si="2"/>
        <v>1.2500000000000004</v>
      </c>
      <c r="L32" s="1">
        <f t="shared" si="3"/>
        <v>126.86971231522881</v>
      </c>
      <c r="M32" s="1">
        <f t="shared" si="0"/>
        <v>3788.4834893830775</v>
      </c>
      <c r="N32" s="1">
        <f t="shared" si="4"/>
        <v>5495.9293088629802</v>
      </c>
      <c r="O32" s="1">
        <f t="shared" si="5"/>
        <v>1</v>
      </c>
      <c r="P32" s="1">
        <f t="shared" si="1"/>
        <v>3.0900137263686149</v>
      </c>
      <c r="Q32" s="1">
        <f t="shared" si="6"/>
        <v>90.549852787358688</v>
      </c>
      <c r="R32" s="1">
        <f t="shared" si="7"/>
        <v>1211.5165106169225</v>
      </c>
    </row>
    <row r="33" spans="11:18" x14ac:dyDescent="0.25">
      <c r="K33" s="1">
        <f t="shared" si="2"/>
        <v>1.3000000000000005</v>
      </c>
      <c r="L33" s="1">
        <f t="shared" si="3"/>
        <v>131.39720495459673</v>
      </c>
      <c r="M33" s="1">
        <f t="shared" si="0"/>
        <v>3745.2491193810229</v>
      </c>
      <c r="N33" s="1">
        <f t="shared" si="4"/>
        <v>5685.3534833321337</v>
      </c>
      <c r="O33" s="1">
        <f t="shared" si="5"/>
        <v>1</v>
      </c>
      <c r="P33" s="1">
        <f t="shared" si="1"/>
        <v>3.0634637144218111</v>
      </c>
      <c r="Q33" s="1">
        <f t="shared" si="6"/>
        <v>89.771830459247226</v>
      </c>
      <c r="R33" s="1">
        <f t="shared" si="7"/>
        <v>1254.7508806189771</v>
      </c>
    </row>
    <row r="34" spans="11:18" x14ac:dyDescent="0.25">
      <c r="K34" s="1">
        <f t="shared" si="2"/>
        <v>1.3500000000000005</v>
      </c>
      <c r="L34" s="1">
        <f t="shared" si="3"/>
        <v>135.8857964775591</v>
      </c>
      <c r="M34" s="1">
        <f t="shared" si="0"/>
        <v>3702.3862276770324</v>
      </c>
      <c r="N34" s="1">
        <f t="shared" si="4"/>
        <v>5872.6159393011849</v>
      </c>
      <c r="O34" s="1">
        <f t="shared" si="5"/>
        <v>1</v>
      </c>
      <c r="P34" s="1">
        <f t="shared" si="1"/>
        <v>3.0371418254533493</v>
      </c>
      <c r="Q34" s="1">
        <f t="shared" si="6"/>
        <v>89.000493053578012</v>
      </c>
      <c r="R34" s="1">
        <f t="shared" si="7"/>
        <v>1297.6137723229674</v>
      </c>
    </row>
    <row r="35" spans="11:18" x14ac:dyDescent="0.25">
      <c r="K35" s="1">
        <f t="shared" si="2"/>
        <v>1.4000000000000006</v>
      </c>
      <c r="L35" s="1">
        <f t="shared" si="3"/>
        <v>140.335821130238</v>
      </c>
      <c r="M35" s="1">
        <f t="shared" si="0"/>
        <v>3659.8916224557543</v>
      </c>
      <c r="N35" s="1">
        <f t="shared" si="4"/>
        <v>6057.7352506850366</v>
      </c>
      <c r="O35" s="1">
        <f t="shared" si="5"/>
        <v>1</v>
      </c>
      <c r="P35" s="1">
        <f t="shared" si="1"/>
        <v>3.0110460993852688</v>
      </c>
      <c r="Q35" s="1">
        <f t="shared" si="6"/>
        <v>88.235783132169061</v>
      </c>
      <c r="R35" s="1">
        <f t="shared" si="7"/>
        <v>1340.108377544246</v>
      </c>
    </row>
    <row r="36" spans="11:18" x14ac:dyDescent="0.25">
      <c r="K36" s="1">
        <f t="shared" si="2"/>
        <v>1.4500000000000006</v>
      </c>
      <c r="L36" s="1">
        <f t="shared" si="3"/>
        <v>144.74761028684645</v>
      </c>
      <c r="M36" s="1">
        <f t="shared" si="0"/>
        <v>3617.7621393265463</v>
      </c>
      <c r="N36" s="1">
        <f t="shared" si="4"/>
        <v>6240.7298318078247</v>
      </c>
      <c r="O36" s="1">
        <f t="shared" si="5"/>
        <v>1</v>
      </c>
      <c r="P36" s="1">
        <f t="shared" si="1"/>
        <v>2.9851745929809894</v>
      </c>
      <c r="Q36" s="1">
        <f t="shared" si="6"/>
        <v>87.477643750358681</v>
      </c>
      <c r="R36" s="1">
        <f t="shared" si="7"/>
        <v>1382.2378606734535</v>
      </c>
    </row>
    <row r="37" spans="11:18" x14ac:dyDescent="0.25">
      <c r="K37" s="1">
        <f t="shared" si="2"/>
        <v>1.5000000000000007</v>
      </c>
      <c r="L37" s="1">
        <f t="shared" si="3"/>
        <v>149.12149247436437</v>
      </c>
      <c r="M37" s="1">
        <f t="shared" si="0"/>
        <v>3575.9946410878424</v>
      </c>
      <c r="N37" s="1">
        <f t="shared" si="4"/>
        <v>6421.6179387741522</v>
      </c>
      <c r="O37" s="1">
        <f t="shared" si="5"/>
        <v>1</v>
      </c>
      <c r="P37" s="1">
        <f t="shared" si="1"/>
        <v>2.9595253797006067</v>
      </c>
      <c r="Q37" s="1">
        <f t="shared" si="6"/>
        <v>86.726018452765047</v>
      </c>
      <c r="R37" s="1">
        <f t="shared" si="7"/>
        <v>1424.0053589121576</v>
      </c>
    </row>
    <row r="38" spans="11:18" x14ac:dyDescent="0.25">
      <c r="K38" s="1">
        <f t="shared" si="2"/>
        <v>1.5500000000000007</v>
      </c>
      <c r="L38" s="1">
        <f t="shared" si="3"/>
        <v>153.45779339700263</v>
      </c>
      <c r="M38" s="1">
        <f t="shared" si="0"/>
        <v>3534.5860174935328</v>
      </c>
      <c r="N38" s="1">
        <f t="shared" si="4"/>
        <v>6600.417670828544</v>
      </c>
      <c r="O38" s="1">
        <f t="shared" si="5"/>
        <v>1</v>
      </c>
      <c r="P38" s="1">
        <f t="shared" si="1"/>
        <v>2.9340965495574274</v>
      </c>
      <c r="Q38" s="1">
        <f t="shared" si="6"/>
        <v>85.980851269082137</v>
      </c>
      <c r="R38" s="1">
        <f t="shared" si="7"/>
        <v>1465.4139825064672</v>
      </c>
    </row>
    <row r="39" spans="11:18" x14ac:dyDescent="0.25">
      <c r="K39" s="1">
        <f t="shared" si="2"/>
        <v>1.6000000000000008</v>
      </c>
      <c r="L39" s="1">
        <f t="shared" si="3"/>
        <v>157.75683596045673</v>
      </c>
      <c r="M39" s="1">
        <f t="shared" si="0"/>
        <v>3493.5331850213624</v>
      </c>
      <c r="N39" s="1">
        <f t="shared" si="4"/>
        <v>6777.1469717032205</v>
      </c>
      <c r="O39" s="1">
        <f t="shared" si="5"/>
        <v>1</v>
      </c>
      <c r="P39" s="1">
        <f t="shared" si="1"/>
        <v>2.9088862089757455</v>
      </c>
      <c r="Q39" s="1">
        <f t="shared" si="6"/>
        <v>85.242086709911959</v>
      </c>
      <c r="R39" s="1">
        <f t="shared" si="7"/>
        <v>1506.4668149786376</v>
      </c>
    </row>
    <row r="40" spans="11:18" x14ac:dyDescent="0.25">
      <c r="K40" s="1">
        <f t="shared" si="2"/>
        <v>1.6500000000000008</v>
      </c>
      <c r="L40" s="1">
        <f t="shared" si="3"/>
        <v>162.01894029595232</v>
      </c>
      <c r="M40" s="1">
        <f t="shared" si="0"/>
        <v>3452.8330866433112</v>
      </c>
      <c r="N40" s="1">
        <f t="shared" si="4"/>
        <v>6951.823630954289</v>
      </c>
      <c r="O40" s="1">
        <f t="shared" si="5"/>
        <v>1</v>
      </c>
      <c r="P40" s="1">
        <f t="shared" si="1"/>
        <v>2.8838924806498327</v>
      </c>
      <c r="Q40" s="1">
        <f t="shared" si="6"/>
        <v>84.50966976263247</v>
      </c>
      <c r="R40" s="1">
        <f t="shared" si="7"/>
        <v>1547.1669133566888</v>
      </c>
    </row>
    <row r="41" spans="11:18" x14ac:dyDescent="0.25">
      <c r="K41" s="1">
        <f t="shared" si="2"/>
        <v>1.7000000000000008</v>
      </c>
      <c r="L41" s="1">
        <f t="shared" si="3"/>
        <v>166.24442378408395</v>
      </c>
      <c r="M41" s="1">
        <f t="shared" si="0"/>
        <v>3412.4826915979511</v>
      </c>
      <c r="N41" s="1">
        <f t="shared" si="4"/>
        <v>7124.4652852864547</v>
      </c>
      <c r="O41" s="1">
        <f t="shared" si="5"/>
        <v>1</v>
      </c>
      <c r="P41" s="1">
        <f t="shared" si="1"/>
        <v>2.8591135034041448</v>
      </c>
      <c r="Q41" s="1">
        <f t="shared" si="6"/>
        <v>83.78354588730096</v>
      </c>
      <c r="R41" s="1">
        <f t="shared" si="7"/>
        <v>1587.5173084020487</v>
      </c>
    </row>
    <row r="42" spans="11:18" x14ac:dyDescent="0.25">
      <c r="K42" s="1">
        <f t="shared" si="2"/>
        <v>1.7500000000000009</v>
      </c>
      <c r="L42" s="1">
        <f t="shared" si="3"/>
        <v>170.43360107844899</v>
      </c>
      <c r="M42" s="1">
        <f t="shared" si="0"/>
        <v>3372.4789951647599</v>
      </c>
      <c r="N42" s="1">
        <f t="shared" si="4"/>
        <v>7295.0894198663518</v>
      </c>
      <c r="O42" s="1">
        <f t="shared" si="5"/>
        <v>1</v>
      </c>
      <c r="P42" s="1">
        <f t="shared" si="1"/>
        <v>2.8345474320547286</v>
      </c>
      <c r="Q42" s="1">
        <f t="shared" si="6"/>
        <v>83.063661012592789</v>
      </c>
      <c r="R42" s="1">
        <f t="shared" si="7"/>
        <v>1627.5210048352403</v>
      </c>
    </row>
    <row r="43" spans="11:18" x14ac:dyDescent="0.25">
      <c r="K43" s="1">
        <f t="shared" si="2"/>
        <v>1.8000000000000009</v>
      </c>
      <c r="L43" s="1">
        <f t="shared" si="3"/>
        <v>174.58678412907864</v>
      </c>
      <c r="M43" s="1">
        <f t="shared" si="0"/>
        <v>3332.8190184403684</v>
      </c>
      <c r="N43" s="1">
        <f t="shared" si="4"/>
        <v>7463.7133696245901</v>
      </c>
      <c r="O43" s="1">
        <f t="shared" si="5"/>
        <v>1</v>
      </c>
      <c r="P43" s="1">
        <f t="shared" si="1"/>
        <v>2.8101924372718163</v>
      </c>
      <c r="Q43" s="1">
        <f t="shared" si="6"/>
        <v>82.349961531774852</v>
      </c>
      <c r="R43" s="1">
        <f t="shared" si="7"/>
        <v>1667.1809815596316</v>
      </c>
    </row>
    <row r="44" spans="11:18" x14ac:dyDescent="0.25">
      <c r="K44" s="1">
        <f t="shared" si="2"/>
        <v>1.850000000000001</v>
      </c>
      <c r="L44" s="1">
        <f t="shared" si="3"/>
        <v>178.70428220566737</v>
      </c>
      <c r="M44" s="1">
        <f t="shared" si="0"/>
        <v>3293.4998081167405</v>
      </c>
      <c r="N44" s="1">
        <f t="shared" si="4"/>
        <v>7630.3543205466085</v>
      </c>
      <c r="O44" s="1">
        <f t="shared" si="5"/>
        <v>1</v>
      </c>
      <c r="P44" s="1">
        <f t="shared" si="1"/>
        <v>2.7860467054436064</v>
      </c>
      <c r="Q44" s="1">
        <f t="shared" si="6"/>
        <v>81.642394298713754</v>
      </c>
      <c r="R44" s="1">
        <f t="shared" si="7"/>
        <v>1706.5001918832597</v>
      </c>
    </row>
    <row r="45" spans="11:18" x14ac:dyDescent="0.25">
      <c r="K45" s="1">
        <f t="shared" si="2"/>
        <v>1.900000000000001</v>
      </c>
      <c r="L45" s="1">
        <f t="shared" si="3"/>
        <v>182.78640192060305</v>
      </c>
      <c r="M45" s="1">
        <f t="shared" si="0"/>
        <v>3254.5184362612467</v>
      </c>
      <c r="N45" s="1">
        <f t="shared" si="4"/>
        <v>7795.0293109524455</v>
      </c>
      <c r="O45" s="1">
        <f t="shared" si="5"/>
        <v>1</v>
      </c>
      <c r="P45" s="1">
        <f t="shared" si="1"/>
        <v>2.76210843854121</v>
      </c>
      <c r="Q45" s="1">
        <f t="shared" si="6"/>
        <v>80.940906623918252</v>
      </c>
      <c r="R45" s="1">
        <f t="shared" si="7"/>
        <v>1745.4815637387533</v>
      </c>
    </row>
    <row r="46" spans="11:18" x14ac:dyDescent="0.25">
      <c r="K46" s="1">
        <f t="shared" si="2"/>
        <v>1.9500000000000011</v>
      </c>
      <c r="L46" s="1">
        <f t="shared" si="3"/>
        <v>186.83344725179896</v>
      </c>
      <c r="M46" s="1">
        <f t="shared" si="0"/>
        <v>3215.8720000986386</v>
      </c>
      <c r="N46" s="1">
        <f t="shared" si="4"/>
        <v>7957.7552327655076</v>
      </c>
      <c r="O46" s="1">
        <f t="shared" si="5"/>
        <v>1</v>
      </c>
      <c r="P46" s="1">
        <f t="shared" si="1"/>
        <v>2.7383758539847594</v>
      </c>
      <c r="Q46" s="1">
        <f t="shared" si="6"/>
        <v>80.245446270615673</v>
      </c>
      <c r="R46" s="1">
        <f t="shared" si="7"/>
        <v>1784.1279999013616</v>
      </c>
    </row>
    <row r="47" spans="11:18" x14ac:dyDescent="0.25">
      <c r="K47" s="1">
        <f t="shared" si="2"/>
        <v>2.0000000000000009</v>
      </c>
      <c r="L47" s="1">
        <f t="shared" si="3"/>
        <v>190.84571956532974</v>
      </c>
      <c r="M47" s="1">
        <f t="shared" si="0"/>
        <v>3177.5576217948874</v>
      </c>
      <c r="N47" s="1">
        <f t="shared" si="4"/>
        <v>8118.5488327704397</v>
      </c>
      <c r="O47" s="1">
        <f t="shared" si="5"/>
        <v>1</v>
      </c>
      <c r="P47" s="1">
        <f t="shared" si="1"/>
        <v>2.7148471845106674</v>
      </c>
      <c r="Q47" s="1">
        <f t="shared" si="6"/>
        <v>79.555961450862057</v>
      </c>
      <c r="R47" s="1">
        <f t="shared" si="7"/>
        <v>1822.4423782051124</v>
      </c>
    </row>
    <row r="48" spans="11:18" x14ac:dyDescent="0.25">
      <c r="K48" s="1">
        <f t="shared" si="2"/>
        <v>2.0500000000000007</v>
      </c>
      <c r="L48" s="1">
        <f t="shared" si="3"/>
        <v>194.82351763787284</v>
      </c>
      <c r="M48" s="1">
        <f t="shared" si="0"/>
        <v>3139.5724482428886</v>
      </c>
      <c r="N48" s="1">
        <f t="shared" si="4"/>
        <v>8277.4267138601845</v>
      </c>
      <c r="O48" s="1">
        <f t="shared" si="5"/>
        <v>1</v>
      </c>
      <c r="P48" s="1">
        <f t="shared" si="1"/>
        <v>2.6915206780400269</v>
      </c>
      <c r="Q48" s="1">
        <f t="shared" si="6"/>
        <v>78.872400821685787</v>
      </c>
      <c r="R48" s="1">
        <f t="shared" si="7"/>
        <v>1860.4275517571111</v>
      </c>
    </row>
    <row r="49" spans="11:18" x14ac:dyDescent="0.25">
      <c r="K49" s="1">
        <f t="shared" si="2"/>
        <v>2.1000000000000005</v>
      </c>
      <c r="L49" s="1">
        <f t="shared" si="3"/>
        <v>198.76713767895714</v>
      </c>
      <c r="M49" s="1">
        <f t="shared" si="0"/>
        <v>3101.9136508499987</v>
      </c>
      <c r="N49" s="1">
        <f t="shared" si="4"/>
        <v>8434.405336272328</v>
      </c>
      <c r="O49" s="1">
        <f t="shared" si="5"/>
        <v>1</v>
      </c>
      <c r="P49" s="1">
        <f t="shared" si="1"/>
        <v>2.6683945975481418</v>
      </c>
      <c r="Q49" s="1">
        <f t="shared" si="6"/>
        <v>78.194713481264245</v>
      </c>
      <c r="R49" s="1">
        <f t="shared" si="7"/>
        <v>1898.0863491500011</v>
      </c>
    </row>
    <row r="50" spans="11:18" x14ac:dyDescent="0.25">
      <c r="K50" s="1">
        <f t="shared" si="2"/>
        <v>2.1500000000000004</v>
      </c>
      <c r="L50" s="1">
        <f t="shared" si="3"/>
        <v>202.67687335302034</v>
      </c>
      <c r="M50" s="1">
        <f t="shared" si="0"/>
        <v>3064.578425327406</v>
      </c>
      <c r="N50" s="1">
        <f t="shared" si="4"/>
        <v>8589.5010188148281</v>
      </c>
      <c r="O50" s="1">
        <f t="shared" si="5"/>
        <v>1</v>
      </c>
      <c r="P50" s="1">
        <f t="shared" si="1"/>
        <v>2.6454672209351751</v>
      </c>
      <c r="Q50" s="1">
        <f t="shared" si="6"/>
        <v>77.522848965133349</v>
      </c>
      <c r="R50" s="1">
        <f t="shared" si="7"/>
        <v>1935.421574672594</v>
      </c>
    </row>
    <row r="51" spans="11:18" x14ac:dyDescent="0.25">
      <c r="K51" s="1">
        <f t="shared" si="2"/>
        <v>2.2000000000000002</v>
      </c>
      <c r="L51" s="1">
        <f t="shared" si="3"/>
        <v>206.55301580127701</v>
      </c>
      <c r="M51" s="1">
        <f t="shared" si="0"/>
        <v>3027.5639914813037</v>
      </c>
      <c r="N51" s="1">
        <f t="shared" si="4"/>
        <v>8742.7299400811989</v>
      </c>
      <c r="O51" s="1">
        <f t="shared" si="5"/>
        <v>1</v>
      </c>
      <c r="P51" s="1">
        <f t="shared" si="1"/>
        <v>2.6227368408979159</v>
      </c>
      <c r="Q51" s="1">
        <f t="shared" si="6"/>
        <v>76.856757242429779</v>
      </c>
      <c r="R51" s="1">
        <f t="shared" si="7"/>
        <v>1972.4360085186961</v>
      </c>
    </row>
    <row r="52" spans="11:18" x14ac:dyDescent="0.25">
      <c r="K52" s="1">
        <f t="shared" si="2"/>
        <v>2.25</v>
      </c>
      <c r="L52" s="1">
        <f t="shared" si="3"/>
        <v>210.3958536633985</v>
      </c>
      <c r="M52" s="1">
        <f t="shared" si="0"/>
        <v>2990.8675930058644</v>
      </c>
      <c r="N52" s="1">
        <f t="shared" si="4"/>
        <v>8894.1081396552636</v>
      </c>
      <c r="O52" s="1">
        <f t="shared" si="5"/>
        <v>1</v>
      </c>
      <c r="P52" s="1">
        <f t="shared" si="1"/>
        <v>2.6002017648026401</v>
      </c>
      <c r="Q52" s="1">
        <f t="shared" si="6"/>
        <v>76.196388712165287</v>
      </c>
      <c r="R52" s="1">
        <f t="shared" si="7"/>
        <v>2009.1324069941356</v>
      </c>
    </row>
    <row r="53" spans="11:18" x14ac:dyDescent="0.25">
      <c r="K53" s="1">
        <f t="shared" si="2"/>
        <v>2.2999999999999998</v>
      </c>
      <c r="L53" s="1">
        <f t="shared" si="3"/>
        <v>214.20567309900676</v>
      </c>
      <c r="M53" s="1">
        <f t="shared" si="0"/>
        <v>2954.4864972779865</v>
      </c>
      <c r="N53" s="1">
        <f t="shared" si="4"/>
        <v>9043.6515193055566</v>
      </c>
      <c r="O53" s="1">
        <f t="shared" si="5"/>
        <v>1</v>
      </c>
      <c r="P53" s="1">
        <f t="shared" si="1"/>
        <v>2.5778603145590711</v>
      </c>
      <c r="Q53" s="1">
        <f t="shared" si="6"/>
        <v>75.541694199533225</v>
      </c>
      <c r="R53" s="1">
        <f t="shared" si="7"/>
        <v>2045.5135027220135</v>
      </c>
    </row>
    <row r="54" spans="11:18" x14ac:dyDescent="0.25">
      <c r="K54" s="1">
        <f t="shared" si="2"/>
        <v>2.3499999999999996</v>
      </c>
      <c r="L54" s="1">
        <f t="shared" si="3"/>
        <v>217.98275780898342</v>
      </c>
      <c r="M54" s="1">
        <f t="shared" si="0"/>
        <v>2918.4179951538104</v>
      </c>
      <c r="N54" s="1">
        <f t="shared" si="4"/>
        <v>9191.3758441694554</v>
      </c>
      <c r="O54" s="1">
        <f t="shared" si="5"/>
        <v>1</v>
      </c>
      <c r="P54" s="1">
        <f t="shared" si="1"/>
        <v>2.5557108264954151</v>
      </c>
      <c r="Q54" s="1">
        <f t="shared" si="6"/>
        <v>74.892624952246607</v>
      </c>
      <c r="R54" s="1">
        <f t="shared" si="7"/>
        <v>2081.5820048461896</v>
      </c>
    </row>
    <row r="55" spans="11:18" x14ac:dyDescent="0.25">
      <c r="K55" s="1">
        <f t="shared" si="2"/>
        <v>2.3999999999999995</v>
      </c>
      <c r="L55" s="1">
        <f t="shared" si="3"/>
        <v>221.72738905659574</v>
      </c>
      <c r="M55" s="1">
        <f t="shared" si="0"/>
        <v>2882.6594007669778</v>
      </c>
      <c r="N55" s="1">
        <f t="shared" si="4"/>
        <v>9337.2967439271451</v>
      </c>
      <c r="O55" s="1">
        <f t="shared" si="5"/>
        <v>1</v>
      </c>
      <c r="P55" s="1">
        <f t="shared" si="1"/>
        <v>2.5337516512344784</v>
      </c>
      <c r="Q55" s="1">
        <f t="shared" si="6"/>
        <v>74.249132636907802</v>
      </c>
      <c r="R55" s="1">
        <f t="shared" si="7"/>
        <v>2117.3405992330222</v>
      </c>
    </row>
    <row r="56" spans="11:18" x14ac:dyDescent="0.25">
      <c r="K56" s="1">
        <f t="shared" si="2"/>
        <v>2.4499999999999993</v>
      </c>
      <c r="L56" s="1">
        <f t="shared" si="3"/>
        <v>225.43984568844112</v>
      </c>
      <c r="M56" s="1">
        <f t="shared" si="0"/>
        <v>2847.2080513286292</v>
      </c>
      <c r="N56" s="1">
        <f t="shared" si="4"/>
        <v>9481.4297139654936</v>
      </c>
      <c r="O56" s="1">
        <f t="shared" si="5"/>
        <v>1</v>
      </c>
      <c r="P56" s="1">
        <f t="shared" si="1"/>
        <v>2.5119811535708432</v>
      </c>
      <c r="Q56" s="1">
        <f t="shared" si="6"/>
        <v>73.611169335409329</v>
      </c>
      <c r="R56" s="1">
        <f t="shared" si="7"/>
        <v>2152.7919486713708</v>
      </c>
    </row>
    <row r="57" spans="11:18" x14ac:dyDescent="0.25">
      <c r="K57" s="1">
        <f t="shared" si="2"/>
        <v>2.4999999999999991</v>
      </c>
      <c r="L57" s="1">
        <f t="shared" si="3"/>
        <v>229.12040415521159</v>
      </c>
      <c r="M57" s="1">
        <f t="shared" si="0"/>
        <v>2812.0613069291144</v>
      </c>
      <c r="N57" s="1">
        <f t="shared" si="4"/>
        <v>9623.7901165319254</v>
      </c>
      <c r="O57" s="1">
        <f t="shared" si="5"/>
        <v>1</v>
      </c>
      <c r="P57" s="1">
        <f t="shared" si="1"/>
        <v>2.4903977123491021</v>
      </c>
      <c r="Q57" s="1">
        <f t="shared" si="6"/>
        <v>72.978687541365645</v>
      </c>
      <c r="R57" s="1">
        <f t="shared" si="7"/>
        <v>2187.9386930708856</v>
      </c>
    </row>
    <row r="58" spans="11:18" x14ac:dyDescent="0.25">
      <c r="K58" s="1">
        <f t="shared" si="2"/>
        <v>2.5499999999999989</v>
      </c>
      <c r="L58" s="1">
        <f t="shared" si="3"/>
        <v>232.76933853227987</v>
      </c>
      <c r="M58" s="1">
        <f t="shared" si="0"/>
        <v>2777.2165503414126</v>
      </c>
      <c r="N58" s="1">
        <f t="shared" si="4"/>
        <v>9764.3931818783803</v>
      </c>
      <c r="O58" s="1">
        <f t="shared" si="5"/>
        <v>1</v>
      </c>
      <c r="P58" s="1">
        <f t="shared" si="1"/>
        <v>2.468999720343136</v>
      </c>
      <c r="Q58" s="1">
        <f t="shared" si="6"/>
        <v>72.351640156575428</v>
      </c>
      <c r="R58" s="1">
        <f t="shared" si="7"/>
        <v>2222.7834496585874</v>
      </c>
    </row>
    <row r="59" spans="11:18" x14ac:dyDescent="0.25">
      <c r="K59" s="1">
        <f t="shared" si="2"/>
        <v>2.5999999999999988</v>
      </c>
      <c r="L59" s="1">
        <f t="shared" si="3"/>
        <v>236.38692054010863</v>
      </c>
      <c r="M59" s="1">
        <f t="shared" si="0"/>
        <v>2742.6711868262378</v>
      </c>
      <c r="N59" s="1">
        <f t="shared" si="4"/>
        <v>9903.2540093954503</v>
      </c>
      <c r="O59" s="1">
        <f t="shared" si="5"/>
        <v>1</v>
      </c>
      <c r="P59" s="1">
        <f t="shared" si="1"/>
        <v>2.4477855841364327</v>
      </c>
      <c r="Q59" s="1">
        <f t="shared" si="6"/>
        <v>71.729980487514524</v>
      </c>
      <c r="R59" s="1">
        <f t="shared" si="7"/>
        <v>2257.3288131737622</v>
      </c>
    </row>
    <row r="60" spans="11:18" x14ac:dyDescent="0.25">
      <c r="K60" s="1">
        <f t="shared" si="2"/>
        <v>2.6499999999999986</v>
      </c>
      <c r="L60" s="1">
        <f t="shared" si="3"/>
        <v>239.97341956448435</v>
      </c>
      <c r="M60" s="1">
        <f t="shared" si="0"/>
        <v>2708.4226439388181</v>
      </c>
      <c r="N60" s="1">
        <f t="shared" si="4"/>
        <v>10040.387568736762</v>
      </c>
      <c r="O60" s="1">
        <f t="shared" si="5"/>
        <v>1</v>
      </c>
      <c r="P60" s="1">
        <f t="shared" si="1"/>
        <v>2.426753724003432</v>
      </c>
      <c r="Q60" s="1">
        <f t="shared" si="6"/>
        <v>71.113662241858819</v>
      </c>
      <c r="R60" s="1">
        <f t="shared" si="7"/>
        <v>2291.5773560611819</v>
      </c>
    </row>
    <row r="61" spans="11:18" x14ac:dyDescent="0.25">
      <c r="K61" s="1">
        <f t="shared" si="2"/>
        <v>2.6999999999999984</v>
      </c>
      <c r="L61" s="1">
        <f t="shared" si="3"/>
        <v>243.52910267657728</v>
      </c>
      <c r="M61" s="1">
        <f t="shared" si="0"/>
        <v>2674.4683713373402</v>
      </c>
      <c r="N61" s="1">
        <f t="shared" si="4"/>
        <v>10175.808700933703</v>
      </c>
      <c r="O61" s="1">
        <f t="shared" si="5"/>
        <v>1</v>
      </c>
      <c r="P61" s="1">
        <f t="shared" si="1"/>
        <v>2.4059025737918893</v>
      </c>
      <c r="Q61" s="1">
        <f t="shared" si="6"/>
        <v>70.502639525037054</v>
      </c>
      <c r="R61" s="1">
        <f t="shared" si="7"/>
        <v>2325.5316286626598</v>
      </c>
    </row>
    <row r="62" spans="11:18" x14ac:dyDescent="0.25">
      <c r="K62" s="1">
        <f t="shared" si="2"/>
        <v>2.7499999999999982</v>
      </c>
      <c r="L62" s="1">
        <f t="shared" si="3"/>
        <v>247.05423465282914</v>
      </c>
      <c r="M62" s="1">
        <f t="shared" si="0"/>
        <v>2640.8058405930333</v>
      </c>
      <c r="N62" s="1">
        <f t="shared" si="4"/>
        <v>10309.532119500571</v>
      </c>
      <c r="O62" s="1">
        <f t="shared" si="5"/>
        <v>1</v>
      </c>
      <c r="P62" s="1">
        <f t="shared" si="1"/>
        <v>2.3852305808062502</v>
      </c>
      <c r="Q62" s="1">
        <f t="shared" si="6"/>
        <v>69.896866836813203</v>
      </c>
      <c r="R62" s="1">
        <f t="shared" si="7"/>
        <v>2359.1941594069667</v>
      </c>
    </row>
    <row r="63" spans="11:18" x14ac:dyDescent="0.25">
      <c r="K63" s="1">
        <f t="shared" si="2"/>
        <v>2.799999999999998</v>
      </c>
      <c r="L63" s="1">
        <f t="shared" si="3"/>
        <v>250.5490779946698</v>
      </c>
      <c r="M63" s="1">
        <f t="shared" si="0"/>
        <v>2607.4325450018887</v>
      </c>
      <c r="N63" s="1">
        <f t="shared" si="4"/>
        <v>10441.572411530222</v>
      </c>
      <c r="O63" s="1">
        <f t="shared" si="5"/>
        <v>1</v>
      </c>
      <c r="P63" s="1">
        <f t="shared" si="1"/>
        <v>2.3647362056920302</v>
      </c>
      <c r="Q63" s="1">
        <f t="shared" si="6"/>
        <v>69.296299067898332</v>
      </c>
      <c r="R63" s="1">
        <f t="shared" si="7"/>
        <v>2392.5674549981113</v>
      </c>
    </row>
    <row r="64" spans="11:18" x14ac:dyDescent="0.25">
      <c r="K64" s="1">
        <f t="shared" si="2"/>
        <v>2.8499999999999979</v>
      </c>
      <c r="L64" s="1">
        <f t="shared" si="3"/>
        <v>254.01389294806472</v>
      </c>
      <c r="M64" s="1">
        <f t="shared" si="0"/>
        <v>2574.3459993979977</v>
      </c>
      <c r="N64" s="1">
        <f t="shared" si="4"/>
        <v>10571.944038780317</v>
      </c>
      <c r="O64" s="1">
        <f t="shared" si="5"/>
        <v>1</v>
      </c>
      <c r="P64" s="1">
        <f t="shared" si="1"/>
        <v>2.3444179223211838</v>
      </c>
      <c r="Q64" s="1">
        <f t="shared" si="6"/>
        <v>68.700891496591481</v>
      </c>
      <c r="R64" s="1">
        <f t="shared" si="7"/>
        <v>2425.6540006020023</v>
      </c>
    </row>
    <row r="65" spans="11:18" x14ac:dyDescent="0.25">
      <c r="K65" s="1">
        <f t="shared" si="2"/>
        <v>2.8999999999999977</v>
      </c>
      <c r="L65" s="1">
        <f t="shared" si="3"/>
        <v>257.44893752289431</v>
      </c>
      <c r="M65" s="1">
        <f t="shared" si="0"/>
        <v>2541.5437399684902</v>
      </c>
      <c r="N65" s="1">
        <f t="shared" si="4"/>
        <v>10700.661338750217</v>
      </c>
      <c r="O65" s="1">
        <f t="shared" si="5"/>
        <v>1</v>
      </c>
      <c r="P65" s="1">
        <f t="shared" si="1"/>
        <v>2.324274217678461</v>
      </c>
      <c r="Q65" s="1">
        <f t="shared" si="6"/>
        <v>68.110599785449409</v>
      </c>
      <c r="R65" s="1">
        <f t="shared" si="7"/>
        <v>2458.4562600315098</v>
      </c>
    </row>
    <row r="66" spans="11:18" x14ac:dyDescent="0.25">
      <c r="K66" s="1">
        <f t="shared" si="2"/>
        <v>2.9499999999999975</v>
      </c>
      <c r="L66" s="1">
        <f t="shared" si="3"/>
        <v>260.85446751216676</v>
      </c>
      <c r="M66" s="1">
        <f t="shared" si="0"/>
        <v>2509.0233240700659</v>
      </c>
      <c r="N66" s="1">
        <f t="shared" si="4"/>
        <v>10827.73852574864</v>
      </c>
      <c r="O66" s="1">
        <f t="shared" si="5"/>
        <v>1</v>
      </c>
      <c r="P66" s="1">
        <f t="shared" si="1"/>
        <v>2.3043035917487402</v>
      </c>
      <c r="Q66" s="1">
        <f t="shared" si="6"/>
        <v>67.525379977985068</v>
      </c>
      <c r="R66" s="1">
        <f t="shared" si="7"/>
        <v>2490.9766759299341</v>
      </c>
    </row>
    <row r="67" spans="11:18" x14ac:dyDescent="0.25">
      <c r="K67" s="1">
        <f t="shared" si="2"/>
        <v>2.9999999999999973</v>
      </c>
      <c r="L67" s="1">
        <f t="shared" si="3"/>
        <v>264.23073651106603</v>
      </c>
      <c r="M67" s="1">
        <f t="shared" si="0"/>
        <v>2476.7823300471014</v>
      </c>
      <c r="N67" s="1">
        <f t="shared" si="4"/>
        <v>10953.189691952144</v>
      </c>
      <c r="O67" s="1">
        <f t="shared" si="5"/>
        <v>1</v>
      </c>
      <c r="P67" s="1">
        <f t="shared" si="1"/>
        <v>2.2845045574053264</v>
      </c>
      <c r="Q67" s="1">
        <f t="shared" si="6"/>
        <v>66.945188495394191</v>
      </c>
      <c r="R67" s="1">
        <f t="shared" si="7"/>
        <v>2523.2176699528986</v>
      </c>
    </row>
    <row r="68" spans="11:18" x14ac:dyDescent="0.25">
      <c r="K68" s="1">
        <f t="shared" si="2"/>
        <v>3.0499999999999972</v>
      </c>
      <c r="L68" s="1">
        <f t="shared" si="3"/>
        <v>267.57799593583576</v>
      </c>
      <c r="M68" s="1">
        <f t="shared" si="0"/>
        <v>2444.8183570513193</v>
      </c>
      <c r="N68" s="1">
        <f t="shared" si="4"/>
        <v>11077.028808454499</v>
      </c>
      <c r="O68" s="1">
        <f t="shared" si="5"/>
        <v>1</v>
      </c>
      <c r="P68" s="1">
        <f t="shared" si="1"/>
        <v>2.2648756402992141</v>
      </c>
      <c r="Q68" s="1">
        <f t="shared" si="6"/>
        <v>66.369982133310316</v>
      </c>
      <c r="R68" s="1">
        <f t="shared" si="7"/>
        <v>2555.1816429486807</v>
      </c>
    </row>
    <row r="69" spans="11:18" x14ac:dyDescent="0.25">
      <c r="K69" s="1">
        <f t="shared" si="2"/>
        <v>3.099999999999997</v>
      </c>
      <c r="L69" s="1">
        <f t="shared" si="3"/>
        <v>270.89649504250127</v>
      </c>
      <c r="M69" s="1">
        <f t="shared" si="0"/>
        <v>2413.129024863008</v>
      </c>
      <c r="N69" s="1">
        <f t="shared" si="4"/>
        <v>11199.269726307066</v>
      </c>
      <c r="O69" s="1">
        <f t="shared" si="5"/>
        <v>1</v>
      </c>
      <c r="P69" s="1">
        <f t="shared" si="1"/>
        <v>2.2454153787492963</v>
      </c>
      <c r="Q69" s="1">
        <f t="shared" si="6"/>
        <v>65.799718058587445</v>
      </c>
      <c r="R69" s="1">
        <f t="shared" si="7"/>
        <v>2586.870975136992</v>
      </c>
    </row>
    <row r="70" spans="11:18" x14ac:dyDescent="0.25">
      <c r="K70" s="1">
        <f t="shared" si="2"/>
        <v>3.1499999999999968</v>
      </c>
      <c r="L70" s="1">
        <f t="shared" si="3"/>
        <v>274.18648094543062</v>
      </c>
      <c r="M70" s="1">
        <f t="shared" si="0"/>
        <v>2381.7119737137768</v>
      </c>
      <c r="N70" s="1">
        <f t="shared" si="4"/>
        <v>11319.926177550216</v>
      </c>
      <c r="O70" s="1">
        <f t="shared" si="5"/>
        <v>1</v>
      </c>
      <c r="P70" s="1">
        <f t="shared" si="1"/>
        <v>2.2261223236335215</v>
      </c>
      <c r="Q70" s="1">
        <f t="shared" si="6"/>
        <v>65.234353806110533</v>
      </c>
      <c r="R70" s="1">
        <f t="shared" si="7"/>
        <v>2618.2880262862232</v>
      </c>
    </row>
    <row r="71" spans="11:18" x14ac:dyDescent="0.25">
      <c r="K71" s="1">
        <f t="shared" si="2"/>
        <v>3.1999999999999966</v>
      </c>
      <c r="L71" s="1">
        <f t="shared" si="3"/>
        <v>277.44819863573616</v>
      </c>
      <c r="M71" s="1">
        <f t="shared" si="0"/>
        <v>2350.5648641108319</v>
      </c>
      <c r="N71" s="1">
        <f t="shared" si="4"/>
        <v>11439.011776235906</v>
      </c>
      <c r="O71" s="1">
        <f t="shared" si="5"/>
        <v>1</v>
      </c>
      <c r="P71" s="1">
        <f t="shared" si="1"/>
        <v>2.206995038280982</v>
      </c>
      <c r="Q71" s="1">
        <f t="shared" si="6"/>
        <v>64.673847275633179</v>
      </c>
      <c r="R71" s="1">
        <f t="shared" si="7"/>
        <v>2649.4351358891681</v>
      </c>
    </row>
    <row r="72" spans="11:18" x14ac:dyDescent="0.25">
      <c r="K72" s="1">
        <f t="shared" si="2"/>
        <v>3.2499999999999964</v>
      </c>
      <c r="L72" s="1">
        <f t="shared" si="3"/>
        <v>280.6818909995178</v>
      </c>
      <c r="M72" s="1">
        <f t="shared" ref="M72:M135" si="8">$D$15-R72</f>
        <v>2319.6853766627705</v>
      </c>
      <c r="N72" s="1">
        <f t="shared" si="4"/>
        <v>11556.540019441447</v>
      </c>
      <c r="O72" s="1">
        <f t="shared" si="5"/>
        <v>1</v>
      </c>
      <c r="P72" s="1">
        <f t="shared" ref="P72:P135" si="9">($E$8*O72)*$D$20*(1-(L72*$D$20)/($F$7))</f>
        <v>2.1880320983649324</v>
      </c>
      <c r="Q72" s="1">
        <f t="shared" si="6"/>
        <v>64.118156728642717</v>
      </c>
      <c r="R72" s="1">
        <f t="shared" si="7"/>
        <v>2680.3146233372295</v>
      </c>
    </row>
    <row r="73" spans="11:18" x14ac:dyDescent="0.25">
      <c r="K73" s="1">
        <f t="shared" ref="K73:K136" si="10">K72+$D$30</f>
        <v>3.2999999999999963</v>
      </c>
      <c r="L73" s="1">
        <f t="shared" ref="L73:L136" si="11">L72+Q72*$D$30</f>
        <v>283.88779883594992</v>
      </c>
      <c r="M73" s="1">
        <f t="shared" si="8"/>
        <v>2289.0712119068576</v>
      </c>
      <c r="N73" s="1">
        <f t="shared" ref="N73:N136" si="12">N72+M72*$D$30</f>
        <v>11672.524288274586</v>
      </c>
      <c r="O73" s="1">
        <f t="shared" ref="O73:O136" si="13">MAX(-$D$11/12, MIN($D$11/12, $D$27*M73+$D$28*N73))</f>
        <v>1</v>
      </c>
      <c r="P73" s="1">
        <f t="shared" si="9"/>
        <v>2.1692320917967263</v>
      </c>
      <c r="Q73" s="1">
        <f t="shared" ref="Q73:Q136" si="14">P73/($E$16+$D$20/$D$14*$E$18)</f>
        <v>63.567240785252061</v>
      </c>
      <c r="R73" s="1">
        <f t="shared" ref="R73:R136" si="15">L73*30/PI()</f>
        <v>2710.9287880931424</v>
      </c>
    </row>
    <row r="74" spans="11:18" x14ac:dyDescent="0.25">
      <c r="K74" s="1">
        <f t="shared" si="10"/>
        <v>3.3499999999999961</v>
      </c>
      <c r="L74" s="1">
        <f t="shared" si="11"/>
        <v>287.06616087521252</v>
      </c>
      <c r="M74" s="1">
        <f t="shared" si="8"/>
        <v>2258.7200901378005</v>
      </c>
      <c r="N74" s="1">
        <f t="shared" si="12"/>
        <v>11786.977848869928</v>
      </c>
      <c r="O74" s="1">
        <f t="shared" si="13"/>
        <v>1</v>
      </c>
      <c r="P74" s="1">
        <f t="shared" si="9"/>
        <v>2.1505936186206611</v>
      </c>
      <c r="Q74" s="1">
        <f t="shared" si="14"/>
        <v>63.021058421118283</v>
      </c>
      <c r="R74" s="1">
        <f t="shared" si="15"/>
        <v>2741.2799098621995</v>
      </c>
    </row>
    <row r="75" spans="11:18" x14ac:dyDescent="0.25">
      <c r="K75" s="1">
        <f t="shared" si="10"/>
        <v>3.3999999999999959</v>
      </c>
      <c r="L75" s="1">
        <f t="shared" si="11"/>
        <v>290.21721379626842</v>
      </c>
      <c r="M75" s="1">
        <f t="shared" si="8"/>
        <v>2228.6297512379883</v>
      </c>
      <c r="N75" s="1">
        <f t="shared" si="12"/>
        <v>11899.913853376818</v>
      </c>
      <c r="O75" s="1">
        <f t="shared" si="13"/>
        <v>1</v>
      </c>
      <c r="P75" s="1">
        <f t="shared" si="9"/>
        <v>2.1321152909097352</v>
      </c>
      <c r="Q75" s="1">
        <f t="shared" si="14"/>
        <v>62.479568964387852</v>
      </c>
      <c r="R75" s="1">
        <f t="shared" si="15"/>
        <v>2771.3702487620117</v>
      </c>
    </row>
    <row r="76" spans="11:18" x14ac:dyDescent="0.25">
      <c r="K76" s="1">
        <f t="shared" si="10"/>
        <v>3.4499999999999957</v>
      </c>
      <c r="L76" s="1">
        <f t="shared" si="11"/>
        <v>293.34119224448784</v>
      </c>
      <c r="M76" s="1">
        <f t="shared" si="8"/>
        <v>2198.797954509188</v>
      </c>
      <c r="N76" s="1">
        <f t="shared" si="12"/>
        <v>12011.345340938718</v>
      </c>
      <c r="O76" s="1">
        <f t="shared" si="13"/>
        <v>1</v>
      </c>
      <c r="P76" s="1">
        <f t="shared" si="9"/>
        <v>2.1137957326622896</v>
      </c>
      <c r="Q76" s="1">
        <f t="shared" si="14"/>
        <v>61.942732092667832</v>
      </c>
      <c r="R76" s="1">
        <f t="shared" si="15"/>
        <v>2801.202045490812</v>
      </c>
    </row>
    <row r="77" spans="11:18" x14ac:dyDescent="0.25">
      <c r="K77" s="1">
        <f t="shared" si="10"/>
        <v>3.4999999999999956</v>
      </c>
      <c r="L77" s="1">
        <f t="shared" si="11"/>
        <v>296.43832884912126</v>
      </c>
      <c r="M77" s="1">
        <f t="shared" si="8"/>
        <v>2169.2224785056924</v>
      </c>
      <c r="N77" s="1">
        <f t="shared" si="12"/>
        <v>12121.285238664177</v>
      </c>
      <c r="O77" s="1">
        <f t="shared" si="13"/>
        <v>1</v>
      </c>
      <c r="P77" s="1">
        <f t="shared" si="9"/>
        <v>2.0956335796995451</v>
      </c>
      <c r="Q77" s="1">
        <f t="shared" si="14"/>
        <v>61.410507830023306</v>
      </c>
      <c r="R77" s="1">
        <f t="shared" si="15"/>
        <v>2830.7775214943076</v>
      </c>
    </row>
    <row r="78" spans="11:18" x14ac:dyDescent="0.25">
      <c r="K78" s="1">
        <f t="shared" si="10"/>
        <v>3.5499999999999954</v>
      </c>
      <c r="L78" s="1">
        <f t="shared" si="11"/>
        <v>299.50885424062244</v>
      </c>
      <c r="M78" s="1">
        <f t="shared" si="8"/>
        <v>2139.901120868898</v>
      </c>
      <c r="N78" s="1">
        <f t="shared" si="12"/>
        <v>12229.746362589462</v>
      </c>
      <c r="O78" s="1">
        <f t="shared" si="13"/>
        <v>1</v>
      </c>
      <c r="P78" s="1">
        <f t="shared" si="9"/>
        <v>2.0776274795640179</v>
      </c>
      <c r="Q78" s="1">
        <f t="shared" si="14"/>
        <v>60.882856544000532</v>
      </c>
      <c r="R78" s="1">
        <f t="shared" si="15"/>
        <v>2860.098879131102</v>
      </c>
    </row>
    <row r="79" spans="11:18" x14ac:dyDescent="0.25">
      <c r="K79" s="1">
        <f t="shared" si="10"/>
        <v>3.5999999999999952</v>
      </c>
      <c r="L79" s="1">
        <f t="shared" si="11"/>
        <v>302.55299706782245</v>
      </c>
      <c r="M79" s="1">
        <f t="shared" si="8"/>
        <v>2110.8316981633006</v>
      </c>
      <c r="N79" s="1">
        <f t="shared" si="12"/>
        <v>12336.741418632906</v>
      </c>
      <c r="O79" s="1">
        <f t="shared" si="13"/>
        <v>1</v>
      </c>
      <c r="P79" s="1">
        <f t="shared" si="9"/>
        <v>2.0597760914188084</v>
      </c>
      <c r="Q79" s="1">
        <f t="shared" si="14"/>
        <v>60.359738942675712</v>
      </c>
      <c r="R79" s="1">
        <f t="shared" si="15"/>
        <v>2889.1683018366994</v>
      </c>
    </row>
    <row r="80" spans="11:18" x14ac:dyDescent="0.25">
      <c r="K80" s="1">
        <f t="shared" si="10"/>
        <v>3.649999999999995</v>
      </c>
      <c r="L80" s="1">
        <f t="shared" si="11"/>
        <v>305.57098401495625</v>
      </c>
      <c r="M80" s="1">
        <f t="shared" si="8"/>
        <v>2082.012045713911</v>
      </c>
      <c r="N80" s="1">
        <f t="shared" si="12"/>
        <v>12442.283003541072</v>
      </c>
      <c r="O80" s="1">
        <f t="shared" si="13"/>
        <v>1</v>
      </c>
      <c r="P80" s="1">
        <f t="shared" si="9"/>
        <v>2.0420780859477521</v>
      </c>
      <c r="Q80" s="1">
        <f t="shared" si="14"/>
        <v>59.841116071729004</v>
      </c>
      <c r="R80" s="1">
        <f t="shared" si="15"/>
        <v>2917.987954286089</v>
      </c>
    </row>
    <row r="81" spans="11:18" x14ac:dyDescent="0.25">
      <c r="K81" s="1">
        <f t="shared" si="10"/>
        <v>3.6999999999999948</v>
      </c>
      <c r="L81" s="1">
        <f t="shared" si="11"/>
        <v>308.56303981854268</v>
      </c>
      <c r="M81" s="1">
        <f t="shared" si="8"/>
        <v>2053.4400174450566</v>
      </c>
      <c r="N81" s="1">
        <f t="shared" si="12"/>
        <v>12546.383605826768</v>
      </c>
      <c r="O81" s="1">
        <f t="shared" si="13"/>
        <v>1</v>
      </c>
      <c r="P81" s="1">
        <f t="shared" si="9"/>
        <v>2.0245321452564355</v>
      </c>
      <c r="Q81" s="1">
        <f t="shared" si="14"/>
        <v>59.326949311543906</v>
      </c>
      <c r="R81" s="1">
        <f t="shared" si="15"/>
        <v>2946.5599825549434</v>
      </c>
    </row>
    <row r="82" spans="11:18" x14ac:dyDescent="0.25">
      <c r="K82" s="1">
        <f t="shared" si="10"/>
        <v>3.7499999999999947</v>
      </c>
      <c r="L82" s="1">
        <f t="shared" si="11"/>
        <v>311.52938728411988</v>
      </c>
      <c r="M82" s="1">
        <f t="shared" si="8"/>
        <v>2025.113485720573</v>
      </c>
      <c r="N82" s="1">
        <f t="shared" si="12"/>
        <v>12649.055606699021</v>
      </c>
      <c r="O82" s="1">
        <f t="shared" si="13"/>
        <v>1</v>
      </c>
      <c r="P82" s="1">
        <f t="shared" si="9"/>
        <v>2.0071369627740534</v>
      </c>
      <c r="Q82" s="1">
        <f t="shared" si="14"/>
        <v>58.817200374331243</v>
      </c>
      <c r="R82" s="1">
        <f t="shared" si="15"/>
        <v>2974.886514279427</v>
      </c>
    </row>
    <row r="83" spans="11:18" x14ac:dyDescent="0.25">
      <c r="K83" s="1">
        <f t="shared" si="10"/>
        <v>3.7999999999999945</v>
      </c>
      <c r="L83" s="1">
        <f t="shared" si="11"/>
        <v>314.47024730283641</v>
      </c>
      <c r="M83" s="1">
        <f t="shared" si="8"/>
        <v>1997.0303411853688</v>
      </c>
      <c r="N83" s="1">
        <f t="shared" si="12"/>
        <v>12750.31128098505</v>
      </c>
      <c r="O83" s="1">
        <f t="shared" si="13"/>
        <v>1</v>
      </c>
      <c r="P83" s="1">
        <f t="shared" si="9"/>
        <v>1.9898912431561198</v>
      </c>
      <c r="Q83" s="1">
        <f t="shared" si="14"/>
        <v>58.311831301278239</v>
      </c>
      <c r="R83" s="1">
        <f t="shared" si="15"/>
        <v>3002.9696588146312</v>
      </c>
    </row>
    <row r="84" spans="11:18" x14ac:dyDescent="0.25">
      <c r="K84" s="1">
        <f t="shared" si="10"/>
        <v>3.8499999999999943</v>
      </c>
      <c r="L84" s="1">
        <f t="shared" si="11"/>
        <v>317.3858388679003</v>
      </c>
      <c r="M84" s="1">
        <f t="shared" si="8"/>
        <v>1969.1884926083517</v>
      </c>
      <c r="N84" s="1">
        <f t="shared" si="12"/>
        <v>12850.162798044319</v>
      </c>
      <c r="O84" s="1">
        <f t="shared" si="13"/>
        <v>1</v>
      </c>
      <c r="P84" s="1">
        <f t="shared" si="9"/>
        <v>1.9727937021880011</v>
      </c>
      <c r="Q84" s="1">
        <f t="shared" si="14"/>
        <v>57.810804459721652</v>
      </c>
      <c r="R84" s="1">
        <f t="shared" si="15"/>
        <v>3030.8115073916483</v>
      </c>
    </row>
    <row r="85" spans="11:18" x14ac:dyDescent="0.25">
      <c r="K85" s="1">
        <f t="shared" si="10"/>
        <v>3.8999999999999941</v>
      </c>
      <c r="L85" s="1">
        <f t="shared" si="11"/>
        <v>320.27637909088639</v>
      </c>
      <c r="M85" s="1">
        <f t="shared" si="8"/>
        <v>1941.5858667267007</v>
      </c>
      <c r="N85" s="1">
        <f t="shared" si="12"/>
        <v>12948.622222674736</v>
      </c>
      <c r="O85" s="1">
        <f t="shared" si="13"/>
        <v>1</v>
      </c>
      <c r="P85" s="1">
        <f t="shared" si="9"/>
        <v>1.9558430666892959</v>
      </c>
      <c r="Q85" s="1">
        <f t="shared" si="14"/>
        <v>57.314082540345673</v>
      </c>
      <c r="R85" s="1">
        <f t="shared" si="15"/>
        <v>3058.4141332732993</v>
      </c>
    </row>
    <row r="86" spans="11:18" x14ac:dyDescent="0.25">
      <c r="K86" s="1">
        <f t="shared" si="10"/>
        <v>3.949999999999994</v>
      </c>
      <c r="L86" s="1">
        <f t="shared" si="11"/>
        <v>323.14208321790369</v>
      </c>
      <c r="M86" s="1">
        <f t="shared" si="8"/>
        <v>1914.2204080914817</v>
      </c>
      <c r="N86" s="1">
        <f t="shared" si="12"/>
        <v>13045.701516011071</v>
      </c>
      <c r="O86" s="1">
        <f t="shared" si="13"/>
        <v>1</v>
      </c>
      <c r="P86" s="1">
        <f t="shared" si="9"/>
        <v>1.939038074419019</v>
      </c>
      <c r="Q86" s="1">
        <f t="shared" si="14"/>
        <v>56.821628554403496</v>
      </c>
      <c r="R86" s="1">
        <f t="shared" si="15"/>
        <v>3085.7795919085183</v>
      </c>
    </row>
    <row r="87" spans="11:18" x14ac:dyDescent="0.25">
      <c r="K87" s="1">
        <f t="shared" si="10"/>
        <v>3.9999999999999938</v>
      </c>
      <c r="L87" s="1">
        <f t="shared" si="11"/>
        <v>325.98316464562384</v>
      </c>
      <c r="M87" s="1">
        <f t="shared" si="8"/>
        <v>1887.0900789145876</v>
      </c>
      <c r="N87" s="1">
        <f t="shared" si="12"/>
        <v>13141.412536415646</v>
      </c>
      <c r="O87" s="1">
        <f t="shared" si="13"/>
        <v>1</v>
      </c>
      <c r="P87" s="1">
        <f t="shared" si="9"/>
        <v>1.9223774739816115</v>
      </c>
      <c r="Q87" s="1">
        <f t="shared" si="14"/>
        <v>56.333405830962981</v>
      </c>
      <c r="R87" s="1">
        <f t="shared" si="15"/>
        <v>3112.9099210854124</v>
      </c>
    </row>
    <row r="88" spans="11:18" x14ac:dyDescent="0.25">
      <c r="K88" s="1">
        <f t="shared" si="10"/>
        <v>4.0499999999999936</v>
      </c>
      <c r="L88" s="1">
        <f t="shared" si="11"/>
        <v>328.79983493717202</v>
      </c>
      <c r="M88" s="1">
        <f t="shared" si="8"/>
        <v>1860.1928589169884</v>
      </c>
      <c r="N88" s="1">
        <f t="shared" si="12"/>
        <v>13235.767040361376</v>
      </c>
      <c r="O88" s="1">
        <f t="shared" si="13"/>
        <v>1</v>
      </c>
      <c r="P88" s="1">
        <f t="shared" si="9"/>
        <v>1.9058600247337534</v>
      </c>
      <c r="Q88" s="1">
        <f t="shared" si="14"/>
        <v>55.849378014175933</v>
      </c>
      <c r="R88" s="1">
        <f t="shared" si="15"/>
        <v>3139.8071410830116</v>
      </c>
    </row>
    <row r="89" spans="11:18" x14ac:dyDescent="0.25">
      <c r="K89" s="1">
        <f t="shared" si="10"/>
        <v>4.0999999999999934</v>
      </c>
      <c r="L89" s="1">
        <f t="shared" si="11"/>
        <v>331.59230383788082</v>
      </c>
      <c r="M89" s="1">
        <f t="shared" si="8"/>
        <v>1833.5267451782966</v>
      </c>
      <c r="N89" s="1">
        <f t="shared" si="12"/>
        <v>13328.776683307226</v>
      </c>
      <c r="O89" s="1">
        <f t="shared" si="13"/>
        <v>1</v>
      </c>
      <c r="P89" s="1">
        <f t="shared" si="9"/>
        <v>1.8894844966919788</v>
      </c>
      <c r="Q89" s="1">
        <f t="shared" si="14"/>
        <v>55.369509060570813</v>
      </c>
      <c r="R89" s="1">
        <f t="shared" si="15"/>
        <v>3166.4732548217034</v>
      </c>
    </row>
    <row r="90" spans="11:18" x14ac:dyDescent="0.25">
      <c r="K90" s="1">
        <f t="shared" si="10"/>
        <v>4.1499999999999932</v>
      </c>
      <c r="L90" s="1">
        <f t="shared" si="11"/>
        <v>334.36077929090936</v>
      </c>
      <c r="M90" s="1">
        <f t="shared" si="8"/>
        <v>1807.0897519876125</v>
      </c>
      <c r="N90" s="1">
        <f t="shared" si="12"/>
        <v>13420.453020566139</v>
      </c>
      <c r="O90" s="1">
        <f t="shared" si="13"/>
        <v>1</v>
      </c>
      <c r="P90" s="1">
        <f t="shared" si="9"/>
        <v>1.873249670441085</v>
      </c>
      <c r="Q90" s="1">
        <f t="shared" si="14"/>
        <v>54.893763236368798</v>
      </c>
      <c r="R90" s="1">
        <f t="shared" si="15"/>
        <v>3192.9102480123875</v>
      </c>
    </row>
    <row r="91" spans="11:18" x14ac:dyDescent="0.25">
      <c r="K91" s="1">
        <f t="shared" si="10"/>
        <v>4.1999999999999931</v>
      </c>
      <c r="L91" s="1">
        <f t="shared" si="11"/>
        <v>337.10546745272779</v>
      </c>
      <c r="M91" s="1">
        <f t="shared" si="8"/>
        <v>1780.8799106956599</v>
      </c>
      <c r="N91" s="1">
        <f t="shared" si="12"/>
        <v>13510.807508165521</v>
      </c>
      <c r="O91" s="1">
        <f t="shared" si="13"/>
        <v>1</v>
      </c>
      <c r="P91" s="1">
        <f t="shared" si="9"/>
        <v>1.8571543370433252</v>
      </c>
      <c r="Q91" s="1">
        <f t="shared" si="14"/>
        <v>54.422105114822728</v>
      </c>
      <c r="R91" s="1">
        <f t="shared" si="15"/>
        <v>3219.1200893043401</v>
      </c>
    </row>
    <row r="92" spans="11:18" x14ac:dyDescent="0.25">
      <c r="K92" s="1">
        <f t="shared" si="10"/>
        <v>4.2499999999999929</v>
      </c>
      <c r="L92" s="1">
        <f t="shared" si="11"/>
        <v>339.82657270846892</v>
      </c>
      <c r="M92" s="1">
        <f t="shared" si="8"/>
        <v>1754.8952695681878</v>
      </c>
      <c r="N92" s="1">
        <f t="shared" si="12"/>
        <v>13599.851503700304</v>
      </c>
      <c r="O92" s="1">
        <f t="shared" si="13"/>
        <v>1</v>
      </c>
      <c r="P92" s="1">
        <f t="shared" si="9"/>
        <v>1.8411972979483873</v>
      </c>
      <c r="Q92" s="1">
        <f t="shared" si="14"/>
        <v>53.95449957357912</v>
      </c>
      <c r="R92" s="1">
        <f t="shared" si="15"/>
        <v>3245.1047304318122</v>
      </c>
    </row>
    <row r="93" spans="11:18" x14ac:dyDescent="0.25">
      <c r="K93" s="1">
        <f t="shared" si="10"/>
        <v>4.2999999999999927</v>
      </c>
      <c r="L93" s="1">
        <f t="shared" si="11"/>
        <v>342.52429768714785</v>
      </c>
      <c r="M93" s="1">
        <f t="shared" si="8"/>
        <v>1729.1338936406337</v>
      </c>
      <c r="N93" s="1">
        <f t="shared" si="12"/>
        <v>13687.596267178713</v>
      </c>
      <c r="O93" s="1">
        <f t="shared" si="13"/>
        <v>1</v>
      </c>
      <c r="P93" s="1">
        <f t="shared" si="9"/>
        <v>1.8253773649041412</v>
      </c>
      <c r="Q93" s="1">
        <f t="shared" si="14"/>
        <v>53.490911792062754</v>
      </c>
      <c r="R93" s="1">
        <f t="shared" si="15"/>
        <v>3270.8661063593663</v>
      </c>
    </row>
    <row r="94" spans="11:18" x14ac:dyDescent="0.25">
      <c r="K94" s="1">
        <f t="shared" si="10"/>
        <v>4.3499999999999925</v>
      </c>
      <c r="L94" s="1">
        <f t="shared" si="11"/>
        <v>345.19884327675101</v>
      </c>
      <c r="M94" s="1">
        <f t="shared" si="8"/>
        <v>1703.5938645740357</v>
      </c>
      <c r="N94" s="1">
        <f t="shared" si="12"/>
        <v>13774.052961860745</v>
      </c>
      <c r="O94" s="1">
        <f t="shared" si="13"/>
        <v>1</v>
      </c>
      <c r="P94" s="1">
        <f t="shared" si="9"/>
        <v>1.8096933598681557</v>
      </c>
      <c r="Q94" s="1">
        <f t="shared" si="14"/>
        <v>53.031307248883692</v>
      </c>
      <c r="R94" s="1">
        <f t="shared" si="15"/>
        <v>3296.4061354259643</v>
      </c>
    </row>
    <row r="95" spans="11:18" x14ac:dyDescent="0.25">
      <c r="K95" s="1">
        <f t="shared" si="10"/>
        <v>4.3999999999999924</v>
      </c>
      <c r="L95" s="1">
        <f t="shared" si="11"/>
        <v>347.85040863919517</v>
      </c>
      <c r="M95" s="1">
        <f t="shared" si="8"/>
        <v>1678.2732805121809</v>
      </c>
      <c r="N95" s="1">
        <f t="shared" si="12"/>
        <v>13859.232655089447</v>
      </c>
      <c r="O95" s="1">
        <f t="shared" si="13"/>
        <v>1</v>
      </c>
      <c r="P95" s="1">
        <f t="shared" si="9"/>
        <v>1.7941441149199737</v>
      </c>
      <c r="Q95" s="1">
        <f t="shared" si="14"/>
        <v>52.575651719266638</v>
      </c>
      <c r="R95" s="1">
        <f t="shared" si="15"/>
        <v>3321.7267194878191</v>
      </c>
    </row>
    <row r="96" spans="11:18" x14ac:dyDescent="0.25">
      <c r="K96" s="1">
        <f t="shared" si="10"/>
        <v>4.4499999999999922</v>
      </c>
      <c r="L96" s="1">
        <f t="shared" si="11"/>
        <v>350.4791912251585</v>
      </c>
      <c r="M96" s="1">
        <f t="shared" si="8"/>
        <v>1653.1702559399837</v>
      </c>
      <c r="N96" s="1">
        <f t="shared" si="12"/>
        <v>13943.146319115056</v>
      </c>
      <c r="O96" s="1">
        <f t="shared" si="13"/>
        <v>1</v>
      </c>
      <c r="P96" s="1">
        <f t="shared" si="9"/>
        <v>1.7787284721741428</v>
      </c>
      <c r="Q96" s="1">
        <f t="shared" si="14"/>
        <v>52.123911272502362</v>
      </c>
      <c r="R96" s="1">
        <f t="shared" si="15"/>
        <v>3346.8297440600163</v>
      </c>
    </row>
    <row r="97" spans="11:18" x14ac:dyDescent="0.25">
      <c r="K97" s="1">
        <f t="shared" si="10"/>
        <v>4.499999999999992</v>
      </c>
      <c r="L97" s="1">
        <f t="shared" si="11"/>
        <v>353.08538678878364</v>
      </c>
      <c r="M97" s="1">
        <f t="shared" si="8"/>
        <v>1628.282921543077</v>
      </c>
      <c r="N97" s="1">
        <f t="shared" si="12"/>
        <v>14025.804831912055</v>
      </c>
      <c r="O97" s="1">
        <f t="shared" si="13"/>
        <v>1</v>
      </c>
      <c r="P97" s="1">
        <f t="shared" si="9"/>
        <v>1.763445283693992</v>
      </c>
      <c r="Q97" s="1">
        <f t="shared" si="14"/>
        <v>51.676052269421021</v>
      </c>
      <c r="R97" s="1">
        <f t="shared" si="15"/>
        <v>3371.717078456923</v>
      </c>
    </row>
    <row r="98" spans="11:18" x14ac:dyDescent="0.25">
      <c r="K98" s="1">
        <f t="shared" si="10"/>
        <v>4.5499999999999918</v>
      </c>
      <c r="L98" s="1">
        <f t="shared" si="11"/>
        <v>355.66918940225469</v>
      </c>
      <c r="M98" s="1">
        <f t="shared" si="8"/>
        <v>1603.609424068617</v>
      </c>
      <c r="N98" s="1">
        <f t="shared" si="12"/>
        <v>14107.218977989209</v>
      </c>
      <c r="O98" s="1">
        <f t="shared" si="13"/>
        <v>1</v>
      </c>
      <c r="P98" s="1">
        <f t="shared" si="9"/>
        <v>1.7482934114061521</v>
      </c>
      <c r="Q98" s="1">
        <f t="shared" si="14"/>
        <v>51.232041359887248</v>
      </c>
      <c r="R98" s="1">
        <f t="shared" si="15"/>
        <v>3396.390575931383</v>
      </c>
    </row>
    <row r="99" spans="11:18" x14ac:dyDescent="0.25">
      <c r="K99" s="1">
        <f t="shared" si="10"/>
        <v>4.5999999999999917</v>
      </c>
      <c r="L99" s="1">
        <f t="shared" si="11"/>
        <v>358.23079147024907</v>
      </c>
      <c r="M99" s="1">
        <f t="shared" si="8"/>
        <v>1579.1479261872728</v>
      </c>
      <c r="N99" s="1">
        <f t="shared" si="12"/>
        <v>14187.399449192639</v>
      </c>
      <c r="O99" s="1">
        <f t="shared" si="13"/>
        <v>1</v>
      </c>
      <c r="P99" s="1">
        <f t="shared" si="9"/>
        <v>1.7332717270158045</v>
      </c>
      <c r="Q99" s="1">
        <f t="shared" si="14"/>
        <v>50.791845480316617</v>
      </c>
      <c r="R99" s="1">
        <f t="shared" si="15"/>
        <v>3420.8520738127272</v>
      </c>
    </row>
    <row r="100" spans="11:18" x14ac:dyDescent="0.25">
      <c r="K100" s="1">
        <f t="shared" si="10"/>
        <v>4.6499999999999915</v>
      </c>
      <c r="L100" s="1">
        <f t="shared" si="11"/>
        <v>360.7703837442649</v>
      </c>
      <c r="M100" s="1">
        <f t="shared" si="8"/>
        <v>1554.8966063564167</v>
      </c>
      <c r="N100" s="1">
        <f t="shared" si="12"/>
        <v>14266.356845502003</v>
      </c>
      <c r="O100" s="1">
        <f t="shared" si="13"/>
        <v>1</v>
      </c>
      <c r="P100" s="1">
        <f t="shared" si="9"/>
        <v>1.7183791119226643</v>
      </c>
      <c r="Q100" s="1">
        <f t="shared" si="14"/>
        <v>50.355431851213616</v>
      </c>
      <c r="R100" s="1">
        <f t="shared" si="15"/>
        <v>3445.1033936435833</v>
      </c>
    </row>
    <row r="101" spans="11:18" x14ac:dyDescent="0.25">
      <c r="K101" s="1">
        <f t="shared" si="10"/>
        <v>4.6999999999999913</v>
      </c>
      <c r="L101" s="1">
        <f t="shared" si="11"/>
        <v>363.28815533682558</v>
      </c>
      <c r="M101" s="1">
        <f t="shared" si="8"/>
        <v>1530.853658684473</v>
      </c>
      <c r="N101" s="1">
        <f t="shared" si="12"/>
        <v>14344.101675819824</v>
      </c>
      <c r="O101" s="1">
        <f t="shared" si="13"/>
        <v>1</v>
      </c>
      <c r="P101" s="1">
        <f t="shared" si="9"/>
        <v>1.7036144571376837</v>
      </c>
      <c r="Q101" s="1">
        <f t="shared" si="14"/>
        <v>49.922767974730661</v>
      </c>
      <c r="R101" s="1">
        <f t="shared" si="15"/>
        <v>3469.146341315527</v>
      </c>
    </row>
    <row r="102" spans="11:18" x14ac:dyDescent="0.25">
      <c r="K102" s="1">
        <f t="shared" si="10"/>
        <v>4.7499999999999911</v>
      </c>
      <c r="L102" s="1">
        <f t="shared" si="11"/>
        <v>365.78429373556213</v>
      </c>
      <c r="M102" s="1">
        <f t="shared" si="8"/>
        <v>1507.0172927964486</v>
      </c>
      <c r="N102" s="1">
        <f t="shared" si="12"/>
        <v>14420.644358754047</v>
      </c>
      <c r="O102" s="1">
        <f t="shared" si="13"/>
        <v>1</v>
      </c>
      <c r="P102" s="1">
        <f t="shared" si="9"/>
        <v>1.6889766632004672</v>
      </c>
      <c r="Q102" s="1">
        <f t="shared" si="14"/>
        <v>49.493821632248128</v>
      </c>
      <c r="R102" s="1">
        <f t="shared" si="15"/>
        <v>3492.9827072035514</v>
      </c>
    </row>
    <row r="103" spans="11:18" x14ac:dyDescent="0.25">
      <c r="K103" s="1">
        <f t="shared" si="10"/>
        <v>4.7999999999999909</v>
      </c>
      <c r="L103" s="1">
        <f t="shared" si="11"/>
        <v>368.25898481717456</v>
      </c>
      <c r="M103" s="1">
        <f t="shared" si="8"/>
        <v>1483.3857337006061</v>
      </c>
      <c r="N103" s="1">
        <f t="shared" si="12"/>
        <v>14495.995223393869</v>
      </c>
      <c r="O103" s="1">
        <f t="shared" si="13"/>
        <v>1</v>
      </c>
      <c r="P103" s="1">
        <f t="shared" si="9"/>
        <v>1.6744646400974037</v>
      </c>
      <c r="Q103" s="1">
        <f t="shared" si="14"/>
        <v>49.068560881975209</v>
      </c>
      <c r="R103" s="1">
        <f t="shared" si="15"/>
        <v>3516.6142662993939</v>
      </c>
    </row>
    <row r="104" spans="11:18" x14ac:dyDescent="0.25">
      <c r="K104" s="1">
        <f t="shared" si="10"/>
        <v>4.8499999999999908</v>
      </c>
      <c r="L104" s="1">
        <f t="shared" si="11"/>
        <v>370.71241286127332</v>
      </c>
      <c r="M104" s="1">
        <f t="shared" si="8"/>
        <v>1459.9572216562901</v>
      </c>
      <c r="N104" s="1">
        <f t="shared" si="12"/>
        <v>14570.164510078899</v>
      </c>
      <c r="O104" s="1">
        <f t="shared" si="13"/>
        <v>1</v>
      </c>
      <c r="P104" s="1">
        <f t="shared" si="9"/>
        <v>1.6600773071804937</v>
      </c>
      <c r="Q104" s="1">
        <f t="shared" si="14"/>
        <v>48.646954056571253</v>
      </c>
      <c r="R104" s="1">
        <f t="shared" si="15"/>
        <v>3540.0427783437099</v>
      </c>
    </row>
    <row r="105" spans="11:18" x14ac:dyDescent="0.25">
      <c r="K105" s="1">
        <f t="shared" si="10"/>
        <v>4.8999999999999906</v>
      </c>
      <c r="L105" s="1">
        <f t="shared" si="11"/>
        <v>373.14476056410189</v>
      </c>
      <c r="M105" s="1">
        <f t="shared" si="8"/>
        <v>1436.7300120428868</v>
      </c>
      <c r="N105" s="1">
        <f t="shared" si="12"/>
        <v>14643.162371161714</v>
      </c>
      <c r="O105" s="1">
        <f t="shared" si="13"/>
        <v>1</v>
      </c>
      <c r="P105" s="1">
        <f t="shared" si="9"/>
        <v>1.6458135930868814</v>
      </c>
      <c r="Q105" s="1">
        <f t="shared" si="14"/>
        <v>48.228969760787741</v>
      </c>
      <c r="R105" s="1">
        <f t="shared" si="15"/>
        <v>3563.2699879571132</v>
      </c>
    </row>
    <row r="106" spans="11:18" x14ac:dyDescent="0.25">
      <c r="K106" s="1">
        <f t="shared" si="10"/>
        <v>4.9499999999999904</v>
      </c>
      <c r="L106" s="1">
        <f t="shared" si="11"/>
        <v>375.5562090521413</v>
      </c>
      <c r="M106" s="1">
        <f t="shared" si="8"/>
        <v>1413.7023752299101</v>
      </c>
      <c r="N106" s="1">
        <f t="shared" si="12"/>
        <v>14714.998871763859</v>
      </c>
      <c r="O106" s="1">
        <f t="shared" si="13"/>
        <v>1</v>
      </c>
      <c r="P106" s="1">
        <f t="shared" si="9"/>
        <v>1.6316724356590722</v>
      </c>
      <c r="Q106" s="1">
        <f t="shared" si="14"/>
        <v>47.814576869130327</v>
      </c>
      <c r="R106" s="1">
        <f t="shared" si="15"/>
        <v>3586.2976247700899</v>
      </c>
    </row>
    <row r="107" spans="11:18" x14ac:dyDescent="0.25">
      <c r="K107" s="1">
        <f t="shared" si="10"/>
        <v>4.9999999999999902</v>
      </c>
      <c r="L107" s="1">
        <f t="shared" si="11"/>
        <v>377.94693789559784</v>
      </c>
      <c r="M107" s="1">
        <f t="shared" si="8"/>
        <v>1390.8725964482014</v>
      </c>
      <c r="N107" s="1">
        <f t="shared" si="12"/>
        <v>14785.683990525355</v>
      </c>
      <c r="O107" s="1">
        <f t="shared" si="13"/>
        <v>1</v>
      </c>
      <c r="P107" s="1">
        <f t="shared" si="9"/>
        <v>1.6176527818658413</v>
      </c>
      <c r="Q107" s="1">
        <f t="shared" si="14"/>
        <v>47.403744523541143</v>
      </c>
      <c r="R107" s="1">
        <f t="shared" si="15"/>
        <v>3609.1274035517986</v>
      </c>
    </row>
    <row r="108" spans="11:18" x14ac:dyDescent="0.25">
      <c r="K108" s="1">
        <f t="shared" si="10"/>
        <v>5.0499999999999901</v>
      </c>
      <c r="L108" s="1">
        <f t="shared" si="11"/>
        <v>380.31712512177489</v>
      </c>
      <c r="M108" s="1">
        <f t="shared" si="8"/>
        <v>1368.2389756622406</v>
      </c>
      <c r="N108" s="1">
        <f t="shared" si="12"/>
        <v>14855.227620347765</v>
      </c>
      <c r="O108" s="1">
        <f t="shared" si="13"/>
        <v>1</v>
      </c>
      <c r="P108" s="1">
        <f t="shared" si="9"/>
        <v>1.6037535877238174</v>
      </c>
      <c r="Q108" s="1">
        <f t="shared" si="14"/>
        <v>46.996442131100885</v>
      </c>
      <c r="R108" s="1">
        <f t="shared" si="15"/>
        <v>3631.7610243377594</v>
      </c>
    </row>
    <row r="109" spans="11:18" x14ac:dyDescent="0.25">
      <c r="K109" s="1">
        <f t="shared" si="10"/>
        <v>5.0999999999999899</v>
      </c>
      <c r="L109" s="1">
        <f t="shared" si="11"/>
        <v>382.66694722832995</v>
      </c>
      <c r="M109" s="1">
        <f t="shared" si="8"/>
        <v>1345.7998274435499</v>
      </c>
      <c r="N109" s="1">
        <f t="shared" si="12"/>
        <v>14923.639569130877</v>
      </c>
      <c r="O109" s="1">
        <f t="shared" si="13"/>
        <v>1</v>
      </c>
      <c r="P109" s="1">
        <f t="shared" si="9"/>
        <v>1.5899738182197389</v>
      </c>
      <c r="Q109" s="1">
        <f t="shared" si="14"/>
        <v>46.592639361750599</v>
      </c>
      <c r="R109" s="1">
        <f t="shared" si="15"/>
        <v>3654.2001725564501</v>
      </c>
    </row>
    <row r="110" spans="11:18" x14ac:dyDescent="0.25">
      <c r="K110" s="1">
        <f t="shared" si="10"/>
        <v>5.1499999999999897</v>
      </c>
      <c r="L110" s="1">
        <f t="shared" si="11"/>
        <v>384.99657919641749</v>
      </c>
      <c r="M110" s="1">
        <f t="shared" si="8"/>
        <v>1323.553480845188</v>
      </c>
      <c r="N110" s="1">
        <f t="shared" si="12"/>
        <v>14990.929560503055</v>
      </c>
      <c r="O110" s="1">
        <f t="shared" si="13"/>
        <v>1</v>
      </c>
      <c r="P110" s="1">
        <f t="shared" si="9"/>
        <v>1.5763124472333878</v>
      </c>
      <c r="Q110" s="1">
        <f t="shared" si="14"/>
        <v>46.192306146033346</v>
      </c>
      <c r="R110" s="1">
        <f t="shared" si="15"/>
        <v>3676.446519154812</v>
      </c>
    </row>
    <row r="111" spans="11:18" x14ac:dyDescent="0.25">
      <c r="K111" s="1">
        <f t="shared" si="10"/>
        <v>5.1999999999999895</v>
      </c>
      <c r="L111" s="1">
        <f t="shared" si="11"/>
        <v>387.30619450371915</v>
      </c>
      <c r="M111" s="1">
        <f t="shared" si="8"/>
        <v>1301.4982792773217</v>
      </c>
      <c r="N111" s="1">
        <f t="shared" si="12"/>
        <v>15057.107234545314</v>
      </c>
      <c r="O111" s="1">
        <f t="shared" si="13"/>
        <v>1</v>
      </c>
      <c r="P111" s="1">
        <f t="shared" si="9"/>
        <v>1.5627684574611722</v>
      </c>
      <c r="Q111" s="1">
        <f t="shared" si="14"/>
        <v>45.795412672854866</v>
      </c>
      <c r="R111" s="1">
        <f t="shared" si="15"/>
        <v>3698.5017207226783</v>
      </c>
    </row>
    <row r="112" spans="11:18" x14ac:dyDescent="0.25">
      <c r="K112" s="1">
        <f t="shared" si="10"/>
        <v>5.2499999999999893</v>
      </c>
      <c r="L112" s="1">
        <f t="shared" si="11"/>
        <v>389.59596513736187</v>
      </c>
      <c r="M112" s="1">
        <f t="shared" si="8"/>
        <v>1279.6325803838677</v>
      </c>
      <c r="N112" s="1">
        <f t="shared" si="12"/>
        <v>15122.18214850918</v>
      </c>
      <c r="O112" s="1">
        <f t="shared" si="13"/>
        <v>1</v>
      </c>
      <c r="P112" s="1">
        <f t="shared" si="9"/>
        <v>1.5493408403403761</v>
      </c>
      <c r="Q112" s="1">
        <f t="shared" si="14"/>
        <v>45.401929387263777</v>
      </c>
      <c r="R112" s="1">
        <f t="shared" si="15"/>
        <v>3720.3674196161323</v>
      </c>
    </row>
    <row r="113" spans="11:18" x14ac:dyDescent="0.25">
      <c r="K113" s="1">
        <f t="shared" si="10"/>
        <v>5.2999999999999892</v>
      </c>
      <c r="L113" s="1">
        <f t="shared" si="11"/>
        <v>391.86606160672505</v>
      </c>
      <c r="M113" s="1">
        <f t="shared" si="8"/>
        <v>1257.9547559201915</v>
      </c>
      <c r="N113" s="1">
        <f t="shared" si="12"/>
        <v>15186.163777528374</v>
      </c>
      <c r="O113" s="1">
        <f t="shared" si="13"/>
        <v>1</v>
      </c>
      <c r="P113" s="1">
        <f t="shared" si="9"/>
        <v>1.5360285959740543</v>
      </c>
      <c r="Q113" s="1">
        <f t="shared" si="14"/>
        <v>45.011826988250682</v>
      </c>
      <c r="R113" s="1">
        <f t="shared" si="15"/>
        <v>3742.0452440798085</v>
      </c>
    </row>
    <row r="114" spans="11:18" x14ac:dyDescent="0.25">
      <c r="K114" s="1">
        <f t="shared" si="10"/>
        <v>5.349999999999989</v>
      </c>
      <c r="L114" s="1">
        <f t="shared" si="11"/>
        <v>394.11665295613761</v>
      </c>
      <c r="M114" s="1">
        <f t="shared" si="8"/>
        <v>1236.4631916318594</v>
      </c>
      <c r="N114" s="1">
        <f t="shared" si="12"/>
        <v>15249.061515324383</v>
      </c>
      <c r="O114" s="1">
        <f t="shared" si="13"/>
        <v>1</v>
      </c>
      <c r="P114" s="1">
        <f t="shared" si="9"/>
        <v>1.5228307330565749</v>
      </c>
      <c r="Q114" s="1">
        <f t="shared" si="14"/>
        <v>44.625076426566302</v>
      </c>
      <c r="R114" s="1">
        <f t="shared" si="15"/>
        <v>3763.5368083681406</v>
      </c>
    </row>
    <row r="115" spans="11:18" x14ac:dyDescent="0.25">
      <c r="K115" s="1">
        <f t="shared" si="10"/>
        <v>5.3999999999999888</v>
      </c>
      <c r="L115" s="1">
        <f t="shared" si="11"/>
        <v>396.34790677746594</v>
      </c>
      <c r="M115" s="1">
        <f t="shared" si="8"/>
        <v>1215.156287134434</v>
      </c>
      <c r="N115" s="1">
        <f t="shared" si="12"/>
        <v>15310.884674905976</v>
      </c>
      <c r="O115" s="1">
        <f t="shared" si="13"/>
        <v>1</v>
      </c>
      <c r="P115" s="1">
        <f t="shared" si="9"/>
        <v>1.5097462687998007</v>
      </c>
      <c r="Q115" s="1">
        <f t="shared" si="14"/>
        <v>44.241648902558268</v>
      </c>
      <c r="R115" s="1">
        <f t="shared" si="15"/>
        <v>3784.843712865566</v>
      </c>
    </row>
    <row r="116" spans="11:18" x14ac:dyDescent="0.25">
      <c r="K116" s="1">
        <f t="shared" si="10"/>
        <v>5.4499999999999886</v>
      </c>
      <c r="L116" s="1">
        <f t="shared" si="11"/>
        <v>398.55998922259386</v>
      </c>
      <c r="M116" s="1">
        <f t="shared" si="8"/>
        <v>1194.032455794299</v>
      </c>
      <c r="N116" s="1">
        <f t="shared" si="12"/>
        <v>15371.642489262698</v>
      </c>
      <c r="O116" s="1">
        <f t="shared" si="13"/>
        <v>1</v>
      </c>
      <c r="P116" s="1">
        <f t="shared" si="9"/>
        <v>1.4967742288599057</v>
      </c>
      <c r="Q116" s="1">
        <f t="shared" si="14"/>
        <v>43.861515864026551</v>
      </c>
      <c r="R116" s="1">
        <f t="shared" si="15"/>
        <v>3805.967544205701</v>
      </c>
    </row>
    <row r="117" spans="11:18" x14ac:dyDescent="0.25">
      <c r="K117" s="1">
        <f t="shared" si="10"/>
        <v>5.4999999999999885</v>
      </c>
      <c r="L117" s="1">
        <f t="shared" si="11"/>
        <v>400.75306501579519</v>
      </c>
      <c r="M117" s="1">
        <f t="shared" si="8"/>
        <v>1173.0901246105091</v>
      </c>
      <c r="N117" s="1">
        <f t="shared" si="12"/>
        <v>15431.344112052413</v>
      </c>
      <c r="O117" s="1">
        <f t="shared" si="13"/>
        <v>1</v>
      </c>
      <c r="P117" s="1">
        <f t="shared" si="9"/>
        <v>1.4839136472648196</v>
      </c>
      <c r="Q117" s="1">
        <f t="shared" si="14"/>
        <v>43.484649004097285</v>
      </c>
      <c r="R117" s="1">
        <f t="shared" si="15"/>
        <v>3826.9098753894909</v>
      </c>
    </row>
    <row r="118" spans="11:18" x14ac:dyDescent="0.25">
      <c r="K118" s="1">
        <f t="shared" si="10"/>
        <v>5.5499999999999883</v>
      </c>
      <c r="L118" s="1">
        <f t="shared" si="11"/>
        <v>402.92729746600003</v>
      </c>
      <c r="M118" s="1">
        <f t="shared" si="8"/>
        <v>1152.3277340976547</v>
      </c>
      <c r="N118" s="1">
        <f t="shared" si="12"/>
        <v>15489.998618282938</v>
      </c>
      <c r="O118" s="1">
        <f t="shared" si="13"/>
        <v>1</v>
      </c>
      <c r="P118" s="1">
        <f t="shared" si="9"/>
        <v>1.4711635663422971</v>
      </c>
      <c r="Q118" s="1">
        <f t="shared" si="14"/>
        <v>43.111020259114937</v>
      </c>
      <c r="R118" s="1">
        <f t="shared" si="15"/>
        <v>3847.6722659023453</v>
      </c>
    </row>
    <row r="119" spans="11:18" x14ac:dyDescent="0.25">
      <c r="K119" s="1">
        <f t="shared" si="10"/>
        <v>5.5999999999999881</v>
      </c>
      <c r="L119" s="1">
        <f t="shared" si="11"/>
        <v>405.08284847895578</v>
      </c>
      <c r="M119" s="1">
        <f t="shared" si="8"/>
        <v>1131.7437381697355</v>
      </c>
      <c r="N119" s="1">
        <f t="shared" si="12"/>
        <v>15547.615004987822</v>
      </c>
      <c r="O119" s="1">
        <f t="shared" si="13"/>
        <v>1</v>
      </c>
      <c r="P119" s="1">
        <f t="shared" si="9"/>
        <v>1.4585230366486013</v>
      </c>
      <c r="Q119" s="1">
        <f t="shared" si="14"/>
        <v>42.740601806552426</v>
      </c>
      <c r="R119" s="1">
        <f t="shared" si="15"/>
        <v>3868.2562618302645</v>
      </c>
    </row>
    <row r="120" spans="11:18" x14ac:dyDescent="0.25">
      <c r="K120" s="1">
        <f t="shared" si="10"/>
        <v>5.6499999999999879</v>
      </c>
      <c r="L120" s="1">
        <f t="shared" si="11"/>
        <v>407.21987856928342</v>
      </c>
      <c r="M120" s="1">
        <f t="shared" si="8"/>
        <v>1111.3366040250298</v>
      </c>
      <c r="N120" s="1">
        <f t="shared" si="12"/>
        <v>15604.202191896309</v>
      </c>
      <c r="O120" s="1">
        <f t="shared" si="13"/>
        <v>1</v>
      </c>
      <c r="P120" s="1">
        <f t="shared" si="9"/>
        <v>1.4459911168978055</v>
      </c>
      <c r="Q120" s="1">
        <f t="shared" si="14"/>
        <v>42.373366062939361</v>
      </c>
      <c r="R120" s="1">
        <f t="shared" si="15"/>
        <v>3888.6633959749702</v>
      </c>
    </row>
    <row r="121" spans="11:18" x14ac:dyDescent="0.25">
      <c r="K121" s="1">
        <f t="shared" si="10"/>
        <v>5.6999999999999877</v>
      </c>
      <c r="L121" s="1">
        <f t="shared" si="11"/>
        <v>409.33854687243041</v>
      </c>
      <c r="M121" s="1">
        <f t="shared" si="8"/>
        <v>1091.104812031952</v>
      </c>
      <c r="N121" s="1">
        <f t="shared" si="12"/>
        <v>15659.76902209756</v>
      </c>
      <c r="O121" s="1">
        <f t="shared" si="13"/>
        <v>1</v>
      </c>
      <c r="P121" s="1">
        <f t="shared" si="9"/>
        <v>1.4335668738916987</v>
      </c>
      <c r="Q121" s="1">
        <f t="shared" si="14"/>
        <v>42.009285681808024</v>
      </c>
      <c r="R121" s="1">
        <f t="shared" si="15"/>
        <v>3908.895187968048</v>
      </c>
    </row>
    <row r="122" spans="11:18" x14ac:dyDescent="0.25">
      <c r="K122" s="1">
        <f t="shared" si="10"/>
        <v>5.7499999999999876</v>
      </c>
      <c r="L122" s="1">
        <f t="shared" si="11"/>
        <v>411.43901115652079</v>
      </c>
      <c r="M122" s="1">
        <f t="shared" si="8"/>
        <v>1071.0468556158944</v>
      </c>
      <c r="N122" s="1">
        <f t="shared" si="12"/>
        <v>15714.324262699158</v>
      </c>
      <c r="O122" s="1">
        <f t="shared" si="13"/>
        <v>1</v>
      </c>
      <c r="P122" s="1">
        <f t="shared" si="9"/>
        <v>1.4212493824502948</v>
      </c>
      <c r="Q122" s="1">
        <f t="shared" si="14"/>
        <v>41.648333551656997</v>
      </c>
      <c r="R122" s="1">
        <f t="shared" si="15"/>
        <v>3928.9531443841056</v>
      </c>
    </row>
    <row r="123" spans="11:18" x14ac:dyDescent="0.25">
      <c r="K123" s="1">
        <f t="shared" si="10"/>
        <v>5.7999999999999874</v>
      </c>
      <c r="L123" s="1">
        <f t="shared" si="11"/>
        <v>413.52142783410363</v>
      </c>
      <c r="M123" s="1">
        <f t="shared" si="8"/>
        <v>1051.161241147036</v>
      </c>
      <c r="N123" s="1">
        <f t="shared" si="12"/>
        <v>15767.876605479953</v>
      </c>
      <c r="O123" s="1">
        <f t="shared" si="13"/>
        <v>1</v>
      </c>
      <c r="P123" s="1">
        <f t="shared" si="9"/>
        <v>1.4090377253429367</v>
      </c>
      <c r="Q123" s="1">
        <f t="shared" si="14"/>
        <v>41.290482793932213</v>
      </c>
      <c r="R123" s="1">
        <f t="shared" si="15"/>
        <v>3948.838758852964</v>
      </c>
    </row>
    <row r="124" spans="11:18" x14ac:dyDescent="0.25">
      <c r="K124" s="1">
        <f t="shared" si="10"/>
        <v>5.8499999999999872</v>
      </c>
      <c r="L124" s="1">
        <f t="shared" si="11"/>
        <v>415.58595197380026</v>
      </c>
      <c r="M124" s="1">
        <f t="shared" si="8"/>
        <v>1031.4464878291201</v>
      </c>
      <c r="N124" s="1">
        <f t="shared" si="12"/>
        <v>15820.434667537304</v>
      </c>
      <c r="O124" s="1">
        <f t="shared" si="13"/>
        <v>1</v>
      </c>
      <c r="P124" s="1">
        <f t="shared" si="9"/>
        <v>1.3969309932199967</v>
      </c>
      <c r="Q124" s="1">
        <f t="shared" si="14"/>
        <v>40.93570676102555</v>
      </c>
      <c r="R124" s="1">
        <f t="shared" si="15"/>
        <v>3968.5535121708799</v>
      </c>
    </row>
    <row r="125" spans="11:18" x14ac:dyDescent="0.25">
      <c r="K125" s="1">
        <f t="shared" si="10"/>
        <v>5.899999999999987</v>
      </c>
      <c r="L125" s="1">
        <f t="shared" si="11"/>
        <v>417.63273731185154</v>
      </c>
      <c r="M125" s="1">
        <f t="shared" si="8"/>
        <v>1011.9011275891871</v>
      </c>
      <c r="N125" s="1">
        <f t="shared" si="12"/>
        <v>15872.00699192876</v>
      </c>
      <c r="O125" s="1">
        <f t="shared" si="13"/>
        <v>1</v>
      </c>
      <c r="P125" s="1">
        <f t="shared" si="9"/>
        <v>1.3849282845451594</v>
      </c>
      <c r="Q125" s="1">
        <f t="shared" si="14"/>
        <v>40.583979034290387</v>
      </c>
      <c r="R125" s="1">
        <f t="shared" si="15"/>
        <v>3988.0988724108129</v>
      </c>
    </row>
    <row r="126" spans="11:18" x14ac:dyDescent="0.25">
      <c r="K126" s="1">
        <f t="shared" si="10"/>
        <v>5.9499999999999869</v>
      </c>
      <c r="L126" s="1">
        <f t="shared" si="11"/>
        <v>419.66193626356608</v>
      </c>
      <c r="M126" s="1">
        <f t="shared" si="8"/>
        <v>992.52370496825233</v>
      </c>
      <c r="N126" s="1">
        <f t="shared" si="12"/>
        <v>15922.602048308219</v>
      </c>
      <c r="O126" s="1">
        <f t="shared" si="13"/>
        <v>1</v>
      </c>
      <c r="P126" s="1">
        <f t="shared" si="9"/>
        <v>1.3730287055282879</v>
      </c>
      <c r="Q126" s="1">
        <f t="shared" si="14"/>
        <v>40.235273422074378</v>
      </c>
      <c r="R126" s="1">
        <f t="shared" si="15"/>
        <v>4007.4762950317477</v>
      </c>
    </row>
    <row r="127" spans="11:18" x14ac:dyDescent="0.25">
      <c r="K127" s="1">
        <f t="shared" si="10"/>
        <v>5.9999999999999867</v>
      </c>
      <c r="L127" s="1">
        <f t="shared" si="11"/>
        <v>421.6736999346698</v>
      </c>
      <c r="M127" s="1">
        <f t="shared" si="8"/>
        <v>973.31277701292038</v>
      </c>
      <c r="N127" s="1">
        <f t="shared" si="12"/>
        <v>15972.228233556632</v>
      </c>
      <c r="O127" s="1">
        <f t="shared" si="13"/>
        <v>1</v>
      </c>
      <c r="P127" s="1">
        <f t="shared" si="9"/>
        <v>1.3612313700588687</v>
      </c>
      <c r="Q127" s="1">
        <f t="shared" si="14"/>
        <v>39.889563957769056</v>
      </c>
      <c r="R127" s="1">
        <f t="shared" si="15"/>
        <v>4026.6872229870796</v>
      </c>
    </row>
    <row r="128" spans="11:18" x14ac:dyDescent="0.25">
      <c r="K128" s="1">
        <f t="shared" si="10"/>
        <v>6.0499999999999865</v>
      </c>
      <c r="L128" s="1">
        <f t="shared" si="11"/>
        <v>423.66817813255824</v>
      </c>
      <c r="M128" s="1">
        <f t="shared" si="8"/>
        <v>954.26691316794268</v>
      </c>
      <c r="N128" s="1">
        <f t="shared" si="12"/>
        <v>16020.893872407278</v>
      </c>
      <c r="O128" s="1">
        <f t="shared" si="13"/>
        <v>1</v>
      </c>
      <c r="P128" s="1">
        <f t="shared" si="9"/>
        <v>1.3495353996400254</v>
      </c>
      <c r="Q128" s="1">
        <f t="shared" si="14"/>
        <v>39.546824897876206</v>
      </c>
      <c r="R128" s="1">
        <f t="shared" si="15"/>
        <v>4045.7330868320573</v>
      </c>
    </row>
    <row r="129" spans="11:18" x14ac:dyDescent="0.25">
      <c r="K129" s="1">
        <f t="shared" si="10"/>
        <v>6.0999999999999863</v>
      </c>
      <c r="L129" s="1">
        <f t="shared" si="11"/>
        <v>425.64551937745205</v>
      </c>
      <c r="M129" s="1">
        <f t="shared" si="8"/>
        <v>935.3846951696828</v>
      </c>
      <c r="N129" s="1">
        <f t="shared" si="12"/>
        <v>16068.607218065676</v>
      </c>
      <c r="O129" s="1">
        <f t="shared" si="13"/>
        <v>1</v>
      </c>
      <c r="P129" s="1">
        <f t="shared" si="9"/>
        <v>1.3379399233231015</v>
      </c>
      <c r="Q129" s="1">
        <f t="shared" si="14"/>
        <v>39.207030720090891</v>
      </c>
      <c r="R129" s="1">
        <f t="shared" si="15"/>
        <v>4064.6153048303172</v>
      </c>
    </row>
    <row r="130" spans="11:18" x14ac:dyDescent="0.25">
      <c r="K130" s="1">
        <f t="shared" si="10"/>
        <v>6.1499999999999861</v>
      </c>
      <c r="L130" s="1">
        <f t="shared" si="11"/>
        <v>427.60587091345661</v>
      </c>
      <c r="M130" s="1">
        <f t="shared" si="8"/>
        <v>916.66471694050824</v>
      </c>
      <c r="N130" s="1">
        <f t="shared" si="12"/>
        <v>16115.376452824159</v>
      </c>
      <c r="O130" s="1">
        <f t="shared" si="13"/>
        <v>1</v>
      </c>
      <c r="P130" s="1">
        <f t="shared" si="9"/>
        <v>1.3264440776428041</v>
      </c>
      <c r="Q130" s="1">
        <f t="shared" si="14"/>
        <v>38.870156121400861</v>
      </c>
      <c r="R130" s="1">
        <f t="shared" si="15"/>
        <v>4083.3352830594918</v>
      </c>
    </row>
    <row r="131" spans="11:18" x14ac:dyDescent="0.25">
      <c r="K131" s="1">
        <f t="shared" si="10"/>
        <v>6.199999999999986</v>
      </c>
      <c r="L131" s="1">
        <f t="shared" si="11"/>
        <v>429.54937871952666</v>
      </c>
      <c r="M131" s="1">
        <f t="shared" si="8"/>
        <v>898.10558448408392</v>
      </c>
      <c r="N131" s="1">
        <f t="shared" si="12"/>
        <v>16161.209688671184</v>
      </c>
      <c r="O131" s="1">
        <f t="shared" si="13"/>
        <v>1</v>
      </c>
      <c r="P131" s="1">
        <f t="shared" si="9"/>
        <v>1.3150470065529063</v>
      </c>
      <c r="Q131" s="1">
        <f t="shared" si="14"/>
        <v>38.53617601620239</v>
      </c>
      <c r="R131" s="1">
        <f t="shared" si="15"/>
        <v>4101.8944155159161</v>
      </c>
    </row>
    <row r="132" spans="11:18" x14ac:dyDescent="0.25">
      <c r="K132" s="1">
        <f t="shared" si="10"/>
        <v>6.2499999999999858</v>
      </c>
      <c r="L132" s="1">
        <f t="shared" si="11"/>
        <v>431.47618752033679</v>
      </c>
      <c r="M132" s="1">
        <f t="shared" si="8"/>
        <v>879.70591578157018</v>
      </c>
      <c r="N132" s="1">
        <f t="shared" si="12"/>
        <v>16206.114967895388</v>
      </c>
      <c r="O132" s="1">
        <f t="shared" si="13"/>
        <v>1</v>
      </c>
      <c r="P132" s="1">
        <f t="shared" si="9"/>
        <v>1.3037478613624995</v>
      </c>
      <c r="Q132" s="1">
        <f t="shared" si="14"/>
        <v>38.205065534432222</v>
      </c>
      <c r="R132" s="1">
        <f t="shared" si="15"/>
        <v>4120.2940842184298</v>
      </c>
    </row>
    <row r="133" spans="11:18" x14ac:dyDescent="0.25">
      <c r="K133" s="1">
        <f t="shared" si="10"/>
        <v>6.2999999999999856</v>
      </c>
      <c r="L133" s="1">
        <f t="shared" si="11"/>
        <v>433.38644079705841</v>
      </c>
      <c r="M133" s="1">
        <f t="shared" si="8"/>
        <v>861.46434068870622</v>
      </c>
      <c r="N133" s="1">
        <f t="shared" si="12"/>
        <v>16250.100263684466</v>
      </c>
      <c r="O133" s="1">
        <f t="shared" si="13"/>
        <v>1</v>
      </c>
      <c r="P133" s="1">
        <f t="shared" si="9"/>
        <v>1.2925458006727975</v>
      </c>
      <c r="Q133" s="1">
        <f t="shared" si="14"/>
        <v>37.876800019715681</v>
      </c>
      <c r="R133" s="1">
        <f t="shared" si="15"/>
        <v>4138.5356593112938</v>
      </c>
    </row>
    <row r="134" spans="11:18" x14ac:dyDescent="0.25">
      <c r="K134" s="1">
        <f t="shared" si="10"/>
        <v>6.3499999999999854</v>
      </c>
      <c r="L134" s="1">
        <f t="shared" si="11"/>
        <v>435.2802807980442</v>
      </c>
      <c r="M134" s="1">
        <f t="shared" si="8"/>
        <v>843.37950083378291</v>
      </c>
      <c r="N134" s="1">
        <f t="shared" si="12"/>
        <v>16293.1734807189</v>
      </c>
      <c r="O134" s="1">
        <f t="shared" si="13"/>
        <v>1</v>
      </c>
      <c r="P134" s="1">
        <f t="shared" si="9"/>
        <v>1.2814399903144782</v>
      </c>
      <c r="Q134" s="1">
        <f t="shared" si="14"/>
        <v>37.551355027530498</v>
      </c>
      <c r="R134" s="1">
        <f t="shared" si="15"/>
        <v>4156.6204991662171</v>
      </c>
    </row>
    <row r="135" spans="11:18" x14ac:dyDescent="0.25">
      <c r="K135" s="1">
        <f t="shared" si="10"/>
        <v>6.3999999999999853</v>
      </c>
      <c r="L135" s="1">
        <f t="shared" si="11"/>
        <v>437.15784854942075</v>
      </c>
      <c r="M135" s="1">
        <f t="shared" si="8"/>
        <v>825.45004951649207</v>
      </c>
      <c r="N135" s="1">
        <f t="shared" si="12"/>
        <v>16335.34245576059</v>
      </c>
      <c r="O135" s="1">
        <f t="shared" si="13"/>
        <v>1</v>
      </c>
      <c r="P135" s="1">
        <f t="shared" si="9"/>
        <v>1.2704296032855684</v>
      </c>
      <c r="Q135" s="1">
        <f t="shared" si="14"/>
        <v>37.228706323386625</v>
      </c>
      <c r="R135" s="1">
        <f t="shared" si="15"/>
        <v>4174.5499504835079</v>
      </c>
    </row>
    <row r="136" spans="11:18" x14ac:dyDescent="0.25">
      <c r="K136" s="1">
        <f t="shared" si="10"/>
        <v>6.4499999999999851</v>
      </c>
      <c r="L136" s="1">
        <f t="shared" si="11"/>
        <v>439.01928386559007</v>
      </c>
      <c r="M136" s="1">
        <f t="shared" ref="M136:M199" si="16">$D$15-R136</f>
        <v>807.67465160764186</v>
      </c>
      <c r="N136" s="1">
        <f t="shared" si="12"/>
        <v>16376.614958236414</v>
      </c>
      <c r="O136" s="1">
        <f t="shared" si="13"/>
        <v>1</v>
      </c>
      <c r="P136" s="1">
        <f t="shared" ref="P136:P199" si="17">($E$8*O136)*$D$20*(1-(L136*$D$20)/($F$7))</f>
        <v>1.259513819689861</v>
      </c>
      <c r="Q136" s="1">
        <f t="shared" si="14"/>
        <v>36.908829881021575</v>
      </c>
      <c r="R136" s="1">
        <f t="shared" si="15"/>
        <v>4192.3253483923581</v>
      </c>
    </row>
    <row r="137" spans="11:18" x14ac:dyDescent="0.25">
      <c r="K137" s="1">
        <f t="shared" ref="K137:K200" si="18">K136+$D$30</f>
        <v>6.4999999999999849</v>
      </c>
      <c r="L137" s="1">
        <f t="shared" ref="L137:L200" si="19">L136+Q136*$D$30</f>
        <v>440.86472535964117</v>
      </c>
      <c r="M137" s="1">
        <f t="shared" si="16"/>
        <v>790.05198344973451</v>
      </c>
      <c r="N137" s="1">
        <f t="shared" ref="N137:N200" si="20">N136+M136*$D$30</f>
        <v>16416.998690816796</v>
      </c>
      <c r="O137" s="1">
        <f t="shared" ref="O137:O200" si="21">MAX(-$D$11/12, MIN($D$11/12, $D$27*M137+$D$28*N137))</f>
        <v>1</v>
      </c>
      <c r="P137" s="1">
        <f t="shared" si="17"/>
        <v>1.2486918266758593</v>
      </c>
      <c r="Q137" s="1">
        <f t="shared" ref="Q137:Q200" si="22">P137/($E$16+$D$20/$D$14*$E$18)</f>
        <v>36.591701880611268</v>
      </c>
      <c r="R137" s="1">
        <f t="shared" ref="R137:R200" si="23">L137*30/PI()</f>
        <v>4209.9480165502655</v>
      </c>
    </row>
    <row r="138" spans="11:18" x14ac:dyDescent="0.25">
      <c r="K138" s="1">
        <f t="shared" si="18"/>
        <v>6.5499999999999847</v>
      </c>
      <c r="L138" s="1">
        <f t="shared" si="19"/>
        <v>442.69431045367173</v>
      </c>
      <c r="M138" s="1">
        <f t="shared" si="16"/>
        <v>772.58073275840161</v>
      </c>
      <c r="N138" s="1">
        <f t="shared" si="20"/>
        <v>16456.501289989283</v>
      </c>
      <c r="O138" s="1">
        <f t="shared" si="21"/>
        <v>1</v>
      </c>
      <c r="P138" s="1">
        <f t="shared" si="17"/>
        <v>1.2379628183762486</v>
      </c>
      <c r="Q138" s="1">
        <f t="shared" si="22"/>
        <v>36.277298706996298</v>
      </c>
      <c r="R138" s="1">
        <f t="shared" si="23"/>
        <v>4227.4192672415984</v>
      </c>
    </row>
    <row r="139" spans="11:18" x14ac:dyDescent="0.25">
      <c r="K139" s="1">
        <f t="shared" si="18"/>
        <v>6.5999999999999845</v>
      </c>
      <c r="L139" s="1">
        <f t="shared" si="19"/>
        <v>444.50817538902157</v>
      </c>
      <c r="M139" s="1">
        <f t="shared" si="16"/>
        <v>755.25959852468259</v>
      </c>
      <c r="N139" s="1">
        <f t="shared" si="20"/>
        <v>16495.130326627204</v>
      </c>
      <c r="O139" s="1">
        <f t="shared" si="21"/>
        <v>1</v>
      </c>
      <c r="P139" s="1">
        <f t="shared" si="17"/>
        <v>1.2273259958478855</v>
      </c>
      <c r="Q139" s="1">
        <f t="shared" si="22"/>
        <v>35.965596947923387</v>
      </c>
      <c r="R139" s="1">
        <f t="shared" si="23"/>
        <v>4244.7404014753174</v>
      </c>
    </row>
    <row r="140" spans="11:18" x14ac:dyDescent="0.25">
      <c r="K140" s="1">
        <f t="shared" si="18"/>
        <v>6.6499999999999844</v>
      </c>
      <c r="L140" s="1">
        <f t="shared" si="19"/>
        <v>446.30645523641772</v>
      </c>
      <c r="M140" s="1">
        <f t="shared" si="16"/>
        <v>738.08729091814439</v>
      </c>
      <c r="N140" s="1">
        <f t="shared" si="20"/>
        <v>16532.89330655344</v>
      </c>
      <c r="O140" s="1">
        <f t="shared" si="21"/>
        <v>1</v>
      </c>
      <c r="P140" s="1">
        <f t="shared" si="17"/>
        <v>1.216780567012306</v>
      </c>
      <c r="Q140" s="1">
        <f t="shared" si="22"/>
        <v>35.656573392302008</v>
      </c>
      <c r="R140" s="1">
        <f t="shared" si="23"/>
        <v>4261.9127090818556</v>
      </c>
    </row>
    <row r="141" spans="11:18" x14ac:dyDescent="0.25">
      <c r="K141" s="1">
        <f t="shared" si="18"/>
        <v>6.6999999999999842</v>
      </c>
      <c r="L141" s="1">
        <f t="shared" si="19"/>
        <v>448.08928390603285</v>
      </c>
      <c r="M141" s="1">
        <f t="shared" si="16"/>
        <v>721.06253119083249</v>
      </c>
      <c r="N141" s="1">
        <f t="shared" si="20"/>
        <v>16569.797671099346</v>
      </c>
      <c r="O141" s="1">
        <f t="shared" si="21"/>
        <v>1</v>
      </c>
      <c r="P141" s="1">
        <f t="shared" si="17"/>
        <v>1.2063257465967407</v>
      </c>
      <c r="Q141" s="1">
        <f t="shared" si="22"/>
        <v>35.350205028475926</v>
      </c>
      <c r="R141" s="1">
        <f t="shared" si="23"/>
        <v>4278.9374688091675</v>
      </c>
    </row>
    <row r="142" spans="11:18" x14ac:dyDescent="0.25">
      <c r="K142" s="1">
        <f t="shared" si="18"/>
        <v>6.749999999999984</v>
      </c>
      <c r="L142" s="1">
        <f t="shared" si="19"/>
        <v>449.85679415745665</v>
      </c>
      <c r="M142" s="1">
        <f t="shared" si="16"/>
        <v>704.18405158205042</v>
      </c>
      <c r="N142" s="1">
        <f t="shared" si="20"/>
        <v>16605.850797658888</v>
      </c>
      <c r="O142" s="1">
        <f t="shared" si="21"/>
        <v>1</v>
      </c>
      <c r="P142" s="1">
        <f t="shared" si="17"/>
        <v>1.19596075607564</v>
      </c>
      <c r="Q142" s="1">
        <f t="shared" si="22"/>
        <v>35.046469042509599</v>
      </c>
      <c r="R142" s="1">
        <f t="shared" si="23"/>
        <v>4295.8159484179496</v>
      </c>
    </row>
    <row r="143" spans="11:18" x14ac:dyDescent="0.25">
      <c r="K143" s="1">
        <f t="shared" si="18"/>
        <v>6.7999999999999838</v>
      </c>
      <c r="L143" s="1">
        <f t="shared" si="19"/>
        <v>451.60911760958214</v>
      </c>
      <c r="M143" s="1">
        <f t="shared" si="16"/>
        <v>687.45059522395331</v>
      </c>
      <c r="N143" s="1">
        <f t="shared" si="20"/>
        <v>16641.060000237991</v>
      </c>
      <c r="O143" s="1">
        <f t="shared" si="21"/>
        <v>1</v>
      </c>
      <c r="P143" s="1">
        <f t="shared" si="17"/>
        <v>1.1856848236127022</v>
      </c>
      <c r="Q143" s="1">
        <f t="shared" si="22"/>
        <v>34.745342816489448</v>
      </c>
      <c r="R143" s="1">
        <f t="shared" si="23"/>
        <v>4312.5494047760467</v>
      </c>
    </row>
    <row r="144" spans="11:18" x14ac:dyDescent="0.25">
      <c r="K144" s="1">
        <f t="shared" si="18"/>
        <v>6.8499999999999837</v>
      </c>
      <c r="L144" s="1">
        <f t="shared" si="19"/>
        <v>453.34638475040663</v>
      </c>
      <c r="M144" s="1">
        <f t="shared" si="16"/>
        <v>670.86091604795274</v>
      </c>
      <c r="N144" s="1">
        <f t="shared" si="20"/>
        <v>16675.432529999187</v>
      </c>
      <c r="O144" s="1">
        <f t="shared" si="21"/>
        <v>1</v>
      </c>
      <c r="P144" s="1">
        <f t="shared" si="17"/>
        <v>1.1754971840033934</v>
      </c>
      <c r="Q144" s="1">
        <f t="shared" si="22"/>
        <v>34.446803926839372</v>
      </c>
      <c r="R144" s="1">
        <f t="shared" si="23"/>
        <v>4329.1390839520473</v>
      </c>
    </row>
    <row r="145" spans="11:18" x14ac:dyDescent="0.25">
      <c r="K145" s="1">
        <f t="shared" si="18"/>
        <v>6.8999999999999835</v>
      </c>
      <c r="L145" s="1">
        <f t="shared" si="19"/>
        <v>455.0687249467486</v>
      </c>
      <c r="M145" s="1">
        <f t="shared" si="16"/>
        <v>654.41377869193093</v>
      </c>
      <c r="N145" s="1">
        <f t="shared" si="20"/>
        <v>16708.975575801585</v>
      </c>
      <c r="O145" s="1">
        <f t="shared" si="21"/>
        <v>1</v>
      </c>
      <c r="P145" s="1">
        <f t="shared" si="17"/>
        <v>1.1653970786179708</v>
      </c>
      <c r="Q145" s="1">
        <f t="shared" si="22"/>
        <v>34.150830142651166</v>
      </c>
      <c r="R145" s="1">
        <f t="shared" si="23"/>
        <v>4345.5862213080691</v>
      </c>
    </row>
    <row r="146" spans="11:18" x14ac:dyDescent="0.25">
      <c r="K146" s="1">
        <f t="shared" si="18"/>
        <v>6.9499999999999833</v>
      </c>
      <c r="L146" s="1">
        <f t="shared" si="19"/>
        <v>456.77626645388114</v>
      </c>
      <c r="M146" s="1">
        <f t="shared" si="16"/>
        <v>638.10795840824721</v>
      </c>
      <c r="N146" s="1">
        <f t="shared" si="20"/>
        <v>16741.696264736183</v>
      </c>
      <c r="O146" s="1">
        <f t="shared" si="21"/>
        <v>1</v>
      </c>
      <c r="P146" s="1">
        <f t="shared" si="17"/>
        <v>1.1553837553449899</v>
      </c>
      <c r="Q146" s="1">
        <f t="shared" si="22"/>
        <v>33.857399424029012</v>
      </c>
      <c r="R146" s="1">
        <f t="shared" si="23"/>
        <v>4361.8920415917528</v>
      </c>
    </row>
    <row r="147" spans="11:18" x14ac:dyDescent="0.25">
      <c r="K147" s="1">
        <f t="shared" si="18"/>
        <v>6.9999999999999831</v>
      </c>
      <c r="L147" s="1">
        <f t="shared" si="19"/>
        <v>458.46913642508258</v>
      </c>
      <c r="M147" s="1">
        <f t="shared" si="16"/>
        <v>621.94224097253482</v>
      </c>
      <c r="N147" s="1">
        <f t="shared" si="20"/>
        <v>16773.601662656594</v>
      </c>
      <c r="O147" s="1">
        <f t="shared" si="21"/>
        <v>1</v>
      </c>
      <c r="P147" s="1">
        <f t="shared" si="17"/>
        <v>1.1454564685352959</v>
      </c>
      <c r="Q147" s="1">
        <f t="shared" si="22"/>
        <v>33.566489920448234</v>
      </c>
      <c r="R147" s="1">
        <f t="shared" si="23"/>
        <v>4378.0577590274652</v>
      </c>
    </row>
    <row r="148" spans="11:18" x14ac:dyDescent="0.25">
      <c r="K148" s="1">
        <f t="shared" si="18"/>
        <v>7.0499999999999829</v>
      </c>
      <c r="L148" s="1">
        <f t="shared" si="19"/>
        <v>460.14746092110499</v>
      </c>
      <c r="M148" s="1">
        <f t="shared" si="16"/>
        <v>605.91542259328435</v>
      </c>
      <c r="N148" s="1">
        <f t="shared" si="20"/>
        <v>16804.698774705223</v>
      </c>
      <c r="O148" s="1">
        <f t="shared" si="21"/>
        <v>1</v>
      </c>
      <c r="P148" s="1">
        <f t="shared" si="17"/>
        <v>1.1356144789465004</v>
      </c>
      <c r="Q148" s="1">
        <f t="shared" si="22"/>
        <v>33.278079969128221</v>
      </c>
      <c r="R148" s="1">
        <f t="shared" si="23"/>
        <v>4394.0845774067157</v>
      </c>
    </row>
    <row r="149" spans="11:18" x14ac:dyDescent="0.25">
      <c r="K149" s="1">
        <f t="shared" si="18"/>
        <v>7.0999999999999828</v>
      </c>
      <c r="L149" s="1">
        <f t="shared" si="19"/>
        <v>461.81136491956141</v>
      </c>
      <c r="M149" s="1">
        <f t="shared" si="16"/>
        <v>590.02630982220126</v>
      </c>
      <c r="N149" s="1">
        <f t="shared" si="20"/>
        <v>16834.994545834888</v>
      </c>
      <c r="O149" s="1">
        <f t="shared" si="21"/>
        <v>1</v>
      </c>
      <c r="P149" s="1">
        <f t="shared" si="17"/>
        <v>1.1258570536879313</v>
      </c>
      <c r="Q149" s="1">
        <f t="shared" si="22"/>
        <v>32.992148093419239</v>
      </c>
      <c r="R149" s="1">
        <f t="shared" si="23"/>
        <v>4409.9736901777987</v>
      </c>
    </row>
    <row r="150" spans="11:18" x14ac:dyDescent="0.25">
      <c r="K150" s="1">
        <f t="shared" si="18"/>
        <v>7.1499999999999826</v>
      </c>
      <c r="L150" s="1">
        <f t="shared" si="19"/>
        <v>463.46097232423239</v>
      </c>
      <c r="M150" s="1">
        <f t="shared" si="16"/>
        <v>574.27371946533822</v>
      </c>
      <c r="N150" s="1">
        <f t="shared" si="20"/>
        <v>16864.495861325999</v>
      </c>
      <c r="O150" s="1">
        <f t="shared" si="21"/>
        <v>1</v>
      </c>
      <c r="P150" s="1">
        <f t="shared" si="17"/>
        <v>1.1161834661660612</v>
      </c>
      <c r="Q150" s="1">
        <f t="shared" si="22"/>
        <v>32.708673001203266</v>
      </c>
      <c r="R150" s="1">
        <f t="shared" si="23"/>
        <v>4425.7262805346618</v>
      </c>
    </row>
    <row r="151" spans="11:18" x14ac:dyDescent="0.25">
      <c r="K151" s="1">
        <f t="shared" si="18"/>
        <v>7.1999999999999824</v>
      </c>
      <c r="L151" s="1">
        <f t="shared" si="19"/>
        <v>465.09640597429257</v>
      </c>
      <c r="M151" s="1">
        <f t="shared" si="16"/>
        <v>558.65647849498509</v>
      </c>
      <c r="N151" s="1">
        <f t="shared" si="20"/>
        <v>16893.209547299266</v>
      </c>
      <c r="O151" s="1">
        <f t="shared" si="21"/>
        <v>1</v>
      </c>
      <c r="P151" s="1">
        <f t="shared" si="17"/>
        <v>1.106592996030396</v>
      </c>
      <c r="Q151" s="1">
        <f t="shared" si="22"/>
        <v>32.427633583308314</v>
      </c>
      <c r="R151" s="1">
        <f t="shared" si="23"/>
        <v>4441.3435215050149</v>
      </c>
    </row>
    <row r="152" spans="11:18" x14ac:dyDescent="0.25">
      <c r="K152" s="1">
        <f t="shared" si="18"/>
        <v>7.2499999999999822</v>
      </c>
      <c r="L152" s="1">
        <f t="shared" si="19"/>
        <v>466.717787653458</v>
      </c>
      <c r="M152" s="1">
        <f t="shared" si="16"/>
        <v>543.17342396231561</v>
      </c>
      <c r="N152" s="1">
        <f t="shared" si="20"/>
        <v>16921.142371224014</v>
      </c>
      <c r="O152" s="1">
        <f t="shared" si="21"/>
        <v>1</v>
      </c>
      <c r="P152" s="1">
        <f t="shared" si="17"/>
        <v>1.0970849291198372</v>
      </c>
      <c r="Q152" s="1">
        <f t="shared" si="22"/>
        <v>32.149008911936626</v>
      </c>
      <c r="R152" s="1">
        <f t="shared" si="23"/>
        <v>4456.8265760376844</v>
      </c>
    </row>
    <row r="153" spans="11:18" x14ac:dyDescent="0.25">
      <c r="K153" s="1">
        <f t="shared" si="18"/>
        <v>7.2999999999999821</v>
      </c>
      <c r="L153" s="1">
        <f t="shared" si="19"/>
        <v>468.32523809905484</v>
      </c>
      <c r="M153" s="1">
        <f t="shared" si="16"/>
        <v>527.82340291079527</v>
      </c>
      <c r="N153" s="1">
        <f t="shared" si="20"/>
        <v>16948.301042422128</v>
      </c>
      <c r="O153" s="1">
        <f t="shared" si="21"/>
        <v>1</v>
      </c>
      <c r="P153" s="1">
        <f t="shared" si="17"/>
        <v>1.0876585574095015</v>
      </c>
      <c r="Q153" s="1">
        <f t="shared" si="22"/>
        <v>31.872778239106275</v>
      </c>
      <c r="R153" s="1">
        <f t="shared" si="23"/>
        <v>4472.1765970892047</v>
      </c>
    </row>
    <row r="154" spans="11:18" x14ac:dyDescent="0.25">
      <c r="K154" s="1">
        <f t="shared" si="18"/>
        <v>7.3499999999999819</v>
      </c>
      <c r="L154" s="1">
        <f t="shared" si="19"/>
        <v>469.91887701101018</v>
      </c>
      <c r="M154" s="1">
        <f t="shared" si="16"/>
        <v>512.60527229031868</v>
      </c>
      <c r="N154" s="1">
        <f t="shared" si="20"/>
        <v>16974.692212567668</v>
      </c>
      <c r="O154" s="1">
        <f t="shared" si="21"/>
        <v>1</v>
      </c>
      <c r="P154" s="1">
        <f t="shared" si="17"/>
        <v>1.0783131789579947</v>
      </c>
      <c r="Q154" s="1">
        <f t="shared" si="22"/>
        <v>31.598920995106077</v>
      </c>
      <c r="R154" s="1">
        <f t="shared" si="23"/>
        <v>4487.3947277096813</v>
      </c>
    </row>
    <row r="155" spans="11:18" x14ac:dyDescent="0.25">
      <c r="K155" s="1">
        <f t="shared" si="18"/>
        <v>7.3999999999999817</v>
      </c>
      <c r="L155" s="1">
        <f t="shared" si="19"/>
        <v>471.49882306076546</v>
      </c>
      <c r="M155" s="1">
        <f t="shared" si="16"/>
        <v>497.51789887209452</v>
      </c>
      <c r="N155" s="1">
        <f t="shared" si="20"/>
        <v>17000.322476182184</v>
      </c>
      <c r="O155" s="1">
        <f t="shared" si="21"/>
        <v>1</v>
      </c>
      <c r="P155" s="1">
        <f t="shared" si="17"/>
        <v>1.0690480978551431</v>
      </c>
      <c r="Q155" s="1">
        <f t="shared" si="22"/>
        <v>31.327416786963905</v>
      </c>
      <c r="R155" s="1">
        <f t="shared" si="23"/>
        <v>4502.4821011279055</v>
      </c>
    </row>
    <row r="156" spans="11:18" x14ac:dyDescent="0.25">
      <c r="K156" s="1">
        <f t="shared" si="18"/>
        <v>7.4499999999999815</v>
      </c>
      <c r="L156" s="1">
        <f t="shared" si="19"/>
        <v>473.06519390011363</v>
      </c>
      <c r="M156" s="1">
        <f t="shared" si="16"/>
        <v>482.56015916425895</v>
      </c>
      <c r="N156" s="1">
        <f t="shared" si="20"/>
        <v>17025.198371125789</v>
      </c>
      <c r="O156" s="1">
        <f t="shared" si="21"/>
        <v>1</v>
      </c>
      <c r="P156" s="1">
        <f t="shared" si="17"/>
        <v>1.0598626241701712</v>
      </c>
      <c r="Q156" s="1">
        <f t="shared" si="22"/>
        <v>31.058245396928097</v>
      </c>
      <c r="R156" s="1">
        <f t="shared" si="23"/>
        <v>4517.4398408357411</v>
      </c>
    </row>
    <row r="157" spans="11:18" x14ac:dyDescent="0.25">
      <c r="K157" s="1">
        <f t="shared" si="18"/>
        <v>7.4999999999999813</v>
      </c>
      <c r="L157" s="1">
        <f t="shared" si="19"/>
        <v>474.61810616996001</v>
      </c>
      <c r="M157" s="1">
        <f t="shared" si="16"/>
        <v>467.73093932821212</v>
      </c>
      <c r="N157" s="1">
        <f t="shared" si="20"/>
        <v>17049.326379084003</v>
      </c>
      <c r="O157" s="1">
        <f t="shared" si="21"/>
        <v>1</v>
      </c>
      <c r="P157" s="1">
        <f t="shared" si="17"/>
        <v>1.0507560739003252</v>
      </c>
      <c r="Q157" s="1">
        <f t="shared" si="22"/>
        <v>30.791386780961915</v>
      </c>
      <c r="R157" s="1">
        <f t="shared" si="23"/>
        <v>4532.2690606717879</v>
      </c>
    </row>
    <row r="158" spans="11:18" x14ac:dyDescent="0.25">
      <c r="K158" s="1">
        <f t="shared" si="18"/>
        <v>7.5499999999999812</v>
      </c>
      <c r="L158" s="1">
        <f t="shared" si="19"/>
        <v>476.15767550900813</v>
      </c>
      <c r="M158" s="1">
        <f t="shared" si="16"/>
        <v>453.02913509567861</v>
      </c>
      <c r="N158" s="1">
        <f t="shared" si="20"/>
        <v>17072.712926050415</v>
      </c>
      <c r="O158" s="1">
        <f t="shared" si="21"/>
        <v>1</v>
      </c>
      <c r="P158" s="1">
        <f t="shared" si="17"/>
        <v>1.0417277689199409</v>
      </c>
      <c r="Q158" s="1">
        <f t="shared" si="22"/>
        <v>30.526821067251021</v>
      </c>
      <c r="R158" s="1">
        <f t="shared" si="23"/>
        <v>4546.9708649043214</v>
      </c>
    </row>
    <row r="159" spans="11:18" x14ac:dyDescent="0.25">
      <c r="K159" s="1">
        <f t="shared" si="18"/>
        <v>7.599999999999981</v>
      </c>
      <c r="L159" s="1">
        <f t="shared" si="19"/>
        <v>477.68401656237069</v>
      </c>
      <c r="M159" s="1">
        <f t="shared" si="16"/>
        <v>438.45365168647368</v>
      </c>
      <c r="N159" s="1">
        <f t="shared" si="20"/>
        <v>17095.364382805201</v>
      </c>
      <c r="O159" s="1">
        <f t="shared" si="21"/>
        <v>1</v>
      </c>
      <c r="P159" s="1">
        <f t="shared" si="17"/>
        <v>1.0327770369299427</v>
      </c>
      <c r="Q159" s="1">
        <f t="shared" si="22"/>
        <v>30.264528554723601</v>
      </c>
      <c r="R159" s="1">
        <f t="shared" si="23"/>
        <v>4561.5463483135263</v>
      </c>
    </row>
    <row r="160" spans="11:18" x14ac:dyDescent="0.25">
      <c r="K160" s="1">
        <f t="shared" si="18"/>
        <v>7.6499999999999808</v>
      </c>
      <c r="L160" s="1">
        <f t="shared" si="19"/>
        <v>479.19724299010687</v>
      </c>
      <c r="M160" s="1">
        <f t="shared" si="16"/>
        <v>424.00340372698429</v>
      </c>
      <c r="N160" s="1">
        <f t="shared" si="20"/>
        <v>17117.287065389526</v>
      </c>
      <c r="O160" s="1">
        <f t="shared" si="21"/>
        <v>1</v>
      </c>
      <c r="P160" s="1">
        <f t="shared" si="17"/>
        <v>1.0239032114077826</v>
      </c>
      <c r="Q160" s="1">
        <f t="shared" si="22"/>
        <v>30.004489711583378</v>
      </c>
      <c r="R160" s="1">
        <f t="shared" si="23"/>
        <v>4575.9965962730157</v>
      </c>
    </row>
    <row r="161" spans="11:18" x14ac:dyDescent="0.25">
      <c r="K161" s="1">
        <f t="shared" si="18"/>
        <v>7.6999999999999806</v>
      </c>
      <c r="L161" s="1">
        <f t="shared" si="19"/>
        <v>480.69746747568604</v>
      </c>
      <c r="M161" s="1">
        <f t="shared" si="16"/>
        <v>409.67731516933873</v>
      </c>
      <c r="N161" s="1">
        <f t="shared" si="20"/>
        <v>17138.487235575874</v>
      </c>
      <c r="O161" s="1">
        <f t="shared" si="21"/>
        <v>1</v>
      </c>
      <c r="P161" s="1">
        <f t="shared" si="17"/>
        <v>1.0151056315578075</v>
      </c>
      <c r="Q161" s="1">
        <f t="shared" si="22"/>
        <v>29.74668517385517</v>
      </c>
      <c r="R161" s="1">
        <f t="shared" si="23"/>
        <v>4590.3226848306613</v>
      </c>
    </row>
    <row r="162" spans="11:18" x14ac:dyDescent="0.25">
      <c r="K162" s="1">
        <f t="shared" si="18"/>
        <v>7.7499999999999805</v>
      </c>
      <c r="L162" s="1">
        <f t="shared" si="19"/>
        <v>482.18480173437882</v>
      </c>
      <c r="M162" s="1">
        <f t="shared" si="16"/>
        <v>395.47431921128646</v>
      </c>
      <c r="N162" s="1">
        <f t="shared" si="20"/>
        <v>17158.97110133434</v>
      </c>
      <c r="O162" s="1">
        <f t="shared" si="21"/>
        <v>1</v>
      </c>
      <c r="P162" s="1">
        <f t="shared" si="17"/>
        <v>1.0063836422620511</v>
      </c>
      <c r="Q162" s="1">
        <f t="shared" si="22"/>
        <v>29.491095743942893</v>
      </c>
      <c r="R162" s="1">
        <f t="shared" si="23"/>
        <v>4604.5256807887135</v>
      </c>
    </row>
    <row r="163" spans="11:18" x14ac:dyDescent="0.25">
      <c r="K163" s="1">
        <f t="shared" si="18"/>
        <v>7.7999999999999803</v>
      </c>
      <c r="L163" s="1">
        <f t="shared" si="19"/>
        <v>483.65935652157594</v>
      </c>
      <c r="M163" s="1">
        <f t="shared" si="16"/>
        <v>381.39335821675195</v>
      </c>
      <c r="N163" s="1">
        <f t="shared" si="20"/>
        <v>17178.744817294904</v>
      </c>
      <c r="O163" s="1">
        <f t="shared" si="21"/>
        <v>1</v>
      </c>
      <c r="P163" s="1">
        <f t="shared" si="17"/>
        <v>0.9977365940314511</v>
      </c>
      <c r="Q163" s="1">
        <f t="shared" si="22"/>
        <v>29.237702389200035</v>
      </c>
      <c r="R163" s="1">
        <f t="shared" si="23"/>
        <v>4618.6066417832481</v>
      </c>
    </row>
    <row r="164" spans="11:18" x14ac:dyDescent="0.25">
      <c r="K164" s="1">
        <f t="shared" si="18"/>
        <v>7.8499999999999801</v>
      </c>
      <c r="L164" s="1">
        <f t="shared" si="19"/>
        <v>485.12124164103597</v>
      </c>
      <c r="M164" s="1">
        <f t="shared" si="16"/>
        <v>367.4333836370788</v>
      </c>
      <c r="N164" s="1">
        <f t="shared" si="20"/>
        <v>17197.814485205741</v>
      </c>
      <c r="O164" s="1">
        <f t="shared" si="21"/>
        <v>1</v>
      </c>
      <c r="P164" s="1">
        <f t="shared" si="17"/>
        <v>0.98916384295748438</v>
      </c>
      <c r="Q164" s="1">
        <f t="shared" si="22"/>
        <v>28.986486240512367</v>
      </c>
      <c r="R164" s="1">
        <f t="shared" si="23"/>
        <v>4632.5666163629212</v>
      </c>
    </row>
    <row r="165" spans="11:18" x14ac:dyDescent="0.25">
      <c r="K165" s="1">
        <f t="shared" si="18"/>
        <v>7.8999999999999799</v>
      </c>
      <c r="L165" s="1">
        <f t="shared" si="19"/>
        <v>486.57056595306159</v>
      </c>
      <c r="M165" s="1">
        <f t="shared" si="16"/>
        <v>353.59335593295054</v>
      </c>
      <c r="N165" s="1">
        <f t="shared" si="20"/>
        <v>17216.186154387597</v>
      </c>
      <c r="O165" s="1">
        <f t="shared" si="21"/>
        <v>1</v>
      </c>
      <c r="P165" s="1">
        <f t="shared" si="17"/>
        <v>0.98066475066421765</v>
      </c>
      <c r="Q165" s="1">
        <f t="shared" si="22"/>
        <v>28.737428590892829</v>
      </c>
      <c r="R165" s="1">
        <f t="shared" si="23"/>
        <v>4646.4066440670495</v>
      </c>
    </row>
    <row r="166" spans="11:18" x14ac:dyDescent="0.25">
      <c r="K166" s="1">
        <f t="shared" si="18"/>
        <v>7.9499999999999797</v>
      </c>
      <c r="L166" s="1">
        <f t="shared" si="19"/>
        <v>488.00743738260621</v>
      </c>
      <c r="M166" s="1">
        <f t="shared" si="16"/>
        <v>339.87224449697806</v>
      </c>
      <c r="N166" s="1">
        <f t="shared" si="20"/>
        <v>17233.865822184245</v>
      </c>
      <c r="O166" s="1">
        <f t="shared" si="21"/>
        <v>1</v>
      </c>
      <c r="P166" s="1">
        <f t="shared" si="17"/>
        <v>0.97223868426077087</v>
      </c>
      <c r="Q166" s="1">
        <f t="shared" si="22"/>
        <v>28.490510894088526</v>
      </c>
      <c r="R166" s="1">
        <f t="shared" si="23"/>
        <v>4660.1277555030219</v>
      </c>
    </row>
    <row r="167" spans="11:18" x14ac:dyDescent="0.25">
      <c r="K167" s="1">
        <f t="shared" si="18"/>
        <v>7.9999999999999796</v>
      </c>
      <c r="L167" s="1">
        <f t="shared" si="19"/>
        <v>489.43196292731062</v>
      </c>
      <c r="M167" s="1">
        <f t="shared" si="16"/>
        <v>326.26902757695461</v>
      </c>
      <c r="N167" s="1">
        <f t="shared" si="20"/>
        <v>17250.859434409093</v>
      </c>
      <c r="O167" s="1">
        <f t="shared" si="21"/>
        <v>1</v>
      </c>
      <c r="P167" s="1">
        <f t="shared" si="17"/>
        <v>0.96388501629418766</v>
      </c>
      <c r="Q167" s="1">
        <f t="shared" si="22"/>
        <v>28.245714763199643</v>
      </c>
      <c r="R167" s="1">
        <f t="shared" si="23"/>
        <v>4673.7309724230454</v>
      </c>
    </row>
    <row r="168" spans="11:18" x14ac:dyDescent="0.25">
      <c r="K168" s="1">
        <f t="shared" si="18"/>
        <v>8.0499999999999794</v>
      </c>
      <c r="L168" s="1">
        <f t="shared" si="19"/>
        <v>490.84424866547062</v>
      </c>
      <c r="M168" s="1">
        <f t="shared" si="16"/>
        <v>312.78269219977392</v>
      </c>
      <c r="N168" s="1">
        <f t="shared" si="20"/>
        <v>17267.172885787939</v>
      </c>
      <c r="O168" s="1">
        <f t="shared" si="21"/>
        <v>1</v>
      </c>
      <c r="P168" s="1">
        <f t="shared" si="17"/>
        <v>0.95560312470271214</v>
      </c>
      <c r="Q168" s="1">
        <f t="shared" si="22"/>
        <v>28.00302196931025</v>
      </c>
      <c r="R168" s="1">
        <f t="shared" si="23"/>
        <v>4687.2173078002261</v>
      </c>
    </row>
    <row r="169" spans="11:18" x14ac:dyDescent="0.25">
      <c r="K169" s="1">
        <f t="shared" si="18"/>
        <v>8.0999999999999801</v>
      </c>
      <c r="L169" s="1">
        <f t="shared" si="19"/>
        <v>492.24439976393614</v>
      </c>
      <c r="M169" s="1">
        <f t="shared" si="16"/>
        <v>299.41223409599388</v>
      </c>
      <c r="N169" s="1">
        <f t="shared" si="20"/>
        <v>17282.812020397927</v>
      </c>
      <c r="O169" s="1">
        <f t="shared" si="21"/>
        <v>1</v>
      </c>
      <c r="P169" s="1">
        <f t="shared" si="17"/>
        <v>0.94739239276946707</v>
      </c>
      <c r="Q169" s="1">
        <f t="shared" si="22"/>
        <v>27.762414440130907</v>
      </c>
      <c r="R169" s="1">
        <f t="shared" si="23"/>
        <v>4700.5877659040061</v>
      </c>
    </row>
    <row r="170" spans="11:18" x14ac:dyDescent="0.25">
      <c r="K170" s="1">
        <f t="shared" si="18"/>
        <v>8.1499999999999808</v>
      </c>
      <c r="L170" s="1">
        <f t="shared" si="19"/>
        <v>493.63252048594268</v>
      </c>
      <c r="M170" s="1">
        <f t="shared" si="16"/>
        <v>286.15665762505523</v>
      </c>
      <c r="N170" s="1">
        <f t="shared" si="20"/>
        <v>17297.782632102728</v>
      </c>
      <c r="O170" s="1">
        <f t="shared" si="21"/>
        <v>1</v>
      </c>
      <c r="P170" s="1">
        <f t="shared" si="17"/>
        <v>0.93925220907652907</v>
      </c>
      <c r="Q170" s="1">
        <f t="shared" si="22"/>
        <v>27.523874258652871</v>
      </c>
      <c r="R170" s="1">
        <f t="shared" si="23"/>
        <v>4713.8433423749448</v>
      </c>
    </row>
    <row r="171" spans="11:18" x14ac:dyDescent="0.25">
      <c r="K171" s="1">
        <f t="shared" si="18"/>
        <v>8.1999999999999815</v>
      </c>
      <c r="L171" s="1">
        <f t="shared" si="19"/>
        <v>495.00871419887534</v>
      </c>
      <c r="M171" s="1">
        <f t="shared" si="16"/>
        <v>273.01497570114225</v>
      </c>
      <c r="N171" s="1">
        <f t="shared" si="20"/>
        <v>17312.090464983979</v>
      </c>
      <c r="O171" s="1">
        <f t="shared" si="21"/>
        <v>1</v>
      </c>
      <c r="P171" s="1">
        <f t="shared" si="17"/>
        <v>0.93118196745939896</v>
      </c>
      <c r="Q171" s="1">
        <f t="shared" si="22"/>
        <v>27.287383661813891</v>
      </c>
      <c r="R171" s="1">
        <f t="shared" si="23"/>
        <v>4726.9850242988578</v>
      </c>
    </row>
    <row r="172" spans="11:18" x14ac:dyDescent="0.25">
      <c r="K172" s="1">
        <f t="shared" si="18"/>
        <v>8.2499999999999822</v>
      </c>
      <c r="L172" s="1">
        <f t="shared" si="19"/>
        <v>496.37308338196601</v>
      </c>
      <c r="M172" s="1">
        <f t="shared" si="16"/>
        <v>259.98620971967466</v>
      </c>
      <c r="N172" s="1">
        <f t="shared" si="20"/>
        <v>17325.741213769037</v>
      </c>
      <c r="O172" s="1">
        <f t="shared" si="21"/>
        <v>1</v>
      </c>
      <c r="P172" s="1">
        <f t="shared" si="17"/>
        <v>0.92318106696186286</v>
      </c>
      <c r="Q172" s="1">
        <f t="shared" si="22"/>
        <v>27.052925039175474</v>
      </c>
      <c r="R172" s="1">
        <f t="shared" si="23"/>
        <v>4740.0137902803253</v>
      </c>
    </row>
    <row r="173" spans="11:18" x14ac:dyDescent="0.25">
      <c r="K173" s="1">
        <f t="shared" si="18"/>
        <v>8.2999999999999829</v>
      </c>
      <c r="L173" s="1">
        <f t="shared" si="19"/>
        <v>497.7257296339248</v>
      </c>
      <c r="M173" s="1">
        <f t="shared" si="16"/>
        <v>247.06938948443712</v>
      </c>
      <c r="N173" s="1">
        <f t="shared" si="20"/>
        <v>17338.740524255019</v>
      </c>
      <c r="O173" s="1">
        <f t="shared" si="21"/>
        <v>1</v>
      </c>
      <c r="P173" s="1">
        <f t="shared" si="17"/>
        <v>0.91524891179124368</v>
      </c>
      <c r="Q173" s="1">
        <f t="shared" si="22"/>
        <v>26.820480931611542</v>
      </c>
      <c r="R173" s="1">
        <f t="shared" si="23"/>
        <v>4752.9306105155629</v>
      </c>
    </row>
    <row r="174" spans="11:18" x14ac:dyDescent="0.25">
      <c r="K174" s="1">
        <f t="shared" si="18"/>
        <v>8.3499999999999837</v>
      </c>
      <c r="L174" s="1">
        <f t="shared" si="19"/>
        <v>499.06675368050537</v>
      </c>
      <c r="M174" s="1">
        <f t="shared" si="16"/>
        <v>234.26355313533259</v>
      </c>
      <c r="N174" s="1">
        <f t="shared" si="20"/>
        <v>17351.093993729242</v>
      </c>
      <c r="O174" s="1">
        <f t="shared" si="21"/>
        <v>1</v>
      </c>
      <c r="P174" s="1">
        <f t="shared" si="17"/>
        <v>0.90738491127403087</v>
      </c>
      <c r="Q174" s="1">
        <f t="shared" si="22"/>
        <v>26.590034030008233</v>
      </c>
      <c r="R174" s="1">
        <f t="shared" si="23"/>
        <v>4765.7364468646674</v>
      </c>
    </row>
    <row r="175" spans="11:18" x14ac:dyDescent="0.25">
      <c r="K175" s="1">
        <f t="shared" si="18"/>
        <v>8.3999999999999844</v>
      </c>
      <c r="L175" s="1">
        <f t="shared" si="19"/>
        <v>500.39625538200579</v>
      </c>
      <c r="M175" s="1">
        <f t="shared" si="16"/>
        <v>221.5677470767605</v>
      </c>
      <c r="N175" s="1">
        <f t="shared" si="20"/>
        <v>17362.807171386008</v>
      </c>
      <c r="O175" s="1">
        <f t="shared" si="21"/>
        <v>1</v>
      </c>
      <c r="P175" s="1">
        <f t="shared" si="17"/>
        <v>0.89958847981190049</v>
      </c>
      <c r="Q175" s="1">
        <f t="shared" si="22"/>
        <v>26.361567173975111</v>
      </c>
      <c r="R175" s="1">
        <f t="shared" si="23"/>
        <v>4778.4322529232395</v>
      </c>
    </row>
    <row r="176" spans="11:18" x14ac:dyDescent="0.25">
      <c r="K176" s="1">
        <f t="shared" si="18"/>
        <v>8.4499999999999851</v>
      </c>
      <c r="L176" s="1">
        <f t="shared" si="19"/>
        <v>501.71433374070455</v>
      </c>
      <c r="M176" s="1">
        <f t="shared" si="16"/>
        <v>208.98102590659892</v>
      </c>
      <c r="N176" s="1">
        <f t="shared" si="20"/>
        <v>17373.885558739847</v>
      </c>
      <c r="O176" s="1">
        <f t="shared" si="21"/>
        <v>1</v>
      </c>
      <c r="P176" s="1">
        <f t="shared" si="17"/>
        <v>0.89185903683810464</v>
      </c>
      <c r="Q176" s="1">
        <f t="shared" si="22"/>
        <v>26.135063350567172</v>
      </c>
      <c r="R176" s="1">
        <f t="shared" si="23"/>
        <v>4791.0189740934011</v>
      </c>
    </row>
    <row r="177" spans="11:18" x14ac:dyDescent="0.25">
      <c r="K177" s="1">
        <f t="shared" si="18"/>
        <v>8.4999999999999858</v>
      </c>
      <c r="L177" s="1">
        <f t="shared" si="19"/>
        <v>503.02108690823292</v>
      </c>
      <c r="M177" s="1">
        <f t="shared" si="16"/>
        <v>196.50245234581143</v>
      </c>
      <c r="N177" s="1">
        <f t="shared" si="20"/>
        <v>17384.334610035177</v>
      </c>
      <c r="O177" s="1">
        <f t="shared" si="21"/>
        <v>1</v>
      </c>
      <c r="P177" s="1">
        <f t="shared" si="17"/>
        <v>0.88419600677424004</v>
      </c>
      <c r="Q177" s="1">
        <f t="shared" si="22"/>
        <v>25.910505693018028</v>
      </c>
      <c r="R177" s="1">
        <f t="shared" si="23"/>
        <v>4803.4975476541886</v>
      </c>
    </row>
    <row r="178" spans="11:18" x14ac:dyDescent="0.25">
      <c r="K178" s="1">
        <f t="shared" si="18"/>
        <v>8.5499999999999865</v>
      </c>
      <c r="L178" s="1">
        <f t="shared" si="19"/>
        <v>504.31661219288384</v>
      </c>
      <c r="M178" s="1">
        <f t="shared" si="16"/>
        <v>184.1310971686471</v>
      </c>
      <c r="N178" s="1">
        <f t="shared" si="20"/>
        <v>17394.159732652468</v>
      </c>
      <c r="O178" s="1">
        <f t="shared" si="21"/>
        <v>1</v>
      </c>
      <c r="P178" s="1">
        <f t="shared" si="17"/>
        <v>0.87659881898738823</v>
      </c>
      <c r="Q178" s="1">
        <f t="shared" si="22"/>
        <v>25.687877479483909</v>
      </c>
      <c r="R178" s="1">
        <f t="shared" si="23"/>
        <v>4815.8689028313529</v>
      </c>
    </row>
    <row r="179" spans="11:18" x14ac:dyDescent="0.25">
      <c r="K179" s="1">
        <f t="shared" si="18"/>
        <v>8.5999999999999872</v>
      </c>
      <c r="L179" s="1">
        <f t="shared" si="19"/>
        <v>505.60100606685802</v>
      </c>
      <c r="M179" s="1">
        <f t="shared" si="16"/>
        <v>171.86603913345061</v>
      </c>
      <c r="N179" s="1">
        <f t="shared" si="20"/>
        <v>17403.3662875109</v>
      </c>
      <c r="O179" s="1">
        <f t="shared" si="21"/>
        <v>1</v>
      </c>
      <c r="P179" s="1">
        <f t="shared" si="17"/>
        <v>0.86906690774762152</v>
      </c>
      <c r="Q179" s="1">
        <f t="shared" si="22"/>
        <v>25.467162131798435</v>
      </c>
      <c r="R179" s="1">
        <f t="shared" si="23"/>
        <v>4828.1339608665494</v>
      </c>
    </row>
    <row r="180" spans="11:18" x14ac:dyDescent="0.25">
      <c r="K180" s="1">
        <f t="shared" si="18"/>
        <v>8.6499999999999879</v>
      </c>
      <c r="L180" s="1">
        <f t="shared" si="19"/>
        <v>506.87436417344793</v>
      </c>
      <c r="M180" s="1">
        <f t="shared" si="16"/>
        <v>159.70636491405548</v>
      </c>
      <c r="N180" s="1">
        <f t="shared" si="20"/>
        <v>17411.959589467573</v>
      </c>
      <c r="O180" s="1">
        <f t="shared" si="21"/>
        <v>1</v>
      </c>
      <c r="P180" s="1">
        <f t="shared" si="17"/>
        <v>0.86159971218587639</v>
      </c>
      <c r="Q180" s="1">
        <f t="shared" si="22"/>
        <v>25.24834321423814</v>
      </c>
      <c r="R180" s="1">
        <f t="shared" si="23"/>
        <v>4840.2936350859445</v>
      </c>
    </row>
    <row r="181" spans="11:18" x14ac:dyDescent="0.25">
      <c r="K181" s="1">
        <f t="shared" si="18"/>
        <v>8.6999999999999886</v>
      </c>
      <c r="L181" s="1">
        <f t="shared" si="19"/>
        <v>508.13678133415982</v>
      </c>
      <c r="M181" s="1">
        <f t="shared" si="16"/>
        <v>147.65116903177568</v>
      </c>
      <c r="N181" s="1">
        <f t="shared" si="20"/>
        <v>17419.944907713278</v>
      </c>
      <c r="O181" s="1">
        <f t="shared" si="21"/>
        <v>1</v>
      </c>
      <c r="P181" s="1">
        <f t="shared" si="17"/>
        <v>0.85419667625218831</v>
      </c>
      <c r="Q181" s="1">
        <f t="shared" si="22"/>
        <v>25.031404432298562</v>
      </c>
      <c r="R181" s="1">
        <f t="shared" si="23"/>
        <v>4852.3488309682243</v>
      </c>
    </row>
    <row r="182" spans="11:18" x14ac:dyDescent="0.25">
      <c r="K182" s="1">
        <f t="shared" si="18"/>
        <v>8.7499999999999893</v>
      </c>
      <c r="L182" s="1">
        <f t="shared" si="19"/>
        <v>509.38835155577476</v>
      </c>
      <c r="M182" s="1">
        <f t="shared" si="16"/>
        <v>135.69955378797749</v>
      </c>
      <c r="N182" s="1">
        <f t="shared" si="20"/>
        <v>17427.327466164865</v>
      </c>
      <c r="O182" s="1">
        <f t="shared" si="21"/>
        <v>1</v>
      </c>
      <c r="P182" s="1">
        <f t="shared" si="17"/>
        <v>0.8468572486742828</v>
      </c>
      <c r="Q182" s="1">
        <f t="shared" si="22"/>
        <v>24.816329631480819</v>
      </c>
      <c r="R182" s="1">
        <f t="shared" si="23"/>
        <v>4864.3004462120225</v>
      </c>
    </row>
    <row r="183" spans="11:18" x14ac:dyDescent="0.25">
      <c r="K183" s="1">
        <f t="shared" si="18"/>
        <v>8.7999999999999901</v>
      </c>
      <c r="L183" s="1">
        <f t="shared" si="19"/>
        <v>510.62916803734879</v>
      </c>
      <c r="M183" s="1">
        <f t="shared" si="16"/>
        <v>123.8506291972335</v>
      </c>
      <c r="N183" s="1">
        <f t="shared" si="20"/>
        <v>17434.112443854265</v>
      </c>
      <c r="O183" s="1">
        <f t="shared" si="21"/>
        <v>1</v>
      </c>
      <c r="P183" s="1">
        <f t="shared" si="17"/>
        <v>0.83958088291652855</v>
      </c>
      <c r="Q183" s="1">
        <f t="shared" si="22"/>
        <v>24.603102796088752</v>
      </c>
      <c r="R183" s="1">
        <f t="shared" si="23"/>
        <v>4876.1493708027665</v>
      </c>
    </row>
    <row r="184" spans="11:18" x14ac:dyDescent="0.25">
      <c r="K184" s="1">
        <f t="shared" si="18"/>
        <v>8.8499999999999908</v>
      </c>
      <c r="L184" s="1">
        <f t="shared" si="19"/>
        <v>511.85932317715321</v>
      </c>
      <c r="M184" s="1">
        <f t="shared" si="16"/>
        <v>112.10351292104679</v>
      </c>
      <c r="N184" s="1">
        <f t="shared" si="20"/>
        <v>17440.304975314128</v>
      </c>
      <c r="O184" s="1">
        <f t="shared" si="21"/>
        <v>1</v>
      </c>
      <c r="P184" s="1">
        <f t="shared" si="17"/>
        <v>0.83236703713923565</v>
      </c>
      <c r="Q184" s="1">
        <f t="shared" si="22"/>
        <v>24.391708048036215</v>
      </c>
      <c r="R184" s="1">
        <f t="shared" si="23"/>
        <v>4887.8964870789532</v>
      </c>
    </row>
    <row r="185" spans="11:18" x14ac:dyDescent="0.25">
      <c r="K185" s="1">
        <f t="shared" si="18"/>
        <v>8.8999999999999915</v>
      </c>
      <c r="L185" s="1">
        <f t="shared" si="19"/>
        <v>513.07890857955499</v>
      </c>
      <c r="M185" s="1">
        <f t="shared" si="16"/>
        <v>100.45733020214902</v>
      </c>
      <c r="N185" s="1">
        <f t="shared" si="20"/>
        <v>17445.910150960179</v>
      </c>
      <c r="O185" s="1">
        <f t="shared" si="21"/>
        <v>1</v>
      </c>
      <c r="P185" s="1">
        <f t="shared" si="17"/>
        <v>0.8252151741583087</v>
      </c>
      <c r="Q185" s="1">
        <f t="shared" si="22"/>
        <v>24.182129645664727</v>
      </c>
      <c r="R185" s="1">
        <f t="shared" si="23"/>
        <v>4899.542669797851</v>
      </c>
    </row>
    <row r="186" spans="11:18" x14ac:dyDescent="0.25">
      <c r="K186" s="1">
        <f t="shared" si="18"/>
        <v>8.9499999999999922</v>
      </c>
      <c r="L186" s="1">
        <f t="shared" si="19"/>
        <v>514.28801506183822</v>
      </c>
      <c r="M186" s="1">
        <f t="shared" si="16"/>
        <v>88.911213799359757</v>
      </c>
      <c r="N186" s="1">
        <f t="shared" si="20"/>
        <v>17450.933017470285</v>
      </c>
      <c r="O186" s="1">
        <f t="shared" si="21"/>
        <v>0.88911213799359756</v>
      </c>
      <c r="P186" s="1">
        <f t="shared" si="17"/>
        <v>0.72740465575851898</v>
      </c>
      <c r="Q186" s="1">
        <f t="shared" si="22"/>
        <v>21.315887348234991</v>
      </c>
      <c r="R186" s="1">
        <f t="shared" si="23"/>
        <v>4911.0887862006402</v>
      </c>
    </row>
    <row r="187" spans="11:18" x14ac:dyDescent="0.25">
      <c r="K187" s="1">
        <f t="shared" si="18"/>
        <v>8.9999999999999929</v>
      </c>
      <c r="L187" s="1">
        <f t="shared" si="19"/>
        <v>515.35380942924996</v>
      </c>
      <c r="M187" s="1">
        <f t="shared" si="16"/>
        <v>78.733627285774674</v>
      </c>
      <c r="N187" s="1">
        <f t="shared" si="20"/>
        <v>17455.378578160253</v>
      </c>
      <c r="O187" s="1">
        <f t="shared" si="21"/>
        <v>0.78733627285774677</v>
      </c>
      <c r="P187" s="1">
        <f t="shared" si="17"/>
        <v>0.63921844446513543</v>
      </c>
      <c r="Q187" s="1">
        <f t="shared" si="22"/>
        <v>18.731676028282358</v>
      </c>
      <c r="R187" s="1">
        <f t="shared" si="23"/>
        <v>4921.2663727142253</v>
      </c>
    </row>
    <row r="188" spans="11:18" x14ac:dyDescent="0.25">
      <c r="K188" s="1">
        <f t="shared" si="18"/>
        <v>9.0499999999999936</v>
      </c>
      <c r="L188" s="1">
        <f t="shared" si="19"/>
        <v>516.29039323066411</v>
      </c>
      <c r="M188" s="1">
        <f t="shared" si="16"/>
        <v>69.78991078888339</v>
      </c>
      <c r="N188" s="1">
        <f t="shared" si="20"/>
        <v>17459.315259524541</v>
      </c>
      <c r="O188" s="1">
        <f t="shared" si="21"/>
        <v>0.69789910788883391</v>
      </c>
      <c r="P188" s="1">
        <f t="shared" si="17"/>
        <v>0.56277360236105622</v>
      </c>
      <c r="Q188" s="1">
        <f t="shared" si="22"/>
        <v>16.491534135122528</v>
      </c>
      <c r="R188" s="1">
        <f t="shared" si="23"/>
        <v>4930.2100892111166</v>
      </c>
    </row>
    <row r="189" spans="11:18" x14ac:dyDescent="0.25">
      <c r="K189" s="1">
        <f t="shared" si="18"/>
        <v>9.0999999999999943</v>
      </c>
      <c r="L189" s="1">
        <f t="shared" si="19"/>
        <v>517.11496993742026</v>
      </c>
      <c r="M189" s="1">
        <f t="shared" si="16"/>
        <v>61.915783258562442</v>
      </c>
      <c r="N189" s="1">
        <f t="shared" si="20"/>
        <v>17462.804755063986</v>
      </c>
      <c r="O189" s="1">
        <f t="shared" si="21"/>
        <v>0.6191578325856244</v>
      </c>
      <c r="P189" s="1">
        <f t="shared" si="17"/>
        <v>0.49628410419548463</v>
      </c>
      <c r="Q189" s="1">
        <f t="shared" si="22"/>
        <v>14.543123932468417</v>
      </c>
      <c r="R189" s="1">
        <f t="shared" si="23"/>
        <v>4938.0842167414376</v>
      </c>
    </row>
    <row r="190" spans="11:18" x14ac:dyDescent="0.25">
      <c r="K190" s="1">
        <f t="shared" si="18"/>
        <v>9.149999999999995</v>
      </c>
      <c r="L190" s="1">
        <f t="shared" si="19"/>
        <v>517.84212613404372</v>
      </c>
      <c r="M190" s="1">
        <f t="shared" si="16"/>
        <v>54.971953073010809</v>
      </c>
      <c r="N190" s="1">
        <f t="shared" si="20"/>
        <v>17465.900544226915</v>
      </c>
      <c r="O190" s="1">
        <f t="shared" si="21"/>
        <v>0.54971953073010815</v>
      </c>
      <c r="P190" s="1">
        <f t="shared" si="17"/>
        <v>0.4382819431182215</v>
      </c>
      <c r="Q190" s="1">
        <f t="shared" si="22"/>
        <v>12.84342690456327</v>
      </c>
      <c r="R190" s="1">
        <f t="shared" si="23"/>
        <v>4945.0280469269892</v>
      </c>
    </row>
    <row r="191" spans="11:18" x14ac:dyDescent="0.25">
      <c r="K191" s="1">
        <f t="shared" si="18"/>
        <v>9.1999999999999957</v>
      </c>
      <c r="L191" s="1">
        <f t="shared" si="19"/>
        <v>518.48429747927185</v>
      </c>
      <c r="M191" s="1">
        <f t="shared" si="16"/>
        <v>48.839668438708941</v>
      </c>
      <c r="N191" s="1">
        <f t="shared" si="20"/>
        <v>17468.649141880567</v>
      </c>
      <c r="O191" s="1">
        <f t="shared" si="21"/>
        <v>0.48839668438708944</v>
      </c>
      <c r="P191" s="1">
        <f t="shared" si="17"/>
        <v>0.38755108370524238</v>
      </c>
      <c r="Q191" s="1">
        <f t="shared" si="22"/>
        <v>11.356808313706738</v>
      </c>
      <c r="R191" s="1">
        <f t="shared" si="23"/>
        <v>4951.1603315612911</v>
      </c>
    </row>
    <row r="192" spans="11:18" x14ac:dyDescent="0.25">
      <c r="K192" s="1">
        <f t="shared" si="18"/>
        <v>9.2499999999999964</v>
      </c>
      <c r="L192" s="1">
        <f t="shared" si="19"/>
        <v>519.05213789495713</v>
      </c>
      <c r="M192" s="1">
        <f t="shared" si="16"/>
        <v>43.417191896089207</v>
      </c>
      <c r="N192" s="1">
        <f t="shared" si="20"/>
        <v>17471.091125302504</v>
      </c>
      <c r="O192" s="1">
        <f t="shared" si="21"/>
        <v>0.43417191896089208</v>
      </c>
      <c r="P192" s="1">
        <f t="shared" si="17"/>
        <v>0.34307705321204784</v>
      </c>
      <c r="Q192" s="1">
        <f t="shared" si="22"/>
        <v>10.053540020865873</v>
      </c>
      <c r="R192" s="1">
        <f t="shared" si="23"/>
        <v>4956.5828081039108</v>
      </c>
    </row>
    <row r="193" spans="11:18" x14ac:dyDescent="0.25">
      <c r="K193" s="1">
        <f t="shared" si="18"/>
        <v>9.2999999999999972</v>
      </c>
      <c r="L193" s="1">
        <f t="shared" si="19"/>
        <v>519.55481489600038</v>
      </c>
      <c r="M193" s="1">
        <f t="shared" si="16"/>
        <v>38.616980126410454</v>
      </c>
      <c r="N193" s="1">
        <f t="shared" si="20"/>
        <v>17473.261984897308</v>
      </c>
      <c r="O193" s="1">
        <f t="shared" si="21"/>
        <v>0.38616980126410455</v>
      </c>
      <c r="P193" s="1">
        <f t="shared" si="17"/>
        <v>0.30400805261379737</v>
      </c>
      <c r="Q193" s="1">
        <f t="shared" si="22"/>
        <v>8.9086608824556013</v>
      </c>
      <c r="R193" s="1">
        <f t="shared" si="23"/>
        <v>4961.3830198735895</v>
      </c>
    </row>
    <row r="194" spans="11:18" x14ac:dyDescent="0.25">
      <c r="K194" s="1">
        <f t="shared" si="18"/>
        <v>9.3499999999999979</v>
      </c>
      <c r="L194" s="1">
        <f t="shared" si="19"/>
        <v>520.00024794012313</v>
      </c>
      <c r="M194" s="1">
        <f t="shared" si="16"/>
        <v>34.363407879093756</v>
      </c>
      <c r="N194" s="1">
        <f t="shared" si="20"/>
        <v>17475.192833903628</v>
      </c>
      <c r="O194" s="1">
        <f t="shared" si="21"/>
        <v>0.34363407879093755</v>
      </c>
      <c r="P194" s="1">
        <f t="shared" si="17"/>
        <v>0.26962465353195469</v>
      </c>
      <c r="Q194" s="1">
        <f t="shared" si="22"/>
        <v>7.9010887481891494</v>
      </c>
      <c r="R194" s="1">
        <f t="shared" si="23"/>
        <v>4965.6365921209062</v>
      </c>
    </row>
    <row r="195" spans="11:18" x14ac:dyDescent="0.25">
      <c r="K195" s="1">
        <f t="shared" si="18"/>
        <v>9.3999999999999986</v>
      </c>
      <c r="L195" s="1">
        <f t="shared" si="19"/>
        <v>520.39530237753263</v>
      </c>
      <c r="M195" s="1">
        <f t="shared" si="16"/>
        <v>30.590915888848031</v>
      </c>
      <c r="N195" s="1">
        <f t="shared" si="20"/>
        <v>17476.911004297581</v>
      </c>
      <c r="O195" s="1">
        <f>MAX(-$D$11/12, MIN($D$11/12, $D$27*M195+$D$28*N195))</f>
        <v>0.3059091588884803</v>
      </c>
      <c r="P195" s="1">
        <f t="shared" si="17"/>
        <v>0.23931596418653975</v>
      </c>
      <c r="Q195" s="1">
        <f t="shared" si="22"/>
        <v>7.0129220274443895</v>
      </c>
      <c r="R195" s="1">
        <f t="shared" si="23"/>
        <v>4969.409084111152</v>
      </c>
    </row>
    <row r="196" spans="11:18" x14ac:dyDescent="0.25">
      <c r="K196" s="1">
        <f t="shared" si="18"/>
        <v>9.4499999999999993</v>
      </c>
      <c r="L196" s="1">
        <f t="shared" si="19"/>
        <v>520.74594847890489</v>
      </c>
      <c r="M196" s="1">
        <f t="shared" si="16"/>
        <v>27.242492270289404</v>
      </c>
      <c r="N196" s="1">
        <f t="shared" si="20"/>
        <v>17478.440550092022</v>
      </c>
      <c r="O196" s="1">
        <f t="shared" si="21"/>
        <v>0.27242492270289403</v>
      </c>
      <c r="P196" s="1">
        <f t="shared" si="17"/>
        <v>0.21256071892374984</v>
      </c>
      <c r="Q196" s="1">
        <f t="shared" si="22"/>
        <v>6.2288855362271018</v>
      </c>
      <c r="R196" s="1">
        <f t="shared" si="23"/>
        <v>4972.7575077297106</v>
      </c>
    </row>
    <row r="197" spans="11:18" x14ac:dyDescent="0.25">
      <c r="K197" s="1">
        <f t="shared" si="18"/>
        <v>9.5</v>
      </c>
      <c r="L197" s="1">
        <f t="shared" si="19"/>
        <v>521.05739275571625</v>
      </c>
      <c r="M197" s="1">
        <f t="shared" si="16"/>
        <v>24.268418501156702</v>
      </c>
      <c r="N197" s="1">
        <f t="shared" si="20"/>
        <v>17479.802674705537</v>
      </c>
      <c r="O197" s="1">
        <f t="shared" si="21"/>
        <v>0.24268418501156702</v>
      </c>
      <c r="P197" s="1">
        <f t="shared" si="17"/>
        <v>0.18891215064190003</v>
      </c>
      <c r="Q197" s="1">
        <f t="shared" si="22"/>
        <v>5.5358871982974378</v>
      </c>
      <c r="R197" s="1">
        <f t="shared" si="23"/>
        <v>4975.7315814988433</v>
      </c>
    </row>
    <row r="198" spans="11:18" x14ac:dyDescent="0.25">
      <c r="K198" s="1">
        <f t="shared" si="18"/>
        <v>9.5500000000000007</v>
      </c>
      <c r="L198" s="1">
        <f t="shared" si="19"/>
        <v>521.33418711563115</v>
      </c>
      <c r="M198" s="1">
        <f t="shared" si="16"/>
        <v>21.625227065132094</v>
      </c>
      <c r="N198" s="1">
        <f t="shared" si="20"/>
        <v>17481.016095630595</v>
      </c>
      <c r="O198" s="1">
        <f t="shared" si="21"/>
        <v>0.21625227065132094</v>
      </c>
      <c r="P198" s="1">
        <f t="shared" si="17"/>
        <v>0.16798579559161059</v>
      </c>
      <c r="Q198" s="1">
        <f t="shared" si="22"/>
        <v>4.9226606766772338</v>
      </c>
      <c r="R198" s="1">
        <f t="shared" si="23"/>
        <v>4978.3747729348679</v>
      </c>
    </row>
    <row r="199" spans="11:18" x14ac:dyDescent="0.25">
      <c r="K199" s="1">
        <f t="shared" si="18"/>
        <v>9.6000000000000014</v>
      </c>
      <c r="L199" s="1">
        <f t="shared" si="19"/>
        <v>521.58032014946502</v>
      </c>
      <c r="M199" s="1">
        <f t="shared" si="16"/>
        <v>19.274829725561176</v>
      </c>
      <c r="N199" s="1">
        <f t="shared" si="20"/>
        <v>17482.097356983853</v>
      </c>
      <c r="O199" s="1">
        <f t="shared" si="21"/>
        <v>0.19274829725561177</v>
      </c>
      <c r="P199" s="1">
        <f t="shared" si="17"/>
        <v>0.1494495903229788</v>
      </c>
      <c r="Q199" s="1">
        <f t="shared" si="22"/>
        <v>4.3794751742997455</v>
      </c>
      <c r="R199" s="1">
        <f t="shared" si="23"/>
        <v>4980.7251702744388</v>
      </c>
    </row>
    <row r="200" spans="11:18" x14ac:dyDescent="0.25">
      <c r="K200" s="1">
        <f t="shared" si="18"/>
        <v>9.6500000000000021</v>
      </c>
      <c r="L200" s="1">
        <f t="shared" si="19"/>
        <v>521.79929390818006</v>
      </c>
      <c r="M200" s="1">
        <f t="shared" ref="M200:M257" si="24">$D$15-R200</f>
        <v>17.183784359145648</v>
      </c>
      <c r="N200" s="1">
        <f t="shared" si="20"/>
        <v>17483.061098470131</v>
      </c>
      <c r="O200" s="1">
        <f t="shared" si="21"/>
        <v>0.17183784359145649</v>
      </c>
      <c r="P200" s="1">
        <f t="shared" ref="P200:P257" si="25">($E$8*O200)*$D$20*(1-(L200*$D$20)/($F$7))</f>
        <v>0.13301577454362828</v>
      </c>
      <c r="Q200" s="1">
        <f t="shared" si="22"/>
        <v>3.897898155124639</v>
      </c>
      <c r="R200" s="1">
        <f t="shared" si="23"/>
        <v>4982.8162156408544</v>
      </c>
    </row>
    <row r="201" spans="11:18" x14ac:dyDescent="0.25">
      <c r="K201" s="1">
        <f t="shared" ref="K201:K257" si="26">K200+$D$30</f>
        <v>9.7000000000000028</v>
      </c>
      <c r="L201" s="1">
        <f t="shared" ref="L201:L257" si="27">L200+Q200*$D$30</f>
        <v>521.99418881593624</v>
      </c>
      <c r="M201" s="1">
        <f t="shared" si="24"/>
        <v>15.322675081975831</v>
      </c>
      <c r="N201" s="1">
        <f t="shared" ref="N201:N257" si="28">N200+M200*$D$30</f>
        <v>17483.920287688088</v>
      </c>
      <c r="O201" s="1">
        <f t="shared" ref="O201:O257" si="29">MAX(-$D$11/12, MIN($D$11/12, $D$27*M201+$D$28*N201))</f>
        <v>0.15322675081975831</v>
      </c>
      <c r="P201" s="1">
        <f t="shared" si="25"/>
        <v>0.11843422750066447</v>
      </c>
      <c r="Q201" s="1">
        <f t="shared" ref="Q201:Q257" si="30">P201/($E$16+$D$20/$D$14*$E$18)</f>
        <v>3.4706000732795452</v>
      </c>
      <c r="R201" s="1">
        <f t="shared" ref="R201:R257" si="31">L201*30/PI()</f>
        <v>4984.6773249180242</v>
      </c>
    </row>
    <row r="202" spans="11:18" x14ac:dyDescent="0.25">
      <c r="K202" s="1">
        <f t="shared" si="26"/>
        <v>9.7500000000000036</v>
      </c>
      <c r="L202" s="1">
        <f t="shared" si="27"/>
        <v>522.16771881960017</v>
      </c>
      <c r="M202" s="1">
        <f t="shared" si="24"/>
        <v>13.665585610503513</v>
      </c>
      <c r="N202" s="1">
        <f t="shared" si="28"/>
        <v>17484.686421442188</v>
      </c>
      <c r="O202" s="1">
        <f t="shared" si="29"/>
        <v>0.13665585610503514</v>
      </c>
      <c r="P202" s="1">
        <f t="shared" si="25"/>
        <v>0.10548695042859482</v>
      </c>
      <c r="Q202" s="1">
        <f t="shared" si="30"/>
        <v>3.0911926865522297</v>
      </c>
      <c r="R202" s="1">
        <f t="shared" si="31"/>
        <v>4986.3344143894965</v>
      </c>
    </row>
    <row r="203" spans="11:18" x14ac:dyDescent="0.25">
      <c r="K203" s="1">
        <f t="shared" si="26"/>
        <v>9.8000000000000043</v>
      </c>
      <c r="L203" s="1">
        <f t="shared" si="27"/>
        <v>522.32227845392777</v>
      </c>
      <c r="M203" s="1">
        <f t="shared" si="24"/>
        <v>12.189649822160391</v>
      </c>
      <c r="N203" s="1">
        <f t="shared" si="28"/>
        <v>17485.369700722713</v>
      </c>
      <c r="O203" s="1">
        <f t="shared" si="29"/>
        <v>0.12189649822160391</v>
      </c>
      <c r="P203" s="1">
        <f t="shared" si="25"/>
        <v>9.3983471498623974E-2</v>
      </c>
      <c r="Q203" s="1">
        <f t="shared" si="30"/>
        <v>2.7540944028900802</v>
      </c>
      <c r="R203" s="1">
        <f t="shared" si="31"/>
        <v>4987.8103501778396</v>
      </c>
    </row>
    <row r="204" spans="11:18" x14ac:dyDescent="0.25">
      <c r="K204" s="1">
        <f t="shared" si="26"/>
        <v>9.850000000000005</v>
      </c>
      <c r="L204" s="1">
        <f t="shared" si="27"/>
        <v>522.45998317407225</v>
      </c>
      <c r="M204" s="1">
        <f t="shared" si="24"/>
        <v>10.874666608276129</v>
      </c>
      <c r="N204" s="1">
        <f t="shared" si="28"/>
        <v>17485.979183213822</v>
      </c>
      <c r="O204" s="1">
        <f t="shared" si="29"/>
        <v>0.10874666608276129</v>
      </c>
      <c r="P204" s="1">
        <f t="shared" si="25"/>
        <v>8.3756998153170517E-2</v>
      </c>
      <c r="Q204" s="1">
        <f t="shared" si="30"/>
        <v>2.4544175282980376</v>
      </c>
      <c r="R204" s="1">
        <f t="shared" si="31"/>
        <v>4989.1253333917239</v>
      </c>
    </row>
    <row r="205" spans="11:18" x14ac:dyDescent="0.25">
      <c r="K205" s="1">
        <f t="shared" si="26"/>
        <v>9.9000000000000057</v>
      </c>
      <c r="L205" s="1">
        <f t="shared" si="27"/>
        <v>522.58270405048711</v>
      </c>
      <c r="M205" s="1">
        <f t="shared" si="24"/>
        <v>9.7027685621560522</v>
      </c>
      <c r="N205" s="1">
        <f t="shared" si="28"/>
        <v>17486.522916544236</v>
      </c>
      <c r="O205" s="1">
        <f t="shared" si="29"/>
        <v>9.7027685621560528E-2</v>
      </c>
      <c r="P205" s="1">
        <f t="shared" si="25"/>
        <v>7.4661178724427069E-2</v>
      </c>
      <c r="Q205" s="1">
        <f t="shared" si="30"/>
        <v>2.1878733692139805</v>
      </c>
      <c r="R205" s="1">
        <f t="shared" si="31"/>
        <v>4990.2972314378439</v>
      </c>
    </row>
    <row r="206" spans="11:18" x14ac:dyDescent="0.25">
      <c r="K206" s="1">
        <f t="shared" si="26"/>
        <v>9.9500000000000064</v>
      </c>
      <c r="L206" s="1">
        <f t="shared" si="27"/>
        <v>522.69209771894782</v>
      </c>
      <c r="M206" s="1">
        <f t="shared" si="24"/>
        <v>8.658135977447273</v>
      </c>
      <c r="N206" s="1">
        <f t="shared" si="28"/>
        <v>17487.008054972343</v>
      </c>
      <c r="O206" s="1">
        <f t="shared" si="29"/>
        <v>8.6581359774472733E-2</v>
      </c>
      <c r="P206" s="1">
        <f t="shared" si="25"/>
        <v>6.6567363715739694E-2</v>
      </c>
      <c r="Q206" s="1">
        <f t="shared" si="30"/>
        <v>1.9506919770180133</v>
      </c>
      <c r="R206" s="1">
        <f t="shared" si="31"/>
        <v>4991.3418640225527</v>
      </c>
    </row>
    <row r="207" spans="11:18" x14ac:dyDescent="0.25">
      <c r="K207" s="1">
        <f t="shared" si="26"/>
        <v>10.000000000000007</v>
      </c>
      <c r="L207" s="1">
        <f t="shared" si="27"/>
        <v>522.78963231779869</v>
      </c>
      <c r="M207" s="1">
        <f t="shared" si="24"/>
        <v>7.7267491656712082</v>
      </c>
      <c r="N207" s="1">
        <f t="shared" si="28"/>
        <v>17487.440961771215</v>
      </c>
      <c r="O207" s="1">
        <f t="shared" si="29"/>
        <v>7.7267491656712081E-2</v>
      </c>
      <c r="P207" s="1">
        <f t="shared" si="25"/>
        <v>5.9362279185486033E-2</v>
      </c>
      <c r="Q207" s="1">
        <f t="shared" si="30"/>
        <v>1.7395539688054518</v>
      </c>
      <c r="R207" s="1">
        <f t="shared" si="31"/>
        <v>4992.2732508343288</v>
      </c>
    </row>
    <row r="208" spans="11:18" x14ac:dyDescent="0.25">
      <c r="K208" s="1">
        <f t="shared" si="26"/>
        <v>10.050000000000008</v>
      </c>
      <c r="L208" s="1">
        <f t="shared" si="27"/>
        <v>522.87661001623894</v>
      </c>
      <c r="M208" s="1">
        <f t="shared" si="24"/>
        <v>6.8961733269406977</v>
      </c>
      <c r="N208" s="1">
        <f t="shared" si="28"/>
        <v>17487.827299229499</v>
      </c>
      <c r="O208" s="1">
        <f t="shared" si="29"/>
        <v>6.896173326940698E-2</v>
      </c>
      <c r="P208" s="1">
        <f t="shared" si="25"/>
        <v>5.2946041872492265E-2</v>
      </c>
      <c r="Q208" s="1">
        <f t="shared" si="30"/>
        <v>1.5515323625638762</v>
      </c>
      <c r="R208" s="1">
        <f t="shared" si="31"/>
        <v>4993.1038266730593</v>
      </c>
    </row>
    <row r="209" spans="11:18" x14ac:dyDescent="0.25">
      <c r="K209" s="1">
        <f t="shared" si="26"/>
        <v>10.100000000000009</v>
      </c>
      <c r="L209" s="1">
        <f t="shared" si="27"/>
        <v>522.95418663436715</v>
      </c>
      <c r="M209" s="1">
        <f t="shared" si="24"/>
        <v>6.1553711923324954</v>
      </c>
      <c r="N209" s="1">
        <f t="shared" si="28"/>
        <v>17488.172107895847</v>
      </c>
      <c r="O209" s="1">
        <f t="shared" si="29"/>
        <v>6.1553711923324955E-2</v>
      </c>
      <c r="P209" s="1">
        <f t="shared" si="25"/>
        <v>4.723045919319193E-2</v>
      </c>
      <c r="Q209" s="1">
        <f t="shared" si="30"/>
        <v>1.3840427602400567</v>
      </c>
      <c r="R209" s="1">
        <f t="shared" si="31"/>
        <v>4993.8446288076675</v>
      </c>
    </row>
    <row r="210" spans="11:18" x14ac:dyDescent="0.25">
      <c r="K210" s="1">
        <f t="shared" si="26"/>
        <v>10.150000000000009</v>
      </c>
      <c r="L210" s="1">
        <f t="shared" si="27"/>
        <v>523.02338877237912</v>
      </c>
      <c r="M210" s="1">
        <f t="shared" si="24"/>
        <v>5.4945394521046182</v>
      </c>
      <c r="N210" s="1">
        <f t="shared" si="28"/>
        <v>17488.479876455465</v>
      </c>
      <c r="O210" s="1">
        <f t="shared" si="29"/>
        <v>5.4945394521046187E-2</v>
      </c>
      <c r="P210" s="1">
        <f t="shared" si="25"/>
        <v>4.2137567886261509E-2</v>
      </c>
      <c r="Q210" s="1">
        <f t="shared" si="30"/>
        <v>1.2348005241395317</v>
      </c>
      <c r="R210" s="1">
        <f t="shared" si="31"/>
        <v>4994.5054605478954</v>
      </c>
    </row>
    <row r="211" spans="11:18" x14ac:dyDescent="0.25">
      <c r="K211" s="1">
        <f t="shared" si="26"/>
        <v>10.20000000000001</v>
      </c>
      <c r="L211" s="1">
        <f t="shared" si="27"/>
        <v>523.08512879858608</v>
      </c>
      <c r="M211" s="1">
        <f t="shared" si="24"/>
        <v>4.9049656306569887</v>
      </c>
      <c r="N211" s="1">
        <f t="shared" si="28"/>
        <v>17488.754603428071</v>
      </c>
      <c r="O211" s="1">
        <f t="shared" si="29"/>
        <v>4.9049656306569885E-2</v>
      </c>
      <c r="P211" s="1">
        <f t="shared" si="25"/>
        <v>3.7598373527882485E-2</v>
      </c>
      <c r="Q211" s="1">
        <f t="shared" si="30"/>
        <v>1.1017838396449082</v>
      </c>
      <c r="R211" s="1">
        <f t="shared" si="31"/>
        <v>4995.095034369343</v>
      </c>
    </row>
    <row r="212" spans="11:18" x14ac:dyDescent="0.25">
      <c r="K212" s="1">
        <f t="shared" si="26"/>
        <v>10.250000000000011</v>
      </c>
      <c r="L212" s="1">
        <f t="shared" si="27"/>
        <v>523.14021799056832</v>
      </c>
      <c r="M212" s="1">
        <f t="shared" si="24"/>
        <v>4.378902597762135</v>
      </c>
      <c r="N212" s="1">
        <f t="shared" si="28"/>
        <v>17488.999851709603</v>
      </c>
      <c r="O212" s="1">
        <f t="shared" si="29"/>
        <v>4.3789025977621347E-2</v>
      </c>
      <c r="P212" s="1">
        <f t="shared" si="25"/>
        <v>3.3551759882142297E-2</v>
      </c>
      <c r="Q212" s="1">
        <f t="shared" si="30"/>
        <v>0.98320175478805283</v>
      </c>
      <c r="R212" s="1">
        <f t="shared" si="31"/>
        <v>4995.6210974022379</v>
      </c>
    </row>
    <row r="213" spans="11:18" x14ac:dyDescent="0.25">
      <c r="K213" s="1">
        <f t="shared" si="26"/>
        <v>10.300000000000011</v>
      </c>
      <c r="L213" s="1">
        <f t="shared" si="27"/>
        <v>523.18937807830775</v>
      </c>
      <c r="M213" s="1">
        <f t="shared" si="24"/>
        <v>3.9094583397682072</v>
      </c>
      <c r="N213" s="1">
        <f t="shared" si="28"/>
        <v>17489.21879683949</v>
      </c>
      <c r="O213" s="1">
        <f t="shared" si="29"/>
        <v>3.909458339768207E-2</v>
      </c>
      <c r="P213" s="1">
        <f t="shared" si="25"/>
        <v>2.9943542458153984E-2</v>
      </c>
      <c r="Q213" s="1">
        <f t="shared" si="30"/>
        <v>0.87746644566019005</v>
      </c>
      <c r="R213" s="1">
        <f t="shared" si="31"/>
        <v>4996.0905416602318</v>
      </c>
    </row>
    <row r="214" spans="11:18" x14ac:dyDescent="0.25">
      <c r="K214" s="1">
        <f t="shared" si="26"/>
        <v>10.350000000000012</v>
      </c>
      <c r="L214" s="1">
        <f t="shared" si="27"/>
        <v>523.2332514005908</v>
      </c>
      <c r="M214" s="1">
        <f t="shared" si="24"/>
        <v>3.4904989730966918</v>
      </c>
      <c r="N214" s="1">
        <f t="shared" si="28"/>
        <v>17489.414269756478</v>
      </c>
      <c r="O214" s="1">
        <f t="shared" si="29"/>
        <v>3.4904989730966916E-2</v>
      </c>
      <c r="P214" s="1">
        <f t="shared" si="25"/>
        <v>2.6725645006428416E-2</v>
      </c>
      <c r="Q214" s="1">
        <f t="shared" si="30"/>
        <v>0.7831690844374628</v>
      </c>
      <c r="R214" s="1">
        <f t="shared" si="31"/>
        <v>4996.5095010269033</v>
      </c>
    </row>
    <row r="215" spans="11:18" x14ac:dyDescent="0.25">
      <c r="K215" s="1">
        <f t="shared" si="26"/>
        <v>10.400000000000013</v>
      </c>
      <c r="L215" s="1">
        <f t="shared" si="27"/>
        <v>523.27240985481262</v>
      </c>
      <c r="M215" s="1">
        <f t="shared" si="24"/>
        <v>3.1165632799011291</v>
      </c>
      <c r="N215" s="1">
        <f t="shared" si="28"/>
        <v>17489.588794705134</v>
      </c>
      <c r="O215" s="1">
        <f t="shared" si="29"/>
        <v>3.1165632799011293E-2</v>
      </c>
      <c r="P215" s="1">
        <f t="shared" si="25"/>
        <v>2.3855381221143491E-2</v>
      </c>
      <c r="Q215" s="1">
        <f t="shared" si="30"/>
        <v>0.69905879036317931</v>
      </c>
      <c r="R215" s="1">
        <f t="shared" si="31"/>
        <v>4996.8834367200989</v>
      </c>
    </row>
    <row r="216" spans="11:18" x14ac:dyDescent="0.25">
      <c r="K216" s="1">
        <f t="shared" si="26"/>
        <v>10.450000000000014</v>
      </c>
      <c r="L216" s="1">
        <f t="shared" si="27"/>
        <v>523.30736279433074</v>
      </c>
      <c r="M216" s="1">
        <f t="shared" si="24"/>
        <v>2.7827872939078588</v>
      </c>
      <c r="N216" s="1">
        <f t="shared" si="28"/>
        <v>17489.74462286913</v>
      </c>
      <c r="O216" s="1">
        <f t="shared" si="29"/>
        <v>2.7827872939078589E-2</v>
      </c>
      <c r="P216" s="1">
        <f t="shared" si="25"/>
        <v>2.129482679401478E-2</v>
      </c>
      <c r="Q216" s="1">
        <f t="shared" si="30"/>
        <v>0.62402422839603755</v>
      </c>
      <c r="R216" s="1">
        <f t="shared" si="31"/>
        <v>4997.2172127060921</v>
      </c>
    </row>
    <row r="217" spans="11:18" x14ac:dyDescent="0.25">
      <c r="K217" s="1">
        <f t="shared" si="26"/>
        <v>10.500000000000014</v>
      </c>
      <c r="L217" s="1">
        <f t="shared" si="27"/>
        <v>523.33856400575053</v>
      </c>
      <c r="M217" s="1">
        <f t="shared" si="24"/>
        <v>2.4848376722329704</v>
      </c>
      <c r="N217" s="1">
        <f t="shared" si="28"/>
        <v>17489.883762233825</v>
      </c>
      <c r="O217" s="1">
        <f t="shared" si="29"/>
        <v>2.4848376722329705E-2</v>
      </c>
      <c r="P217" s="1">
        <f t="shared" si="25"/>
        <v>1.9010269321205937E-2</v>
      </c>
      <c r="Q217" s="1">
        <f t="shared" si="30"/>
        <v>0.55707748926610812</v>
      </c>
      <c r="R217" s="1">
        <f t="shared" si="31"/>
        <v>4997.515162327767</v>
      </c>
    </row>
    <row r="218" spans="11:18" x14ac:dyDescent="0.25">
      <c r="K218" s="1">
        <f t="shared" si="26"/>
        <v>10.550000000000015</v>
      </c>
      <c r="L218" s="1">
        <f t="shared" si="27"/>
        <v>523.36641788021382</v>
      </c>
      <c r="M218" s="1">
        <f t="shared" si="24"/>
        <v>2.2188527639273161</v>
      </c>
      <c r="N218" s="1">
        <f t="shared" si="28"/>
        <v>17490.008004117437</v>
      </c>
      <c r="O218" s="1">
        <f t="shared" si="29"/>
        <v>2.2188527639273162E-2</v>
      </c>
      <c r="P218" s="1">
        <f t="shared" si="25"/>
        <v>1.6971725503098806E-2</v>
      </c>
      <c r="Q218" s="1">
        <f t="shared" si="30"/>
        <v>0.49733994148274896</v>
      </c>
      <c r="R218" s="1">
        <f t="shared" si="31"/>
        <v>4997.7811472360727</v>
      </c>
    </row>
    <row r="219" spans="11:18" x14ac:dyDescent="0.25">
      <c r="K219" s="1">
        <f t="shared" si="26"/>
        <v>10.600000000000016</v>
      </c>
      <c r="L219" s="1">
        <f t="shared" si="27"/>
        <v>523.39128487728794</v>
      </c>
      <c r="M219" s="1">
        <f t="shared" si="24"/>
        <v>1.9813904336751875</v>
      </c>
      <c r="N219" s="1">
        <f t="shared" si="28"/>
        <v>17490.118946755632</v>
      </c>
      <c r="O219" s="1">
        <f t="shared" si="29"/>
        <v>1.9813904336751877E-2</v>
      </c>
      <c r="P219" s="1">
        <f t="shared" si="25"/>
        <v>1.5152516677047244E-2</v>
      </c>
      <c r="Q219" s="1">
        <f t="shared" si="30"/>
        <v>0.44402979273398524</v>
      </c>
      <c r="R219" s="1">
        <f t="shared" si="31"/>
        <v>4998.0186095663248</v>
      </c>
    </row>
    <row r="220" spans="11:18" x14ac:dyDescent="0.25">
      <c r="K220" s="1">
        <f t="shared" si="26"/>
        <v>10.650000000000016</v>
      </c>
      <c r="L220" s="1">
        <f t="shared" si="27"/>
        <v>523.41348636692464</v>
      </c>
      <c r="M220" s="1">
        <f t="shared" si="24"/>
        <v>1.7693818244943031</v>
      </c>
      <c r="N220" s="1">
        <f t="shared" si="28"/>
        <v>17490.218016277315</v>
      </c>
      <c r="O220" s="1">
        <f t="shared" si="29"/>
        <v>1.7693818244943031E-2</v>
      </c>
      <c r="P220" s="1">
        <f t="shared" si="25"/>
        <v>1.3528895052460478E-2</v>
      </c>
      <c r="Q220" s="1">
        <f t="shared" si="30"/>
        <v>0.39645113706843899</v>
      </c>
      <c r="R220" s="1">
        <f t="shared" si="31"/>
        <v>4998.2306181755057</v>
      </c>
    </row>
    <row r="221" spans="11:18" x14ac:dyDescent="0.25">
      <c r="K221" s="1">
        <f t="shared" si="26"/>
        <v>10.700000000000017</v>
      </c>
      <c r="L221" s="1">
        <f t="shared" si="27"/>
        <v>523.4333089237781</v>
      </c>
      <c r="M221" s="1">
        <f t="shared" si="24"/>
        <v>1.5800903500175991</v>
      </c>
      <c r="N221" s="1">
        <f t="shared" si="28"/>
        <v>17490.306485368539</v>
      </c>
      <c r="O221" s="1">
        <f t="shared" si="29"/>
        <v>1.5800903500175992E-2</v>
      </c>
      <c r="P221" s="1">
        <f t="shared" si="25"/>
        <v>1.2079714124999044E-2</v>
      </c>
      <c r="Q221" s="1">
        <f t="shared" si="30"/>
        <v>0.35398429670326875</v>
      </c>
      <c r="R221" s="1">
        <f t="shared" si="31"/>
        <v>4998.4199096499824</v>
      </c>
    </row>
    <row r="222" spans="11:18" x14ac:dyDescent="0.25">
      <c r="K222" s="1">
        <f t="shared" si="26"/>
        <v>10.750000000000018</v>
      </c>
      <c r="L222" s="1">
        <f t="shared" si="27"/>
        <v>523.45100813861325</v>
      </c>
      <c r="M222" s="1">
        <f t="shared" si="24"/>
        <v>1.4110752982260237</v>
      </c>
      <c r="N222" s="1">
        <f t="shared" si="28"/>
        <v>17490.385489886041</v>
      </c>
      <c r="O222" s="1">
        <f t="shared" si="29"/>
        <v>1.4110752982260237E-2</v>
      </c>
      <c r="P222" s="1">
        <f t="shared" si="25"/>
        <v>1.0786137674245709E-2</v>
      </c>
      <c r="Q222" s="1">
        <f t="shared" si="30"/>
        <v>0.31607729448339078</v>
      </c>
      <c r="R222" s="1">
        <f t="shared" si="31"/>
        <v>4998.588924701774</v>
      </c>
    </row>
    <row r="223" spans="11:18" x14ac:dyDescent="0.25">
      <c r="K223" s="1">
        <f t="shared" si="26"/>
        <v>10.800000000000018</v>
      </c>
      <c r="L223" s="1">
        <f t="shared" si="27"/>
        <v>523.4668120033374</v>
      </c>
      <c r="M223" s="1">
        <f t="shared" si="24"/>
        <v>1.2601595067771996</v>
      </c>
      <c r="N223" s="1">
        <f t="shared" si="28"/>
        <v>17490.456043650953</v>
      </c>
      <c r="O223" s="1">
        <f t="shared" si="29"/>
        <v>1.2601595067771997E-2</v>
      </c>
      <c r="P223" s="1">
        <f t="shared" si="25"/>
        <v>9.6313825288374157E-3</v>
      </c>
      <c r="Q223" s="1">
        <f t="shared" si="30"/>
        <v>0.28223831586336751</v>
      </c>
      <c r="R223" s="1">
        <f t="shared" si="31"/>
        <v>4998.7398404932228</v>
      </c>
    </row>
    <row r="224" spans="11:18" x14ac:dyDescent="0.25">
      <c r="K224" s="1">
        <f t="shared" si="26"/>
        <v>10.850000000000019</v>
      </c>
      <c r="L224" s="1">
        <f t="shared" si="27"/>
        <v>523.48092391913053</v>
      </c>
      <c r="M224" s="1">
        <f t="shared" si="24"/>
        <v>1.125400637479288</v>
      </c>
      <c r="N224" s="1">
        <f t="shared" si="28"/>
        <v>17490.519051626292</v>
      </c>
      <c r="O224" s="1">
        <f t="shared" si="29"/>
        <v>1.1254006374792879E-2</v>
      </c>
      <c r="P224" s="1">
        <f t="shared" si="25"/>
        <v>8.6004909414684333E-3</v>
      </c>
      <c r="Q224" s="1">
        <f t="shared" si="30"/>
        <v>0.2520290385778296</v>
      </c>
      <c r="R224" s="1">
        <f t="shared" si="31"/>
        <v>4998.8745993625207</v>
      </c>
    </row>
    <row r="225" spans="11:18" x14ac:dyDescent="0.25">
      <c r="K225" s="1">
        <f t="shared" si="26"/>
        <v>10.90000000000002</v>
      </c>
      <c r="L225" s="1">
        <f t="shared" si="27"/>
        <v>523.49352537105938</v>
      </c>
      <c r="M225" s="1">
        <f t="shared" si="24"/>
        <v>1.0050656356024774</v>
      </c>
      <c r="N225" s="1">
        <f t="shared" si="28"/>
        <v>17490.575321658165</v>
      </c>
      <c r="O225" s="1">
        <f t="shared" si="29"/>
        <v>1.0050656356024774E-2</v>
      </c>
      <c r="P225" s="1">
        <f t="shared" si="25"/>
        <v>7.680128973821131E-3</v>
      </c>
      <c r="Q225" s="1">
        <f t="shared" si="30"/>
        <v>0.22505872450757897</v>
      </c>
      <c r="R225" s="1">
        <f t="shared" si="31"/>
        <v>4998.9949343643975</v>
      </c>
    </row>
    <row r="226" spans="11:18" x14ac:dyDescent="0.25">
      <c r="K226" s="1">
        <f t="shared" si="26"/>
        <v>10.950000000000021</v>
      </c>
      <c r="L226" s="1">
        <f t="shared" si="27"/>
        <v>523.50477830728471</v>
      </c>
      <c r="M226" s="1">
        <f t="shared" si="24"/>
        <v>0.89760801012926095</v>
      </c>
      <c r="N226" s="1">
        <f t="shared" si="28"/>
        <v>17490.625574939946</v>
      </c>
      <c r="O226" s="1">
        <f t="shared" si="29"/>
        <v>8.9760801012926088E-3</v>
      </c>
      <c r="P226" s="1">
        <f t="shared" si="25"/>
        <v>6.8584077663776119E-3</v>
      </c>
      <c r="Q226" s="1">
        <f t="shared" si="30"/>
        <v>0.20097898216491172</v>
      </c>
      <c r="R226" s="1">
        <f t="shared" si="31"/>
        <v>4999.1023919898707</v>
      </c>
    </row>
    <row r="227" spans="11:18" x14ac:dyDescent="0.25">
      <c r="K227" s="1">
        <f t="shared" si="26"/>
        <v>11.000000000000021</v>
      </c>
      <c r="L227" s="1">
        <f t="shared" si="27"/>
        <v>523.514827256393</v>
      </c>
      <c r="M227" s="1">
        <f t="shared" si="24"/>
        <v>0.8016476147213325</v>
      </c>
      <c r="N227" s="1">
        <f t="shared" si="28"/>
        <v>17490.670455340452</v>
      </c>
      <c r="O227" s="1">
        <f t="shared" si="29"/>
        <v>8.0164761472133247E-3</v>
      </c>
      <c r="P227" s="1">
        <f t="shared" si="25"/>
        <v>6.1247249728596295E-3</v>
      </c>
      <c r="Q227" s="1">
        <f t="shared" si="30"/>
        <v>0.17947912008379868</v>
      </c>
      <c r="R227" s="1">
        <f t="shared" si="31"/>
        <v>4999.1983523852787</v>
      </c>
    </row>
    <row r="228" spans="11:18" x14ac:dyDescent="0.25">
      <c r="K228" s="1">
        <f t="shared" si="26"/>
        <v>11.050000000000022</v>
      </c>
      <c r="L228" s="1">
        <f t="shared" si="27"/>
        <v>523.52380121239719</v>
      </c>
      <c r="M228" s="1">
        <f t="shared" si="24"/>
        <v>0.71595264729148766</v>
      </c>
      <c r="N228" s="1">
        <f t="shared" si="28"/>
        <v>17490.710537721188</v>
      </c>
      <c r="O228" s="1">
        <f t="shared" si="29"/>
        <v>7.1595264729148768E-3</v>
      </c>
      <c r="P228" s="1">
        <f t="shared" si="25"/>
        <v>5.4696239865653102E-3</v>
      </c>
      <c r="Q228" s="1">
        <f t="shared" si="30"/>
        <v>0.16028202158433144</v>
      </c>
      <c r="R228" s="1">
        <f t="shared" si="31"/>
        <v>4999.2840473527085</v>
      </c>
    </row>
    <row r="229" spans="11:18" x14ac:dyDescent="0.25">
      <c r="K229" s="1">
        <f t="shared" si="26"/>
        <v>11.100000000000023</v>
      </c>
      <c r="L229" s="1">
        <f t="shared" si="27"/>
        <v>523.53181531347639</v>
      </c>
      <c r="M229" s="1">
        <f t="shared" si="24"/>
        <v>0.63942361921999691</v>
      </c>
      <c r="N229" s="1">
        <f t="shared" si="28"/>
        <v>17490.746335353553</v>
      </c>
      <c r="O229" s="1">
        <f t="shared" si="29"/>
        <v>6.3942361921999688E-3</v>
      </c>
      <c r="P229" s="1">
        <f t="shared" si="25"/>
        <v>4.8846688838410221E-3</v>
      </c>
      <c r="Q229" s="1">
        <f t="shared" si="30"/>
        <v>0.14314048011255745</v>
      </c>
      <c r="R229" s="1">
        <f t="shared" si="31"/>
        <v>4999.36057638078</v>
      </c>
    </row>
    <row r="230" spans="11:18" x14ac:dyDescent="0.25">
      <c r="K230" s="1">
        <f t="shared" si="26"/>
        <v>11.150000000000023</v>
      </c>
      <c r="L230" s="1">
        <f t="shared" si="27"/>
        <v>523.53897233748205</v>
      </c>
      <c r="M230" s="1">
        <f t="shared" si="24"/>
        <v>0.57107907432055072</v>
      </c>
      <c r="N230" s="1">
        <f t="shared" si="28"/>
        <v>17490.778306534514</v>
      </c>
      <c r="O230" s="1">
        <f t="shared" si="29"/>
        <v>5.710790743205507E-3</v>
      </c>
      <c r="P230" s="1">
        <f t="shared" si="25"/>
        <v>4.3623332674545606E-3</v>
      </c>
      <c r="Q230" s="1">
        <f t="shared" si="30"/>
        <v>0.12783394190343036</v>
      </c>
      <c r="R230" s="1">
        <f t="shared" si="31"/>
        <v>4999.4289209256794</v>
      </c>
    </row>
    <row r="231" spans="11:18" x14ac:dyDescent="0.25">
      <c r="K231" s="1">
        <f t="shared" si="26"/>
        <v>11.200000000000024</v>
      </c>
      <c r="L231" s="1">
        <f t="shared" si="27"/>
        <v>523.54536403457723</v>
      </c>
      <c r="M231" s="1">
        <f t="shared" si="24"/>
        <v>0.51004286307397706</v>
      </c>
      <c r="N231" s="1">
        <f t="shared" si="28"/>
        <v>17490.806860488228</v>
      </c>
      <c r="O231" s="1">
        <f t="shared" si="29"/>
        <v>5.1004286307397709E-3</v>
      </c>
      <c r="P231" s="1">
        <f t="shared" si="25"/>
        <v>3.8959014149482227E-3</v>
      </c>
      <c r="Q231" s="1">
        <f t="shared" si="30"/>
        <v>0.11416560922925197</v>
      </c>
      <c r="R231" s="1">
        <f t="shared" si="31"/>
        <v>4999.489957136926</v>
      </c>
    </row>
    <row r="232" spans="11:18" x14ac:dyDescent="0.25">
      <c r="K232" s="1">
        <f t="shared" si="26"/>
        <v>11.250000000000025</v>
      </c>
      <c r="L232" s="1">
        <f t="shared" si="27"/>
        <v>523.55107231503871</v>
      </c>
      <c r="M232" s="1">
        <f t="shared" si="24"/>
        <v>0.45553279995328921</v>
      </c>
      <c r="N232" s="1">
        <f t="shared" si="28"/>
        <v>17490.832362631383</v>
      </c>
      <c r="O232" s="1">
        <f t="shared" si="29"/>
        <v>4.5553279995328919E-3</v>
      </c>
      <c r="P232" s="1">
        <f t="shared" si="25"/>
        <v>3.4793803298261332E-3</v>
      </c>
      <c r="Q232" s="1">
        <f t="shared" si="30"/>
        <v>0.10195986314508816</v>
      </c>
      <c r="R232" s="1">
        <f t="shared" si="31"/>
        <v>4999.5444672000467</v>
      </c>
    </row>
    <row r="233" spans="11:18" x14ac:dyDescent="0.25">
      <c r="K233" s="1">
        <f t="shared" si="26"/>
        <v>11.300000000000026</v>
      </c>
      <c r="L233" s="1">
        <f t="shared" si="27"/>
        <v>523.55617030819599</v>
      </c>
      <c r="M233" s="1">
        <f t="shared" si="24"/>
        <v>0.40685055130416004</v>
      </c>
      <c r="N233" s="1">
        <f t="shared" si="28"/>
        <v>17490.855139271382</v>
      </c>
      <c r="O233" s="1">
        <f t="shared" si="29"/>
        <v>4.0685055130416006E-3</v>
      </c>
      <c r="P233" s="1">
        <f t="shared" si="25"/>
        <v>3.1074214612514198E-3</v>
      </c>
      <c r="Q233" s="1">
        <f t="shared" si="30"/>
        <v>9.105996956048118E-2</v>
      </c>
      <c r="R233" s="1">
        <f t="shared" si="31"/>
        <v>4999.5931494486958</v>
      </c>
    </row>
    <row r="234" spans="11:18" x14ac:dyDescent="0.25">
      <c r="K234" s="1">
        <f t="shared" si="26"/>
        <v>11.350000000000026</v>
      </c>
      <c r="L234" s="1">
        <f t="shared" si="27"/>
        <v>523.56072330667405</v>
      </c>
      <c r="M234" s="1">
        <f t="shared" si="24"/>
        <v>0.36337261848348135</v>
      </c>
      <c r="N234" s="1">
        <f t="shared" si="28"/>
        <v>17490.875481798947</v>
      </c>
      <c r="O234" s="1">
        <f t="shared" si="29"/>
        <v>3.6337261848348136E-3</v>
      </c>
      <c r="P234" s="1">
        <f t="shared" si="25"/>
        <v>2.7752510037526361E-3</v>
      </c>
      <c r="Q234" s="1">
        <f t="shared" si="30"/>
        <v>8.1326036740003993E-2</v>
      </c>
      <c r="R234" s="1">
        <f t="shared" si="31"/>
        <v>4999.6366273815165</v>
      </c>
    </row>
    <row r="235" spans="11:18" x14ac:dyDescent="0.25">
      <c r="K235" s="1">
        <f t="shared" si="26"/>
        <v>11.400000000000027</v>
      </c>
      <c r="L235" s="1">
        <f t="shared" si="27"/>
        <v>523.56478960851109</v>
      </c>
      <c r="M235" s="1">
        <f t="shared" si="24"/>
        <v>0.32454229623544961</v>
      </c>
      <c r="N235" s="1">
        <f t="shared" si="28"/>
        <v>17490.893650429869</v>
      </c>
      <c r="O235" s="1">
        <f t="shared" si="29"/>
        <v>3.245422962354496E-3</v>
      </c>
      <c r="P235" s="1">
        <f t="shared" si="25"/>
        <v>2.4786078163794834E-3</v>
      </c>
      <c r="Q235" s="1">
        <f t="shared" si="30"/>
        <v>7.2633196084380472E-2</v>
      </c>
      <c r="R235" s="1">
        <f t="shared" si="31"/>
        <v>4999.6754577037646</v>
      </c>
    </row>
    <row r="236" spans="11:18" x14ac:dyDescent="0.25">
      <c r="K236" s="1">
        <f t="shared" si="26"/>
        <v>11.450000000000028</v>
      </c>
      <c r="L236" s="1">
        <f t="shared" si="27"/>
        <v>523.56842126831532</v>
      </c>
      <c r="M236" s="1">
        <f t="shared" si="24"/>
        <v>0.28986249966783362</v>
      </c>
      <c r="N236" s="1">
        <f t="shared" si="28"/>
        <v>17490.90987754468</v>
      </c>
      <c r="O236" s="1">
        <f t="shared" si="29"/>
        <v>2.898624996678336E-3</v>
      </c>
      <c r="P236" s="1">
        <f t="shared" si="25"/>
        <v>2.2136881119223131E-3</v>
      </c>
      <c r="Q236" s="1">
        <f t="shared" si="30"/>
        <v>6.4869981301752769E-2</v>
      </c>
      <c r="R236" s="1">
        <f t="shared" si="31"/>
        <v>4999.7101375003322</v>
      </c>
    </row>
    <row r="237" spans="11:18" x14ac:dyDescent="0.25">
      <c r="K237" s="1">
        <f t="shared" si="26"/>
        <v>11.500000000000028</v>
      </c>
      <c r="L237" s="1">
        <f t="shared" si="27"/>
        <v>523.57166476738041</v>
      </c>
      <c r="M237" s="1">
        <f t="shared" si="24"/>
        <v>0.25888936512001237</v>
      </c>
      <c r="N237" s="1">
        <f t="shared" si="28"/>
        <v>17490.924370669665</v>
      </c>
      <c r="O237" s="1">
        <f t="shared" si="29"/>
        <v>2.5888936512001239E-3</v>
      </c>
      <c r="P237" s="1">
        <f t="shared" si="25"/>
        <v>1.9770961650463219E-3</v>
      </c>
      <c r="Q237" s="1">
        <f t="shared" si="30"/>
        <v>5.7936883957401382E-2</v>
      </c>
      <c r="R237" s="1">
        <f t="shared" si="31"/>
        <v>4999.74111063488</v>
      </c>
    </row>
    <row r="238" spans="11:18" x14ac:dyDescent="0.25">
      <c r="K238" s="1">
        <f t="shared" si="26"/>
        <v>11.550000000000029</v>
      </c>
      <c r="L238" s="1">
        <f t="shared" si="27"/>
        <v>523.57456161157825</v>
      </c>
      <c r="M238" s="1">
        <f t="shared" si="24"/>
        <v>0.23122654071266879</v>
      </c>
      <c r="N238" s="1">
        <f t="shared" si="28"/>
        <v>17490.937315137922</v>
      </c>
      <c r="O238" s="1">
        <f t="shared" si="29"/>
        <v>2.3122654071266878E-3</v>
      </c>
      <c r="P238" s="1">
        <f t="shared" si="25"/>
        <v>1.7658003740453653E-3</v>
      </c>
      <c r="Q238" s="1">
        <f t="shared" si="30"/>
        <v>5.1745065906091299E-2</v>
      </c>
      <c r="R238" s="1">
        <f t="shared" si="31"/>
        <v>4999.7687734592873</v>
      </c>
    </row>
    <row r="239" spans="11:18" x14ac:dyDescent="0.25">
      <c r="K239" s="1">
        <f t="shared" si="26"/>
        <v>11.60000000000003</v>
      </c>
      <c r="L239" s="1">
        <f t="shared" si="27"/>
        <v>523.57714886487361</v>
      </c>
      <c r="M239" s="1">
        <f t="shared" si="24"/>
        <v>0.20652009165314666</v>
      </c>
      <c r="N239" s="1">
        <f t="shared" si="28"/>
        <v>17490.948876464958</v>
      </c>
      <c r="O239" s="1">
        <f t="shared" si="29"/>
        <v>2.0652009165314667E-3</v>
      </c>
      <c r="P239" s="1">
        <f t="shared" si="25"/>
        <v>1.5770940863434058E-3</v>
      </c>
      <c r="Q239" s="1">
        <f t="shared" si="30"/>
        <v>4.6215211321418488E-2</v>
      </c>
      <c r="R239" s="1">
        <f t="shared" si="31"/>
        <v>4999.7934799083469</v>
      </c>
    </row>
    <row r="240" spans="11:18" x14ac:dyDescent="0.25">
      <c r="K240" s="1">
        <f t="shared" si="26"/>
        <v>11.650000000000031</v>
      </c>
      <c r="L240" s="1">
        <f t="shared" si="27"/>
        <v>523.57945962543965</v>
      </c>
      <c r="M240" s="1">
        <f t="shared" si="24"/>
        <v>0.18445395367052697</v>
      </c>
      <c r="N240" s="1">
        <f t="shared" si="28"/>
        <v>17490.959202469541</v>
      </c>
      <c r="O240" s="1">
        <f t="shared" si="29"/>
        <v>1.8445395367052697E-3</v>
      </c>
      <c r="P240" s="1">
        <f t="shared" si="25"/>
        <v>1.4085606648579017E-3</v>
      </c>
      <c r="Q240" s="1">
        <f t="shared" si="30"/>
        <v>4.1276502999498955E-2</v>
      </c>
      <c r="R240" s="1">
        <f t="shared" si="31"/>
        <v>4999.8155460463295</v>
      </c>
    </row>
    <row r="241" spans="11:18" x14ac:dyDescent="0.25">
      <c r="K241" s="1">
        <f t="shared" si="26"/>
        <v>11.700000000000031</v>
      </c>
      <c r="L241" s="1">
        <f t="shared" si="27"/>
        <v>523.58152345058966</v>
      </c>
      <c r="M241" s="1">
        <f t="shared" si="24"/>
        <v>0.16474587521224748</v>
      </c>
      <c r="N241" s="1">
        <f t="shared" si="28"/>
        <v>17490.968425167226</v>
      </c>
      <c r="O241" s="1">
        <f t="shared" si="29"/>
        <v>1.6474587521224748E-3</v>
      </c>
      <c r="P241" s="1">
        <f t="shared" si="25"/>
        <v>1.258042330632308E-3</v>
      </c>
      <c r="Q241" s="1">
        <f t="shared" si="30"/>
        <v>3.6865709322558483E-2</v>
      </c>
      <c r="R241" s="1">
        <f t="shared" si="31"/>
        <v>4999.8352541247878</v>
      </c>
    </row>
    <row r="242" spans="11:18" x14ac:dyDescent="0.25">
      <c r="K242" s="1">
        <f t="shared" si="26"/>
        <v>11.750000000000032</v>
      </c>
      <c r="L242" s="1">
        <f t="shared" si="27"/>
        <v>523.58336673605584</v>
      </c>
      <c r="M242" s="1">
        <f t="shared" si="24"/>
        <v>0.14714379560336965</v>
      </c>
      <c r="N242" s="1">
        <f t="shared" si="28"/>
        <v>17490.976662460987</v>
      </c>
      <c r="O242" s="1">
        <f t="shared" si="29"/>
        <v>1.4714379560336966E-3</v>
      </c>
      <c r="P242" s="1">
        <f t="shared" si="25"/>
        <v>1.123612369596314E-3</v>
      </c>
      <c r="Q242" s="1">
        <f t="shared" si="30"/>
        <v>3.2926369805020193E-2</v>
      </c>
      <c r="R242" s="1">
        <f t="shared" si="31"/>
        <v>4999.8528562043966</v>
      </c>
    </row>
    <row r="243" spans="11:18" x14ac:dyDescent="0.25">
      <c r="K243" s="1">
        <f t="shared" si="26"/>
        <v>11.800000000000033</v>
      </c>
      <c r="L243" s="1">
        <f t="shared" si="27"/>
        <v>523.58501305454604</v>
      </c>
      <c r="M243" s="1">
        <f t="shared" si="24"/>
        <v>0.13142261206667172</v>
      </c>
      <c r="N243" s="1">
        <f t="shared" si="28"/>
        <v>17490.984019650768</v>
      </c>
      <c r="O243" s="1">
        <f t="shared" si="29"/>
        <v>1.3142261206667172E-3</v>
      </c>
      <c r="P243" s="1">
        <f t="shared" si="25"/>
        <v>1.0035503366381065E-3</v>
      </c>
      <c r="Q243" s="1">
        <f t="shared" si="30"/>
        <v>2.9408068472911549E-2</v>
      </c>
      <c r="R243" s="1">
        <f t="shared" si="31"/>
        <v>4999.8685773879333</v>
      </c>
    </row>
    <row r="244" spans="11:18" x14ac:dyDescent="0.25">
      <c r="K244" s="1">
        <f t="shared" si="26"/>
        <v>11.850000000000033</v>
      </c>
      <c r="L244" s="1">
        <f t="shared" si="27"/>
        <v>523.58648345796973</v>
      </c>
      <c r="M244" s="1">
        <f t="shared" si="24"/>
        <v>0.11738129367313377</v>
      </c>
      <c r="N244" s="1">
        <f t="shared" si="28"/>
        <v>17490.990590781374</v>
      </c>
      <c r="O244" s="1">
        <f t="shared" si="29"/>
        <v>1.1738129367313377E-3</v>
      </c>
      <c r="P244" s="1">
        <f t="shared" si="25"/>
        <v>8.9631993111402098E-4</v>
      </c>
      <c r="Q244" s="1">
        <f t="shared" si="30"/>
        <v>2.6265785527150802E-2</v>
      </c>
      <c r="R244" s="1">
        <f t="shared" si="31"/>
        <v>4999.8826187063269</v>
      </c>
    </row>
    <row r="245" spans="11:18" x14ac:dyDescent="0.25">
      <c r="K245" s="1">
        <f t="shared" si="26"/>
        <v>11.900000000000034</v>
      </c>
      <c r="L245" s="1">
        <f t="shared" si="27"/>
        <v>523.5877967472461</v>
      </c>
      <c r="M245" s="1">
        <f t="shared" si="24"/>
        <v>0.10484030487077689</v>
      </c>
      <c r="N245" s="1">
        <f t="shared" si="28"/>
        <v>17490.996459846057</v>
      </c>
      <c r="O245" s="1">
        <f t="shared" si="29"/>
        <v>1.048403048707769E-3</v>
      </c>
      <c r="P245" s="1">
        <f t="shared" si="25"/>
        <v>8.0054925403877473E-4</v>
      </c>
      <c r="Q245" s="1">
        <f t="shared" si="30"/>
        <v>2.3459318799671058E-2</v>
      </c>
      <c r="R245" s="1">
        <f t="shared" si="31"/>
        <v>4999.8951596951292</v>
      </c>
    </row>
    <row r="246" spans="11:18" x14ac:dyDescent="0.25">
      <c r="K246" s="1">
        <f t="shared" si="26"/>
        <v>11.950000000000035</v>
      </c>
      <c r="L246" s="1">
        <f t="shared" si="27"/>
        <v>523.58896971318609</v>
      </c>
      <c r="M246" s="1">
        <f t="shared" si="24"/>
        <v>9.3639305225224234E-2</v>
      </c>
      <c r="N246" s="1">
        <f t="shared" si="28"/>
        <v>17491.0017018613</v>
      </c>
      <c r="O246" s="1">
        <f t="shared" si="29"/>
        <v>9.3639305225224235E-4</v>
      </c>
      <c r="P246" s="1">
        <f t="shared" si="25"/>
        <v>7.1501318855402311E-4</v>
      </c>
      <c r="Q246" s="1">
        <f t="shared" si="30"/>
        <v>2.0952767430154527E-2</v>
      </c>
      <c r="R246" s="1">
        <f t="shared" si="31"/>
        <v>4999.9063606947748</v>
      </c>
    </row>
    <row r="247" spans="11:18" x14ac:dyDescent="0.25">
      <c r="K247" s="1">
        <f t="shared" si="26"/>
        <v>12.000000000000036</v>
      </c>
      <c r="L247" s="1">
        <f t="shared" si="27"/>
        <v>523.59001735155755</v>
      </c>
      <c r="M247" s="1">
        <f t="shared" si="24"/>
        <v>8.3635095701538376E-2</v>
      </c>
      <c r="N247" s="1">
        <f t="shared" si="28"/>
        <v>17491.00638382656</v>
      </c>
      <c r="O247" s="1">
        <f t="shared" si="29"/>
        <v>8.3635095701538374E-4</v>
      </c>
      <c r="P247" s="1">
        <f t="shared" si="25"/>
        <v>6.3861767423188025E-4</v>
      </c>
      <c r="Q247" s="1">
        <f t="shared" si="30"/>
        <v>1.871407103976206E-2</v>
      </c>
      <c r="R247" s="1">
        <f t="shared" si="31"/>
        <v>4999.9163649042985</v>
      </c>
    </row>
    <row r="248" spans="11:18" x14ac:dyDescent="0.25">
      <c r="K248" s="1">
        <f t="shared" si="26"/>
        <v>12.050000000000036</v>
      </c>
      <c r="L248" s="1">
        <f t="shared" si="27"/>
        <v>523.59095305510948</v>
      </c>
      <c r="M248" s="1">
        <f t="shared" si="24"/>
        <v>7.4699784968288441E-2</v>
      </c>
      <c r="N248" s="1">
        <f t="shared" si="28"/>
        <v>17491.010565581346</v>
      </c>
      <c r="O248" s="1">
        <f t="shared" si="29"/>
        <v>7.4699784968288439E-4</v>
      </c>
      <c r="P248" s="1">
        <f t="shared" si="25"/>
        <v>5.7038567041957757E-4</v>
      </c>
      <c r="Q248" s="1">
        <f t="shared" si="30"/>
        <v>1.6714598400573703E-2</v>
      </c>
      <c r="R248" s="1">
        <f t="shared" si="31"/>
        <v>4999.9253002150317</v>
      </c>
    </row>
    <row r="249" spans="11:18" x14ac:dyDescent="0.25">
      <c r="K249" s="1">
        <f t="shared" si="26"/>
        <v>12.100000000000037</v>
      </c>
      <c r="L249" s="1">
        <f t="shared" si="27"/>
        <v>523.59178878502951</v>
      </c>
      <c r="M249" s="1">
        <f t="shared" si="24"/>
        <v>6.6719152096084144E-2</v>
      </c>
      <c r="N249" s="1">
        <f t="shared" si="28"/>
        <v>17491.014300570594</v>
      </c>
      <c r="O249" s="1">
        <f t="shared" si="29"/>
        <v>6.6719152096084144E-4</v>
      </c>
      <c r="P249" s="1">
        <f t="shared" si="25"/>
        <v>5.0944462637590054E-4</v>
      </c>
      <c r="Q249" s="1">
        <f t="shared" si="30"/>
        <v>1.4928780260099651E-2</v>
      </c>
      <c r="R249" s="1">
        <f t="shared" si="31"/>
        <v>4999.9332808479039</v>
      </c>
    </row>
    <row r="250" spans="11:18" x14ac:dyDescent="0.25">
      <c r="K250" s="1">
        <f t="shared" si="26"/>
        <v>12.150000000000038</v>
      </c>
      <c r="L250" s="1">
        <f t="shared" si="27"/>
        <v>523.59253522404254</v>
      </c>
      <c r="M250" s="1">
        <f t="shared" si="24"/>
        <v>5.9591184578493994E-2</v>
      </c>
      <c r="N250" s="1">
        <f t="shared" si="28"/>
        <v>17491.017636528199</v>
      </c>
      <c r="O250" s="1">
        <f t="shared" si="29"/>
        <v>5.9591184578493999E-4</v>
      </c>
      <c r="P250" s="1">
        <f t="shared" si="25"/>
        <v>4.5501529583702645E-4</v>
      </c>
      <c r="Q250" s="1">
        <f t="shared" si="30"/>
        <v>1.3333781562989788E-2</v>
      </c>
      <c r="R250" s="1">
        <f t="shared" si="31"/>
        <v>4999.9404088154215</v>
      </c>
    </row>
    <row r="251" spans="11:18" x14ac:dyDescent="0.25">
      <c r="K251" s="1">
        <f t="shared" si="26"/>
        <v>12.200000000000038</v>
      </c>
      <c r="L251" s="1">
        <f t="shared" si="27"/>
        <v>523.59320191312065</v>
      </c>
      <c r="M251" s="1">
        <f t="shared" si="24"/>
        <v>5.3224772840621881E-2</v>
      </c>
      <c r="N251" s="1">
        <f t="shared" si="28"/>
        <v>17491.020616087426</v>
      </c>
      <c r="O251" s="1">
        <f t="shared" si="29"/>
        <v>5.3224772840621882E-4</v>
      </c>
      <c r="P251" s="1">
        <f t="shared" si="25"/>
        <v>4.0640175103015492E-4</v>
      </c>
      <c r="Q251" s="1">
        <f t="shared" si="30"/>
        <v>1.1909208821396483E-2</v>
      </c>
      <c r="R251" s="1">
        <f t="shared" si="31"/>
        <v>4999.9467752271594</v>
      </c>
    </row>
    <row r="252" spans="11:18" x14ac:dyDescent="0.25">
      <c r="K252" s="1">
        <f t="shared" si="26"/>
        <v>12.250000000000039</v>
      </c>
      <c r="L252" s="1">
        <f t="shared" si="27"/>
        <v>523.59379737356176</v>
      </c>
      <c r="M252" s="1">
        <f t="shared" si="24"/>
        <v>4.7538544484268641E-2</v>
      </c>
      <c r="N252" s="1">
        <f t="shared" si="28"/>
        <v>17491.023277326069</v>
      </c>
      <c r="O252" s="1">
        <f t="shared" si="29"/>
        <v>4.7538544484268644E-4</v>
      </c>
      <c r="P252" s="1">
        <f t="shared" si="25"/>
        <v>3.6298246730020258E-4</v>
      </c>
      <c r="Q252" s="1">
        <f t="shared" si="30"/>
        <v>1.0636848858613997E-2</v>
      </c>
      <c r="R252" s="1">
        <f t="shared" si="31"/>
        <v>4999.9524614555157</v>
      </c>
    </row>
    <row r="253" spans="11:18" x14ac:dyDescent="0.25">
      <c r="K253" s="1">
        <f t="shared" si="26"/>
        <v>12.30000000000004</v>
      </c>
      <c r="L253" s="1">
        <f t="shared" si="27"/>
        <v>523.59432921600467</v>
      </c>
      <c r="M253" s="1">
        <f t="shared" si="24"/>
        <v>4.2459823259378027E-2</v>
      </c>
      <c r="N253" s="1">
        <f t="shared" si="28"/>
        <v>17491.025654253292</v>
      </c>
      <c r="O253" s="1">
        <f t="shared" si="29"/>
        <v>4.2459823259378027E-4</v>
      </c>
      <c r="P253" s="1">
        <f t="shared" si="25"/>
        <v>3.2420236299554226E-4</v>
      </c>
      <c r="Q253" s="1">
        <f t="shared" si="30"/>
        <v>9.500435545656917E-3</v>
      </c>
      <c r="R253" s="1">
        <f t="shared" si="31"/>
        <v>4999.9575401767406</v>
      </c>
    </row>
    <row r="254" spans="11:18" x14ac:dyDescent="0.25">
      <c r="K254" s="1">
        <f t="shared" si="26"/>
        <v>12.350000000000041</v>
      </c>
      <c r="L254" s="1">
        <f t="shared" si="27"/>
        <v>523.594804237782</v>
      </c>
      <c r="M254" s="1">
        <f t="shared" si="24"/>
        <v>3.7923699423117796E-2</v>
      </c>
      <c r="N254" s="1">
        <f t="shared" si="28"/>
        <v>17491.027777244453</v>
      </c>
      <c r="O254" s="1">
        <f t="shared" si="29"/>
        <v>3.7923699423117799E-4</v>
      </c>
      <c r="P254" s="1">
        <f t="shared" si="25"/>
        <v>2.8956569217339665E-4</v>
      </c>
      <c r="Q254" s="1">
        <f t="shared" si="30"/>
        <v>8.4854415288907453E-3</v>
      </c>
      <c r="R254" s="1">
        <f t="shared" si="31"/>
        <v>4999.9620763005769</v>
      </c>
    </row>
    <row r="255" spans="11:18" x14ac:dyDescent="0.25">
      <c r="K255" s="1">
        <f t="shared" si="26"/>
        <v>12.400000000000041</v>
      </c>
      <c r="L255" s="1">
        <f t="shared" si="27"/>
        <v>523.59522850985843</v>
      </c>
      <c r="M255" s="1">
        <f t="shared" si="24"/>
        <v>3.3872199532197556E-2</v>
      </c>
      <c r="N255" s="1">
        <f t="shared" si="28"/>
        <v>17491.029673429424</v>
      </c>
      <c r="O255" s="1">
        <f t="shared" si="29"/>
        <v>3.3872199532197555E-4</v>
      </c>
      <c r="P255" s="1">
        <f t="shared" si="25"/>
        <v>2.5862969837509681E-4</v>
      </c>
      <c r="Q255" s="1">
        <f t="shared" si="30"/>
        <v>7.5788922600760981E-3</v>
      </c>
      <c r="R255" s="1">
        <f t="shared" si="31"/>
        <v>4999.9661278004678</v>
      </c>
    </row>
    <row r="256" spans="11:18" x14ac:dyDescent="0.25">
      <c r="K256" s="1">
        <f t="shared" si="26"/>
        <v>12.450000000000042</v>
      </c>
      <c r="L256" s="1">
        <f t="shared" si="27"/>
        <v>523.59560745447141</v>
      </c>
      <c r="M256" s="1">
        <f t="shared" si="24"/>
        <v>3.0253545033701812E-2</v>
      </c>
      <c r="N256" s="1">
        <f t="shared" si="28"/>
        <v>17491.031367039403</v>
      </c>
      <c r="O256" s="1">
        <f t="shared" si="29"/>
        <v>3.025354503370181E-4</v>
      </c>
      <c r="P256" s="1">
        <f t="shared" si="25"/>
        <v>2.3099894789363015E-4</v>
      </c>
      <c r="Q256" s="1">
        <f t="shared" si="30"/>
        <v>6.7691999382748771E-3</v>
      </c>
      <c r="R256" s="1">
        <f t="shared" si="31"/>
        <v>4999.9697464549663</v>
      </c>
    </row>
    <row r="257" spans="11:18" x14ac:dyDescent="0.25">
      <c r="K257" s="1">
        <f t="shared" si="26"/>
        <v>12.500000000000043</v>
      </c>
      <c r="L257" s="1">
        <f t="shared" si="27"/>
        <v>523.5959459144683</v>
      </c>
      <c r="M257" s="1">
        <f t="shared" si="24"/>
        <v>2.702149014112365E-2</v>
      </c>
      <c r="N257" s="1">
        <f t="shared" si="28"/>
        <v>17491.032879716655</v>
      </c>
      <c r="O257" s="1">
        <f t="shared" si="29"/>
        <v>2.7021490141123652E-4</v>
      </c>
      <c r="P257" s="1">
        <f t="shared" si="25"/>
        <v>2.063202695947648E-4</v>
      </c>
      <c r="Q257" s="1">
        <f t="shared" si="30"/>
        <v>6.0460152262202145E-3</v>
      </c>
      <c r="R257" s="1">
        <f t="shared" si="31"/>
        <v>4999.9729785098589</v>
      </c>
    </row>
  </sheetData>
  <sheetProtection formatCells="0" formatColumns="0" formatRows="0"/>
  <dataConsolidate/>
  <mergeCells count="1">
    <mergeCell ref="C6:D6"/>
  </mergeCells>
  <dataValidations disablePrompts="1" count="1">
    <dataValidation type="list" allowBlank="1" showErrorMessage="1" errorTitle="Error" error="Not a valid motor." sqref="C6:D6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Flywheel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Flywheel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2019-10-28T19:33:06Z</dcterms:created>
  <dcterms:modified xsi:type="dcterms:W3CDTF">2019-11-24T00:16:10Z</dcterms:modified>
</cp:coreProperties>
</file>