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75" windowWidth="18195" windowHeight="11820"/>
  </bookViews>
  <sheets>
    <sheet name="Flywheel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[1]º´¨ÅØÅ!$I$43:$N$44</definedName>
    <definedName name="VP_90">[1]º´¨ÅØÅ!$I$48:$N$49</definedName>
    <definedName name="VP_Base">[1]º´¨ÅØÅ!$I$3:$N$7</definedName>
    <definedName name="VP_DualMotor">[1]º´¨ÅØÅ!$I$32:$N$39</definedName>
    <definedName name="VP_Encoder">[1]º´¨ÅØÅ!$I$57:$N$58</definedName>
    <definedName name="VP_Load">[1]º´¨ÅØÅ!$D$2:$F$841</definedName>
    <definedName name="VP_Motor">[1]º´¨ÅØÅ!$I$11:$N$18</definedName>
    <definedName name="VP_Ratchet">[1]º´¨ÅØÅ!$I$53:$N$54</definedName>
    <definedName name="VP_Stage">[1]º´¨ÅØÅ!$I$22:$N$28</definedName>
  </definedNames>
  <calcPr calcId="145621"/>
</workbook>
</file>

<file path=xl/calcChain.xml><?xml version="1.0" encoding="utf-8"?>
<calcChain xmlns="http://schemas.openxmlformats.org/spreadsheetml/2006/main">
  <c r="C19" i="1" l="1"/>
  <c r="C18" i="1"/>
  <c r="C16" i="1"/>
  <c r="H13" i="1"/>
  <c r="D8" i="1"/>
  <c r="F8" i="1" s="1"/>
  <c r="J10" i="1" s="1"/>
  <c r="E7" i="1"/>
  <c r="D7" i="1"/>
  <c r="J12" i="1" s="1"/>
  <c r="E8" i="1" l="1"/>
  <c r="H10" i="1" s="1"/>
  <c r="H11" i="1"/>
  <c r="H14" i="1" l="1"/>
</calcChain>
</file>

<file path=xl/sharedStrings.xml><?xml version="1.0" encoding="utf-8"?>
<sst xmlns="http://schemas.openxmlformats.org/spreadsheetml/2006/main" count="16" uniqueCount="16">
  <si>
    <t>Flywheel Calculator</t>
  </si>
  <si>
    <t>Metric?</t>
  </si>
  <si>
    <t>775pro</t>
  </si>
  <si>
    <t>Adjusted</t>
  </si>
  <si>
    <t>Free Speed (RPM)</t>
  </si>
  <si>
    <t>Stall Torque (Nm)</t>
  </si>
  <si>
    <t># of Motors</t>
  </si>
  <si>
    <t>Spin-up Time (s)</t>
  </si>
  <si>
    <t>Max Voltage (V)</t>
  </si>
  <si>
    <t>Ideal Gear Ratio</t>
  </si>
  <si>
    <t>Gearbox Efficiency</t>
  </si>
  <si>
    <t>Min. Speed (rpm)</t>
  </si>
  <si>
    <t>Gear Ratio</t>
  </si>
  <si>
    <t>Recovery Time (s)</t>
  </si>
  <si>
    <t>Shooting Speed (rpm)</t>
  </si>
  <si>
    <t>Compression Coefficient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</si>
</sst>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\ \:\ \1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/>
    <xf numFmtId="0" fontId="8" fillId="0" borderId="0"/>
  </cellStyleXfs>
  <cellXfs count="23">
    <xf numFmtId="0" fontId="0" fillId="0" borderId="0" xfId="0"/>
    <xf numFmtId="0" fontId="0" fillId="0" borderId="0" xfId="0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3" fillId="0" borderId="0" xfId="0" applyFont="1" applyAlignment="1" applyProtection="1">
      <alignment vertical="center"/>
    </xf>
    <xf numFmtId="0" fontId="0" fillId="0" borderId="3" xfId="0" applyFont="1" applyBorder="1" applyAlignment="1" applyProtection="1">
      <alignment horizontal="left" vertical="center"/>
    </xf>
    <xf numFmtId="1" fontId="0" fillId="0" borderId="4" xfId="0" applyNumberFormat="1" applyBorder="1" applyAlignment="1" applyProtection="1">
      <alignment vertical="center"/>
    </xf>
    <xf numFmtId="1" fontId="0" fillId="0" borderId="5" xfId="0" applyNumberFormat="1" applyBorder="1" applyAlignment="1" applyProtection="1">
      <alignment vertical="center"/>
    </xf>
    <xf numFmtId="0" fontId="0" fillId="0" borderId="6" xfId="0" applyFont="1" applyBorder="1" applyAlignment="1" applyProtection="1">
      <alignment horizontal="left" vertical="center"/>
    </xf>
    <xf numFmtId="2" fontId="0" fillId="0" borderId="7" xfId="0" applyNumberFormat="1" applyBorder="1" applyAlignment="1" applyProtection="1">
      <alignment vertical="center"/>
    </xf>
    <xf numFmtId="2" fontId="0" fillId="0" borderId="8" xfId="0" applyNumberFormat="1" applyBorder="1" applyAlignment="1" applyProtection="1">
      <alignment vertical="center"/>
    </xf>
    <xf numFmtId="0" fontId="0" fillId="0" borderId="9" xfId="0" applyFont="1" applyFill="1" applyBorder="1" applyAlignment="1" applyProtection="1">
      <alignment horizontal="left" vertical="center"/>
    </xf>
    <xf numFmtId="0" fontId="0" fillId="2" borderId="10" xfId="0" applyFill="1" applyBorder="1" applyAlignment="1" applyProtection="1">
      <alignment vertical="center"/>
    </xf>
    <xf numFmtId="164" fontId="0" fillId="3" borderId="10" xfId="0" applyNumberFormat="1" applyFill="1" applyBorder="1" applyAlignment="1" applyProtection="1">
      <alignment vertical="center"/>
    </xf>
    <xf numFmtId="165" fontId="0" fillId="3" borderId="10" xfId="1" applyNumberFormat="1" applyFont="1" applyFill="1" applyBorder="1" applyAlignment="1" applyProtection="1">
      <alignment vertical="center"/>
    </xf>
    <xf numFmtId="9" fontId="0" fillId="2" borderId="10" xfId="1" applyFont="1" applyFill="1" applyBorder="1" applyAlignment="1" applyProtection="1">
      <alignment vertical="center"/>
    </xf>
    <xf numFmtId="1" fontId="0" fillId="3" borderId="10" xfId="0" applyNumberFormat="1" applyFill="1" applyBorder="1" applyAlignment="1" applyProtection="1">
      <alignment vertical="center"/>
    </xf>
    <xf numFmtId="1" fontId="0" fillId="0" borderId="0" xfId="0" applyNumberFormat="1" applyAlignment="1" applyProtection="1">
      <alignment vertical="center"/>
    </xf>
    <xf numFmtId="165" fontId="0" fillId="2" borderId="10" xfId="1" applyNumberFormat="1" applyFont="1" applyFill="1" applyBorder="1" applyAlignment="1" applyProtection="1">
      <alignment vertical="center"/>
    </xf>
    <xf numFmtId="2" fontId="0" fillId="2" borderId="10" xfId="0" applyNumberFormat="1" applyFill="1" applyBorder="1" applyAlignment="1" applyProtection="1">
      <alignment vertical="center"/>
    </xf>
    <xf numFmtId="166" fontId="0" fillId="2" borderId="10" xfId="0" applyNumberFormat="1" applyFill="1" applyBorder="1" applyAlignment="1" applyProtection="1">
      <alignment vertical="center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4</xdr:row>
          <xdr:rowOff>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Flywheel"/>
      <sheetName val="sfd"/>
      <sheetName val="Specs"/>
    </sheetNames>
    <definedNames>
      <definedName name="Flywheel_Metri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9</v>
          </cell>
          <cell r="E2">
            <v>10</v>
          </cell>
          <cell r="F2">
            <v>10</v>
          </cell>
        </row>
        <row r="3">
          <cell r="D3" t="str">
            <v>1/2" Hex AM 9015 12</v>
          </cell>
          <cell r="E3">
            <v>10</v>
          </cell>
          <cell r="F3">
            <v>7</v>
          </cell>
          <cell r="I3" t="str">
            <v>1/2" Hex</v>
          </cell>
          <cell r="J3">
            <v>39.99</v>
          </cell>
          <cell r="K3">
            <v>31.979999999999997</v>
          </cell>
          <cell r="L3" t="str">
            <v>217-4973,</v>
          </cell>
          <cell r="M3" t="str">
            <v>217-5823,217-2897,</v>
          </cell>
        </row>
        <row r="4">
          <cell r="D4" t="str">
            <v>1/2" Hex AM 9015 15</v>
          </cell>
          <cell r="E4">
            <v>10</v>
          </cell>
          <cell r="F4">
            <v>5</v>
          </cell>
          <cell r="I4" t="str">
            <v>1/2" Round</v>
          </cell>
          <cell r="J4">
            <v>39.99</v>
          </cell>
          <cell r="K4">
            <v>27.979999999999997</v>
          </cell>
          <cell r="L4" t="str">
            <v>217-4975,</v>
          </cell>
          <cell r="M4" t="str">
            <v>217-5823,217-2895,</v>
          </cell>
        </row>
        <row r="5">
          <cell r="D5" t="str">
            <v>1/2" Hex AM 9015 16</v>
          </cell>
          <cell r="E5">
            <v>10</v>
          </cell>
          <cell r="F5">
            <v>5</v>
          </cell>
          <cell r="I5" t="str">
            <v>3/8" Hex</v>
          </cell>
          <cell r="J5">
            <v>39.99</v>
          </cell>
          <cell r="K5">
            <v>17.989999999999998</v>
          </cell>
          <cell r="L5" t="str">
            <v>217-4974,</v>
          </cell>
          <cell r="M5" t="str">
            <v>217-5823,</v>
          </cell>
        </row>
        <row r="6">
          <cell r="D6" t="str">
            <v>1/2" Hex AM 9015 20</v>
          </cell>
          <cell r="E6">
            <v>10</v>
          </cell>
          <cell r="F6">
            <v>4</v>
          </cell>
          <cell r="I6" t="str">
            <v>CIM Motor</v>
          </cell>
          <cell r="J6">
            <v>39.99</v>
          </cell>
          <cell r="K6">
            <v>27.979999999999997</v>
          </cell>
          <cell r="L6" t="str">
            <v>217-4976,</v>
          </cell>
          <cell r="M6" t="str">
            <v>217-5823,217-2893,</v>
          </cell>
        </row>
        <row r="7">
          <cell r="D7" t="str">
            <v>1/2" Hex AM 9015 21</v>
          </cell>
          <cell r="E7">
            <v>10</v>
          </cell>
          <cell r="F7">
            <v>4</v>
          </cell>
          <cell r="I7" t="str">
            <v>Female</v>
          </cell>
          <cell r="J7">
            <v>44.99</v>
          </cell>
          <cell r="K7">
            <v>24.99</v>
          </cell>
          <cell r="L7" t="str">
            <v>217-6473,</v>
          </cell>
          <cell r="M7" t="str">
            <v>217-5995,</v>
          </cell>
        </row>
        <row r="8">
          <cell r="D8" t="str">
            <v>1/2" Hex AM 9015 25</v>
          </cell>
          <cell r="E8">
            <v>7</v>
          </cell>
          <cell r="F8">
            <v>3</v>
          </cell>
        </row>
        <row r="9">
          <cell r="D9" t="str">
            <v>1/2" Hex AM 9015 27</v>
          </cell>
          <cell r="E9">
            <v>7</v>
          </cell>
          <cell r="F9">
            <v>3</v>
          </cell>
        </row>
        <row r="10">
          <cell r="D10" t="str">
            <v>1/2" Hex AM 9015 28</v>
          </cell>
          <cell r="E10">
            <v>7</v>
          </cell>
          <cell r="F10">
            <v>3</v>
          </cell>
        </row>
        <row r="11">
          <cell r="D11" t="str">
            <v>1/2" Hex AM 9015 30</v>
          </cell>
          <cell r="E11">
            <v>7</v>
          </cell>
          <cell r="F11">
            <v>3</v>
          </cell>
          <cell r="I11" t="str">
            <v>AM 9015</v>
          </cell>
          <cell r="J11">
            <v>0</v>
          </cell>
          <cell r="K11">
            <v>12.98</v>
          </cell>
          <cell r="M11" t="str">
            <v>217-3564,217-4649,</v>
          </cell>
        </row>
        <row r="12">
          <cell r="D12" t="str">
            <v>1/2" Hex AM 9015 35</v>
          </cell>
          <cell r="E12">
            <v>5</v>
          </cell>
          <cell r="F12">
            <v>1</v>
          </cell>
          <cell r="I12" t="str">
            <v>NeveRest</v>
          </cell>
          <cell r="J12">
            <v>0</v>
          </cell>
          <cell r="K12">
            <v>0</v>
          </cell>
        </row>
        <row r="13">
          <cell r="D13" t="str">
            <v>1/2" Hex AM 9015 36</v>
          </cell>
          <cell r="E13">
            <v>5</v>
          </cell>
          <cell r="F13">
            <v>1</v>
          </cell>
          <cell r="I13" t="str">
            <v>BB RS-550</v>
          </cell>
          <cell r="J13">
            <v>0</v>
          </cell>
          <cell r="K13">
            <v>0</v>
          </cell>
        </row>
        <row r="14">
          <cell r="D14" t="str">
            <v>1/2" Hex AM 9015 40</v>
          </cell>
          <cell r="E14">
            <v>5</v>
          </cell>
          <cell r="F14">
            <v>1</v>
          </cell>
          <cell r="I14" t="str">
            <v>BB RS-775</v>
          </cell>
          <cell r="J14">
            <v>0</v>
          </cell>
          <cell r="K14">
            <v>12.98</v>
          </cell>
          <cell r="M14" t="str">
            <v>217-3564,217-4649,</v>
          </cell>
        </row>
        <row r="15">
          <cell r="D15" t="str">
            <v>1/2" Hex AM 9015 45</v>
          </cell>
          <cell r="E15">
            <v>5</v>
          </cell>
          <cell r="F15">
            <v>1</v>
          </cell>
          <cell r="I15" t="str">
            <v>BAG</v>
          </cell>
          <cell r="J15">
            <v>0</v>
          </cell>
          <cell r="K15">
            <v>12.98</v>
          </cell>
          <cell r="M15" t="str">
            <v>217-3564,217-4649,</v>
          </cell>
        </row>
        <row r="16">
          <cell r="D16" t="str">
            <v>1/2" Hex AM 9015 49</v>
          </cell>
          <cell r="E16">
            <v>5</v>
          </cell>
          <cell r="F16">
            <v>1</v>
          </cell>
          <cell r="I16" t="str">
            <v>Mini CIM</v>
          </cell>
          <cell r="J16">
            <v>4.99</v>
          </cell>
          <cell r="K16">
            <v>11.98</v>
          </cell>
          <cell r="L16" t="str">
            <v>217-4018,</v>
          </cell>
          <cell r="M16" t="str">
            <v>217-4018,</v>
          </cell>
        </row>
        <row r="17">
          <cell r="D17" t="str">
            <v>1/2" Hex AM 9015 50</v>
          </cell>
          <cell r="E17">
            <v>5</v>
          </cell>
          <cell r="F17">
            <v>1</v>
          </cell>
          <cell r="I17" t="str">
            <v>CIM</v>
          </cell>
          <cell r="J17">
            <v>4.99</v>
          </cell>
          <cell r="K17">
            <v>11.98</v>
          </cell>
          <cell r="L17" t="str">
            <v>217-4018,</v>
          </cell>
          <cell r="M17" t="str">
            <v>217-4018,</v>
          </cell>
        </row>
        <row r="18">
          <cell r="D18" t="str">
            <v>1/2" Hex AM 9015 63</v>
          </cell>
          <cell r="E18">
            <v>5</v>
          </cell>
          <cell r="F18">
            <v>1</v>
          </cell>
          <cell r="I18" t="str">
            <v>775pro</v>
          </cell>
          <cell r="J18">
            <v>0</v>
          </cell>
          <cell r="K18">
            <v>12.98</v>
          </cell>
          <cell r="M18" t="str">
            <v>217-3564,217-4649,</v>
          </cell>
        </row>
        <row r="19">
          <cell r="D19" t="str">
            <v>1/2" Hex AM 9015 70</v>
          </cell>
          <cell r="E19">
            <v>4</v>
          </cell>
          <cell r="F19">
            <v>1</v>
          </cell>
        </row>
        <row r="20">
          <cell r="D20" t="str">
            <v>1/2" Hex AM 9015 81</v>
          </cell>
          <cell r="E20">
            <v>4</v>
          </cell>
          <cell r="F20">
            <v>1</v>
          </cell>
        </row>
        <row r="21">
          <cell r="D21" t="str">
            <v>1/2" Hex AM 9015 90</v>
          </cell>
          <cell r="E21">
            <v>3</v>
          </cell>
          <cell r="F21">
            <v>1</v>
          </cell>
        </row>
        <row r="22">
          <cell r="D22" t="str">
            <v>1/2" Hex AM 9015 100</v>
          </cell>
          <cell r="E22">
            <v>3</v>
          </cell>
          <cell r="F22">
            <v>0</v>
          </cell>
          <cell r="I22" t="str">
            <v>None</v>
          </cell>
          <cell r="J22">
            <v>0</v>
          </cell>
          <cell r="K22">
            <v>0</v>
          </cell>
        </row>
        <row r="23">
          <cell r="D23" t="str">
            <v>1/2" Hex NeveRest 9</v>
          </cell>
          <cell r="E23">
            <v>10</v>
          </cell>
          <cell r="F23">
            <v>10</v>
          </cell>
          <cell r="I23" t="str">
            <v>3 : 1</v>
          </cell>
          <cell r="J23">
            <v>24.98</v>
          </cell>
          <cell r="K23">
            <v>16.98</v>
          </cell>
          <cell r="L23" t="str">
            <v>217-2816,217-2817,</v>
          </cell>
          <cell r="M23" t="str">
            <v>217-5832,217-2817,</v>
          </cell>
        </row>
        <row r="24">
          <cell r="D24" t="str">
            <v>1/2" Hex NeveRest 12</v>
          </cell>
          <cell r="E24">
            <v>10</v>
          </cell>
          <cell r="F24">
            <v>10</v>
          </cell>
          <cell r="I24" t="str">
            <v>4 : 1</v>
          </cell>
          <cell r="J24">
            <v>24.98</v>
          </cell>
          <cell r="K24">
            <v>16.98</v>
          </cell>
          <cell r="L24" t="str">
            <v>217-2816,217-2818,</v>
          </cell>
          <cell r="M24" t="str">
            <v>217-5832,217-2818,</v>
          </cell>
        </row>
        <row r="25">
          <cell r="D25" t="str">
            <v>1/2" Hex NeveRest 15</v>
          </cell>
          <cell r="E25">
            <v>10</v>
          </cell>
          <cell r="F25">
            <v>10</v>
          </cell>
          <cell r="I25" t="str">
            <v>5 : 1</v>
          </cell>
          <cell r="J25">
            <v>24.98</v>
          </cell>
          <cell r="K25">
            <v>16.98</v>
          </cell>
          <cell r="L25" t="str">
            <v>217-2816,217-2819,</v>
          </cell>
          <cell r="M25" t="str">
            <v>217-5832,217-2819,</v>
          </cell>
        </row>
        <row r="26">
          <cell r="D26" t="str">
            <v>1/2" Hex NeveRest 16</v>
          </cell>
          <cell r="E26">
            <v>10</v>
          </cell>
          <cell r="F26">
            <v>10</v>
          </cell>
          <cell r="I26" t="str">
            <v>7 : 1</v>
          </cell>
          <cell r="J26">
            <v>24.98</v>
          </cell>
          <cell r="K26">
            <v>16.98</v>
          </cell>
          <cell r="L26" t="str">
            <v>217-2816,217-3102,</v>
          </cell>
          <cell r="M26" t="str">
            <v>217-5832,217-3102,</v>
          </cell>
        </row>
        <row r="27">
          <cell r="D27" t="str">
            <v>1/2" Hex NeveRest 20</v>
          </cell>
          <cell r="E27">
            <v>10</v>
          </cell>
          <cell r="F27">
            <v>10</v>
          </cell>
          <cell r="I27" t="str">
            <v>9 : 1</v>
          </cell>
          <cell r="J27">
            <v>24.98</v>
          </cell>
          <cell r="K27">
            <v>16.98</v>
          </cell>
          <cell r="L27" t="str">
            <v>217-2816,217-3106,</v>
          </cell>
          <cell r="M27" t="str">
            <v>217-5832,217-3106,</v>
          </cell>
        </row>
        <row r="28">
          <cell r="D28" t="str">
            <v>1/2" Hex NeveRest 21</v>
          </cell>
          <cell r="E28">
            <v>9</v>
          </cell>
          <cell r="F28">
            <v>9</v>
          </cell>
          <cell r="I28" t="str">
            <v>10 : 1</v>
          </cell>
          <cell r="J28">
            <v>24.98</v>
          </cell>
          <cell r="K28">
            <v>16.98</v>
          </cell>
          <cell r="L28" t="str">
            <v>217-2816,217-2820,</v>
          </cell>
          <cell r="M28" t="str">
            <v>217-5832,217-2820,</v>
          </cell>
        </row>
        <row r="29">
          <cell r="D29" t="str">
            <v>1/2" Hex NeveRest 25</v>
          </cell>
          <cell r="E29">
            <v>7</v>
          </cell>
          <cell r="F29">
            <v>7</v>
          </cell>
        </row>
        <row r="30">
          <cell r="D30" t="str">
            <v>1/2" Hex NeveRest 27</v>
          </cell>
          <cell r="E30">
            <v>7</v>
          </cell>
          <cell r="F30">
            <v>7</v>
          </cell>
        </row>
        <row r="31">
          <cell r="D31" t="str">
            <v>1/2" Hex NeveRest 28</v>
          </cell>
          <cell r="E31">
            <v>7</v>
          </cell>
          <cell r="F31">
            <v>7</v>
          </cell>
        </row>
        <row r="32">
          <cell r="D32" t="str">
            <v>1/2" Hex NeveRest 30</v>
          </cell>
          <cell r="E32">
            <v>5</v>
          </cell>
          <cell r="F32">
            <v>5</v>
          </cell>
          <cell r="I32" t="str">
            <v>None</v>
          </cell>
          <cell r="J32">
            <v>0</v>
          </cell>
        </row>
        <row r="33">
          <cell r="D33" t="str">
            <v>1/2" Hex NeveRest 35</v>
          </cell>
          <cell r="E33">
            <v>5</v>
          </cell>
          <cell r="F33">
            <v>5</v>
          </cell>
          <cell r="I33" t="str">
            <v>DM Nyl 1:1</v>
          </cell>
          <cell r="J33">
            <v>41.97</v>
          </cell>
          <cell r="L33" t="str">
            <v>217-6342,217-2701,217-6432,</v>
          </cell>
          <cell r="M33" t="str">
            <v>217-6342,217-2701,217-6432,</v>
          </cell>
          <cell r="N33" t="str">
            <v>217-6342,217-2701,217-6432,</v>
          </cell>
        </row>
        <row r="34">
          <cell r="D34" t="str">
            <v>1/2" Hex NeveRest 36</v>
          </cell>
          <cell r="E34">
            <v>5</v>
          </cell>
          <cell r="F34">
            <v>5</v>
          </cell>
          <cell r="I34" t="str">
            <v>DM Nyl 3.75:1</v>
          </cell>
          <cell r="J34">
            <v>42.97</v>
          </cell>
          <cell r="L34" t="str">
            <v>217-6342,217-3210,217-6367,</v>
          </cell>
          <cell r="M34" t="str">
            <v>217-6342,217-3210,217-6362,</v>
          </cell>
          <cell r="N34" t="str">
            <v>217-6342,217-3210,217-6368,</v>
          </cell>
        </row>
        <row r="35">
          <cell r="D35" t="str">
            <v>1/2" Hex NeveRest 40</v>
          </cell>
          <cell r="E35">
            <v>5</v>
          </cell>
          <cell r="F35">
            <v>5</v>
          </cell>
          <cell r="I35" t="str">
            <v>DM Nyl 5.33:1</v>
          </cell>
          <cell r="J35">
            <v>42.97</v>
          </cell>
          <cell r="L35" t="str">
            <v>217-6342,217-5455,217-6333,</v>
          </cell>
          <cell r="M35" t="str">
            <v>217-6342,217-5455,217-6285,</v>
          </cell>
          <cell r="N35" t="str">
            <v>217-6342,217-5455,217-6339,</v>
          </cell>
        </row>
        <row r="36">
          <cell r="D36" t="str">
            <v>1/2" Hex NeveRest 45</v>
          </cell>
          <cell r="E36">
            <v>5</v>
          </cell>
          <cell r="F36">
            <v>4</v>
          </cell>
          <cell r="I36" t="str">
            <v>DM Al 1:1</v>
          </cell>
          <cell r="J36">
            <v>56.97</v>
          </cell>
          <cell r="L36" t="str">
            <v>217-6417,217-2701,217-6432,</v>
          </cell>
          <cell r="M36" t="str">
            <v>217-6417,217-2701,217-6432,</v>
          </cell>
          <cell r="N36" t="str">
            <v>217-6417,217-2701,217-6432,</v>
          </cell>
        </row>
        <row r="37">
          <cell r="D37" t="str">
            <v>1/2" Hex NeveRest 49</v>
          </cell>
          <cell r="E37">
            <v>5</v>
          </cell>
          <cell r="F37">
            <v>4</v>
          </cell>
          <cell r="I37" t="str">
            <v>DM Al 3.75:1</v>
          </cell>
          <cell r="J37">
            <v>57.97</v>
          </cell>
          <cell r="L37" t="str">
            <v>217-6417,217-3210,217-6367,</v>
          </cell>
          <cell r="M37" t="str">
            <v>217-6417,217-3210,217-6362,</v>
          </cell>
          <cell r="N37" t="str">
            <v>217-6417,217-3210,217-6368,</v>
          </cell>
        </row>
        <row r="38">
          <cell r="D38" t="str">
            <v>1/2" Hex NeveRest 50</v>
          </cell>
          <cell r="E38">
            <v>5</v>
          </cell>
          <cell r="F38">
            <v>4</v>
          </cell>
          <cell r="I38" t="str">
            <v>DM Al 5.33:1</v>
          </cell>
          <cell r="J38">
            <v>57.97</v>
          </cell>
          <cell r="L38" t="str">
            <v>217-6417,217-5455,217-6333,</v>
          </cell>
          <cell r="M38" t="str">
            <v>217-6417,217-5455,217-6285,</v>
          </cell>
          <cell r="N38" t="str">
            <v>217-6417,217-5455,217-6339,</v>
          </cell>
        </row>
        <row r="39">
          <cell r="D39" t="str">
            <v>1/2" Hex NeveRest 63</v>
          </cell>
          <cell r="E39">
            <v>4</v>
          </cell>
          <cell r="F39">
            <v>3</v>
          </cell>
          <cell r="I39" t="str">
            <v>Dual Motor</v>
          </cell>
          <cell r="J39">
            <v>14.98</v>
          </cell>
          <cell r="L39" t="str">
            <v>217-3141,</v>
          </cell>
        </row>
        <row r="40">
          <cell r="D40" t="str">
            <v>1/2" Hex NeveRest 70</v>
          </cell>
          <cell r="E40">
            <v>4</v>
          </cell>
          <cell r="F40">
            <v>1</v>
          </cell>
        </row>
        <row r="41">
          <cell r="D41" t="str">
            <v>1/2" Hex NeveRest 81</v>
          </cell>
          <cell r="E41">
            <v>3</v>
          </cell>
          <cell r="F41">
            <v>1</v>
          </cell>
        </row>
        <row r="42">
          <cell r="D42" t="str">
            <v>1/2" Hex NeveRest 90</v>
          </cell>
          <cell r="E42">
            <v>3</v>
          </cell>
          <cell r="F42">
            <v>1</v>
          </cell>
        </row>
        <row r="43">
          <cell r="D43" t="str">
            <v>1/2" Hex NeveRest 100</v>
          </cell>
          <cell r="E43">
            <v>3</v>
          </cell>
          <cell r="F43">
            <v>1</v>
          </cell>
          <cell r="I43" t="str">
            <v>Yes</v>
          </cell>
          <cell r="J43">
            <v>67.95</v>
          </cell>
          <cell r="L43" t="str">
            <v>217-6011,217-6043,217-5882,217-5875,217-5870,</v>
          </cell>
          <cell r="M43" t="str">
            <v>217-6011,217-6043,217-5882,217-5875,217-5871,</v>
          </cell>
          <cell r="N43" t="str">
            <v>217-6011,217-6043,217-5882,217-5875,217-5872,</v>
          </cell>
        </row>
        <row r="44">
          <cell r="D44" t="str">
            <v>1/2" Hex BB RS-550 9</v>
          </cell>
          <cell r="E44">
            <v>10</v>
          </cell>
          <cell r="F44">
            <v>10</v>
          </cell>
          <cell r="I44" t="str">
            <v>No</v>
          </cell>
          <cell r="J44">
            <v>0</v>
          </cell>
        </row>
        <row r="45">
          <cell r="D45" t="str">
            <v>1/2" Hex BB RS-550 12</v>
          </cell>
          <cell r="E45">
            <v>10</v>
          </cell>
          <cell r="F45">
            <v>7</v>
          </cell>
        </row>
        <row r="46">
          <cell r="D46" t="str">
            <v>1/2" Hex BB RS-550 15</v>
          </cell>
          <cell r="E46">
            <v>10</v>
          </cell>
          <cell r="F46">
            <v>5</v>
          </cell>
        </row>
        <row r="47">
          <cell r="D47" t="str">
            <v>1/2" Hex BB RS-550 16</v>
          </cell>
          <cell r="E47">
            <v>10</v>
          </cell>
          <cell r="F47">
            <v>5</v>
          </cell>
        </row>
        <row r="48">
          <cell r="D48" t="str">
            <v>1/2" Hex BB RS-550 20</v>
          </cell>
          <cell r="E48">
            <v>10</v>
          </cell>
          <cell r="F48">
            <v>4</v>
          </cell>
          <cell r="I48" t="str">
            <v>Yes</v>
          </cell>
          <cell r="J48">
            <v>84.99</v>
          </cell>
          <cell r="L48" t="str">
            <v>217-6293,</v>
          </cell>
        </row>
        <row r="49">
          <cell r="D49" t="str">
            <v>1/2" Hex BB RS-550 21</v>
          </cell>
          <cell r="E49">
            <v>9</v>
          </cell>
          <cell r="F49">
            <v>4</v>
          </cell>
          <cell r="I49" t="str">
            <v>No</v>
          </cell>
          <cell r="J49">
            <v>0</v>
          </cell>
        </row>
        <row r="50">
          <cell r="D50" t="str">
            <v>1/2" Hex BB RS-550 25</v>
          </cell>
          <cell r="E50">
            <v>7</v>
          </cell>
          <cell r="F50">
            <v>3</v>
          </cell>
        </row>
        <row r="51">
          <cell r="D51" t="str">
            <v>1/2" Hex BB RS-550 27</v>
          </cell>
          <cell r="E51">
            <v>7</v>
          </cell>
          <cell r="F51">
            <v>3</v>
          </cell>
        </row>
        <row r="52">
          <cell r="D52" t="str">
            <v>1/2" Hex BB RS-550 28</v>
          </cell>
          <cell r="E52">
            <v>7</v>
          </cell>
          <cell r="F52">
            <v>3</v>
          </cell>
        </row>
        <row r="53">
          <cell r="D53" t="str">
            <v>1/2" Hex BB RS-550 30</v>
          </cell>
          <cell r="E53">
            <v>5</v>
          </cell>
          <cell r="F53">
            <v>3</v>
          </cell>
          <cell r="I53" t="str">
            <v>Yes</v>
          </cell>
          <cell r="J53">
            <v>14.99</v>
          </cell>
          <cell r="L53" t="str">
            <v>217-6048,</v>
          </cell>
        </row>
        <row r="54">
          <cell r="D54" t="str">
            <v>1/2" Hex BB RS-550 35</v>
          </cell>
          <cell r="E54">
            <v>5</v>
          </cell>
          <cell r="F54">
            <v>1</v>
          </cell>
          <cell r="I54" t="str">
            <v>No</v>
          </cell>
          <cell r="J54">
            <v>0</v>
          </cell>
        </row>
        <row r="55">
          <cell r="D55" t="str">
            <v>1/2" Hex BB RS-550 36</v>
          </cell>
          <cell r="E55">
            <v>5</v>
          </cell>
          <cell r="F55">
            <v>1</v>
          </cell>
        </row>
        <row r="56">
          <cell r="D56" t="str">
            <v>1/2" Hex BB RS-550 40</v>
          </cell>
          <cell r="E56">
            <v>5</v>
          </cell>
          <cell r="F56">
            <v>5</v>
          </cell>
        </row>
        <row r="57">
          <cell r="D57" t="str">
            <v>1/2" Hex BB RS-550 45</v>
          </cell>
          <cell r="E57">
            <v>5</v>
          </cell>
          <cell r="F57">
            <v>4</v>
          </cell>
          <cell r="I57" t="str">
            <v>Yes</v>
          </cell>
          <cell r="J57">
            <v>49.99</v>
          </cell>
          <cell r="L57" t="str">
            <v>217-5046,</v>
          </cell>
        </row>
        <row r="58">
          <cell r="D58" t="str">
            <v>1/2" Hex BB RS-550 49</v>
          </cell>
          <cell r="E58">
            <v>5</v>
          </cell>
          <cell r="F58">
            <v>4</v>
          </cell>
          <cell r="I58" t="str">
            <v>No</v>
          </cell>
          <cell r="J58">
            <v>0</v>
          </cell>
        </row>
        <row r="59">
          <cell r="D59" t="str">
            <v>1/2" Hex BB RS-550 50</v>
          </cell>
          <cell r="E59">
            <v>5</v>
          </cell>
          <cell r="F59">
            <v>1</v>
          </cell>
        </row>
        <row r="60">
          <cell r="D60" t="str">
            <v>1/2" Hex BB RS-550 63</v>
          </cell>
          <cell r="E60">
            <v>4</v>
          </cell>
          <cell r="F60">
            <v>1</v>
          </cell>
        </row>
        <row r="61">
          <cell r="D61" t="str">
            <v>1/2" Hex BB RS-550 70</v>
          </cell>
          <cell r="E61">
            <v>4</v>
          </cell>
          <cell r="F61">
            <v>1</v>
          </cell>
        </row>
        <row r="62">
          <cell r="D62" t="str">
            <v>1/2" Hex BB RS-550 81</v>
          </cell>
          <cell r="E62">
            <v>3</v>
          </cell>
          <cell r="F62">
            <v>1</v>
          </cell>
        </row>
        <row r="63">
          <cell r="D63" t="str">
            <v>1/2" Hex BB RS-550 90</v>
          </cell>
          <cell r="E63">
            <v>3</v>
          </cell>
          <cell r="F63">
            <v>1</v>
          </cell>
        </row>
        <row r="64">
          <cell r="D64" t="str">
            <v>1/2" Hex BB RS-550 100</v>
          </cell>
          <cell r="E64">
            <v>3</v>
          </cell>
          <cell r="F64">
            <v>0</v>
          </cell>
        </row>
        <row r="65">
          <cell r="D65" t="str">
            <v>1/2" Hex BB RS-775 9</v>
          </cell>
          <cell r="E65">
            <v>10</v>
          </cell>
          <cell r="F65">
            <v>10</v>
          </cell>
        </row>
        <row r="66">
          <cell r="D66" t="str">
            <v>1/2" Hex BB RS-775 12</v>
          </cell>
          <cell r="E66">
            <v>10</v>
          </cell>
          <cell r="F66">
            <v>10</v>
          </cell>
        </row>
        <row r="67">
          <cell r="D67" t="str">
            <v>1/2" Hex BB RS-775 15</v>
          </cell>
          <cell r="E67">
            <v>7</v>
          </cell>
          <cell r="F67">
            <v>7</v>
          </cell>
        </row>
        <row r="68">
          <cell r="D68" t="str">
            <v>1/2" Hex BB RS-775 16</v>
          </cell>
          <cell r="E68">
            <v>7</v>
          </cell>
          <cell r="F68">
            <v>7</v>
          </cell>
        </row>
        <row r="69">
          <cell r="D69" t="str">
            <v>1/2" Hex BB RS-775 20</v>
          </cell>
          <cell r="E69">
            <v>5</v>
          </cell>
          <cell r="F69">
            <v>5</v>
          </cell>
        </row>
        <row r="70">
          <cell r="D70" t="str">
            <v>1/2" Hex BB RS-775 21</v>
          </cell>
          <cell r="E70">
            <v>5</v>
          </cell>
          <cell r="F70">
            <v>5</v>
          </cell>
        </row>
        <row r="71">
          <cell r="D71" t="str">
            <v>1/2" Hex BB RS-775 25</v>
          </cell>
          <cell r="E71">
            <v>5</v>
          </cell>
          <cell r="F71">
            <v>5</v>
          </cell>
        </row>
        <row r="72">
          <cell r="D72" t="str">
            <v>1/2" Hex BB RS-775 27</v>
          </cell>
          <cell r="E72">
            <v>5</v>
          </cell>
          <cell r="F72">
            <v>4</v>
          </cell>
        </row>
        <row r="73">
          <cell r="D73" t="str">
            <v>1/2" Hex BB RS-775 28</v>
          </cell>
          <cell r="E73">
            <v>5</v>
          </cell>
          <cell r="F73">
            <v>4</v>
          </cell>
        </row>
        <row r="74">
          <cell r="D74" t="str">
            <v>1/2" Hex BB RS-775 30</v>
          </cell>
          <cell r="E74">
            <v>5</v>
          </cell>
          <cell r="F74">
            <v>4</v>
          </cell>
        </row>
        <row r="75">
          <cell r="D75" t="str">
            <v>1/2" Hex BB RS-775 35</v>
          </cell>
          <cell r="E75">
            <v>5</v>
          </cell>
          <cell r="F75">
            <v>3</v>
          </cell>
        </row>
        <row r="76">
          <cell r="D76" t="str">
            <v>1/2" Hex BB RS-775 36</v>
          </cell>
          <cell r="E76">
            <v>5</v>
          </cell>
          <cell r="F76">
            <v>3</v>
          </cell>
        </row>
        <row r="77">
          <cell r="D77" t="str">
            <v>1/2" Hex BB RS-775 40</v>
          </cell>
          <cell r="E77">
            <v>4</v>
          </cell>
          <cell r="F77">
            <v>3</v>
          </cell>
        </row>
        <row r="78">
          <cell r="D78" t="str">
            <v>1/2" Hex BB RS-775 45</v>
          </cell>
          <cell r="E78">
            <v>4</v>
          </cell>
          <cell r="F78">
            <v>1</v>
          </cell>
        </row>
        <row r="79">
          <cell r="D79" t="str">
            <v>1/2" Hex BB RS-775 49</v>
          </cell>
          <cell r="E79">
            <v>4</v>
          </cell>
          <cell r="F79">
            <v>1</v>
          </cell>
        </row>
        <row r="80">
          <cell r="D80" t="str">
            <v>1/2" Hex BB RS-775 50</v>
          </cell>
          <cell r="E80">
            <v>3</v>
          </cell>
          <cell r="F80">
            <v>1</v>
          </cell>
        </row>
        <row r="81">
          <cell r="D81" t="str">
            <v>1/2" Hex BB RS-775 63</v>
          </cell>
          <cell r="E81">
            <v>3</v>
          </cell>
          <cell r="F81">
            <v>1</v>
          </cell>
        </row>
        <row r="82">
          <cell r="D82" t="str">
            <v>1/2" Hex BB RS-775 70</v>
          </cell>
          <cell r="E82">
            <v>1</v>
          </cell>
          <cell r="F82">
            <v>1</v>
          </cell>
        </row>
        <row r="83">
          <cell r="D83" t="str">
            <v>1/2" Hex BB RS-775 81</v>
          </cell>
          <cell r="E83">
            <v>1</v>
          </cell>
          <cell r="F83">
            <v>1</v>
          </cell>
        </row>
        <row r="84">
          <cell r="D84" t="str">
            <v>1/2" Hex BB RS-775 90</v>
          </cell>
          <cell r="E84">
            <v>1</v>
          </cell>
          <cell r="F84">
            <v>1</v>
          </cell>
        </row>
        <row r="85">
          <cell r="D85" t="str">
            <v>1/2" Hex BB RS-775 100</v>
          </cell>
          <cell r="E85">
            <v>1</v>
          </cell>
          <cell r="F85">
            <v>1</v>
          </cell>
        </row>
        <row r="86">
          <cell r="D86" t="str">
            <v>1/2" Hex BAG 9</v>
          </cell>
          <cell r="E86">
            <v>10</v>
          </cell>
          <cell r="F86">
            <v>9</v>
          </cell>
        </row>
        <row r="87">
          <cell r="D87" t="str">
            <v>1/2" Hex BAG 12</v>
          </cell>
          <cell r="E87">
            <v>10</v>
          </cell>
          <cell r="F87">
            <v>5</v>
          </cell>
        </row>
        <row r="88">
          <cell r="D88" t="str">
            <v>1/2" Hex BAG 15</v>
          </cell>
          <cell r="E88">
            <v>10</v>
          </cell>
          <cell r="F88">
            <v>5</v>
          </cell>
        </row>
        <row r="89">
          <cell r="D89" t="str">
            <v>1/2" Hex BAG 16</v>
          </cell>
          <cell r="E89">
            <v>10</v>
          </cell>
          <cell r="F89">
            <v>5</v>
          </cell>
        </row>
        <row r="90">
          <cell r="D90" t="str">
            <v>1/2" Hex BAG 20</v>
          </cell>
          <cell r="E90">
            <v>10</v>
          </cell>
          <cell r="F90">
            <v>4</v>
          </cell>
        </row>
        <row r="91">
          <cell r="D91" t="str">
            <v>1/2" Hex BAG 21</v>
          </cell>
          <cell r="E91">
            <v>10</v>
          </cell>
          <cell r="F91">
            <v>3</v>
          </cell>
        </row>
        <row r="92">
          <cell r="D92" t="str">
            <v>1/2" Hex BAG 25</v>
          </cell>
          <cell r="E92">
            <v>7</v>
          </cell>
          <cell r="F92">
            <v>3</v>
          </cell>
        </row>
        <row r="93">
          <cell r="D93" t="str">
            <v>1/2" Hex BAG 27</v>
          </cell>
          <cell r="E93">
            <v>7</v>
          </cell>
          <cell r="F93">
            <v>3</v>
          </cell>
        </row>
        <row r="94">
          <cell r="D94" t="str">
            <v>1/2" Hex BAG 28</v>
          </cell>
          <cell r="E94">
            <v>7</v>
          </cell>
          <cell r="F94">
            <v>1</v>
          </cell>
        </row>
        <row r="95">
          <cell r="D95" t="str">
            <v>1/2" Hex BAG 30</v>
          </cell>
          <cell r="E95">
            <v>7</v>
          </cell>
          <cell r="F95">
            <v>1</v>
          </cell>
        </row>
        <row r="96">
          <cell r="D96" t="str">
            <v>1/2" Hex BAG 35</v>
          </cell>
          <cell r="E96">
            <v>5</v>
          </cell>
          <cell r="F96">
            <v>1</v>
          </cell>
        </row>
        <row r="97">
          <cell r="D97" t="str">
            <v>1/2" Hex BAG 36</v>
          </cell>
          <cell r="E97">
            <v>5</v>
          </cell>
          <cell r="F97">
            <v>1</v>
          </cell>
        </row>
        <row r="98">
          <cell r="D98" t="str">
            <v>1/2" Hex BAG 40</v>
          </cell>
          <cell r="E98">
            <v>5</v>
          </cell>
          <cell r="F98">
            <v>1</v>
          </cell>
        </row>
        <row r="99">
          <cell r="D99" t="str">
            <v>1/2" Hex BAG 45</v>
          </cell>
          <cell r="E99">
            <v>5</v>
          </cell>
          <cell r="F99">
            <v>1</v>
          </cell>
        </row>
        <row r="100">
          <cell r="D100" t="str">
            <v>1/2" Hex BAG 49</v>
          </cell>
          <cell r="E100">
            <v>5</v>
          </cell>
          <cell r="F100">
            <v>1</v>
          </cell>
        </row>
        <row r="101">
          <cell r="D101" t="str">
            <v>1/2" Hex BAG 50</v>
          </cell>
          <cell r="E101">
            <v>5</v>
          </cell>
          <cell r="F101">
            <v>1</v>
          </cell>
        </row>
        <row r="102">
          <cell r="D102" t="str">
            <v>1/2" Hex BAG 63</v>
          </cell>
          <cell r="E102">
            <v>5</v>
          </cell>
          <cell r="F102">
            <v>1</v>
          </cell>
        </row>
        <row r="103">
          <cell r="D103" t="str">
            <v>1/2" Hex BAG 70</v>
          </cell>
          <cell r="E103">
            <v>4</v>
          </cell>
          <cell r="F103">
            <v>1</v>
          </cell>
        </row>
        <row r="104">
          <cell r="D104" t="str">
            <v>1/2" Hex BAG 81</v>
          </cell>
          <cell r="E104">
            <v>4</v>
          </cell>
          <cell r="F104">
            <v>1</v>
          </cell>
        </row>
        <row r="105">
          <cell r="D105" t="str">
            <v>1/2" Hex BAG 90</v>
          </cell>
          <cell r="E105">
            <v>3</v>
          </cell>
          <cell r="F105">
            <v>0</v>
          </cell>
        </row>
        <row r="106">
          <cell r="D106" t="str">
            <v>1/2" Hex BAG 100</v>
          </cell>
          <cell r="E106">
            <v>3</v>
          </cell>
          <cell r="F106">
            <v>0</v>
          </cell>
        </row>
        <row r="107">
          <cell r="D107" t="str">
            <v>1/2" Hex Mini CIM 9</v>
          </cell>
          <cell r="E107">
            <v>7</v>
          </cell>
          <cell r="F107">
            <v>0</v>
          </cell>
        </row>
        <row r="108">
          <cell r="D108" t="str">
            <v>1/2" Hex Mini CIM 12</v>
          </cell>
          <cell r="E108">
            <v>5</v>
          </cell>
          <cell r="F108">
            <v>0</v>
          </cell>
        </row>
        <row r="109">
          <cell r="D109" t="str">
            <v>1/2" Hex Mini CIM 15</v>
          </cell>
          <cell r="E109">
            <v>5</v>
          </cell>
          <cell r="F109">
            <v>0</v>
          </cell>
        </row>
        <row r="110">
          <cell r="D110" t="str">
            <v>1/2" Hex Mini CIM 16</v>
          </cell>
          <cell r="E110">
            <v>5</v>
          </cell>
          <cell r="F110">
            <v>0</v>
          </cell>
        </row>
        <row r="111">
          <cell r="D111" t="str">
            <v>1/2" Hex Mini CIM 20</v>
          </cell>
          <cell r="E111">
            <v>5</v>
          </cell>
          <cell r="F111">
            <v>0</v>
          </cell>
        </row>
        <row r="112">
          <cell r="D112" t="str">
            <v>1/2" Hex Mini CIM 21</v>
          </cell>
          <cell r="E112">
            <v>5</v>
          </cell>
          <cell r="F112">
            <v>0</v>
          </cell>
        </row>
        <row r="113">
          <cell r="D113" t="str">
            <v>1/2" Hex Mini CIM 25</v>
          </cell>
          <cell r="E113">
            <v>4</v>
          </cell>
          <cell r="F113">
            <v>0</v>
          </cell>
        </row>
        <row r="114">
          <cell r="D114" t="str">
            <v>1/2" Hex Mini CIM 27</v>
          </cell>
          <cell r="E114">
            <v>4</v>
          </cell>
          <cell r="F114">
            <v>0</v>
          </cell>
        </row>
        <row r="115">
          <cell r="D115" t="str">
            <v>1/2" Hex Mini CIM 28</v>
          </cell>
          <cell r="E115">
            <v>3</v>
          </cell>
          <cell r="F115">
            <v>0</v>
          </cell>
        </row>
        <row r="116">
          <cell r="D116" t="str">
            <v>1/2" Hex Mini CIM 30</v>
          </cell>
          <cell r="E116">
            <v>3</v>
          </cell>
          <cell r="F116">
            <v>0</v>
          </cell>
        </row>
        <row r="117">
          <cell r="D117" t="str">
            <v>1/2" Hex Mini CIM 35</v>
          </cell>
          <cell r="E117">
            <v>3</v>
          </cell>
          <cell r="F117">
            <v>0</v>
          </cell>
        </row>
        <row r="118">
          <cell r="D118" t="str">
            <v>1/2" Hex Mini CIM 36</v>
          </cell>
          <cell r="E118">
            <v>1</v>
          </cell>
          <cell r="F118">
            <v>0</v>
          </cell>
        </row>
        <row r="119">
          <cell r="D119" t="str">
            <v>1/2" Hex Mini CIM 40</v>
          </cell>
          <cell r="E119">
            <v>1</v>
          </cell>
          <cell r="F119">
            <v>0</v>
          </cell>
        </row>
        <row r="120">
          <cell r="D120" t="str">
            <v>1/2" Hex Mini CIM 45</v>
          </cell>
          <cell r="E120">
            <v>1</v>
          </cell>
          <cell r="F120">
            <v>0</v>
          </cell>
        </row>
        <row r="121">
          <cell r="D121" t="str">
            <v>1/2" Hex Mini CIM 49</v>
          </cell>
          <cell r="E121">
            <v>1</v>
          </cell>
          <cell r="F121">
            <v>0</v>
          </cell>
        </row>
        <row r="122">
          <cell r="D122" t="str">
            <v>1/2" Hex Mini CIM 50</v>
          </cell>
          <cell r="E122">
            <v>1</v>
          </cell>
          <cell r="F122">
            <v>0</v>
          </cell>
        </row>
        <row r="123">
          <cell r="D123" t="str">
            <v>1/2" Hex Mini CIM 63</v>
          </cell>
          <cell r="E123">
            <v>1</v>
          </cell>
          <cell r="F123">
            <v>0</v>
          </cell>
        </row>
        <row r="124">
          <cell r="D124" t="str">
            <v>1/2" Hex Mini CIM 70</v>
          </cell>
          <cell r="E124">
            <v>0</v>
          </cell>
          <cell r="F124">
            <v>0</v>
          </cell>
        </row>
        <row r="125">
          <cell r="D125" t="str">
            <v>1/2" Hex Mini CIM 81</v>
          </cell>
          <cell r="E125">
            <v>0</v>
          </cell>
          <cell r="F125">
            <v>0</v>
          </cell>
        </row>
        <row r="126">
          <cell r="D126" t="str">
            <v>1/2" Hex Mini CIM 90</v>
          </cell>
          <cell r="E126">
            <v>0</v>
          </cell>
          <cell r="F126">
            <v>0</v>
          </cell>
        </row>
        <row r="127">
          <cell r="D127" t="str">
            <v>1/2" Hex Mini CIM 100</v>
          </cell>
          <cell r="E127">
            <v>0</v>
          </cell>
          <cell r="F127">
            <v>0</v>
          </cell>
        </row>
        <row r="128">
          <cell r="D128" t="str">
            <v>1/2" Hex CIM 9</v>
          </cell>
          <cell r="E128">
            <v>5</v>
          </cell>
          <cell r="F128">
            <v>0</v>
          </cell>
        </row>
        <row r="129">
          <cell r="D129" t="str">
            <v>1/2" Hex CIM 12</v>
          </cell>
          <cell r="E129">
            <v>5</v>
          </cell>
          <cell r="F129">
            <v>0</v>
          </cell>
        </row>
        <row r="130">
          <cell r="D130" t="str">
            <v>1/2" Hex CIM 15</v>
          </cell>
          <cell r="E130">
            <v>4</v>
          </cell>
          <cell r="F130">
            <v>0</v>
          </cell>
        </row>
        <row r="131">
          <cell r="D131" t="str">
            <v>1/2" Hex CIM 16</v>
          </cell>
          <cell r="E131">
            <v>4</v>
          </cell>
          <cell r="F131">
            <v>0</v>
          </cell>
        </row>
        <row r="132">
          <cell r="D132" t="str">
            <v>1/2" Hex CIM 20</v>
          </cell>
          <cell r="E132">
            <v>3</v>
          </cell>
          <cell r="F132">
            <v>0</v>
          </cell>
        </row>
        <row r="133">
          <cell r="D133" t="str">
            <v>1/2" Hex CIM 21</v>
          </cell>
          <cell r="E133">
            <v>3</v>
          </cell>
          <cell r="F133">
            <v>0</v>
          </cell>
        </row>
        <row r="134">
          <cell r="D134" t="str">
            <v>1/2" Hex CIM 25</v>
          </cell>
          <cell r="E134">
            <v>1</v>
          </cell>
          <cell r="F134">
            <v>0</v>
          </cell>
        </row>
        <row r="135">
          <cell r="D135" t="str">
            <v>1/2" Hex CIM 27</v>
          </cell>
          <cell r="E135">
            <v>1</v>
          </cell>
          <cell r="F135">
            <v>0</v>
          </cell>
        </row>
        <row r="136">
          <cell r="D136" t="str">
            <v>1/2" Hex CIM 28</v>
          </cell>
          <cell r="E136">
            <v>1</v>
          </cell>
          <cell r="F136">
            <v>0</v>
          </cell>
        </row>
        <row r="137">
          <cell r="D137" t="str">
            <v>1/2" Hex CIM 30</v>
          </cell>
          <cell r="E137">
            <v>1</v>
          </cell>
          <cell r="F137">
            <v>0</v>
          </cell>
        </row>
        <row r="138">
          <cell r="D138" t="str">
            <v>1/2" Hex CIM 35</v>
          </cell>
          <cell r="E138">
            <v>1</v>
          </cell>
          <cell r="F138">
            <v>0</v>
          </cell>
        </row>
        <row r="139">
          <cell r="D139" t="str">
            <v>1/2" Hex CIM 36</v>
          </cell>
          <cell r="E139">
            <v>1</v>
          </cell>
          <cell r="F139">
            <v>0</v>
          </cell>
        </row>
        <row r="140">
          <cell r="D140" t="str">
            <v>1/2" Hex CIM 40</v>
          </cell>
          <cell r="E140">
            <v>1</v>
          </cell>
          <cell r="F140">
            <v>0</v>
          </cell>
        </row>
        <row r="141">
          <cell r="D141" t="str">
            <v>1/2" Hex CIM 45</v>
          </cell>
          <cell r="E141">
            <v>0</v>
          </cell>
          <cell r="F141">
            <v>0</v>
          </cell>
        </row>
        <row r="142">
          <cell r="D142" t="str">
            <v>1/2" Hex CIM 49</v>
          </cell>
          <cell r="E142">
            <v>0</v>
          </cell>
          <cell r="F142">
            <v>0</v>
          </cell>
        </row>
        <row r="143">
          <cell r="D143" t="str">
            <v>1/2" Hex CIM 50</v>
          </cell>
          <cell r="E143">
            <v>0</v>
          </cell>
          <cell r="F143">
            <v>0</v>
          </cell>
        </row>
        <row r="144">
          <cell r="D144" t="str">
            <v>1/2" Hex CIM 63</v>
          </cell>
          <cell r="E144">
            <v>0</v>
          </cell>
          <cell r="F144">
            <v>0</v>
          </cell>
        </row>
        <row r="145">
          <cell r="D145" t="str">
            <v>1/2" Hex CIM 70</v>
          </cell>
          <cell r="E145">
            <v>0</v>
          </cell>
          <cell r="F145">
            <v>0</v>
          </cell>
        </row>
        <row r="146">
          <cell r="D146" t="str">
            <v>1/2" Hex CIM 81</v>
          </cell>
          <cell r="E146">
            <v>0</v>
          </cell>
          <cell r="F146">
            <v>0</v>
          </cell>
        </row>
        <row r="147">
          <cell r="D147" t="str">
            <v>1/2" Hex CIM 90</v>
          </cell>
          <cell r="E147">
            <v>0</v>
          </cell>
          <cell r="F147">
            <v>0</v>
          </cell>
        </row>
        <row r="148">
          <cell r="D148" t="str">
            <v>1/2" Hex CIM 100</v>
          </cell>
          <cell r="E148">
            <v>0</v>
          </cell>
          <cell r="F148">
            <v>0</v>
          </cell>
        </row>
        <row r="149">
          <cell r="D149" t="str">
            <v>1/2" Hex 775pro 9</v>
          </cell>
          <cell r="E149">
            <v>10</v>
          </cell>
          <cell r="F149">
            <v>5</v>
          </cell>
        </row>
        <row r="150">
          <cell r="D150" t="str">
            <v>1/2" Hex 775pro 12</v>
          </cell>
          <cell r="E150">
            <v>10</v>
          </cell>
          <cell r="F150">
            <v>4</v>
          </cell>
        </row>
        <row r="151">
          <cell r="D151" t="str">
            <v>1/2" Hex 775pro 15</v>
          </cell>
          <cell r="E151">
            <v>10</v>
          </cell>
          <cell r="F151">
            <v>3</v>
          </cell>
        </row>
        <row r="152">
          <cell r="D152" t="str">
            <v>1/2" Hex 775pro 16</v>
          </cell>
          <cell r="E152">
            <v>10</v>
          </cell>
          <cell r="F152">
            <v>3</v>
          </cell>
        </row>
        <row r="153">
          <cell r="D153" t="str">
            <v>1/2" Hex 775pro 20</v>
          </cell>
          <cell r="E153">
            <v>10</v>
          </cell>
          <cell r="F153">
            <v>1</v>
          </cell>
        </row>
        <row r="154">
          <cell r="D154" t="str">
            <v>1/2" Hex 775pro 21</v>
          </cell>
          <cell r="E154">
            <v>10</v>
          </cell>
          <cell r="F154">
            <v>1</v>
          </cell>
        </row>
        <row r="155">
          <cell r="D155" t="str">
            <v>1/2" Hex 775pro 25</v>
          </cell>
          <cell r="E155">
            <v>7</v>
          </cell>
          <cell r="F155">
            <v>1</v>
          </cell>
        </row>
        <row r="156">
          <cell r="D156" t="str">
            <v>1/2" Hex 775pro 27</v>
          </cell>
          <cell r="E156">
            <v>7</v>
          </cell>
          <cell r="F156">
            <v>1</v>
          </cell>
        </row>
        <row r="157">
          <cell r="D157" t="str">
            <v>1/2" Hex 775pro 28</v>
          </cell>
          <cell r="E157">
            <v>7</v>
          </cell>
          <cell r="F157">
            <v>1</v>
          </cell>
        </row>
        <row r="158">
          <cell r="D158" t="str">
            <v>1/2" Hex 775pro 30</v>
          </cell>
          <cell r="E158">
            <v>7</v>
          </cell>
          <cell r="F158">
            <v>1</v>
          </cell>
        </row>
        <row r="159">
          <cell r="D159" t="str">
            <v>1/2" Hex 775pro 35</v>
          </cell>
          <cell r="E159">
            <v>5</v>
          </cell>
          <cell r="F159">
            <v>1</v>
          </cell>
        </row>
        <row r="160">
          <cell r="D160" t="str">
            <v>1/2" Hex 775pro 36</v>
          </cell>
          <cell r="E160">
            <v>5</v>
          </cell>
          <cell r="F160">
            <v>1</v>
          </cell>
        </row>
        <row r="161">
          <cell r="D161" t="str">
            <v>1/2" Hex 775pro 40</v>
          </cell>
          <cell r="E161">
            <v>5</v>
          </cell>
          <cell r="F161">
            <v>1</v>
          </cell>
        </row>
        <row r="162">
          <cell r="D162" t="str">
            <v>1/2" Hex 775pro 45</v>
          </cell>
          <cell r="E162">
            <v>4</v>
          </cell>
          <cell r="F162">
            <v>1</v>
          </cell>
        </row>
        <row r="163">
          <cell r="D163" t="str">
            <v>1/2" Hex 775pro 49</v>
          </cell>
          <cell r="E163">
            <v>4</v>
          </cell>
          <cell r="F163">
            <v>1</v>
          </cell>
        </row>
        <row r="164">
          <cell r="D164" t="str">
            <v>1/2" Hex 775pro 50</v>
          </cell>
          <cell r="E164">
            <v>4</v>
          </cell>
          <cell r="F164">
            <v>0</v>
          </cell>
        </row>
        <row r="165">
          <cell r="D165" t="str">
            <v>1/2" Hex 775pro 63</v>
          </cell>
          <cell r="E165">
            <v>3</v>
          </cell>
          <cell r="F165">
            <v>0</v>
          </cell>
        </row>
        <row r="166">
          <cell r="D166" t="str">
            <v>1/2" Hex 775pro 70</v>
          </cell>
          <cell r="E166">
            <v>3</v>
          </cell>
          <cell r="F166">
            <v>0</v>
          </cell>
        </row>
        <row r="167">
          <cell r="D167" t="str">
            <v>1/2" Hex 775pro 81</v>
          </cell>
          <cell r="E167">
            <v>1</v>
          </cell>
          <cell r="F167">
            <v>0</v>
          </cell>
        </row>
        <row r="168">
          <cell r="D168" t="str">
            <v>1/2" Hex 775pro 90</v>
          </cell>
          <cell r="E168">
            <v>1</v>
          </cell>
          <cell r="F168">
            <v>0</v>
          </cell>
        </row>
        <row r="169">
          <cell r="D169" t="str">
            <v>1/2" Hex 775pro 100</v>
          </cell>
          <cell r="E169">
            <v>1</v>
          </cell>
          <cell r="F169">
            <v>0</v>
          </cell>
        </row>
        <row r="170">
          <cell r="D170" t="str">
            <v>1/2" Round AM 9015 9</v>
          </cell>
          <cell r="E170">
            <v>10</v>
          </cell>
          <cell r="F170">
            <v>10</v>
          </cell>
        </row>
        <row r="171">
          <cell r="D171" t="str">
            <v>1/2" Round AM 9015 12</v>
          </cell>
          <cell r="E171">
            <v>10</v>
          </cell>
          <cell r="F171">
            <v>7</v>
          </cell>
        </row>
        <row r="172">
          <cell r="D172" t="str">
            <v>1/2" Round AM 9015 15</v>
          </cell>
          <cell r="E172">
            <v>10</v>
          </cell>
          <cell r="F172">
            <v>5</v>
          </cell>
        </row>
        <row r="173">
          <cell r="D173" t="str">
            <v>1/2" Round AM 9015 16</v>
          </cell>
          <cell r="E173">
            <v>10</v>
          </cell>
          <cell r="F173">
            <v>5</v>
          </cell>
        </row>
        <row r="174">
          <cell r="D174" t="str">
            <v>1/2" Round AM 9015 20</v>
          </cell>
          <cell r="E174">
            <v>10</v>
          </cell>
          <cell r="F174">
            <v>4</v>
          </cell>
        </row>
        <row r="175">
          <cell r="D175" t="str">
            <v>1/2" Round AM 9015 21</v>
          </cell>
          <cell r="E175">
            <v>10</v>
          </cell>
          <cell r="F175">
            <v>4</v>
          </cell>
        </row>
        <row r="176">
          <cell r="D176" t="str">
            <v>1/2" Round AM 9015 25</v>
          </cell>
          <cell r="E176">
            <v>7</v>
          </cell>
          <cell r="F176">
            <v>3</v>
          </cell>
        </row>
        <row r="177">
          <cell r="D177" t="str">
            <v>1/2" Round AM 9015 27</v>
          </cell>
          <cell r="E177">
            <v>7</v>
          </cell>
          <cell r="F177">
            <v>3</v>
          </cell>
        </row>
        <row r="178">
          <cell r="D178" t="str">
            <v>1/2" Round AM 9015 28</v>
          </cell>
          <cell r="E178">
            <v>7</v>
          </cell>
          <cell r="F178">
            <v>3</v>
          </cell>
        </row>
        <row r="179">
          <cell r="D179" t="str">
            <v>1/2" Round AM 9015 30</v>
          </cell>
          <cell r="E179">
            <v>7</v>
          </cell>
          <cell r="F179">
            <v>3</v>
          </cell>
        </row>
        <row r="180">
          <cell r="D180" t="str">
            <v>1/2" Round AM 9015 35</v>
          </cell>
          <cell r="E180">
            <v>5</v>
          </cell>
          <cell r="F180">
            <v>1</v>
          </cell>
        </row>
        <row r="181">
          <cell r="D181" t="str">
            <v>1/2" Round AM 9015 36</v>
          </cell>
          <cell r="E181">
            <v>5</v>
          </cell>
          <cell r="F181">
            <v>1</v>
          </cell>
        </row>
        <row r="182">
          <cell r="D182" t="str">
            <v>1/2" Round AM 9015 40</v>
          </cell>
          <cell r="E182">
            <v>5</v>
          </cell>
          <cell r="F182">
            <v>1</v>
          </cell>
        </row>
        <row r="183">
          <cell r="D183" t="str">
            <v>1/2" Round AM 9015 45</v>
          </cell>
          <cell r="E183">
            <v>5</v>
          </cell>
          <cell r="F183">
            <v>1</v>
          </cell>
        </row>
        <row r="184">
          <cell r="D184" t="str">
            <v>1/2" Round AM 9015 49</v>
          </cell>
          <cell r="E184">
            <v>5</v>
          </cell>
          <cell r="F184">
            <v>1</v>
          </cell>
        </row>
        <row r="185">
          <cell r="D185" t="str">
            <v>1/2" Round AM 9015 50</v>
          </cell>
          <cell r="E185">
            <v>5</v>
          </cell>
          <cell r="F185">
            <v>1</v>
          </cell>
        </row>
        <row r="186">
          <cell r="D186" t="str">
            <v>1/2" Round AM 9015 63</v>
          </cell>
          <cell r="E186">
            <v>4</v>
          </cell>
          <cell r="F186">
            <v>1</v>
          </cell>
        </row>
        <row r="187">
          <cell r="D187" t="str">
            <v>1/2" Round AM 9015 70</v>
          </cell>
          <cell r="E187">
            <v>4</v>
          </cell>
          <cell r="F187">
            <v>1</v>
          </cell>
        </row>
        <row r="188">
          <cell r="D188" t="str">
            <v>1/2" Round AM 9015 81</v>
          </cell>
          <cell r="E188">
            <v>3</v>
          </cell>
          <cell r="F188">
            <v>1</v>
          </cell>
        </row>
        <row r="189">
          <cell r="D189" t="str">
            <v>1/2" Round AM 9015 90</v>
          </cell>
          <cell r="E189">
            <v>3</v>
          </cell>
          <cell r="F189">
            <v>1</v>
          </cell>
        </row>
        <row r="190">
          <cell r="D190" t="str">
            <v>1/2" Round AM 9015 100</v>
          </cell>
          <cell r="E190">
            <v>1</v>
          </cell>
          <cell r="F190">
            <v>0</v>
          </cell>
        </row>
        <row r="191">
          <cell r="D191" t="str">
            <v>1/2" Round NeveRest 9</v>
          </cell>
          <cell r="E191">
            <v>10</v>
          </cell>
          <cell r="F191">
            <v>10</v>
          </cell>
        </row>
        <row r="192">
          <cell r="D192" t="str">
            <v>1/2" Round NeveRest 12</v>
          </cell>
          <cell r="E192">
            <v>10</v>
          </cell>
          <cell r="F192">
            <v>10</v>
          </cell>
        </row>
        <row r="193">
          <cell r="D193" t="str">
            <v>1/2" Round NeveRest 15</v>
          </cell>
          <cell r="E193">
            <v>10</v>
          </cell>
          <cell r="F193">
            <v>10</v>
          </cell>
        </row>
        <row r="194">
          <cell r="D194" t="str">
            <v>1/2" Round NeveRest 16</v>
          </cell>
          <cell r="E194">
            <v>10</v>
          </cell>
          <cell r="F194">
            <v>10</v>
          </cell>
        </row>
        <row r="195">
          <cell r="D195" t="str">
            <v>1/2" Round NeveRest 20</v>
          </cell>
          <cell r="E195">
            <v>10</v>
          </cell>
          <cell r="F195">
            <v>10</v>
          </cell>
        </row>
        <row r="196">
          <cell r="D196" t="str">
            <v>1/2" Round NeveRest 21</v>
          </cell>
          <cell r="E196">
            <v>9</v>
          </cell>
          <cell r="F196">
            <v>9</v>
          </cell>
        </row>
        <row r="197">
          <cell r="D197" t="str">
            <v>1/2" Round NeveRest 25</v>
          </cell>
          <cell r="E197">
            <v>7</v>
          </cell>
          <cell r="F197">
            <v>7</v>
          </cell>
        </row>
        <row r="198">
          <cell r="D198" t="str">
            <v>1/2" Round NeveRest 27</v>
          </cell>
          <cell r="E198">
            <v>7</v>
          </cell>
          <cell r="F198">
            <v>7</v>
          </cell>
        </row>
        <row r="199">
          <cell r="D199" t="str">
            <v>1/2" Round NeveRest 28</v>
          </cell>
          <cell r="E199">
            <v>7</v>
          </cell>
          <cell r="F199">
            <v>7</v>
          </cell>
        </row>
        <row r="200">
          <cell r="D200" t="str">
            <v>1/2" Round NeveRest 30</v>
          </cell>
          <cell r="E200">
            <v>5</v>
          </cell>
          <cell r="F200">
            <v>5</v>
          </cell>
        </row>
        <row r="201">
          <cell r="D201" t="str">
            <v>1/2" Round NeveRest 35</v>
          </cell>
          <cell r="E201">
            <v>5</v>
          </cell>
          <cell r="F201">
            <v>5</v>
          </cell>
        </row>
        <row r="202">
          <cell r="D202" t="str">
            <v>1/2" Round NeveRest 36</v>
          </cell>
          <cell r="E202">
            <v>5</v>
          </cell>
          <cell r="F202">
            <v>5</v>
          </cell>
        </row>
        <row r="203">
          <cell r="D203" t="str">
            <v>1/2" Round NeveRest 40</v>
          </cell>
          <cell r="E203">
            <v>5</v>
          </cell>
          <cell r="F203">
            <v>5</v>
          </cell>
        </row>
        <row r="204">
          <cell r="D204" t="str">
            <v>1/2" Round NeveRest 45</v>
          </cell>
          <cell r="E204">
            <v>5</v>
          </cell>
          <cell r="F204">
            <v>4</v>
          </cell>
        </row>
        <row r="205">
          <cell r="D205" t="str">
            <v>1/2" Round NeveRest 49</v>
          </cell>
          <cell r="E205">
            <v>5</v>
          </cell>
          <cell r="F205">
            <v>4</v>
          </cell>
        </row>
        <row r="206">
          <cell r="D206" t="str">
            <v>1/2" Round NeveRest 50</v>
          </cell>
          <cell r="E206">
            <v>5</v>
          </cell>
          <cell r="F206">
            <v>4</v>
          </cell>
        </row>
        <row r="207">
          <cell r="D207" t="str">
            <v>1/2" Round NeveRest 63</v>
          </cell>
          <cell r="E207">
            <v>4</v>
          </cell>
          <cell r="F207">
            <v>3</v>
          </cell>
        </row>
        <row r="208">
          <cell r="D208" t="str">
            <v>1/2" Round NeveRest 70</v>
          </cell>
          <cell r="E208">
            <v>3</v>
          </cell>
          <cell r="F208">
            <v>1</v>
          </cell>
        </row>
        <row r="209">
          <cell r="D209" t="str">
            <v>1/2" Round NeveRest 81</v>
          </cell>
          <cell r="E209">
            <v>3</v>
          </cell>
          <cell r="F209">
            <v>1</v>
          </cell>
        </row>
        <row r="210">
          <cell r="D210" t="str">
            <v>1/2" Round NeveRest 90</v>
          </cell>
          <cell r="E210">
            <v>1</v>
          </cell>
          <cell r="F210">
            <v>1</v>
          </cell>
        </row>
        <row r="211">
          <cell r="D211" t="str">
            <v>1/2" Round NeveRest 100</v>
          </cell>
          <cell r="E211">
            <v>1</v>
          </cell>
          <cell r="F211">
            <v>1</v>
          </cell>
        </row>
        <row r="212">
          <cell r="D212" t="str">
            <v>1/2" Round BB RS-550 9</v>
          </cell>
          <cell r="E212">
            <v>10</v>
          </cell>
          <cell r="F212">
            <v>10</v>
          </cell>
        </row>
        <row r="213">
          <cell r="D213" t="str">
            <v>1/2" Round BB RS-550 12</v>
          </cell>
          <cell r="E213">
            <v>10</v>
          </cell>
          <cell r="F213">
            <v>7</v>
          </cell>
        </row>
        <row r="214">
          <cell r="D214" t="str">
            <v>1/2" Round BB RS-550 15</v>
          </cell>
          <cell r="E214">
            <v>10</v>
          </cell>
          <cell r="F214">
            <v>5</v>
          </cell>
        </row>
        <row r="215">
          <cell r="D215" t="str">
            <v>1/2" Round BB RS-550 16</v>
          </cell>
          <cell r="E215">
            <v>10</v>
          </cell>
          <cell r="F215">
            <v>5</v>
          </cell>
        </row>
        <row r="216">
          <cell r="D216" t="str">
            <v>1/2" Round BB RS-550 20</v>
          </cell>
          <cell r="E216">
            <v>10</v>
          </cell>
          <cell r="F216">
            <v>4</v>
          </cell>
        </row>
        <row r="217">
          <cell r="D217" t="str">
            <v>1/2" Round BB RS-550 21</v>
          </cell>
          <cell r="E217">
            <v>9</v>
          </cell>
          <cell r="F217">
            <v>4</v>
          </cell>
        </row>
        <row r="218">
          <cell r="D218" t="str">
            <v>1/2" Round BB RS-550 25</v>
          </cell>
          <cell r="E218">
            <v>7</v>
          </cell>
          <cell r="F218">
            <v>3</v>
          </cell>
        </row>
        <row r="219">
          <cell r="D219" t="str">
            <v>1/2" Round BB RS-550 27</v>
          </cell>
          <cell r="E219">
            <v>7</v>
          </cell>
          <cell r="F219">
            <v>3</v>
          </cell>
        </row>
        <row r="220">
          <cell r="D220" t="str">
            <v>1/2" Round BB RS-550 28</v>
          </cell>
          <cell r="E220">
            <v>7</v>
          </cell>
          <cell r="F220">
            <v>3</v>
          </cell>
        </row>
        <row r="221">
          <cell r="D221" t="str">
            <v>1/2" Round BB RS-550 30</v>
          </cell>
          <cell r="E221">
            <v>5</v>
          </cell>
          <cell r="F221">
            <v>3</v>
          </cell>
        </row>
        <row r="222">
          <cell r="D222" t="str">
            <v>1/2" Round BB RS-550 35</v>
          </cell>
          <cell r="E222">
            <v>5</v>
          </cell>
          <cell r="F222">
            <v>1</v>
          </cell>
        </row>
        <row r="223">
          <cell r="D223" t="str">
            <v>1/2" Round BB RS-550 36</v>
          </cell>
          <cell r="E223">
            <v>5</v>
          </cell>
          <cell r="F223">
            <v>1</v>
          </cell>
        </row>
        <row r="224">
          <cell r="D224" t="str">
            <v>1/2" Round BB RS-550 40</v>
          </cell>
          <cell r="E224">
            <v>5</v>
          </cell>
          <cell r="F224">
            <v>1</v>
          </cell>
        </row>
        <row r="225">
          <cell r="D225" t="str">
            <v>1/2" Round BB RS-550 45</v>
          </cell>
          <cell r="E225">
            <v>5</v>
          </cell>
          <cell r="F225">
            <v>1</v>
          </cell>
        </row>
        <row r="226">
          <cell r="D226" t="str">
            <v>1/2" Round BB RS-550 49</v>
          </cell>
          <cell r="E226">
            <v>5</v>
          </cell>
          <cell r="F226">
            <v>1</v>
          </cell>
        </row>
        <row r="227">
          <cell r="D227" t="str">
            <v>1/2" Round BB RS-550 50</v>
          </cell>
          <cell r="E227">
            <v>5</v>
          </cell>
          <cell r="F227">
            <v>1</v>
          </cell>
        </row>
        <row r="228">
          <cell r="D228" t="str">
            <v>1/2" Round BB RS-550 63</v>
          </cell>
          <cell r="E228">
            <v>4</v>
          </cell>
          <cell r="F228">
            <v>1</v>
          </cell>
        </row>
        <row r="229">
          <cell r="D229" t="str">
            <v>1/2" Round BB RS-550 70</v>
          </cell>
          <cell r="E229">
            <v>3</v>
          </cell>
          <cell r="F229">
            <v>1</v>
          </cell>
        </row>
        <row r="230">
          <cell r="D230" t="str">
            <v>1/2" Round BB RS-550 81</v>
          </cell>
          <cell r="E230">
            <v>3</v>
          </cell>
          <cell r="F230">
            <v>1</v>
          </cell>
        </row>
        <row r="231">
          <cell r="D231" t="str">
            <v>1/2" Round BB RS-550 90</v>
          </cell>
          <cell r="E231">
            <v>1</v>
          </cell>
          <cell r="F231">
            <v>1</v>
          </cell>
        </row>
        <row r="232">
          <cell r="D232" t="str">
            <v>1/2" Round BB RS-550 100</v>
          </cell>
          <cell r="E232">
            <v>1</v>
          </cell>
          <cell r="F232">
            <v>0</v>
          </cell>
        </row>
        <row r="233">
          <cell r="D233" t="str">
            <v>1/2" Round BB RS-775 9</v>
          </cell>
          <cell r="E233">
            <v>10</v>
          </cell>
          <cell r="F233">
            <v>10</v>
          </cell>
        </row>
        <row r="234">
          <cell r="D234" t="str">
            <v>1/2" Round BB RS-775 12</v>
          </cell>
          <cell r="E234">
            <v>10</v>
          </cell>
          <cell r="F234">
            <v>10</v>
          </cell>
        </row>
        <row r="235">
          <cell r="D235" t="str">
            <v>1/2" Round BB RS-775 15</v>
          </cell>
          <cell r="E235">
            <v>7</v>
          </cell>
          <cell r="F235">
            <v>7</v>
          </cell>
        </row>
        <row r="236">
          <cell r="D236" t="str">
            <v>1/2" Round BB RS-775 16</v>
          </cell>
          <cell r="E236">
            <v>7</v>
          </cell>
          <cell r="F236">
            <v>7</v>
          </cell>
        </row>
        <row r="237">
          <cell r="D237" t="str">
            <v>1/2" Round BB RS-775 20</v>
          </cell>
          <cell r="E237">
            <v>5</v>
          </cell>
          <cell r="F237">
            <v>5</v>
          </cell>
        </row>
        <row r="238">
          <cell r="D238" t="str">
            <v>1/2" Round BB RS-775 21</v>
          </cell>
          <cell r="E238">
            <v>5</v>
          </cell>
          <cell r="F238">
            <v>5</v>
          </cell>
        </row>
        <row r="239">
          <cell r="D239" t="str">
            <v>1/2" Round BB RS-775 25</v>
          </cell>
          <cell r="E239">
            <v>5</v>
          </cell>
          <cell r="F239">
            <v>5</v>
          </cell>
        </row>
        <row r="240">
          <cell r="D240" t="str">
            <v>1/2" Round BB RS-775 27</v>
          </cell>
          <cell r="E240">
            <v>5</v>
          </cell>
          <cell r="F240">
            <v>4</v>
          </cell>
        </row>
        <row r="241">
          <cell r="D241" t="str">
            <v>1/2" Round BB RS-775 28</v>
          </cell>
          <cell r="E241">
            <v>5</v>
          </cell>
          <cell r="F241">
            <v>4</v>
          </cell>
        </row>
        <row r="242">
          <cell r="D242" t="str">
            <v>1/2" Round BB RS-775 30</v>
          </cell>
          <cell r="E242">
            <v>5</v>
          </cell>
          <cell r="F242">
            <v>4</v>
          </cell>
        </row>
        <row r="243">
          <cell r="D243" t="str">
            <v>1/2" Round BB RS-775 35</v>
          </cell>
          <cell r="E243">
            <v>4</v>
          </cell>
          <cell r="F243">
            <v>3</v>
          </cell>
        </row>
        <row r="244">
          <cell r="D244" t="str">
            <v>1/2" Round BB RS-775 36</v>
          </cell>
          <cell r="E244">
            <v>4</v>
          </cell>
          <cell r="F244">
            <v>3</v>
          </cell>
        </row>
        <row r="245">
          <cell r="D245" t="str">
            <v>1/2" Round BB RS-775 40</v>
          </cell>
          <cell r="E245">
            <v>4</v>
          </cell>
          <cell r="F245">
            <v>3</v>
          </cell>
        </row>
        <row r="246">
          <cell r="D246" t="str">
            <v>1/2" Round BB RS-775 45</v>
          </cell>
          <cell r="E246">
            <v>3</v>
          </cell>
          <cell r="F246">
            <v>1</v>
          </cell>
        </row>
        <row r="247">
          <cell r="D247" t="str">
            <v>1/2" Round BB RS-775 49</v>
          </cell>
          <cell r="E247">
            <v>3</v>
          </cell>
          <cell r="F247">
            <v>1</v>
          </cell>
        </row>
        <row r="248">
          <cell r="D248" t="str">
            <v>1/2" Round BB RS-775 50</v>
          </cell>
          <cell r="E248">
            <v>3</v>
          </cell>
          <cell r="F248">
            <v>1</v>
          </cell>
        </row>
        <row r="249">
          <cell r="D249" t="str">
            <v>1/2" Round BB RS-775 63</v>
          </cell>
          <cell r="E249">
            <v>1</v>
          </cell>
          <cell r="F249">
            <v>1</v>
          </cell>
        </row>
        <row r="250">
          <cell r="D250" t="str">
            <v>1/2" Round BB RS-775 70</v>
          </cell>
          <cell r="E250">
            <v>1</v>
          </cell>
          <cell r="F250">
            <v>1</v>
          </cell>
        </row>
        <row r="251">
          <cell r="D251" t="str">
            <v>1/2" Round BB RS-775 81</v>
          </cell>
          <cell r="E251">
            <v>1</v>
          </cell>
          <cell r="F251">
            <v>1</v>
          </cell>
        </row>
        <row r="252">
          <cell r="D252" t="str">
            <v>1/2" Round BB RS-775 90</v>
          </cell>
          <cell r="E252">
            <v>1</v>
          </cell>
          <cell r="F252">
            <v>1</v>
          </cell>
        </row>
        <row r="253">
          <cell r="D253" t="str">
            <v>1/2" Round BB RS-775 100</v>
          </cell>
          <cell r="E253">
            <v>1</v>
          </cell>
          <cell r="F253">
            <v>1</v>
          </cell>
        </row>
        <row r="254">
          <cell r="D254" t="str">
            <v>1/2" Round BAG 9</v>
          </cell>
          <cell r="E254">
            <v>10</v>
          </cell>
          <cell r="F254">
            <v>9</v>
          </cell>
        </row>
        <row r="255">
          <cell r="D255" t="str">
            <v>1/2" Round BAG 12</v>
          </cell>
          <cell r="E255">
            <v>10</v>
          </cell>
          <cell r="F255">
            <v>5</v>
          </cell>
        </row>
        <row r="256">
          <cell r="D256" t="str">
            <v>1/2" Round BAG 15</v>
          </cell>
          <cell r="E256">
            <v>10</v>
          </cell>
          <cell r="F256">
            <v>5</v>
          </cell>
        </row>
        <row r="257">
          <cell r="D257" t="str">
            <v>1/2" Round BAG 16</v>
          </cell>
          <cell r="E257">
            <v>10</v>
          </cell>
          <cell r="F257">
            <v>5</v>
          </cell>
        </row>
        <row r="258">
          <cell r="D258" t="str">
            <v>1/2" Round BAG 20</v>
          </cell>
          <cell r="E258">
            <v>10</v>
          </cell>
          <cell r="F258">
            <v>4</v>
          </cell>
        </row>
        <row r="259">
          <cell r="D259" t="str">
            <v>1/2" Round BAG 21</v>
          </cell>
          <cell r="E259">
            <v>10</v>
          </cell>
          <cell r="F259">
            <v>3</v>
          </cell>
        </row>
        <row r="260">
          <cell r="D260" t="str">
            <v>1/2" Round BAG 25</v>
          </cell>
          <cell r="E260">
            <v>7</v>
          </cell>
          <cell r="F260">
            <v>3</v>
          </cell>
        </row>
        <row r="261">
          <cell r="D261" t="str">
            <v>1/2" Round BAG 27</v>
          </cell>
          <cell r="E261">
            <v>7</v>
          </cell>
          <cell r="F261">
            <v>3</v>
          </cell>
        </row>
        <row r="262">
          <cell r="D262" t="str">
            <v>1/2" Round BAG 28</v>
          </cell>
          <cell r="E262">
            <v>7</v>
          </cell>
          <cell r="F262">
            <v>1</v>
          </cell>
        </row>
        <row r="263">
          <cell r="D263" t="str">
            <v>1/2" Round BAG 30</v>
          </cell>
          <cell r="E263">
            <v>7</v>
          </cell>
          <cell r="F263">
            <v>1</v>
          </cell>
        </row>
        <row r="264">
          <cell r="D264" t="str">
            <v>1/2" Round BAG 35</v>
          </cell>
          <cell r="E264">
            <v>5</v>
          </cell>
          <cell r="F264">
            <v>1</v>
          </cell>
        </row>
        <row r="265">
          <cell r="D265" t="str">
            <v>1/2" Round BAG 36</v>
          </cell>
          <cell r="E265">
            <v>5</v>
          </cell>
          <cell r="F265">
            <v>1</v>
          </cell>
        </row>
        <row r="266">
          <cell r="D266" t="str">
            <v>1/2" Round BAG 40</v>
          </cell>
          <cell r="E266">
            <v>5</v>
          </cell>
          <cell r="F266">
            <v>1</v>
          </cell>
        </row>
        <row r="267">
          <cell r="D267" t="str">
            <v>1/2" Round BAG 45</v>
          </cell>
          <cell r="E267">
            <v>5</v>
          </cell>
          <cell r="F267">
            <v>1</v>
          </cell>
        </row>
        <row r="268">
          <cell r="D268" t="str">
            <v>1/2" Round BAG 49</v>
          </cell>
          <cell r="E268">
            <v>5</v>
          </cell>
          <cell r="F268">
            <v>1</v>
          </cell>
        </row>
        <row r="269">
          <cell r="D269" t="str">
            <v>1/2" Round BAG 50</v>
          </cell>
          <cell r="E269">
            <v>5</v>
          </cell>
          <cell r="F269">
            <v>1</v>
          </cell>
        </row>
        <row r="270">
          <cell r="D270" t="str">
            <v>1/2" Round BAG 63</v>
          </cell>
          <cell r="E270">
            <v>4</v>
          </cell>
          <cell r="F270">
            <v>1</v>
          </cell>
        </row>
        <row r="271">
          <cell r="D271" t="str">
            <v>1/2" Round BAG 70</v>
          </cell>
          <cell r="E271">
            <v>4</v>
          </cell>
          <cell r="F271">
            <v>1</v>
          </cell>
        </row>
        <row r="272">
          <cell r="D272" t="str">
            <v>1/2" Round BAG 81</v>
          </cell>
          <cell r="E272">
            <v>3</v>
          </cell>
          <cell r="F272">
            <v>1</v>
          </cell>
        </row>
        <row r="273">
          <cell r="D273" t="str">
            <v>1/2" Round BAG 90</v>
          </cell>
          <cell r="E273">
            <v>3</v>
          </cell>
          <cell r="F273">
            <v>0</v>
          </cell>
        </row>
        <row r="274">
          <cell r="D274" t="str">
            <v>1/2" Round BAG 100</v>
          </cell>
          <cell r="E274">
            <v>1</v>
          </cell>
          <cell r="F274">
            <v>0</v>
          </cell>
        </row>
        <row r="275">
          <cell r="D275" t="str">
            <v>1/2" Round Mini CIM 9</v>
          </cell>
          <cell r="E275">
            <v>7</v>
          </cell>
          <cell r="F275">
            <v>0</v>
          </cell>
        </row>
        <row r="276">
          <cell r="D276" t="str">
            <v>1/2" Round Mini CIM 12</v>
          </cell>
          <cell r="E276">
            <v>5</v>
          </cell>
          <cell r="F276">
            <v>0</v>
          </cell>
        </row>
        <row r="277">
          <cell r="D277" t="str">
            <v>1/2" Round Mini CIM 15</v>
          </cell>
          <cell r="E277">
            <v>5</v>
          </cell>
          <cell r="F277">
            <v>0</v>
          </cell>
        </row>
        <row r="278">
          <cell r="D278" t="str">
            <v>1/2" Round Mini CIM 16</v>
          </cell>
          <cell r="E278">
            <v>5</v>
          </cell>
          <cell r="F278">
            <v>0</v>
          </cell>
        </row>
        <row r="279">
          <cell r="D279" t="str">
            <v>1/2" Round Mini CIM 20</v>
          </cell>
          <cell r="E279">
            <v>4</v>
          </cell>
          <cell r="F279">
            <v>0</v>
          </cell>
        </row>
        <row r="280">
          <cell r="D280" t="str">
            <v>1/2" Round Mini CIM 21</v>
          </cell>
          <cell r="E280">
            <v>4</v>
          </cell>
          <cell r="F280">
            <v>0</v>
          </cell>
        </row>
        <row r="281">
          <cell r="D281" t="str">
            <v>1/2" Round Mini CIM 25</v>
          </cell>
          <cell r="E281">
            <v>3</v>
          </cell>
          <cell r="F281">
            <v>0</v>
          </cell>
        </row>
        <row r="282">
          <cell r="D282" t="str">
            <v>1/2" Round Mini CIM 27</v>
          </cell>
          <cell r="E282">
            <v>3</v>
          </cell>
          <cell r="F282">
            <v>0</v>
          </cell>
        </row>
        <row r="283">
          <cell r="D283" t="str">
            <v>1/2" Round Mini CIM 28</v>
          </cell>
          <cell r="E283">
            <v>3</v>
          </cell>
          <cell r="F283">
            <v>0</v>
          </cell>
        </row>
        <row r="284">
          <cell r="D284" t="str">
            <v>1/2" Round Mini CIM 30</v>
          </cell>
          <cell r="E284">
            <v>3</v>
          </cell>
          <cell r="F284">
            <v>0</v>
          </cell>
        </row>
        <row r="285">
          <cell r="D285" t="str">
            <v>1/2" Round Mini CIM 35</v>
          </cell>
          <cell r="E285">
            <v>1</v>
          </cell>
          <cell r="F285">
            <v>0</v>
          </cell>
        </row>
        <row r="286">
          <cell r="D286" t="str">
            <v>1/2" Round Mini CIM 36</v>
          </cell>
          <cell r="E286">
            <v>1</v>
          </cell>
          <cell r="F286">
            <v>0</v>
          </cell>
        </row>
        <row r="287">
          <cell r="D287" t="str">
            <v>1/2" Round Mini CIM 40</v>
          </cell>
          <cell r="E287">
            <v>1</v>
          </cell>
          <cell r="F287">
            <v>0</v>
          </cell>
        </row>
        <row r="288">
          <cell r="D288" t="str">
            <v>1/2" Round Mini CIM 45</v>
          </cell>
          <cell r="E288">
            <v>1</v>
          </cell>
          <cell r="F288">
            <v>0</v>
          </cell>
        </row>
        <row r="289">
          <cell r="D289" t="str">
            <v>1/2" Round Mini CIM 49</v>
          </cell>
          <cell r="E289">
            <v>1</v>
          </cell>
          <cell r="F289">
            <v>0</v>
          </cell>
        </row>
        <row r="290">
          <cell r="D290" t="str">
            <v>1/2" Round Mini CIM 50</v>
          </cell>
          <cell r="E290">
            <v>1</v>
          </cell>
          <cell r="F290">
            <v>0</v>
          </cell>
        </row>
        <row r="291">
          <cell r="D291" t="str">
            <v>1/2" Round Mini CIM 63</v>
          </cell>
          <cell r="E291">
            <v>1</v>
          </cell>
          <cell r="F291">
            <v>0</v>
          </cell>
        </row>
        <row r="292">
          <cell r="D292" t="str">
            <v>1/2" Round Mini CIM 70</v>
          </cell>
          <cell r="E292">
            <v>0</v>
          </cell>
          <cell r="F292">
            <v>0</v>
          </cell>
        </row>
        <row r="293">
          <cell r="D293" t="str">
            <v>1/2" Round Mini CIM 81</v>
          </cell>
          <cell r="E293">
            <v>0</v>
          </cell>
          <cell r="F293">
            <v>0</v>
          </cell>
        </row>
        <row r="294">
          <cell r="D294" t="str">
            <v>1/2" Round Mini CIM 90</v>
          </cell>
          <cell r="E294">
            <v>0</v>
          </cell>
          <cell r="F294">
            <v>0</v>
          </cell>
        </row>
        <row r="295">
          <cell r="D295" t="str">
            <v>1/2" Round Mini CIM 100</v>
          </cell>
          <cell r="E295">
            <v>0</v>
          </cell>
          <cell r="F295">
            <v>0</v>
          </cell>
        </row>
        <row r="296">
          <cell r="D296" t="str">
            <v>1/2" Round CIM 9</v>
          </cell>
          <cell r="E296">
            <v>5</v>
          </cell>
          <cell r="F296">
            <v>0</v>
          </cell>
        </row>
        <row r="297">
          <cell r="D297" t="str">
            <v>1/2" Round CIM 12</v>
          </cell>
          <cell r="E297">
            <v>4</v>
          </cell>
          <cell r="F297">
            <v>0</v>
          </cell>
        </row>
        <row r="298">
          <cell r="D298" t="str">
            <v>1/2" Round CIM 15</v>
          </cell>
          <cell r="E298">
            <v>3</v>
          </cell>
          <cell r="F298">
            <v>0</v>
          </cell>
        </row>
        <row r="299">
          <cell r="D299" t="str">
            <v>1/2" Round CIM 16</v>
          </cell>
          <cell r="E299">
            <v>3</v>
          </cell>
          <cell r="F299">
            <v>0</v>
          </cell>
        </row>
        <row r="300">
          <cell r="D300" t="str">
            <v>1/2" Round CIM 20</v>
          </cell>
          <cell r="E300">
            <v>1</v>
          </cell>
          <cell r="F300">
            <v>0</v>
          </cell>
        </row>
        <row r="301">
          <cell r="D301" t="str">
            <v>1/2" Round CIM 21</v>
          </cell>
          <cell r="E301">
            <v>1</v>
          </cell>
          <cell r="F301">
            <v>0</v>
          </cell>
        </row>
        <row r="302">
          <cell r="D302" t="str">
            <v>1/2" Round CIM 25</v>
          </cell>
          <cell r="E302">
            <v>1</v>
          </cell>
          <cell r="F302">
            <v>0</v>
          </cell>
        </row>
        <row r="303">
          <cell r="D303" t="str">
            <v>1/2" Round CIM 27</v>
          </cell>
          <cell r="E303">
            <v>1</v>
          </cell>
          <cell r="F303">
            <v>0</v>
          </cell>
        </row>
        <row r="304">
          <cell r="D304" t="str">
            <v>1/2" Round CIM 28</v>
          </cell>
          <cell r="E304">
            <v>1</v>
          </cell>
          <cell r="F304">
            <v>0</v>
          </cell>
        </row>
        <row r="305">
          <cell r="D305" t="str">
            <v>1/2" Round CIM 30</v>
          </cell>
          <cell r="E305">
            <v>1</v>
          </cell>
          <cell r="F305">
            <v>0</v>
          </cell>
        </row>
        <row r="306">
          <cell r="D306" t="str">
            <v>1/2" Round CIM 35</v>
          </cell>
          <cell r="E306">
            <v>1</v>
          </cell>
          <cell r="F306">
            <v>0</v>
          </cell>
        </row>
        <row r="307">
          <cell r="D307" t="str">
            <v>1/2" Round CIM 36</v>
          </cell>
          <cell r="E307">
            <v>1</v>
          </cell>
          <cell r="F307">
            <v>0</v>
          </cell>
        </row>
        <row r="308">
          <cell r="D308" t="str">
            <v>1/2" Round CIM 40</v>
          </cell>
          <cell r="E308">
            <v>1</v>
          </cell>
          <cell r="F308">
            <v>0</v>
          </cell>
        </row>
        <row r="309">
          <cell r="D309" t="str">
            <v>1/2" Round CIM 45</v>
          </cell>
          <cell r="E309">
            <v>1</v>
          </cell>
          <cell r="F309">
            <v>0</v>
          </cell>
        </row>
        <row r="310">
          <cell r="D310" t="str">
            <v>1/2" Round CIM 49</v>
          </cell>
          <cell r="E310">
            <v>0</v>
          </cell>
          <cell r="F310">
            <v>0</v>
          </cell>
        </row>
        <row r="311">
          <cell r="D311" t="str">
            <v>1/2" Round CIM 50</v>
          </cell>
          <cell r="E311">
            <v>1</v>
          </cell>
          <cell r="F311">
            <v>0</v>
          </cell>
        </row>
        <row r="312">
          <cell r="D312" t="str">
            <v>1/2" Round CIM 63</v>
          </cell>
          <cell r="E312">
            <v>0</v>
          </cell>
          <cell r="F312">
            <v>0</v>
          </cell>
        </row>
        <row r="313">
          <cell r="D313" t="str">
            <v>1/2" Round CIM 70</v>
          </cell>
          <cell r="E313">
            <v>0</v>
          </cell>
          <cell r="F313">
            <v>0</v>
          </cell>
        </row>
        <row r="314">
          <cell r="D314" t="str">
            <v>1/2" Round CIM 81</v>
          </cell>
          <cell r="E314">
            <v>0</v>
          </cell>
          <cell r="F314">
            <v>0</v>
          </cell>
        </row>
        <row r="315">
          <cell r="D315" t="str">
            <v>1/2" Round CIM 90</v>
          </cell>
          <cell r="E315">
            <v>0</v>
          </cell>
          <cell r="F315">
            <v>0</v>
          </cell>
        </row>
        <row r="316">
          <cell r="D316" t="str">
            <v>1/2" Round CIM 100</v>
          </cell>
          <cell r="E316">
            <v>0</v>
          </cell>
          <cell r="F316">
            <v>0</v>
          </cell>
        </row>
        <row r="317">
          <cell r="D317" t="str">
            <v>1/2" Round 775pro 9</v>
          </cell>
          <cell r="E317">
            <v>10</v>
          </cell>
          <cell r="F317">
            <v>5</v>
          </cell>
        </row>
        <row r="318">
          <cell r="D318" t="str">
            <v>1/2" Round 775pro 12</v>
          </cell>
          <cell r="E318">
            <v>10</v>
          </cell>
          <cell r="F318">
            <v>4</v>
          </cell>
        </row>
        <row r="319">
          <cell r="D319" t="str">
            <v>1/2" Round 775pro 15</v>
          </cell>
          <cell r="E319">
            <v>10</v>
          </cell>
          <cell r="F319">
            <v>3</v>
          </cell>
        </row>
        <row r="320">
          <cell r="D320" t="str">
            <v>1/2" Round 775pro 16</v>
          </cell>
          <cell r="E320">
            <v>10</v>
          </cell>
          <cell r="F320">
            <v>3</v>
          </cell>
        </row>
        <row r="321">
          <cell r="D321" t="str">
            <v>1/2" Round 775pro 20</v>
          </cell>
          <cell r="E321">
            <v>9</v>
          </cell>
          <cell r="F321">
            <v>1</v>
          </cell>
        </row>
        <row r="322">
          <cell r="D322" t="str">
            <v>1/2" Round 775pro 21</v>
          </cell>
          <cell r="E322">
            <v>7</v>
          </cell>
          <cell r="F322">
            <v>1</v>
          </cell>
        </row>
        <row r="323">
          <cell r="D323" t="str">
            <v>1/2" Round 775pro 25</v>
          </cell>
          <cell r="E323">
            <v>7</v>
          </cell>
          <cell r="F323">
            <v>1</v>
          </cell>
        </row>
        <row r="324">
          <cell r="D324" t="str">
            <v>1/2" Round 775pro 27</v>
          </cell>
          <cell r="E324">
            <v>5</v>
          </cell>
          <cell r="F324">
            <v>1</v>
          </cell>
        </row>
        <row r="325">
          <cell r="D325" t="str">
            <v>1/2" Round 775pro 28</v>
          </cell>
          <cell r="E325">
            <v>5</v>
          </cell>
          <cell r="F325">
            <v>1</v>
          </cell>
        </row>
        <row r="326">
          <cell r="D326" t="str">
            <v>1/2" Round 775pro 30</v>
          </cell>
          <cell r="E326">
            <v>5</v>
          </cell>
          <cell r="F326">
            <v>1</v>
          </cell>
        </row>
        <row r="327">
          <cell r="D327" t="str">
            <v>1/2" Round 775pro 35</v>
          </cell>
          <cell r="E327">
            <v>5</v>
          </cell>
          <cell r="F327">
            <v>1</v>
          </cell>
        </row>
        <row r="328">
          <cell r="D328" t="str">
            <v>1/2" Round 775pro 36</v>
          </cell>
          <cell r="E328">
            <v>5</v>
          </cell>
          <cell r="F328">
            <v>1</v>
          </cell>
        </row>
        <row r="329">
          <cell r="D329" t="str">
            <v>1/2" Round 775pro 40</v>
          </cell>
          <cell r="E329">
            <v>4</v>
          </cell>
          <cell r="F329">
            <v>1</v>
          </cell>
        </row>
        <row r="330">
          <cell r="D330" t="str">
            <v>1/2" Round 775pro 45</v>
          </cell>
          <cell r="E330">
            <v>4</v>
          </cell>
          <cell r="F330">
            <v>1</v>
          </cell>
        </row>
        <row r="331">
          <cell r="D331" t="str">
            <v>1/2" Round 775pro 49</v>
          </cell>
          <cell r="E331">
            <v>3</v>
          </cell>
          <cell r="F331">
            <v>1</v>
          </cell>
        </row>
        <row r="332">
          <cell r="D332" t="str">
            <v>1/2" Round 775pro 50</v>
          </cell>
          <cell r="E332">
            <v>3</v>
          </cell>
          <cell r="F332">
            <v>0</v>
          </cell>
        </row>
        <row r="333">
          <cell r="D333" t="str">
            <v>1/2" Round 775pro 63</v>
          </cell>
          <cell r="E333">
            <v>1</v>
          </cell>
          <cell r="F333">
            <v>0</v>
          </cell>
        </row>
        <row r="334">
          <cell r="D334" t="str">
            <v>1/2" Round 775pro 70</v>
          </cell>
          <cell r="E334">
            <v>1</v>
          </cell>
          <cell r="F334">
            <v>0</v>
          </cell>
        </row>
        <row r="335">
          <cell r="D335" t="str">
            <v>1/2" Round 775pro 81</v>
          </cell>
          <cell r="E335">
            <v>1</v>
          </cell>
          <cell r="F335">
            <v>0</v>
          </cell>
        </row>
        <row r="336">
          <cell r="D336" t="str">
            <v>1/2" Round 775pro 90</v>
          </cell>
          <cell r="E336">
            <v>1</v>
          </cell>
          <cell r="F336">
            <v>0</v>
          </cell>
        </row>
        <row r="337">
          <cell r="D337" t="str">
            <v>1/2" Round 775pro 100</v>
          </cell>
          <cell r="E337">
            <v>1</v>
          </cell>
          <cell r="F337">
            <v>0</v>
          </cell>
        </row>
        <row r="338">
          <cell r="D338" t="str">
            <v>3/8" Hex AM 9015 9</v>
          </cell>
          <cell r="E338">
            <v>10</v>
          </cell>
          <cell r="F338">
            <v>10</v>
          </cell>
        </row>
        <row r="339">
          <cell r="D339" t="str">
            <v>3/8" Hex AM 9015 12</v>
          </cell>
          <cell r="E339">
            <v>10</v>
          </cell>
          <cell r="F339">
            <v>7</v>
          </cell>
        </row>
        <row r="340">
          <cell r="D340" t="str">
            <v>3/8" Hex AM 9015 15</v>
          </cell>
          <cell r="E340">
            <v>7</v>
          </cell>
          <cell r="F340">
            <v>5</v>
          </cell>
        </row>
        <row r="341">
          <cell r="D341" t="str">
            <v>3/8" Hex AM 9015 16</v>
          </cell>
          <cell r="E341">
            <v>7</v>
          </cell>
          <cell r="F341">
            <v>5</v>
          </cell>
        </row>
        <row r="342">
          <cell r="D342" t="str">
            <v>3/8" Hex AM 9015 20</v>
          </cell>
          <cell r="E342">
            <v>5</v>
          </cell>
          <cell r="F342">
            <v>4</v>
          </cell>
        </row>
        <row r="343">
          <cell r="D343" t="str">
            <v>3/8" Hex AM 9015 21</v>
          </cell>
          <cell r="E343">
            <v>5</v>
          </cell>
          <cell r="F343">
            <v>4</v>
          </cell>
        </row>
        <row r="344">
          <cell r="D344" t="str">
            <v>3/8" Hex AM 9015 25</v>
          </cell>
          <cell r="E344">
            <v>5</v>
          </cell>
          <cell r="F344">
            <v>3</v>
          </cell>
        </row>
        <row r="345">
          <cell r="D345" t="str">
            <v>3/8" Hex AM 9015 27</v>
          </cell>
          <cell r="E345">
            <v>4</v>
          </cell>
          <cell r="F345">
            <v>3</v>
          </cell>
        </row>
        <row r="346">
          <cell r="D346" t="str">
            <v>3/8" Hex AM 9015 28</v>
          </cell>
          <cell r="E346">
            <v>4</v>
          </cell>
          <cell r="F346">
            <v>3</v>
          </cell>
        </row>
        <row r="347">
          <cell r="D347" t="str">
            <v>3/8" Hex AM 9015 30</v>
          </cell>
          <cell r="E347">
            <v>4</v>
          </cell>
          <cell r="F347">
            <v>3</v>
          </cell>
        </row>
        <row r="348">
          <cell r="D348" t="str">
            <v>3/8" Hex AM 9015 35</v>
          </cell>
          <cell r="E348">
            <v>3</v>
          </cell>
          <cell r="F348">
            <v>1</v>
          </cell>
        </row>
        <row r="349">
          <cell r="D349" t="str">
            <v>3/8" Hex AM 9015 36</v>
          </cell>
          <cell r="E349">
            <v>3</v>
          </cell>
          <cell r="F349">
            <v>1</v>
          </cell>
        </row>
        <row r="350">
          <cell r="D350" t="str">
            <v>3/8" Hex AM 9015 40</v>
          </cell>
          <cell r="E350">
            <v>3</v>
          </cell>
          <cell r="F350">
            <v>1</v>
          </cell>
        </row>
        <row r="351">
          <cell r="D351" t="str">
            <v>3/8" Hex AM 9015 45</v>
          </cell>
          <cell r="E351">
            <v>1</v>
          </cell>
          <cell r="F351">
            <v>1</v>
          </cell>
        </row>
        <row r="352">
          <cell r="D352" t="str">
            <v>3/8" Hex AM 9015 49</v>
          </cell>
          <cell r="E352">
            <v>1</v>
          </cell>
          <cell r="F352">
            <v>1</v>
          </cell>
        </row>
        <row r="353">
          <cell r="D353" t="str">
            <v>3/8" Hex AM 9015 50</v>
          </cell>
          <cell r="E353">
            <v>1</v>
          </cell>
          <cell r="F353">
            <v>1</v>
          </cell>
        </row>
        <row r="354">
          <cell r="D354" t="str">
            <v>3/8" Hex AM 9015 63</v>
          </cell>
          <cell r="E354">
            <v>1</v>
          </cell>
          <cell r="F354">
            <v>1</v>
          </cell>
        </row>
        <row r="355">
          <cell r="D355" t="str">
            <v>3/8" Hex AM 9015 70</v>
          </cell>
          <cell r="E355">
            <v>1</v>
          </cell>
          <cell r="F355">
            <v>1</v>
          </cell>
        </row>
        <row r="356">
          <cell r="D356" t="str">
            <v>3/8" Hex AM 9015 81</v>
          </cell>
          <cell r="E356">
            <v>1</v>
          </cell>
          <cell r="F356">
            <v>1</v>
          </cell>
        </row>
        <row r="357">
          <cell r="D357" t="str">
            <v>3/8" Hex AM 9015 90</v>
          </cell>
          <cell r="E357">
            <v>1</v>
          </cell>
          <cell r="F357">
            <v>1</v>
          </cell>
        </row>
        <row r="358">
          <cell r="D358" t="str">
            <v>3/8" Hex AM 9015 100</v>
          </cell>
          <cell r="E358">
            <v>1</v>
          </cell>
          <cell r="F358">
            <v>0</v>
          </cell>
        </row>
        <row r="359">
          <cell r="D359" t="str">
            <v>3/8" Hex NeveRest 9</v>
          </cell>
          <cell r="E359">
            <v>10</v>
          </cell>
          <cell r="F359">
            <v>10</v>
          </cell>
        </row>
        <row r="360">
          <cell r="D360" t="str">
            <v>3/8" Hex NeveRest 12</v>
          </cell>
          <cell r="E360">
            <v>10</v>
          </cell>
          <cell r="F360">
            <v>10</v>
          </cell>
        </row>
        <row r="361">
          <cell r="D361" t="str">
            <v>3/8" Hex NeveRest 15</v>
          </cell>
          <cell r="E361">
            <v>7</v>
          </cell>
          <cell r="F361">
            <v>10</v>
          </cell>
        </row>
        <row r="362">
          <cell r="D362" t="str">
            <v>3/8" Hex NeveRest 16</v>
          </cell>
          <cell r="E362">
            <v>7</v>
          </cell>
          <cell r="F362">
            <v>10</v>
          </cell>
        </row>
        <row r="363">
          <cell r="D363" t="str">
            <v>3/8" Hex NeveRest 20</v>
          </cell>
          <cell r="E363">
            <v>5</v>
          </cell>
          <cell r="F363">
            <v>10</v>
          </cell>
        </row>
        <row r="364">
          <cell r="D364" t="str">
            <v>3/8" Hex NeveRest 21</v>
          </cell>
          <cell r="E364">
            <v>5</v>
          </cell>
          <cell r="F364">
            <v>9</v>
          </cell>
        </row>
        <row r="365">
          <cell r="D365" t="str">
            <v>3/8" Hex NeveRest 25</v>
          </cell>
          <cell r="E365">
            <v>5</v>
          </cell>
          <cell r="F365">
            <v>7</v>
          </cell>
        </row>
        <row r="366">
          <cell r="D366" t="str">
            <v>3/8" Hex NeveRest 27</v>
          </cell>
          <cell r="E366">
            <v>4</v>
          </cell>
          <cell r="F366">
            <v>7</v>
          </cell>
        </row>
        <row r="367">
          <cell r="D367" t="str">
            <v>3/8" Hex NeveRest 28</v>
          </cell>
          <cell r="E367">
            <v>4</v>
          </cell>
          <cell r="F367">
            <v>7</v>
          </cell>
        </row>
        <row r="368">
          <cell r="D368" t="str">
            <v>3/8" Hex NeveRest 30</v>
          </cell>
          <cell r="E368">
            <v>4</v>
          </cell>
          <cell r="F368">
            <v>5</v>
          </cell>
        </row>
        <row r="369">
          <cell r="D369" t="str">
            <v>3/8" Hex NeveRest 35</v>
          </cell>
          <cell r="E369">
            <v>3</v>
          </cell>
          <cell r="F369">
            <v>5</v>
          </cell>
        </row>
        <row r="370">
          <cell r="D370" t="str">
            <v>3/8" Hex NeveRest 36</v>
          </cell>
          <cell r="E370">
            <v>3</v>
          </cell>
          <cell r="F370">
            <v>5</v>
          </cell>
        </row>
        <row r="371">
          <cell r="D371" t="str">
            <v>3/8" Hex NeveRest 40</v>
          </cell>
          <cell r="E371">
            <v>3</v>
          </cell>
          <cell r="F371">
            <v>5</v>
          </cell>
        </row>
        <row r="372">
          <cell r="D372" t="str">
            <v>3/8" Hex NeveRest 45</v>
          </cell>
          <cell r="E372">
            <v>1</v>
          </cell>
          <cell r="F372">
            <v>4</v>
          </cell>
        </row>
        <row r="373">
          <cell r="D373" t="str">
            <v>3/8" Hex NeveRest 49</v>
          </cell>
          <cell r="E373">
            <v>1</v>
          </cell>
          <cell r="F373">
            <v>4</v>
          </cell>
        </row>
        <row r="374">
          <cell r="D374" t="str">
            <v>3/8" Hex NeveRest 50</v>
          </cell>
          <cell r="E374">
            <v>1</v>
          </cell>
          <cell r="F374">
            <v>4</v>
          </cell>
        </row>
        <row r="375">
          <cell r="D375" t="str">
            <v>3/8" Hex NeveRest 63</v>
          </cell>
          <cell r="E375">
            <v>1</v>
          </cell>
          <cell r="F375">
            <v>3</v>
          </cell>
        </row>
        <row r="376">
          <cell r="D376" t="str">
            <v>3/8" Hex NeveRest 70</v>
          </cell>
          <cell r="E376">
            <v>1</v>
          </cell>
          <cell r="F376">
            <v>1</v>
          </cell>
        </row>
        <row r="377">
          <cell r="D377" t="str">
            <v>3/8" Hex NeveRest 81</v>
          </cell>
          <cell r="E377">
            <v>1</v>
          </cell>
          <cell r="F377">
            <v>1</v>
          </cell>
        </row>
        <row r="378">
          <cell r="D378" t="str">
            <v>3/8" Hex NeveRest 90</v>
          </cell>
          <cell r="E378">
            <v>1</v>
          </cell>
          <cell r="F378">
            <v>1</v>
          </cell>
        </row>
        <row r="379">
          <cell r="D379" t="str">
            <v>3/8" Hex NeveRest 100</v>
          </cell>
          <cell r="E379">
            <v>1</v>
          </cell>
          <cell r="F379">
            <v>1</v>
          </cell>
        </row>
        <row r="380">
          <cell r="D380" t="str">
            <v>3/8" Hex BB RS-550 9</v>
          </cell>
          <cell r="E380">
            <v>10</v>
          </cell>
          <cell r="F380">
            <v>10</v>
          </cell>
        </row>
        <row r="381">
          <cell r="D381" t="str">
            <v>3/8" Hex BB RS-550 12</v>
          </cell>
          <cell r="E381">
            <v>10</v>
          </cell>
          <cell r="F381">
            <v>7</v>
          </cell>
        </row>
        <row r="382">
          <cell r="D382" t="str">
            <v>3/8" Hex BB RS-550 15</v>
          </cell>
          <cell r="E382">
            <v>7</v>
          </cell>
          <cell r="F382">
            <v>5</v>
          </cell>
        </row>
        <row r="383">
          <cell r="D383" t="str">
            <v>3/8" Hex BB RS-550 16</v>
          </cell>
          <cell r="E383">
            <v>7</v>
          </cell>
          <cell r="F383">
            <v>5</v>
          </cell>
        </row>
        <row r="384">
          <cell r="D384" t="str">
            <v>3/8" Hex BB RS-550 20</v>
          </cell>
          <cell r="E384">
            <v>5</v>
          </cell>
          <cell r="F384">
            <v>4</v>
          </cell>
        </row>
        <row r="385">
          <cell r="D385" t="str">
            <v>3/8" Hex BB RS-550 21</v>
          </cell>
          <cell r="E385">
            <v>5</v>
          </cell>
          <cell r="F385">
            <v>4</v>
          </cell>
        </row>
        <row r="386">
          <cell r="D386" t="str">
            <v>3/8" Hex BB RS-550 25</v>
          </cell>
          <cell r="E386">
            <v>5</v>
          </cell>
          <cell r="F386">
            <v>3</v>
          </cell>
        </row>
        <row r="387">
          <cell r="D387" t="str">
            <v>3/8" Hex BB RS-550 27</v>
          </cell>
          <cell r="E387">
            <v>4</v>
          </cell>
          <cell r="F387">
            <v>3</v>
          </cell>
        </row>
        <row r="388">
          <cell r="D388" t="str">
            <v>3/8" Hex BB RS-550 28</v>
          </cell>
          <cell r="E388">
            <v>4</v>
          </cell>
          <cell r="F388">
            <v>3</v>
          </cell>
        </row>
        <row r="389">
          <cell r="D389" t="str">
            <v>3/8" Hex BB RS-550 30</v>
          </cell>
          <cell r="E389">
            <v>4</v>
          </cell>
          <cell r="F389">
            <v>3</v>
          </cell>
        </row>
        <row r="390">
          <cell r="D390" t="str">
            <v>3/8" Hex BB RS-550 35</v>
          </cell>
          <cell r="E390">
            <v>3</v>
          </cell>
          <cell r="F390">
            <v>1</v>
          </cell>
        </row>
        <row r="391">
          <cell r="D391" t="str">
            <v>3/8" Hex BB RS-550 36</v>
          </cell>
          <cell r="E391">
            <v>3</v>
          </cell>
          <cell r="F391">
            <v>1</v>
          </cell>
        </row>
        <row r="392">
          <cell r="D392" t="str">
            <v>3/8" Hex BB RS-550 40</v>
          </cell>
          <cell r="E392">
            <v>3</v>
          </cell>
          <cell r="F392">
            <v>5</v>
          </cell>
        </row>
        <row r="393">
          <cell r="D393" t="str">
            <v>3/8" Hex BB RS-550 45</v>
          </cell>
          <cell r="E393">
            <v>1</v>
          </cell>
          <cell r="F393">
            <v>4</v>
          </cell>
        </row>
        <row r="394">
          <cell r="D394" t="str">
            <v>3/8" Hex BB RS-550 49</v>
          </cell>
          <cell r="E394">
            <v>1</v>
          </cell>
          <cell r="F394">
            <v>4</v>
          </cell>
        </row>
        <row r="395">
          <cell r="D395" t="str">
            <v>3/8" Hex BB RS-550 50</v>
          </cell>
          <cell r="E395">
            <v>1</v>
          </cell>
          <cell r="F395">
            <v>1</v>
          </cell>
        </row>
        <row r="396">
          <cell r="D396" t="str">
            <v>3/8" Hex BB RS-550 63</v>
          </cell>
          <cell r="E396">
            <v>1</v>
          </cell>
          <cell r="F396">
            <v>1</v>
          </cell>
        </row>
        <row r="397">
          <cell r="D397" t="str">
            <v>3/8" Hex BB RS-550 70</v>
          </cell>
          <cell r="E397">
            <v>1</v>
          </cell>
          <cell r="F397">
            <v>1</v>
          </cell>
        </row>
        <row r="398">
          <cell r="D398" t="str">
            <v>3/8" Hex BB RS-550 81</v>
          </cell>
          <cell r="E398">
            <v>1</v>
          </cell>
          <cell r="F398">
            <v>1</v>
          </cell>
        </row>
        <row r="399">
          <cell r="D399" t="str">
            <v>3/8" Hex BB RS-550 90</v>
          </cell>
          <cell r="E399">
            <v>1</v>
          </cell>
          <cell r="F399">
            <v>1</v>
          </cell>
        </row>
        <row r="400">
          <cell r="D400" t="str">
            <v>3/8" Hex BB RS-550 100</v>
          </cell>
          <cell r="E400">
            <v>1</v>
          </cell>
          <cell r="F400">
            <v>0</v>
          </cell>
        </row>
        <row r="401">
          <cell r="D401" t="str">
            <v>3/8" Hex BB RS-775 9</v>
          </cell>
          <cell r="E401">
            <v>7</v>
          </cell>
          <cell r="F401">
            <v>10</v>
          </cell>
        </row>
        <row r="402">
          <cell r="D402" t="str">
            <v>3/8" Hex BB RS-775 12</v>
          </cell>
          <cell r="E402">
            <v>5</v>
          </cell>
          <cell r="F402">
            <v>10</v>
          </cell>
        </row>
        <row r="403">
          <cell r="D403" t="str">
            <v>3/8" Hex BB RS-775 15</v>
          </cell>
          <cell r="E403">
            <v>4</v>
          </cell>
          <cell r="F403">
            <v>7</v>
          </cell>
        </row>
        <row r="404">
          <cell r="D404" t="str">
            <v>3/8" Hex BB RS-775 16</v>
          </cell>
          <cell r="E404">
            <v>4</v>
          </cell>
          <cell r="F404">
            <v>7</v>
          </cell>
        </row>
        <row r="405">
          <cell r="D405" t="str">
            <v>3/8" Hex BB RS-775 20</v>
          </cell>
          <cell r="E405">
            <v>3</v>
          </cell>
          <cell r="F405">
            <v>5</v>
          </cell>
        </row>
        <row r="406">
          <cell r="D406" t="str">
            <v>3/8" Hex BB RS-775 21</v>
          </cell>
          <cell r="E406">
            <v>3</v>
          </cell>
          <cell r="F406">
            <v>5</v>
          </cell>
        </row>
        <row r="407">
          <cell r="D407" t="str">
            <v>3/8" Hex BB RS-775 25</v>
          </cell>
          <cell r="E407">
            <v>1</v>
          </cell>
          <cell r="F407">
            <v>5</v>
          </cell>
        </row>
        <row r="408">
          <cell r="D408" t="str">
            <v>3/8" Hex BB RS-775 27</v>
          </cell>
          <cell r="E408">
            <v>1</v>
          </cell>
          <cell r="F408">
            <v>4</v>
          </cell>
        </row>
        <row r="409">
          <cell r="D409" t="str">
            <v>3/8" Hex BB RS-775 28</v>
          </cell>
          <cell r="E409">
            <v>1</v>
          </cell>
          <cell r="F409">
            <v>4</v>
          </cell>
        </row>
        <row r="410">
          <cell r="D410" t="str">
            <v>3/8" Hex BB RS-775 30</v>
          </cell>
          <cell r="E410">
            <v>1</v>
          </cell>
          <cell r="F410">
            <v>4</v>
          </cell>
        </row>
        <row r="411">
          <cell r="D411" t="str">
            <v>3/8" Hex BB RS-775 35</v>
          </cell>
          <cell r="E411">
            <v>1</v>
          </cell>
          <cell r="F411">
            <v>3</v>
          </cell>
        </row>
        <row r="412">
          <cell r="D412" t="str">
            <v>3/8" Hex BB RS-775 36</v>
          </cell>
          <cell r="E412">
            <v>1</v>
          </cell>
          <cell r="F412">
            <v>3</v>
          </cell>
        </row>
        <row r="413">
          <cell r="D413" t="str">
            <v>3/8" Hex BB RS-775 40</v>
          </cell>
          <cell r="E413">
            <v>1</v>
          </cell>
          <cell r="F413">
            <v>3</v>
          </cell>
        </row>
        <row r="414">
          <cell r="D414" t="str">
            <v>3/8" Hex BB RS-775 45</v>
          </cell>
          <cell r="E414">
            <v>1</v>
          </cell>
          <cell r="F414">
            <v>1</v>
          </cell>
        </row>
        <row r="415">
          <cell r="D415" t="str">
            <v>3/8" Hex BB RS-775 49</v>
          </cell>
          <cell r="E415">
            <v>1</v>
          </cell>
          <cell r="F415">
            <v>1</v>
          </cell>
        </row>
        <row r="416">
          <cell r="D416" t="str">
            <v>3/8" Hex BB RS-775 50</v>
          </cell>
          <cell r="E416">
            <v>1</v>
          </cell>
          <cell r="F416">
            <v>1</v>
          </cell>
        </row>
        <row r="417">
          <cell r="D417" t="str">
            <v>3/8" Hex BB RS-775 63</v>
          </cell>
          <cell r="E417">
            <v>1</v>
          </cell>
          <cell r="F417">
            <v>1</v>
          </cell>
        </row>
        <row r="418">
          <cell r="D418" t="str">
            <v>3/8" Hex BB RS-775 70</v>
          </cell>
          <cell r="E418">
            <v>1</v>
          </cell>
          <cell r="F418">
            <v>1</v>
          </cell>
        </row>
        <row r="419">
          <cell r="D419" t="str">
            <v>3/8" Hex BB RS-775 81</v>
          </cell>
          <cell r="E419">
            <v>0</v>
          </cell>
          <cell r="F419">
            <v>1</v>
          </cell>
        </row>
        <row r="420">
          <cell r="D420" t="str">
            <v>3/8" Hex BB RS-775 90</v>
          </cell>
          <cell r="E420">
            <v>0</v>
          </cell>
          <cell r="F420">
            <v>1</v>
          </cell>
        </row>
        <row r="421">
          <cell r="D421" t="str">
            <v>3/8" Hex BB RS-775 100</v>
          </cell>
          <cell r="E421">
            <v>0</v>
          </cell>
          <cell r="F421">
            <v>1</v>
          </cell>
        </row>
        <row r="422">
          <cell r="D422" t="str">
            <v>3/8" Hex BAG 9</v>
          </cell>
          <cell r="E422">
            <v>10</v>
          </cell>
          <cell r="F422">
            <v>9</v>
          </cell>
        </row>
        <row r="423">
          <cell r="D423" t="str">
            <v>3/8" Hex BAG 12</v>
          </cell>
          <cell r="E423">
            <v>10</v>
          </cell>
          <cell r="F423">
            <v>5</v>
          </cell>
        </row>
        <row r="424">
          <cell r="D424" t="str">
            <v>3/8" Hex BAG 15</v>
          </cell>
          <cell r="E424">
            <v>7</v>
          </cell>
          <cell r="F424">
            <v>5</v>
          </cell>
        </row>
        <row r="425">
          <cell r="D425" t="str">
            <v>3/8" Hex BAG 16</v>
          </cell>
          <cell r="E425">
            <v>7</v>
          </cell>
          <cell r="F425">
            <v>5</v>
          </cell>
        </row>
        <row r="426">
          <cell r="D426" t="str">
            <v>3/8" Hex BAG 20</v>
          </cell>
          <cell r="E426">
            <v>5</v>
          </cell>
          <cell r="F426">
            <v>4</v>
          </cell>
        </row>
        <row r="427">
          <cell r="D427" t="str">
            <v>3/8" Hex BAG 21</v>
          </cell>
          <cell r="E427">
            <v>5</v>
          </cell>
          <cell r="F427">
            <v>3</v>
          </cell>
        </row>
        <row r="428">
          <cell r="D428" t="str">
            <v>3/8" Hex BAG 25</v>
          </cell>
          <cell r="E428">
            <v>5</v>
          </cell>
          <cell r="F428">
            <v>3</v>
          </cell>
        </row>
        <row r="429">
          <cell r="D429" t="str">
            <v>3/8" Hex BAG 27</v>
          </cell>
          <cell r="E429">
            <v>4</v>
          </cell>
          <cell r="F429">
            <v>3</v>
          </cell>
        </row>
        <row r="430">
          <cell r="D430" t="str">
            <v>3/8" Hex BAG 28</v>
          </cell>
          <cell r="E430">
            <v>4</v>
          </cell>
          <cell r="F430">
            <v>1</v>
          </cell>
        </row>
        <row r="431">
          <cell r="D431" t="str">
            <v>3/8" Hex BAG 30</v>
          </cell>
          <cell r="E431">
            <v>4</v>
          </cell>
          <cell r="F431">
            <v>1</v>
          </cell>
        </row>
        <row r="432">
          <cell r="D432" t="str">
            <v>3/8" Hex BAG 35</v>
          </cell>
          <cell r="E432">
            <v>3</v>
          </cell>
          <cell r="F432">
            <v>1</v>
          </cell>
        </row>
        <row r="433">
          <cell r="D433" t="str">
            <v>3/8" Hex BAG 36</v>
          </cell>
          <cell r="E433">
            <v>3</v>
          </cell>
          <cell r="F433">
            <v>1</v>
          </cell>
        </row>
        <row r="434">
          <cell r="D434" t="str">
            <v>3/8" Hex BAG 40</v>
          </cell>
          <cell r="E434">
            <v>3</v>
          </cell>
          <cell r="F434">
            <v>1</v>
          </cell>
        </row>
        <row r="435">
          <cell r="D435" t="str">
            <v>3/8" Hex BAG 45</v>
          </cell>
          <cell r="E435">
            <v>1</v>
          </cell>
          <cell r="F435">
            <v>1</v>
          </cell>
        </row>
        <row r="436">
          <cell r="D436" t="str">
            <v>3/8" Hex BAG 49</v>
          </cell>
          <cell r="E436">
            <v>1</v>
          </cell>
          <cell r="F436">
            <v>1</v>
          </cell>
        </row>
        <row r="437">
          <cell r="D437" t="str">
            <v>3/8" Hex BAG 50</v>
          </cell>
          <cell r="E437">
            <v>1</v>
          </cell>
          <cell r="F437">
            <v>1</v>
          </cell>
        </row>
        <row r="438">
          <cell r="D438" t="str">
            <v>3/8" Hex BAG 63</v>
          </cell>
          <cell r="E438">
            <v>1</v>
          </cell>
          <cell r="F438">
            <v>1</v>
          </cell>
        </row>
        <row r="439">
          <cell r="D439" t="str">
            <v>3/8" Hex BAG 70</v>
          </cell>
          <cell r="E439">
            <v>1</v>
          </cell>
          <cell r="F439">
            <v>1</v>
          </cell>
        </row>
        <row r="440">
          <cell r="D440" t="str">
            <v>3/8" Hex BAG 81</v>
          </cell>
          <cell r="E440">
            <v>1</v>
          </cell>
          <cell r="F440">
            <v>1</v>
          </cell>
        </row>
        <row r="441">
          <cell r="D441" t="str">
            <v>3/8" Hex BAG 90</v>
          </cell>
          <cell r="E441">
            <v>1</v>
          </cell>
          <cell r="F441">
            <v>0</v>
          </cell>
        </row>
        <row r="442">
          <cell r="D442" t="str">
            <v>3/8" Hex BAG 100</v>
          </cell>
          <cell r="E442">
            <v>1</v>
          </cell>
          <cell r="F442">
            <v>0</v>
          </cell>
        </row>
        <row r="443">
          <cell r="D443" t="str">
            <v>3/8" Hex Mini CIM 9</v>
          </cell>
          <cell r="E443">
            <v>4</v>
          </cell>
          <cell r="F443">
            <v>0</v>
          </cell>
        </row>
        <row r="444">
          <cell r="D444" t="str">
            <v>3/8" Hex Mini CIM 12</v>
          </cell>
          <cell r="E444">
            <v>3</v>
          </cell>
          <cell r="F444">
            <v>0</v>
          </cell>
        </row>
        <row r="445">
          <cell r="D445" t="str">
            <v>3/8" Hex Mini CIM 15</v>
          </cell>
          <cell r="E445">
            <v>1</v>
          </cell>
          <cell r="F445">
            <v>0</v>
          </cell>
        </row>
        <row r="446">
          <cell r="D446" t="str">
            <v>3/8" Hex Mini CIM 16</v>
          </cell>
          <cell r="E446">
            <v>1</v>
          </cell>
          <cell r="F446">
            <v>0</v>
          </cell>
        </row>
        <row r="447">
          <cell r="D447" t="str">
            <v>3/8" Hex Mini CIM 20</v>
          </cell>
          <cell r="E447">
            <v>1</v>
          </cell>
          <cell r="F447">
            <v>0</v>
          </cell>
        </row>
        <row r="448">
          <cell r="D448" t="str">
            <v>3/8" Hex Mini CIM 21</v>
          </cell>
          <cell r="E448">
            <v>1</v>
          </cell>
          <cell r="F448">
            <v>0</v>
          </cell>
        </row>
        <row r="449">
          <cell r="D449" t="str">
            <v>3/8" Hex Mini CIM 25</v>
          </cell>
          <cell r="E449">
            <v>1</v>
          </cell>
          <cell r="F449">
            <v>0</v>
          </cell>
        </row>
        <row r="450">
          <cell r="D450" t="str">
            <v>3/8" Hex Mini CIM 27</v>
          </cell>
          <cell r="E450">
            <v>1</v>
          </cell>
          <cell r="F450">
            <v>0</v>
          </cell>
        </row>
        <row r="451">
          <cell r="D451" t="str">
            <v>3/8" Hex Mini CIM 28</v>
          </cell>
          <cell r="E451">
            <v>1</v>
          </cell>
          <cell r="F451">
            <v>0</v>
          </cell>
        </row>
        <row r="452">
          <cell r="D452" t="str">
            <v>3/8" Hex Mini CIM 30</v>
          </cell>
          <cell r="E452">
            <v>1</v>
          </cell>
          <cell r="F452">
            <v>0</v>
          </cell>
        </row>
        <row r="453">
          <cell r="D453" t="str">
            <v>3/8" Hex Mini CIM 35</v>
          </cell>
          <cell r="E453">
            <v>1</v>
          </cell>
          <cell r="F453">
            <v>0</v>
          </cell>
        </row>
        <row r="454">
          <cell r="D454" t="str">
            <v>3/8" Hex Mini CIM 36</v>
          </cell>
          <cell r="E454">
            <v>1</v>
          </cell>
          <cell r="F454">
            <v>0</v>
          </cell>
        </row>
        <row r="455">
          <cell r="D455" t="str">
            <v>3/8" Hex Mini CIM 40</v>
          </cell>
          <cell r="E455">
            <v>1</v>
          </cell>
          <cell r="F455">
            <v>0</v>
          </cell>
        </row>
        <row r="456">
          <cell r="D456" t="str">
            <v>3/8" Hex Mini CIM 45</v>
          </cell>
          <cell r="E456">
            <v>0</v>
          </cell>
          <cell r="F456">
            <v>0</v>
          </cell>
        </row>
        <row r="457">
          <cell r="D457" t="str">
            <v>3/8" Hex Mini CIM 49</v>
          </cell>
          <cell r="E457">
            <v>0</v>
          </cell>
          <cell r="F457">
            <v>0</v>
          </cell>
        </row>
        <row r="458">
          <cell r="D458" t="str">
            <v>3/8" Hex Mini CIM 50</v>
          </cell>
          <cell r="E458">
            <v>0</v>
          </cell>
          <cell r="F458">
            <v>0</v>
          </cell>
        </row>
        <row r="459">
          <cell r="D459" t="str">
            <v>3/8" Hex Mini CIM 63</v>
          </cell>
          <cell r="E459">
            <v>0</v>
          </cell>
          <cell r="F459">
            <v>0</v>
          </cell>
        </row>
        <row r="460">
          <cell r="D460" t="str">
            <v>3/8" Hex Mini CIM 70</v>
          </cell>
          <cell r="E460">
            <v>0</v>
          </cell>
          <cell r="F460">
            <v>0</v>
          </cell>
        </row>
        <row r="461">
          <cell r="D461" t="str">
            <v>3/8" Hex Mini CIM 81</v>
          </cell>
          <cell r="E461">
            <v>0</v>
          </cell>
          <cell r="F461">
            <v>0</v>
          </cell>
        </row>
        <row r="462">
          <cell r="D462" t="str">
            <v>3/8" Hex Mini CIM 90</v>
          </cell>
          <cell r="E462">
            <v>0</v>
          </cell>
          <cell r="F462">
            <v>0</v>
          </cell>
        </row>
        <row r="463">
          <cell r="D463" t="str">
            <v>3/8" Hex Mini CIM 100</v>
          </cell>
          <cell r="E463">
            <v>0</v>
          </cell>
          <cell r="F463">
            <v>0</v>
          </cell>
        </row>
        <row r="464">
          <cell r="D464" t="str">
            <v>3/8" Hex CIM 9</v>
          </cell>
          <cell r="E464">
            <v>1</v>
          </cell>
          <cell r="F464">
            <v>0</v>
          </cell>
        </row>
        <row r="465">
          <cell r="D465" t="str">
            <v>3/8" Hex CIM 12</v>
          </cell>
          <cell r="E465">
            <v>1</v>
          </cell>
          <cell r="F465">
            <v>0</v>
          </cell>
        </row>
        <row r="466">
          <cell r="D466" t="str">
            <v>3/8" Hex CIM 15</v>
          </cell>
          <cell r="E466">
            <v>1</v>
          </cell>
          <cell r="F466">
            <v>0</v>
          </cell>
        </row>
        <row r="467">
          <cell r="D467" t="str">
            <v>3/8" Hex CIM 16</v>
          </cell>
          <cell r="E467">
            <v>1</v>
          </cell>
          <cell r="F467">
            <v>0</v>
          </cell>
        </row>
        <row r="468">
          <cell r="D468" t="str">
            <v>3/8" Hex CIM 20</v>
          </cell>
          <cell r="E468">
            <v>1</v>
          </cell>
          <cell r="F468">
            <v>0</v>
          </cell>
        </row>
        <row r="469">
          <cell r="D469" t="str">
            <v>3/8" Hex CIM 21</v>
          </cell>
          <cell r="E469">
            <v>1</v>
          </cell>
          <cell r="F469">
            <v>0</v>
          </cell>
        </row>
        <row r="470">
          <cell r="D470" t="str">
            <v>3/8" Hex CIM 25</v>
          </cell>
          <cell r="E470">
            <v>0</v>
          </cell>
          <cell r="F470">
            <v>0</v>
          </cell>
        </row>
        <row r="471">
          <cell r="D471" t="str">
            <v>3/8" Hex CIM 27</v>
          </cell>
          <cell r="E471">
            <v>0</v>
          </cell>
          <cell r="F471">
            <v>0</v>
          </cell>
        </row>
        <row r="472">
          <cell r="D472" t="str">
            <v>3/8" Hex CIM 28</v>
          </cell>
          <cell r="E472">
            <v>0</v>
          </cell>
          <cell r="F472">
            <v>0</v>
          </cell>
        </row>
        <row r="473">
          <cell r="D473" t="str">
            <v>3/8" Hex CIM 30</v>
          </cell>
          <cell r="E473">
            <v>0</v>
          </cell>
          <cell r="F473">
            <v>0</v>
          </cell>
        </row>
        <row r="474">
          <cell r="D474" t="str">
            <v>3/8" Hex CIM 35</v>
          </cell>
          <cell r="E474">
            <v>0</v>
          </cell>
          <cell r="F474">
            <v>0</v>
          </cell>
        </row>
        <row r="475">
          <cell r="D475" t="str">
            <v>3/8" Hex CIM 36</v>
          </cell>
          <cell r="E475">
            <v>0</v>
          </cell>
          <cell r="F475">
            <v>0</v>
          </cell>
        </row>
        <row r="476">
          <cell r="D476" t="str">
            <v>3/8" Hex CIM 40</v>
          </cell>
          <cell r="E476">
            <v>0</v>
          </cell>
          <cell r="F476">
            <v>0</v>
          </cell>
        </row>
        <row r="477">
          <cell r="D477" t="str">
            <v>3/8" Hex CIM 45</v>
          </cell>
          <cell r="E477">
            <v>0</v>
          </cell>
          <cell r="F477">
            <v>0</v>
          </cell>
        </row>
        <row r="478">
          <cell r="D478" t="str">
            <v>3/8" Hex CIM 49</v>
          </cell>
          <cell r="E478">
            <v>0</v>
          </cell>
          <cell r="F478">
            <v>0</v>
          </cell>
        </row>
        <row r="479">
          <cell r="D479" t="str">
            <v>3/8" Hex CIM 50</v>
          </cell>
          <cell r="E479">
            <v>0</v>
          </cell>
          <cell r="F479">
            <v>0</v>
          </cell>
        </row>
        <row r="480">
          <cell r="D480" t="str">
            <v>3/8" Hex CIM 63</v>
          </cell>
          <cell r="E480">
            <v>0</v>
          </cell>
          <cell r="F480">
            <v>0</v>
          </cell>
        </row>
        <row r="481">
          <cell r="D481" t="str">
            <v>3/8" Hex CIM 70</v>
          </cell>
          <cell r="E481">
            <v>0</v>
          </cell>
          <cell r="F481">
            <v>0</v>
          </cell>
        </row>
        <row r="482">
          <cell r="D482" t="str">
            <v>3/8" Hex CIM 81</v>
          </cell>
          <cell r="E482">
            <v>0</v>
          </cell>
          <cell r="F482">
            <v>0</v>
          </cell>
        </row>
        <row r="483">
          <cell r="D483" t="str">
            <v>3/8" Hex CIM 90</v>
          </cell>
          <cell r="E483">
            <v>0</v>
          </cell>
          <cell r="F483">
            <v>0</v>
          </cell>
        </row>
        <row r="484">
          <cell r="D484" t="str">
            <v>3/8" Hex CIM 100</v>
          </cell>
          <cell r="E484">
            <v>0</v>
          </cell>
          <cell r="F484">
            <v>0</v>
          </cell>
        </row>
        <row r="485">
          <cell r="D485" t="str">
            <v>3/8" Hex 775pro 9</v>
          </cell>
          <cell r="E485">
            <v>7</v>
          </cell>
          <cell r="F485">
            <v>5</v>
          </cell>
        </row>
        <row r="486">
          <cell r="D486" t="str">
            <v>3/8" Hex 775pro 12</v>
          </cell>
          <cell r="E486">
            <v>5</v>
          </cell>
          <cell r="F486">
            <v>4</v>
          </cell>
        </row>
        <row r="487">
          <cell r="D487" t="str">
            <v>3/8" Hex 775pro 15</v>
          </cell>
          <cell r="E487">
            <v>5</v>
          </cell>
          <cell r="F487">
            <v>3</v>
          </cell>
        </row>
        <row r="488">
          <cell r="D488" t="str">
            <v>3/8" Hex 775pro 16</v>
          </cell>
          <cell r="E488">
            <v>4</v>
          </cell>
          <cell r="F488">
            <v>3</v>
          </cell>
        </row>
        <row r="489">
          <cell r="D489" t="str">
            <v>3/8" Hex 775pro 20</v>
          </cell>
          <cell r="E489">
            <v>3</v>
          </cell>
          <cell r="F489">
            <v>1</v>
          </cell>
        </row>
        <row r="490">
          <cell r="D490" t="str">
            <v>3/8" Hex 775pro 21</v>
          </cell>
          <cell r="E490">
            <v>3</v>
          </cell>
          <cell r="F490">
            <v>1</v>
          </cell>
        </row>
        <row r="491">
          <cell r="D491" t="str">
            <v>3/8" Hex 775pro 25</v>
          </cell>
          <cell r="E491">
            <v>3</v>
          </cell>
          <cell r="F491">
            <v>1</v>
          </cell>
        </row>
        <row r="492">
          <cell r="D492" t="str">
            <v>3/8" Hex 775pro 27</v>
          </cell>
          <cell r="E492">
            <v>1</v>
          </cell>
          <cell r="F492">
            <v>1</v>
          </cell>
        </row>
        <row r="493">
          <cell r="D493" t="str">
            <v>3/8" Hex 775pro 28</v>
          </cell>
          <cell r="E493">
            <v>1</v>
          </cell>
          <cell r="F493">
            <v>1</v>
          </cell>
        </row>
        <row r="494">
          <cell r="D494" t="str">
            <v>3/8" Hex 775pro 30</v>
          </cell>
          <cell r="E494">
            <v>1</v>
          </cell>
          <cell r="F494">
            <v>1</v>
          </cell>
        </row>
        <row r="495">
          <cell r="D495" t="str">
            <v>3/8" Hex 775pro 35</v>
          </cell>
          <cell r="E495">
            <v>1</v>
          </cell>
          <cell r="F495">
            <v>1</v>
          </cell>
        </row>
        <row r="496">
          <cell r="D496" t="str">
            <v>3/8" Hex 775pro 36</v>
          </cell>
          <cell r="E496">
            <v>1</v>
          </cell>
          <cell r="F496">
            <v>1</v>
          </cell>
        </row>
        <row r="497">
          <cell r="D497" t="str">
            <v>3/8" Hex 775pro 40</v>
          </cell>
          <cell r="E497">
            <v>1</v>
          </cell>
          <cell r="F497">
            <v>1</v>
          </cell>
        </row>
        <row r="498">
          <cell r="D498" t="str">
            <v>3/8" Hex 775pro 45</v>
          </cell>
          <cell r="E498">
            <v>1</v>
          </cell>
          <cell r="F498">
            <v>1</v>
          </cell>
        </row>
        <row r="499">
          <cell r="D499" t="str">
            <v>3/8" Hex 775pro 49</v>
          </cell>
          <cell r="E499">
            <v>1</v>
          </cell>
          <cell r="F499">
            <v>1</v>
          </cell>
        </row>
        <row r="500">
          <cell r="D500" t="str">
            <v>3/8" Hex 775pro 50</v>
          </cell>
          <cell r="E500">
            <v>1</v>
          </cell>
          <cell r="F500">
            <v>0</v>
          </cell>
        </row>
        <row r="501">
          <cell r="D501" t="str">
            <v>3/8" Hex 775pro 63</v>
          </cell>
          <cell r="E501">
            <v>1</v>
          </cell>
          <cell r="F501">
            <v>0</v>
          </cell>
        </row>
        <row r="502">
          <cell r="D502" t="str">
            <v>3/8" Hex 775pro 70</v>
          </cell>
          <cell r="E502">
            <v>1</v>
          </cell>
          <cell r="F502">
            <v>0</v>
          </cell>
        </row>
        <row r="503">
          <cell r="D503" t="str">
            <v>3/8" Hex 775pro 81</v>
          </cell>
          <cell r="E503">
            <v>0</v>
          </cell>
          <cell r="F503">
            <v>0</v>
          </cell>
        </row>
        <row r="504">
          <cell r="D504" t="str">
            <v>3/8" Hex 775pro 90</v>
          </cell>
          <cell r="E504">
            <v>0</v>
          </cell>
          <cell r="F504">
            <v>0</v>
          </cell>
        </row>
        <row r="505">
          <cell r="D505" t="str">
            <v>3/8" Hex 775pro 100</v>
          </cell>
          <cell r="E505">
            <v>0</v>
          </cell>
          <cell r="F505">
            <v>0</v>
          </cell>
        </row>
        <row r="506">
          <cell r="D506" t="str">
            <v>CIM Motor AM 9015 9</v>
          </cell>
          <cell r="E506">
            <v>7</v>
          </cell>
          <cell r="F506">
            <v>7</v>
          </cell>
        </row>
        <row r="507">
          <cell r="D507" t="str">
            <v>CIM Motor AM 9015 12</v>
          </cell>
          <cell r="E507">
            <v>5</v>
          </cell>
          <cell r="F507">
            <v>5</v>
          </cell>
        </row>
        <row r="508">
          <cell r="D508" t="str">
            <v>CIM Motor AM 9015 15</v>
          </cell>
          <cell r="E508">
            <v>4</v>
          </cell>
          <cell r="F508">
            <v>5</v>
          </cell>
        </row>
        <row r="509">
          <cell r="D509" t="str">
            <v>CIM Motor AM 9015 16</v>
          </cell>
          <cell r="E509">
            <v>4</v>
          </cell>
          <cell r="F509">
            <v>5</v>
          </cell>
        </row>
        <row r="510">
          <cell r="D510" t="str">
            <v>CIM Motor AM 9015 20</v>
          </cell>
          <cell r="E510">
            <v>3</v>
          </cell>
          <cell r="F510">
            <v>4</v>
          </cell>
        </row>
        <row r="511">
          <cell r="D511" t="str">
            <v>CIM Motor AM 9015 21</v>
          </cell>
          <cell r="E511">
            <v>3</v>
          </cell>
          <cell r="F511">
            <v>3</v>
          </cell>
        </row>
        <row r="512">
          <cell r="D512" t="str">
            <v>CIM Motor AM 9015 25</v>
          </cell>
          <cell r="E512">
            <v>1</v>
          </cell>
          <cell r="F512">
            <v>3</v>
          </cell>
        </row>
        <row r="513">
          <cell r="D513" t="str">
            <v>CIM Motor AM 9015 27</v>
          </cell>
          <cell r="E513">
            <v>1</v>
          </cell>
          <cell r="F513">
            <v>1</v>
          </cell>
        </row>
        <row r="514">
          <cell r="D514" t="str">
            <v>CIM Motor AM 9015 28</v>
          </cell>
          <cell r="E514">
            <v>1</v>
          </cell>
          <cell r="F514">
            <v>1</v>
          </cell>
        </row>
        <row r="515">
          <cell r="D515" t="str">
            <v>CIM Motor AM 9015 30</v>
          </cell>
          <cell r="E515">
            <v>1</v>
          </cell>
          <cell r="F515">
            <v>1</v>
          </cell>
        </row>
        <row r="516">
          <cell r="D516" t="str">
            <v>CIM Motor AM 9015 35</v>
          </cell>
          <cell r="E516">
            <v>1</v>
          </cell>
          <cell r="F516">
            <v>1</v>
          </cell>
        </row>
        <row r="517">
          <cell r="D517" t="str">
            <v>CIM Motor AM 9015 36</v>
          </cell>
          <cell r="E517">
            <v>1</v>
          </cell>
          <cell r="F517">
            <v>1</v>
          </cell>
        </row>
        <row r="518">
          <cell r="D518" t="str">
            <v>CIM Motor AM 9015 40</v>
          </cell>
          <cell r="E518">
            <v>1</v>
          </cell>
          <cell r="F518">
            <v>1</v>
          </cell>
        </row>
        <row r="519">
          <cell r="D519" t="str">
            <v>CIM Motor AM 9015 45</v>
          </cell>
          <cell r="E519">
            <v>1</v>
          </cell>
          <cell r="F519">
            <v>1</v>
          </cell>
        </row>
        <row r="520">
          <cell r="D520" t="str">
            <v>CIM Motor AM 9015 49</v>
          </cell>
          <cell r="E520">
            <v>1</v>
          </cell>
          <cell r="F520">
            <v>1</v>
          </cell>
        </row>
        <row r="521">
          <cell r="D521" t="str">
            <v>CIM Motor AM 9015 50</v>
          </cell>
          <cell r="E521">
            <v>1</v>
          </cell>
          <cell r="F521">
            <v>1</v>
          </cell>
        </row>
        <row r="522">
          <cell r="D522" t="str">
            <v>CIM Motor AM 9015 63</v>
          </cell>
          <cell r="E522">
            <v>1</v>
          </cell>
          <cell r="F522">
            <v>1</v>
          </cell>
        </row>
        <row r="523">
          <cell r="D523" t="str">
            <v>CIM Motor AM 9015 70</v>
          </cell>
          <cell r="E523">
            <v>0</v>
          </cell>
          <cell r="F523">
            <v>1</v>
          </cell>
        </row>
        <row r="524">
          <cell r="D524" t="str">
            <v>CIM Motor AM 9015 81</v>
          </cell>
          <cell r="E524">
            <v>0</v>
          </cell>
          <cell r="F524">
            <v>0</v>
          </cell>
        </row>
        <row r="525">
          <cell r="D525" t="str">
            <v>CIM Motor AM 9015 90</v>
          </cell>
          <cell r="E525">
            <v>0</v>
          </cell>
          <cell r="F525">
            <v>0</v>
          </cell>
        </row>
        <row r="526">
          <cell r="D526" t="str">
            <v>CIM Motor AM 9015 100</v>
          </cell>
          <cell r="E526">
            <v>0</v>
          </cell>
          <cell r="F526">
            <v>0</v>
          </cell>
        </row>
        <row r="527">
          <cell r="D527" t="str">
            <v>CIM Motor NeveRest 9</v>
          </cell>
          <cell r="E527">
            <v>5</v>
          </cell>
          <cell r="F527">
            <v>10</v>
          </cell>
        </row>
        <row r="528">
          <cell r="D528" t="str">
            <v>CIM Motor NeveRest 12</v>
          </cell>
          <cell r="E528">
            <v>4</v>
          </cell>
          <cell r="F528">
            <v>10</v>
          </cell>
        </row>
        <row r="529">
          <cell r="D529" t="str">
            <v>CIM Motor NeveRest 15</v>
          </cell>
          <cell r="E529">
            <v>3</v>
          </cell>
          <cell r="F529">
            <v>10</v>
          </cell>
        </row>
        <row r="530">
          <cell r="D530" t="str">
            <v>CIM Motor NeveRest 16</v>
          </cell>
          <cell r="E530">
            <v>3</v>
          </cell>
          <cell r="F530">
            <v>10</v>
          </cell>
        </row>
        <row r="531">
          <cell r="D531" t="str">
            <v>CIM Motor NeveRest 20</v>
          </cell>
          <cell r="E531">
            <v>1</v>
          </cell>
          <cell r="F531">
            <v>7</v>
          </cell>
        </row>
        <row r="532">
          <cell r="D532" t="str">
            <v>CIM Motor NeveRest 21</v>
          </cell>
          <cell r="E532">
            <v>1</v>
          </cell>
          <cell r="F532">
            <v>7</v>
          </cell>
        </row>
        <row r="533">
          <cell r="D533" t="str">
            <v>CIM Motor NeveRest 25</v>
          </cell>
          <cell r="E533">
            <v>1</v>
          </cell>
          <cell r="F533">
            <v>5</v>
          </cell>
        </row>
        <row r="534">
          <cell r="D534" t="str">
            <v>CIM Motor NeveRest 27</v>
          </cell>
          <cell r="E534">
            <v>1</v>
          </cell>
          <cell r="F534">
            <v>5</v>
          </cell>
        </row>
        <row r="535">
          <cell r="D535" t="str">
            <v>CIM Motor NeveRest 28</v>
          </cell>
          <cell r="E535">
            <v>1</v>
          </cell>
          <cell r="F535">
            <v>5</v>
          </cell>
        </row>
        <row r="536">
          <cell r="D536" t="str">
            <v>CIM Motor NeveRest 30</v>
          </cell>
          <cell r="E536">
            <v>1</v>
          </cell>
          <cell r="F536">
            <v>5</v>
          </cell>
        </row>
        <row r="537">
          <cell r="D537" t="str">
            <v>CIM Motor NeveRest 35</v>
          </cell>
          <cell r="E537">
            <v>1</v>
          </cell>
          <cell r="F537">
            <v>4</v>
          </cell>
        </row>
        <row r="538">
          <cell r="D538" t="str">
            <v>CIM Motor NeveRest 36</v>
          </cell>
          <cell r="E538">
            <v>1</v>
          </cell>
          <cell r="F538">
            <v>4</v>
          </cell>
        </row>
        <row r="539">
          <cell r="D539" t="str">
            <v>CIM Motor NeveRest 40</v>
          </cell>
          <cell r="E539">
            <v>1</v>
          </cell>
          <cell r="F539">
            <v>4</v>
          </cell>
        </row>
        <row r="540">
          <cell r="D540" t="str">
            <v>CIM Motor NeveRest 45</v>
          </cell>
          <cell r="E540">
            <v>1</v>
          </cell>
          <cell r="F540">
            <v>3</v>
          </cell>
        </row>
        <row r="541">
          <cell r="D541" t="str">
            <v>CIM Motor NeveRest 49</v>
          </cell>
          <cell r="E541">
            <v>1</v>
          </cell>
          <cell r="F541">
            <v>3</v>
          </cell>
        </row>
        <row r="542">
          <cell r="D542" t="str">
            <v>CIM Motor NeveRest 50</v>
          </cell>
          <cell r="E542">
            <v>1</v>
          </cell>
          <cell r="F542">
            <v>3</v>
          </cell>
        </row>
        <row r="543">
          <cell r="D543" t="str">
            <v>CIM Motor NeveRest 63</v>
          </cell>
          <cell r="E543">
            <v>0</v>
          </cell>
          <cell r="F543">
            <v>1</v>
          </cell>
        </row>
        <row r="544">
          <cell r="D544" t="str">
            <v>CIM Motor NeveRest 70</v>
          </cell>
          <cell r="E544">
            <v>0</v>
          </cell>
          <cell r="F544">
            <v>1</v>
          </cell>
        </row>
        <row r="545">
          <cell r="D545" t="str">
            <v>CIM Motor NeveRest 81</v>
          </cell>
          <cell r="E545">
            <v>0</v>
          </cell>
          <cell r="F545">
            <v>1</v>
          </cell>
        </row>
        <row r="546">
          <cell r="D546" t="str">
            <v>CIM Motor NeveRest 90</v>
          </cell>
          <cell r="E546">
            <v>0</v>
          </cell>
          <cell r="F546">
            <v>1</v>
          </cell>
        </row>
        <row r="547">
          <cell r="D547" t="str">
            <v>CIM Motor NeveRest 100</v>
          </cell>
          <cell r="E547">
            <v>0</v>
          </cell>
          <cell r="F547">
            <v>1</v>
          </cell>
        </row>
        <row r="548">
          <cell r="D548" t="str">
            <v>CIM Motor BB RS-550 9</v>
          </cell>
          <cell r="E548">
            <v>5</v>
          </cell>
          <cell r="F548">
            <v>7</v>
          </cell>
        </row>
        <row r="549">
          <cell r="D549" t="str">
            <v>CIM Motor BB RS-550 12</v>
          </cell>
          <cell r="E549">
            <v>4</v>
          </cell>
          <cell r="F549">
            <v>5</v>
          </cell>
        </row>
        <row r="550">
          <cell r="D550" t="str">
            <v>CIM Motor BB RS-550 15</v>
          </cell>
          <cell r="E550">
            <v>3</v>
          </cell>
          <cell r="F550">
            <v>5</v>
          </cell>
        </row>
        <row r="551">
          <cell r="D551" t="str">
            <v>CIM Motor BB RS-550 16</v>
          </cell>
          <cell r="E551">
            <v>3</v>
          </cell>
          <cell r="F551">
            <v>5</v>
          </cell>
        </row>
        <row r="552">
          <cell r="D552" t="str">
            <v>CIM Motor BB RS-550 20</v>
          </cell>
          <cell r="E552">
            <v>1</v>
          </cell>
          <cell r="F552">
            <v>4</v>
          </cell>
        </row>
        <row r="553">
          <cell r="D553" t="str">
            <v>CIM Motor BB RS-550 21</v>
          </cell>
          <cell r="E553">
            <v>1</v>
          </cell>
          <cell r="F553">
            <v>3</v>
          </cell>
        </row>
        <row r="554">
          <cell r="D554" t="str">
            <v>CIM Motor BB RS-550 25</v>
          </cell>
          <cell r="E554">
            <v>1</v>
          </cell>
          <cell r="F554">
            <v>3</v>
          </cell>
        </row>
        <row r="555">
          <cell r="D555" t="str">
            <v>CIM Motor BB RS-550 27</v>
          </cell>
          <cell r="E555">
            <v>1</v>
          </cell>
          <cell r="F555">
            <v>1</v>
          </cell>
        </row>
        <row r="556">
          <cell r="D556" t="str">
            <v>CIM Motor BB RS-550 28</v>
          </cell>
          <cell r="E556">
            <v>1</v>
          </cell>
          <cell r="F556">
            <v>1</v>
          </cell>
        </row>
        <row r="557">
          <cell r="D557" t="str">
            <v>CIM Motor BB RS-550 30</v>
          </cell>
          <cell r="E557">
            <v>1</v>
          </cell>
          <cell r="F557">
            <v>1</v>
          </cell>
        </row>
        <row r="558">
          <cell r="D558" t="str">
            <v>CIM Motor BB RS-550 35</v>
          </cell>
          <cell r="E558">
            <v>1</v>
          </cell>
          <cell r="F558">
            <v>1</v>
          </cell>
        </row>
        <row r="559">
          <cell r="D559" t="str">
            <v>CIM Motor BB RS-550 36</v>
          </cell>
          <cell r="E559">
            <v>1</v>
          </cell>
          <cell r="F559">
            <v>1</v>
          </cell>
        </row>
        <row r="560">
          <cell r="D560" t="str">
            <v>CIM Motor BB RS-550 40</v>
          </cell>
          <cell r="E560">
            <v>1</v>
          </cell>
          <cell r="F560">
            <v>1</v>
          </cell>
        </row>
        <row r="561">
          <cell r="D561" t="str">
            <v>CIM Motor BB RS-550 45</v>
          </cell>
          <cell r="E561">
            <v>1</v>
          </cell>
          <cell r="F561">
            <v>1</v>
          </cell>
        </row>
        <row r="562">
          <cell r="D562" t="str">
            <v>CIM Motor BB RS-550 49</v>
          </cell>
          <cell r="E562">
            <v>1</v>
          </cell>
          <cell r="F562">
            <v>1</v>
          </cell>
        </row>
        <row r="563">
          <cell r="D563" t="str">
            <v>CIM Motor BB RS-550 50</v>
          </cell>
          <cell r="E563">
            <v>1</v>
          </cell>
          <cell r="F563">
            <v>1</v>
          </cell>
        </row>
        <row r="564">
          <cell r="D564" t="str">
            <v>CIM Motor BB RS-550 63</v>
          </cell>
          <cell r="E564">
            <v>0</v>
          </cell>
          <cell r="F564">
            <v>1</v>
          </cell>
        </row>
        <row r="565">
          <cell r="D565" t="str">
            <v>CIM Motor BB RS-550 70</v>
          </cell>
          <cell r="E565">
            <v>0</v>
          </cell>
          <cell r="F565">
            <v>1</v>
          </cell>
        </row>
        <row r="566">
          <cell r="D566" t="str">
            <v>CIM Motor BB RS-550 81</v>
          </cell>
          <cell r="E566">
            <v>0</v>
          </cell>
          <cell r="F566">
            <v>0</v>
          </cell>
        </row>
        <row r="567">
          <cell r="D567" t="str">
            <v>CIM Motor BB RS-550 90</v>
          </cell>
          <cell r="E567">
            <v>0</v>
          </cell>
          <cell r="F567">
            <v>0</v>
          </cell>
        </row>
        <row r="568">
          <cell r="D568" t="str">
            <v>CIM Motor BB RS-550 100</v>
          </cell>
          <cell r="E568">
            <v>0</v>
          </cell>
          <cell r="F568">
            <v>0</v>
          </cell>
        </row>
        <row r="569">
          <cell r="D569" t="str">
            <v>CIM Motor BB RS-775 9</v>
          </cell>
          <cell r="E569">
            <v>4</v>
          </cell>
          <cell r="F569">
            <v>7</v>
          </cell>
        </row>
        <row r="570">
          <cell r="D570" t="str">
            <v>CIM Motor BB RS-775 12</v>
          </cell>
          <cell r="E570">
            <v>3</v>
          </cell>
          <cell r="F570">
            <v>5</v>
          </cell>
        </row>
        <row r="571">
          <cell r="D571" t="str">
            <v>CIM Motor BB RS-775 15</v>
          </cell>
          <cell r="E571">
            <v>1</v>
          </cell>
          <cell r="F571">
            <v>5</v>
          </cell>
        </row>
        <row r="572">
          <cell r="D572" t="str">
            <v>CIM Motor BB RS-775 16</v>
          </cell>
          <cell r="E572">
            <v>1</v>
          </cell>
          <cell r="F572">
            <v>5</v>
          </cell>
        </row>
        <row r="573">
          <cell r="D573" t="str">
            <v>CIM Motor BB RS-775 20</v>
          </cell>
          <cell r="E573">
            <v>1</v>
          </cell>
          <cell r="F573">
            <v>4</v>
          </cell>
        </row>
        <row r="574">
          <cell r="D574" t="str">
            <v>CIM Motor BB RS-775 21</v>
          </cell>
          <cell r="E574">
            <v>1</v>
          </cell>
          <cell r="F574">
            <v>3</v>
          </cell>
        </row>
        <row r="575">
          <cell r="D575" t="str">
            <v>CIM Motor BB RS-775 25</v>
          </cell>
          <cell r="E575">
            <v>1</v>
          </cell>
          <cell r="F575">
            <v>3</v>
          </cell>
        </row>
        <row r="576">
          <cell r="D576" t="str">
            <v>CIM Motor BB RS-775 27</v>
          </cell>
          <cell r="E576">
            <v>1</v>
          </cell>
          <cell r="F576">
            <v>1</v>
          </cell>
        </row>
        <row r="577">
          <cell r="D577" t="str">
            <v>CIM Motor BB RS-775 28</v>
          </cell>
          <cell r="E577">
            <v>1</v>
          </cell>
          <cell r="F577">
            <v>1</v>
          </cell>
        </row>
        <row r="578">
          <cell r="D578" t="str">
            <v>CIM Motor BB RS-775 30</v>
          </cell>
          <cell r="E578">
            <v>1</v>
          </cell>
          <cell r="F578">
            <v>1</v>
          </cell>
        </row>
        <row r="579">
          <cell r="D579" t="str">
            <v>CIM Motor BB RS-775 35</v>
          </cell>
          <cell r="E579">
            <v>1</v>
          </cell>
          <cell r="F579">
            <v>1</v>
          </cell>
        </row>
        <row r="580">
          <cell r="D580" t="str">
            <v>CIM Motor BB RS-775 36</v>
          </cell>
          <cell r="E580">
            <v>1</v>
          </cell>
          <cell r="F580">
            <v>1</v>
          </cell>
        </row>
        <row r="581">
          <cell r="D581" t="str">
            <v>CIM Motor BB RS-775 40</v>
          </cell>
          <cell r="E581">
            <v>0</v>
          </cell>
          <cell r="F581">
            <v>1</v>
          </cell>
        </row>
        <row r="582">
          <cell r="D582" t="str">
            <v>CIM Motor BB RS-775 45</v>
          </cell>
          <cell r="E582">
            <v>0</v>
          </cell>
          <cell r="F582">
            <v>1</v>
          </cell>
        </row>
        <row r="583">
          <cell r="D583" t="str">
            <v>CIM Motor BB RS-775 49</v>
          </cell>
          <cell r="E583">
            <v>0</v>
          </cell>
          <cell r="F583">
            <v>1</v>
          </cell>
        </row>
        <row r="584">
          <cell r="D584" t="str">
            <v>CIM Motor BB RS-775 50</v>
          </cell>
          <cell r="E584">
            <v>0</v>
          </cell>
          <cell r="F584">
            <v>1</v>
          </cell>
        </row>
        <row r="585">
          <cell r="D585" t="str">
            <v>CIM Motor BB RS-775 63</v>
          </cell>
          <cell r="E585">
            <v>0</v>
          </cell>
          <cell r="F585">
            <v>1</v>
          </cell>
        </row>
        <row r="586">
          <cell r="D586" t="str">
            <v>CIM Motor BB RS-775 70</v>
          </cell>
          <cell r="E586">
            <v>0</v>
          </cell>
          <cell r="F586">
            <v>1</v>
          </cell>
        </row>
        <row r="587">
          <cell r="D587" t="str">
            <v>CIM Motor BB RS-775 81</v>
          </cell>
          <cell r="E587">
            <v>0</v>
          </cell>
          <cell r="F587">
            <v>1</v>
          </cell>
        </row>
        <row r="588">
          <cell r="D588" t="str">
            <v>CIM Motor BB RS-775 90</v>
          </cell>
          <cell r="E588">
            <v>0</v>
          </cell>
          <cell r="F588">
            <v>1</v>
          </cell>
        </row>
        <row r="589">
          <cell r="D589" t="str">
            <v>CIM Motor BB RS-775 100</v>
          </cell>
          <cell r="E589">
            <v>0</v>
          </cell>
          <cell r="F589">
            <v>1</v>
          </cell>
        </row>
        <row r="590">
          <cell r="D590" t="str">
            <v>CIM Motor BAG 9</v>
          </cell>
          <cell r="E590">
            <v>7</v>
          </cell>
          <cell r="F590">
            <v>7</v>
          </cell>
        </row>
        <row r="591">
          <cell r="D591" t="str">
            <v>CIM Motor BAG 12</v>
          </cell>
          <cell r="E591">
            <v>5</v>
          </cell>
          <cell r="F591">
            <v>5</v>
          </cell>
        </row>
        <row r="592">
          <cell r="D592" t="str">
            <v>CIM Motor BAG 15</v>
          </cell>
          <cell r="E592">
            <v>4</v>
          </cell>
          <cell r="F592">
            <v>4</v>
          </cell>
        </row>
        <row r="593">
          <cell r="D593" t="str">
            <v>CIM Motor BAG 16</v>
          </cell>
          <cell r="E593">
            <v>4</v>
          </cell>
          <cell r="F593">
            <v>4</v>
          </cell>
        </row>
        <row r="594">
          <cell r="D594" t="str">
            <v>CIM Motor BAG 20</v>
          </cell>
          <cell r="E594">
            <v>3</v>
          </cell>
          <cell r="F594">
            <v>3</v>
          </cell>
        </row>
        <row r="595">
          <cell r="D595" t="str">
            <v>CIM Motor BAG 21</v>
          </cell>
          <cell r="E595">
            <v>3</v>
          </cell>
          <cell r="F595">
            <v>3</v>
          </cell>
        </row>
        <row r="596">
          <cell r="D596" t="str">
            <v>CIM Motor BAG 25</v>
          </cell>
          <cell r="E596">
            <v>1</v>
          </cell>
          <cell r="F596">
            <v>1</v>
          </cell>
        </row>
        <row r="597">
          <cell r="D597" t="str">
            <v>CIM Motor BAG 27</v>
          </cell>
          <cell r="E597">
            <v>1</v>
          </cell>
          <cell r="F597">
            <v>1</v>
          </cell>
        </row>
        <row r="598">
          <cell r="D598" t="str">
            <v>CIM Motor BAG 28</v>
          </cell>
          <cell r="E598">
            <v>1</v>
          </cell>
          <cell r="F598">
            <v>1</v>
          </cell>
        </row>
        <row r="599">
          <cell r="D599" t="str">
            <v>CIM Motor BAG 30</v>
          </cell>
          <cell r="E599">
            <v>1</v>
          </cell>
          <cell r="F599">
            <v>1</v>
          </cell>
        </row>
        <row r="600">
          <cell r="D600" t="str">
            <v>CIM Motor BAG 35</v>
          </cell>
          <cell r="E600">
            <v>1</v>
          </cell>
          <cell r="F600">
            <v>1</v>
          </cell>
        </row>
        <row r="601">
          <cell r="D601" t="str">
            <v>CIM Motor BAG 36</v>
          </cell>
          <cell r="E601">
            <v>1</v>
          </cell>
          <cell r="F601">
            <v>1</v>
          </cell>
        </row>
        <row r="602">
          <cell r="D602" t="str">
            <v>CIM Motor BAG 40</v>
          </cell>
          <cell r="E602">
            <v>1</v>
          </cell>
          <cell r="F602">
            <v>1</v>
          </cell>
        </row>
        <row r="603">
          <cell r="D603" t="str">
            <v>CIM Motor BAG 45</v>
          </cell>
          <cell r="E603">
            <v>1</v>
          </cell>
          <cell r="F603">
            <v>1</v>
          </cell>
        </row>
        <row r="604">
          <cell r="D604" t="str">
            <v>CIM Motor BAG 49</v>
          </cell>
          <cell r="E604">
            <v>1</v>
          </cell>
          <cell r="F604">
            <v>1</v>
          </cell>
        </row>
        <row r="605">
          <cell r="D605" t="str">
            <v>CIM Motor BAG 50</v>
          </cell>
          <cell r="E605">
            <v>1</v>
          </cell>
          <cell r="F605">
            <v>1</v>
          </cell>
        </row>
        <row r="606">
          <cell r="D606" t="str">
            <v>CIM Motor BAG 63</v>
          </cell>
          <cell r="E606">
            <v>1</v>
          </cell>
          <cell r="F606">
            <v>1</v>
          </cell>
        </row>
        <row r="607">
          <cell r="D607" t="str">
            <v>CIM Motor BAG 70</v>
          </cell>
          <cell r="E607">
            <v>1</v>
          </cell>
          <cell r="F607">
            <v>0</v>
          </cell>
        </row>
        <row r="608">
          <cell r="D608" t="str">
            <v>CIM Motor BAG 81</v>
          </cell>
          <cell r="E608">
            <v>1</v>
          </cell>
          <cell r="F608">
            <v>0</v>
          </cell>
        </row>
        <row r="609">
          <cell r="D609" t="str">
            <v>CIM Motor BAG 90</v>
          </cell>
          <cell r="E609">
            <v>1</v>
          </cell>
          <cell r="F609">
            <v>0</v>
          </cell>
        </row>
        <row r="610">
          <cell r="D610" t="str">
            <v>CIM Motor BAG 100</v>
          </cell>
          <cell r="E610">
            <v>1</v>
          </cell>
          <cell r="F610">
            <v>0</v>
          </cell>
        </row>
        <row r="611">
          <cell r="D611" t="str">
            <v>CIM Motor Mini CIM 9</v>
          </cell>
          <cell r="E611">
            <v>1</v>
          </cell>
          <cell r="F611">
            <v>0</v>
          </cell>
        </row>
        <row r="612">
          <cell r="D612" t="str">
            <v>CIM Motor Mini CIM 12</v>
          </cell>
          <cell r="E612">
            <v>1</v>
          </cell>
          <cell r="F612">
            <v>0</v>
          </cell>
        </row>
        <row r="613">
          <cell r="D613" t="str">
            <v>CIM Motor Mini CIM 15</v>
          </cell>
          <cell r="E613">
            <v>1</v>
          </cell>
          <cell r="F613">
            <v>0</v>
          </cell>
        </row>
        <row r="614">
          <cell r="D614" t="str">
            <v>CIM Motor Mini CIM 16</v>
          </cell>
          <cell r="E614">
            <v>1</v>
          </cell>
          <cell r="F614">
            <v>0</v>
          </cell>
        </row>
        <row r="615">
          <cell r="D615" t="str">
            <v>CIM Motor Mini CIM 20</v>
          </cell>
          <cell r="E615">
            <v>1</v>
          </cell>
          <cell r="F615">
            <v>0</v>
          </cell>
        </row>
        <row r="616">
          <cell r="D616" t="str">
            <v>CIM Motor Mini CIM 21</v>
          </cell>
          <cell r="E616">
            <v>1</v>
          </cell>
          <cell r="F616">
            <v>0</v>
          </cell>
        </row>
        <row r="617">
          <cell r="D617" t="str">
            <v>CIM Motor Mini CIM 25</v>
          </cell>
          <cell r="E617">
            <v>1</v>
          </cell>
          <cell r="F617">
            <v>0</v>
          </cell>
        </row>
        <row r="618">
          <cell r="D618" t="str">
            <v>CIM Motor Mini CIM 27</v>
          </cell>
          <cell r="E618">
            <v>1</v>
          </cell>
          <cell r="F618">
            <v>0</v>
          </cell>
        </row>
        <row r="619">
          <cell r="D619" t="str">
            <v>CIM Motor Mini CIM 28</v>
          </cell>
          <cell r="E619">
            <v>1</v>
          </cell>
          <cell r="F619">
            <v>0</v>
          </cell>
        </row>
        <row r="620">
          <cell r="D620" t="str">
            <v>CIM Motor Mini CIM 30</v>
          </cell>
          <cell r="E620">
            <v>1</v>
          </cell>
          <cell r="F620">
            <v>0</v>
          </cell>
        </row>
        <row r="621">
          <cell r="D621" t="str">
            <v>CIM Motor Mini CIM 35</v>
          </cell>
          <cell r="E621">
            <v>0</v>
          </cell>
          <cell r="F621">
            <v>0</v>
          </cell>
        </row>
        <row r="622">
          <cell r="D622" t="str">
            <v>CIM Motor Mini CIM 36</v>
          </cell>
          <cell r="E622">
            <v>0</v>
          </cell>
          <cell r="F622">
            <v>0</v>
          </cell>
        </row>
        <row r="623">
          <cell r="D623" t="str">
            <v>CIM Motor Mini CIM 40</v>
          </cell>
          <cell r="E623">
            <v>0</v>
          </cell>
          <cell r="F623">
            <v>0</v>
          </cell>
        </row>
        <row r="624">
          <cell r="D624" t="str">
            <v>CIM Motor Mini CIM 45</v>
          </cell>
          <cell r="E624">
            <v>0</v>
          </cell>
          <cell r="F624">
            <v>0</v>
          </cell>
        </row>
        <row r="625">
          <cell r="D625" t="str">
            <v>CIM Motor Mini CIM 49</v>
          </cell>
          <cell r="E625">
            <v>0</v>
          </cell>
          <cell r="F625">
            <v>0</v>
          </cell>
        </row>
        <row r="626">
          <cell r="D626" t="str">
            <v>CIM Motor Mini CIM 50</v>
          </cell>
          <cell r="E626">
            <v>0</v>
          </cell>
          <cell r="F626">
            <v>0</v>
          </cell>
        </row>
        <row r="627">
          <cell r="D627" t="str">
            <v>CIM Motor Mini CIM 63</v>
          </cell>
          <cell r="E627">
            <v>0</v>
          </cell>
          <cell r="F627">
            <v>0</v>
          </cell>
        </row>
        <row r="628">
          <cell r="D628" t="str">
            <v>CIM Motor Mini CIM 70</v>
          </cell>
          <cell r="E628">
            <v>0</v>
          </cell>
          <cell r="F628">
            <v>0</v>
          </cell>
        </row>
        <row r="629">
          <cell r="D629" t="str">
            <v>CIM Motor Mini CIM 81</v>
          </cell>
          <cell r="E629">
            <v>0</v>
          </cell>
          <cell r="F629">
            <v>0</v>
          </cell>
        </row>
        <row r="630">
          <cell r="D630" t="str">
            <v>CIM Motor Mini CIM 90</v>
          </cell>
          <cell r="E630">
            <v>0</v>
          </cell>
          <cell r="F630">
            <v>0</v>
          </cell>
        </row>
        <row r="631">
          <cell r="D631" t="str">
            <v>CIM Motor Mini CIM 100</v>
          </cell>
          <cell r="E631">
            <v>0</v>
          </cell>
          <cell r="F631">
            <v>0</v>
          </cell>
        </row>
        <row r="632">
          <cell r="D632" t="str">
            <v>CIM Motor CIM 9</v>
          </cell>
          <cell r="E632">
            <v>1</v>
          </cell>
          <cell r="F632">
            <v>0</v>
          </cell>
        </row>
        <row r="633">
          <cell r="D633" t="str">
            <v>CIM Motor CIM 12</v>
          </cell>
          <cell r="E633">
            <v>1</v>
          </cell>
          <cell r="F633">
            <v>0</v>
          </cell>
        </row>
        <row r="634">
          <cell r="D634" t="str">
            <v>CIM Motor CIM 15</v>
          </cell>
          <cell r="E634">
            <v>0</v>
          </cell>
          <cell r="F634">
            <v>0</v>
          </cell>
        </row>
        <row r="635">
          <cell r="D635" t="str">
            <v>CIM Motor CIM 16</v>
          </cell>
          <cell r="E635">
            <v>0</v>
          </cell>
          <cell r="F635">
            <v>0</v>
          </cell>
        </row>
        <row r="636">
          <cell r="D636" t="str">
            <v>CIM Motor CIM 20</v>
          </cell>
          <cell r="E636">
            <v>0</v>
          </cell>
          <cell r="F636">
            <v>0</v>
          </cell>
        </row>
        <row r="637">
          <cell r="D637" t="str">
            <v>CIM Motor CIM 21</v>
          </cell>
          <cell r="E637">
            <v>0</v>
          </cell>
          <cell r="F637">
            <v>0</v>
          </cell>
        </row>
        <row r="638">
          <cell r="D638" t="str">
            <v>CIM Motor CIM 25</v>
          </cell>
          <cell r="E638">
            <v>0</v>
          </cell>
          <cell r="F638">
            <v>0</v>
          </cell>
        </row>
        <row r="639">
          <cell r="D639" t="str">
            <v>CIM Motor CIM 27</v>
          </cell>
          <cell r="E639">
            <v>0</v>
          </cell>
          <cell r="F639">
            <v>0</v>
          </cell>
        </row>
        <row r="640">
          <cell r="D640" t="str">
            <v>CIM Motor CIM 28</v>
          </cell>
          <cell r="E640">
            <v>0</v>
          </cell>
          <cell r="F640">
            <v>0</v>
          </cell>
        </row>
        <row r="641">
          <cell r="D641" t="str">
            <v>CIM Motor CIM 30</v>
          </cell>
          <cell r="E641">
            <v>0</v>
          </cell>
          <cell r="F641">
            <v>0</v>
          </cell>
        </row>
        <row r="642">
          <cell r="D642" t="str">
            <v>CIM Motor CIM 35</v>
          </cell>
          <cell r="E642">
            <v>0</v>
          </cell>
          <cell r="F642">
            <v>0</v>
          </cell>
        </row>
        <row r="643">
          <cell r="D643" t="str">
            <v>CIM Motor CIM 36</v>
          </cell>
          <cell r="E643">
            <v>0</v>
          </cell>
          <cell r="F643">
            <v>0</v>
          </cell>
        </row>
        <row r="644">
          <cell r="D644" t="str">
            <v>CIM Motor CIM 40</v>
          </cell>
          <cell r="E644">
            <v>0</v>
          </cell>
          <cell r="F644">
            <v>0</v>
          </cell>
        </row>
        <row r="645">
          <cell r="D645" t="str">
            <v>CIM Motor CIM 45</v>
          </cell>
          <cell r="E645">
            <v>0</v>
          </cell>
          <cell r="F645">
            <v>0</v>
          </cell>
        </row>
        <row r="646">
          <cell r="D646" t="str">
            <v>CIM Motor CIM 49</v>
          </cell>
          <cell r="E646">
            <v>0</v>
          </cell>
          <cell r="F646">
            <v>0</v>
          </cell>
        </row>
        <row r="647">
          <cell r="D647" t="str">
            <v>CIM Motor CIM 50</v>
          </cell>
          <cell r="E647">
            <v>0</v>
          </cell>
          <cell r="F647">
            <v>0</v>
          </cell>
        </row>
        <row r="648">
          <cell r="D648" t="str">
            <v>CIM Motor CIM 63</v>
          </cell>
          <cell r="E648">
            <v>0</v>
          </cell>
          <cell r="F648">
            <v>0</v>
          </cell>
        </row>
        <row r="649">
          <cell r="D649" t="str">
            <v>CIM Motor CIM 70</v>
          </cell>
          <cell r="E649">
            <v>0</v>
          </cell>
          <cell r="F649">
            <v>0</v>
          </cell>
        </row>
        <row r="650">
          <cell r="D650" t="str">
            <v>CIM Motor CIM 81</v>
          </cell>
          <cell r="E650">
            <v>0</v>
          </cell>
          <cell r="F650">
            <v>0</v>
          </cell>
        </row>
        <row r="651">
          <cell r="D651" t="str">
            <v>CIM Motor CIM 90</v>
          </cell>
          <cell r="E651">
            <v>0</v>
          </cell>
          <cell r="F651">
            <v>0</v>
          </cell>
        </row>
        <row r="652">
          <cell r="D652" t="str">
            <v>CIM Motor CIM 100</v>
          </cell>
          <cell r="E652">
            <v>0</v>
          </cell>
          <cell r="F652">
            <v>0</v>
          </cell>
        </row>
        <row r="653">
          <cell r="D653" t="str">
            <v>CIM Motor 775pro 9</v>
          </cell>
          <cell r="E653">
            <v>4</v>
          </cell>
          <cell r="F653">
            <v>4</v>
          </cell>
        </row>
        <row r="654">
          <cell r="D654" t="str">
            <v>CIM Motor 775pro 12</v>
          </cell>
          <cell r="E654">
            <v>3</v>
          </cell>
          <cell r="F654">
            <v>3</v>
          </cell>
        </row>
        <row r="655">
          <cell r="D655" t="str">
            <v>CIM Motor 775pro 15</v>
          </cell>
          <cell r="E655">
            <v>1</v>
          </cell>
          <cell r="F655">
            <v>1</v>
          </cell>
        </row>
        <row r="656">
          <cell r="D656" t="str">
            <v>CIM Motor 775pro 16</v>
          </cell>
          <cell r="E656">
            <v>1</v>
          </cell>
          <cell r="F656">
            <v>1</v>
          </cell>
        </row>
        <row r="657">
          <cell r="D657" t="str">
            <v>CIM Motor 775pro 20</v>
          </cell>
          <cell r="E657">
            <v>1</v>
          </cell>
          <cell r="F657">
            <v>1</v>
          </cell>
        </row>
        <row r="658">
          <cell r="D658" t="str">
            <v>CIM Motor 775pro 21</v>
          </cell>
          <cell r="E658">
            <v>1</v>
          </cell>
          <cell r="F658">
            <v>1</v>
          </cell>
        </row>
        <row r="659">
          <cell r="D659" t="str">
            <v>CIM Motor 775pro 25</v>
          </cell>
          <cell r="E659">
            <v>1</v>
          </cell>
          <cell r="F659">
            <v>1</v>
          </cell>
        </row>
        <row r="660">
          <cell r="D660" t="str">
            <v>CIM Motor 775pro 27</v>
          </cell>
          <cell r="E660">
            <v>1</v>
          </cell>
          <cell r="F660">
            <v>1</v>
          </cell>
        </row>
        <row r="661">
          <cell r="D661" t="str">
            <v>CIM Motor 775pro 28</v>
          </cell>
          <cell r="E661">
            <v>1</v>
          </cell>
          <cell r="F661">
            <v>1</v>
          </cell>
        </row>
        <row r="662">
          <cell r="D662" t="str">
            <v>CIM Motor 775pro 30</v>
          </cell>
          <cell r="E662">
            <v>1</v>
          </cell>
          <cell r="F662">
            <v>1</v>
          </cell>
        </row>
        <row r="663">
          <cell r="D663" t="str">
            <v>CIM Motor 775pro 35</v>
          </cell>
          <cell r="E663">
            <v>1</v>
          </cell>
          <cell r="F663">
            <v>1</v>
          </cell>
        </row>
        <row r="664">
          <cell r="D664" t="str">
            <v>CIM Motor 775pro 36</v>
          </cell>
          <cell r="E664">
            <v>1</v>
          </cell>
          <cell r="F664">
            <v>1</v>
          </cell>
        </row>
        <row r="665">
          <cell r="D665" t="str">
            <v>CIM Motor 775pro 40</v>
          </cell>
          <cell r="E665">
            <v>1</v>
          </cell>
          <cell r="F665">
            <v>1</v>
          </cell>
        </row>
        <row r="666">
          <cell r="D666" t="str">
            <v>CIM Motor 775pro 45</v>
          </cell>
          <cell r="E666">
            <v>0</v>
          </cell>
          <cell r="F666">
            <v>0</v>
          </cell>
        </row>
        <row r="667">
          <cell r="D667" t="str">
            <v>CIM Motor 775pro 49</v>
          </cell>
          <cell r="E667">
            <v>0</v>
          </cell>
          <cell r="F667">
            <v>0</v>
          </cell>
        </row>
        <row r="668">
          <cell r="D668" t="str">
            <v>CIM Motor 775pro 50</v>
          </cell>
          <cell r="E668">
            <v>0</v>
          </cell>
          <cell r="F668">
            <v>0</v>
          </cell>
        </row>
        <row r="669">
          <cell r="D669" t="str">
            <v>CIM Motor 775pro 63</v>
          </cell>
          <cell r="E669">
            <v>0</v>
          </cell>
          <cell r="F669">
            <v>0</v>
          </cell>
        </row>
        <row r="670">
          <cell r="D670" t="str">
            <v>CIM Motor 775pro 70</v>
          </cell>
          <cell r="E670">
            <v>0</v>
          </cell>
          <cell r="F670">
            <v>0</v>
          </cell>
        </row>
        <row r="671">
          <cell r="D671" t="str">
            <v>CIM Motor 775pro 81</v>
          </cell>
          <cell r="E671">
            <v>0</v>
          </cell>
          <cell r="F671">
            <v>0</v>
          </cell>
        </row>
        <row r="672">
          <cell r="D672" t="str">
            <v>CIM Motor 775pro 90</v>
          </cell>
          <cell r="E672">
            <v>0</v>
          </cell>
          <cell r="F672">
            <v>0</v>
          </cell>
        </row>
        <row r="673">
          <cell r="D673" t="str">
            <v>CIM Motor 775pro 100</v>
          </cell>
          <cell r="E673">
            <v>0</v>
          </cell>
          <cell r="F673">
            <v>0</v>
          </cell>
        </row>
        <row r="674">
          <cell r="D674" t="str">
            <v>Female AM 9015 9</v>
          </cell>
          <cell r="E674">
            <v>10</v>
          </cell>
          <cell r="F674">
            <v>10</v>
          </cell>
        </row>
        <row r="675">
          <cell r="D675" t="str">
            <v>Female AM 9015 12</v>
          </cell>
          <cell r="E675">
            <v>10</v>
          </cell>
          <cell r="F675">
            <v>7</v>
          </cell>
        </row>
        <row r="676">
          <cell r="D676" t="str">
            <v>Female AM 9015 15</v>
          </cell>
          <cell r="E676">
            <v>10</v>
          </cell>
          <cell r="F676">
            <v>5</v>
          </cell>
        </row>
        <row r="677">
          <cell r="D677" t="str">
            <v>Female AM 9015 16</v>
          </cell>
          <cell r="E677">
            <v>10</v>
          </cell>
          <cell r="F677">
            <v>5</v>
          </cell>
        </row>
        <row r="678">
          <cell r="D678" t="str">
            <v>Female AM 9015 20</v>
          </cell>
          <cell r="E678">
            <v>10</v>
          </cell>
          <cell r="F678">
            <v>4</v>
          </cell>
        </row>
        <row r="679">
          <cell r="D679" t="str">
            <v>Female AM 9015 21</v>
          </cell>
          <cell r="E679">
            <v>10</v>
          </cell>
          <cell r="F679">
            <v>4</v>
          </cell>
        </row>
        <row r="680">
          <cell r="D680" t="str">
            <v>Female AM 9015 25</v>
          </cell>
          <cell r="E680">
            <v>7</v>
          </cell>
          <cell r="F680">
            <v>3</v>
          </cell>
        </row>
        <row r="681">
          <cell r="D681" t="str">
            <v>Female AM 9015 27</v>
          </cell>
          <cell r="E681">
            <v>7</v>
          </cell>
          <cell r="F681">
            <v>3</v>
          </cell>
        </row>
        <row r="682">
          <cell r="D682" t="str">
            <v>Female AM 9015 28</v>
          </cell>
          <cell r="E682">
            <v>7</v>
          </cell>
          <cell r="F682">
            <v>3</v>
          </cell>
        </row>
        <row r="683">
          <cell r="D683" t="str">
            <v>Female AM 9015 30</v>
          </cell>
          <cell r="E683">
            <v>7</v>
          </cell>
          <cell r="F683">
            <v>3</v>
          </cell>
        </row>
        <row r="684">
          <cell r="D684" t="str">
            <v>Female AM 9015 35</v>
          </cell>
          <cell r="E684">
            <v>5</v>
          </cell>
          <cell r="F684">
            <v>1</v>
          </cell>
        </row>
        <row r="685">
          <cell r="D685" t="str">
            <v>Female AM 9015 36</v>
          </cell>
          <cell r="E685">
            <v>5</v>
          </cell>
          <cell r="F685">
            <v>1</v>
          </cell>
        </row>
        <row r="686">
          <cell r="D686" t="str">
            <v>Female AM 9015 40</v>
          </cell>
          <cell r="E686">
            <v>5</v>
          </cell>
          <cell r="F686">
            <v>1</v>
          </cell>
        </row>
        <row r="687">
          <cell r="D687" t="str">
            <v>Female AM 9015 45</v>
          </cell>
          <cell r="E687">
            <v>5</v>
          </cell>
          <cell r="F687">
            <v>1</v>
          </cell>
        </row>
        <row r="688">
          <cell r="D688" t="str">
            <v>Female AM 9015 49</v>
          </cell>
          <cell r="E688">
            <v>5</v>
          </cell>
          <cell r="F688">
            <v>1</v>
          </cell>
        </row>
        <row r="689">
          <cell r="D689" t="str">
            <v>Female AM 9015 50</v>
          </cell>
          <cell r="E689">
            <v>5</v>
          </cell>
          <cell r="F689">
            <v>1</v>
          </cell>
        </row>
        <row r="690">
          <cell r="D690" t="str">
            <v>Female AM 9015 63</v>
          </cell>
          <cell r="E690">
            <v>5</v>
          </cell>
          <cell r="F690">
            <v>1</v>
          </cell>
        </row>
        <row r="691">
          <cell r="D691" t="str">
            <v>Female AM 9015 70</v>
          </cell>
          <cell r="E691">
            <v>4</v>
          </cell>
          <cell r="F691">
            <v>1</v>
          </cell>
        </row>
        <row r="692">
          <cell r="D692" t="str">
            <v>Female AM 9015 81</v>
          </cell>
          <cell r="E692">
            <v>4</v>
          </cell>
          <cell r="F692">
            <v>1</v>
          </cell>
        </row>
        <row r="693">
          <cell r="D693" t="str">
            <v>Female AM 9015 90</v>
          </cell>
          <cell r="E693">
            <v>3</v>
          </cell>
          <cell r="F693">
            <v>1</v>
          </cell>
        </row>
        <row r="694">
          <cell r="D694" t="str">
            <v>Female AM 9015 100</v>
          </cell>
          <cell r="E694">
            <v>3</v>
          </cell>
          <cell r="F694">
            <v>0</v>
          </cell>
        </row>
        <row r="695">
          <cell r="D695" t="str">
            <v>Female NeveRest 9</v>
          </cell>
          <cell r="E695">
            <v>10</v>
          </cell>
          <cell r="F695">
            <v>10</v>
          </cell>
        </row>
        <row r="696">
          <cell r="D696" t="str">
            <v>Female NeveRest 12</v>
          </cell>
          <cell r="E696">
            <v>10</v>
          </cell>
          <cell r="F696">
            <v>10</v>
          </cell>
        </row>
        <row r="697">
          <cell r="D697" t="str">
            <v>Female NeveRest 15</v>
          </cell>
          <cell r="E697">
            <v>10</v>
          </cell>
          <cell r="F697">
            <v>10</v>
          </cell>
        </row>
        <row r="698">
          <cell r="D698" t="str">
            <v>Female NeveRest 16</v>
          </cell>
          <cell r="E698">
            <v>10</v>
          </cell>
          <cell r="F698">
            <v>10</v>
          </cell>
        </row>
        <row r="699">
          <cell r="D699" t="str">
            <v>Female NeveRest 20</v>
          </cell>
          <cell r="E699">
            <v>10</v>
          </cell>
          <cell r="F699">
            <v>10</v>
          </cell>
        </row>
        <row r="700">
          <cell r="D700" t="str">
            <v>Female NeveRest 21</v>
          </cell>
          <cell r="E700">
            <v>9</v>
          </cell>
          <cell r="F700">
            <v>9</v>
          </cell>
        </row>
        <row r="701">
          <cell r="D701" t="str">
            <v>Female NeveRest 25</v>
          </cell>
          <cell r="E701">
            <v>7</v>
          </cell>
          <cell r="F701">
            <v>7</v>
          </cell>
        </row>
        <row r="702">
          <cell r="D702" t="str">
            <v>Female NeveRest 27</v>
          </cell>
          <cell r="E702">
            <v>7</v>
          </cell>
          <cell r="F702">
            <v>7</v>
          </cell>
        </row>
        <row r="703">
          <cell r="D703" t="str">
            <v>Female NeveRest 28</v>
          </cell>
          <cell r="E703">
            <v>7</v>
          </cell>
          <cell r="F703">
            <v>7</v>
          </cell>
        </row>
        <row r="704">
          <cell r="D704" t="str">
            <v>Female NeveRest 30</v>
          </cell>
          <cell r="E704">
            <v>5</v>
          </cell>
          <cell r="F704">
            <v>5</v>
          </cell>
        </row>
        <row r="705">
          <cell r="D705" t="str">
            <v>Female NeveRest 35</v>
          </cell>
          <cell r="E705">
            <v>5</v>
          </cell>
          <cell r="F705">
            <v>5</v>
          </cell>
        </row>
        <row r="706">
          <cell r="D706" t="str">
            <v>Female NeveRest 36</v>
          </cell>
          <cell r="E706">
            <v>5</v>
          </cell>
          <cell r="F706">
            <v>5</v>
          </cell>
        </row>
        <row r="707">
          <cell r="D707" t="str">
            <v>Female NeveRest 40</v>
          </cell>
          <cell r="E707">
            <v>5</v>
          </cell>
          <cell r="F707">
            <v>5</v>
          </cell>
        </row>
        <row r="708">
          <cell r="D708" t="str">
            <v>Female NeveRest 45</v>
          </cell>
          <cell r="E708">
            <v>5</v>
          </cell>
          <cell r="F708">
            <v>4</v>
          </cell>
        </row>
        <row r="709">
          <cell r="D709" t="str">
            <v>Female NeveRest 49</v>
          </cell>
          <cell r="E709">
            <v>5</v>
          </cell>
          <cell r="F709">
            <v>4</v>
          </cell>
        </row>
        <row r="710">
          <cell r="D710" t="str">
            <v>Female NeveRest 50</v>
          </cell>
          <cell r="E710">
            <v>5</v>
          </cell>
          <cell r="F710">
            <v>4</v>
          </cell>
        </row>
        <row r="711">
          <cell r="D711" t="str">
            <v>Female NeveRest 63</v>
          </cell>
          <cell r="E711">
            <v>4</v>
          </cell>
          <cell r="F711">
            <v>3</v>
          </cell>
        </row>
        <row r="712">
          <cell r="D712" t="str">
            <v>Female NeveRest 70</v>
          </cell>
          <cell r="E712">
            <v>4</v>
          </cell>
          <cell r="F712">
            <v>1</v>
          </cell>
        </row>
        <row r="713">
          <cell r="D713" t="str">
            <v>Female NeveRest 81</v>
          </cell>
          <cell r="E713">
            <v>3</v>
          </cell>
          <cell r="F713">
            <v>1</v>
          </cell>
        </row>
        <row r="714">
          <cell r="D714" t="str">
            <v>Female NeveRest 90</v>
          </cell>
          <cell r="E714">
            <v>3</v>
          </cell>
          <cell r="F714">
            <v>1</v>
          </cell>
        </row>
        <row r="715">
          <cell r="D715" t="str">
            <v>Female NeveRest 100</v>
          </cell>
          <cell r="E715">
            <v>3</v>
          </cell>
          <cell r="F715">
            <v>1</v>
          </cell>
        </row>
        <row r="716">
          <cell r="D716" t="str">
            <v>Female BB RS-550 9</v>
          </cell>
          <cell r="E716">
            <v>10</v>
          </cell>
          <cell r="F716">
            <v>10</v>
          </cell>
        </row>
        <row r="717">
          <cell r="D717" t="str">
            <v>Female BB RS-550 12</v>
          </cell>
          <cell r="E717">
            <v>10</v>
          </cell>
          <cell r="F717">
            <v>7</v>
          </cell>
        </row>
        <row r="718">
          <cell r="D718" t="str">
            <v>Female BB RS-550 15</v>
          </cell>
          <cell r="E718">
            <v>10</v>
          </cell>
          <cell r="F718">
            <v>5</v>
          </cell>
        </row>
        <row r="719">
          <cell r="D719" t="str">
            <v>Female BB RS-550 16</v>
          </cell>
          <cell r="E719">
            <v>10</v>
          </cell>
          <cell r="F719">
            <v>5</v>
          </cell>
        </row>
        <row r="720">
          <cell r="D720" t="str">
            <v>Female BB RS-550 20</v>
          </cell>
          <cell r="E720">
            <v>10</v>
          </cell>
          <cell r="F720">
            <v>4</v>
          </cell>
        </row>
        <row r="721">
          <cell r="D721" t="str">
            <v>Female BB RS-550 21</v>
          </cell>
          <cell r="E721">
            <v>9</v>
          </cell>
          <cell r="F721">
            <v>4</v>
          </cell>
        </row>
        <row r="722">
          <cell r="D722" t="str">
            <v>Female BB RS-550 25</v>
          </cell>
          <cell r="E722">
            <v>7</v>
          </cell>
          <cell r="F722">
            <v>3</v>
          </cell>
        </row>
        <row r="723">
          <cell r="D723" t="str">
            <v>Female BB RS-550 27</v>
          </cell>
          <cell r="E723">
            <v>7</v>
          </cell>
          <cell r="F723">
            <v>3</v>
          </cell>
        </row>
        <row r="724">
          <cell r="D724" t="str">
            <v>Female BB RS-550 28</v>
          </cell>
          <cell r="E724">
            <v>7</v>
          </cell>
          <cell r="F724">
            <v>3</v>
          </cell>
        </row>
        <row r="725">
          <cell r="D725" t="str">
            <v>Female BB RS-550 30</v>
          </cell>
          <cell r="E725">
            <v>5</v>
          </cell>
          <cell r="F725">
            <v>3</v>
          </cell>
        </row>
        <row r="726">
          <cell r="D726" t="str">
            <v>Female BB RS-550 35</v>
          </cell>
          <cell r="E726">
            <v>5</v>
          </cell>
          <cell r="F726">
            <v>1</v>
          </cell>
        </row>
        <row r="727">
          <cell r="D727" t="str">
            <v>Female BB RS-550 36</v>
          </cell>
          <cell r="E727">
            <v>5</v>
          </cell>
          <cell r="F727">
            <v>1</v>
          </cell>
        </row>
        <row r="728">
          <cell r="D728" t="str">
            <v>Female BB RS-550 40</v>
          </cell>
          <cell r="E728">
            <v>5</v>
          </cell>
          <cell r="F728">
            <v>1</v>
          </cell>
        </row>
        <row r="729">
          <cell r="D729" t="str">
            <v>Female BB RS-550 45</v>
          </cell>
          <cell r="E729">
            <v>5</v>
          </cell>
          <cell r="F729">
            <v>1</v>
          </cell>
        </row>
        <row r="730">
          <cell r="D730" t="str">
            <v>Female BB RS-550 49</v>
          </cell>
          <cell r="E730">
            <v>5</v>
          </cell>
          <cell r="F730">
            <v>1</v>
          </cell>
        </row>
        <row r="731">
          <cell r="D731" t="str">
            <v>Female BB RS-550 50</v>
          </cell>
          <cell r="E731">
            <v>5</v>
          </cell>
          <cell r="F731">
            <v>1</v>
          </cell>
        </row>
        <row r="732">
          <cell r="D732" t="str">
            <v>Female BB RS-550 63</v>
          </cell>
          <cell r="E732">
            <v>4</v>
          </cell>
          <cell r="F732">
            <v>1</v>
          </cell>
        </row>
        <row r="733">
          <cell r="D733" t="str">
            <v>Female BB RS-550 70</v>
          </cell>
          <cell r="E733">
            <v>4</v>
          </cell>
          <cell r="F733">
            <v>1</v>
          </cell>
        </row>
        <row r="734">
          <cell r="D734" t="str">
            <v>Female BB RS-550 81</v>
          </cell>
          <cell r="E734">
            <v>3</v>
          </cell>
          <cell r="F734">
            <v>1</v>
          </cell>
        </row>
        <row r="735">
          <cell r="D735" t="str">
            <v>Female BB RS-550 90</v>
          </cell>
          <cell r="E735">
            <v>3</v>
          </cell>
          <cell r="F735">
            <v>1</v>
          </cell>
        </row>
        <row r="736">
          <cell r="D736" t="str">
            <v>Female BB RS-550 100</v>
          </cell>
          <cell r="E736">
            <v>3</v>
          </cell>
          <cell r="F736">
            <v>0</v>
          </cell>
        </row>
        <row r="737">
          <cell r="D737" t="str">
            <v>Female BB RS-775 9</v>
          </cell>
          <cell r="E737">
            <v>10</v>
          </cell>
          <cell r="F737">
            <v>10</v>
          </cell>
        </row>
        <row r="738">
          <cell r="D738" t="str">
            <v>Female BB RS-775 12</v>
          </cell>
          <cell r="E738">
            <v>10</v>
          </cell>
          <cell r="F738">
            <v>10</v>
          </cell>
        </row>
        <row r="739">
          <cell r="D739" t="str">
            <v>Female BB RS-775 15</v>
          </cell>
          <cell r="E739">
            <v>7</v>
          </cell>
          <cell r="F739">
            <v>7</v>
          </cell>
        </row>
        <row r="740">
          <cell r="D740" t="str">
            <v>Female BB RS-775 16</v>
          </cell>
          <cell r="E740">
            <v>7</v>
          </cell>
          <cell r="F740">
            <v>7</v>
          </cell>
        </row>
        <row r="741">
          <cell r="D741" t="str">
            <v>Female BB RS-775 20</v>
          </cell>
          <cell r="E741">
            <v>5</v>
          </cell>
          <cell r="F741">
            <v>5</v>
          </cell>
        </row>
        <row r="742">
          <cell r="D742" t="str">
            <v>Female BB RS-775 21</v>
          </cell>
          <cell r="E742">
            <v>5</v>
          </cell>
          <cell r="F742">
            <v>5</v>
          </cell>
        </row>
        <row r="743">
          <cell r="D743" t="str">
            <v>Female BB RS-775 25</v>
          </cell>
          <cell r="E743">
            <v>5</v>
          </cell>
          <cell r="F743">
            <v>5</v>
          </cell>
        </row>
        <row r="744">
          <cell r="D744" t="str">
            <v>Female BB RS-775 27</v>
          </cell>
          <cell r="E744">
            <v>5</v>
          </cell>
          <cell r="F744">
            <v>4</v>
          </cell>
        </row>
        <row r="745">
          <cell r="D745" t="str">
            <v>Female BB RS-775 28</v>
          </cell>
          <cell r="E745">
            <v>5</v>
          </cell>
          <cell r="F745">
            <v>4</v>
          </cell>
        </row>
        <row r="746">
          <cell r="D746" t="str">
            <v>Female BB RS-775 30</v>
          </cell>
          <cell r="E746">
            <v>5</v>
          </cell>
          <cell r="F746">
            <v>4</v>
          </cell>
        </row>
        <row r="747">
          <cell r="D747" t="str">
            <v>Female BB RS-775 35</v>
          </cell>
          <cell r="E747">
            <v>5</v>
          </cell>
          <cell r="F747">
            <v>3</v>
          </cell>
        </row>
        <row r="748">
          <cell r="D748" t="str">
            <v>Female BB RS-775 36</v>
          </cell>
          <cell r="E748">
            <v>5</v>
          </cell>
          <cell r="F748">
            <v>3</v>
          </cell>
        </row>
        <row r="749">
          <cell r="D749" t="str">
            <v>Female BB RS-775 40</v>
          </cell>
          <cell r="E749">
            <v>4</v>
          </cell>
          <cell r="F749">
            <v>3</v>
          </cell>
        </row>
        <row r="750">
          <cell r="D750" t="str">
            <v>Female BB RS-775 45</v>
          </cell>
          <cell r="E750">
            <v>4</v>
          </cell>
          <cell r="F750">
            <v>1</v>
          </cell>
        </row>
        <row r="751">
          <cell r="D751" t="str">
            <v>Female BB RS-775 49</v>
          </cell>
          <cell r="E751">
            <v>4</v>
          </cell>
          <cell r="F751">
            <v>1</v>
          </cell>
        </row>
        <row r="752">
          <cell r="D752" t="str">
            <v>Female BB RS-775 50</v>
          </cell>
          <cell r="E752">
            <v>3</v>
          </cell>
          <cell r="F752">
            <v>1</v>
          </cell>
        </row>
        <row r="753">
          <cell r="D753" t="str">
            <v>Female BB RS-775 63</v>
          </cell>
          <cell r="E753">
            <v>3</v>
          </cell>
          <cell r="F753">
            <v>1</v>
          </cell>
        </row>
        <row r="754">
          <cell r="D754" t="str">
            <v>Female BB RS-775 70</v>
          </cell>
          <cell r="E754">
            <v>1</v>
          </cell>
          <cell r="F754">
            <v>1</v>
          </cell>
        </row>
        <row r="755">
          <cell r="D755" t="str">
            <v>Female BB RS-775 81</v>
          </cell>
          <cell r="E755">
            <v>1</v>
          </cell>
          <cell r="F755">
            <v>1</v>
          </cell>
        </row>
        <row r="756">
          <cell r="D756" t="str">
            <v>Female BB RS-775 90</v>
          </cell>
          <cell r="E756">
            <v>1</v>
          </cell>
          <cell r="F756">
            <v>1</v>
          </cell>
        </row>
        <row r="757">
          <cell r="D757" t="str">
            <v>Female BB RS-775 100</v>
          </cell>
          <cell r="E757">
            <v>1</v>
          </cell>
          <cell r="F757">
            <v>1</v>
          </cell>
        </row>
        <row r="758">
          <cell r="D758" t="str">
            <v>Female BAG 9</v>
          </cell>
          <cell r="E758">
            <v>10</v>
          </cell>
          <cell r="F758">
            <v>9</v>
          </cell>
        </row>
        <row r="759">
          <cell r="D759" t="str">
            <v>Female BAG 12</v>
          </cell>
          <cell r="E759">
            <v>10</v>
          </cell>
          <cell r="F759">
            <v>5</v>
          </cell>
        </row>
        <row r="760">
          <cell r="D760" t="str">
            <v>Female BAG 15</v>
          </cell>
          <cell r="E760">
            <v>10</v>
          </cell>
          <cell r="F760">
            <v>5</v>
          </cell>
        </row>
        <row r="761">
          <cell r="D761" t="str">
            <v>Female BAG 16</v>
          </cell>
          <cell r="E761">
            <v>10</v>
          </cell>
          <cell r="F761">
            <v>5</v>
          </cell>
        </row>
        <row r="762">
          <cell r="D762" t="str">
            <v>Female BAG 20</v>
          </cell>
          <cell r="E762">
            <v>10</v>
          </cell>
          <cell r="F762">
            <v>4</v>
          </cell>
        </row>
        <row r="763">
          <cell r="D763" t="str">
            <v>Female BAG 21</v>
          </cell>
          <cell r="E763">
            <v>10</v>
          </cell>
          <cell r="F763">
            <v>3</v>
          </cell>
        </row>
        <row r="764">
          <cell r="D764" t="str">
            <v>Female BAG 25</v>
          </cell>
          <cell r="E764">
            <v>7</v>
          </cell>
          <cell r="F764">
            <v>3</v>
          </cell>
        </row>
        <row r="765">
          <cell r="D765" t="str">
            <v>Female BAG 27</v>
          </cell>
          <cell r="E765">
            <v>7</v>
          </cell>
          <cell r="F765">
            <v>3</v>
          </cell>
        </row>
        <row r="766">
          <cell r="D766" t="str">
            <v>Female BAG 28</v>
          </cell>
          <cell r="E766">
            <v>7</v>
          </cell>
          <cell r="F766">
            <v>1</v>
          </cell>
        </row>
        <row r="767">
          <cell r="D767" t="str">
            <v>Female BAG 30</v>
          </cell>
          <cell r="E767">
            <v>7</v>
          </cell>
          <cell r="F767">
            <v>1</v>
          </cell>
        </row>
        <row r="768">
          <cell r="D768" t="str">
            <v>Female BAG 35</v>
          </cell>
          <cell r="E768">
            <v>5</v>
          </cell>
          <cell r="F768">
            <v>1</v>
          </cell>
        </row>
        <row r="769">
          <cell r="D769" t="str">
            <v>Female BAG 36</v>
          </cell>
          <cell r="E769">
            <v>5</v>
          </cell>
          <cell r="F769">
            <v>1</v>
          </cell>
        </row>
        <row r="770">
          <cell r="D770" t="str">
            <v>Female BAG 40</v>
          </cell>
          <cell r="E770">
            <v>5</v>
          </cell>
          <cell r="F770">
            <v>1</v>
          </cell>
        </row>
        <row r="771">
          <cell r="D771" t="str">
            <v>Female BAG 45</v>
          </cell>
          <cell r="E771">
            <v>5</v>
          </cell>
          <cell r="F771">
            <v>1</v>
          </cell>
        </row>
        <row r="772">
          <cell r="D772" t="str">
            <v>Female BAG 49</v>
          </cell>
          <cell r="E772">
            <v>5</v>
          </cell>
          <cell r="F772">
            <v>1</v>
          </cell>
        </row>
        <row r="773">
          <cell r="D773" t="str">
            <v>Female BAG 50</v>
          </cell>
          <cell r="E773">
            <v>5</v>
          </cell>
          <cell r="F773">
            <v>1</v>
          </cell>
        </row>
        <row r="774">
          <cell r="D774" t="str">
            <v>Female BAG 63</v>
          </cell>
          <cell r="E774">
            <v>5</v>
          </cell>
          <cell r="F774">
            <v>1</v>
          </cell>
        </row>
        <row r="775">
          <cell r="D775" t="str">
            <v>Female BAG 70</v>
          </cell>
          <cell r="E775">
            <v>4</v>
          </cell>
          <cell r="F775">
            <v>1</v>
          </cell>
        </row>
        <row r="776">
          <cell r="D776" t="str">
            <v>Female BAG 81</v>
          </cell>
          <cell r="E776">
            <v>4</v>
          </cell>
          <cell r="F776">
            <v>1</v>
          </cell>
        </row>
        <row r="777">
          <cell r="D777" t="str">
            <v>Female BAG 90</v>
          </cell>
          <cell r="E777">
            <v>3</v>
          </cell>
          <cell r="F777">
            <v>0</v>
          </cell>
        </row>
        <row r="778">
          <cell r="D778" t="str">
            <v>Female BAG 100</v>
          </cell>
          <cell r="E778">
            <v>3</v>
          </cell>
          <cell r="F778">
            <v>0</v>
          </cell>
        </row>
        <row r="779">
          <cell r="D779" t="str">
            <v>Female Mini CIM 9</v>
          </cell>
          <cell r="E779">
            <v>7</v>
          </cell>
          <cell r="F779">
            <v>0</v>
          </cell>
        </row>
        <row r="780">
          <cell r="D780" t="str">
            <v>Female Mini CIM 12</v>
          </cell>
          <cell r="E780">
            <v>5</v>
          </cell>
          <cell r="F780">
            <v>0</v>
          </cell>
        </row>
        <row r="781">
          <cell r="D781" t="str">
            <v>Female Mini CIM 15</v>
          </cell>
          <cell r="E781">
            <v>5</v>
          </cell>
          <cell r="F781">
            <v>0</v>
          </cell>
        </row>
        <row r="782">
          <cell r="D782" t="str">
            <v>Female Mini CIM 16</v>
          </cell>
          <cell r="E782">
            <v>5</v>
          </cell>
          <cell r="F782">
            <v>0</v>
          </cell>
        </row>
        <row r="783">
          <cell r="D783" t="str">
            <v>Female Mini CIM 20</v>
          </cell>
          <cell r="E783">
            <v>5</v>
          </cell>
          <cell r="F783">
            <v>0</v>
          </cell>
        </row>
        <row r="784">
          <cell r="D784" t="str">
            <v>Female Mini CIM 21</v>
          </cell>
          <cell r="E784">
            <v>5</v>
          </cell>
          <cell r="F784">
            <v>0</v>
          </cell>
        </row>
        <row r="785">
          <cell r="D785" t="str">
            <v>Female Mini CIM 25</v>
          </cell>
          <cell r="E785">
            <v>4</v>
          </cell>
          <cell r="F785">
            <v>0</v>
          </cell>
        </row>
        <row r="786">
          <cell r="D786" t="str">
            <v>Female Mini CIM 27</v>
          </cell>
          <cell r="E786">
            <v>4</v>
          </cell>
          <cell r="F786">
            <v>0</v>
          </cell>
        </row>
        <row r="787">
          <cell r="D787" t="str">
            <v>Female Mini CIM 28</v>
          </cell>
          <cell r="E787">
            <v>3</v>
          </cell>
          <cell r="F787">
            <v>0</v>
          </cell>
        </row>
        <row r="788">
          <cell r="D788" t="str">
            <v>Female Mini CIM 30</v>
          </cell>
          <cell r="E788">
            <v>3</v>
          </cell>
          <cell r="F788">
            <v>0</v>
          </cell>
        </row>
        <row r="789">
          <cell r="D789" t="str">
            <v>Female Mini CIM 35</v>
          </cell>
          <cell r="E789">
            <v>3</v>
          </cell>
          <cell r="F789">
            <v>0</v>
          </cell>
        </row>
        <row r="790">
          <cell r="D790" t="str">
            <v>Female Mini CIM 36</v>
          </cell>
          <cell r="E790">
            <v>1</v>
          </cell>
          <cell r="F790">
            <v>0</v>
          </cell>
        </row>
        <row r="791">
          <cell r="D791" t="str">
            <v>Female Mini CIM 40</v>
          </cell>
          <cell r="E791">
            <v>1</v>
          </cell>
          <cell r="F791">
            <v>0</v>
          </cell>
        </row>
        <row r="792">
          <cell r="D792" t="str">
            <v>Female Mini CIM 45</v>
          </cell>
          <cell r="E792">
            <v>1</v>
          </cell>
          <cell r="F792">
            <v>0</v>
          </cell>
        </row>
        <row r="793">
          <cell r="D793" t="str">
            <v>Female Mini CIM 49</v>
          </cell>
          <cell r="E793">
            <v>1</v>
          </cell>
          <cell r="F793">
            <v>0</v>
          </cell>
        </row>
        <row r="794">
          <cell r="D794" t="str">
            <v>Female Mini CIM 50</v>
          </cell>
          <cell r="E794">
            <v>1</v>
          </cell>
          <cell r="F794">
            <v>0</v>
          </cell>
        </row>
        <row r="795">
          <cell r="D795" t="str">
            <v>Female Mini CIM 63</v>
          </cell>
          <cell r="E795">
            <v>1</v>
          </cell>
          <cell r="F795">
            <v>0</v>
          </cell>
        </row>
        <row r="796">
          <cell r="D796" t="str">
            <v>Female Mini CIM 70</v>
          </cell>
          <cell r="E796">
            <v>0</v>
          </cell>
          <cell r="F796">
            <v>0</v>
          </cell>
        </row>
        <row r="797">
          <cell r="D797" t="str">
            <v>Female Mini CIM 81</v>
          </cell>
          <cell r="E797">
            <v>0</v>
          </cell>
          <cell r="F797">
            <v>0</v>
          </cell>
        </row>
        <row r="798">
          <cell r="D798" t="str">
            <v>Female Mini CIM 90</v>
          </cell>
          <cell r="E798">
            <v>0</v>
          </cell>
          <cell r="F798">
            <v>0</v>
          </cell>
        </row>
        <row r="799">
          <cell r="D799" t="str">
            <v>Female Mini CIM 100</v>
          </cell>
          <cell r="E799">
            <v>0</v>
          </cell>
          <cell r="F799">
            <v>0</v>
          </cell>
        </row>
        <row r="800">
          <cell r="D800" t="str">
            <v>Female CIM 9</v>
          </cell>
          <cell r="E800">
            <v>5</v>
          </cell>
          <cell r="F800">
            <v>0</v>
          </cell>
        </row>
        <row r="801">
          <cell r="D801" t="str">
            <v>Female CIM 12</v>
          </cell>
          <cell r="E801">
            <v>5</v>
          </cell>
          <cell r="F801">
            <v>0</v>
          </cell>
        </row>
        <row r="802">
          <cell r="D802" t="str">
            <v>Female CIM 15</v>
          </cell>
          <cell r="E802">
            <v>4</v>
          </cell>
          <cell r="F802">
            <v>0</v>
          </cell>
        </row>
        <row r="803">
          <cell r="D803" t="str">
            <v>Female CIM 16</v>
          </cell>
          <cell r="E803">
            <v>4</v>
          </cell>
          <cell r="F803">
            <v>0</v>
          </cell>
        </row>
        <row r="804">
          <cell r="D804" t="str">
            <v>Female CIM 20</v>
          </cell>
          <cell r="E804">
            <v>3</v>
          </cell>
          <cell r="F804">
            <v>0</v>
          </cell>
        </row>
        <row r="805">
          <cell r="D805" t="str">
            <v>Female CIM 21</v>
          </cell>
          <cell r="E805">
            <v>3</v>
          </cell>
          <cell r="F805">
            <v>0</v>
          </cell>
        </row>
        <row r="806">
          <cell r="D806" t="str">
            <v>Female CIM 25</v>
          </cell>
          <cell r="E806">
            <v>1</v>
          </cell>
          <cell r="F806">
            <v>0</v>
          </cell>
        </row>
        <row r="807">
          <cell r="D807" t="str">
            <v>Female CIM 27</v>
          </cell>
          <cell r="E807">
            <v>1</v>
          </cell>
          <cell r="F807">
            <v>0</v>
          </cell>
        </row>
        <row r="808">
          <cell r="D808" t="str">
            <v>Female CIM 28</v>
          </cell>
          <cell r="E808">
            <v>1</v>
          </cell>
          <cell r="F808">
            <v>0</v>
          </cell>
        </row>
        <row r="809">
          <cell r="D809" t="str">
            <v>Female CIM 30</v>
          </cell>
          <cell r="E809">
            <v>1</v>
          </cell>
          <cell r="F809">
            <v>0</v>
          </cell>
        </row>
        <row r="810">
          <cell r="D810" t="str">
            <v>Female CIM 35</v>
          </cell>
          <cell r="E810">
            <v>1</v>
          </cell>
          <cell r="F810">
            <v>0</v>
          </cell>
        </row>
        <row r="811">
          <cell r="D811" t="str">
            <v>Female CIM 36</v>
          </cell>
          <cell r="E811">
            <v>1</v>
          </cell>
          <cell r="F811">
            <v>0</v>
          </cell>
        </row>
        <row r="812">
          <cell r="D812" t="str">
            <v>Female CIM 40</v>
          </cell>
          <cell r="E812">
            <v>1</v>
          </cell>
          <cell r="F812">
            <v>0</v>
          </cell>
        </row>
        <row r="813">
          <cell r="D813" t="str">
            <v>Female CIM 45</v>
          </cell>
          <cell r="E813">
            <v>0</v>
          </cell>
          <cell r="F813">
            <v>0</v>
          </cell>
        </row>
        <row r="814">
          <cell r="D814" t="str">
            <v>Female CIM 49</v>
          </cell>
          <cell r="E814">
            <v>0</v>
          </cell>
          <cell r="F814">
            <v>0</v>
          </cell>
        </row>
        <row r="815">
          <cell r="D815" t="str">
            <v>Female CIM 50</v>
          </cell>
          <cell r="E815">
            <v>0</v>
          </cell>
          <cell r="F815">
            <v>0</v>
          </cell>
        </row>
        <row r="816">
          <cell r="D816" t="str">
            <v>Female CIM 63</v>
          </cell>
          <cell r="E816">
            <v>0</v>
          </cell>
          <cell r="F816">
            <v>0</v>
          </cell>
        </row>
        <row r="817">
          <cell r="D817" t="str">
            <v>Female CIM 70</v>
          </cell>
          <cell r="E817">
            <v>0</v>
          </cell>
          <cell r="F817">
            <v>0</v>
          </cell>
        </row>
        <row r="818">
          <cell r="D818" t="str">
            <v>Female CIM 81</v>
          </cell>
          <cell r="E818">
            <v>0</v>
          </cell>
          <cell r="F818">
            <v>0</v>
          </cell>
        </row>
        <row r="819">
          <cell r="D819" t="str">
            <v>Female CIM 90</v>
          </cell>
          <cell r="E819">
            <v>0</v>
          </cell>
          <cell r="F819">
            <v>0</v>
          </cell>
        </row>
        <row r="820">
          <cell r="D820" t="str">
            <v>Female CIM 100</v>
          </cell>
          <cell r="E820">
            <v>0</v>
          </cell>
          <cell r="F820">
            <v>0</v>
          </cell>
        </row>
        <row r="821">
          <cell r="D821" t="str">
            <v>Female 775pro 9</v>
          </cell>
          <cell r="E821">
            <v>10</v>
          </cell>
          <cell r="F821">
            <v>5</v>
          </cell>
        </row>
        <row r="822">
          <cell r="D822" t="str">
            <v>Female 775pro 12</v>
          </cell>
          <cell r="E822">
            <v>10</v>
          </cell>
          <cell r="F822">
            <v>4</v>
          </cell>
        </row>
        <row r="823">
          <cell r="D823" t="str">
            <v>Female 775pro 15</v>
          </cell>
          <cell r="E823">
            <v>10</v>
          </cell>
          <cell r="F823">
            <v>3</v>
          </cell>
        </row>
        <row r="824">
          <cell r="D824" t="str">
            <v>Female 775pro 16</v>
          </cell>
          <cell r="E824">
            <v>10</v>
          </cell>
          <cell r="F824">
            <v>3</v>
          </cell>
        </row>
        <row r="825">
          <cell r="D825" t="str">
            <v>Female 775pro 20</v>
          </cell>
          <cell r="E825">
            <v>10</v>
          </cell>
          <cell r="F825">
            <v>1</v>
          </cell>
        </row>
        <row r="826">
          <cell r="D826" t="str">
            <v>Female 775pro 21</v>
          </cell>
          <cell r="E826">
            <v>10</v>
          </cell>
          <cell r="F826">
            <v>1</v>
          </cell>
        </row>
        <row r="827">
          <cell r="D827" t="str">
            <v>Female 775pro 25</v>
          </cell>
          <cell r="E827">
            <v>7</v>
          </cell>
          <cell r="F827">
            <v>1</v>
          </cell>
        </row>
        <row r="828">
          <cell r="D828" t="str">
            <v>Female 775pro 27</v>
          </cell>
          <cell r="E828">
            <v>7</v>
          </cell>
          <cell r="F828">
            <v>1</v>
          </cell>
        </row>
        <row r="829">
          <cell r="D829" t="str">
            <v>Female 775pro 28</v>
          </cell>
          <cell r="E829">
            <v>7</v>
          </cell>
          <cell r="F829">
            <v>1</v>
          </cell>
        </row>
        <row r="830">
          <cell r="D830" t="str">
            <v>Female 775pro 30</v>
          </cell>
          <cell r="E830">
            <v>7</v>
          </cell>
          <cell r="F830">
            <v>1</v>
          </cell>
        </row>
        <row r="831">
          <cell r="D831" t="str">
            <v>Female 775pro 35</v>
          </cell>
          <cell r="E831">
            <v>5</v>
          </cell>
          <cell r="F831">
            <v>1</v>
          </cell>
        </row>
        <row r="832">
          <cell r="D832" t="str">
            <v>Female 775pro 36</v>
          </cell>
          <cell r="E832">
            <v>5</v>
          </cell>
          <cell r="F832">
            <v>1</v>
          </cell>
        </row>
        <row r="833">
          <cell r="D833" t="str">
            <v>Female 775pro 40</v>
          </cell>
          <cell r="E833">
            <v>5</v>
          </cell>
          <cell r="F833">
            <v>1</v>
          </cell>
        </row>
        <row r="834">
          <cell r="D834" t="str">
            <v>Female 775pro 45</v>
          </cell>
          <cell r="E834">
            <v>4</v>
          </cell>
          <cell r="F834">
            <v>1</v>
          </cell>
        </row>
        <row r="835">
          <cell r="D835" t="str">
            <v>Female 775pro 49</v>
          </cell>
          <cell r="E835">
            <v>4</v>
          </cell>
          <cell r="F835">
            <v>1</v>
          </cell>
        </row>
        <row r="836">
          <cell r="D836" t="str">
            <v>Female 775pro 50</v>
          </cell>
          <cell r="E836">
            <v>4</v>
          </cell>
          <cell r="F836">
            <v>0</v>
          </cell>
        </row>
        <row r="837">
          <cell r="D837" t="str">
            <v>Female 775pro 63</v>
          </cell>
          <cell r="E837">
            <v>3</v>
          </cell>
          <cell r="F837">
            <v>0</v>
          </cell>
        </row>
        <row r="838">
          <cell r="D838" t="str">
            <v>Female 775pro 70</v>
          </cell>
          <cell r="E838">
            <v>3</v>
          </cell>
          <cell r="F838">
            <v>0</v>
          </cell>
        </row>
        <row r="839">
          <cell r="D839" t="str">
            <v>Female 775pro 81</v>
          </cell>
          <cell r="E839">
            <v>1</v>
          </cell>
          <cell r="F839">
            <v>0</v>
          </cell>
        </row>
        <row r="840">
          <cell r="D840" t="str">
            <v>Female 775pro 90</v>
          </cell>
          <cell r="E840">
            <v>1</v>
          </cell>
          <cell r="F840">
            <v>0</v>
          </cell>
        </row>
        <row r="841">
          <cell r="D841" t="str">
            <v>Female 775pro 100</v>
          </cell>
          <cell r="E841">
            <v>1</v>
          </cell>
          <cell r="F841">
            <v>0</v>
          </cell>
        </row>
      </sheetData>
      <sheetData sheetId="12"/>
      <sheetData sheetId="13"/>
      <sheetData sheetId="14"/>
      <sheetData sheetId="15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BAG Motor</v>
          </cell>
          <cell r="C8">
            <v>13180</v>
          </cell>
          <cell r="D8">
            <v>0.43</v>
          </cell>
          <cell r="E8">
            <v>1.8</v>
          </cell>
          <cell r="F8">
            <v>53</v>
          </cell>
          <cell r="G8">
            <v>148.37218504128995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</row>
        <row r="11">
          <cell r="B11" t="str">
            <v>AM 775</v>
          </cell>
          <cell r="C11">
            <v>5800</v>
          </cell>
          <cell r="D11">
            <v>0.28000000000000003</v>
          </cell>
          <cell r="E11">
            <v>1.6</v>
          </cell>
          <cell r="F11">
            <v>18</v>
          </cell>
          <cell r="G11">
            <v>42.516220578581873</v>
          </cell>
        </row>
        <row r="12">
          <cell r="B12" t="str">
            <v>AM 9015</v>
          </cell>
          <cell r="C12">
            <v>14270</v>
          </cell>
          <cell r="D12">
            <v>0.36</v>
          </cell>
          <cell r="E12">
            <v>3.7</v>
          </cell>
          <cell r="F12">
            <v>71</v>
          </cell>
          <cell r="G12">
            <v>134.49158150017905</v>
          </cell>
        </row>
        <row r="13">
          <cell r="B13" t="str">
            <v>CIM + Mini</v>
          </cell>
          <cell r="C13">
            <v>5508</v>
          </cell>
          <cell r="D13">
            <v>3.82</v>
          </cell>
          <cell r="E13">
            <v>8.16</v>
          </cell>
          <cell r="F13">
            <v>220</v>
          </cell>
          <cell r="G13">
            <v>550.84057269512709</v>
          </cell>
        </row>
        <row r="14">
          <cell r="B14" t="str">
            <v>CIM + 2 Mini</v>
          </cell>
          <cell r="C14">
            <v>5593</v>
          </cell>
          <cell r="D14">
            <v>5.23</v>
          </cell>
          <cell r="E14">
            <v>9.6199999999999992</v>
          </cell>
          <cell r="F14">
            <v>309</v>
          </cell>
          <cell r="G14">
            <v>765.79959942741618</v>
          </cell>
        </row>
        <row r="15">
          <cell r="B15" t="str">
            <v>2 CIM + Mini</v>
          </cell>
          <cell r="C15">
            <v>5437</v>
          </cell>
          <cell r="D15">
            <v>6.23</v>
          </cell>
          <cell r="E15">
            <v>9.15</v>
          </cell>
          <cell r="F15">
            <v>351</v>
          </cell>
          <cell r="G15">
            <v>886.78023812205663</v>
          </cell>
        </row>
        <row r="16">
          <cell r="B16" t="str">
            <v>BB RS-775</v>
          </cell>
          <cell r="C16">
            <v>13050</v>
          </cell>
          <cell r="D16">
            <v>0.72</v>
          </cell>
          <cell r="E16">
            <v>2.7</v>
          </cell>
          <cell r="F16">
            <v>97</v>
          </cell>
          <cell r="G16">
            <v>245.98670477608078</v>
          </cell>
        </row>
        <row r="17">
          <cell r="B17" t="str">
            <v>BB RS-550</v>
          </cell>
          <cell r="C17">
            <v>19000</v>
          </cell>
          <cell r="D17">
            <v>0.38</v>
          </cell>
          <cell r="E17">
            <v>0.4</v>
          </cell>
          <cell r="F17">
            <v>84</v>
          </cell>
          <cell r="G17">
            <v>189.01915799098592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2:J20"/>
  <sheetViews>
    <sheetView tabSelected="1" zoomScaleNormal="100" workbookViewId="0">
      <selection activeCell="H17" sqref="H17"/>
    </sheetView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3.140625" style="1" customWidth="1"/>
    <col min="4" max="4" width="9.140625" style="1" customWidth="1"/>
    <col min="5" max="5" width="9.28515625" style="1" customWidth="1"/>
    <col min="6" max="6" width="9.140625" style="1"/>
    <col min="7" max="7" width="18.42578125" style="1" customWidth="1"/>
    <col min="8" max="16384" width="9.140625" style="1"/>
  </cols>
  <sheetData>
    <row r="2" spans="2:10" ht="31.5" x14ac:dyDescent="0.25">
      <c r="C2" s="2" t="s">
        <v>0</v>
      </c>
    </row>
    <row r="4" spans="2:10" x14ac:dyDescent="0.25">
      <c r="B4" s="3" t="b">
        <v>0</v>
      </c>
      <c r="C4" s="1" t="s">
        <v>1</v>
      </c>
    </row>
    <row r="6" spans="2:10" x14ac:dyDescent="0.25">
      <c r="C6" s="4" t="s">
        <v>2</v>
      </c>
      <c r="D6" s="5"/>
      <c r="E6" s="6" t="s">
        <v>3</v>
      </c>
    </row>
    <row r="7" spans="2:10" x14ac:dyDescent="0.25">
      <c r="C7" s="7" t="s">
        <v>4</v>
      </c>
      <c r="D7" s="8">
        <f>VLOOKUP($C$6, MotorSpecs, 2, FALSE)</f>
        <v>18730</v>
      </c>
      <c r="E7" s="9">
        <f>D7*(D11/12)</f>
        <v>17169.166666666664</v>
      </c>
    </row>
    <row r="8" spans="2:10" x14ac:dyDescent="0.25">
      <c r="C8" s="10" t="s">
        <v>5</v>
      </c>
      <c r="D8" s="11">
        <f>VLOOKUP($C$6, MotorSpecs, 3, FALSE)</f>
        <v>0.71</v>
      </c>
      <c r="E8" s="12">
        <f>D8*D10*(D11/12)*D12</f>
        <v>0.58574999999999999</v>
      </c>
      <c r="F8" s="1">
        <f>D8*D10*D12</f>
        <v>0.63900000000000001</v>
      </c>
    </row>
    <row r="10" spans="2:10" x14ac:dyDescent="0.25">
      <c r="C10" s="13" t="s">
        <v>6</v>
      </c>
      <c r="D10" s="14">
        <v>1</v>
      </c>
      <c r="G10" s="13" t="s">
        <v>7</v>
      </c>
      <c r="H10" s="15">
        <f>($D$16/IF($B$4,1000000,2.205*(1000/25.4)^2))*($E$7*2*PI()/60)*LN(($E$7)/($E$7-$D$14*$D$15))/($D$14^2*$E$8)</f>
        <v>0.30966047138505437</v>
      </c>
      <c r="J10" s="1" t="e">
        <f>($D$16/IF($B$4,1000000,2.205*(1000/25.4)^2))*(D7*2*PI()/60)/(D14*(D14+1)*F8)*LN((0*(D14+1)-D15)/(D14*D15))</f>
        <v>#NUM!</v>
      </c>
    </row>
    <row r="11" spans="2:10" x14ac:dyDescent="0.25">
      <c r="C11" s="13" t="s">
        <v>8</v>
      </c>
      <c r="D11" s="14">
        <v>11</v>
      </c>
      <c r="G11" s="13" t="s">
        <v>9</v>
      </c>
      <c r="H11" s="16">
        <f>0.7153*E7/D15</f>
        <v>2.4562209833333331</v>
      </c>
    </row>
    <row r="12" spans="2:10" x14ac:dyDescent="0.25">
      <c r="C12" s="13" t="s">
        <v>10</v>
      </c>
      <c r="D12" s="17">
        <v>0.9</v>
      </c>
      <c r="J12" s="1">
        <f>($D$16/IF($B$4,1000000,2.205*(1000/25.4)^2))*(D7*2*PI()/60)/(D14*F8*(D14-0))</f>
        <v>0.14968322312469576</v>
      </c>
    </row>
    <row r="13" spans="2:10" x14ac:dyDescent="0.25">
      <c r="G13" s="13" t="s">
        <v>11</v>
      </c>
      <c r="H13" s="18">
        <f>SQRT(D15^2 - D20*D18/D16*(D19*IF($B$4,1000,12)*60/(2*PI()))^2)</f>
        <v>4133.0220279804553</v>
      </c>
      <c r="I13" s="19"/>
    </row>
    <row r="14" spans="2:10" x14ac:dyDescent="0.25">
      <c r="C14" s="13" t="s">
        <v>12</v>
      </c>
      <c r="D14" s="20">
        <v>3</v>
      </c>
      <c r="G14" s="13" t="s">
        <v>13</v>
      </c>
      <c r="H14" s="15">
        <f>($D$16/IF($B$4,1000000,2.205*(1000/25.4)^2))*($E$7*2*PI()/60)*LN(($E$7-D14*H13)/($E$7-$D$14*$D$15))/($D$14^2*$E$8)</f>
        <v>0.1179540204153199</v>
      </c>
    </row>
    <row r="15" spans="2:10" x14ac:dyDescent="0.25">
      <c r="C15" s="13" t="s">
        <v>14</v>
      </c>
      <c r="D15" s="14">
        <v>5000</v>
      </c>
    </row>
    <row r="16" spans="2:10" x14ac:dyDescent="0.25">
      <c r="C16" s="13" t="str">
        <f>"Flywheel MoI ("&amp;IF($B$4,"kg*mm^2","lb*in^2")&amp;")"</f>
        <v>Flywheel MoI (lb*in^2)</v>
      </c>
      <c r="D16" s="21">
        <v>1.5</v>
      </c>
    </row>
    <row r="18" spans="3:4" x14ac:dyDescent="0.25">
      <c r="C18" s="13" t="str">
        <f>"Object Mass ("&amp;IF($B$4,"kg","lbs")&amp;")"</f>
        <v>Object Mass (lbs)</v>
      </c>
      <c r="D18" s="21">
        <v>0.67</v>
      </c>
    </row>
    <row r="19" spans="3:4" x14ac:dyDescent="0.25">
      <c r="C19" s="13" t="str">
        <f>"Exit Velocity ("&amp;IF($B$4,"m","ft")&amp;"/s)"</f>
        <v>Exit Velocity (ft/s)</v>
      </c>
      <c r="D19" s="22">
        <v>30</v>
      </c>
    </row>
    <row r="20" spans="3:4" x14ac:dyDescent="0.25">
      <c r="C20" s="13" t="s">
        <v>15</v>
      </c>
      <c r="D20" s="14">
        <v>1.5</v>
      </c>
    </row>
  </sheetData>
  <sheetProtection formatCells="0" formatColumns="0" formatRows="0"/>
  <dataConsolidate/>
  <mergeCells count="1">
    <mergeCell ref="C6:D6"/>
  </mergeCells>
  <dataValidations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Flywheel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Flywheel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2019-10-28T19:33:06Z</dcterms:created>
  <dcterms:modified xsi:type="dcterms:W3CDTF">2019-10-28T19:33:28Z</dcterms:modified>
</cp:coreProperties>
</file>